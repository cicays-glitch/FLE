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FLEXI/MKT/"/>
    </mc:Choice>
  </mc:AlternateContent>
  <xr:revisionPtr revIDLastSave="648" documentId="8_{62703BC6-5A6B-4F8C-B041-205BFA82B8B5}" xr6:coauthVersionLast="47" xr6:coauthVersionMax="47" xr10:uidLastSave="{D2586239-B6E0-47A6-B5F1-9038E1E08C82}"/>
  <bookViews>
    <workbookView xWindow="-28905" yWindow="-1260" windowWidth="21105" windowHeight="9300" activeTab="2" xr2:uid="{317E68FA-24F3-4B4B-8773-A8671968B245}"/>
  </bookViews>
  <sheets>
    <sheet name="Enero" sheetId="1" r:id="rId1"/>
    <sheet name="Febrero" sheetId="2" r:id="rId2"/>
    <sheet name="Marzo" sheetId="3" r:id="rId3"/>
    <sheet name="Abril" sheetId="4" r:id="rId4"/>
    <sheet name="estimadoMay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E37" i="3"/>
  <c r="C21" i="5"/>
  <c r="E21" i="5" s="1"/>
  <c r="C16" i="5"/>
  <c r="E16" i="5" s="1"/>
  <c r="C11" i="5"/>
  <c r="E11" i="5" s="1"/>
  <c r="C6" i="5"/>
  <c r="E6" i="5" s="1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25" i="5" l="1"/>
  <c r="E25" i="5" s="1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32" i="1"/>
  <c r="E33" i="1"/>
  <c r="E31" i="1"/>
  <c r="E27" i="1"/>
  <c r="E20" i="1"/>
  <c r="E14" i="1"/>
  <c r="E9" i="1"/>
  <c r="C33" i="1"/>
  <c r="C32" i="1"/>
  <c r="C22" i="2"/>
  <c r="C17" i="2"/>
  <c r="C14" i="1"/>
  <c r="C9" i="1"/>
  <c r="C27" i="1"/>
  <c r="C20" i="1"/>
  <c r="C26" i="5" l="1"/>
  <c r="E26" i="5" s="1"/>
  <c r="C27" i="4"/>
  <c r="E27" i="4" s="1"/>
  <c r="C31" i="3"/>
  <c r="C32" i="3" s="1"/>
  <c r="C26" i="2"/>
  <c r="C31" i="1"/>
  <c r="C27" i="5" l="1"/>
  <c r="E27" i="5" s="1"/>
  <c r="C28" i="4"/>
  <c r="E28" i="4" s="1"/>
  <c r="C33" i="3"/>
</calcChain>
</file>

<file path=xl/sharedStrings.xml><?xml version="1.0" encoding="utf-8"?>
<sst xmlns="http://schemas.openxmlformats.org/spreadsheetml/2006/main" count="201" uniqueCount="109">
  <si>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</si>
  <si>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</si>
  <si>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</si>
  <si>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</si>
  <si>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</si>
  <si>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</si>
  <si>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</si>
  <si>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</si>
  <si>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</si>
  <si>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</si>
  <si>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</si>
  <si>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</si>
  <si>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</si>
  <si>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</si>
  <si>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</si>
  <si>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</si>
  <si>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</si>
  <si>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</si>
  <si>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</si>
  <si>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</si>
  <si>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</si>
  <si>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</si>
  <si>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</si>
  <si>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</si>
  <si>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</si>
  <si>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</si>
  <si>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</si>
  <si>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</si>
  <si>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</si>
  <si>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</si>
  <si>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</si>
  <si>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</si>
  <si>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</si>
  <si>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</si>
  <si>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</si>
  <si>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</si>
  <si>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</si>
  <si>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</si>
  <si>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</si>
  <si>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</si>
  <si>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</si>
  <si>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</si>
  <si>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</si>
  <si>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</si>
  <si>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</si>
  <si>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</si>
  <si>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</si>
  <si>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</si>
  <si>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</si>
  <si>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</si>
  <si>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</si>
  <si>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</si>
  <si>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</si>
  <si>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</si>
  <si>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</si>
  <si>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</si>
  <si>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</si>
  <si>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</si>
  <si>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</si>
  <si>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</si>
  <si>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</si>
  <si>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</si>
  <si>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</si>
  <si>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</si>
  <si>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</si>
  <si>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</si>
  <si>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</si>
  <si>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</si>
  <si>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</si>
  <si>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</si>
  <si>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</si>
  <si>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</si>
  <si>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</si>
  <si>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</si>
  <si>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</si>
  <si>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</si>
  <si>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Influencers 2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</si>
  <si>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</si>
  <si>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</si>
  <si>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</si>
  <si>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</si>
  <si>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</si>
  <si>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</si>
  <si>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</si>
  <si>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</si>
  <si>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</si>
  <si>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</si>
  <si>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</si>
  <si>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</si>
  <si>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</si>
  <si>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</si>
  <si>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</si>
  <si>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>factura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</si>
  <si>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</si>
  <si>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</si>
  <si>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</si>
  <si>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</si>
  <si>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</si>
  <si>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</si>
  <si>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</si>
  <si>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</si>
  <si>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</si>
  <si>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</si>
  <si>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</si>
  <si>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Apoyo</t>
  </si>
  <si>
    <t>materiales</t>
  </si>
  <si>
    <t>factura 660</t>
  </si>
  <si>
    <t xml:space="preserve">proforma 10 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</si>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</sst>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 tint="0.79998168889431442"/>
  </sheetPr>
  <dimension ref="A1:G36"/>
  <sheetViews>
    <sheetView topLeftCell="A21" zoomScale="83" zoomScaleNormal="83" workbookViewId="0">
      <selection activeCell="F36" sqref="F36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26.28515625" customWidth="1"/>
    <col min="5" max="5" width="13" customWidth="1"/>
    <col min="6" max="6" width="38.5703125" customWidth="1"/>
  </cols>
  <sheetData>
    <row r="1" spans="1:7" x14ac:dyDescent="0.25">
      <c r="A1" s="17">
        <v>45658</v>
      </c>
    </row>
    <row r="2" spans="1:7" x14ac:dyDescent="0.25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25">
      <c r="A3" s="23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25">
      <c r="A4" s="24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25">
      <c r="A5" s="24"/>
      <c r="B5" s="1" t="s">
        <v>31</v>
      </c>
      <c r="C5" s="2">
        <v>28109</v>
      </c>
      <c r="D5" s="13" t="s">
        <v>27</v>
      </c>
      <c r="E5" s="5"/>
    </row>
    <row r="6" spans="1:7" x14ac:dyDescent="0.25">
      <c r="A6" s="24"/>
      <c r="B6" s="1" t="s">
        <v>31</v>
      </c>
      <c r="C6" s="2">
        <v>55269</v>
      </c>
      <c r="D6" s="13" t="s">
        <v>28</v>
      </c>
      <c r="E6" s="5"/>
    </row>
    <row r="7" spans="1:7" x14ac:dyDescent="0.25">
      <c r="A7" s="24"/>
      <c r="B7" s="1" t="s">
        <v>31</v>
      </c>
      <c r="C7" s="2">
        <v>443730</v>
      </c>
      <c r="D7" s="13" t="s">
        <v>26</v>
      </c>
      <c r="E7" s="5"/>
    </row>
    <row r="8" spans="1:7" x14ac:dyDescent="0.25">
      <c r="A8" s="24"/>
      <c r="B8" s="1"/>
      <c r="C8" s="2"/>
      <c r="D8" s="15"/>
      <c r="E8" s="5"/>
    </row>
    <row r="9" spans="1:7" x14ac:dyDescent="0.25">
      <c r="A9" s="25"/>
      <c r="B9" s="3"/>
      <c r="C9" s="4">
        <f>SUM(C3:C7)</f>
        <v>1424416</v>
      </c>
      <c r="E9" s="5">
        <f>C9/969</f>
        <v>1469.985552115583</v>
      </c>
    </row>
    <row r="11" spans="1:7" x14ac:dyDescent="0.25">
      <c r="A11" s="26" t="s">
        <v>0</v>
      </c>
      <c r="B11" s="1" t="s">
        <v>9</v>
      </c>
      <c r="C11" s="2">
        <v>254038</v>
      </c>
      <c r="D11" s="13" t="s">
        <v>26</v>
      </c>
    </row>
    <row r="12" spans="1:7" x14ac:dyDescent="0.25">
      <c r="A12" s="27"/>
      <c r="B12" s="1" t="s">
        <v>6</v>
      </c>
      <c r="C12" s="2">
        <v>48158</v>
      </c>
      <c r="D12" s="13" t="s">
        <v>25</v>
      </c>
    </row>
    <row r="13" spans="1:7" x14ac:dyDescent="0.25">
      <c r="A13" s="27"/>
      <c r="B13" s="1"/>
      <c r="C13" s="1"/>
    </row>
    <row r="14" spans="1:7" x14ac:dyDescent="0.25">
      <c r="A14" s="28"/>
      <c r="B14" s="3"/>
      <c r="C14" s="4">
        <f>SUM(C11:C12)</f>
        <v>302196</v>
      </c>
      <c r="E14" s="5">
        <f>C14/969</f>
        <v>311.8637770897833</v>
      </c>
    </row>
    <row r="16" spans="1:7" x14ac:dyDescent="0.25">
      <c r="A16" s="23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6" x14ac:dyDescent="0.25">
      <c r="A17" s="24"/>
      <c r="B17" s="1"/>
      <c r="C17" s="2"/>
      <c r="D17" s="13"/>
      <c r="F17" t="s">
        <v>22</v>
      </c>
    </row>
    <row r="18" spans="1:6" x14ac:dyDescent="0.25">
      <c r="A18" s="24"/>
      <c r="B18" s="1" t="s">
        <v>10</v>
      </c>
      <c r="C18" s="2">
        <v>15000</v>
      </c>
      <c r="D18" s="13" t="s">
        <v>20</v>
      </c>
      <c r="F18" t="s">
        <v>23</v>
      </c>
    </row>
    <row r="19" spans="1:6" x14ac:dyDescent="0.25">
      <c r="A19" s="24"/>
      <c r="B19" s="1"/>
      <c r="C19" s="2"/>
      <c r="D19" s="13"/>
    </row>
    <row r="20" spans="1:6" x14ac:dyDescent="0.25">
      <c r="A20" s="25"/>
      <c r="B20" s="3"/>
      <c r="C20" s="4">
        <f>SUM(C16:C19)</f>
        <v>115000</v>
      </c>
      <c r="D20" s="13"/>
      <c r="E20" s="5">
        <f>C20/969</f>
        <v>118.67905056759545</v>
      </c>
    </row>
    <row r="21" spans="1:6" x14ac:dyDescent="0.25">
      <c r="D21" s="13"/>
    </row>
    <row r="22" spans="1:6" ht="14.45" customHeight="1" x14ac:dyDescent="0.25">
      <c r="A22" s="23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6" ht="14.45" customHeight="1" x14ac:dyDescent="0.25">
      <c r="A23" s="24"/>
      <c r="B23" s="1" t="s">
        <v>12</v>
      </c>
      <c r="C23" s="2">
        <v>80000</v>
      </c>
      <c r="D23" s="13" t="s">
        <v>18</v>
      </c>
      <c r="F23" t="s">
        <v>24</v>
      </c>
    </row>
    <row r="24" spans="1:6" x14ac:dyDescent="0.25">
      <c r="A24" s="24"/>
      <c r="B24" s="1" t="s">
        <v>14</v>
      </c>
      <c r="C24" s="2">
        <v>14660</v>
      </c>
      <c r="D24" s="13" t="s">
        <v>16</v>
      </c>
    </row>
    <row r="25" spans="1:6" x14ac:dyDescent="0.25">
      <c r="A25" s="24"/>
      <c r="B25" s="1" t="s">
        <v>15</v>
      </c>
      <c r="C25" s="2">
        <v>132050</v>
      </c>
      <c r="D25" s="13" t="s">
        <v>17</v>
      </c>
    </row>
    <row r="26" spans="1:6" x14ac:dyDescent="0.25">
      <c r="A26" s="24"/>
      <c r="B26" s="1"/>
      <c r="C26" s="1"/>
      <c r="F26" s="12"/>
    </row>
    <row r="27" spans="1:6" x14ac:dyDescent="0.25">
      <c r="A27" s="25"/>
      <c r="B27" s="3"/>
      <c r="C27" s="4">
        <f>SUM(C22:C24)</f>
        <v>174660</v>
      </c>
      <c r="E27" s="5">
        <f>C27/969</f>
        <v>180.24767801857584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1" spans="1:6" x14ac:dyDescent="0.25">
      <c r="B31" s="6" t="s">
        <v>37</v>
      </c>
      <c r="C31" s="7">
        <f>SUM(C9+C14+C20+C27)</f>
        <v>2016272</v>
      </c>
      <c r="E31" s="8">
        <f>C31/969</f>
        <v>2080.7760577915378</v>
      </c>
    </row>
    <row r="32" spans="1:6" x14ac:dyDescent="0.25">
      <c r="B32" t="s">
        <v>34</v>
      </c>
      <c r="C32" s="16">
        <f>C31*19/100</f>
        <v>383091.68</v>
      </c>
      <c r="E32" s="8">
        <f t="shared" ref="E32:E33" si="0">C32/969</f>
        <v>395.34745098039213</v>
      </c>
    </row>
    <row r="33" spans="2:6" x14ac:dyDescent="0.25">
      <c r="B33" t="s">
        <v>35</v>
      </c>
      <c r="C33" s="12">
        <f>SUM(C31:C32)</f>
        <v>2399363.6800000002</v>
      </c>
      <c r="E33" s="8">
        <f t="shared" si="0"/>
        <v>2476.1235087719301</v>
      </c>
    </row>
    <row r="36" spans="2:6" x14ac:dyDescent="0.25">
      <c r="C36" t="s">
        <v>77</v>
      </c>
      <c r="D36" s="21" t="s">
        <v>78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topLeftCell="A20" workbookViewId="0">
      <selection activeCell="F31" sqref="F31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32.28515625" customWidth="1"/>
    <col min="5" max="5" width="10.7109375" customWidth="1"/>
    <col min="6" max="6" width="38.57031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3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25">
      <c r="A4" s="24"/>
      <c r="B4" s="1" t="s">
        <v>31</v>
      </c>
      <c r="C4" s="2">
        <v>444737</v>
      </c>
      <c r="D4" s="13" t="s">
        <v>39</v>
      </c>
      <c r="E4" s="5"/>
    </row>
    <row r="5" spans="1:6" x14ac:dyDescent="0.25">
      <c r="A5" s="24"/>
      <c r="B5" s="1" t="s">
        <v>31</v>
      </c>
      <c r="C5" s="2">
        <v>39376</v>
      </c>
      <c r="D5" s="13" t="s">
        <v>40</v>
      </c>
      <c r="E5" s="5"/>
    </row>
    <row r="6" spans="1:6" x14ac:dyDescent="0.25">
      <c r="A6" s="24"/>
      <c r="B6" s="1" t="s">
        <v>31</v>
      </c>
      <c r="C6" s="2">
        <v>2626</v>
      </c>
      <c r="D6" s="13" t="s">
        <v>38</v>
      </c>
      <c r="E6" s="5"/>
    </row>
    <row r="7" spans="1:6" x14ac:dyDescent="0.25">
      <c r="A7" s="25"/>
      <c r="B7" s="3"/>
      <c r="C7" s="4">
        <f>SUM(C3:C6)</f>
        <v>1318437</v>
      </c>
      <c r="E7" s="5">
        <f>C7/953.11</f>
        <v>1383.2999339005992</v>
      </c>
    </row>
    <row r="9" spans="1:6" x14ac:dyDescent="0.25">
      <c r="A9" s="26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25">
      <c r="A10" s="27"/>
      <c r="B10" s="1"/>
      <c r="C10" s="2">
        <v>1123</v>
      </c>
      <c r="D10" s="13" t="s">
        <v>40</v>
      </c>
    </row>
    <row r="11" spans="1:6" x14ac:dyDescent="0.25">
      <c r="A11" s="27"/>
      <c r="B11" s="1"/>
      <c r="C11" s="1">
        <v>109</v>
      </c>
      <c r="D11" s="13" t="s">
        <v>38</v>
      </c>
    </row>
    <row r="12" spans="1:6" x14ac:dyDescent="0.25">
      <c r="A12" s="28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25">
      <c r="A14" s="23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25">
      <c r="A15" s="24"/>
      <c r="B15" s="1"/>
      <c r="C15" s="2"/>
      <c r="D15" s="13"/>
    </row>
    <row r="16" spans="1:6" x14ac:dyDescent="0.25">
      <c r="A16" s="24"/>
      <c r="B16" s="1"/>
      <c r="C16" s="2"/>
      <c r="D16" s="13"/>
    </row>
    <row r="17" spans="1:6" x14ac:dyDescent="0.25">
      <c r="A17" s="25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25">
      <c r="D18" s="13"/>
    </row>
    <row r="19" spans="1:6" x14ac:dyDescent="0.25">
      <c r="A19" s="23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25">
      <c r="A20" s="24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25">
      <c r="A21" s="24"/>
      <c r="B21" s="1"/>
      <c r="C21" s="1"/>
      <c r="F21" s="12"/>
    </row>
    <row r="22" spans="1:6" x14ac:dyDescent="0.25">
      <c r="A22" s="25"/>
      <c r="B22" s="3"/>
      <c r="C22" s="4">
        <f>SUM(C19:C20)</f>
        <v>160000</v>
      </c>
      <c r="E22" s="5">
        <f>C22/953.11</f>
        <v>167.87149437105896</v>
      </c>
    </row>
    <row r="23" spans="1:6" x14ac:dyDescent="0.25">
      <c r="A23" s="10"/>
      <c r="C23" s="11"/>
      <c r="E23" s="5"/>
    </row>
    <row r="24" spans="1:6" x14ac:dyDescent="0.25">
      <c r="A24" s="10"/>
      <c r="C24" s="11"/>
      <c r="E24" s="5"/>
    </row>
    <row r="25" spans="1:6" x14ac:dyDescent="0.25">
      <c r="C25" t="s">
        <v>48</v>
      </c>
      <c r="E25" t="s">
        <v>49</v>
      </c>
    </row>
    <row r="26" spans="1:6" x14ac:dyDescent="0.25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25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25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25">
      <c r="C31" t="s">
        <v>80</v>
      </c>
      <c r="D31" s="21" t="s">
        <v>79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7"/>
  <sheetViews>
    <sheetView tabSelected="1" topLeftCell="A21" workbookViewId="0">
      <selection activeCell="C38" sqref="C38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26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3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25">
      <c r="A4" s="24"/>
      <c r="B4" s="1" t="s">
        <v>31</v>
      </c>
      <c r="C4" s="2">
        <v>569153</v>
      </c>
      <c r="D4" s="13" t="s">
        <v>73</v>
      </c>
      <c r="E4" s="5"/>
    </row>
    <row r="5" spans="1:6" x14ac:dyDescent="0.25">
      <c r="A5" s="24"/>
      <c r="B5" s="1"/>
      <c r="C5" s="2"/>
      <c r="D5" s="13"/>
      <c r="E5" s="5"/>
    </row>
    <row r="6" spans="1:6" x14ac:dyDescent="0.25">
      <c r="A6" s="24"/>
      <c r="B6" s="1"/>
      <c r="C6" s="2"/>
      <c r="D6" s="13"/>
      <c r="E6" s="5"/>
    </row>
    <row r="7" spans="1:6" x14ac:dyDescent="0.25">
      <c r="A7" s="25"/>
      <c r="B7" s="3"/>
      <c r="C7" s="4">
        <f>SUM(C3:C6)</f>
        <v>1452855</v>
      </c>
      <c r="E7" s="5">
        <f>C7/975.8</f>
        <v>1488.8860422217667</v>
      </c>
    </row>
    <row r="9" spans="1:6" x14ac:dyDescent="0.25">
      <c r="A9" s="26" t="s">
        <v>0</v>
      </c>
      <c r="B9" s="1" t="s">
        <v>71</v>
      </c>
      <c r="C9" s="2">
        <v>1159814</v>
      </c>
      <c r="D9" s="13" t="s">
        <v>73</v>
      </c>
    </row>
    <row r="10" spans="1:6" x14ac:dyDescent="0.25">
      <c r="A10" s="27"/>
      <c r="B10" s="1"/>
      <c r="C10" s="2"/>
      <c r="D10" s="13"/>
    </row>
    <row r="11" spans="1:6" x14ac:dyDescent="0.25">
      <c r="A11" s="27"/>
      <c r="B11" s="1"/>
      <c r="C11" s="1"/>
      <c r="D11" s="13"/>
    </row>
    <row r="12" spans="1:6" x14ac:dyDescent="0.25">
      <c r="A12" s="28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25">
      <c r="A14" s="23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25">
      <c r="A15" s="24"/>
      <c r="B15" s="1"/>
      <c r="C15" s="2"/>
      <c r="F15" t="s">
        <v>53</v>
      </c>
    </row>
    <row r="16" spans="1:6" x14ac:dyDescent="0.25">
      <c r="A16" s="24"/>
      <c r="B16" s="1"/>
      <c r="C16" s="2"/>
      <c r="D16" s="13"/>
      <c r="F16" t="s">
        <v>54</v>
      </c>
    </row>
    <row r="17" spans="1:6" x14ac:dyDescent="0.25">
      <c r="A17" s="24"/>
      <c r="B17" s="1"/>
      <c r="C17" s="2"/>
      <c r="D17" s="13"/>
    </row>
    <row r="18" spans="1:6" x14ac:dyDescent="0.25">
      <c r="A18" s="24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25">
      <c r="A19" s="24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25">
      <c r="A20" s="24"/>
      <c r="B20" s="1" t="s">
        <v>50</v>
      </c>
      <c r="C20" s="2">
        <v>190059</v>
      </c>
      <c r="D20" s="13" t="s">
        <v>59</v>
      </c>
    </row>
    <row r="21" spans="1:6" x14ac:dyDescent="0.25">
      <c r="A21" s="25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25">
      <c r="D22" s="13"/>
    </row>
    <row r="23" spans="1:6" x14ac:dyDescent="0.25">
      <c r="A23" s="23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25">
      <c r="A24" s="24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25">
      <c r="A25" s="24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25">
      <c r="A26" s="24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25">
      <c r="A27" s="25"/>
      <c r="B27" s="3"/>
      <c r="C27" s="4">
        <f>SUM(C23:C26)</f>
        <v>255000</v>
      </c>
      <c r="E27" s="5">
        <f>C27/975.8</f>
        <v>261.32404181184671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0" spans="1:6" x14ac:dyDescent="0.25">
      <c r="C30" t="s">
        <v>48</v>
      </c>
      <c r="E30" t="s">
        <v>49</v>
      </c>
    </row>
    <row r="31" spans="1:6" x14ac:dyDescent="0.25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25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25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25">
      <c r="C35" t="s">
        <v>81</v>
      </c>
      <c r="D35" s="21" t="s">
        <v>82</v>
      </c>
      <c r="F35" s="20" t="s">
        <v>51</v>
      </c>
    </row>
    <row r="37" spans="2:6" x14ac:dyDescent="0.25">
      <c r="C37" s="12">
        <f>+C33+Febrero!C28+Enero!C33</f>
        <v>9086983.9900000002</v>
      </c>
      <c r="E37" s="5">
        <f>+E33+Febrero!E28+Enero!E33</f>
        <v>9377.5555555169776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dimension ref="A1:H31"/>
  <sheetViews>
    <sheetView topLeftCell="B16" workbookViewId="0">
      <selection activeCell="F31" sqref="F31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38.42578125" customWidth="1"/>
    <col min="7" max="7" width="36.28515625" customWidth="1"/>
    <col min="8" max="8" width="37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23" t="s">
        <v>2</v>
      </c>
      <c r="B3" s="1" t="s">
        <v>30</v>
      </c>
      <c r="C3" s="2">
        <v>930834</v>
      </c>
      <c r="D3" s="14" t="s">
        <v>83</v>
      </c>
      <c r="E3" s="5"/>
    </row>
    <row r="4" spans="1:7" x14ac:dyDescent="0.25">
      <c r="A4" s="24"/>
      <c r="B4" s="1" t="s">
        <v>31</v>
      </c>
      <c r="C4" s="2">
        <v>532106</v>
      </c>
      <c r="D4" s="13" t="s">
        <v>89</v>
      </c>
      <c r="E4" s="5"/>
    </row>
    <row r="5" spans="1:7" x14ac:dyDescent="0.25">
      <c r="A5" s="24"/>
      <c r="B5" s="1"/>
      <c r="C5" s="2"/>
      <c r="D5" s="13"/>
      <c r="E5" s="5"/>
    </row>
    <row r="6" spans="1:7" x14ac:dyDescent="0.25">
      <c r="A6" s="25"/>
      <c r="B6" s="3"/>
      <c r="C6" s="4">
        <f>SUM(C3:C5)</f>
        <v>1462940</v>
      </c>
      <c r="E6" s="5">
        <f>C6/940.18</f>
        <v>1556.021187432194</v>
      </c>
    </row>
    <row r="8" spans="1:7" x14ac:dyDescent="0.25">
      <c r="A8" s="26" t="s">
        <v>0</v>
      </c>
      <c r="B8" s="1" t="s">
        <v>71</v>
      </c>
      <c r="C8" s="2">
        <v>1243306</v>
      </c>
      <c r="D8" s="13" t="s">
        <v>89</v>
      </c>
    </row>
    <row r="9" spans="1:7" x14ac:dyDescent="0.25">
      <c r="A9" s="27"/>
      <c r="B9" s="1"/>
      <c r="C9" s="2"/>
      <c r="D9" s="13"/>
    </row>
    <row r="10" spans="1:7" x14ac:dyDescent="0.25">
      <c r="A10" s="27"/>
      <c r="B10" s="1"/>
      <c r="C10" s="1"/>
      <c r="D10" s="13"/>
    </row>
    <row r="11" spans="1:7" x14ac:dyDescent="0.25">
      <c r="A11" s="28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25">
      <c r="A13" s="23" t="s">
        <v>1</v>
      </c>
      <c r="B13" s="1" t="s">
        <v>100</v>
      </c>
      <c r="C13" s="2">
        <v>150000</v>
      </c>
      <c r="D13" s="13" t="s">
        <v>85</v>
      </c>
      <c r="F13" t="s">
        <v>97</v>
      </c>
      <c r="G13" t="s">
        <v>98</v>
      </c>
    </row>
    <row r="14" spans="1:7" x14ac:dyDescent="0.25">
      <c r="A14" s="24"/>
      <c r="B14" s="1" t="s">
        <v>75</v>
      </c>
      <c r="C14" s="2">
        <v>409357</v>
      </c>
      <c r="D14" s="13" t="s">
        <v>84</v>
      </c>
      <c r="F14" t="s">
        <v>94</v>
      </c>
    </row>
    <row r="15" spans="1:7" x14ac:dyDescent="0.25">
      <c r="A15" s="24"/>
      <c r="B15" s="1" t="s">
        <v>50</v>
      </c>
      <c r="C15" s="2">
        <v>102339</v>
      </c>
      <c r="D15" s="13" t="s">
        <v>84</v>
      </c>
    </row>
    <row r="16" spans="1:7" x14ac:dyDescent="0.25">
      <c r="A16" s="25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25">
      <c r="C17" s="12"/>
      <c r="D17" s="13"/>
    </row>
    <row r="18" spans="1:8" x14ac:dyDescent="0.25">
      <c r="A18" s="23" t="s">
        <v>5</v>
      </c>
      <c r="B18" s="1" t="s">
        <v>63</v>
      </c>
      <c r="C18" s="2">
        <v>240000</v>
      </c>
      <c r="D18" s="13" t="s">
        <v>88</v>
      </c>
      <c r="F18" t="s">
        <v>95</v>
      </c>
      <c r="G18" t="s">
        <v>96</v>
      </c>
      <c r="H18" t="s">
        <v>97</v>
      </c>
    </row>
    <row r="19" spans="1:8" x14ac:dyDescent="0.25">
      <c r="A19" s="24"/>
      <c r="B19" s="1" t="s">
        <v>101</v>
      </c>
      <c r="C19" s="2">
        <v>80000</v>
      </c>
      <c r="D19" s="13" t="s">
        <v>88</v>
      </c>
      <c r="F19" t="s">
        <v>94</v>
      </c>
    </row>
    <row r="20" spans="1:8" x14ac:dyDescent="0.25">
      <c r="A20" s="24"/>
      <c r="B20" s="1" t="s">
        <v>90</v>
      </c>
      <c r="C20" s="2">
        <v>20000</v>
      </c>
      <c r="D20" s="13" t="s">
        <v>91</v>
      </c>
      <c r="F20" t="s">
        <v>99</v>
      </c>
    </row>
    <row r="21" spans="1:8" x14ac:dyDescent="0.25">
      <c r="A21" s="24"/>
      <c r="B21" s="1" t="s">
        <v>87</v>
      </c>
      <c r="C21" s="2">
        <v>66166</v>
      </c>
      <c r="D21" s="13" t="s">
        <v>86</v>
      </c>
      <c r="F21" t="s">
        <v>99</v>
      </c>
    </row>
    <row r="22" spans="1:8" x14ac:dyDescent="0.25">
      <c r="A22" s="25"/>
      <c r="B22" s="3"/>
      <c r="C22" s="4">
        <f>SUM(C18:C21)</f>
        <v>406166</v>
      </c>
      <c r="E22" s="5">
        <f>C22/940.18</f>
        <v>432.00876427918058</v>
      </c>
    </row>
    <row r="23" spans="1:8" x14ac:dyDescent="0.25">
      <c r="A23" s="10"/>
      <c r="C23" s="11"/>
      <c r="E23" s="5"/>
    </row>
    <row r="24" spans="1:8" x14ac:dyDescent="0.25">
      <c r="A24" s="10"/>
      <c r="C24" s="11"/>
      <c r="E24" s="5"/>
    </row>
    <row r="25" spans="1:8" x14ac:dyDescent="0.25">
      <c r="C25" t="s">
        <v>48</v>
      </c>
      <c r="E25" t="s">
        <v>49</v>
      </c>
    </row>
    <row r="26" spans="1:8" x14ac:dyDescent="0.25">
      <c r="B26" s="6" t="s">
        <v>102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25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25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25">
      <c r="C31" t="s">
        <v>106</v>
      </c>
      <c r="D31" s="21" t="s">
        <v>107</v>
      </c>
      <c r="F31" t="s">
        <v>108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dimension ref="A1:G30"/>
  <sheetViews>
    <sheetView workbookViewId="0">
      <selection activeCell="D33" sqref="D33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38.42578125" customWidth="1"/>
    <col min="7" max="7" width="36.28515625" customWidth="1"/>
    <col min="8" max="8" width="37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3" t="s">
        <v>2</v>
      </c>
      <c r="B3" s="1" t="s">
        <v>30</v>
      </c>
      <c r="C3" s="2">
        <v>900000</v>
      </c>
      <c r="D3" s="14"/>
      <c r="E3" s="5"/>
    </row>
    <row r="4" spans="1:6" x14ac:dyDescent="0.25">
      <c r="A4" s="24"/>
      <c r="B4" s="1" t="s">
        <v>31</v>
      </c>
      <c r="C4" s="2">
        <v>560000</v>
      </c>
      <c r="D4" s="13"/>
      <c r="E4" s="5"/>
    </row>
    <row r="5" spans="1:6" x14ac:dyDescent="0.25">
      <c r="A5" s="24"/>
      <c r="B5" s="1"/>
      <c r="C5" s="2"/>
      <c r="D5" s="13"/>
      <c r="E5" s="5"/>
    </row>
    <row r="6" spans="1:6" x14ac:dyDescent="0.25">
      <c r="A6" s="25"/>
      <c r="B6" s="3"/>
      <c r="C6" s="4">
        <f>SUM(C3:C5)</f>
        <v>1460000</v>
      </c>
      <c r="E6" s="5">
        <f>C6/940.18</f>
        <v>1552.8941266565978</v>
      </c>
    </row>
    <row r="8" spans="1:6" x14ac:dyDescent="0.25">
      <c r="A8" s="26" t="s">
        <v>0</v>
      </c>
      <c r="B8" s="1" t="s">
        <v>71</v>
      </c>
      <c r="C8" s="2">
        <v>1260000</v>
      </c>
      <c r="D8" s="13"/>
    </row>
    <row r="9" spans="1:6" x14ac:dyDescent="0.25">
      <c r="A9" s="27"/>
      <c r="B9" s="1"/>
      <c r="C9" s="2"/>
      <c r="D9" s="13"/>
    </row>
    <row r="10" spans="1:6" x14ac:dyDescent="0.25">
      <c r="A10" s="27"/>
      <c r="B10" s="1"/>
      <c r="C10" s="1"/>
      <c r="D10" s="13"/>
    </row>
    <row r="11" spans="1:6" x14ac:dyDescent="0.25">
      <c r="A11" s="28"/>
      <c r="B11" s="3"/>
      <c r="C11" s="4">
        <f>SUM(C8:C10)</f>
        <v>1260000</v>
      </c>
      <c r="D11" s="12"/>
      <c r="E11" s="5">
        <f>C11/940.18</f>
        <v>1340.1689038269269</v>
      </c>
    </row>
    <row r="13" spans="1:6" x14ac:dyDescent="0.25">
      <c r="A13" s="23" t="s">
        <v>1</v>
      </c>
      <c r="B13" s="1" t="s">
        <v>100</v>
      </c>
      <c r="C13" s="2">
        <v>150000</v>
      </c>
      <c r="D13" s="13"/>
    </row>
    <row r="14" spans="1:6" x14ac:dyDescent="0.25">
      <c r="A14" s="24"/>
      <c r="B14" s="1" t="s">
        <v>75</v>
      </c>
      <c r="C14" s="2">
        <v>150000</v>
      </c>
      <c r="D14" s="13"/>
    </row>
    <row r="15" spans="1:6" x14ac:dyDescent="0.25">
      <c r="A15" s="24"/>
      <c r="B15" s="1" t="s">
        <v>76</v>
      </c>
      <c r="C15" s="2">
        <v>350000</v>
      </c>
      <c r="D15" s="13"/>
    </row>
    <row r="16" spans="1:6" x14ac:dyDescent="0.25">
      <c r="A16" s="25"/>
      <c r="B16" s="3"/>
      <c r="C16" s="4">
        <f>SUM(C13:C15)</f>
        <v>650000</v>
      </c>
      <c r="D16" s="13"/>
      <c r="E16" s="5">
        <f>C16/940.18</f>
        <v>691.35697419643054</v>
      </c>
    </row>
    <row r="17" spans="1:7" x14ac:dyDescent="0.25">
      <c r="C17" s="12"/>
      <c r="D17" s="13"/>
    </row>
    <row r="18" spans="1:7" x14ac:dyDescent="0.25">
      <c r="A18" s="23" t="s">
        <v>5</v>
      </c>
      <c r="B18" s="1" t="s">
        <v>103</v>
      </c>
      <c r="C18" s="2">
        <v>320000</v>
      </c>
      <c r="D18" s="13"/>
    </row>
    <row r="19" spans="1:7" x14ac:dyDescent="0.25">
      <c r="A19" s="24"/>
      <c r="B19" s="1" t="s">
        <v>104</v>
      </c>
      <c r="C19" s="2">
        <v>25000</v>
      </c>
      <c r="D19" s="13"/>
    </row>
    <row r="20" spans="1:7" x14ac:dyDescent="0.25">
      <c r="A20" s="24"/>
      <c r="B20" s="1" t="s">
        <v>105</v>
      </c>
      <c r="C20" s="2">
        <v>30000</v>
      </c>
      <c r="D20" s="13"/>
    </row>
    <row r="21" spans="1:7" x14ac:dyDescent="0.25">
      <c r="A21" s="25"/>
      <c r="B21" s="3"/>
      <c r="C21" s="4">
        <f>SUM(C18:C20)</f>
        <v>375000</v>
      </c>
      <c r="E21" s="5">
        <f>C21/940.18</f>
        <v>398.85979280563299</v>
      </c>
    </row>
    <row r="22" spans="1:7" x14ac:dyDescent="0.25">
      <c r="A22" s="10"/>
      <c r="C22" s="11"/>
      <c r="E22" s="5"/>
    </row>
    <row r="23" spans="1:7" x14ac:dyDescent="0.25">
      <c r="A23" s="10"/>
      <c r="C23" s="11"/>
      <c r="E23" s="5"/>
    </row>
    <row r="24" spans="1:7" x14ac:dyDescent="0.25">
      <c r="C24" t="s">
        <v>48</v>
      </c>
      <c r="E24" t="s">
        <v>49</v>
      </c>
    </row>
    <row r="25" spans="1:7" x14ac:dyDescent="0.25">
      <c r="B25" s="6" t="s">
        <v>102</v>
      </c>
      <c r="C25" s="7">
        <f>SUM(C6+C11+C16+C21)</f>
        <v>3745000</v>
      </c>
      <c r="E25" s="22">
        <f>C25/940.18</f>
        <v>3983.279797485588</v>
      </c>
      <c r="G25" s="12"/>
    </row>
    <row r="26" spans="1:7" x14ac:dyDescent="0.25">
      <c r="B26" t="s">
        <v>34</v>
      </c>
      <c r="C26" s="16">
        <f>C25*19/100</f>
        <v>711550</v>
      </c>
      <c r="E26" s="5">
        <f>C26/940.18</f>
        <v>756.82316152226178</v>
      </c>
    </row>
    <row r="27" spans="1:7" x14ac:dyDescent="0.25">
      <c r="B27" t="s">
        <v>35</v>
      </c>
      <c r="C27" s="7">
        <f>SUM(C25:C26)</f>
        <v>4456550</v>
      </c>
      <c r="E27" s="22">
        <f>C27/940.18</f>
        <v>4740.1029590078497</v>
      </c>
    </row>
    <row r="30" spans="1:7" x14ac:dyDescent="0.25">
      <c r="C30" t="s">
        <v>92</v>
      </c>
      <c r="D30" s="21" t="s">
        <v>93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07368-322F-427A-857D-154FF4421B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2B0F1B-BBD0-4DA5-8F5E-22C1AFB17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BEB268-C00D-4509-91C8-1BD264BBB05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</vt:lpstr>
      <vt:lpstr>Febrero</vt:lpstr>
      <vt:lpstr>Marzo</vt:lpstr>
      <vt:lpstr>Abril</vt:lpstr>
      <vt:lpstr>estimadoMayo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2025-05-13T21:59:31Z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