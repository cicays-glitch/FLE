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heme/theme1.xml" ContentType="application/vnd.openxmlformats-officedocument.theme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FLEXI/MKT/"/>
    </mc:Choice>
  </mc:AlternateContent>
  <xr:revisionPtr revIDLastSave="0" documentId="8_{10EC3497-C47C-40DB-817E-F83990036F4D}" xr6:coauthVersionLast="47" xr6:coauthVersionMax="47" xr10:uidLastSave="{00000000-0000-0000-0000-000000000000}"/>
  <bookViews>
    <workbookView xWindow="-120" yWindow="-120" windowWidth="20730" windowHeight="11040" xr2:uid="{BE9FF570-DCA0-4F70-9CDA-24D795643048}"/>
  </bookViews>
  <sheets>
    <sheet name="enero" sheetId="2" r:id="rId1"/>
    <sheet name="febrero" sheetId="1" r:id="rId2"/>
    <sheet name="marzo" sheetId="3" r:id="rId3"/>
    <sheet name="abr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4" l="1"/>
  <c r="T9" i="3"/>
  <c r="S9" i="4" l="1"/>
  <c r="T10" i="3"/>
  <c r="S8" i="3" s="1"/>
  <c r="S10" i="1"/>
  <c r="T12" i="1"/>
  <c r="T11" i="1"/>
  <c r="N27" i="2"/>
</calcChain>
</file>

<file path=xl/sharedStrings.xml><?xml version="1.0" encoding="utf-8"?>
<sst xmlns="http://schemas.openxmlformats.org/spreadsheetml/2006/main" count="111" uniqueCount="36">
  <si>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</si>
  <si>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</si>
  <si>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</si>
  <si>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</si>
  <si>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</si>
  <si>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</si>
  <si>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</si>
  <si>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</si>
  <si>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</si>
  <si>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</si>
  <si>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</si>
  <si>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</si>
  <si>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</si>
  <si>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</si>
  <si>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</si>
  <si>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</si>
  <si>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NETO</t>
  </si>
  <si>
    <t>COSTO VENTA</t>
  </si>
  <si>
    <t>MARGEN</t>
  </si>
  <si>
    <t>BODEGA CENTRAL</t>
  </si>
  <si>
    <t>0</t>
  </si>
  <si>
    <t>CODIGO GLOSA</t>
  </si>
  <si>
    <t>GLOSA</t>
  </si>
  <si>
    <t>GENERICO</t>
  </si>
  <si>
    <t>10/02/2025</t>
  </si>
  <si>
    <t>FV</t>
  </si>
  <si>
    <t>12/02/2025</t>
  </si>
  <si>
    <t>13/02/2025</t>
  </si>
  <si>
    <t>CONCEPTO</t>
  </si>
  <si>
    <t>04/03/2025</t>
  </si>
  <si>
    <t>APORTE MEXICO MKT</t>
  </si>
  <si>
    <t>comercial eccsa</t>
  </si>
  <si>
    <t>Distrib. Flexi de CV</t>
  </si>
  <si>
    <t>CLIENTES</t>
  </si>
  <si>
    <t xml:space="preserve">VENTAS </t>
  </si>
  <si>
    <t>IVA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</si>
</sst>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42" fontId="2" fillId="2" borderId="2" xfId="2" applyFont="1" applyFill="1" applyBorder="1"/>
    <xf numFmtId="0" fontId="2" fillId="0" borderId="0" xfId="0" applyFont="1"/>
    <xf numFmtId="42" fontId="2" fillId="0" borderId="0" xfId="2" applyFont="1" applyBorder="1"/>
    <xf numFmtId="42" fontId="0" fillId="0" borderId="0" xfId="2" applyFont="1"/>
    <xf numFmtId="0" fontId="2" fillId="3" borderId="1" xfId="0" applyFont="1" applyFill="1" applyBorder="1"/>
    <xf numFmtId="0" fontId="2" fillId="2" borderId="2" xfId="0" applyFont="1" applyFill="1" applyBorder="1"/>
    <xf numFmtId="0" fontId="2" fillId="3" borderId="0" xfId="0" applyFont="1" applyFill="1"/>
    <xf numFmtId="0" fontId="2" fillId="2" borderId="0" xfId="0" applyFont="1" applyFill="1"/>
    <xf numFmtId="0" fontId="0" fillId="0" borderId="0" xfId="0" quotePrefix="1"/>
    <xf numFmtId="3" fontId="0" fillId="0" borderId="0" xfId="0" applyNumberFormat="1"/>
    <xf numFmtId="42" fontId="0" fillId="0" borderId="0" xfId="0" applyNumberFormat="1"/>
    <xf numFmtId="41" fontId="0" fillId="0" borderId="0" xfId="1" applyFont="1"/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639859</xdr:colOff>
      <xdr:row>8</xdr:row>
      <xdr:rowOff>9739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7E7FBF-02EF-ACF6-B4EA-D7A19D7FC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69859" cy="15337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15</xdr:col>
      <xdr:colOff>611280</xdr:colOff>
      <xdr:row>16</xdr:row>
      <xdr:rowOff>181160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E6E188-2F7B-EAB2-EA4C-596DC0C9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0"/>
          <a:ext cx="12041280" cy="1324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10</xdr:col>
      <xdr:colOff>459385</xdr:colOff>
      <xdr:row>47</xdr:row>
      <xdr:rowOff>95822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ACFBC5-1FC9-4431-AA9B-75AE8DA4D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953000"/>
          <a:ext cx="8079385" cy="4096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66675</xdr:rowOff>
    </xdr:from>
    <xdr:to>
      <xdr:col>15</xdr:col>
      <xdr:colOff>647700</xdr:colOff>
      <xdr:row>25</xdr:row>
      <xdr:rowOff>8050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602D463-DDF1-6413-6BF8-13C87EE3E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86175"/>
          <a:ext cx="12077700" cy="108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14</xdr:col>
      <xdr:colOff>649279</xdr:colOff>
      <xdr:row>15</xdr:row>
      <xdr:rowOff>66897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BB3EA4-7408-5CDB-2595-59054E624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11317279" cy="15908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152400</xdr:rowOff>
    </xdr:from>
    <xdr:to>
      <xdr:col>14</xdr:col>
      <xdr:colOff>561975</xdr:colOff>
      <xdr:row>22</xdr:row>
      <xdr:rowOff>99660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6492A3-DD98-C4A5-50C2-B19F9D26F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9900"/>
          <a:ext cx="11229975" cy="1280760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12</xdr:row>
      <xdr:rowOff>57862</xdr:rowOff>
    </xdr:from>
    <xdr:to>
      <xdr:col>22</xdr:col>
      <xdr:colOff>525013</xdr:colOff>
      <xdr:row>27</xdr:row>
      <xdr:rowOff>38626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24D767E-2B08-C6DE-B451-84C2AC90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06200" y="2343862"/>
          <a:ext cx="6135238" cy="2838264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27</xdr:row>
      <xdr:rowOff>97390</xdr:rowOff>
    </xdr:from>
    <xdr:to>
      <xdr:col>21</xdr:col>
      <xdr:colOff>515492</xdr:colOff>
      <xdr:row>37</xdr:row>
      <xdr:rowOff>86132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2E02EB-7252-E14F-52CD-7561BDF83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3825" y="5240890"/>
          <a:ext cx="5316092" cy="1893742"/>
        </a:xfrm>
        <a:prstGeom prst="rect">
          <a:avLst/>
        </a:prstGeom>
      </xdr:spPr>
    </xdr:pic>
    <xdr:clientData/>
  </xdr:twoCellAnchor>
  <xdr:twoCellAnchor editAs="oneCell">
    <xdr:from>
      <xdr:col>7</xdr:col>
      <xdr:colOff>383492</xdr:colOff>
      <xdr:row>21</xdr:row>
      <xdr:rowOff>123825</xdr:rowOff>
    </xdr:from>
    <xdr:to>
      <xdr:col>14</xdr:col>
      <xdr:colOff>696555</xdr:colOff>
      <xdr:row>36</xdr:row>
      <xdr:rowOff>19650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31D4DEB-40A1-B7A7-3946-DF6488F46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7492" y="4124325"/>
          <a:ext cx="5647063" cy="2753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14</xdr:col>
      <xdr:colOff>706437</xdr:colOff>
      <xdr:row>13</xdr:row>
      <xdr:rowOff>114502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A36AEB-6E49-798B-2A43-6FA8713C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11374437" cy="1448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14</xdr:col>
      <xdr:colOff>695325</xdr:colOff>
      <xdr:row>20</xdr:row>
      <xdr:rowOff>99005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072CBB-9131-FA2E-E234-3293BFA92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11363325" cy="1051505"/>
        </a:xfrm>
        <a:prstGeom prst="rect">
          <a:avLst/>
        </a:prstGeom>
      </xdr:spPr>
    </xdr:pic>
    <xdr:clientData/>
  </xdr:twoCellAnchor>
  <xdr:twoCellAnchor editAs="oneCell">
    <xdr:from>
      <xdr:col>14</xdr:col>
      <xdr:colOff>704850</xdr:colOff>
      <xdr:row>10</xdr:row>
      <xdr:rowOff>19050</xdr:rowOff>
    </xdr:from>
    <xdr:to>
      <xdr:col>23</xdr:col>
      <xdr:colOff>39222</xdr:colOff>
      <xdr:row>28</xdr:row>
      <xdr:rowOff>82431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6E58709-36D4-E0A7-345E-ACF806FF2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2850" y="1924050"/>
          <a:ext cx="6192372" cy="3492381"/>
        </a:xfrm>
        <a:prstGeom prst="rect">
          <a:avLst/>
        </a:prstGeom>
      </xdr:spPr>
    </xdr:pic>
    <xdr:clientData/>
  </xdr:twoCellAnchor>
  <xdr:twoCellAnchor editAs="oneCell">
    <xdr:from>
      <xdr:col>7</xdr:col>
      <xdr:colOff>87995</xdr:colOff>
      <xdr:row>20</xdr:row>
      <xdr:rowOff>28576</xdr:rowOff>
    </xdr:from>
    <xdr:to>
      <xdr:col>14</xdr:col>
      <xdr:colOff>563124</xdr:colOff>
      <xdr:row>30</xdr:row>
      <xdr:rowOff>180976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025F463-FC78-3301-0098-A1A1CC0AE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1995" y="3838576"/>
          <a:ext cx="5809129" cy="2057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735908</xdr:colOff>
      <xdr:row>7</xdr:row>
      <xdr:rowOff>9524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EFF701-BD8A-ABEB-9FF6-CE70729FC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27908" cy="13430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8</xdr:row>
      <xdr:rowOff>66675</xdr:rowOff>
    </xdr:from>
    <xdr:to>
      <xdr:col>15</xdr:col>
      <xdr:colOff>496960</xdr:colOff>
      <xdr:row>16</xdr:row>
      <xdr:rowOff>114519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4A72B8-8F29-347E-2FDB-76BE8F9BF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1590675"/>
          <a:ext cx="11898385" cy="1571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85725</xdr:rowOff>
    </xdr:from>
    <xdr:to>
      <xdr:col>15</xdr:col>
      <xdr:colOff>419100</xdr:colOff>
      <xdr:row>23</xdr:row>
      <xdr:rowOff>59873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1950EB0-6B2A-7CDA-6860-1EECC7C5E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24225"/>
          <a:ext cx="11849100" cy="1117148"/>
        </a:xfrm>
        <a:prstGeom prst="rect">
          <a:avLst/>
        </a:prstGeom>
      </xdr:spPr>
    </xdr:pic>
    <xdr:clientData/>
  </xdr:twoCellAnchor>
  <xdr:twoCellAnchor editAs="oneCell">
    <xdr:from>
      <xdr:col>15</xdr:col>
      <xdr:colOff>523875</xdr:colOff>
      <xdr:row>12</xdr:row>
      <xdr:rowOff>25916</xdr:rowOff>
    </xdr:from>
    <xdr:to>
      <xdr:col>23</xdr:col>
      <xdr:colOff>448809</xdr:colOff>
      <xdr:row>24</xdr:row>
      <xdr:rowOff>48059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F73581-CCCA-A830-9C9C-E34B9A5BC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53875" y="2311916"/>
          <a:ext cx="6020934" cy="2308143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23</xdr:row>
      <xdr:rowOff>38100</xdr:rowOff>
    </xdr:from>
    <xdr:to>
      <xdr:col>15</xdr:col>
      <xdr:colOff>648835</xdr:colOff>
      <xdr:row>35</xdr:row>
      <xdr:rowOff>76899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1B34E4-1318-85F5-8D57-8908602F7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38775" y="4419600"/>
          <a:ext cx="6640060" cy="2324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003E-F669-48A9-B013-1AD754C6B87A}">
  <dimension ref="N6:Q27"/>
  <sheetViews>
    <sheetView tabSelected="1" workbookViewId="0">
      <selection activeCell="Q23" sqref="Q23"/>
    </sheetView>
  </sheetViews>
  <sheetFormatPr baseColWidth="10" defaultRowHeight="15" x14ac:dyDescent="0.25"/>
  <sheetData>
    <row r="6" spans="17:17" x14ac:dyDescent="0.25">
      <c r="Q6" s="13">
        <v>224939</v>
      </c>
    </row>
    <row r="23" spans="14:17" x14ac:dyDescent="0.25">
      <c r="Q23" t="s">
        <v>31</v>
      </c>
    </row>
    <row r="24" spans="14:17" x14ac:dyDescent="0.25">
      <c r="Q24" t="s">
        <v>31</v>
      </c>
    </row>
    <row r="27" spans="14:17" x14ac:dyDescent="0.25">
      <c r="N27" s="13">
        <f>89223+135716</f>
        <v>224939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6646-69C8-4509-8BF8-D11637A0AF86}">
  <dimension ref="A1:T12"/>
  <sheetViews>
    <sheetView workbookViewId="0">
      <selection activeCell="N39" sqref="N39"/>
    </sheetView>
  </sheetViews>
  <sheetFormatPr baseColWidth="10" defaultRowHeight="15" x14ac:dyDescent="0.25"/>
  <cols>
    <col min="19" max="19" width="13.5703125" bestFit="1" customWidth="1"/>
    <col min="20" max="20" width="14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</row>
    <row r="2" spans="1:2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5"/>
      <c r="S2" s="5"/>
    </row>
    <row r="3" spans="1:20" x14ac:dyDescent="0.25">
      <c r="A3">
        <v>300</v>
      </c>
      <c r="B3" t="s">
        <v>19</v>
      </c>
      <c r="C3">
        <v>999999</v>
      </c>
      <c r="D3" t="s">
        <v>20</v>
      </c>
      <c r="E3" t="s">
        <v>21</v>
      </c>
      <c r="F3" t="s">
        <v>22</v>
      </c>
      <c r="G3" t="s">
        <v>22</v>
      </c>
      <c r="H3" t="s">
        <v>22</v>
      </c>
      <c r="I3" t="s">
        <v>23</v>
      </c>
      <c r="J3" t="s">
        <v>22</v>
      </c>
      <c r="K3" t="s">
        <v>24</v>
      </c>
      <c r="L3" t="s">
        <v>25</v>
      </c>
      <c r="M3">
        <v>611</v>
      </c>
      <c r="N3">
        <v>1</v>
      </c>
      <c r="O3">
        <v>2399364</v>
      </c>
      <c r="P3">
        <v>1</v>
      </c>
      <c r="Q3" s="5">
        <v>2016272.2689075631</v>
      </c>
      <c r="R3" s="5">
        <v>1</v>
      </c>
      <c r="S3" s="5">
        <v>2016271.2689075631</v>
      </c>
      <c r="T3" t="s">
        <v>32</v>
      </c>
    </row>
    <row r="4" spans="1:20" x14ac:dyDescent="0.25">
      <c r="A4">
        <v>300</v>
      </c>
      <c r="B4" t="s">
        <v>19</v>
      </c>
      <c r="C4">
        <v>999999</v>
      </c>
      <c r="D4" t="s">
        <v>20</v>
      </c>
      <c r="E4" t="s">
        <v>21</v>
      </c>
      <c r="F4" t="s">
        <v>22</v>
      </c>
      <c r="G4" t="s">
        <v>22</v>
      </c>
      <c r="H4" t="s">
        <v>22</v>
      </c>
      <c r="I4" t="s">
        <v>23</v>
      </c>
      <c r="J4" t="s">
        <v>22</v>
      </c>
      <c r="K4" t="s">
        <v>26</v>
      </c>
      <c r="L4" t="s">
        <v>25</v>
      </c>
      <c r="M4">
        <v>612</v>
      </c>
      <c r="N4">
        <v>1</v>
      </c>
      <c r="O4">
        <v>355150</v>
      </c>
      <c r="P4">
        <v>1</v>
      </c>
      <c r="Q4" s="5">
        <v>298445.37815126049</v>
      </c>
      <c r="R4" s="5">
        <v>1</v>
      </c>
      <c r="S4" s="5">
        <v>298444.37815126049</v>
      </c>
      <c r="T4" t="s">
        <v>31</v>
      </c>
    </row>
    <row r="5" spans="1:20" x14ac:dyDescent="0.25">
      <c r="A5">
        <v>300</v>
      </c>
      <c r="B5" t="s">
        <v>19</v>
      </c>
      <c r="C5">
        <v>999999</v>
      </c>
      <c r="D5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23</v>
      </c>
      <c r="J5" t="s">
        <v>22</v>
      </c>
      <c r="K5" t="s">
        <v>27</v>
      </c>
      <c r="L5" t="s">
        <v>25</v>
      </c>
      <c r="M5">
        <v>613</v>
      </c>
      <c r="N5">
        <v>1</v>
      </c>
      <c r="O5">
        <v>127422</v>
      </c>
      <c r="P5">
        <v>1</v>
      </c>
      <c r="Q5" s="5">
        <v>107077.31092436975</v>
      </c>
      <c r="R5" s="5">
        <v>1</v>
      </c>
      <c r="S5" s="5">
        <v>107076.31092436975</v>
      </c>
      <c r="T5" t="s">
        <v>31</v>
      </c>
    </row>
    <row r="6" spans="1:20" x14ac:dyDescent="0.25">
      <c r="A6">
        <v>300</v>
      </c>
      <c r="B6" t="s">
        <v>19</v>
      </c>
      <c r="C6">
        <v>999999</v>
      </c>
      <c r="D6" t="s">
        <v>20</v>
      </c>
      <c r="E6" t="s">
        <v>21</v>
      </c>
      <c r="F6" t="s">
        <v>22</v>
      </c>
      <c r="G6" t="s">
        <v>22</v>
      </c>
      <c r="H6" t="s">
        <v>22</v>
      </c>
      <c r="I6" t="s">
        <v>23</v>
      </c>
      <c r="J6" t="s">
        <v>22</v>
      </c>
      <c r="K6" t="s">
        <v>27</v>
      </c>
      <c r="L6" t="s">
        <v>25</v>
      </c>
      <c r="M6">
        <v>616</v>
      </c>
      <c r="N6">
        <v>1</v>
      </c>
      <c r="O6">
        <v>110690</v>
      </c>
      <c r="P6">
        <v>1</v>
      </c>
      <c r="Q6" s="5">
        <v>93016.806722689085</v>
      </c>
      <c r="R6" s="5">
        <v>1</v>
      </c>
      <c r="S6" s="5">
        <v>93015.806722689085</v>
      </c>
      <c r="T6" t="s">
        <v>31</v>
      </c>
    </row>
    <row r="10" spans="1:20" x14ac:dyDescent="0.25">
      <c r="R10" t="s">
        <v>33</v>
      </c>
      <c r="S10" s="13">
        <f>+T11+T12</f>
        <v>2399364</v>
      </c>
    </row>
    <row r="11" spans="1:20" x14ac:dyDescent="0.25">
      <c r="R11" t="s">
        <v>34</v>
      </c>
      <c r="T11" s="13">
        <f>+Q3</f>
        <v>2016272.2689075631</v>
      </c>
    </row>
    <row r="12" spans="1:20" x14ac:dyDescent="0.25">
      <c r="R12" t="s">
        <v>35</v>
      </c>
      <c r="T12" s="13">
        <f>T11*19%</f>
        <v>383091.731092437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5F06-8CAE-4155-AE36-52D18372731E}">
  <dimension ref="A2:U10"/>
  <sheetViews>
    <sheetView workbookViewId="0">
      <selection activeCell="N31" sqref="N31"/>
    </sheetView>
  </sheetViews>
  <sheetFormatPr baseColWidth="10" defaultRowHeight="15" x14ac:dyDescent="0.25"/>
  <sheetData>
    <row r="2" spans="1:21" x14ac:dyDescent="0.25">
      <c r="Q2" s="5">
        <v>1651887.3949579832</v>
      </c>
      <c r="R2" s="5">
        <v>1</v>
      </c>
      <c r="S2" s="5">
        <v>1651886.3949579832</v>
      </c>
    </row>
    <row r="3" spans="1:21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28</v>
      </c>
    </row>
    <row r="4" spans="1:2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9"/>
      <c r="S4" s="9"/>
      <c r="T4" s="9"/>
    </row>
    <row r="5" spans="1:21" x14ac:dyDescent="0.25">
      <c r="A5">
        <v>300</v>
      </c>
      <c r="B5" t="s">
        <v>19</v>
      </c>
      <c r="C5">
        <v>999999</v>
      </c>
      <c r="D5" s="10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23</v>
      </c>
      <c r="J5" t="s">
        <v>22</v>
      </c>
      <c r="K5" s="10" t="s">
        <v>29</v>
      </c>
      <c r="L5" t="s">
        <v>25</v>
      </c>
      <c r="M5">
        <v>617</v>
      </c>
      <c r="N5">
        <v>1</v>
      </c>
      <c r="O5" s="11">
        <v>1965746</v>
      </c>
      <c r="P5">
        <v>1</v>
      </c>
      <c r="Q5" s="5">
        <v>1651887.3949579832</v>
      </c>
      <c r="R5">
        <v>1</v>
      </c>
      <c r="S5" s="12">
        <v>1651886.3949579832</v>
      </c>
      <c r="T5" t="s">
        <v>30</v>
      </c>
      <c r="U5" t="s">
        <v>32</v>
      </c>
    </row>
    <row r="8" spans="1:21" x14ac:dyDescent="0.25">
      <c r="R8" t="s">
        <v>33</v>
      </c>
      <c r="S8" s="13">
        <f>+T9+T10</f>
        <v>1965746</v>
      </c>
    </row>
    <row r="9" spans="1:21" x14ac:dyDescent="0.25">
      <c r="R9" t="s">
        <v>34</v>
      </c>
      <c r="T9" s="13">
        <f>+Q5</f>
        <v>1651887.3949579832</v>
      </c>
    </row>
    <row r="10" spans="1:21" x14ac:dyDescent="0.25">
      <c r="R10" t="s">
        <v>35</v>
      </c>
      <c r="T10" s="13">
        <f>T9*19%</f>
        <v>313858.60504201683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5D70-6870-41AD-9D71-EF236EB8F7B3}">
  <dimension ref="R3:T11"/>
  <sheetViews>
    <sheetView workbookViewId="0">
      <selection activeCell="U3" sqref="U3"/>
    </sheetView>
  </sheetViews>
  <sheetFormatPr baseColWidth="10" defaultRowHeight="15" x14ac:dyDescent="0.25"/>
  <sheetData>
    <row r="3" spans="18:20" x14ac:dyDescent="0.25">
      <c r="R3" t="s">
        <v>32</v>
      </c>
    </row>
    <row r="4" spans="18:20" x14ac:dyDescent="0.25">
      <c r="R4" t="s">
        <v>31</v>
      </c>
    </row>
    <row r="5" spans="18:20" x14ac:dyDescent="0.25">
      <c r="R5" t="s">
        <v>31</v>
      </c>
    </row>
    <row r="6" spans="18:20" x14ac:dyDescent="0.25">
      <c r="R6" t="s">
        <v>31</v>
      </c>
    </row>
    <row r="7" spans="18:20" x14ac:dyDescent="0.25">
      <c r="R7" t="s">
        <v>31</v>
      </c>
    </row>
    <row r="9" spans="18:20" x14ac:dyDescent="0.25">
      <c r="R9" t="s">
        <v>33</v>
      </c>
      <c r="S9" s="13">
        <f>+T10+T11</f>
        <v>4721874.78</v>
      </c>
    </row>
    <row r="10" spans="18:20" x14ac:dyDescent="0.25">
      <c r="R10" t="s">
        <v>34</v>
      </c>
      <c r="T10" s="13">
        <v>3967962</v>
      </c>
    </row>
    <row r="11" spans="18:20" x14ac:dyDescent="0.25">
      <c r="R11" t="s">
        <v>35</v>
      </c>
      <c r="T11" s="13">
        <f>T10*19%</f>
        <v>753912.78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488BE7-56F8-4926-9857-2EE5578A3B6E}"/>
</file>

<file path=customXml/itemProps2.xml><?xml version="1.0" encoding="utf-8"?>
<ds:datastoreItem xmlns:ds="http://schemas.openxmlformats.org/officeDocument/2006/customXml" ds:itemID="{C51CB73F-89F7-49E8-B5B9-5D76FBD5BB33}"/>
</file>

<file path=customXml/itemProps3.xml><?xml version="1.0" encoding="utf-8"?>
<ds:datastoreItem xmlns:ds="http://schemas.openxmlformats.org/officeDocument/2006/customXml" ds:itemID="{CEEE84D6-27BC-46E1-A01A-0F456E749EAE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febrero</vt:lpstr>
      <vt:lpstr>marzo</vt:lpstr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2025-05-13T17:14:12Z</dcterms:created>
  <dcterms:modified xsi:type="dcterms:W3CDTF">2025-05-13T23:19:33Z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