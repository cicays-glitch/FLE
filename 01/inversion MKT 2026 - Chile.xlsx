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01/"/>
    </mc:Choice>
  </mc:AlternateContent>
  <xr:revisionPtr revIDLastSave="2263" documentId="8_{62703BC6-5A6B-4F8C-B041-205BFA82B8B5}" xr6:coauthVersionLast="47" xr6:coauthVersionMax="47" xr10:uidLastSave="{4FC253C9-04BA-4DAD-A005-3D8B08851089}"/>
  <bookViews>
    <workbookView minimized="1" xWindow="19719" yWindow="838" windowWidth="20332" windowHeight="5459" tabRatio="720" activeTab="1" xr2:uid="{317E68FA-24F3-4B4B-8773-A8671968B245}"/>
  </bookViews>
  <sheets>
    <sheet name="Enero" sheetId="1" r:id="rId1"/>
    <sheet name="Febre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F24" i="2"/>
  <c r="C16" i="1"/>
  <c r="C10" i="1"/>
  <c r="C6" i="1"/>
  <c r="E21" i="1"/>
  <c r="E18" i="1"/>
  <c r="E16" i="1"/>
  <c r="E14" i="1"/>
  <c r="E13" i="1"/>
  <c r="E12" i="1"/>
  <c r="E8" i="1"/>
  <c r="E6" i="1"/>
  <c r="E4" i="1"/>
  <c r="E3" i="1"/>
  <c r="C25" i="1" l="1"/>
  <c r="E25" i="1" s="1"/>
  <c r="E10" i="1"/>
  <c r="C21" i="1"/>
  <c r="C10" i="2" l="1"/>
  <c r="E10" i="2" s="1"/>
  <c r="C6" i="2"/>
  <c r="E6" i="2" s="1"/>
  <c r="C20" i="2"/>
  <c r="E20" i="2" s="1"/>
  <c r="C15" i="2"/>
  <c r="E15" i="2" s="1"/>
  <c r="C24" i="2" l="1"/>
  <c r="E24" i="2" l="1"/>
  <c r="C25" i="2"/>
  <c r="C26" i="1"/>
  <c r="E26" i="1" s="1"/>
  <c r="C27" i="1" l="1"/>
  <c r="E27" i="1" s="1"/>
  <c r="C26" i="2"/>
  <c r="E26" i="2" s="1"/>
  <c r="E25" i="2"/>
</calcChain>
</file>

<file path=xl/sharedStrings.xml><?xml version="1.0" encoding="utf-8"?>
<sst xmlns="http://schemas.openxmlformats.org/spreadsheetml/2006/main" count="59" uniqueCount="43">
  <si>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</si>
  <si>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</si>
  <si>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</si>
  <si>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</si>
  <si>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</si>
  <si>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</si>
  <si>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</si>
  <si>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</si>
  <si>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</si>
  <si>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MONTO PESOS</t>
  </si>
  <si>
    <t>Google</t>
  </si>
  <si>
    <t xml:space="preserve">Meta </t>
  </si>
  <si>
    <t>iva</t>
  </si>
  <si>
    <t>total</t>
  </si>
  <si>
    <t>Total sin iva</t>
  </si>
  <si>
    <t>Total Febrero</t>
  </si>
  <si>
    <t>CL</t>
  </si>
  <si>
    <t>USD</t>
  </si>
  <si>
    <t>PAGADO</t>
  </si>
  <si>
    <t xml:space="preserve">proforma </t>
  </si>
  <si>
    <t>Conector Looker Studio - Meta</t>
  </si>
  <si>
    <t>Invoice-140B68EC-0004</t>
  </si>
  <si>
    <t>Agencia UGC - primer pago</t>
  </si>
  <si>
    <t>Hello87_Enero50%ugc</t>
  </si>
  <si>
    <t>reel ugc - Sophie</t>
  </si>
  <si>
    <t>bhe_sophie-187</t>
  </si>
  <si>
    <t>ree  ugc - Conce</t>
  </si>
  <si>
    <t>bhe_janiceConce-2</t>
  </si>
  <si>
    <t>https://www.instagram.com/p/DUEvBn4js5z/</t>
  </si>
  <si>
    <t>https://drive.google.com/drive/u/0/folders/1DBS89kiGV79HHE2H8LMEZq2et8DfUUD4</t>
  </si>
  <si>
    <t>https://drive.google.com/drive/u/0/folders/15mngiIXR8fc3Sc0S1OSdfvYpr88_RuYy</t>
  </si>
  <si>
    <t xml:space="preserve"> se publica en febrero</t>
  </si>
  <si>
    <t>https://www.instagram.com/p/DTyrHwODm7O/</t>
  </si>
  <si>
    <t>https://www.instagram.com/p/DTeGi-bkYL_/</t>
  </si>
  <si>
    <t>transacciones_MetaEnero26</t>
  </si>
  <si>
    <t xml:space="preserve">US del dia </t>
  </si>
  <si>
    <t>factura</t>
  </si>
  <si>
    <t>PENDIENTE</t>
  </si>
  <si>
    <t>2do pago agencia UGC</t>
  </si>
  <si>
    <t>2 reel Flexi</t>
  </si>
  <si>
    <t>materiales</t>
  </si>
  <si>
    <t>google_8379915865627719_20260131</t>
  </si>
  <si>
    <t>factura 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</si>
</sst>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4" borderId="0" xfId="0" applyFont="1" applyFill="1"/>
    <xf numFmtId="0" fontId="0" fillId="0" borderId="0" xfId="0" applyAlignment="1">
      <alignment horizontal="right"/>
    </xf>
    <xf numFmtId="42" fontId="4" fillId="5" borderId="0" xfId="0" applyNumberFormat="1" applyFont="1" applyFill="1"/>
    <xf numFmtId="44" fontId="0" fillId="6" borderId="0" xfId="0" applyNumberFormat="1" applyFill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rgb="FFFFFF00"/>
  </sheetPr>
  <dimension ref="A1:H30"/>
  <sheetViews>
    <sheetView topLeftCell="A22" zoomScale="83" zoomScaleNormal="83" workbookViewId="0">
      <selection activeCell="C33" sqref="C33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26.296875" customWidth="1"/>
    <col min="5" max="5" width="13" customWidth="1"/>
    <col min="6" max="6" width="38.59765625" customWidth="1"/>
    <col min="7" max="7" width="19.8984375" customWidth="1"/>
    <col min="8" max="8" width="20.59765625" customWidth="1"/>
  </cols>
  <sheetData>
    <row r="1" spans="1:8" ht="14.4" x14ac:dyDescent="0.3">
      <c r="A1" s="17">
        <v>45658</v>
      </c>
      <c r="E1" s="22">
        <v>856.06</v>
      </c>
    </row>
    <row r="2" spans="1:8" ht="14.4" x14ac:dyDescent="0.3">
      <c r="B2" t="s">
        <v>3</v>
      </c>
      <c r="C2" t="s">
        <v>9</v>
      </c>
      <c r="D2" t="s">
        <v>4</v>
      </c>
      <c r="E2" t="s">
        <v>35</v>
      </c>
      <c r="F2" t="s">
        <v>7</v>
      </c>
    </row>
    <row r="3" spans="1:8" x14ac:dyDescent="0.3">
      <c r="A3" s="23" t="s">
        <v>2</v>
      </c>
      <c r="B3" s="1" t="s">
        <v>10</v>
      </c>
      <c r="C3" s="2">
        <v>873992</v>
      </c>
      <c r="D3" s="14" t="s">
        <v>41</v>
      </c>
      <c r="E3" s="5">
        <f>C3/856.06</f>
        <v>1020.9471298740743</v>
      </c>
    </row>
    <row r="4" spans="1:8" x14ac:dyDescent="0.3">
      <c r="A4" s="24"/>
      <c r="B4" s="1" t="s">
        <v>11</v>
      </c>
      <c r="C4" s="2">
        <v>564626</v>
      </c>
      <c r="D4" s="13" t="s">
        <v>34</v>
      </c>
      <c r="E4" s="5">
        <f>C4/856.06</f>
        <v>659.56358199191652</v>
      </c>
    </row>
    <row r="5" spans="1:8" x14ac:dyDescent="0.3">
      <c r="A5" s="24"/>
      <c r="B5" s="1"/>
      <c r="C5" s="2"/>
      <c r="D5" s="15"/>
      <c r="E5" s="5"/>
    </row>
    <row r="6" spans="1:8" x14ac:dyDescent="0.3">
      <c r="A6" s="25"/>
      <c r="B6" s="3"/>
      <c r="C6" s="4">
        <f>SUM(C3:C4)</f>
        <v>1438618</v>
      </c>
      <c r="E6" s="5">
        <f>C6/856.06</f>
        <v>1680.5107118659907</v>
      </c>
    </row>
    <row r="8" spans="1:8" x14ac:dyDescent="0.3">
      <c r="A8" s="26" t="s">
        <v>0</v>
      </c>
      <c r="B8" s="1" t="s">
        <v>6</v>
      </c>
      <c r="C8" s="2">
        <v>170182</v>
      </c>
      <c r="D8" s="13" t="s">
        <v>34</v>
      </c>
      <c r="E8" s="5">
        <f>C8/856.06</f>
        <v>198.79681330747846</v>
      </c>
    </row>
    <row r="9" spans="1:8" x14ac:dyDescent="0.3">
      <c r="A9" s="26"/>
      <c r="B9" s="1"/>
      <c r="C9" s="1"/>
    </row>
    <row r="10" spans="1:8" x14ac:dyDescent="0.3">
      <c r="A10" s="27"/>
      <c r="B10" s="3"/>
      <c r="C10" s="4">
        <f>SUM(C8:C8)</f>
        <v>170182</v>
      </c>
      <c r="E10" s="5">
        <f>C10/856.06</f>
        <v>198.79681330747846</v>
      </c>
    </row>
    <row r="11" spans="1:8" ht="14.4" x14ac:dyDescent="0.3">
      <c r="G11" t="s">
        <v>31</v>
      </c>
      <c r="H11" t="s">
        <v>31</v>
      </c>
    </row>
    <row r="12" spans="1:8" x14ac:dyDescent="0.3">
      <c r="A12" s="23" t="s">
        <v>1</v>
      </c>
      <c r="B12" s="1" t="s">
        <v>22</v>
      </c>
      <c r="C12" s="2">
        <v>245000</v>
      </c>
      <c r="D12" s="13" t="s">
        <v>23</v>
      </c>
      <c r="E12" s="5">
        <f>C12/856.06</f>
        <v>286.19489288134014</v>
      </c>
      <c r="F12" t="s">
        <v>28</v>
      </c>
      <c r="G12" t="s">
        <v>29</v>
      </c>
      <c r="H12" t="s">
        <v>30</v>
      </c>
    </row>
    <row r="13" spans="1:8" x14ac:dyDescent="0.3">
      <c r="A13" s="24"/>
      <c r="B13" s="1" t="s">
        <v>24</v>
      </c>
      <c r="C13" s="2">
        <v>75000</v>
      </c>
      <c r="D13" s="13" t="s">
        <v>25</v>
      </c>
      <c r="E13" s="5">
        <f>C13/856.06</f>
        <v>87.610681494287789</v>
      </c>
      <c r="F13" t="s">
        <v>33</v>
      </c>
    </row>
    <row r="14" spans="1:8" x14ac:dyDescent="0.3">
      <c r="A14" s="24"/>
      <c r="B14" s="1" t="s">
        <v>26</v>
      </c>
      <c r="C14" s="2">
        <v>33900</v>
      </c>
      <c r="D14" s="13" t="s">
        <v>27</v>
      </c>
      <c r="E14" s="5">
        <f>C14/856.06</f>
        <v>39.600028035418077</v>
      </c>
      <c r="F14" t="s">
        <v>32</v>
      </c>
    </row>
    <row r="15" spans="1:8" x14ac:dyDescent="0.3">
      <c r="A15" s="24"/>
      <c r="B15" s="1"/>
      <c r="C15" s="2"/>
      <c r="D15" s="13"/>
    </row>
    <row r="16" spans="1:8" x14ac:dyDescent="0.3">
      <c r="A16" s="25"/>
      <c r="B16" s="3"/>
      <c r="C16" s="4">
        <f>SUM(C12:C14)</f>
        <v>353900</v>
      </c>
      <c r="D16" s="13"/>
      <c r="E16" s="5">
        <f>C16/856.06</f>
        <v>413.405602411046</v>
      </c>
      <c r="G16" s="12"/>
    </row>
    <row r="17" spans="1:6" ht="14.4" x14ac:dyDescent="0.3">
      <c r="D17" s="13"/>
    </row>
    <row r="18" spans="1:6" ht="14.4" customHeight="1" x14ac:dyDescent="0.3">
      <c r="A18" s="23" t="s">
        <v>5</v>
      </c>
      <c r="B18" s="1" t="s">
        <v>20</v>
      </c>
      <c r="C18" s="2">
        <v>148000</v>
      </c>
      <c r="D18" s="13" t="s">
        <v>21</v>
      </c>
      <c r="E18" s="5">
        <f>C18/856.06</f>
        <v>172.8850781487279</v>
      </c>
    </row>
    <row r="19" spans="1:6" ht="14.4" customHeight="1" x14ac:dyDescent="0.3">
      <c r="A19" s="24"/>
      <c r="B19" s="1"/>
      <c r="C19" s="2"/>
      <c r="D19" s="13"/>
    </row>
    <row r="20" spans="1:6" x14ac:dyDescent="0.3">
      <c r="A20" s="24"/>
      <c r="B20" s="1"/>
      <c r="C20" s="1"/>
      <c r="F20" s="12"/>
    </row>
    <row r="21" spans="1:6" x14ac:dyDescent="0.3">
      <c r="A21" s="25"/>
      <c r="B21" s="3"/>
      <c r="C21" s="4">
        <f>SUM(C18:C19)</f>
        <v>148000</v>
      </c>
      <c r="E21" s="5">
        <f>C21/856.06</f>
        <v>172.8850781487279</v>
      </c>
    </row>
    <row r="22" spans="1:6" ht="14.4" x14ac:dyDescent="0.3">
      <c r="A22" s="10"/>
      <c r="C22" s="11"/>
      <c r="E22" s="5"/>
    </row>
    <row r="23" spans="1:6" ht="14.4" x14ac:dyDescent="0.3">
      <c r="A23" s="10"/>
      <c r="C23" s="11"/>
      <c r="E23" s="5"/>
    </row>
    <row r="25" spans="1:6" ht="14.4" x14ac:dyDescent="0.3">
      <c r="B25" s="6" t="s">
        <v>14</v>
      </c>
      <c r="C25" s="7">
        <f>SUM(C6+C10+C16+C21)</f>
        <v>2110700</v>
      </c>
      <c r="E25" s="21">
        <f>C25/856.06</f>
        <v>2465.598205733243</v>
      </c>
    </row>
    <row r="26" spans="1:6" ht="14.4" x14ac:dyDescent="0.3">
      <c r="B26" t="s">
        <v>12</v>
      </c>
      <c r="C26" s="16">
        <f>C25*19/100</f>
        <v>401033</v>
      </c>
      <c r="E26" s="5">
        <f>C26/856.06</f>
        <v>468.4636590893162</v>
      </c>
    </row>
    <row r="27" spans="1:6" ht="14.4" x14ac:dyDescent="0.3">
      <c r="B27" t="s">
        <v>13</v>
      </c>
      <c r="C27" s="20">
        <f>SUM(C25:C26)</f>
        <v>2511733</v>
      </c>
      <c r="E27" s="21">
        <f>C27/856.06</f>
        <v>2934.0618648225595</v>
      </c>
    </row>
    <row r="30" spans="1:6" ht="14.4" x14ac:dyDescent="0.3">
      <c r="C30" t="s">
        <v>42</v>
      </c>
      <c r="D30" s="19" t="s">
        <v>19</v>
      </c>
      <c r="E30">
        <v>19</v>
      </c>
      <c r="F30" s="18" t="s">
        <v>37</v>
      </c>
    </row>
  </sheetData>
  <mergeCells count="4">
    <mergeCell ref="A3:A6"/>
    <mergeCell ref="A8:A10"/>
    <mergeCell ref="A12:A16"/>
    <mergeCell ref="A18:A21"/>
  </mergeCells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dimension ref="A1:F29"/>
  <sheetViews>
    <sheetView tabSelected="1" topLeftCell="A22" workbookViewId="0">
      <selection activeCell="F27" sqref="F27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32.296875" customWidth="1"/>
    <col min="5" max="5" width="10.69921875" customWidth="1"/>
    <col min="6" max="6" width="38.597656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6" x14ac:dyDescent="0.3">
      <c r="A3" s="23" t="s">
        <v>2</v>
      </c>
      <c r="B3" s="1" t="s">
        <v>10</v>
      </c>
      <c r="C3" s="2">
        <v>810000</v>
      </c>
      <c r="D3" s="14"/>
      <c r="E3" s="5"/>
    </row>
    <row r="4" spans="1:6" x14ac:dyDescent="0.3">
      <c r="A4" s="24"/>
      <c r="B4" s="1" t="s">
        <v>11</v>
      </c>
      <c r="C4" s="2">
        <v>500000</v>
      </c>
      <c r="D4" s="13"/>
      <c r="E4" s="5"/>
    </row>
    <row r="5" spans="1:6" x14ac:dyDescent="0.3">
      <c r="A5" s="24"/>
      <c r="B5" s="1"/>
      <c r="C5" s="2"/>
      <c r="D5" s="13"/>
      <c r="E5" s="5"/>
    </row>
    <row r="6" spans="1:6" x14ac:dyDescent="0.3">
      <c r="A6" s="25"/>
      <c r="B6" s="3"/>
      <c r="C6" s="4">
        <f>SUM(C3:C5)</f>
        <v>1310000</v>
      </c>
      <c r="E6" s="5">
        <f>C6/953.11</f>
        <v>1374.4478601630451</v>
      </c>
    </row>
    <row r="8" spans="1:6" x14ac:dyDescent="0.3">
      <c r="A8" s="28" t="s">
        <v>0</v>
      </c>
      <c r="B8" s="1" t="s">
        <v>6</v>
      </c>
      <c r="C8" s="2">
        <v>350000</v>
      </c>
      <c r="D8" s="13"/>
      <c r="F8" s="12"/>
    </row>
    <row r="9" spans="1:6" x14ac:dyDescent="0.3">
      <c r="A9" s="26"/>
      <c r="B9" s="1"/>
      <c r="C9" s="2"/>
      <c r="D9" s="13"/>
    </row>
    <row r="10" spans="1:6" x14ac:dyDescent="0.3">
      <c r="A10" s="27"/>
      <c r="B10" s="3"/>
      <c r="C10" s="4">
        <f>SUM(C8:C9)</f>
        <v>350000</v>
      </c>
      <c r="D10" s="12"/>
      <c r="E10" s="5">
        <f>C10/953.11</f>
        <v>367.21889393669147</v>
      </c>
    </row>
    <row r="12" spans="1:6" x14ac:dyDescent="0.3">
      <c r="A12" s="23" t="s">
        <v>1</v>
      </c>
      <c r="B12" s="1" t="s">
        <v>38</v>
      </c>
      <c r="C12" s="2">
        <v>245000</v>
      </c>
      <c r="D12" s="13"/>
    </row>
    <row r="13" spans="1:6" x14ac:dyDescent="0.3">
      <c r="A13" s="24"/>
      <c r="B13" s="1"/>
      <c r="C13" s="2"/>
      <c r="D13" s="13"/>
    </row>
    <row r="14" spans="1:6" x14ac:dyDescent="0.3">
      <c r="A14" s="24"/>
      <c r="B14" s="1"/>
      <c r="C14" s="2"/>
      <c r="D14" s="13"/>
    </row>
    <row r="15" spans="1:6" x14ac:dyDescent="0.3">
      <c r="A15" s="25"/>
      <c r="B15" s="3"/>
      <c r="C15" s="4">
        <f>SUM(C12:C14)</f>
        <v>245000</v>
      </c>
      <c r="D15" s="13"/>
      <c r="E15" s="5">
        <f>C15/953.11</f>
        <v>257.05322575568402</v>
      </c>
    </row>
    <row r="16" spans="1:6" x14ac:dyDescent="0.3">
      <c r="D16" s="13"/>
    </row>
    <row r="17" spans="1:6" x14ac:dyDescent="0.3">
      <c r="A17" s="23" t="s">
        <v>5</v>
      </c>
      <c r="B17" s="1" t="s">
        <v>39</v>
      </c>
      <c r="C17" s="2">
        <v>160000</v>
      </c>
      <c r="D17" s="13"/>
    </row>
    <row r="18" spans="1:6" x14ac:dyDescent="0.3">
      <c r="A18" s="24"/>
      <c r="B18" s="1" t="s">
        <v>40</v>
      </c>
      <c r="C18" s="2">
        <v>20000</v>
      </c>
      <c r="D18" s="13"/>
    </row>
    <row r="19" spans="1:6" x14ac:dyDescent="0.3">
      <c r="A19" s="24"/>
      <c r="B19" s="1"/>
      <c r="C19" s="1"/>
      <c r="F19" s="12"/>
    </row>
    <row r="20" spans="1:6" x14ac:dyDescent="0.3">
      <c r="A20" s="25"/>
      <c r="B20" s="3"/>
      <c r="C20" s="4">
        <f>SUM(C17:C18)</f>
        <v>180000</v>
      </c>
      <c r="E20" s="5">
        <f>C20/953.11</f>
        <v>188.85543116744131</v>
      </c>
    </row>
    <row r="21" spans="1:6" x14ac:dyDescent="0.3">
      <c r="A21" s="10"/>
      <c r="C21" s="11"/>
      <c r="E21" s="5"/>
    </row>
    <row r="22" spans="1:6" x14ac:dyDescent="0.3">
      <c r="A22" s="10"/>
      <c r="C22" s="11"/>
      <c r="E22" s="5"/>
    </row>
    <row r="23" spans="1:6" x14ac:dyDescent="0.3">
      <c r="C23" t="s">
        <v>16</v>
      </c>
      <c r="E23" t="s">
        <v>17</v>
      </c>
    </row>
    <row r="24" spans="1:6" x14ac:dyDescent="0.3">
      <c r="B24" s="6" t="s">
        <v>15</v>
      </c>
      <c r="C24" s="7">
        <f>SUM(C6+C10+C15+C20)</f>
        <v>2085000</v>
      </c>
      <c r="E24" s="8">
        <f>C24/953.11</f>
        <v>2187.5754110228618</v>
      </c>
      <c r="F24" s="5">
        <f>+E24+Enero!E25</f>
        <v>4653.1736167561048</v>
      </c>
    </row>
    <row r="25" spans="1:6" x14ac:dyDescent="0.3">
      <c r="B25" t="s">
        <v>12</v>
      </c>
      <c r="C25" s="16">
        <f>C24*19/100</f>
        <v>396150</v>
      </c>
      <c r="E25" s="5">
        <f>C25/953.11</f>
        <v>415.6393280943438</v>
      </c>
    </row>
    <row r="26" spans="1:6" x14ac:dyDescent="0.3">
      <c r="B26" t="s">
        <v>13</v>
      </c>
      <c r="C26" s="7">
        <f>SUM(C24:C25)</f>
        <v>2481150</v>
      </c>
      <c r="E26" s="8">
        <f>C26/953.11</f>
        <v>2603.2147391172057</v>
      </c>
      <c r="F26" s="29">
        <f>+E26+Enero!E27</f>
        <v>5537.2766039397648</v>
      </c>
    </row>
    <row r="29" spans="1:6" x14ac:dyDescent="0.3">
      <c r="C29" t="s">
        <v>36</v>
      </c>
      <c r="D29" s="19" t="s">
        <v>19</v>
      </c>
      <c r="F29" s="18" t="s">
        <v>18</v>
      </c>
    </row>
  </sheetData>
  <mergeCells count="4">
    <mergeCell ref="A3:A6"/>
    <mergeCell ref="A8:A10"/>
    <mergeCell ref="A12:A15"/>
    <mergeCell ref="A17:A20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E4398D-1EAC-431F-B0E9-7D5CE2324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645EE8-0E29-409D-88CF-DE2176C82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68D67-D903-481B-8AA2-9CC3B9247C7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2026-03-10T21:08:01Z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