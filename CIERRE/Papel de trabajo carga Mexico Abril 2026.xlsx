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137" documentId="8_{38693D79-F4DF-410D-BAAD-571D2D9FD45B}" xr6:coauthVersionLast="47" xr6:coauthVersionMax="47" xr10:uidLastSave="{88CA5B10-E46F-411E-8ECE-87C504CCEE34}"/>
  <bookViews>
    <workbookView xWindow="20525" yWindow="-107" windowWidth="20848" windowHeight="11111" activeTab="1" xr2:uid="{E69DBFFA-06B4-4AA7-80C1-06636D80B1B1}"/>
  </bookViews>
  <sheets>
    <sheet name="Balanza ok" sheetId="9" r:id="rId1"/>
    <sheet name="BCE" sheetId="11" r:id="rId2"/>
    <sheet name="Balance" sheetId="2" r:id="rId3"/>
    <sheet name="Resultados" sheetId="6" r:id="rId4"/>
    <sheet name="errores advicom" sheetId="12" state="hidden" r:id="rId5"/>
    <sheet name="Resultados (2)" sheetId="10" state="hidden" r:id="rId6"/>
  </sheets>
  <definedNames>
    <definedName name="_xlnm._FilterDatabase" localSheetId="2" hidden="1">Balance!$C$1:$E$57</definedName>
    <definedName name="_xlnm._FilterDatabase" localSheetId="0" hidden="1">'Balanza ok'!$A$2:$E$480</definedName>
    <definedName name="_xlnm._FilterDatabase" localSheetId="3" hidden="1">Resultados!$T$21:$AI$91</definedName>
    <definedName name="_xlnm._FilterDatabase" localSheetId="5" hidden="1">'Resultados (2)'!$R$11:$AB$82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78" i="6" l="1"/>
  <c r="AO79" i="6"/>
  <c r="AO80" i="6"/>
  <c r="AO81" i="6"/>
  <c r="AO82" i="6"/>
  <c r="AO83" i="6"/>
  <c r="AO84" i="6"/>
  <c r="AO85" i="6"/>
  <c r="AO77" i="6"/>
  <c r="A39" i="6"/>
  <c r="Q39" i="6"/>
  <c r="AO39" i="6"/>
  <c r="A64" i="6"/>
  <c r="Q64" i="6"/>
  <c r="AO64" i="6"/>
  <c r="Q67" i="6"/>
  <c r="AO67" i="6"/>
  <c r="AO68" i="6"/>
  <c r="AO69" i="6"/>
  <c r="AO70" i="6"/>
  <c r="AO71" i="6"/>
  <c r="AO72" i="6"/>
  <c r="AO73" i="6"/>
  <c r="AO74" i="6"/>
  <c r="AO75" i="6"/>
  <c r="AO76" i="6"/>
  <c r="AO65" i="6"/>
  <c r="AO66" i="6"/>
  <c r="AO55" i="6"/>
  <c r="AO56" i="6"/>
  <c r="AO57" i="6"/>
  <c r="AO58" i="6"/>
  <c r="AO59" i="6"/>
  <c r="AO60" i="6"/>
  <c r="AO61" i="6"/>
  <c r="AO62" i="6"/>
  <c r="AO63" i="6"/>
  <c r="AO49" i="6"/>
  <c r="AO50" i="6"/>
  <c r="AO51" i="6"/>
  <c r="AO52" i="6"/>
  <c r="AO53" i="6"/>
  <c r="AO54" i="6"/>
  <c r="Q49" i="6"/>
  <c r="A49" i="6"/>
  <c r="D29" i="2"/>
  <c r="C29" i="2"/>
  <c r="F29" i="2" s="1"/>
  <c r="Y123" i="11"/>
  <c r="Y124" i="11"/>
  <c r="Y125" i="11"/>
  <c r="Y126" i="11"/>
  <c r="P123" i="11"/>
  <c r="V123" i="11" s="1"/>
  <c r="Y120" i="11"/>
  <c r="Y121" i="11"/>
  <c r="Y122" i="11"/>
  <c r="Y118" i="11"/>
  <c r="Y119" i="11"/>
  <c r="Y114" i="11"/>
  <c r="Y115" i="11"/>
  <c r="Y116" i="11"/>
  <c r="Y117" i="11"/>
  <c r="Y110" i="11"/>
  <c r="Y111" i="11"/>
  <c r="Y112" i="11"/>
  <c r="Y113" i="11"/>
  <c r="Y107" i="11"/>
  <c r="Y108" i="11"/>
  <c r="Y109" i="11"/>
  <c r="P107" i="11"/>
  <c r="V107" i="11" s="1"/>
  <c r="Y105" i="11"/>
  <c r="Y106" i="11"/>
  <c r="Y98" i="11"/>
  <c r="Y99" i="11"/>
  <c r="Y100" i="11"/>
  <c r="Y101" i="11"/>
  <c r="Y102" i="11"/>
  <c r="Y103" i="11"/>
  <c r="Y104" i="11"/>
  <c r="Y96" i="11"/>
  <c r="Y97" i="11"/>
  <c r="P96" i="11"/>
  <c r="Q96" i="11" s="1"/>
  <c r="Y92" i="11"/>
  <c r="Y93" i="11"/>
  <c r="Y94" i="11"/>
  <c r="Y95" i="11"/>
  <c r="Y91" i="11"/>
  <c r="P91" i="11"/>
  <c r="V91" i="11" s="1"/>
  <c r="Y89" i="11"/>
  <c r="Y90" i="11"/>
  <c r="Y78" i="11"/>
  <c r="Y79" i="11"/>
  <c r="Y80" i="11"/>
  <c r="Y81" i="11"/>
  <c r="Y82" i="11"/>
  <c r="Y83" i="11"/>
  <c r="Y84" i="11"/>
  <c r="Y85" i="11"/>
  <c r="Y86" i="11"/>
  <c r="Y87" i="11"/>
  <c r="Y88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P36" i="11"/>
  <c r="V36" i="11" s="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40" i="6"/>
  <c r="Q41" i="6"/>
  <c r="Q42" i="6"/>
  <c r="Q43" i="6"/>
  <c r="Q44" i="6"/>
  <c r="Q45" i="6"/>
  <c r="Q46" i="6"/>
  <c r="Q47" i="6"/>
  <c r="Q48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5" i="6"/>
  <c r="Q66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Y9" i="11"/>
  <c r="Q123" i="11" l="1"/>
  <c r="Q107" i="11"/>
  <c r="Q91" i="11"/>
  <c r="Q36" i="11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40" i="6"/>
  <c r="AO41" i="6"/>
  <c r="AO42" i="6"/>
  <c r="AO43" i="6"/>
  <c r="AO44" i="6"/>
  <c r="AO45" i="6"/>
  <c r="AO46" i="6"/>
  <c r="AO47" i="6"/>
  <c r="AO48" i="6"/>
  <c r="AO23" i="6"/>
  <c r="D17" i="2"/>
  <c r="D16" i="2"/>
  <c r="C16" i="2"/>
  <c r="F16" i="2" s="1"/>
  <c r="P121" i="11"/>
  <c r="Q121" i="11" s="1"/>
  <c r="P24" i="11"/>
  <c r="V24" i="11" s="1"/>
  <c r="P23" i="11"/>
  <c r="Q23" i="11" s="1"/>
  <c r="A54" i="6"/>
  <c r="P97" i="11"/>
  <c r="Q97" i="11" s="1"/>
  <c r="E86" i="6"/>
  <c r="F86" i="6"/>
  <c r="G86" i="6"/>
  <c r="H86" i="6"/>
  <c r="I86" i="6"/>
  <c r="J86" i="6"/>
  <c r="K86" i="6"/>
  <c r="L86" i="6"/>
  <c r="M86" i="6"/>
  <c r="N86" i="6"/>
  <c r="O86" i="6"/>
  <c r="P86" i="6"/>
  <c r="A58" i="6"/>
  <c r="P101" i="11"/>
  <c r="Q101" i="11" s="1"/>
  <c r="Q24" i="11" l="1"/>
  <c r="C17" i="2"/>
  <c r="F17" i="2" s="1"/>
  <c r="V23" i="11"/>
  <c r="S6" i="6"/>
  <c r="D23" i="2" l="1"/>
  <c r="P30" i="11"/>
  <c r="Q30" i="11" s="1"/>
  <c r="AJ28" i="6"/>
  <c r="AK28" i="6" s="1"/>
  <c r="AJ29" i="6"/>
  <c r="AK29" i="6" s="1"/>
  <c r="Q17" i="6"/>
  <c r="A17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Q16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S16" i="6" s="1"/>
  <c r="S17" i="6" s="1"/>
  <c r="Q15" i="6"/>
  <c r="P14" i="6"/>
  <c r="P18" i="6" s="1"/>
  <c r="O14" i="6"/>
  <c r="O18" i="6" s="1"/>
  <c r="N14" i="6"/>
  <c r="N18" i="6" s="1"/>
  <c r="M14" i="6"/>
  <c r="M18" i="6" s="1"/>
  <c r="L14" i="6"/>
  <c r="L18" i="6" s="1"/>
  <c r="K14" i="6"/>
  <c r="K18" i="6" s="1"/>
  <c r="J14" i="6"/>
  <c r="J18" i="6" s="1"/>
  <c r="I14" i="6"/>
  <c r="I18" i="6" s="1"/>
  <c r="H14" i="6"/>
  <c r="H18" i="6" s="1"/>
  <c r="G14" i="6"/>
  <c r="G18" i="6" s="1"/>
  <c r="F14" i="6"/>
  <c r="F18" i="6" s="1"/>
  <c r="E14" i="6"/>
  <c r="E18" i="6" s="1"/>
  <c r="D14" i="6"/>
  <c r="D18" i="6" s="1"/>
  <c r="A14" i="6"/>
  <c r="R15" i="6" l="1"/>
  <c r="C23" i="2"/>
  <c r="F23" i="2" s="1"/>
  <c r="AF14" i="6"/>
  <c r="Q14" i="6"/>
  <c r="R14" i="6" s="1"/>
  <c r="Z14" i="6"/>
  <c r="AA14" i="6"/>
  <c r="V14" i="6"/>
  <c r="AH14" i="6"/>
  <c r="AG14" i="6"/>
  <c r="AI14" i="6"/>
  <c r="AE14" i="6"/>
  <c r="W14" i="6"/>
  <c r="AJ16" i="6"/>
  <c r="X14" i="6"/>
  <c r="Y14" i="6"/>
  <c r="V30" i="11"/>
  <c r="AD14" i="6"/>
  <c r="R17" i="6"/>
  <c r="AJ15" i="6"/>
  <c r="R16" i="6"/>
  <c r="AB14" i="6"/>
  <c r="T14" i="6"/>
  <c r="AC14" i="6"/>
  <c r="Q18" i="6" l="1"/>
  <c r="R18" i="6"/>
  <c r="AJ14" i="6"/>
  <c r="AK14" i="6" s="1"/>
  <c r="D86" i="6" l="1"/>
  <c r="A79" i="6"/>
  <c r="P119" i="11"/>
  <c r="Q119" i="11" s="1"/>
  <c r="P120" i="11"/>
  <c r="Q120" i="11" s="1"/>
  <c r="D26" i="2"/>
  <c r="P33" i="11"/>
  <c r="Q33" i="11" s="1"/>
  <c r="V33" i="11" l="1"/>
  <c r="C26" i="2"/>
  <c r="F26" i="2" s="1"/>
  <c r="V120" i="11"/>
  <c r="D43" i="2" l="1"/>
  <c r="P50" i="11"/>
  <c r="Q50" i="11" s="1"/>
  <c r="P82" i="11"/>
  <c r="P81" i="11"/>
  <c r="F129" i="11"/>
  <c r="G129" i="11"/>
  <c r="H129" i="11"/>
  <c r="I129" i="11"/>
  <c r="J129" i="11"/>
  <c r="K129" i="11"/>
  <c r="L129" i="11"/>
  <c r="M129" i="11"/>
  <c r="A38" i="6"/>
  <c r="A37" i="6"/>
  <c r="D25" i="2"/>
  <c r="P32" i="11"/>
  <c r="Q32" i="11" s="1"/>
  <c r="V81" i="11" l="1"/>
  <c r="Q81" i="11"/>
  <c r="V82" i="11"/>
  <c r="Q82" i="11"/>
  <c r="V32" i="11"/>
  <c r="C25" i="2"/>
  <c r="F25" i="2" s="1"/>
  <c r="V50" i="11"/>
  <c r="C43" i="2"/>
  <c r="F43" i="2" s="1"/>
  <c r="AJ82" i="6" l="1"/>
  <c r="AK82" i="6" s="1"/>
  <c r="S7" i="6"/>
  <c r="S8" i="6" s="1"/>
  <c r="A69" i="6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5" i="11"/>
  <c r="P26" i="11"/>
  <c r="P27" i="11"/>
  <c r="P28" i="11"/>
  <c r="P29" i="11"/>
  <c r="P31" i="11"/>
  <c r="P34" i="11"/>
  <c r="P35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7" i="11"/>
  <c r="Q67" i="11" s="1"/>
  <c r="P68" i="11"/>
  <c r="Q68" i="11" s="1"/>
  <c r="P69" i="11"/>
  <c r="Q69" i="11" s="1"/>
  <c r="P70" i="11"/>
  <c r="Q70" i="11" s="1"/>
  <c r="P71" i="11"/>
  <c r="Q71" i="11" s="1"/>
  <c r="P72" i="11"/>
  <c r="Q72" i="11" s="1"/>
  <c r="P73" i="11"/>
  <c r="Q73" i="11" s="1"/>
  <c r="P74" i="11"/>
  <c r="Q74" i="11" s="1"/>
  <c r="P75" i="11"/>
  <c r="Q75" i="11" s="1"/>
  <c r="P76" i="11"/>
  <c r="Q76" i="11" s="1"/>
  <c r="P77" i="11"/>
  <c r="Q77" i="11" s="1"/>
  <c r="P78" i="11"/>
  <c r="Q78" i="11" s="1"/>
  <c r="P79" i="11"/>
  <c r="Q79" i="11" s="1"/>
  <c r="P80" i="11"/>
  <c r="Q80" i="11" s="1"/>
  <c r="P83" i="11"/>
  <c r="Q83" i="11" s="1"/>
  <c r="P84" i="11"/>
  <c r="Q84" i="11" s="1"/>
  <c r="P85" i="11"/>
  <c r="Q85" i="11" s="1"/>
  <c r="P86" i="11"/>
  <c r="Q86" i="11" s="1"/>
  <c r="P87" i="11"/>
  <c r="Q87" i="11" s="1"/>
  <c r="P88" i="11"/>
  <c r="Q88" i="11" s="1"/>
  <c r="P89" i="11"/>
  <c r="Q89" i="11" s="1"/>
  <c r="P90" i="11"/>
  <c r="Q90" i="11" s="1"/>
  <c r="P92" i="11"/>
  <c r="Q92" i="11" s="1"/>
  <c r="P93" i="11"/>
  <c r="Q93" i="11" s="1"/>
  <c r="P94" i="11"/>
  <c r="Q94" i="11" s="1"/>
  <c r="P95" i="11"/>
  <c r="Q95" i="11" s="1"/>
  <c r="P98" i="11"/>
  <c r="Q98" i="11" s="1"/>
  <c r="P99" i="11"/>
  <c r="Q99" i="11" s="1"/>
  <c r="P100" i="11"/>
  <c r="Q100" i="11" s="1"/>
  <c r="P102" i="11"/>
  <c r="Q102" i="11" s="1"/>
  <c r="P103" i="11"/>
  <c r="Q103" i="11" s="1"/>
  <c r="P104" i="11"/>
  <c r="Q104" i="11" s="1"/>
  <c r="P105" i="11"/>
  <c r="Q105" i="11" s="1"/>
  <c r="P106" i="11"/>
  <c r="Q106" i="11" s="1"/>
  <c r="P108" i="11"/>
  <c r="Q108" i="11" s="1"/>
  <c r="P109" i="11"/>
  <c r="Q109" i="11" s="1"/>
  <c r="P110" i="11"/>
  <c r="P111" i="11"/>
  <c r="Q111" i="11" s="1"/>
  <c r="P112" i="11"/>
  <c r="Q112" i="11" s="1"/>
  <c r="P113" i="11"/>
  <c r="Q113" i="11" s="1"/>
  <c r="P114" i="11"/>
  <c r="Q114" i="11" s="1"/>
  <c r="P115" i="11"/>
  <c r="Q115" i="11" s="1"/>
  <c r="P116" i="11"/>
  <c r="Q116" i="11" s="1"/>
  <c r="P117" i="11"/>
  <c r="Q117" i="11" s="1"/>
  <c r="P118" i="11"/>
  <c r="Q118" i="11" s="1"/>
  <c r="P122" i="11"/>
  <c r="Q122" i="11" s="1"/>
  <c r="P124" i="11"/>
  <c r="Q124" i="11" s="1"/>
  <c r="P125" i="11"/>
  <c r="Q125" i="11" s="1"/>
  <c r="P126" i="11"/>
  <c r="Q126" i="11" s="1"/>
  <c r="P65" i="11"/>
  <c r="Q65" i="11" s="1"/>
  <c r="P66" i="11"/>
  <c r="Q66" i="11" s="1"/>
  <c r="A63" i="6"/>
  <c r="A65" i="6"/>
  <c r="A66" i="6"/>
  <c r="H105" i="6"/>
  <c r="C94" i="6" s="1"/>
  <c r="H107" i="6"/>
  <c r="C95" i="6" s="1"/>
  <c r="A53" i="6"/>
  <c r="Q23" i="6"/>
  <c r="A23" i="6"/>
  <c r="A71" i="6"/>
  <c r="A29" i="6"/>
  <c r="A82" i="6"/>
  <c r="A28" i="6"/>
  <c r="C9" i="2" l="1"/>
  <c r="Q16" i="11"/>
  <c r="C53" i="2"/>
  <c r="Q60" i="11"/>
  <c r="C22" i="2"/>
  <c r="Q29" i="11"/>
  <c r="C8" i="2"/>
  <c r="Q15" i="11"/>
  <c r="C11" i="2"/>
  <c r="Q18" i="11"/>
  <c r="C7" i="2"/>
  <c r="Q14" i="11"/>
  <c r="C54" i="2"/>
  <c r="Q61" i="11"/>
  <c r="C10" i="2"/>
  <c r="Q17" i="11"/>
  <c r="C52" i="2"/>
  <c r="Q59" i="11"/>
  <c r="C51" i="2"/>
  <c r="Q58" i="11"/>
  <c r="C50" i="2"/>
  <c r="Q57" i="11"/>
  <c r="C21" i="2"/>
  <c r="Q28" i="11"/>
  <c r="C49" i="2"/>
  <c r="Q56" i="11"/>
  <c r="C36" i="2"/>
  <c r="Q43" i="11"/>
  <c r="C20" i="2"/>
  <c r="Q27" i="11"/>
  <c r="C6" i="2"/>
  <c r="Q13" i="11"/>
  <c r="C28" i="2"/>
  <c r="Q35" i="11"/>
  <c r="C27" i="2"/>
  <c r="Q34" i="11"/>
  <c r="C24" i="2"/>
  <c r="Q31" i="11"/>
  <c r="C37" i="2"/>
  <c r="Q44" i="11"/>
  <c r="C48" i="2"/>
  <c r="Q55" i="11"/>
  <c r="C35" i="2"/>
  <c r="Q42" i="11"/>
  <c r="C19" i="2"/>
  <c r="Q26" i="11"/>
  <c r="C5" i="2"/>
  <c r="Q12" i="11"/>
  <c r="C41" i="2"/>
  <c r="Q48" i="11"/>
  <c r="C40" i="2"/>
  <c r="Q47" i="11"/>
  <c r="C39" i="2"/>
  <c r="Q46" i="11"/>
  <c r="C38" i="2"/>
  <c r="Q45" i="11"/>
  <c r="C47" i="2"/>
  <c r="Q54" i="11"/>
  <c r="C34" i="2"/>
  <c r="Q41" i="11"/>
  <c r="C18" i="2"/>
  <c r="Q25" i="11"/>
  <c r="C4" i="2"/>
  <c r="Q11" i="11"/>
  <c r="V110" i="11"/>
  <c r="Q110" i="11"/>
  <c r="C46" i="2"/>
  <c r="Q53" i="11"/>
  <c r="C33" i="2"/>
  <c r="Q40" i="11"/>
  <c r="C15" i="2"/>
  <c r="Q22" i="11"/>
  <c r="C3" i="2"/>
  <c r="Q10" i="11"/>
  <c r="C57" i="2"/>
  <c r="Q64" i="11"/>
  <c r="C45" i="2"/>
  <c r="Q52" i="11"/>
  <c r="C32" i="2"/>
  <c r="Q39" i="11"/>
  <c r="C14" i="2"/>
  <c r="Q21" i="11"/>
  <c r="C56" i="2"/>
  <c r="Q63" i="11"/>
  <c r="C44" i="2"/>
  <c r="Q51" i="11"/>
  <c r="C31" i="2"/>
  <c r="Q38" i="11"/>
  <c r="C13" i="2"/>
  <c r="Q20" i="11"/>
  <c r="C55" i="2"/>
  <c r="Q62" i="11"/>
  <c r="C42" i="2"/>
  <c r="Q49" i="11"/>
  <c r="C30" i="2"/>
  <c r="Q37" i="11"/>
  <c r="C12" i="2"/>
  <c r="Q19" i="11"/>
  <c r="P130" i="11"/>
  <c r="S23" i="6"/>
  <c r="U23" i="6" s="1"/>
  <c r="AG17" i="6"/>
  <c r="AG18" i="6" s="1"/>
  <c r="Y17" i="6"/>
  <c r="Y18" i="6" s="1"/>
  <c r="AF17" i="6"/>
  <c r="AF18" i="6" s="1"/>
  <c r="X17" i="6"/>
  <c r="X18" i="6" s="1"/>
  <c r="Z17" i="6"/>
  <c r="Z18" i="6" s="1"/>
  <c r="AE17" i="6"/>
  <c r="AE18" i="6" s="1"/>
  <c r="W17" i="6"/>
  <c r="W18" i="6" s="1"/>
  <c r="AH17" i="6"/>
  <c r="AH18" i="6" s="1"/>
  <c r="AD17" i="6"/>
  <c r="AD18" i="6" s="1"/>
  <c r="V17" i="6"/>
  <c r="V18" i="6" s="1"/>
  <c r="AC17" i="6"/>
  <c r="AC18" i="6" s="1"/>
  <c r="U17" i="6"/>
  <c r="U18" i="6" s="1"/>
  <c r="AB17" i="6"/>
  <c r="AB18" i="6" s="1"/>
  <c r="T17" i="6"/>
  <c r="AI17" i="6"/>
  <c r="AI18" i="6" s="1"/>
  <c r="AA17" i="6"/>
  <c r="AA18" i="6" s="1"/>
  <c r="A84" i="6"/>
  <c r="A59" i="6"/>
  <c r="AC23" i="6" l="1"/>
  <c r="X23" i="6"/>
  <c r="S24" i="6"/>
  <c r="S25" i="6" s="1"/>
  <c r="S26" i="6" s="1"/>
  <c r="AH26" i="6" s="1"/>
  <c r="T23" i="6"/>
  <c r="AI23" i="6"/>
  <c r="R23" i="6"/>
  <c r="AD23" i="6"/>
  <c r="W23" i="6"/>
  <c r="AF23" i="6"/>
  <c r="AG23" i="6"/>
  <c r="Z23" i="6"/>
  <c r="AH23" i="6"/>
  <c r="AA23" i="6"/>
  <c r="AB23" i="6"/>
  <c r="V23" i="6"/>
  <c r="AE23" i="6"/>
  <c r="Y23" i="6"/>
  <c r="AJ17" i="6"/>
  <c r="T18" i="6"/>
  <c r="Q130" i="11"/>
  <c r="Q7" i="6"/>
  <c r="F42" i="2"/>
  <c r="D11" i="2"/>
  <c r="D39" i="2"/>
  <c r="A80" i="6"/>
  <c r="P9" i="11"/>
  <c r="AI8" i="6"/>
  <c r="AI7" i="6"/>
  <c r="AI6" i="6"/>
  <c r="P5" i="6"/>
  <c r="P9" i="6" s="1"/>
  <c r="P88" i="6" s="1"/>
  <c r="O5" i="6"/>
  <c r="O9" i="6" s="1"/>
  <c r="O88" i="6" s="1"/>
  <c r="N5" i="6"/>
  <c r="N9" i="6" s="1"/>
  <c r="N88" i="6" s="1"/>
  <c r="M5" i="6"/>
  <c r="M9" i="6" s="1"/>
  <c r="M88" i="6" s="1"/>
  <c r="L5" i="6"/>
  <c r="L9" i="6" s="1"/>
  <c r="L88" i="6" s="1"/>
  <c r="K5" i="6"/>
  <c r="K9" i="6" s="1"/>
  <c r="K88" i="6" s="1"/>
  <c r="J5" i="6"/>
  <c r="J9" i="6" s="1"/>
  <c r="J88" i="6" s="1"/>
  <c r="I5" i="6"/>
  <c r="I9" i="6" s="1"/>
  <c r="I88" i="6" s="1"/>
  <c r="H5" i="6"/>
  <c r="H9" i="6" s="1"/>
  <c r="H88" i="6" s="1"/>
  <c r="G5" i="6"/>
  <c r="G9" i="6" s="1"/>
  <c r="G88" i="6" s="1"/>
  <c r="F5" i="6"/>
  <c r="F9" i="6" s="1"/>
  <c r="F88" i="6" s="1"/>
  <c r="E5" i="6"/>
  <c r="E9" i="6" s="1"/>
  <c r="E88" i="6" s="1"/>
  <c r="D5" i="6"/>
  <c r="D9" i="6" s="1"/>
  <c r="Q8" i="6"/>
  <c r="Q6" i="6"/>
  <c r="AH8" i="6"/>
  <c r="AH7" i="6"/>
  <c r="AH6" i="6"/>
  <c r="AF7" i="6"/>
  <c r="AF8" i="6"/>
  <c r="AF6" i="6"/>
  <c r="AG8" i="6"/>
  <c r="AG7" i="6"/>
  <c r="AG6" i="6"/>
  <c r="AF24" i="6" l="1"/>
  <c r="AG24" i="6"/>
  <c r="AF25" i="6"/>
  <c r="AG25" i="6"/>
  <c r="AG26" i="6"/>
  <c r="R24" i="6"/>
  <c r="R25" i="6"/>
  <c r="AH24" i="6"/>
  <c r="AI26" i="6"/>
  <c r="AH25" i="6"/>
  <c r="AI24" i="6"/>
  <c r="AJ23" i="6"/>
  <c r="AK23" i="6" s="1"/>
  <c r="AI25" i="6"/>
  <c r="S27" i="6"/>
  <c r="R26" i="6"/>
  <c r="AF26" i="6"/>
  <c r="AK17" i="6"/>
  <c r="AJ18" i="6"/>
  <c r="Q9" i="11"/>
  <c r="Q129" i="11" s="1"/>
  <c r="P129" i="11"/>
  <c r="V46" i="11"/>
  <c r="F11" i="2"/>
  <c r="F39" i="2"/>
  <c r="Q5" i="6"/>
  <c r="Q9" i="6" s="1"/>
  <c r="AF5" i="6"/>
  <c r="AF9" i="6"/>
  <c r="AG9" i="6"/>
  <c r="AG5" i="6"/>
  <c r="AH5" i="6"/>
  <c r="AH9" i="6"/>
  <c r="AL23" i="6" l="1"/>
  <c r="S28" i="6"/>
  <c r="R27" i="6"/>
  <c r="AI27" i="6"/>
  <c r="AG27" i="6"/>
  <c r="AF27" i="6"/>
  <c r="AH27" i="6"/>
  <c r="AK18" i="6"/>
  <c r="Q93" i="6"/>
  <c r="P94" i="6"/>
  <c r="O94" i="6"/>
  <c r="R8" i="6"/>
  <c r="R7" i="6"/>
  <c r="R6" i="6"/>
  <c r="D12" i="2"/>
  <c r="F12" i="2"/>
  <c r="C2" i="2"/>
  <c r="F2" i="2" s="1"/>
  <c r="D3" i="2"/>
  <c r="F3" i="2"/>
  <c r="D9" i="2"/>
  <c r="F4" i="2"/>
  <c r="F5" i="2"/>
  <c r="F7" i="2"/>
  <c r="F8" i="2"/>
  <c r="F10" i="2"/>
  <c r="F13" i="2"/>
  <c r="F14" i="2"/>
  <c r="F15" i="2"/>
  <c r="F19" i="2"/>
  <c r="F20" i="2"/>
  <c r="F22" i="2"/>
  <c r="F27" i="2"/>
  <c r="F28" i="2"/>
  <c r="F31" i="2"/>
  <c r="F33" i="2"/>
  <c r="F35" i="2"/>
  <c r="F36" i="2"/>
  <c r="F38" i="2"/>
  <c r="F40" i="2"/>
  <c r="F44" i="2"/>
  <c r="F46" i="2"/>
  <c r="F47" i="2"/>
  <c r="F48" i="2"/>
  <c r="F50" i="2"/>
  <c r="F51" i="2"/>
  <c r="F53" i="2"/>
  <c r="F54" i="2"/>
  <c r="F57" i="2"/>
  <c r="A25" i="6"/>
  <c r="A26" i="6"/>
  <c r="A27" i="6"/>
  <c r="A30" i="6"/>
  <c r="A31" i="6"/>
  <c r="A32" i="6"/>
  <c r="A33" i="6"/>
  <c r="A34" i="6"/>
  <c r="A35" i="6"/>
  <c r="A36" i="6"/>
  <c r="A40" i="6"/>
  <c r="A41" i="6"/>
  <c r="A42" i="6"/>
  <c r="A43" i="6"/>
  <c r="A44" i="6"/>
  <c r="A45" i="6"/>
  <c r="A46" i="6"/>
  <c r="A47" i="6"/>
  <c r="A48" i="6"/>
  <c r="A50" i="6"/>
  <c r="A51" i="6"/>
  <c r="A52" i="6"/>
  <c r="A55" i="6"/>
  <c r="A56" i="6"/>
  <c r="A57" i="6"/>
  <c r="A60" i="6"/>
  <c r="A61" i="6"/>
  <c r="A62" i="6"/>
  <c r="A68" i="6"/>
  <c r="A70" i="6"/>
  <c r="A72" i="6"/>
  <c r="A73" i="6"/>
  <c r="A74" i="6"/>
  <c r="A75" i="6"/>
  <c r="A76" i="6"/>
  <c r="A81" i="6"/>
  <c r="A83" i="6"/>
  <c r="A85" i="6"/>
  <c r="S29" i="6" l="1"/>
  <c r="R28" i="6"/>
  <c r="V65" i="11"/>
  <c r="F55" i="2"/>
  <c r="F32" i="2"/>
  <c r="F24" i="2"/>
  <c r="F9" i="2"/>
  <c r="F52" i="2"/>
  <c r="F45" i="2"/>
  <c r="F37" i="2"/>
  <c r="F30" i="2"/>
  <c r="F21" i="2"/>
  <c r="V16" i="11"/>
  <c r="F6" i="2"/>
  <c r="F56" i="2"/>
  <c r="F49" i="2"/>
  <c r="F41" i="2"/>
  <c r="F34" i="2"/>
  <c r="F18" i="2"/>
  <c r="D2" i="2"/>
  <c r="D4" i="2"/>
  <c r="D5" i="2"/>
  <c r="D6" i="2"/>
  <c r="D7" i="2"/>
  <c r="D8" i="2"/>
  <c r="D10" i="2"/>
  <c r="D13" i="2"/>
  <c r="D14" i="2"/>
  <c r="D15" i="2"/>
  <c r="D18" i="2"/>
  <c r="D19" i="2"/>
  <c r="D20" i="2"/>
  <c r="D21" i="2"/>
  <c r="D22" i="2"/>
  <c r="D24" i="2"/>
  <c r="D27" i="2"/>
  <c r="D28" i="2"/>
  <c r="D30" i="2"/>
  <c r="D31" i="2"/>
  <c r="D32" i="2"/>
  <c r="D33" i="2"/>
  <c r="D34" i="2"/>
  <c r="D35" i="2"/>
  <c r="D36" i="2"/>
  <c r="D37" i="2"/>
  <c r="D38" i="2"/>
  <c r="D40" i="2"/>
  <c r="D41" i="2"/>
  <c r="D42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R29" i="6" l="1"/>
  <c r="S30" i="6"/>
  <c r="Q86" i="6"/>
  <c r="Q88" i="6" s="1"/>
  <c r="C59" i="2"/>
  <c r="F59" i="2" s="1"/>
  <c r="V78" i="11"/>
  <c r="V38" i="11"/>
  <c r="S31" i="6" l="1"/>
  <c r="AI30" i="6"/>
  <c r="AG30" i="6"/>
  <c r="AF30" i="6"/>
  <c r="AH30" i="6"/>
  <c r="R30" i="6"/>
  <c r="V39" i="11"/>
  <c r="V11" i="11"/>
  <c r="V12" i="11"/>
  <c r="V14" i="11"/>
  <c r="V17" i="11"/>
  <c r="V25" i="11"/>
  <c r="V26" i="11"/>
  <c r="V29" i="11"/>
  <c r="V35" i="11"/>
  <c r="V37" i="11"/>
  <c r="V40" i="11"/>
  <c r="V41" i="11"/>
  <c r="V43" i="11"/>
  <c r="V45" i="11"/>
  <c r="V49" i="11"/>
  <c r="V51" i="11"/>
  <c r="V52" i="11"/>
  <c r="V53" i="11"/>
  <c r="V54" i="11"/>
  <c r="V55" i="11"/>
  <c r="V57" i="11"/>
  <c r="V58" i="11"/>
  <c r="V60" i="11"/>
  <c r="V62" i="11"/>
  <c r="V64" i="11"/>
  <c r="V69" i="11"/>
  <c r="V70" i="11"/>
  <c r="V71" i="11"/>
  <c r="V74" i="11"/>
  <c r="V75" i="11"/>
  <c r="V77" i="11"/>
  <c r="V79" i="11"/>
  <c r="V80" i="11"/>
  <c r="V83" i="11"/>
  <c r="V85" i="11"/>
  <c r="V99" i="11"/>
  <c r="V115" i="11"/>
  <c r="V87" i="11"/>
  <c r="V88" i="11"/>
  <c r="V89" i="11"/>
  <c r="V93" i="11"/>
  <c r="V94" i="11"/>
  <c r="V105" i="11"/>
  <c r="V109" i="11"/>
  <c r="V116" i="11"/>
  <c r="V118" i="11"/>
  <c r="V122" i="11"/>
  <c r="V126" i="11"/>
  <c r="G131" i="11"/>
  <c r="H131" i="11"/>
  <c r="I131" i="11"/>
  <c r="J131" i="11"/>
  <c r="M131" i="11"/>
  <c r="F131" i="11"/>
  <c r="U130" i="11"/>
  <c r="S130" i="11"/>
  <c r="R130" i="11"/>
  <c r="U129" i="11"/>
  <c r="S129" i="11"/>
  <c r="R129" i="11"/>
  <c r="V68" i="11"/>
  <c r="S32" i="6" l="1"/>
  <c r="AG31" i="6"/>
  <c r="AI31" i="6"/>
  <c r="AF31" i="6"/>
  <c r="R31" i="6"/>
  <c r="AH31" i="6"/>
  <c r="V90" i="11"/>
  <c r="V31" i="11"/>
  <c r="V124" i="11"/>
  <c r="V117" i="11"/>
  <c r="V59" i="11"/>
  <c r="V111" i="11"/>
  <c r="V86" i="11"/>
  <c r="V100" i="11"/>
  <c r="V28" i="11"/>
  <c r="V47" i="11"/>
  <c r="V92" i="11"/>
  <c r="V27" i="11"/>
  <c r="V20" i="11"/>
  <c r="V22" i="11"/>
  <c r="V13" i="11"/>
  <c r="V21" i="11"/>
  <c r="V84" i="11"/>
  <c r="V42" i="11"/>
  <c r="V56" i="11"/>
  <c r="V67" i="11"/>
  <c r="V10" i="11"/>
  <c r="V48" i="11"/>
  <c r="V76" i="11"/>
  <c r="V15" i="11"/>
  <c r="V44" i="11"/>
  <c r="V61" i="11"/>
  <c r="V63" i="11"/>
  <c r="V113" i="11"/>
  <c r="V98" i="11"/>
  <c r="V108" i="11"/>
  <c r="V114" i="11"/>
  <c r="L130" i="11"/>
  <c r="L131" i="11" s="1"/>
  <c r="K130" i="11"/>
  <c r="K131" i="11" s="1"/>
  <c r="S33" i="6" l="1"/>
  <c r="AG32" i="6"/>
  <c r="R32" i="6"/>
  <c r="AI32" i="6"/>
  <c r="AH32" i="6"/>
  <c r="AF32" i="6"/>
  <c r="L94" i="6"/>
  <c r="H94" i="6"/>
  <c r="D88" i="6"/>
  <c r="AK94" i="6"/>
  <c r="AK95" i="6" s="1"/>
  <c r="AJ94" i="6"/>
  <c r="S34" i="6" l="1"/>
  <c r="AH33" i="6"/>
  <c r="R33" i="6"/>
  <c r="AF33" i="6"/>
  <c r="AG33" i="6"/>
  <c r="AI33" i="6"/>
  <c r="Q89" i="6"/>
  <c r="Q90" i="6" s="1"/>
  <c r="C60" i="2"/>
  <c r="S35" i="6" l="1"/>
  <c r="AH34" i="6"/>
  <c r="AI34" i="6"/>
  <c r="AF34" i="6"/>
  <c r="AG34" i="6"/>
  <c r="R34" i="6"/>
  <c r="Z31" i="6"/>
  <c r="AA31" i="6"/>
  <c r="X31" i="6"/>
  <c r="U31" i="6"/>
  <c r="V31" i="6"/>
  <c r="W31" i="6"/>
  <c r="Y31" i="6"/>
  <c r="AB31" i="6"/>
  <c r="AD31" i="6"/>
  <c r="T31" i="6"/>
  <c r="AC31" i="6"/>
  <c r="AE31" i="6"/>
  <c r="S36" i="6" l="1"/>
  <c r="S39" i="6" s="1"/>
  <c r="AH35" i="6"/>
  <c r="AG35" i="6"/>
  <c r="AF35" i="6"/>
  <c r="AI35" i="6"/>
  <c r="R35" i="6"/>
  <c r="AJ31" i="6"/>
  <c r="AK31" i="6" s="1"/>
  <c r="AC39" i="6" l="1"/>
  <c r="R39" i="6"/>
  <c r="AD39" i="6"/>
  <c r="AA39" i="6"/>
  <c r="AB39" i="6"/>
  <c r="AE39" i="6"/>
  <c r="AH39" i="6"/>
  <c r="X39" i="6"/>
  <c r="T39" i="6"/>
  <c r="AF39" i="6"/>
  <c r="AI39" i="6"/>
  <c r="Z39" i="6"/>
  <c r="U39" i="6"/>
  <c r="AG39" i="6"/>
  <c r="V39" i="6"/>
  <c r="W39" i="6"/>
  <c r="Y39" i="6"/>
  <c r="R36" i="6"/>
  <c r="AH36" i="6"/>
  <c r="AG36" i="6"/>
  <c r="S37" i="6"/>
  <c r="AF36" i="6"/>
  <c r="AI36" i="6"/>
  <c r="AL31" i="6"/>
  <c r="AJ39" i="6" l="1"/>
  <c r="AK39" i="6" s="1"/>
  <c r="S40" i="6"/>
  <c r="AC37" i="6"/>
  <c r="V37" i="6"/>
  <c r="U37" i="6"/>
  <c r="AG37" i="6"/>
  <c r="AB37" i="6"/>
  <c r="Y37" i="6"/>
  <c r="T37" i="6"/>
  <c r="R37" i="6"/>
  <c r="S38" i="6"/>
  <c r="AA37" i="6"/>
  <c r="AF37" i="6"/>
  <c r="X37" i="6"/>
  <c r="AE37" i="6"/>
  <c r="W37" i="6"/>
  <c r="AI37" i="6"/>
  <c r="AH37" i="6"/>
  <c r="Z37" i="6"/>
  <c r="AD37" i="6"/>
  <c r="N94" i="6"/>
  <c r="M94" i="6"/>
  <c r="AL39" i="6" l="1"/>
  <c r="AJ37" i="6"/>
  <c r="AK37" i="6" s="1"/>
  <c r="S41" i="6"/>
  <c r="R40" i="6"/>
  <c r="AF40" i="6"/>
  <c r="AG40" i="6"/>
  <c r="AI40" i="6"/>
  <c r="AH40" i="6"/>
  <c r="AB38" i="6"/>
  <c r="T38" i="6"/>
  <c r="AI38" i="6"/>
  <c r="AA38" i="6"/>
  <c r="AF38" i="6"/>
  <c r="AH38" i="6"/>
  <c r="Z38" i="6"/>
  <c r="AE38" i="6"/>
  <c r="W38" i="6"/>
  <c r="AG38" i="6"/>
  <c r="Y38" i="6"/>
  <c r="AC38" i="6"/>
  <c r="U38" i="6"/>
  <c r="AD38" i="6"/>
  <c r="V38" i="6"/>
  <c r="X38" i="6"/>
  <c r="R38" i="6"/>
  <c r="AA34" i="6"/>
  <c r="T34" i="6"/>
  <c r="AB34" i="6"/>
  <c r="Y34" i="6"/>
  <c r="U34" i="6"/>
  <c r="V34" i="6"/>
  <c r="W34" i="6"/>
  <c r="X34" i="6"/>
  <c r="Z34" i="6"/>
  <c r="AD34" i="6"/>
  <c r="AC34" i="6"/>
  <c r="AE34" i="6"/>
  <c r="AL37" i="6" l="1"/>
  <c r="S42" i="6"/>
  <c r="R41" i="6"/>
  <c r="AG41" i="6"/>
  <c r="AF41" i="6"/>
  <c r="AH41" i="6"/>
  <c r="AI41" i="6"/>
  <c r="AJ38" i="6"/>
  <c r="AK38" i="6" s="1"/>
  <c r="AJ34" i="6"/>
  <c r="AL34" i="6" s="1"/>
  <c r="S43" i="6" l="1"/>
  <c r="R42" i="6"/>
  <c r="AH42" i="6"/>
  <c r="AG42" i="6"/>
  <c r="AF42" i="6"/>
  <c r="AI42" i="6"/>
  <c r="AL38" i="6"/>
  <c r="AK34" i="6"/>
  <c r="A5" i="6"/>
  <c r="A8" i="6"/>
  <c r="S44" i="6" l="1"/>
  <c r="R43" i="6"/>
  <c r="AF43" i="6"/>
  <c r="AI43" i="6"/>
  <c r="AH43" i="6"/>
  <c r="AG43" i="6"/>
  <c r="U41" i="6"/>
  <c r="AC41" i="6"/>
  <c r="V41" i="6"/>
  <c r="AD41" i="6"/>
  <c r="Y41" i="6"/>
  <c r="Z41" i="6"/>
  <c r="AA41" i="6"/>
  <c r="AB41" i="6"/>
  <c r="AE41" i="6"/>
  <c r="W41" i="6"/>
  <c r="X41" i="6"/>
  <c r="T41" i="6"/>
  <c r="S45" i="6" l="1"/>
  <c r="R44" i="6"/>
  <c r="AF44" i="6"/>
  <c r="AH44" i="6"/>
  <c r="AG44" i="6"/>
  <c r="AI44" i="6"/>
  <c r="AJ41" i="6"/>
  <c r="AL41" i="6" s="1"/>
  <c r="K94" i="6"/>
  <c r="S46" i="6" l="1"/>
  <c r="R45" i="6"/>
  <c r="AF45" i="6"/>
  <c r="AI45" i="6"/>
  <c r="AH45" i="6"/>
  <c r="AG45" i="6"/>
  <c r="AK41" i="6"/>
  <c r="AB72" i="10"/>
  <c r="C91" i="10"/>
  <c r="D91" i="10" s="1"/>
  <c r="L90" i="10"/>
  <c r="K90" i="10"/>
  <c r="I90" i="10"/>
  <c r="H90" i="10"/>
  <c r="G90" i="10"/>
  <c r="F90" i="10"/>
  <c r="E90" i="10"/>
  <c r="D90" i="10"/>
  <c r="O89" i="10"/>
  <c r="N82" i="10"/>
  <c r="M82" i="10"/>
  <c r="L82" i="10"/>
  <c r="K82" i="10"/>
  <c r="K84" i="10" s="1"/>
  <c r="J82" i="10"/>
  <c r="I82" i="10"/>
  <c r="H82" i="10"/>
  <c r="G82" i="10"/>
  <c r="F82" i="10"/>
  <c r="E82" i="10"/>
  <c r="D82" i="10"/>
  <c r="O81" i="10"/>
  <c r="Q81" i="10" s="1"/>
  <c r="V81" i="10" s="1"/>
  <c r="A81" i="10"/>
  <c r="O80" i="10"/>
  <c r="Q80" i="10" s="1"/>
  <c r="W80" i="10" s="1"/>
  <c r="A80" i="10"/>
  <c r="O79" i="10"/>
  <c r="Q79" i="10" s="1"/>
  <c r="A79" i="10"/>
  <c r="AB78" i="10"/>
  <c r="AA78" i="10"/>
  <c r="Z78" i="10"/>
  <c r="Y78" i="10"/>
  <c r="X78" i="10"/>
  <c r="W78" i="10"/>
  <c r="V78" i="10"/>
  <c r="U78" i="10"/>
  <c r="T78" i="10"/>
  <c r="S78" i="10"/>
  <c r="R78" i="10"/>
  <c r="O78" i="10"/>
  <c r="A78" i="10"/>
  <c r="AB77" i="10"/>
  <c r="AA77" i="10"/>
  <c r="Z77" i="10"/>
  <c r="Y77" i="10"/>
  <c r="X77" i="10"/>
  <c r="W77" i="10"/>
  <c r="V77" i="10"/>
  <c r="U77" i="10"/>
  <c r="T77" i="10"/>
  <c r="S77" i="10"/>
  <c r="R77" i="10"/>
  <c r="O77" i="10"/>
  <c r="A77" i="10"/>
  <c r="O76" i="10"/>
  <c r="Q76" i="10" s="1"/>
  <c r="Y76" i="10" s="1"/>
  <c r="A76" i="10"/>
  <c r="O75" i="10"/>
  <c r="Q75" i="10" s="1"/>
  <c r="A75" i="10"/>
  <c r="O69" i="10"/>
  <c r="Q69" i="10" s="1"/>
  <c r="A69" i="10"/>
  <c r="O74" i="10"/>
  <c r="Q74" i="10" s="1"/>
  <c r="A74" i="10"/>
  <c r="O73" i="10"/>
  <c r="Q73" i="10" s="1"/>
  <c r="A73" i="10"/>
  <c r="O68" i="10"/>
  <c r="Q68" i="10" s="1"/>
  <c r="A68" i="10"/>
  <c r="O67" i="10"/>
  <c r="Q67" i="10" s="1"/>
  <c r="W67" i="10" s="1"/>
  <c r="A67" i="10"/>
  <c r="O66" i="10"/>
  <c r="Q66" i="10" s="1"/>
  <c r="A66" i="10"/>
  <c r="O65" i="10"/>
  <c r="Q65" i="10" s="1"/>
  <c r="Y65" i="10" s="1"/>
  <c r="A65" i="10"/>
  <c r="O64" i="10"/>
  <c r="Q64" i="10" s="1"/>
  <c r="A64" i="10"/>
  <c r="O63" i="10"/>
  <c r="Q63" i="10" s="1"/>
  <c r="AA63" i="10" s="1"/>
  <c r="A63" i="10"/>
  <c r="O62" i="10"/>
  <c r="Q62" i="10" s="1"/>
  <c r="T62" i="10" s="1"/>
  <c r="A62" i="10"/>
  <c r="O61" i="10"/>
  <c r="Q61" i="10" s="1"/>
  <c r="AA61" i="10" s="1"/>
  <c r="A61" i="10"/>
  <c r="O60" i="10"/>
  <c r="Q60" i="10" s="1"/>
  <c r="V60" i="10" s="1"/>
  <c r="A60" i="10"/>
  <c r="P59" i="10"/>
  <c r="O59" i="10"/>
  <c r="P58" i="10"/>
  <c r="O58" i="10"/>
  <c r="O57" i="10"/>
  <c r="Q57" i="10" s="1"/>
  <c r="Y57" i="10" s="1"/>
  <c r="A57" i="10"/>
  <c r="O56" i="10"/>
  <c r="Q56" i="10" s="1"/>
  <c r="Y56" i="10" s="1"/>
  <c r="A56" i="10"/>
  <c r="O55" i="10"/>
  <c r="Q55" i="10" s="1"/>
  <c r="S55" i="10" s="1"/>
  <c r="A55" i="10"/>
  <c r="O54" i="10"/>
  <c r="Q54" i="10" s="1"/>
  <c r="AB54" i="10" s="1"/>
  <c r="A54" i="10"/>
  <c r="O53" i="10"/>
  <c r="Q53" i="10" s="1"/>
  <c r="A53" i="10"/>
  <c r="O52" i="10"/>
  <c r="Q52" i="10" s="1"/>
  <c r="V52" i="10" s="1"/>
  <c r="A52" i="10"/>
  <c r="O51" i="10"/>
  <c r="Q51" i="10" s="1"/>
  <c r="V51" i="10" s="1"/>
  <c r="A51" i="10"/>
  <c r="O50" i="10"/>
  <c r="Q50" i="10" s="1"/>
  <c r="X50" i="10" s="1"/>
  <c r="A50" i="10"/>
  <c r="O49" i="10"/>
  <c r="Q49" i="10" s="1"/>
  <c r="A49" i="10"/>
  <c r="O48" i="10"/>
  <c r="Q48" i="10" s="1"/>
  <c r="Y48" i="10" s="1"/>
  <c r="A48" i="10"/>
  <c r="O47" i="10"/>
  <c r="Q47" i="10" s="1"/>
  <c r="AA47" i="10" s="1"/>
  <c r="A47" i="10"/>
  <c r="O46" i="10"/>
  <c r="Q46" i="10" s="1"/>
  <c r="AB46" i="10" s="1"/>
  <c r="A46" i="10"/>
  <c r="O45" i="10"/>
  <c r="Q45" i="10" s="1"/>
  <c r="A45" i="10"/>
  <c r="O44" i="10"/>
  <c r="Q44" i="10" s="1"/>
  <c r="V44" i="10" s="1"/>
  <c r="A44" i="10"/>
  <c r="O43" i="10"/>
  <c r="Q43" i="10" s="1"/>
  <c r="A43" i="10"/>
  <c r="O42" i="10"/>
  <c r="Q42" i="10" s="1"/>
  <c r="Z42" i="10" s="1"/>
  <c r="A42" i="10"/>
  <c r="O41" i="10"/>
  <c r="Q41" i="10" s="1"/>
  <c r="A41" i="10"/>
  <c r="O40" i="10"/>
  <c r="Q40" i="10" s="1"/>
  <c r="A40" i="10"/>
  <c r="O39" i="10"/>
  <c r="Q39" i="10" s="1"/>
  <c r="A39" i="10"/>
  <c r="O38" i="10"/>
  <c r="Q38" i="10" s="1"/>
  <c r="Z38" i="10" s="1"/>
  <c r="A38" i="10"/>
  <c r="O37" i="10"/>
  <c r="Q37" i="10" s="1"/>
  <c r="Y37" i="10" s="1"/>
  <c r="A37" i="10"/>
  <c r="O36" i="10"/>
  <c r="Q36" i="10" s="1"/>
  <c r="Y36" i="10" s="1"/>
  <c r="A36" i="10"/>
  <c r="O35" i="10"/>
  <c r="Q35" i="10" s="1"/>
  <c r="A35" i="10"/>
  <c r="O34" i="10"/>
  <c r="Q34" i="10" s="1"/>
  <c r="AA34" i="10" s="1"/>
  <c r="A34" i="10"/>
  <c r="O33" i="10"/>
  <c r="Q33" i="10" s="1"/>
  <c r="A33" i="10"/>
  <c r="O32" i="10"/>
  <c r="Q32" i="10" s="1"/>
  <c r="AB32" i="10" s="1"/>
  <c r="A32" i="10"/>
  <c r="O31" i="10"/>
  <c r="Q31" i="10" s="1"/>
  <c r="A31" i="10"/>
  <c r="O30" i="10"/>
  <c r="Q30" i="10" s="1"/>
  <c r="A30" i="10"/>
  <c r="O29" i="10"/>
  <c r="Q29" i="10" s="1"/>
  <c r="A29" i="10"/>
  <c r="AB28" i="10"/>
  <c r="AA28" i="10"/>
  <c r="Z28" i="10"/>
  <c r="Y28" i="10"/>
  <c r="X28" i="10"/>
  <c r="W28" i="10"/>
  <c r="V28" i="10"/>
  <c r="U28" i="10"/>
  <c r="T28" i="10"/>
  <c r="S28" i="10"/>
  <c r="R28" i="10"/>
  <c r="O28" i="10"/>
  <c r="A28" i="10"/>
  <c r="O27" i="10"/>
  <c r="Q27" i="10" s="1"/>
  <c r="A27" i="10"/>
  <c r="O26" i="10"/>
  <c r="Q26" i="10" s="1"/>
  <c r="A26" i="10"/>
  <c r="O25" i="10"/>
  <c r="Q25" i="10" s="1"/>
  <c r="A25" i="10"/>
  <c r="O24" i="10"/>
  <c r="Q24" i="10" s="1"/>
  <c r="AB24" i="10" s="1"/>
  <c r="A24" i="10"/>
  <c r="O23" i="10"/>
  <c r="Q23" i="10" s="1"/>
  <c r="A23" i="10"/>
  <c r="O22" i="10"/>
  <c r="Q22" i="10" s="1"/>
  <c r="A22" i="10"/>
  <c r="O21" i="10"/>
  <c r="Q21" i="10" s="1"/>
  <c r="Z21" i="10" s="1"/>
  <c r="A21" i="10"/>
  <c r="O20" i="10"/>
  <c r="Q20" i="10" s="1"/>
  <c r="Z20" i="10" s="1"/>
  <c r="A20" i="10"/>
  <c r="O19" i="10"/>
  <c r="Q19" i="10" s="1"/>
  <c r="AB19" i="10" s="1"/>
  <c r="A19" i="10"/>
  <c r="O18" i="10"/>
  <c r="Q18" i="10" s="1"/>
  <c r="V18" i="10" s="1"/>
  <c r="A18" i="10"/>
  <c r="O17" i="10"/>
  <c r="Q17" i="10" s="1"/>
  <c r="A17" i="10"/>
  <c r="O16" i="10"/>
  <c r="Q16" i="10" s="1"/>
  <c r="A16" i="10"/>
  <c r="O15" i="10"/>
  <c r="Q15" i="10" s="1"/>
  <c r="A15" i="10"/>
  <c r="O14" i="10"/>
  <c r="Q14" i="10" s="1"/>
  <c r="A14" i="10"/>
  <c r="O13" i="10"/>
  <c r="Q13" i="10" s="1"/>
  <c r="A13" i="10"/>
  <c r="P8" i="10"/>
  <c r="D8" i="10"/>
  <c r="O7" i="10"/>
  <c r="Q7" i="10" s="1"/>
  <c r="S7" i="10" s="1"/>
  <c r="A7" i="10"/>
  <c r="O6" i="10"/>
  <c r="A6" i="10"/>
  <c r="O5" i="10"/>
  <c r="A5" i="10"/>
  <c r="R4" i="10"/>
  <c r="N4" i="10"/>
  <c r="N8" i="10" s="1"/>
  <c r="M4" i="10"/>
  <c r="M8" i="10" s="1"/>
  <c r="L4" i="10"/>
  <c r="L8" i="10" s="1"/>
  <c r="J4" i="10"/>
  <c r="J8" i="10" s="1"/>
  <c r="J84" i="10" s="1"/>
  <c r="I4" i="10"/>
  <c r="I8" i="10" s="1"/>
  <c r="I84" i="10" s="1"/>
  <c r="H4" i="10"/>
  <c r="H8" i="10" s="1"/>
  <c r="H84" i="10" s="1"/>
  <c r="G4" i="10"/>
  <c r="G8" i="10" s="1"/>
  <c r="G84" i="10" s="1"/>
  <c r="F4" i="10"/>
  <c r="F8" i="10" s="1"/>
  <c r="E4" i="10"/>
  <c r="E8" i="10" s="1"/>
  <c r="S47" i="6" l="1"/>
  <c r="R46" i="6"/>
  <c r="AI46" i="6"/>
  <c r="AH46" i="6"/>
  <c r="AG46" i="6"/>
  <c r="AF46" i="6"/>
  <c r="M84" i="10"/>
  <c r="AB18" i="10"/>
  <c r="E84" i="10"/>
  <c r="D84" i="10"/>
  <c r="L84" i="10"/>
  <c r="U18" i="10"/>
  <c r="Q59" i="10"/>
  <c r="T7" i="10"/>
  <c r="X7" i="10"/>
  <c r="R7" i="10"/>
  <c r="AB7" i="10"/>
  <c r="AA7" i="10"/>
  <c r="R13" i="10"/>
  <c r="Z13" i="10"/>
  <c r="W13" i="10"/>
  <c r="Y68" i="10"/>
  <c r="V68" i="10"/>
  <c r="Y73" i="10"/>
  <c r="S73" i="10"/>
  <c r="U73" i="10"/>
  <c r="R73" i="10"/>
  <c r="S20" i="10"/>
  <c r="U32" i="10"/>
  <c r="S38" i="10"/>
  <c r="AB20" i="10"/>
  <c r="X38" i="10"/>
  <c r="F84" i="10"/>
  <c r="U36" i="10"/>
  <c r="R42" i="10"/>
  <c r="O90" i="10"/>
  <c r="O4" i="10"/>
  <c r="Q4" i="10" s="1"/>
  <c r="Z7" i="10"/>
  <c r="AC78" i="10"/>
  <c r="N84" i="10"/>
  <c r="V30" i="10"/>
  <c r="AA30" i="10"/>
  <c r="Z30" i="10"/>
  <c r="W30" i="10"/>
  <c r="S30" i="10"/>
  <c r="R30" i="10"/>
  <c r="Z25" i="10"/>
  <c r="AA25" i="10"/>
  <c r="W25" i="10"/>
  <c r="V25" i="10"/>
  <c r="S25" i="10"/>
  <c r="U31" i="10"/>
  <c r="Z31" i="10"/>
  <c r="V31" i="10"/>
  <c r="R31" i="10"/>
  <c r="Y43" i="10"/>
  <c r="V43" i="10"/>
  <c r="Y64" i="10"/>
  <c r="Z64" i="10"/>
  <c r="R64" i="10"/>
  <c r="Y75" i="10"/>
  <c r="Z75" i="10"/>
  <c r="R75" i="10"/>
  <c r="Z17" i="10"/>
  <c r="U17" i="10"/>
  <c r="S17" i="10"/>
  <c r="AA17" i="10"/>
  <c r="W17" i="10"/>
  <c r="V17" i="10"/>
  <c r="Y35" i="10"/>
  <c r="W35" i="10"/>
  <c r="T35" i="10"/>
  <c r="X35" i="10"/>
  <c r="Y74" i="10"/>
  <c r="S74" i="10"/>
  <c r="R74" i="10"/>
  <c r="AB74" i="10"/>
  <c r="AA74" i="10"/>
  <c r="Z74" i="10"/>
  <c r="U74" i="10"/>
  <c r="T74" i="10"/>
  <c r="AA40" i="10"/>
  <c r="X40" i="10"/>
  <c r="AA45" i="10"/>
  <c r="AB45" i="10"/>
  <c r="U45" i="10"/>
  <c r="T45" i="10"/>
  <c r="AA53" i="10"/>
  <c r="U53" i="10"/>
  <c r="T53" i="10"/>
  <c r="AB53" i="10"/>
  <c r="W53" i="10"/>
  <c r="Y69" i="10"/>
  <c r="AB69" i="10"/>
  <c r="AA69" i="10"/>
  <c r="Z69" i="10"/>
  <c r="T69" i="10"/>
  <c r="S69" i="10"/>
  <c r="R69" i="10"/>
  <c r="S13" i="10"/>
  <c r="V34" i="10"/>
  <c r="S68" i="10"/>
  <c r="S70" i="10" s="1"/>
  <c r="S72" i="10" s="1"/>
  <c r="Z73" i="10"/>
  <c r="W34" i="10"/>
  <c r="T68" i="10"/>
  <c r="T70" i="10" s="1"/>
  <c r="T72" i="10" s="1"/>
  <c r="AA73" i="10"/>
  <c r="Y13" i="10"/>
  <c r="AB34" i="10"/>
  <c r="R38" i="10"/>
  <c r="U68" i="10"/>
  <c r="AB73" i="10"/>
  <c r="AA13" i="10"/>
  <c r="T38" i="10"/>
  <c r="X42" i="10"/>
  <c r="R48" i="10"/>
  <c r="T54" i="10"/>
  <c r="R56" i="10"/>
  <c r="T61" i="10"/>
  <c r="W68" i="10"/>
  <c r="Y21" i="10"/>
  <c r="T18" i="10"/>
  <c r="U38" i="10"/>
  <c r="Z48" i="10"/>
  <c r="Z56" i="10"/>
  <c r="U61" i="10"/>
  <c r="S63" i="10"/>
  <c r="Z68" i="10"/>
  <c r="T73" i="10"/>
  <c r="V61" i="10"/>
  <c r="AA68" i="10"/>
  <c r="AA20" i="10"/>
  <c r="S34" i="10"/>
  <c r="U37" i="10"/>
  <c r="AB38" i="10"/>
  <c r="W51" i="10"/>
  <c r="AB61" i="10"/>
  <c r="R68" i="10"/>
  <c r="AB68" i="10"/>
  <c r="V73" i="10"/>
  <c r="E91" i="10"/>
  <c r="U14" i="10"/>
  <c r="AB14" i="10"/>
  <c r="T14" i="10"/>
  <c r="AA14" i="10"/>
  <c r="S14" i="10"/>
  <c r="W14" i="10"/>
  <c r="V14" i="10"/>
  <c r="X14" i="10"/>
  <c r="R14" i="10"/>
  <c r="Z14" i="10"/>
  <c r="Y14" i="10"/>
  <c r="U22" i="10"/>
  <c r="AB22" i="10"/>
  <c r="T22" i="10"/>
  <c r="AA22" i="10"/>
  <c r="S22" i="10"/>
  <c r="W22" i="10"/>
  <c r="Z22" i="10"/>
  <c r="Y22" i="10"/>
  <c r="X22" i="10"/>
  <c r="R22" i="10"/>
  <c r="V22" i="10"/>
  <c r="AB15" i="10"/>
  <c r="T15" i="10"/>
  <c r="AA15" i="10"/>
  <c r="S15" i="10"/>
  <c r="Z15" i="10"/>
  <c r="R15" i="10"/>
  <c r="V15" i="10"/>
  <c r="U15" i="10"/>
  <c r="Y15" i="10"/>
  <c r="X15" i="10"/>
  <c r="W15" i="10"/>
  <c r="AB23" i="10"/>
  <c r="T23" i="10"/>
  <c r="AA23" i="10"/>
  <c r="S23" i="10"/>
  <c r="Z23" i="10"/>
  <c r="R23" i="10"/>
  <c r="W23" i="10"/>
  <c r="V23" i="10"/>
  <c r="Y23" i="10"/>
  <c r="X23" i="10"/>
  <c r="U23" i="10"/>
  <c r="AA16" i="10"/>
  <c r="S16" i="10"/>
  <c r="Z16" i="10"/>
  <c r="R16" i="10"/>
  <c r="Y16" i="10"/>
  <c r="U16" i="10"/>
  <c r="U19" i="10"/>
  <c r="V21" i="10"/>
  <c r="U21" i="10"/>
  <c r="AB21" i="10"/>
  <c r="T21" i="10"/>
  <c r="X21" i="10"/>
  <c r="X49" i="10"/>
  <c r="W49" i="10"/>
  <c r="V49" i="10"/>
  <c r="U49" i="10"/>
  <c r="AB49" i="10"/>
  <c r="T49" i="10"/>
  <c r="AA49" i="10"/>
  <c r="S49" i="10"/>
  <c r="Z49" i="10"/>
  <c r="R49" i="10"/>
  <c r="Y49" i="10"/>
  <c r="W16" i="10"/>
  <c r="T20" i="10"/>
  <c r="R21" i="10"/>
  <c r="AA24" i="10"/>
  <c r="S24" i="10"/>
  <c r="Z24" i="10"/>
  <c r="R24" i="10"/>
  <c r="Y24" i="10"/>
  <c r="W24" i="10"/>
  <c r="V24" i="10"/>
  <c r="U24" i="10"/>
  <c r="X16" i="10"/>
  <c r="Y18" i="10"/>
  <c r="X18" i="10"/>
  <c r="W18" i="10"/>
  <c r="AA18" i="10"/>
  <c r="S18" i="10"/>
  <c r="AA19" i="10"/>
  <c r="X20" i="10"/>
  <c r="S21" i="10"/>
  <c r="T24" i="10"/>
  <c r="X27" i="10"/>
  <c r="W27" i="10"/>
  <c r="V27" i="10"/>
  <c r="U27" i="10"/>
  <c r="AB27" i="10"/>
  <c r="T27" i="10"/>
  <c r="AA27" i="10"/>
  <c r="S27" i="10"/>
  <c r="Z27" i="10"/>
  <c r="R27" i="10"/>
  <c r="W29" i="10"/>
  <c r="V29" i="10"/>
  <c r="U29" i="10"/>
  <c r="AB29" i="10"/>
  <c r="T29" i="10"/>
  <c r="AA29" i="10"/>
  <c r="S29" i="10"/>
  <c r="Z29" i="10"/>
  <c r="R29" i="10"/>
  <c r="Y29" i="10"/>
  <c r="AA33" i="10"/>
  <c r="S33" i="10"/>
  <c r="Z33" i="10"/>
  <c r="R33" i="10"/>
  <c r="Y33" i="10"/>
  <c r="X33" i="10"/>
  <c r="W33" i="10"/>
  <c r="V33" i="10"/>
  <c r="U33" i="10"/>
  <c r="V16" i="10"/>
  <c r="Y19" i="10"/>
  <c r="AC28" i="10"/>
  <c r="W7" i="10"/>
  <c r="V7" i="10"/>
  <c r="U7" i="10"/>
  <c r="Y7" i="10"/>
  <c r="V13" i="10"/>
  <c r="U13" i="10"/>
  <c r="AB13" i="10"/>
  <c r="T13" i="10"/>
  <c r="X13" i="10"/>
  <c r="AB16" i="10"/>
  <c r="R18" i="10"/>
  <c r="W21" i="10"/>
  <c r="X24" i="10"/>
  <c r="Y27" i="10"/>
  <c r="X29" i="10"/>
  <c r="T33" i="10"/>
  <c r="P82" i="10"/>
  <c r="P84" i="10" s="1"/>
  <c r="AB33" i="10"/>
  <c r="X19" i="10"/>
  <c r="W19" i="10"/>
  <c r="V19" i="10"/>
  <c r="Z19" i="10"/>
  <c r="R19" i="10"/>
  <c r="Y26" i="10"/>
  <c r="X26" i="10"/>
  <c r="W26" i="10"/>
  <c r="V26" i="10"/>
  <c r="U26" i="10"/>
  <c r="AB26" i="10"/>
  <c r="T26" i="10"/>
  <c r="AA26" i="10"/>
  <c r="S26" i="10"/>
  <c r="W41" i="10"/>
  <c r="V41" i="10"/>
  <c r="U41" i="10"/>
  <c r="AB41" i="10"/>
  <c r="T41" i="10"/>
  <c r="Z41" i="10"/>
  <c r="R41" i="10"/>
  <c r="AA41" i="10"/>
  <c r="Y41" i="10"/>
  <c r="X41" i="10"/>
  <c r="S41" i="10"/>
  <c r="S19" i="10"/>
  <c r="W20" i="10"/>
  <c r="V20" i="10"/>
  <c r="U20" i="10"/>
  <c r="Y20" i="10"/>
  <c r="AA21" i="10"/>
  <c r="R26" i="10"/>
  <c r="X39" i="10"/>
  <c r="W39" i="10"/>
  <c r="V39" i="10"/>
  <c r="AA39" i="10"/>
  <c r="Z39" i="10"/>
  <c r="Y39" i="10"/>
  <c r="U39" i="10"/>
  <c r="T39" i="10"/>
  <c r="S39" i="10"/>
  <c r="R39" i="10"/>
  <c r="T16" i="10"/>
  <c r="Z18" i="10"/>
  <c r="T19" i="10"/>
  <c r="R20" i="10"/>
  <c r="Z26" i="10"/>
  <c r="AB39" i="10"/>
  <c r="T17" i="10"/>
  <c r="AB17" i="10"/>
  <c r="T25" i="10"/>
  <c r="AB25" i="10"/>
  <c r="X30" i="10"/>
  <c r="W31" i="10"/>
  <c r="V32" i="10"/>
  <c r="T34" i="10"/>
  <c r="U35" i="10"/>
  <c r="V36" i="10"/>
  <c r="V37" i="10"/>
  <c r="Y40" i="10"/>
  <c r="X65" i="10"/>
  <c r="W65" i="10"/>
  <c r="V65" i="10"/>
  <c r="U65" i="10"/>
  <c r="AB65" i="10"/>
  <c r="T65" i="10"/>
  <c r="AA65" i="10"/>
  <c r="S65" i="10"/>
  <c r="Z65" i="10"/>
  <c r="R65" i="10"/>
  <c r="AC77" i="10"/>
  <c r="U81" i="10"/>
  <c r="AB81" i="10"/>
  <c r="T81" i="10"/>
  <c r="AA81" i="10"/>
  <c r="S81" i="10"/>
  <c r="Z81" i="10"/>
  <c r="R81" i="10"/>
  <c r="Y81" i="10"/>
  <c r="X81" i="10"/>
  <c r="W81" i="10"/>
  <c r="U25" i="10"/>
  <c r="Y30" i="10"/>
  <c r="X31" i="10"/>
  <c r="W32" i="10"/>
  <c r="U34" i="10"/>
  <c r="V35" i="10"/>
  <c r="W36" i="10"/>
  <c r="W37" i="10"/>
  <c r="Y38" i="10"/>
  <c r="W38" i="10"/>
  <c r="AA38" i="10"/>
  <c r="Z40" i="10"/>
  <c r="AA46" i="10"/>
  <c r="S46" i="10"/>
  <c r="Z46" i="10"/>
  <c r="R46" i="10"/>
  <c r="Y46" i="10"/>
  <c r="X46" i="10"/>
  <c r="W46" i="10"/>
  <c r="V46" i="10"/>
  <c r="U46" i="10"/>
  <c r="W79" i="10"/>
  <c r="V79" i="10"/>
  <c r="U79" i="10"/>
  <c r="AB79" i="10"/>
  <c r="T79" i="10"/>
  <c r="AA79" i="10"/>
  <c r="S79" i="10"/>
  <c r="Z79" i="10"/>
  <c r="R79" i="10"/>
  <c r="Y79" i="10"/>
  <c r="Y31" i="10"/>
  <c r="X32" i="10"/>
  <c r="X36" i="10"/>
  <c r="T46" i="10"/>
  <c r="W50" i="10"/>
  <c r="V50" i="10"/>
  <c r="U50" i="10"/>
  <c r="AB50" i="10"/>
  <c r="T50" i="10"/>
  <c r="AA50" i="10"/>
  <c r="S50" i="10"/>
  <c r="Z50" i="10"/>
  <c r="R50" i="10"/>
  <c r="Y50" i="10"/>
  <c r="U52" i="10"/>
  <c r="AB52" i="10"/>
  <c r="T52" i="10"/>
  <c r="AA52" i="10"/>
  <c r="S52" i="10"/>
  <c r="Z52" i="10"/>
  <c r="R52" i="10"/>
  <c r="Y52" i="10"/>
  <c r="X52" i="10"/>
  <c r="W52" i="10"/>
  <c r="Z55" i="10"/>
  <c r="R55" i="10"/>
  <c r="Y55" i="10"/>
  <c r="X55" i="10"/>
  <c r="W55" i="10"/>
  <c r="V55" i="10"/>
  <c r="U55" i="10"/>
  <c r="AB55" i="10"/>
  <c r="T55" i="10"/>
  <c r="AA62" i="10"/>
  <c r="S62" i="10"/>
  <c r="Z62" i="10"/>
  <c r="R62" i="10"/>
  <c r="Y62" i="10"/>
  <c r="X62" i="10"/>
  <c r="W62" i="10"/>
  <c r="V62" i="10"/>
  <c r="U62" i="10"/>
  <c r="X79" i="10"/>
  <c r="Z36" i="10"/>
  <c r="Z37" i="10"/>
  <c r="X37" i="10"/>
  <c r="AA37" i="10"/>
  <c r="W40" i="10"/>
  <c r="V40" i="10"/>
  <c r="U40" i="10"/>
  <c r="AB40" i="10"/>
  <c r="AB44" i="10"/>
  <c r="T44" i="10"/>
  <c r="AA44" i="10"/>
  <c r="S44" i="10"/>
  <c r="Z44" i="10"/>
  <c r="R44" i="10"/>
  <c r="Y44" i="10"/>
  <c r="W44" i="10"/>
  <c r="W66" i="10"/>
  <c r="V66" i="10"/>
  <c r="U66" i="10"/>
  <c r="AB66" i="10"/>
  <c r="T66" i="10"/>
  <c r="AA66" i="10"/>
  <c r="S66" i="10"/>
  <c r="Z66" i="10"/>
  <c r="R66" i="10"/>
  <c r="Y66" i="10"/>
  <c r="O82" i="10"/>
  <c r="Y32" i="10"/>
  <c r="X17" i="10"/>
  <c r="X25" i="10"/>
  <c r="T30" i="10"/>
  <c r="AB30" i="10"/>
  <c r="S31" i="10"/>
  <c r="AA31" i="10"/>
  <c r="R32" i="10"/>
  <c r="Z32" i="10"/>
  <c r="X34" i="10"/>
  <c r="R36" i="10"/>
  <c r="AA36" i="10"/>
  <c r="R37" i="10"/>
  <c r="AB37" i="10"/>
  <c r="R40" i="10"/>
  <c r="V42" i="10"/>
  <c r="U42" i="10"/>
  <c r="AB42" i="10"/>
  <c r="T42" i="10"/>
  <c r="AA42" i="10"/>
  <c r="S42" i="10"/>
  <c r="Y42" i="10"/>
  <c r="U43" i="10"/>
  <c r="AB43" i="10"/>
  <c r="T43" i="10"/>
  <c r="AA43" i="10"/>
  <c r="S43" i="10"/>
  <c r="Z43" i="10"/>
  <c r="R43" i="10"/>
  <c r="X43" i="10"/>
  <c r="U44" i="10"/>
  <c r="AA55" i="10"/>
  <c r="X57" i="10"/>
  <c r="W57" i="10"/>
  <c r="V57" i="10"/>
  <c r="U57" i="10"/>
  <c r="AB57" i="10"/>
  <c r="T57" i="10"/>
  <c r="AA57" i="10"/>
  <c r="S57" i="10"/>
  <c r="Z57" i="10"/>
  <c r="R57" i="10"/>
  <c r="AB62" i="10"/>
  <c r="X66" i="10"/>
  <c r="X76" i="10"/>
  <c r="W76" i="10"/>
  <c r="V76" i="10"/>
  <c r="U76" i="10"/>
  <c r="AB76" i="10"/>
  <c r="T76" i="10"/>
  <c r="AA76" i="10"/>
  <c r="S76" i="10"/>
  <c r="Z76" i="10"/>
  <c r="R76" i="10"/>
  <c r="V80" i="10"/>
  <c r="U80" i="10"/>
  <c r="AB80" i="10"/>
  <c r="T80" i="10"/>
  <c r="AA80" i="10"/>
  <c r="S80" i="10"/>
  <c r="Z80" i="10"/>
  <c r="R80" i="10"/>
  <c r="Y80" i="10"/>
  <c r="X80" i="10"/>
  <c r="Y25" i="10"/>
  <c r="U30" i="10"/>
  <c r="T31" i="10"/>
  <c r="AB31" i="10"/>
  <c r="S32" i="10"/>
  <c r="AA32" i="10"/>
  <c r="Y34" i="10"/>
  <c r="Z35" i="10"/>
  <c r="R35" i="10"/>
  <c r="AA35" i="10"/>
  <c r="S36" i="10"/>
  <c r="AB36" i="10"/>
  <c r="S37" i="10"/>
  <c r="S40" i="10"/>
  <c r="Z47" i="10"/>
  <c r="R47" i="10"/>
  <c r="Y47" i="10"/>
  <c r="X47" i="10"/>
  <c r="W47" i="10"/>
  <c r="V47" i="10"/>
  <c r="U47" i="10"/>
  <c r="AB47" i="10"/>
  <c r="T47" i="10"/>
  <c r="AE78" i="10"/>
  <c r="AD78" i="10"/>
  <c r="Y17" i="10"/>
  <c r="R17" i="10"/>
  <c r="R25" i="10"/>
  <c r="T32" i="10"/>
  <c r="R34" i="10"/>
  <c r="Z34" i="10"/>
  <c r="S35" i="10"/>
  <c r="AB35" i="10"/>
  <c r="T36" i="10"/>
  <c r="T37" i="10"/>
  <c r="V38" i="10"/>
  <c r="T40" i="10"/>
  <c r="W42" i="10"/>
  <c r="W43" i="10"/>
  <c r="X44" i="10"/>
  <c r="S47" i="10"/>
  <c r="AA54" i="10"/>
  <c r="S54" i="10"/>
  <c r="Z54" i="10"/>
  <c r="R54" i="10"/>
  <c r="Y54" i="10"/>
  <c r="X54" i="10"/>
  <c r="W54" i="10"/>
  <c r="V54" i="10"/>
  <c r="U54" i="10"/>
  <c r="Q58" i="10"/>
  <c r="U60" i="10"/>
  <c r="AB60" i="10"/>
  <c r="T60" i="10"/>
  <c r="AA60" i="10"/>
  <c r="S60" i="10"/>
  <c r="Z60" i="10"/>
  <c r="R60" i="10"/>
  <c r="Y60" i="10"/>
  <c r="X60" i="10"/>
  <c r="W60" i="10"/>
  <c r="Z63" i="10"/>
  <c r="R63" i="10"/>
  <c r="Y63" i="10"/>
  <c r="X63" i="10"/>
  <c r="W63" i="10"/>
  <c r="V63" i="10"/>
  <c r="U63" i="10"/>
  <c r="AB63" i="10"/>
  <c r="T63" i="10"/>
  <c r="V67" i="10"/>
  <c r="U67" i="10"/>
  <c r="AB67" i="10"/>
  <c r="T67" i="10"/>
  <c r="AA67" i="10"/>
  <c r="S67" i="10"/>
  <c r="Z67" i="10"/>
  <c r="R67" i="10"/>
  <c r="Y67" i="10"/>
  <c r="X67" i="10"/>
  <c r="V45" i="10"/>
  <c r="S48" i="10"/>
  <c r="AA48" i="10"/>
  <c r="X51" i="10"/>
  <c r="V53" i="10"/>
  <c r="S56" i="10"/>
  <c r="AA56" i="10"/>
  <c r="S64" i="10"/>
  <c r="AA64" i="10"/>
  <c r="S75" i="10"/>
  <c r="AA75" i="10"/>
  <c r="F91" i="10"/>
  <c r="W45" i="10"/>
  <c r="T48" i="10"/>
  <c r="AB48" i="10"/>
  <c r="Y51" i="10"/>
  <c r="T56" i="10"/>
  <c r="AB56" i="10"/>
  <c r="W61" i="10"/>
  <c r="T64" i="10"/>
  <c r="AB64" i="10"/>
  <c r="X68" i="10"/>
  <c r="W73" i="10"/>
  <c r="V74" i="10"/>
  <c r="U69" i="10"/>
  <c r="T75" i="10"/>
  <c r="AB75" i="10"/>
  <c r="G91" i="10"/>
  <c r="X45" i="10"/>
  <c r="U48" i="10"/>
  <c r="R51" i="10"/>
  <c r="Z51" i="10"/>
  <c r="X53" i="10"/>
  <c r="U56" i="10"/>
  <c r="X61" i="10"/>
  <c r="U64" i="10"/>
  <c r="X73" i="10"/>
  <c r="W74" i="10"/>
  <c r="V69" i="10"/>
  <c r="U75" i="10"/>
  <c r="H91" i="10"/>
  <c r="Y45" i="10"/>
  <c r="V48" i="10"/>
  <c r="S51" i="10"/>
  <c r="AA51" i="10"/>
  <c r="Y53" i="10"/>
  <c r="V56" i="10"/>
  <c r="Y61" i="10"/>
  <c r="V64" i="10"/>
  <c r="X74" i="10"/>
  <c r="W69" i="10"/>
  <c r="V75" i="10"/>
  <c r="I91" i="10"/>
  <c r="R45" i="10"/>
  <c r="Z45" i="10"/>
  <c r="W48" i="10"/>
  <c r="T51" i="10"/>
  <c r="AB51" i="10"/>
  <c r="R53" i="10"/>
  <c r="Z53" i="10"/>
  <c r="W56" i="10"/>
  <c r="R61" i="10"/>
  <c r="Z61" i="10"/>
  <c r="W64" i="10"/>
  <c r="X69" i="10"/>
  <c r="W75" i="10"/>
  <c r="K91" i="10"/>
  <c r="S45" i="10"/>
  <c r="X48" i="10"/>
  <c r="U51" i="10"/>
  <c r="S53" i="10"/>
  <c r="X56" i="10"/>
  <c r="S61" i="10"/>
  <c r="X64" i="10"/>
  <c r="X75" i="10"/>
  <c r="L91" i="10"/>
  <c r="A24" i="6"/>
  <c r="S48" i="6" l="1"/>
  <c r="S49" i="6" s="1"/>
  <c r="R47" i="6"/>
  <c r="AH47" i="6"/>
  <c r="AG47" i="6"/>
  <c r="AI47" i="6"/>
  <c r="AF47" i="6"/>
  <c r="U70" i="10"/>
  <c r="U72" i="10" s="1"/>
  <c r="Y70" i="10"/>
  <c r="Y72" i="10" s="1"/>
  <c r="Z70" i="10"/>
  <c r="Z72" i="10" s="1"/>
  <c r="X70" i="10"/>
  <c r="X72" i="10" s="1"/>
  <c r="AA70" i="10"/>
  <c r="AA72" i="10" s="1"/>
  <c r="W70" i="10"/>
  <c r="W72" i="10" s="1"/>
  <c r="V70" i="10"/>
  <c r="V72" i="10" s="1"/>
  <c r="O8" i="10"/>
  <c r="O84" i="10" s="1"/>
  <c r="O91" i="10"/>
  <c r="AC56" i="10"/>
  <c r="AE56" i="10" s="1"/>
  <c r="AC48" i="10"/>
  <c r="AD48" i="10" s="1"/>
  <c r="AC74" i="10"/>
  <c r="AC31" i="10"/>
  <c r="AC69" i="10"/>
  <c r="AE69" i="10" s="1"/>
  <c r="AC7" i="10"/>
  <c r="AD7" i="10" s="1"/>
  <c r="AC64" i="10"/>
  <c r="AC13" i="10"/>
  <c r="AD13" i="10" s="1"/>
  <c r="AC68" i="10"/>
  <c r="AD68" i="10" s="1"/>
  <c r="AC34" i="10"/>
  <c r="AE34" i="10" s="1"/>
  <c r="AC25" i="10"/>
  <c r="AC42" i="10"/>
  <c r="AD42" i="10" s="1"/>
  <c r="AC37" i="10"/>
  <c r="AE37" i="10" s="1"/>
  <c r="AC38" i="10"/>
  <c r="AE38" i="10" s="1"/>
  <c r="AC30" i="10"/>
  <c r="AD30" i="10" s="1"/>
  <c r="AC75" i="10"/>
  <c r="AE75" i="10" s="1"/>
  <c r="AE31" i="10"/>
  <c r="AD31" i="10"/>
  <c r="AE74" i="10"/>
  <c r="AD74" i="10"/>
  <c r="AE64" i="10"/>
  <c r="AD64" i="10"/>
  <c r="AC51" i="10"/>
  <c r="AC73" i="10"/>
  <c r="AC36" i="10"/>
  <c r="AC55" i="10"/>
  <c r="AC26" i="10"/>
  <c r="AC29" i="10"/>
  <c r="AC23" i="10"/>
  <c r="AC61" i="10"/>
  <c r="AC45" i="10"/>
  <c r="AC63" i="10"/>
  <c r="AC47" i="10"/>
  <c r="AC35" i="10"/>
  <c r="AC57" i="10"/>
  <c r="AC44" i="10"/>
  <c r="AC46" i="10"/>
  <c r="AC20" i="10"/>
  <c r="AC18" i="10"/>
  <c r="V6" i="10"/>
  <c r="AB5" i="10"/>
  <c r="T5" i="10"/>
  <c r="U6" i="10"/>
  <c r="AA5" i="10"/>
  <c r="AB6" i="10"/>
  <c r="T6" i="10"/>
  <c r="Z5" i="10"/>
  <c r="R5" i="10"/>
  <c r="X6" i="10"/>
  <c r="V5" i="10"/>
  <c r="Y6" i="10"/>
  <c r="X5" i="10"/>
  <c r="AA6" i="10"/>
  <c r="Z6" i="10"/>
  <c r="Y5" i="10"/>
  <c r="W5" i="10"/>
  <c r="W6" i="10"/>
  <c r="S6" i="10"/>
  <c r="U5" i="10"/>
  <c r="R6" i="10"/>
  <c r="S5" i="10"/>
  <c r="AC27" i="10"/>
  <c r="AC24" i="10"/>
  <c r="AC49" i="10"/>
  <c r="AC67" i="10"/>
  <c r="AD34" i="10"/>
  <c r="AC22" i="10"/>
  <c r="AC54" i="10"/>
  <c r="AC32" i="10"/>
  <c r="AC79" i="10"/>
  <c r="AE77" i="10"/>
  <c r="AD77" i="10"/>
  <c r="AC41" i="10"/>
  <c r="AC19" i="10"/>
  <c r="AC33" i="10"/>
  <c r="AC15" i="10"/>
  <c r="AC53" i="10"/>
  <c r="AE25" i="10"/>
  <c r="AD25" i="10"/>
  <c r="AC80" i="10"/>
  <c r="AC76" i="10"/>
  <c r="AC40" i="10"/>
  <c r="AC81" i="10"/>
  <c r="V59" i="10"/>
  <c r="W58" i="10"/>
  <c r="U59" i="10"/>
  <c r="U82" i="10" s="1"/>
  <c r="V58" i="10"/>
  <c r="AB59" i="10"/>
  <c r="T59" i="10"/>
  <c r="U58" i="10"/>
  <c r="AA59" i="10"/>
  <c r="S59" i="10"/>
  <c r="AB58" i="10"/>
  <c r="AB82" i="10" s="1"/>
  <c r="T58" i="10"/>
  <c r="T82" i="10" s="1"/>
  <c r="Z59" i="10"/>
  <c r="R59" i="10"/>
  <c r="AA58" i="10"/>
  <c r="AA82" i="10" s="1"/>
  <c r="S58" i="10"/>
  <c r="S82" i="10" s="1"/>
  <c r="Y59" i="10"/>
  <c r="Z58" i="10"/>
  <c r="R58" i="10"/>
  <c r="X59" i="10"/>
  <c r="Y58" i="10"/>
  <c r="W59" i="10"/>
  <c r="X58" i="10"/>
  <c r="AC17" i="10"/>
  <c r="AC66" i="10"/>
  <c r="AC62" i="10"/>
  <c r="AC52" i="10"/>
  <c r="AC50" i="10"/>
  <c r="AC65" i="10"/>
  <c r="AE28" i="10"/>
  <c r="AD28" i="10"/>
  <c r="AC21" i="10"/>
  <c r="AC16" i="10"/>
  <c r="AC60" i="10"/>
  <c r="AC43" i="10"/>
  <c r="AC39" i="10"/>
  <c r="AC14" i="10"/>
  <c r="AA49" i="6" l="1"/>
  <c r="X49" i="6"/>
  <c r="AG49" i="6"/>
  <c r="U49" i="6"/>
  <c r="AF49" i="6"/>
  <c r="AD49" i="6"/>
  <c r="Z49" i="6"/>
  <c r="Y49" i="6"/>
  <c r="V49" i="6"/>
  <c r="T49" i="6"/>
  <c r="AE49" i="6"/>
  <c r="AI49" i="6"/>
  <c r="W49" i="6"/>
  <c r="AC49" i="6"/>
  <c r="AH49" i="6"/>
  <c r="AB49" i="6"/>
  <c r="R49" i="6"/>
  <c r="AC48" i="6"/>
  <c r="V48" i="6"/>
  <c r="AD48" i="6"/>
  <c r="AA48" i="6"/>
  <c r="AE48" i="6"/>
  <c r="T48" i="6"/>
  <c r="AH48" i="6"/>
  <c r="W48" i="6"/>
  <c r="X48" i="6"/>
  <c r="S50" i="6"/>
  <c r="Y48" i="6"/>
  <c r="R48" i="6"/>
  <c r="Z48" i="6"/>
  <c r="AI48" i="6"/>
  <c r="AF48" i="6"/>
  <c r="AG48" i="6"/>
  <c r="AB48" i="6"/>
  <c r="U48" i="6"/>
  <c r="AE68" i="10"/>
  <c r="AE48" i="10"/>
  <c r="AE13" i="10"/>
  <c r="AD56" i="10"/>
  <c r="AD75" i="10"/>
  <c r="AE30" i="10"/>
  <c r="Y82" i="10"/>
  <c r="Y84" i="10" s="1"/>
  <c r="AE42" i="10"/>
  <c r="AD38" i="10"/>
  <c r="W82" i="10"/>
  <c r="Z82" i="10"/>
  <c r="AD37" i="10"/>
  <c r="X82" i="10"/>
  <c r="AD69" i="10"/>
  <c r="V82" i="10"/>
  <c r="AC6" i="10"/>
  <c r="X8" i="10"/>
  <c r="X4" i="10"/>
  <c r="AC58" i="10"/>
  <c r="AD21" i="10"/>
  <c r="AE21" i="10"/>
  <c r="AE32" i="10"/>
  <c r="AD32" i="10"/>
  <c r="W4" i="10"/>
  <c r="W8" i="10"/>
  <c r="AE36" i="10"/>
  <c r="AD36" i="10"/>
  <c r="AD17" i="10"/>
  <c r="AE17" i="10"/>
  <c r="AE81" i="10"/>
  <c r="AD81" i="10"/>
  <c r="AE33" i="10"/>
  <c r="AD33" i="10"/>
  <c r="AE54" i="10"/>
  <c r="AD54" i="10"/>
  <c r="AE24" i="10"/>
  <c r="AD24" i="10"/>
  <c r="Y4" i="10"/>
  <c r="Z4" i="10"/>
  <c r="Z8" i="10"/>
  <c r="AE18" i="10"/>
  <c r="AD18" i="10"/>
  <c r="AE45" i="10"/>
  <c r="AD45" i="10"/>
  <c r="AE73" i="10"/>
  <c r="AD73" i="10"/>
  <c r="AE44" i="10"/>
  <c r="AD44" i="10"/>
  <c r="AE43" i="10"/>
  <c r="AD43" i="10"/>
  <c r="U8" i="10"/>
  <c r="U84" i="10" s="1"/>
  <c r="U4" i="10"/>
  <c r="AE52" i="10"/>
  <c r="AD52" i="10"/>
  <c r="AE40" i="10"/>
  <c r="AD40" i="10"/>
  <c r="AE22" i="10"/>
  <c r="AD22" i="10"/>
  <c r="AE27" i="10"/>
  <c r="AD27" i="10"/>
  <c r="AE20" i="10"/>
  <c r="AD20" i="10"/>
  <c r="AE61" i="10"/>
  <c r="AD61" i="10"/>
  <c r="AD51" i="10"/>
  <c r="AE51" i="10"/>
  <c r="AE65" i="10"/>
  <c r="AD65" i="10"/>
  <c r="AD80" i="10"/>
  <c r="AE80" i="10"/>
  <c r="AE57" i="10"/>
  <c r="AD57" i="10"/>
  <c r="AE60" i="10"/>
  <c r="AD60" i="10"/>
  <c r="AE14" i="10"/>
  <c r="AD14" i="10"/>
  <c r="AE66" i="10"/>
  <c r="AD66" i="10"/>
  <c r="AD15" i="10"/>
  <c r="AE15" i="10"/>
  <c r="AE49" i="10"/>
  <c r="AD49" i="10"/>
  <c r="R8" i="10"/>
  <c r="AC5" i="10"/>
  <c r="AE63" i="10"/>
  <c r="AD63" i="10"/>
  <c r="AE39" i="10"/>
  <c r="AD39" i="10"/>
  <c r="AC59" i="10"/>
  <c r="AE76" i="10"/>
  <c r="AD76" i="10"/>
  <c r="AE19" i="10"/>
  <c r="AD19" i="10"/>
  <c r="R82" i="10"/>
  <c r="S4" i="10"/>
  <c r="S8" i="10"/>
  <c r="S84" i="10" s="1"/>
  <c r="AE46" i="10"/>
  <c r="AD46" i="10"/>
  <c r="AE23" i="10"/>
  <c r="AD23" i="10"/>
  <c r="AE29" i="10"/>
  <c r="AD29" i="10"/>
  <c r="AE41" i="10"/>
  <c r="AD41" i="10"/>
  <c r="AA4" i="10"/>
  <c r="AA8" i="10"/>
  <c r="AA84" i="10" s="1"/>
  <c r="AE50" i="10"/>
  <c r="AD50" i="10"/>
  <c r="AD67" i="10"/>
  <c r="AE67" i="10"/>
  <c r="V8" i="10"/>
  <c r="V4" i="10"/>
  <c r="T8" i="10"/>
  <c r="T84" i="10" s="1"/>
  <c r="T4" i="10"/>
  <c r="AE35" i="10"/>
  <c r="AD35" i="10"/>
  <c r="AE26" i="10"/>
  <c r="AD26" i="10"/>
  <c r="AE16" i="10"/>
  <c r="AD16" i="10"/>
  <c r="AE62" i="10"/>
  <c r="AD62" i="10"/>
  <c r="AE53" i="10"/>
  <c r="AD53" i="10"/>
  <c r="AE79" i="10"/>
  <c r="AD79" i="10"/>
  <c r="AB8" i="10"/>
  <c r="AB84" i="10" s="1"/>
  <c r="AB4" i="10"/>
  <c r="AE47" i="10"/>
  <c r="AD47" i="10"/>
  <c r="AE55" i="10"/>
  <c r="AD55" i="10"/>
  <c r="AJ49" i="6" l="1"/>
  <c r="AK49" i="6" s="1"/>
  <c r="V50" i="6"/>
  <c r="AE50" i="6"/>
  <c r="AA50" i="6"/>
  <c r="W50" i="6"/>
  <c r="Z50" i="6"/>
  <c r="U50" i="6"/>
  <c r="S51" i="6"/>
  <c r="T50" i="6"/>
  <c r="R50" i="6"/>
  <c r="Y50" i="6"/>
  <c r="AF50" i="6"/>
  <c r="AB50" i="6"/>
  <c r="AH50" i="6"/>
  <c r="AC50" i="6"/>
  <c r="AG50" i="6"/>
  <c r="X50" i="6"/>
  <c r="AI50" i="6"/>
  <c r="AD50" i="6"/>
  <c r="AJ48" i="6"/>
  <c r="AK48" i="6" s="1"/>
  <c r="U43" i="6"/>
  <c r="AC43" i="6"/>
  <c r="V43" i="6"/>
  <c r="AD43" i="6"/>
  <c r="AE43" i="6"/>
  <c r="T43" i="6"/>
  <c r="W43" i="6"/>
  <c r="X43" i="6"/>
  <c r="Y43" i="6"/>
  <c r="AA43" i="6"/>
  <c r="AB43" i="6"/>
  <c r="Z43" i="6"/>
  <c r="Z84" i="10"/>
  <c r="W84" i="10"/>
  <c r="V84" i="10"/>
  <c r="R84" i="10"/>
  <c r="X84" i="10"/>
  <c r="AD59" i="10"/>
  <c r="AE59" i="10"/>
  <c r="AC8" i="10"/>
  <c r="AC4" i="10"/>
  <c r="AD4" i="10" s="1"/>
  <c r="AD8" i="10" s="1"/>
  <c r="AD12" i="10" s="1"/>
  <c r="AD58" i="10"/>
  <c r="AE58" i="10"/>
  <c r="AC82" i="10"/>
  <c r="AL49" i="6" l="1"/>
  <c r="AL48" i="6"/>
  <c r="AJ50" i="6"/>
  <c r="AK50" i="6" s="1"/>
  <c r="S52" i="6"/>
  <c r="AE51" i="6"/>
  <c r="R51" i="6"/>
  <c r="AA51" i="6"/>
  <c r="AG51" i="6"/>
  <c r="AF51" i="6"/>
  <c r="AB51" i="6"/>
  <c r="AC51" i="6"/>
  <c r="Y51" i="6"/>
  <c r="U51" i="6"/>
  <c r="AI51" i="6"/>
  <c r="V51" i="6"/>
  <c r="AH51" i="6"/>
  <c r="T51" i="6"/>
  <c r="AD51" i="6"/>
  <c r="X51" i="6"/>
  <c r="W51" i="6"/>
  <c r="Z51" i="6"/>
  <c r="AJ43" i="6"/>
  <c r="AC84" i="10"/>
  <c r="AJ51" i="6" l="1"/>
  <c r="AK51" i="6" s="1"/>
  <c r="R52" i="6"/>
  <c r="AG52" i="6"/>
  <c r="AF52" i="6"/>
  <c r="AI52" i="6"/>
  <c r="AH52" i="6"/>
  <c r="S53" i="6"/>
  <c r="S54" i="6" s="1"/>
  <c r="AL50" i="6"/>
  <c r="AL43" i="6"/>
  <c r="AK43" i="6"/>
  <c r="Z54" i="6" l="1"/>
  <c r="W54" i="6"/>
  <c r="AD54" i="6"/>
  <c r="AC54" i="6"/>
  <c r="AB54" i="6"/>
  <c r="AA54" i="6"/>
  <c r="Y54" i="6"/>
  <c r="X54" i="6"/>
  <c r="AI54" i="6"/>
  <c r="AH54" i="6"/>
  <c r="V54" i="6"/>
  <c r="AG54" i="6"/>
  <c r="U54" i="6"/>
  <c r="AF54" i="6"/>
  <c r="T54" i="6"/>
  <c r="AE54" i="6"/>
  <c r="R54" i="6"/>
  <c r="AL51" i="6"/>
  <c r="AC53" i="6"/>
  <c r="AA53" i="6"/>
  <c r="AB53" i="6"/>
  <c r="W53" i="6"/>
  <c r="AG53" i="6"/>
  <c r="AH53" i="6"/>
  <c r="T53" i="6"/>
  <c r="AD53" i="6"/>
  <c r="V53" i="6"/>
  <c r="R53" i="6"/>
  <c r="U53" i="6"/>
  <c r="S55" i="6"/>
  <c r="AD55" i="6" s="1"/>
  <c r="Z53" i="6"/>
  <c r="AE53" i="6"/>
  <c r="Y53" i="6"/>
  <c r="AF53" i="6"/>
  <c r="X53" i="6"/>
  <c r="AI53" i="6"/>
  <c r="X44" i="6"/>
  <c r="Y44" i="6"/>
  <c r="AB44" i="6"/>
  <c r="AC44" i="6"/>
  <c r="T44" i="6"/>
  <c r="AD44" i="6"/>
  <c r="U44" i="6"/>
  <c r="AE44" i="6"/>
  <c r="V44" i="6"/>
  <c r="Z44" i="6"/>
  <c r="W44" i="6"/>
  <c r="AA44" i="6"/>
  <c r="V35" i="6"/>
  <c r="AD35" i="6"/>
  <c r="W35" i="6"/>
  <c r="AE35" i="6"/>
  <c r="T35" i="6"/>
  <c r="AB35" i="6"/>
  <c r="U35" i="6"/>
  <c r="X35" i="6"/>
  <c r="Y35" i="6"/>
  <c r="Z35" i="6"/>
  <c r="AC35" i="6"/>
  <c r="AA35" i="6"/>
  <c r="W46" i="6"/>
  <c r="AE46" i="6"/>
  <c r="X46" i="6"/>
  <c r="AA46" i="6"/>
  <c r="AB46" i="6"/>
  <c r="AC46" i="6"/>
  <c r="T46" i="6"/>
  <c r="AD46" i="6"/>
  <c r="U46" i="6"/>
  <c r="Y46" i="6"/>
  <c r="V46" i="6"/>
  <c r="Z46" i="6"/>
  <c r="Y52" i="6"/>
  <c r="Z52" i="6"/>
  <c r="W52" i="6"/>
  <c r="X52" i="6"/>
  <c r="AA52" i="6"/>
  <c r="AB52" i="6"/>
  <c r="AC52" i="6"/>
  <c r="U52" i="6"/>
  <c r="AE52" i="6"/>
  <c r="T52" i="6"/>
  <c r="V52" i="6"/>
  <c r="AD52" i="6"/>
  <c r="Z47" i="6"/>
  <c r="AA47" i="6"/>
  <c r="X47" i="6"/>
  <c r="Y47" i="6"/>
  <c r="AB47" i="6"/>
  <c r="AC47" i="6"/>
  <c r="T47" i="6"/>
  <c r="AD47" i="6"/>
  <c r="V47" i="6"/>
  <c r="W47" i="6"/>
  <c r="AE47" i="6"/>
  <c r="U47" i="6"/>
  <c r="W40" i="6"/>
  <c r="AE40" i="6"/>
  <c r="X40" i="6"/>
  <c r="AC40" i="6"/>
  <c r="T40" i="6"/>
  <c r="AD40" i="6"/>
  <c r="U40" i="6"/>
  <c r="V40" i="6"/>
  <c r="Y40" i="6"/>
  <c r="AA40" i="6"/>
  <c r="Z40" i="6"/>
  <c r="AB40" i="6"/>
  <c r="Y36" i="6"/>
  <c r="Z36" i="6"/>
  <c r="W36" i="6"/>
  <c r="AE36" i="6"/>
  <c r="T36" i="6"/>
  <c r="U36" i="6"/>
  <c r="V36" i="6"/>
  <c r="X36" i="6"/>
  <c r="AA36" i="6"/>
  <c r="AC36" i="6"/>
  <c r="AD36" i="6"/>
  <c r="AB36" i="6"/>
  <c r="X42" i="6"/>
  <c r="Y42" i="6"/>
  <c r="V42" i="6"/>
  <c r="W42" i="6"/>
  <c r="Z42" i="6"/>
  <c r="AA42" i="6"/>
  <c r="AB42" i="6"/>
  <c r="T42" i="6"/>
  <c r="AD42" i="6"/>
  <c r="U42" i="6"/>
  <c r="AC42" i="6"/>
  <c r="AE42" i="6"/>
  <c r="V45" i="6"/>
  <c r="AD45" i="6"/>
  <c r="W45" i="6"/>
  <c r="AE45" i="6"/>
  <c r="X45" i="6"/>
  <c r="Y45" i="6"/>
  <c r="Z45" i="6"/>
  <c r="AA45" i="6"/>
  <c r="AB45" i="6"/>
  <c r="T45" i="6"/>
  <c r="U45" i="6"/>
  <c r="AC45" i="6"/>
  <c r="AJ54" i="6" l="1"/>
  <c r="AK54" i="6" s="1"/>
  <c r="AI55" i="6"/>
  <c r="AH55" i="6"/>
  <c r="AG55" i="6"/>
  <c r="S56" i="6"/>
  <c r="R55" i="6"/>
  <c r="AF55" i="6"/>
  <c r="X55" i="6"/>
  <c r="AC55" i="6"/>
  <c r="U55" i="6"/>
  <c r="Z55" i="6"/>
  <c r="AJ53" i="6"/>
  <c r="AK53" i="6" s="1"/>
  <c r="T55" i="6"/>
  <c r="Y55" i="6"/>
  <c r="W55" i="6"/>
  <c r="V55" i="6"/>
  <c r="AB55" i="6"/>
  <c r="AA55" i="6"/>
  <c r="AE55" i="6"/>
  <c r="AJ42" i="6"/>
  <c r="AJ47" i="6"/>
  <c r="AJ36" i="6"/>
  <c r="AJ35" i="6"/>
  <c r="AL35" i="6" s="1"/>
  <c r="AJ46" i="6"/>
  <c r="AJ45" i="6"/>
  <c r="AJ52" i="6"/>
  <c r="AJ40" i="6"/>
  <c r="AK40" i="6" s="1"/>
  <c r="AJ44" i="6"/>
  <c r="AL54" i="6" l="1"/>
  <c r="AJ55" i="6"/>
  <c r="AL55" i="6" s="1"/>
  <c r="AL53" i="6"/>
  <c r="AH56" i="6"/>
  <c r="Z56" i="6"/>
  <c r="X56" i="6"/>
  <c r="AE56" i="6"/>
  <c r="U56" i="6"/>
  <c r="AC56" i="6"/>
  <c r="Y56" i="6"/>
  <c r="S57" i="6"/>
  <c r="S58" i="6" s="1"/>
  <c r="W56" i="6"/>
  <c r="R56" i="6"/>
  <c r="V56" i="6"/>
  <c r="T56" i="6"/>
  <c r="AD56" i="6"/>
  <c r="AG56" i="6"/>
  <c r="AB56" i="6"/>
  <c r="AF56" i="6"/>
  <c r="AI56" i="6"/>
  <c r="AA56" i="6"/>
  <c r="O95" i="6"/>
  <c r="P95" i="6"/>
  <c r="L95" i="6"/>
  <c r="H95" i="6"/>
  <c r="AK35" i="6"/>
  <c r="AL40" i="6"/>
  <c r="AK47" i="6"/>
  <c r="AL47" i="6"/>
  <c r="AK46" i="6"/>
  <c r="AL46" i="6"/>
  <c r="AK42" i="6"/>
  <c r="AL42" i="6"/>
  <c r="AL52" i="6"/>
  <c r="AK52" i="6"/>
  <c r="AL36" i="6"/>
  <c r="AK36" i="6"/>
  <c r="AL45" i="6"/>
  <c r="AK45" i="6"/>
  <c r="AL44" i="6"/>
  <c r="AK44" i="6"/>
  <c r="N95" i="6"/>
  <c r="M95" i="6"/>
  <c r="K95" i="6"/>
  <c r="Z58" i="6" l="1"/>
  <c r="Y58" i="6"/>
  <c r="X58" i="6"/>
  <c r="AI58" i="6"/>
  <c r="W58" i="6"/>
  <c r="AA58" i="6"/>
  <c r="AH58" i="6"/>
  <c r="V58" i="6"/>
  <c r="AG58" i="6"/>
  <c r="U58" i="6"/>
  <c r="AF58" i="6"/>
  <c r="T58" i="6"/>
  <c r="AE58" i="6"/>
  <c r="AD58" i="6"/>
  <c r="AC58" i="6"/>
  <c r="AB58" i="6"/>
  <c r="R58" i="6"/>
  <c r="AK55" i="6"/>
  <c r="AJ56" i="6"/>
  <c r="AK56" i="6" s="1"/>
  <c r="AA57" i="6"/>
  <c r="AC57" i="6"/>
  <c r="AE57" i="6"/>
  <c r="W57" i="6"/>
  <c r="V57" i="6"/>
  <c r="AD57" i="6"/>
  <c r="AG57" i="6"/>
  <c r="U57" i="6"/>
  <c r="Z57" i="6"/>
  <c r="T57" i="6"/>
  <c r="Y57" i="6"/>
  <c r="S59" i="6"/>
  <c r="AB57" i="6"/>
  <c r="R57" i="6"/>
  <c r="AI57" i="6"/>
  <c r="AH57" i="6"/>
  <c r="AF57" i="6"/>
  <c r="X57" i="6"/>
  <c r="V25" i="6"/>
  <c r="AD25" i="6"/>
  <c r="W25" i="6"/>
  <c r="AE25" i="6"/>
  <c r="X25" i="6"/>
  <c r="T25" i="6"/>
  <c r="AB25" i="6"/>
  <c r="AA25" i="6"/>
  <c r="AC25" i="6"/>
  <c r="U25" i="6"/>
  <c r="Y25" i="6"/>
  <c r="Z25" i="6"/>
  <c r="T24" i="6"/>
  <c r="Y24" i="6"/>
  <c r="AD24" i="6"/>
  <c r="Z24" i="6"/>
  <c r="X24" i="6"/>
  <c r="V24" i="6"/>
  <c r="AC24" i="6"/>
  <c r="U24" i="6"/>
  <c r="W24" i="6"/>
  <c r="AE24" i="6"/>
  <c r="AB24" i="6"/>
  <c r="AA24" i="6"/>
  <c r="AJ58" i="6" l="1"/>
  <c r="AK58" i="6" s="1"/>
  <c r="AJ57" i="6"/>
  <c r="AK57" i="6" s="1"/>
  <c r="V59" i="6"/>
  <c r="AA59" i="6"/>
  <c r="R59" i="6"/>
  <c r="AD59" i="6"/>
  <c r="S60" i="6"/>
  <c r="AI59" i="6"/>
  <c r="X59" i="6"/>
  <c r="AH59" i="6"/>
  <c r="AG59" i="6"/>
  <c r="U59" i="6"/>
  <c r="AF59" i="6"/>
  <c r="Z59" i="6"/>
  <c r="Y59" i="6"/>
  <c r="AC59" i="6"/>
  <c r="T59" i="6"/>
  <c r="W59" i="6"/>
  <c r="AE59" i="6"/>
  <c r="AB59" i="6"/>
  <c r="AL56" i="6"/>
  <c r="W30" i="6"/>
  <c r="AE30" i="6"/>
  <c r="X30" i="6"/>
  <c r="U30" i="6"/>
  <c r="AC30" i="6"/>
  <c r="T30" i="6"/>
  <c r="V30" i="6"/>
  <c r="Y30" i="6"/>
  <c r="Z30" i="6"/>
  <c r="AA30" i="6"/>
  <c r="AB30" i="6"/>
  <c r="AD30" i="6"/>
  <c r="U32" i="6"/>
  <c r="AC32" i="6"/>
  <c r="V32" i="6"/>
  <c r="AD32" i="6"/>
  <c r="AA32" i="6"/>
  <c r="T32" i="6"/>
  <c r="W32" i="6"/>
  <c r="X32" i="6"/>
  <c r="Y32" i="6"/>
  <c r="Z32" i="6"/>
  <c r="AE32" i="6"/>
  <c r="AB32" i="6"/>
  <c r="Y26" i="6"/>
  <c r="Z26" i="6"/>
  <c r="AA26" i="6"/>
  <c r="W26" i="6"/>
  <c r="AE26" i="6"/>
  <c r="AD26" i="6"/>
  <c r="T26" i="6"/>
  <c r="U26" i="6"/>
  <c r="V26" i="6"/>
  <c r="X26" i="6"/>
  <c r="AB26" i="6"/>
  <c r="AC26" i="6"/>
  <c r="T27" i="6"/>
  <c r="AB27" i="6"/>
  <c r="AC27" i="6"/>
  <c r="AD27" i="6"/>
  <c r="U27" i="6"/>
  <c r="V27" i="6"/>
  <c r="W27" i="6"/>
  <c r="AE27" i="6"/>
  <c r="X27" i="6"/>
  <c r="Y27" i="6"/>
  <c r="Z27" i="6"/>
  <c r="AA27" i="6"/>
  <c r="AJ25" i="6"/>
  <c r="AL25" i="6" s="1"/>
  <c r="AJ24" i="6"/>
  <c r="J95" i="6"/>
  <c r="J94" i="6"/>
  <c r="AL58" i="6" l="1"/>
  <c r="AL57" i="6"/>
  <c r="AE60" i="6"/>
  <c r="T60" i="6"/>
  <c r="X60" i="6"/>
  <c r="S61" i="6"/>
  <c r="R60" i="6"/>
  <c r="AH60" i="6"/>
  <c r="AG60" i="6"/>
  <c r="AB60" i="6"/>
  <c r="W60" i="6"/>
  <c r="AC60" i="6"/>
  <c r="AD60" i="6"/>
  <c r="V60" i="6"/>
  <c r="Z60" i="6"/>
  <c r="U60" i="6"/>
  <c r="AI60" i="6"/>
  <c r="Y60" i="6"/>
  <c r="AF60" i="6"/>
  <c r="AA60" i="6"/>
  <c r="AJ59" i="6"/>
  <c r="AK59" i="6" s="1"/>
  <c r="AJ32" i="6"/>
  <c r="R5" i="6"/>
  <c r="R9" i="6" s="1"/>
  <c r="X33" i="6"/>
  <c r="Y33" i="6"/>
  <c r="V33" i="6"/>
  <c r="AD33" i="6"/>
  <c r="T33" i="6"/>
  <c r="U33" i="6"/>
  <c r="W33" i="6"/>
  <c r="Z33" i="6"/>
  <c r="AA33" i="6"/>
  <c r="AC33" i="6"/>
  <c r="AB33" i="6"/>
  <c r="AE33" i="6"/>
  <c r="AJ26" i="6"/>
  <c r="AL26" i="6" s="1"/>
  <c r="AJ30" i="6"/>
  <c r="AJ27" i="6"/>
  <c r="AL27" i="6" s="1"/>
  <c r="AL24" i="6"/>
  <c r="AK24" i="6"/>
  <c r="AL59" i="6" l="1"/>
  <c r="W61" i="6"/>
  <c r="AA61" i="6"/>
  <c r="U61" i="6"/>
  <c r="R61" i="6"/>
  <c r="Z61" i="6"/>
  <c r="V61" i="6"/>
  <c r="AF61" i="6"/>
  <c r="AH61" i="6"/>
  <c r="AC61" i="6"/>
  <c r="Y61" i="6"/>
  <c r="X61" i="6"/>
  <c r="S62" i="6"/>
  <c r="AE61" i="6"/>
  <c r="AD61" i="6"/>
  <c r="AI61" i="6"/>
  <c r="AG61" i="6"/>
  <c r="AB61" i="6"/>
  <c r="T61" i="6"/>
  <c r="AJ60" i="6"/>
  <c r="AK60" i="6" s="1"/>
  <c r="AJ33" i="6"/>
  <c r="AK30" i="6"/>
  <c r="AL30" i="6"/>
  <c r="AL32" i="6"/>
  <c r="AK32" i="6"/>
  <c r="AK26" i="6"/>
  <c r="AK27" i="6"/>
  <c r="AK25" i="6"/>
  <c r="AJ61" i="6" l="1"/>
  <c r="AK61" i="6" s="1"/>
  <c r="AI62" i="6"/>
  <c r="V62" i="6"/>
  <c r="X62" i="6"/>
  <c r="Z62" i="6"/>
  <c r="AB62" i="6"/>
  <c r="AD62" i="6"/>
  <c r="T62" i="6"/>
  <c r="U62" i="6"/>
  <c r="S63" i="6"/>
  <c r="S64" i="6" s="1"/>
  <c r="AC62" i="6"/>
  <c r="AH62" i="6"/>
  <c r="AE62" i="6"/>
  <c r="AF62" i="6"/>
  <c r="AA62" i="6"/>
  <c r="W62" i="6"/>
  <c r="R62" i="6"/>
  <c r="Y62" i="6"/>
  <c r="AG62" i="6"/>
  <c r="AL60" i="6"/>
  <c r="AL33" i="6"/>
  <c r="AK33" i="6"/>
  <c r="T5" i="6"/>
  <c r="AC64" i="6" l="1"/>
  <c r="W64" i="6"/>
  <c r="AB64" i="6"/>
  <c r="AD64" i="6"/>
  <c r="AE64" i="6"/>
  <c r="X64" i="6"/>
  <c r="Y64" i="6"/>
  <c r="AA64" i="6"/>
  <c r="T64" i="6"/>
  <c r="AF64" i="6"/>
  <c r="AI64" i="6"/>
  <c r="U64" i="6"/>
  <c r="AG64" i="6"/>
  <c r="V64" i="6"/>
  <c r="AH64" i="6"/>
  <c r="Z64" i="6"/>
  <c r="R64" i="6"/>
  <c r="AL61" i="6"/>
  <c r="AJ62" i="6"/>
  <c r="AK62" i="6" s="1"/>
  <c r="V63" i="6"/>
  <c r="T63" i="6"/>
  <c r="AB63" i="6"/>
  <c r="R63" i="6"/>
  <c r="AG63" i="6"/>
  <c r="AF63" i="6"/>
  <c r="AI63" i="6"/>
  <c r="AH63" i="6"/>
  <c r="X63" i="6"/>
  <c r="Y63" i="6"/>
  <c r="AC63" i="6"/>
  <c r="AE63" i="6"/>
  <c r="AD63" i="6"/>
  <c r="U63" i="6"/>
  <c r="AA63" i="6"/>
  <c r="W63" i="6"/>
  <c r="Z63" i="6"/>
  <c r="AJ64" i="6" l="1"/>
  <c r="AK64" i="6" s="1"/>
  <c r="AL62" i="6"/>
  <c r="AJ63" i="6"/>
  <c r="AK63" i="6" s="1"/>
  <c r="S65" i="6"/>
  <c r="T7" i="6"/>
  <c r="AB7" i="6"/>
  <c r="AB6" i="6"/>
  <c r="Y7" i="6"/>
  <c r="U7" i="6"/>
  <c r="AC7" i="6"/>
  <c r="U6" i="6"/>
  <c r="AC6" i="6"/>
  <c r="X6" i="6"/>
  <c r="Y6" i="6"/>
  <c r="V7" i="6"/>
  <c r="AD7" i="6"/>
  <c r="V6" i="6"/>
  <c r="AD6" i="6"/>
  <c r="X7" i="6"/>
  <c r="W7" i="6"/>
  <c r="AE7" i="6"/>
  <c r="W6" i="6"/>
  <c r="AE6" i="6"/>
  <c r="Z7" i="6"/>
  <c r="Z6" i="6"/>
  <c r="AA7" i="6"/>
  <c r="AA6" i="6"/>
  <c r="T6" i="6"/>
  <c r="AL64" i="6" l="1"/>
  <c r="AH65" i="6"/>
  <c r="AG65" i="6"/>
  <c r="AD65" i="6"/>
  <c r="S66" i="6"/>
  <c r="S67" i="6" s="1"/>
  <c r="AI65" i="6"/>
  <c r="Z65" i="6"/>
  <c r="V65" i="6"/>
  <c r="X65" i="6"/>
  <c r="AB65" i="6"/>
  <c r="AE65" i="6"/>
  <c r="W65" i="6"/>
  <c r="T65" i="6"/>
  <c r="AF65" i="6"/>
  <c r="AC65" i="6"/>
  <c r="R65" i="6"/>
  <c r="U65" i="6"/>
  <c r="AA65" i="6"/>
  <c r="Y65" i="6"/>
  <c r="AL63" i="6"/>
  <c r="V5" i="6"/>
  <c r="AJ7" i="6"/>
  <c r="AJ6" i="6"/>
  <c r="AB8" i="6"/>
  <c r="AB9" i="6" s="1"/>
  <c r="U8" i="6"/>
  <c r="U9" i="6" s="1"/>
  <c r="V8" i="6"/>
  <c r="V9" i="6" s="1"/>
  <c r="AD8" i="6"/>
  <c r="AD9" i="6" s="1"/>
  <c r="W8" i="6"/>
  <c r="W9" i="6" s="1"/>
  <c r="AE8" i="6"/>
  <c r="AE9" i="6" s="1"/>
  <c r="AI9" i="6"/>
  <c r="X8" i="6"/>
  <c r="X9" i="6" s="1"/>
  <c r="AC8" i="6"/>
  <c r="AC9" i="6" s="1"/>
  <c r="Y8" i="6"/>
  <c r="Y9" i="6" s="1"/>
  <c r="T8" i="6"/>
  <c r="Z8" i="6"/>
  <c r="Z9" i="6" s="1"/>
  <c r="AA8" i="6"/>
  <c r="AA9" i="6" s="1"/>
  <c r="AD5" i="6"/>
  <c r="AE5" i="6"/>
  <c r="AA5" i="6"/>
  <c r="AI5" i="6"/>
  <c r="AC5" i="6"/>
  <c r="X5" i="6"/>
  <c r="Z5" i="6"/>
  <c r="AB5" i="6"/>
  <c r="Y5" i="6"/>
  <c r="W5" i="6"/>
  <c r="G95" i="6"/>
  <c r="F94" i="6"/>
  <c r="E94" i="6"/>
  <c r="I94" i="6"/>
  <c r="AC67" i="6" l="1"/>
  <c r="R67" i="6"/>
  <c r="AD67" i="6"/>
  <c r="AG67" i="6"/>
  <c r="V67" i="6"/>
  <c r="W67" i="6"/>
  <c r="AE67" i="6"/>
  <c r="T67" i="6"/>
  <c r="AF67" i="6"/>
  <c r="U67" i="6"/>
  <c r="AH67" i="6"/>
  <c r="X67" i="6"/>
  <c r="AA67" i="6"/>
  <c r="AB67" i="6"/>
  <c r="AI67" i="6"/>
  <c r="Y67" i="6"/>
  <c r="Z67" i="6"/>
  <c r="R66" i="6"/>
  <c r="AE66" i="6"/>
  <c r="U66" i="6"/>
  <c r="AD66" i="6"/>
  <c r="AG66" i="6"/>
  <c r="AB66" i="6"/>
  <c r="AI66" i="6"/>
  <c r="X66" i="6"/>
  <c r="AA66" i="6"/>
  <c r="AC66" i="6"/>
  <c r="T66" i="6"/>
  <c r="Z66" i="6"/>
  <c r="Y66" i="6"/>
  <c r="V66" i="6"/>
  <c r="W66" i="6"/>
  <c r="AH66" i="6"/>
  <c r="AF66" i="6"/>
  <c r="AJ65" i="6"/>
  <c r="AK65" i="6" s="1"/>
  <c r="AJ8" i="6"/>
  <c r="AK8" i="6" s="1"/>
  <c r="T9" i="6"/>
  <c r="AJ5" i="6"/>
  <c r="AK5" i="6" s="1"/>
  <c r="I95" i="6"/>
  <c r="E95" i="6"/>
  <c r="D94" i="6"/>
  <c r="F95" i="6"/>
  <c r="G94" i="6"/>
  <c r="D95" i="6"/>
  <c r="AJ67" i="6" l="1"/>
  <c r="AK67" i="6" s="1"/>
  <c r="AJ66" i="6"/>
  <c r="AK66" i="6" s="1"/>
  <c r="AL65" i="6"/>
  <c r="S68" i="6"/>
  <c r="Q94" i="6"/>
  <c r="AJ9" i="6"/>
  <c r="Q95" i="6"/>
  <c r="AK9" i="6"/>
  <c r="AL67" i="6" l="1"/>
  <c r="AL66" i="6"/>
  <c r="AB68" i="6"/>
  <c r="AE68" i="6"/>
  <c r="Z68" i="6"/>
  <c r="W68" i="6"/>
  <c r="U68" i="6"/>
  <c r="R68" i="6"/>
  <c r="AA68" i="6"/>
  <c r="AF68" i="6"/>
  <c r="AD68" i="6"/>
  <c r="AC68" i="6"/>
  <c r="AG68" i="6"/>
  <c r="Y68" i="6"/>
  <c r="T68" i="6"/>
  <c r="S69" i="6"/>
  <c r="AI68" i="6"/>
  <c r="AH68" i="6"/>
  <c r="V68" i="6"/>
  <c r="X68" i="6"/>
  <c r="AK22" i="6"/>
  <c r="AE69" i="6" l="1"/>
  <c r="AF69" i="6"/>
  <c r="Y69" i="6"/>
  <c r="AB69" i="6"/>
  <c r="AH69" i="6"/>
  <c r="Z69" i="6"/>
  <c r="S70" i="6"/>
  <c r="AG69" i="6"/>
  <c r="W69" i="6"/>
  <c r="X69" i="6"/>
  <c r="AI69" i="6"/>
  <c r="T69" i="6"/>
  <c r="AD69" i="6"/>
  <c r="AA69" i="6"/>
  <c r="V69" i="6"/>
  <c r="AC69" i="6"/>
  <c r="U69" i="6"/>
  <c r="R69" i="6"/>
  <c r="AJ68" i="6"/>
  <c r="AK68" i="6" s="1"/>
  <c r="AH70" i="6" l="1"/>
  <c r="Z70" i="6"/>
  <c r="T70" i="6"/>
  <c r="AI70" i="6"/>
  <c r="R70" i="6"/>
  <c r="X70" i="6"/>
  <c r="AA70" i="6"/>
  <c r="AD70" i="6"/>
  <c r="Y70" i="6"/>
  <c r="S71" i="6"/>
  <c r="AF70" i="6"/>
  <c r="W70" i="6"/>
  <c r="AG70" i="6"/>
  <c r="AB70" i="6"/>
  <c r="U70" i="6"/>
  <c r="AC70" i="6"/>
  <c r="V70" i="6"/>
  <c r="AE70" i="6"/>
  <c r="AJ69" i="6"/>
  <c r="AK69" i="6" s="1"/>
  <c r="AL68" i="6"/>
  <c r="U71" i="6" l="1"/>
  <c r="AC71" i="6"/>
  <c r="AB71" i="6"/>
  <c r="Y71" i="6"/>
  <c r="AG71" i="6"/>
  <c r="AE71" i="6"/>
  <c r="W71" i="6"/>
  <c r="AI71" i="6"/>
  <c r="V71" i="6"/>
  <c r="S72" i="6"/>
  <c r="R71" i="6"/>
  <c r="AF71" i="6"/>
  <c r="Z71" i="6"/>
  <c r="X71" i="6"/>
  <c r="T71" i="6"/>
  <c r="AH71" i="6"/>
  <c r="AD71" i="6"/>
  <c r="AA71" i="6"/>
  <c r="AL69" i="6"/>
  <c r="AJ70" i="6"/>
  <c r="AK70" i="6" s="1"/>
  <c r="AG72" i="6" l="1"/>
  <c r="W72" i="6"/>
  <c r="R72" i="6"/>
  <c r="AC72" i="6"/>
  <c r="AF72" i="6"/>
  <c r="U72" i="6"/>
  <c r="Z72" i="6"/>
  <c r="AB72" i="6"/>
  <c r="AH72" i="6"/>
  <c r="AE72" i="6"/>
  <c r="X72" i="6"/>
  <c r="Y72" i="6"/>
  <c r="V72" i="6"/>
  <c r="S73" i="6"/>
  <c r="AA72" i="6"/>
  <c r="AI72" i="6"/>
  <c r="AD72" i="6"/>
  <c r="T72" i="6"/>
  <c r="AL70" i="6"/>
  <c r="AJ71" i="6"/>
  <c r="AK71" i="6" s="1"/>
  <c r="AJ72" i="6" l="1"/>
  <c r="AK72" i="6" s="1"/>
  <c r="AI73" i="6"/>
  <c r="Y73" i="6"/>
  <c r="AH73" i="6"/>
  <c r="AB73" i="6"/>
  <c r="AF73" i="6"/>
  <c r="W73" i="6"/>
  <c r="R73" i="6"/>
  <c r="T73" i="6"/>
  <c r="AD73" i="6"/>
  <c r="U73" i="6"/>
  <c r="AE73" i="6"/>
  <c r="AG73" i="6"/>
  <c r="X73" i="6"/>
  <c r="Z73" i="6"/>
  <c r="AA73" i="6"/>
  <c r="V73" i="6"/>
  <c r="AC73" i="6"/>
  <c r="S74" i="6"/>
  <c r="AL71" i="6"/>
  <c r="AL72" i="6" l="1"/>
  <c r="AJ73" i="6"/>
  <c r="AK73" i="6" s="1"/>
  <c r="AH74" i="6"/>
  <c r="V74" i="6"/>
  <c r="AF74" i="6"/>
  <c r="X74" i="6"/>
  <c r="AG74" i="6"/>
  <c r="W74" i="6"/>
  <c r="AC74" i="6"/>
  <c r="Y74" i="6"/>
  <c r="AD74" i="6"/>
  <c r="AB74" i="6"/>
  <c r="AA74" i="6"/>
  <c r="S75" i="6"/>
  <c r="U74" i="6"/>
  <c r="R74" i="6"/>
  <c r="AE74" i="6"/>
  <c r="T74" i="6"/>
  <c r="AI74" i="6"/>
  <c r="Z74" i="6"/>
  <c r="AL73" i="6" l="1"/>
  <c r="AJ74" i="6"/>
  <c r="AK74" i="6" s="1"/>
  <c r="AH75" i="6"/>
  <c r="Y75" i="6"/>
  <c r="R75" i="6"/>
  <c r="W75" i="6"/>
  <c r="AG75" i="6"/>
  <c r="AA75" i="6"/>
  <c r="V75" i="6"/>
  <c r="Z75" i="6"/>
  <c r="AC75" i="6"/>
  <c r="T75" i="6"/>
  <c r="U75" i="6"/>
  <c r="X75" i="6"/>
  <c r="AF75" i="6"/>
  <c r="AI75" i="6"/>
  <c r="S76" i="6"/>
  <c r="AD75" i="6"/>
  <c r="AE75" i="6"/>
  <c r="AB75" i="6"/>
  <c r="AL74" i="6" l="1"/>
  <c r="AF76" i="6"/>
  <c r="Y76" i="6"/>
  <c r="AA76" i="6"/>
  <c r="AI76" i="6"/>
  <c r="AC76" i="6"/>
  <c r="AH76" i="6"/>
  <c r="V76" i="6"/>
  <c r="AB76" i="6"/>
  <c r="X76" i="6"/>
  <c r="T76" i="6"/>
  <c r="AE76" i="6"/>
  <c r="AD76" i="6"/>
  <c r="W76" i="6"/>
  <c r="S77" i="6"/>
  <c r="R76" i="6"/>
  <c r="U76" i="6"/>
  <c r="AG76" i="6"/>
  <c r="Z76" i="6"/>
  <c r="AJ75" i="6"/>
  <c r="AJ76" i="6" l="1"/>
  <c r="AK76" i="6" s="1"/>
  <c r="AK75" i="6"/>
  <c r="AL75" i="6"/>
  <c r="S79" i="6"/>
  <c r="X77" i="6"/>
  <c r="AA77" i="6"/>
  <c r="S78" i="6"/>
  <c r="AC77" i="6"/>
  <c r="AH77" i="6"/>
  <c r="U77" i="6"/>
  <c r="AG77" i="6"/>
  <c r="AB77" i="6"/>
  <c r="R77" i="6"/>
  <c r="AE77" i="6"/>
  <c r="AF77" i="6"/>
  <c r="T77" i="6"/>
  <c r="AI77" i="6"/>
  <c r="W77" i="6"/>
  <c r="AD77" i="6"/>
  <c r="Z77" i="6"/>
  <c r="V77" i="6"/>
  <c r="Y77" i="6"/>
  <c r="AF79" i="6" l="1"/>
  <c r="R79" i="6"/>
  <c r="AB79" i="6"/>
  <c r="T79" i="6"/>
  <c r="AI79" i="6"/>
  <c r="AA79" i="6"/>
  <c r="W79" i="6"/>
  <c r="V79" i="6"/>
  <c r="AH79" i="6"/>
  <c r="AE79" i="6"/>
  <c r="Z79" i="6"/>
  <c r="AD79" i="6"/>
  <c r="Y79" i="6"/>
  <c r="AC79" i="6"/>
  <c r="X79" i="6"/>
  <c r="U79" i="6"/>
  <c r="AG79" i="6"/>
  <c r="AL76" i="6"/>
  <c r="R78" i="6"/>
  <c r="X78" i="6"/>
  <c r="AG78" i="6"/>
  <c r="W78" i="6"/>
  <c r="AF78" i="6"/>
  <c r="Y78" i="6"/>
  <c r="AI78" i="6"/>
  <c r="AB78" i="6"/>
  <c r="AH78" i="6"/>
  <c r="AC78" i="6"/>
  <c r="T78" i="6"/>
  <c r="AD78" i="6"/>
  <c r="U78" i="6"/>
  <c r="AE78" i="6"/>
  <c r="Z78" i="6"/>
  <c r="V78" i="6"/>
  <c r="S80" i="6"/>
  <c r="AA78" i="6"/>
  <c r="AJ77" i="6"/>
  <c r="AK77" i="6" s="1"/>
  <c r="AL77" i="6" l="1"/>
  <c r="U80" i="6"/>
  <c r="AD80" i="6"/>
  <c r="AI80" i="6"/>
  <c r="Z80" i="6"/>
  <c r="AF80" i="6"/>
  <c r="V80" i="6"/>
  <c r="AA80" i="6"/>
  <c r="X80" i="6"/>
  <c r="AG80" i="6"/>
  <c r="T80" i="6"/>
  <c r="AC80" i="6"/>
  <c r="AE80" i="6"/>
  <c r="S81" i="6"/>
  <c r="AB80" i="6"/>
  <c r="W80" i="6"/>
  <c r="AH80" i="6"/>
  <c r="R80" i="6"/>
  <c r="Y80" i="6"/>
  <c r="AJ78" i="6"/>
  <c r="AK78" i="6" s="1"/>
  <c r="AJ79" i="6"/>
  <c r="AK79" i="6" s="1"/>
  <c r="AL79" i="6" l="1"/>
  <c r="AJ80" i="6"/>
  <c r="AL80" i="6" s="1"/>
  <c r="AL78" i="6"/>
  <c r="AF81" i="6"/>
  <c r="AC81" i="6"/>
  <c r="AI81" i="6"/>
  <c r="AB81" i="6"/>
  <c r="AH81" i="6"/>
  <c r="Z81" i="6"/>
  <c r="AE81" i="6"/>
  <c r="AD81" i="6"/>
  <c r="V81" i="6"/>
  <c r="W81" i="6"/>
  <c r="X81" i="6"/>
  <c r="AA81" i="6"/>
  <c r="S82" i="6"/>
  <c r="Y81" i="6"/>
  <c r="R81" i="6"/>
  <c r="U81" i="6"/>
  <c r="AG81" i="6"/>
  <c r="T81" i="6"/>
  <c r="AJ81" i="6" l="1"/>
  <c r="AK81" i="6" s="1"/>
  <c r="R82" i="6"/>
  <c r="S83" i="6"/>
  <c r="AK80" i="6"/>
  <c r="AL81" i="6" l="1"/>
  <c r="AF83" i="6"/>
  <c r="AB83" i="6"/>
  <c r="AI83" i="6"/>
  <c r="X83" i="6"/>
  <c r="AH83" i="6"/>
  <c r="AD83" i="6"/>
  <c r="AG83" i="6"/>
  <c r="Y83" i="6"/>
  <c r="Z83" i="6"/>
  <c r="AA83" i="6"/>
  <c r="T83" i="6"/>
  <c r="U83" i="6"/>
  <c r="AC83" i="6"/>
  <c r="W83" i="6"/>
  <c r="S84" i="6"/>
  <c r="V83" i="6"/>
  <c r="R83" i="6"/>
  <c r="AE83" i="6"/>
  <c r="AJ83" i="6" l="1"/>
  <c r="AL83" i="6" s="1"/>
  <c r="U84" i="6"/>
  <c r="Y84" i="6"/>
  <c r="W84" i="6"/>
  <c r="AA84" i="6"/>
  <c r="AC84" i="6"/>
  <c r="X84" i="6"/>
  <c r="R84" i="6"/>
  <c r="AD84" i="6"/>
  <c r="T84" i="6"/>
  <c r="AE84" i="6"/>
  <c r="AB84" i="6"/>
  <c r="V84" i="6"/>
  <c r="Z84" i="6"/>
  <c r="AI84" i="6"/>
  <c r="S85" i="6"/>
  <c r="AH84" i="6"/>
  <c r="AF84" i="6"/>
  <c r="AG84" i="6"/>
  <c r="AJ84" i="6" l="1"/>
  <c r="AK84" i="6" s="1"/>
  <c r="AI85" i="6"/>
  <c r="AI86" i="6" s="1"/>
  <c r="AI88" i="6" s="1"/>
  <c r="T85" i="6"/>
  <c r="AH85" i="6"/>
  <c r="AH86" i="6" s="1"/>
  <c r="AH88" i="6" s="1"/>
  <c r="W85" i="6"/>
  <c r="W86" i="6" s="1"/>
  <c r="W88" i="6" s="1"/>
  <c r="AG85" i="6"/>
  <c r="AG86" i="6" s="1"/>
  <c r="AG88" i="6" s="1"/>
  <c r="X85" i="6"/>
  <c r="X86" i="6" s="1"/>
  <c r="X88" i="6" s="1"/>
  <c r="Y85" i="6"/>
  <c r="Y86" i="6" s="1"/>
  <c r="Y88" i="6" s="1"/>
  <c r="U85" i="6"/>
  <c r="U86" i="6" s="1"/>
  <c r="U88" i="6" s="1"/>
  <c r="AA85" i="6"/>
  <c r="AA86" i="6" s="1"/>
  <c r="AA88" i="6" s="1"/>
  <c r="V85" i="6"/>
  <c r="V86" i="6" s="1"/>
  <c r="V88" i="6" s="1"/>
  <c r="AE85" i="6"/>
  <c r="AE86" i="6" s="1"/>
  <c r="AE88" i="6" s="1"/>
  <c r="AC85" i="6"/>
  <c r="AC86" i="6" s="1"/>
  <c r="AC88" i="6" s="1"/>
  <c r="S86" i="6"/>
  <c r="AB85" i="6"/>
  <c r="AB86" i="6" s="1"/>
  <c r="AB88" i="6" s="1"/>
  <c r="R85" i="6"/>
  <c r="AD85" i="6"/>
  <c r="AD86" i="6" s="1"/>
  <c r="AD88" i="6" s="1"/>
  <c r="AF85" i="6"/>
  <c r="AF86" i="6" s="1"/>
  <c r="AF88" i="6" s="1"/>
  <c r="Z85" i="6"/>
  <c r="Z86" i="6" s="1"/>
  <c r="Z88" i="6" s="1"/>
  <c r="AK83" i="6"/>
  <c r="AL84" i="6" l="1"/>
  <c r="AJ85" i="6"/>
  <c r="T86" i="6"/>
  <c r="T88" i="6" s="1"/>
  <c r="J87" i="6"/>
  <c r="D87" i="6"/>
  <c r="L87" i="6"/>
  <c r="K87" i="6"/>
  <c r="P87" i="6"/>
  <c r="O87" i="6"/>
  <c r="N87" i="6"/>
  <c r="S89" i="6"/>
  <c r="R89" i="6" s="1"/>
  <c r="E87" i="6"/>
  <c r="F87" i="6"/>
  <c r="G87" i="6"/>
  <c r="H87" i="6"/>
  <c r="I87" i="6"/>
  <c r="R86" i="6"/>
  <c r="R88" i="6" s="1"/>
  <c r="M87" i="6"/>
  <c r="Q87" i="6" l="1"/>
  <c r="AL85" i="6"/>
  <c r="AL86" i="6" s="1"/>
  <c r="AK85" i="6"/>
  <c r="AJ86" i="6"/>
  <c r="AK86" i="6" l="1"/>
  <c r="AJ93" i="6"/>
  <c r="AJ88" i="6"/>
  <c r="AJ89" i="6" s="1"/>
  <c r="AL93" i="6" l="1"/>
  <c r="AJ95" i="6"/>
  <c r="AL95" i="6" s="1"/>
</calcChain>
</file>

<file path=xl/sharedStrings.xml><?xml version="1.0" encoding="utf-8"?>
<sst xmlns="http://schemas.openxmlformats.org/spreadsheetml/2006/main" count="2898" uniqueCount="995">
  <si>
    <t>CORRECCION MONETARIA ACTIVOS</t>
  </si>
  <si>
    <t>DIFERENCIA DE CAMBIO</t>
  </si>
  <si>
    <t>DIF_CAM__CUENTAS POR PAGAR COMERCIALES Y OTRAS CUENTAS POR P</t>
  </si>
  <si>
    <t>DIF_CAM__OTROS PASIVOS FINANCIEROS</t>
  </si>
  <si>
    <t>OTROS GASTOS</t>
  </si>
  <si>
    <t>AJUSTE SENCILLO LEY DE REDONDEO</t>
  </si>
  <si>
    <t>GASTOS DE PUBLICIDAD Y MARKETING</t>
  </si>
  <si>
    <t>COMISIONES TRANSBANK</t>
  </si>
  <si>
    <t>COMISIONES Y GASTOS BANCARIOS</t>
  </si>
  <si>
    <t>SERVICIOS DE ENCOMIENDAS Y CURRIER</t>
  </si>
  <si>
    <t>UTILES DE OFICINA Y PAPELERIA</t>
  </si>
  <si>
    <t>SUMINISTROS Y MATERIALES DE TIENDAS</t>
  </si>
  <si>
    <t>DEPRECIACION DEL EJERCICIO</t>
  </si>
  <si>
    <t>GASTO MANTENCION SUCURSALES</t>
  </si>
  <si>
    <t>MULTAS E INTERESES</t>
  </si>
  <si>
    <t>PATENTE COMERCIAL</t>
  </si>
  <si>
    <t>GASTOS FACTURACION ELECTRONICA</t>
  </si>
  <si>
    <t>ARRIENDO DE BODEGAS</t>
  </si>
  <si>
    <t>ARRIENDOS</t>
  </si>
  <si>
    <t>ASESORIA CONTABLE</t>
  </si>
  <si>
    <t>HONORARIOS PROFESIONALES</t>
  </si>
  <si>
    <t>COMISION POR VENTA</t>
  </si>
  <si>
    <t>SEMANA CORRIDA</t>
  </si>
  <si>
    <t>LEY SANNA</t>
  </si>
  <si>
    <t>UNIFORMES</t>
  </si>
  <si>
    <t>SEGURO INVALIDEZ (AFP)</t>
  </si>
  <si>
    <t>MUTUAL DE SEGURIDAD</t>
  </si>
  <si>
    <t>ASIGNACION MOVILIZACION</t>
  </si>
  <si>
    <t>ASIGNACION COLACION</t>
  </si>
  <si>
    <t>GRATIFICACION</t>
  </si>
  <si>
    <t>SEGURO DE CESANTIA</t>
  </si>
  <si>
    <t>BONOS</t>
  </si>
  <si>
    <t>REMUNERACIONES</t>
  </si>
  <si>
    <t>COSTO DE VENTAS</t>
  </si>
  <si>
    <t>APORTES POR ENTERAR</t>
  </si>
  <si>
    <t>CAPITAL</t>
  </si>
  <si>
    <t>SUELDOS POR PAGAR</t>
  </si>
  <si>
    <t>IMPUESTO POR PAGAR FORM. 29</t>
  </si>
  <si>
    <t>IVA DEBITO FISCAL (VENTAS)</t>
  </si>
  <si>
    <t>RETENCION DE HONORARIOS</t>
  </si>
  <si>
    <t>IMPUESTO ÚNICO TRABAJADORES</t>
  </si>
  <si>
    <t>PROVISIONES VARIAS</t>
  </si>
  <si>
    <t>PREVIRED POR PAGAR</t>
  </si>
  <si>
    <t>HONORARIOS POR PAGAR</t>
  </si>
  <si>
    <t>PROVEEDORES $</t>
  </si>
  <si>
    <t>PROVEEDORES US$</t>
  </si>
  <si>
    <t>DEPRECIACION ACUMULADA EQUIPOS COMPUTACIONALES</t>
  </si>
  <si>
    <t>DEPRECIACION ACUMULADA MUEBLES Y UTILES</t>
  </si>
  <si>
    <t>EQUIPOS COMPUTACIONALES</t>
  </si>
  <si>
    <t>MUEBLES, UTILES Y OTROS</t>
  </si>
  <si>
    <t>GARANTIAS DE ARRIENDO</t>
  </si>
  <si>
    <t>PAGOS PROVISIONALES MENSUALES</t>
  </si>
  <si>
    <t>REMANENTE IVA CREDITO FISCAL</t>
  </si>
  <si>
    <t>IVA CREDITO FISCAL (COMPRAS)</t>
  </si>
  <si>
    <t>MERCADERIA EN TRANSITO</t>
  </si>
  <si>
    <t>EXISTENCIAS NACIONALES</t>
  </si>
  <si>
    <t>ANTICIPO AGENCIA DE ADUANAS</t>
  </si>
  <si>
    <t>ANTICIPO HONORARIOS</t>
  </si>
  <si>
    <t>ANTICIPO PROVEEDORES</t>
  </si>
  <si>
    <t>TRANSBANK POR COBRAR TD</t>
  </si>
  <si>
    <t>TRANSBANK POR COBRAR TC</t>
  </si>
  <si>
    <t>FONDOS POR RENDIR</t>
  </si>
  <si>
    <t>CLIENTES BOLETAS</t>
  </si>
  <si>
    <t>DEPOSITO A PLAZO CORREDORA</t>
  </si>
  <si>
    <t>BANCOS CTA CTE $</t>
  </si>
  <si>
    <t>FONDO FIJO TREBOL</t>
  </si>
  <si>
    <t>FONDO FIJO VESPUCIO</t>
  </si>
  <si>
    <t>FONDO FIJO PLAZA EGAÑA</t>
  </si>
  <si>
    <t>FONDO FIJO MAIPU</t>
  </si>
  <si>
    <t>FONDO FIJO LOS DOMINICOS</t>
  </si>
  <si>
    <t>Texto</t>
  </si>
  <si>
    <t xml:space="preserve">Cuenta Chile </t>
  </si>
  <si>
    <t>FONDOS FIJOS</t>
  </si>
  <si>
    <t>SANTANDER CHILE ( 89 ) SALDO</t>
  </si>
  <si>
    <t>SANTANDER ( 89 ) INVERSION</t>
  </si>
  <si>
    <t>CLIENTES</t>
  </si>
  <si>
    <t>CLIENTES PARTES RELACIONADAS</t>
  </si>
  <si>
    <t>DOCUMENTOS POR COBRAR</t>
  </si>
  <si>
    <t>DEUDORES DIVERSOS</t>
  </si>
  <si>
    <t>RESERVA CUENTAS INCOBRABLES DEUDORES</t>
  </si>
  <si>
    <t>RETENCIONES POR COBRAR</t>
  </si>
  <si>
    <t>ANTICIPOS PARA VIATICOS</t>
  </si>
  <si>
    <t>ANTICIPOS PARA GASTOS</t>
  </si>
  <si>
    <t xml:space="preserve">ANTICIPOS EMPLEADOS </t>
  </si>
  <si>
    <t>ANTICIPOS PROVEEDORES</t>
  </si>
  <si>
    <t>INTERCOMPAÑIAS CUENTAS X COBRAR</t>
  </si>
  <si>
    <t>INTERCOMPAÑIAS CUENTAS X COBRAR EXTRANJERO</t>
  </si>
  <si>
    <t>IVA  A FAVOR</t>
  </si>
  <si>
    <t>IVA  A FAVOR COMPENSABLE</t>
  </si>
  <si>
    <t xml:space="preserve">ANTICIPO IMPUESTO SOBRE LA RENTA </t>
  </si>
  <si>
    <t>ISR RETENIDO DE BANCOS</t>
  </si>
  <si>
    <t>IVA ACREDITABLE</t>
  </si>
  <si>
    <t>IVA ACREDITABLE DE COMISIONES BANCARIAS</t>
  </si>
  <si>
    <t>IVA ACREDITABLE EFECTIVAMENTE PAGADO</t>
  </si>
  <si>
    <t>IVA DIFERIDO POR RETENCIONES</t>
  </si>
  <si>
    <t>IVA NO ACREDITABLE</t>
  </si>
  <si>
    <t>IVA ACREDITABLE EFECTIVAMENTE PAGADO IMPORTACIONES</t>
  </si>
  <si>
    <t>PAGOS ANTICIPADOS SEGUROS</t>
  </si>
  <si>
    <t>ISR A FAVOR</t>
  </si>
  <si>
    <t>INVENTARIO DE MATERIA PRIMA</t>
  </si>
  <si>
    <t>INVENTARIO DE PRODUCCION EN PROCESO</t>
  </si>
  <si>
    <t>INVENTARIO DE PRODUCTO TERMINADO</t>
  </si>
  <si>
    <t>INVENTARIO DE REFACCIONES</t>
  </si>
  <si>
    <t>INVENTARIO DE ACCESORIOS</t>
  </si>
  <si>
    <t>INVENTARIO DE MATERIAL PARA TIENDA</t>
  </si>
  <si>
    <t>REVALUACION DE INVENTARIOS MP</t>
  </si>
  <si>
    <t>INVENTARIO EN TRANSITO</t>
  </si>
  <si>
    <t>RESERVA PARA OBSOLESCENCIA DE MATERIA PRIMA</t>
  </si>
  <si>
    <t>RESERVA PARA OBSOLESC DE INVENTARIOS PRODUCTO TERM</t>
  </si>
  <si>
    <t>ISR DIFERIDO X COBRAR</t>
  </si>
  <si>
    <t>INVENTARIO DE PRODUCTO TERMINADO AJUSTE A PROMEDIO</t>
  </si>
  <si>
    <t>ANTICIPOS A PROVEEDORES</t>
  </si>
  <si>
    <t>INTERCIAS CUENTAS POR COBRAR EMPLEADOS</t>
  </si>
  <si>
    <t>CUENTA CORRIENTE GRUPO FLEXI</t>
  </si>
  <si>
    <t>ACTIVO FIJO VALOR ORIGINAL</t>
  </si>
  <si>
    <t>TERRENOS, DERECHOS SIMILARES SOBRE TERRENOS</t>
  </si>
  <si>
    <t>EDIFICIOS</t>
  </si>
  <si>
    <t>EQUIPO DE TRANSPORTE</t>
  </si>
  <si>
    <t>EQUIPO DE TRANSPORTE DE CARGA</t>
  </si>
  <si>
    <t>MOBILIARIO Y EQUIPO DE COMPUTO</t>
  </si>
  <si>
    <t>MOBILIARIO Y EQUIPO DE OFICINA</t>
  </si>
  <si>
    <t>OTROS ACTIVOS MUEBLES Y ENSERES</t>
  </si>
  <si>
    <t>MOBILIARIO Y EQUIPO DE COMEDOR</t>
  </si>
  <si>
    <t>EQUIPO DE SEGURIDAD</t>
  </si>
  <si>
    <t>EQUIPO DE TIENDA</t>
  </si>
  <si>
    <t>GASTOS DE ORGANIZACION</t>
  </si>
  <si>
    <t>GASTOS DE INSTALACION</t>
  </si>
  <si>
    <t>MEJORAS A LOCALES ARRENDADOS</t>
  </si>
  <si>
    <t>DERECHOS DE ARRENDAMIENTO</t>
  </si>
  <si>
    <t>PATENTES Y MARCAS</t>
  </si>
  <si>
    <t>LICENCIAS DE SOFTWARE</t>
  </si>
  <si>
    <t>OTROS ACTIVOS FIJOS</t>
  </si>
  <si>
    <t>DEPRECIACION  ACUMULADA HISTORICA</t>
  </si>
  <si>
    <t>DEPRECIACION ACUMULADA EDIFICIOS</t>
  </si>
  <si>
    <t>DEPRECIACION  ACUMULADA EQUIPO DE TRANSPORTE</t>
  </si>
  <si>
    <t>DEPRECIACION  ACUMULADA TRANSPORTE DE CARGA</t>
  </si>
  <si>
    <t>DEPRECIACION ACUMULADA EQUIPO DE COMPUTO</t>
  </si>
  <si>
    <t>DEPRECIACION  ACUMULADA OTROS ACTMUEBLES Y ENSERES</t>
  </si>
  <si>
    <t>DEPRECIACION  ACUMULADA EQUIPO DE COMEDOR</t>
  </si>
  <si>
    <t>DEPRECIACION ACUMULADA EQUIPO DE SEGURIDAD</t>
  </si>
  <si>
    <t>DEPRECIACION ACUMULADA EQUIPO DE TIENDA</t>
  </si>
  <si>
    <t>DEPRECIACION ACUMULADA GASTOS DE ORGANIZACION</t>
  </si>
  <si>
    <t>DEPRECIACION ACUMULADA GASTOS DE INSTALACION</t>
  </si>
  <si>
    <t>DEPRECIACION ACUMULADA MEJORAS A LOCAL ARRENDADO</t>
  </si>
  <si>
    <t>DEPRECIACION ACUMULADA DERECHOS DE ARRENDAMIENTO</t>
  </si>
  <si>
    <t>DEPRECIACION ACUMULADA PATENTES Y MARCAS</t>
  </si>
  <si>
    <t>DEPRECIACION ACUMULADA LICENCIAS DE SOFTWARE</t>
  </si>
  <si>
    <t>DEPRECIACION ACUMULADA OTROS ACTIVOS FIJOS</t>
  </si>
  <si>
    <t>ACTIVO FIJO VALOR REVALUACION</t>
  </si>
  <si>
    <t>AF REV TERRENOS, DERECHOS SIMILARES SOBRE TERRENOS</t>
  </si>
  <si>
    <t>AF REVALUACIÓN EDIFICIOS</t>
  </si>
  <si>
    <t>AF REVALUACIÓN EQUIPO DE TRANSPORTE</t>
  </si>
  <si>
    <t>AF REVALUACIÓN EQUIPO DE TRANSPORTE DE CARGA</t>
  </si>
  <si>
    <t>AF REVALUACION MOBILIARIO Y EQUIPO DE COMPUTO</t>
  </si>
  <si>
    <t>AF REVALUACION MOBILIARIO Y EQUIPO DE OFICINA</t>
  </si>
  <si>
    <t>AF REVALUACION MUEBLES Y ENSERES</t>
  </si>
  <si>
    <t>AF REVALUACION MOBILIARIO Y EQUIPO DE COMEDOR</t>
  </si>
  <si>
    <t>AF REVALUACION EQUIPO DE SEGURIDAD</t>
  </si>
  <si>
    <t>AF REVALUACION EQUIPO DE TIENDA</t>
  </si>
  <si>
    <t>AF REVALUACION GASTOS DE ORGANIZACION</t>
  </si>
  <si>
    <t>AF REVALUACION GASTOS DE INSTALACION</t>
  </si>
  <si>
    <t>AF REVALUACION MEJORAS A LOCALES ARRENDADOS</t>
  </si>
  <si>
    <t>AF REVALUACION DERECHOS DE ARRENDAMIENTO</t>
  </si>
  <si>
    <t>AF REVALUACION PATENTES Y MARCAS</t>
  </si>
  <si>
    <t>AF REVALUACION LICENCIAS DE SOFTWARE</t>
  </si>
  <si>
    <t>AF REVALUACION OTROS ACTIVOS FIJOS</t>
  </si>
  <si>
    <t>DEPRECIACION  ACUMULADA REVALUADA</t>
  </si>
  <si>
    <t>DEPR ACUM REV EDIFICIOS</t>
  </si>
  <si>
    <t>DEPR ACUM REV EQUIPO DE TRANSPORTE</t>
  </si>
  <si>
    <t>DEPR ACUM REV EQUIPO DE TRANSPORTE DE CARGA</t>
  </si>
  <si>
    <t>DEPR ACUM REV MOBILIARIO Y EQUIPO DE COMPUTO</t>
  </si>
  <si>
    <t>DEPR ACUM REV MOBILIARIO Y EQUIPO DE OFICINA</t>
  </si>
  <si>
    <t>DEPR ACUM REV MUEBLES Y ENSERES</t>
  </si>
  <si>
    <t>DEPR ACUM REV MOBILIARIO Y EQUIPO DE COMEDOR</t>
  </si>
  <si>
    <t>DEPR ACUM REV EQUIPO DE SEGURIDAD</t>
  </si>
  <si>
    <t>DEPR ACUM REV EQUIPO DE TIENDA</t>
  </si>
  <si>
    <t>DEPR ACUM REV GASTOS DE ORGANIZACION</t>
  </si>
  <si>
    <t>DEPR ACUM REV GASTOS DE INSTALACION</t>
  </si>
  <si>
    <t>DEPR ACUM REV MEJORAS A LOCALES ARRENDADOS</t>
  </si>
  <si>
    <t>DEPR ACUM REV DERECHOS DE ARRENDAMIENTO</t>
  </si>
  <si>
    <t>DEPR ACUM REV PATENTES Y MARCAS</t>
  </si>
  <si>
    <t>DEPR ACUM REV LICENCIAS DE SOFTWARE</t>
  </si>
  <si>
    <t>DEPR ACUM REV OTROS ACTIVOS FIJOS</t>
  </si>
  <si>
    <t>DEPOSITOS EN GARANTIA</t>
  </si>
  <si>
    <t>DEPOSITOS EN GARANTIA (VALORACION MONEDA EXTRANJ)</t>
  </si>
  <si>
    <t>PROVEEDORES NACIONALES</t>
  </si>
  <si>
    <t>PROVEEDORES IMPORTACION</t>
  </si>
  <si>
    <t>PROVEEDORES SERVICIOS</t>
  </si>
  <si>
    <t>PROVEEDORES (VALORACION MONEDA EXTRANJERA)</t>
  </si>
  <si>
    <t>INTERCOMPAÑIAS CUENTAS X PAGAR DISTRIBUID FLEXI</t>
  </si>
  <si>
    <t>INTERCOMPAÑIAS CUENTAS X PAGAR</t>
  </si>
  <si>
    <t>INTERCOMPAÑIAS CTAS X PAGAR (VALORACION MON EXT)</t>
  </si>
  <si>
    <t>ACREEDORES DIVERSOS</t>
  </si>
  <si>
    <t>ACREEDORES DIVERSOS (VALORACION MONEDA EXTRANJERA)</t>
  </si>
  <si>
    <t>ACREEDORES EMPLEADOS</t>
  </si>
  <si>
    <t>ANTICIPOS DE CLIENTES</t>
  </si>
  <si>
    <t>ANTICIPOS DE CLIENTES NOTA DE CREDITO PEND APLICAR</t>
  </si>
  <si>
    <t>DOCUMENTOS POR PAGAR</t>
  </si>
  <si>
    <t>IMPUESTOS Y DERECHOS IVA POR PAGAR</t>
  </si>
  <si>
    <t>IMPUESTOS Y DERECHOS IVA TRASLADADO</t>
  </si>
  <si>
    <t>IMPUESTOS Y DERECHOS IVA TRASLADADO COBRADO</t>
  </si>
  <si>
    <t>IMPUESTOS Y DERECHOS IVA TRASLADADO COMISIONES</t>
  </si>
  <si>
    <t>RETENCIONES POR PAGAR ISPT</t>
  </si>
  <si>
    <t>RETENCIONES POR PAGAR IVA RETENIDO HONORARIOS</t>
  </si>
  <si>
    <t>RETENCIONES POR PAGAR IVA RETENIDO ARRENDAMIENTO</t>
  </si>
  <si>
    <t>RETENCIONES POR PAGAR ISR ARRENDAMIENTO</t>
  </si>
  <si>
    <t>RETENCIONES POR PAGAR ISR HONORARIOS PROFESIONALES</t>
  </si>
  <si>
    <t>NOMINAS POR APLICAR</t>
  </si>
  <si>
    <t>IMPUESTOS Y DERECHOS I.M.S.S. (PATRONAL)</t>
  </si>
  <si>
    <t>IMPUESTOS Y DERECHOS SAR (PATRONAL)</t>
  </si>
  <si>
    <t>PROVISION NOMINAS</t>
  </si>
  <si>
    <t>DESPENSAS POR PAGAR</t>
  </si>
  <si>
    <t>INTERESES POR PAGAR</t>
  </si>
  <si>
    <t>ENTRADA DE MERCANCIA Y RECEPCION DE FACTURA COMPRA</t>
  </si>
  <si>
    <t>ENTRADA DE MERCANCIA Y RECEPCION DE FACTURA DEVOL</t>
  </si>
  <si>
    <t>PROVISIONES PRIMA DE ANTIGÜEDAD</t>
  </si>
  <si>
    <t>PROVISIONES INDEMNIZACIONES</t>
  </si>
  <si>
    <t>PROVISIONES PENSIONES POR JUBILACION</t>
  </si>
  <si>
    <t>DOCUMENTOS POR PAGAR LP</t>
  </si>
  <si>
    <t>CAPITAL SOCIAL EXHIBIDO FIJO</t>
  </si>
  <si>
    <t>Centro de Beneficio</t>
  </si>
  <si>
    <t>CAPITAL SOCIAL EXHIBIDO VARIABLE</t>
  </si>
  <si>
    <t>CAPITAL SOCIAL NO EXHIBIDO</t>
  </si>
  <si>
    <t>APORTACIONES POR LEGALIZAR</t>
  </si>
  <si>
    <t>PRIMA POR SUSCRIPCION DE ACCIONES</t>
  </si>
  <si>
    <t>RESULTADOS ACUMULADOS</t>
  </si>
  <si>
    <t>RESULTADOS ACUMULADOSRESERVA LEGAL</t>
  </si>
  <si>
    <t>RESULTADO DE EJERCICIO</t>
  </si>
  <si>
    <t>EFECTO ACUMULADO DE IMPUESTOS DIFERIDOS</t>
  </si>
  <si>
    <t>VENTAS DE CALZADO NACIONAL MAYOREO</t>
  </si>
  <si>
    <t>VTAS CALZADO NAL MAYOREO (ANULA X REFACTURACION)</t>
  </si>
  <si>
    <t>VENTAS DE CALZADO NACIONAL MENUDEO FLEXI</t>
  </si>
  <si>
    <t>Reclacificación</t>
  </si>
  <si>
    <t>VENTAS DE CALZADO MENUDEO OTRAS MARCAS</t>
  </si>
  <si>
    <t>VENTAS DE ACCESORIOS</t>
  </si>
  <si>
    <t>VENTAS DE CALZADO EXPORTACIÓN</t>
  </si>
  <si>
    <t>DEVOLUCIONES DE CALZADO NACIONAL</t>
  </si>
  <si>
    <t>DEVOLUCIONES DE CALZADO OTRAS MARCAS</t>
  </si>
  <si>
    <t>DEVOLUCIONES DE ACCESORIOS</t>
  </si>
  <si>
    <t>DESCUENTOS POR PRONTO PAGO</t>
  </si>
  <si>
    <t>REBAJAS DE CALZADO NACIONAL</t>
  </si>
  <si>
    <t>DEVOLUCIONES DE CALZADO EXPORTACIÓN</t>
  </si>
  <si>
    <t>REBAJAS DE CALZADO EXPORTACIÓN</t>
  </si>
  <si>
    <t>INGRESOS VENTA DE MATERIALES</t>
  </si>
  <si>
    <t>BONIFICACION VENTA DE MATERIALES</t>
  </si>
  <si>
    <t>INGRESOS SERVICIOS</t>
  </si>
  <si>
    <t>INGRESOS OTROS PRODUCTOS</t>
  </si>
  <si>
    <t>INGRESOS POR RECUPERACION DE EMPLEADOS</t>
  </si>
  <si>
    <t>INGRESOS POR FLETES NACIONALES</t>
  </si>
  <si>
    <t>INGRESOS POR SINIESTROS</t>
  </si>
  <si>
    <t>INGRESOS IMP SERVICIOS LOGISTICOS</t>
  </si>
  <si>
    <t>INGRESOS MAQUILA FIJA INTERNA</t>
  </si>
  <si>
    <t>INGRESOS VENTAS DE ACTIVO FIJO</t>
  </si>
  <si>
    <t>UTILIDAD EN VENTAS DE ACTIVO FIJO</t>
  </si>
  <si>
    <t>UTILIDAD EN VENTA DE TERRENOS</t>
  </si>
  <si>
    <t>UTILIDAD EN VTA DE   EDIFICIOS</t>
  </si>
  <si>
    <t>UTILIDAD EN VTA DE EQUIPO DE TRANSPORTE</t>
  </si>
  <si>
    <t>UTILIDAD EN VTA DE   EQUIPO DE TRANSPORTE DE CARGA</t>
  </si>
  <si>
    <t>UTILIDAD EN VTA DE MOBILIARIO Y EQUIPO DE COMPUTO</t>
  </si>
  <si>
    <t>UTILIDAD EN VTA DE MOBILIARIO Y EQUIPO DE OFICINA</t>
  </si>
  <si>
    <t>UTILIDAD EN VTA DE MUEBLES Y ENSERES</t>
  </si>
  <si>
    <t>INGRESOS POR DESCUENTOS</t>
  </si>
  <si>
    <t>UTILIDAD EN VTA DE MOBILIARIO Y EQUIPO DE COMEDOR</t>
  </si>
  <si>
    <t>UTILIDAD EN VTA DE EQUIPO DE SEGURIDAD</t>
  </si>
  <si>
    <t>UTILIDAD EN VTA DE EQUIPO DE TIENDA</t>
  </si>
  <si>
    <t>UTILIDAD EN VTA DE GASTOS DE ORGANIZACION</t>
  </si>
  <si>
    <t>UTILIDAD EN VTA DE MEJORAS A LOCALES ARRENDADOS</t>
  </si>
  <si>
    <t>UTILIDAD EN VTA DE DERECHOS DE ARRENDAMIENTO</t>
  </si>
  <si>
    <t>UTILIDAD EN VTA DE PATENTES Y MARCAS</t>
  </si>
  <si>
    <t>UTILIDAD EN VTA DE LICENCIAS DE SOFTWARE</t>
  </si>
  <si>
    <t>UTILIDAD EN VTA DE EQUIPO DE MEDICION</t>
  </si>
  <si>
    <t>UTILIDAD EN VTA DE OTROS ACTIVOS FIJOS</t>
  </si>
  <si>
    <t>COSTO ESTANDAR DE VENTAS</t>
  </si>
  <si>
    <t>COSTO ESTANDAR DE VENTAS OTRAS MARCAS</t>
  </si>
  <si>
    <t>COSTO ESTANDAR DE MATERIALES</t>
  </si>
  <si>
    <t>COSTO ESTANDAR DE MATERIALES PARA TIENDAS</t>
  </si>
  <si>
    <t>VARIACION EN PRECIO DESCUENTO POR PRONTO PAGO</t>
  </si>
  <si>
    <t>CARGOS A PROVEEDORES (MANUAL)</t>
  </si>
  <si>
    <t>VARIACION EN PRECIO DE PT COMPRADO</t>
  </si>
  <si>
    <t>Centro de Costos</t>
  </si>
  <si>
    <t>VARIACION EN PRECIO PT COMPRADO (MANUAL)</t>
  </si>
  <si>
    <t>VARIACION PEDIDO VS FACTURA</t>
  </si>
  <si>
    <t>VARIACION EN PRECIO MATERIAL TIENDA</t>
  </si>
  <si>
    <t>VARIACIÓN POR CAMBIO DE STD PT</t>
  </si>
  <si>
    <t>GASTOS POR SEGUROS DE IMPORTACION</t>
  </si>
  <si>
    <t>DEVOLUCIONES PENDIENTES POR APLICAR</t>
  </si>
  <si>
    <t>AJUSTE INVENTARIO POR TRASF ENTRE TIENDAS</t>
  </si>
  <si>
    <t>AJUSTES DE INVENTARIO PRODUCTO TERMINADO</t>
  </si>
  <si>
    <t>HORAS EXTRAS</t>
  </si>
  <si>
    <t>INCENTIVO CALIDAD</t>
  </si>
  <si>
    <t>SUELDOS</t>
  </si>
  <si>
    <t xml:space="preserve">COMISIONES A VENTA </t>
  </si>
  <si>
    <t>AGUINALDO</t>
  </si>
  <si>
    <t>PRIMA VACACIONAL</t>
  </si>
  <si>
    <t>VACACIONES</t>
  </si>
  <si>
    <t>GRATIF AGUINALDO</t>
  </si>
  <si>
    <t>PRIMA DOMINICAL</t>
  </si>
  <si>
    <t>PREMIO DE ASISTENCIA</t>
  </si>
  <si>
    <t>DESPENSA EMPRESA</t>
  </si>
  <si>
    <t>GRATIFICACIONES</t>
  </si>
  <si>
    <t>COMPL TRABAJO ESPECI</t>
  </si>
  <si>
    <t>BONO X ANTIGUEDAD</t>
  </si>
  <si>
    <t>INCENTIVO FORANEO</t>
  </si>
  <si>
    <t>COMPL DEST Y SUE NOM</t>
  </si>
  <si>
    <t>INCENTIVO AL AHORRO</t>
  </si>
  <si>
    <t>GRATIFICACION FINIQU</t>
  </si>
  <si>
    <t>I.M.S.S.</t>
  </si>
  <si>
    <t>AHORRO P/EL RETIRO</t>
  </si>
  <si>
    <t>INFONAVIT</t>
  </si>
  <si>
    <t>PREVISION SOCIAL</t>
  </si>
  <si>
    <t>CESANTIA Y VEJEZ</t>
  </si>
  <si>
    <t>PROV AGUINALDO</t>
  </si>
  <si>
    <t>PROV PRIMA ANTIG</t>
  </si>
  <si>
    <t>PROV INDEMNIZ</t>
  </si>
  <si>
    <t>PROV PRIMA VACACIONA</t>
  </si>
  <si>
    <t>PROV GRATIF-GRAT AGU</t>
  </si>
  <si>
    <t>2% SOBRE NOMINA</t>
  </si>
  <si>
    <t>SERVICIO DE COMEDOR EXTERNO</t>
  </si>
  <si>
    <t>RECUP CTO COMEDOR</t>
  </si>
  <si>
    <t>SERVICIOS PROFESIONALES</t>
  </si>
  <si>
    <t>VIATICOS CONSULTORES</t>
  </si>
  <si>
    <t>AUDITORIAS EXTERNAS</t>
  </si>
  <si>
    <t>SERVICIOS IMPLEMENTACION TI</t>
  </si>
  <si>
    <t>RENTA DEL EDIFICIO</t>
  </si>
  <si>
    <t>TRASLADOS , RENTA DE GRUAS Y TRANSPORTE</t>
  </si>
  <si>
    <t>CANCELACIÓN RENTA</t>
  </si>
  <si>
    <t>DEPRECIACIÓN DE ARRENDIMIENTO</t>
  </si>
  <si>
    <t>FLETES SOBRE VENTA</t>
  </si>
  <si>
    <t>PAQUETERIA</t>
  </si>
  <si>
    <t>PUBLICIDAD</t>
  </si>
  <si>
    <t>ANUNCIOS IMPRESOS</t>
  </si>
  <si>
    <t>BOLSA IMPRESA</t>
  </si>
  <si>
    <t>ACCESORIOS PARA CALZADO</t>
  </si>
  <si>
    <t>MATERIAL POP</t>
  </si>
  <si>
    <t>EQUIPAMIENTO APERTURAS</t>
  </si>
  <si>
    <t>MANTENIMIENTO DEL EDIFICIO</t>
  </si>
  <si>
    <t>MANTENIMIENTO EQ SEGURIDAD Y VIGILANCIA</t>
  </si>
  <si>
    <t>MANTENIMIENTO DATOS VOZ Y ENERGIA</t>
  </si>
  <si>
    <t>MANTENIMIENTO EQUIPO DE COMPUTO</t>
  </si>
  <si>
    <t>MANTENIMIENTO DE EQUIPO DE FABRICA</t>
  </si>
  <si>
    <t>REFACCIONES EQ DE COMPUTO</t>
  </si>
  <si>
    <t>ENERGIA ELECTRICA</t>
  </si>
  <si>
    <t>AGUA</t>
  </si>
  <si>
    <t>TELEFONO E INTERNET</t>
  </si>
  <si>
    <t>AGUA EMBOTELLADA</t>
  </si>
  <si>
    <t>SEGURIDAD INDUSTRIAL</t>
  </si>
  <si>
    <t>ROPA DE TRABAJO</t>
  </si>
  <si>
    <t>PAPELERIA Y ARTICULOS DE OFICINA</t>
  </si>
  <si>
    <t>GASTOS INTERCOMPAÑÍA SERVICIOS DE AUDITORIA</t>
  </si>
  <si>
    <t>GASTOS INTERCOMPAÑIAS USO DE MARCA</t>
  </si>
  <si>
    <t>MULTAS</t>
  </si>
  <si>
    <t>GASTOS NO DEDUCIBLES</t>
  </si>
  <si>
    <t>CARGO POR SERVICIO</t>
  </si>
  <si>
    <t>LICENCIAS SOFTWARE RENTA</t>
  </si>
  <si>
    <t>FIANZAS</t>
  </si>
  <si>
    <t>COMBUSTIBLES Y LUBRICANTES</t>
  </si>
  <si>
    <t>RECARGOS</t>
  </si>
  <si>
    <t>GASTOS DIVERSOS</t>
  </si>
  <si>
    <t>MATERIAL DE ASEO</t>
  </si>
  <si>
    <t>PASAJE Y ESTACIONAMIENTO</t>
  </si>
  <si>
    <t>OTROS IMPUESTOS Y DERECHOS</t>
  </si>
  <si>
    <t>FOMENTO AL ESPARCIMIENTO</t>
  </si>
  <si>
    <t>CUOTAS Y SUSCRIPCIONES</t>
  </si>
  <si>
    <t>SEGUROS</t>
  </si>
  <si>
    <t>SERVICIO DE VIGILANCIA</t>
  </si>
  <si>
    <t>OTROS GASTOS NO DEDUCIBLES</t>
  </si>
  <si>
    <t>GASTOS LEGALES</t>
  </si>
  <si>
    <t>ACTUALIZACIONES</t>
  </si>
  <si>
    <t>DEPRECIACION Y AMORTIZACION HISTORICA</t>
  </si>
  <si>
    <t>DEPRECIACION EDIFICIOS</t>
  </si>
  <si>
    <t>DEPRECIACION EQUIPO DE TRANSPORTE</t>
  </si>
  <si>
    <t>DEPRECIACION TRANSPORTE DE CARGA</t>
  </si>
  <si>
    <t>DEPRECIACION MOBILIARIO Y EQUIPO DE COMPUTO</t>
  </si>
  <si>
    <t>DEPRECIACION MOBILIARIO Y EQUIPO DE OFICINA</t>
  </si>
  <si>
    <t>DEPRECIACION MUEBLES Y ENSERES</t>
  </si>
  <si>
    <t>DEPRECIACION EQUIPO DE COMEDOR</t>
  </si>
  <si>
    <t>DEPRECIACION EQUIPO DE SEGURIDAD</t>
  </si>
  <si>
    <t>DEPRECIACION EQUIPO DE TIENDA</t>
  </si>
  <si>
    <t>DEPRECIACION GASTOS DE ORGANIZACION</t>
  </si>
  <si>
    <t>DEPRECIACION GASTOS DE INSTALACION</t>
  </si>
  <si>
    <t>DEPRECIACION MEJORAS A LOCAL ARRENDADO</t>
  </si>
  <si>
    <t>DEPRECIACION DERECHOS DE ARRENDAMIENTO</t>
  </si>
  <si>
    <t>DEPRECIACION PATENTES Y MARCAS</t>
  </si>
  <si>
    <t>DEPRECIACION LICENCIAS DE SOFTWARE</t>
  </si>
  <si>
    <t>DEPRECIACION OTROS ACTIVOS FIJOS</t>
  </si>
  <si>
    <t>DEPRECIACION Y AMORTIZACION ACTUALIZADA</t>
  </si>
  <si>
    <t>COSTO EN VENTAS DE ACTIVO FIJO</t>
  </si>
  <si>
    <t>GASTOS EN VENTAS DE ACTIVO FIJO B-10</t>
  </si>
  <si>
    <t>PERDIDA EN VENTA DE ACTIVO FIJO</t>
  </si>
  <si>
    <t>PERDIDA EN VENTA DE TERRENOS</t>
  </si>
  <si>
    <t>PERDIDA EN VENTA DE EDIFICIOS</t>
  </si>
  <si>
    <t>PERDIDA EN VENTA DE EQUIPO DE TRANSPORTE</t>
  </si>
  <si>
    <t>PERDIDA EN VENTA DE EQUIPO DE TRANSPORTE DE CARGA</t>
  </si>
  <si>
    <t>PERDIDA EN VENTA DE MOBILIARIO Y EQUIPO DE COMPUTO</t>
  </si>
  <si>
    <t>PERDIDA EN VENTA DE MOBILIARIO Y EQUIPO DE OFICINA</t>
  </si>
  <si>
    <t>PERDIDA EN VENTA DE MUEBLES Y ENSERES</t>
  </si>
  <si>
    <t>PERDIDA EN VENTA DE MOBILIARIO Y EQUIPO DE COMEDOR</t>
  </si>
  <si>
    <t>PERDIDA EN VENTA DE EQUIPO DE SEGURIDAD</t>
  </si>
  <si>
    <t>PERDIDA EN VENTA DE EQUIPO DE TIENDA</t>
  </si>
  <si>
    <t>PERDIDA EN VENTA DE GASTOS DE ORGANIZACION</t>
  </si>
  <si>
    <t>PERDIDA EN VENTA DE GASTOS DE INSTALACION</t>
  </si>
  <si>
    <t>PERDIDA EN VENTA DE MEJORAS A LOCALES ARRENDADOS</t>
  </si>
  <si>
    <t>PERDIDA EN VENTA DE DERECHOS DE ARRENDAMIENTO</t>
  </si>
  <si>
    <t>PERDIDA EN VENTA DE PATENTES Y MARCAS</t>
  </si>
  <si>
    <t>PERDIDA EN VENTA DE LICENCIAS DE SOFTWARE</t>
  </si>
  <si>
    <t>PERDIDA EN VENTA DE OTROS ACTIVOS FIJOS</t>
  </si>
  <si>
    <t>GASTOS PENDIENTES DE CAPITALIZAR</t>
  </si>
  <si>
    <t>LIQUIDACION DE ORDENES INTERNAS</t>
  </si>
  <si>
    <t>GASTOS FINANCIEROS COMISIONES X CHS.FORANEOS</t>
  </si>
  <si>
    <t>GASTOS FINANCIEROS GASTOS BANCARIOS</t>
  </si>
  <si>
    <t>GASTOS FINANCIEROS INTERCOMPANIAS INTERESES</t>
  </si>
  <si>
    <t>GASTOS FIN INTERCIAS INTERESES PROVISION</t>
  </si>
  <si>
    <t>BONIFICACIÓN INTERCOMPAÑIAS DE INTERESES</t>
  </si>
  <si>
    <t>GASTOS FINANCIEROS PERDIDA EN CAMBIOS</t>
  </si>
  <si>
    <t>GASTOS FINANCIEROS PERDIDA (VALUACION MON EXTRANJ)</t>
  </si>
  <si>
    <t>GASTOS FINANCIEROS EFECTO MONETARIO</t>
  </si>
  <si>
    <t>GASTOS FINANCIEROS REVALUACION EFECTO MONETARIO</t>
  </si>
  <si>
    <t>DIFERENCIAS POR REDONDEOS</t>
  </si>
  <si>
    <t>AJUSTE REDONDEO AUTO</t>
  </si>
  <si>
    <t>INTERES POR RENTA</t>
  </si>
  <si>
    <t>PRODUCTOS FINANCIEROS INTERESES POR INVERSIONES</t>
  </si>
  <si>
    <t>INTERESES DEVENGADOS</t>
  </si>
  <si>
    <t>PRODUCTOS FINANCIEROS INTERCOMPANIAS INTERESES</t>
  </si>
  <si>
    <t>PRODUCTOS FINANCIEROS INTERESES INTERCIA PROVISION</t>
  </si>
  <si>
    <t>PRODUCTOS FINANCIEROS UTILIDAD EN CAMBIOS</t>
  </si>
  <si>
    <t>PRODUCTOS FINANCIEROS UTILIDAD (VALUACION MON EXT)</t>
  </si>
  <si>
    <t>DIFERENCIAS POR REDONDEOS INGRESO</t>
  </si>
  <si>
    <t>PROVISION DE ISR DEL EJERCICIO</t>
  </si>
  <si>
    <t>PROVISION DE IMPUESTOS ISR DIFERIDO</t>
  </si>
  <si>
    <t>CLIENTES NACIONALES</t>
  </si>
  <si>
    <t>ok</t>
  </si>
  <si>
    <t>Sin factura</t>
  </si>
  <si>
    <t>Con factura</t>
  </si>
  <si>
    <t xml:space="preserve"> </t>
  </si>
  <si>
    <t>De productividad, también pueden incluir bono por cumplimiento de objetivos asistencia,</t>
  </si>
  <si>
    <t>DIA FESTIVO LABORADO</t>
  </si>
  <si>
    <t>Corresponde al pago por días domingos, festivos y de descanso compensatorio que reciben los trabajadores que se rigen por un sistema de remuneración mixto</t>
  </si>
  <si>
    <t>Corresponde a beneficio que tienen los trabajadores para alimentación.</t>
  </si>
  <si>
    <t>TRANSPORTE DE PERSONAL</t>
  </si>
  <si>
    <t>Corresponde a beneficio que tienen los trabajadores para transporte.</t>
  </si>
  <si>
    <t xml:space="preserve">ok </t>
  </si>
  <si>
    <t>Utilizamos esta cuenta para registrar multas e intereses pagados por concepto de pagos fuera de plazo de impuestos.</t>
  </si>
  <si>
    <t>Se refiere al impuesto municipal que se paga para poder realizar actividades de comercio.</t>
  </si>
  <si>
    <t>OTROS ARRIENDOS</t>
  </si>
  <si>
    <t>3105815</t>
  </si>
  <si>
    <t>GASTOS DE PASAJES Y TRASLADO NACIONAL</t>
  </si>
  <si>
    <t>3105401</t>
  </si>
  <si>
    <t>SERVICIOS DE TELECOMUNICACION</t>
  </si>
  <si>
    <t>N° CUENTA</t>
  </si>
  <si>
    <t>NOMBRE CUENTA</t>
  </si>
  <si>
    <t xml:space="preserve"> CEDIS CHILE</t>
  </si>
  <si>
    <t>ADMINISTRACION</t>
  </si>
  <si>
    <t>ONLINE</t>
  </si>
  <si>
    <t>DOMINICOS</t>
  </si>
  <si>
    <t>EGAÑA</t>
  </si>
  <si>
    <t>MAIPU</t>
  </si>
  <si>
    <t>VESPUCIO</t>
  </si>
  <si>
    <t>TREBOL</t>
  </si>
  <si>
    <t>TOTAL</t>
  </si>
  <si>
    <t>3102101</t>
  </si>
  <si>
    <t>Resultado por Centro de Beneficio</t>
  </si>
  <si>
    <t>GASTO ENERGIA ELECTRICA</t>
  </si>
  <si>
    <t>3105506</t>
  </si>
  <si>
    <t>3108116</t>
  </si>
  <si>
    <t>INTERES GANADO POR DEPOSITO A PLAZO PESOS</t>
  </si>
  <si>
    <t>Resultado por Centro de Costo</t>
  </si>
  <si>
    <t>HONLINE</t>
  </si>
  <si>
    <t>HDOMINICOS</t>
  </si>
  <si>
    <t>HEGAÑA</t>
  </si>
  <si>
    <t>HMAIPU</t>
  </si>
  <si>
    <t>HVESPUCIO</t>
  </si>
  <si>
    <t>C89004120</t>
  </si>
  <si>
    <t>C89005070</t>
  </si>
  <si>
    <t>C89004560</t>
  </si>
  <si>
    <t>C89004510</t>
  </si>
  <si>
    <t>C89004530</t>
  </si>
  <si>
    <t>C89004520</t>
  </si>
  <si>
    <t>C89004540</t>
  </si>
  <si>
    <t>C89004550</t>
  </si>
  <si>
    <t>Ok</t>
  </si>
  <si>
    <t>ANTICIPOS SUELDOS</t>
  </si>
  <si>
    <t>OK</t>
  </si>
  <si>
    <t>3102102</t>
  </si>
  <si>
    <t>CANAL DIGITAL</t>
  </si>
  <si>
    <t>3105202</t>
  </si>
  <si>
    <t>HONORARIOS PROFESIONALES LEGALES</t>
  </si>
  <si>
    <t>3105209</t>
  </si>
  <si>
    <t>HONORARIOS POR ASESORIAS INFORMATICAS</t>
  </si>
  <si>
    <t>GASTOS LEGALES Y NOTARIALES DIRECTOS</t>
  </si>
  <si>
    <t xml:space="preserve">Proporcion depreciación </t>
  </si>
  <si>
    <t>*** Saldos negativos se suben con 50 y se suben en positivo</t>
  </si>
  <si>
    <t>*** Gastos financieros en negativo (81) se convierten en productos financieros (82) y se suben en positivo</t>
  </si>
  <si>
    <t>***Cuentas 8 miles no llevan CECO</t>
  </si>
  <si>
    <t>MEDIOS DIGITAL</t>
  </si>
  <si>
    <t>GASTOS DE EMPAQUE</t>
  </si>
  <si>
    <t xml:space="preserve">*** Cuentas 81 y 82 revisar manualmente porque puede ser deudora o acreedora </t>
  </si>
  <si>
    <t>3105831</t>
  </si>
  <si>
    <t>MEMBRESÍAS Y ASOCIACIONES</t>
  </si>
  <si>
    <t>3109105</t>
  </si>
  <si>
    <t>INTERESES POR PRESTAMO EN EERR</t>
  </si>
  <si>
    <t>IMPUESTOS POR RECUPERAR</t>
  </si>
  <si>
    <t>TARJETA CREDITO CLP</t>
  </si>
  <si>
    <t>GASTOS FINANCIEROS INTERESES BANCARIOS PAGADOS</t>
  </si>
  <si>
    <t>3105802</t>
  </si>
  <si>
    <t>SUMINISTROS COMPUTACIONALES</t>
  </si>
  <si>
    <t>ACCESORIOS</t>
  </si>
  <si>
    <t>CALZADO</t>
  </si>
  <si>
    <t>ACC</t>
  </si>
  <si>
    <t>CAL</t>
  </si>
  <si>
    <t xml:space="preserve">VENTAS CON BOLETA </t>
  </si>
  <si>
    <t>3105119</t>
  </si>
  <si>
    <t>3111101</t>
  </si>
  <si>
    <t>DIF_CAM__EFECTIVO Y EQUIVALENTES AL EFECTIVO</t>
  </si>
  <si>
    <t>BANCOS CTA CTE US$</t>
  </si>
  <si>
    <t>FINIQUITOS POR PAGAR</t>
  </si>
  <si>
    <t>SANTANDER ( 89 ) USD</t>
  </si>
  <si>
    <t>ACREEDORES EMPLEADOS (NOMINA)</t>
  </si>
  <si>
    <t xml:space="preserve">Monetarias </t>
  </si>
  <si>
    <t>TC cierre</t>
  </si>
  <si>
    <t xml:space="preserve">No monetarias </t>
  </si>
  <si>
    <t>TC Historico transaccional</t>
  </si>
  <si>
    <t>Valor transaccional</t>
  </si>
  <si>
    <t>Tipo de cambio transaccional</t>
  </si>
  <si>
    <t>3105118</t>
  </si>
  <si>
    <t>ATENCIONES AL PERSONAL</t>
  </si>
  <si>
    <t>GASTOS MEDICOS</t>
  </si>
  <si>
    <t xml:space="preserve">Cuenta México </t>
  </si>
  <si>
    <t xml:space="preserve">Valor </t>
  </si>
  <si>
    <t>Registro SAP</t>
  </si>
  <si>
    <t>GASTOS DE PASAJES Y TRASLADO INTERNACIONAL</t>
  </si>
  <si>
    <t>COSTANERA CENTER</t>
  </si>
  <si>
    <t>FLORIDA CENTER</t>
  </si>
  <si>
    <t>GASTOS PAGADOS POR ANTICIPADO</t>
  </si>
  <si>
    <t>FONDO FIJO COSTANERA CENTER</t>
  </si>
  <si>
    <t>COMISIÓN - CANAL DIGITAL</t>
  </si>
  <si>
    <t>FLETES - CANAL DIGITAL</t>
  </si>
  <si>
    <t>PUBLICIDAD - CANAL DIGITAL</t>
  </si>
  <si>
    <t>SERVICIOS  - CANAL DIGITAL</t>
  </si>
  <si>
    <t>FINIQUITOS</t>
  </si>
  <si>
    <t>FONDO FIJO FLORIDA CENTER</t>
  </si>
  <si>
    <t>DEPARTAMENTALES</t>
  </si>
  <si>
    <t>COSTOS OPERATIVOS - FLETES INTERNOS</t>
  </si>
  <si>
    <t>PROMOTORES</t>
  </si>
  <si>
    <t>HCOSTANERA</t>
  </si>
  <si>
    <t>HFLORIDA</t>
  </si>
  <si>
    <t>HDEPARTAME</t>
  </si>
  <si>
    <t>C89004580</t>
  </si>
  <si>
    <t>C89004590</t>
  </si>
  <si>
    <t>C89004570</t>
  </si>
  <si>
    <t>CAMPAÑAS PUBLICIDAD EN TIENDAS</t>
  </si>
  <si>
    <t>EVENTOS CAPACITACION TIENDAS</t>
  </si>
  <si>
    <t>FINANCIAMIENTO FLEXI EQUIPAMIENTO Y PROM TIENDAS</t>
  </si>
  <si>
    <t>PROMOCION Y DIFUSION</t>
  </si>
  <si>
    <t>3102104</t>
  </si>
  <si>
    <t>3102105</t>
  </si>
  <si>
    <t>3102108</t>
  </si>
  <si>
    <t>3105101</t>
  </si>
  <si>
    <t>3105102</t>
  </si>
  <si>
    <t>3105103</t>
  </si>
  <si>
    <t>3105104</t>
  </si>
  <si>
    <t>3105108</t>
  </si>
  <si>
    <t>3105109</t>
  </si>
  <si>
    <t>3105110</t>
  </si>
  <si>
    <t>3105111</t>
  </si>
  <si>
    <t>3105116</t>
  </si>
  <si>
    <t>3105121</t>
  </si>
  <si>
    <t>3105122</t>
  </si>
  <si>
    <t>3105123</t>
  </si>
  <si>
    <t>3105201</t>
  </si>
  <si>
    <t>3105206</t>
  </si>
  <si>
    <t>3105301</t>
  </si>
  <si>
    <t>3105302</t>
  </si>
  <si>
    <t>3105303</t>
  </si>
  <si>
    <t>3105403</t>
  </si>
  <si>
    <t>3105501</t>
  </si>
  <si>
    <t>3105601</t>
  </si>
  <si>
    <t>3105801</t>
  </si>
  <si>
    <t>3105803</t>
  </si>
  <si>
    <t>3105806</t>
  </si>
  <si>
    <t>3105812</t>
  </si>
  <si>
    <t>3105822</t>
  </si>
  <si>
    <t>3105830</t>
  </si>
  <si>
    <t>3111151</t>
  </si>
  <si>
    <t>3111152</t>
  </si>
  <si>
    <t>3113101</t>
  </si>
  <si>
    <t>3113109</t>
  </si>
  <si>
    <t>3105107</t>
  </si>
  <si>
    <t>3105124</t>
  </si>
  <si>
    <t>REMUNERACIONES EXTERNAS</t>
  </si>
  <si>
    <t>3105210</t>
  </si>
  <si>
    <t>HONORARIOS ADMINISTRACIÓN DE PERSONAL</t>
  </si>
  <si>
    <t>3105504</t>
  </si>
  <si>
    <t>IVA IRRECUPERABLE</t>
  </si>
  <si>
    <t>3105701</t>
  </si>
  <si>
    <t/>
  </si>
  <si>
    <t>GASTOS DE HOSPEDAJE NACIONAL</t>
  </si>
  <si>
    <t>GASTOS DE CAPACITACION</t>
  </si>
  <si>
    <t>RE GRATIFICACION</t>
  </si>
  <si>
    <t>RE HORAS EXTRAS</t>
  </si>
  <si>
    <t>RE COMISION POR VENTA</t>
  </si>
  <si>
    <t>RE BONOS</t>
  </si>
  <si>
    <t>RE SEMANA CORRIDA</t>
  </si>
  <si>
    <t>RE ASIGNACION COLACION</t>
  </si>
  <si>
    <t>RE ASIGNACION MOVILIZACION</t>
  </si>
  <si>
    <t>RE SEGURO DE CESANTIA</t>
  </si>
  <si>
    <t>RE MUTUAL DE SEGURIDAD</t>
  </si>
  <si>
    <t>RE SEGURO INVALIDEZ (AFP)</t>
  </si>
  <si>
    <t>SUMINISTROS PUBLICIDAD Y MARKETING</t>
  </si>
  <si>
    <t>MATERIAL POP INTERNA</t>
  </si>
  <si>
    <t>MTTO AL SOFTWARE(721751)</t>
  </si>
  <si>
    <t xml:space="preserve">CAPACITACION </t>
  </si>
  <si>
    <t>VIATICOS VISUAL MERCHANDISE</t>
  </si>
  <si>
    <t>GASTOS DE REPRESENTACION</t>
  </si>
  <si>
    <t>VENTAS CON BOLETA</t>
  </si>
  <si>
    <t>VENTAS CON BOLETA (RPA)</t>
  </si>
  <si>
    <t>VENTAS CON FACTURA (RPA)</t>
  </si>
  <si>
    <t>venta calzado y accesorio cuenta manual</t>
  </si>
  <si>
    <t>venta calzado y accesorio contabilizacion directa</t>
  </si>
  <si>
    <t>ACREEDORES VARIOS</t>
  </si>
  <si>
    <t>MERCADERIA EN TRANSITO USD</t>
  </si>
  <si>
    <t>LOGISTICA INTERNACION</t>
  </si>
  <si>
    <t>FONDO FIJO SANTIAGO CENTRO</t>
  </si>
  <si>
    <t>HSANTIAGO CENTRO</t>
  </si>
  <si>
    <t>SANTIAGO CENTRO</t>
  </si>
  <si>
    <t>CONCEPCION CENTRO</t>
  </si>
  <si>
    <t>C89004610</t>
  </si>
  <si>
    <t>C89004620</t>
  </si>
  <si>
    <t>FONDO FIJO CONCEPCION CENTRO</t>
  </si>
  <si>
    <t>LICENCIAS SOTWARE RENTAS</t>
  </si>
  <si>
    <t>GASTO VENTA CANAL MAYORISTA</t>
  </si>
  <si>
    <t>GASTOS CEDIS</t>
  </si>
  <si>
    <t>1.1.01.201</t>
  </si>
  <si>
    <t>1.1.01.202</t>
  </si>
  <si>
    <t>1.1.01.203</t>
  </si>
  <si>
    <t>1.1.01.204</t>
  </si>
  <si>
    <t>1.1.01.205</t>
  </si>
  <si>
    <t>1.1.01.206</t>
  </si>
  <si>
    <t>1.1.01.207</t>
  </si>
  <si>
    <t>1.1.01.208</t>
  </si>
  <si>
    <t>1.1.01.301</t>
  </si>
  <si>
    <t>1.1.01.209</t>
  </si>
  <si>
    <t>1.1.02.106</t>
  </si>
  <si>
    <t>1.1.01.501</t>
  </si>
  <si>
    <t>INVERSION FONDO MUTUO</t>
  </si>
  <si>
    <t>1.1.01.502</t>
  </si>
  <si>
    <t>INVERIOSN FONDO MUTUO USD</t>
  </si>
  <si>
    <t>1.1.01.302</t>
  </si>
  <si>
    <t>1.1.04.102</t>
  </si>
  <si>
    <t>1.1.04.101</t>
  </si>
  <si>
    <t>1.1.04.105</t>
  </si>
  <si>
    <t>1.1.04.106</t>
  </si>
  <si>
    <t>1.1.04.104</t>
  </si>
  <si>
    <t>1.1.05.302</t>
  </si>
  <si>
    <t>1.1.05.405</t>
  </si>
  <si>
    <t>1.1.05.403</t>
  </si>
  <si>
    <t>1.1.05.404</t>
  </si>
  <si>
    <t>1.1.09.103</t>
  </si>
  <si>
    <t>1.1.09.201</t>
  </si>
  <si>
    <t>1.1.09.101</t>
  </si>
  <si>
    <t>1.1.06.401</t>
  </si>
  <si>
    <t>1.1.06.801</t>
  </si>
  <si>
    <t>1.1.06.802</t>
  </si>
  <si>
    <t>1.2.02.402</t>
  </si>
  <si>
    <t>1.2.02.904</t>
  </si>
  <si>
    <t>1.2.02.101</t>
  </si>
  <si>
    <t>1.1.03.201</t>
  </si>
  <si>
    <t>1.2.02.905</t>
  </si>
  <si>
    <t>2.1.02.103</t>
  </si>
  <si>
    <t>2.1.02.102</t>
  </si>
  <si>
    <t>2.1.02.401</t>
  </si>
  <si>
    <t>2.1.01.203</t>
  </si>
  <si>
    <t>PRESTAMOS NO BANCARIOS MONTO A</t>
  </si>
  <si>
    <t>2.1.01.601</t>
  </si>
  <si>
    <t>2.1.02.604</t>
  </si>
  <si>
    <t>2.1.02.301</t>
  </si>
  <si>
    <t>ANTICIPO CLIENTES</t>
  </si>
  <si>
    <t>2.1.05.106</t>
  </si>
  <si>
    <t>2.1.05.103</t>
  </si>
  <si>
    <t>2.1.05.101</t>
  </si>
  <si>
    <t>2.1.05.102</t>
  </si>
  <si>
    <t>2.1.06.103</t>
  </si>
  <si>
    <t>2.1.02.503</t>
  </si>
  <si>
    <t>2.1.02.605</t>
  </si>
  <si>
    <t>2.3.01.101</t>
  </si>
  <si>
    <t>2.3.02.101</t>
  </si>
  <si>
    <t>3.1.01.101</t>
  </si>
  <si>
    <t>3.1.01.103</t>
  </si>
  <si>
    <t>3.1.01.104</t>
  </si>
  <si>
    <t>3.1.02.101</t>
  </si>
  <si>
    <t>3.1.05.114</t>
  </si>
  <si>
    <t>3.1.05.126</t>
  </si>
  <si>
    <t>3.1.05.102</t>
  </si>
  <si>
    <t>3.1.05.128</t>
  </si>
  <si>
    <t>3.1.05.101</t>
  </si>
  <si>
    <t>3.1.05.124</t>
  </si>
  <si>
    <t>3.1.05.107</t>
  </si>
  <si>
    <t>3.1.05.122</t>
  </si>
  <si>
    <t>3.1.05.127</t>
  </si>
  <si>
    <t>3.1.05.119</t>
  </si>
  <si>
    <t>3.1.05.104</t>
  </si>
  <si>
    <t>3.1.05.125</t>
  </si>
  <si>
    <t>3.1.05.121</t>
  </si>
  <si>
    <t>3.1.05.129</t>
  </si>
  <si>
    <t>3.1.05.110</t>
  </si>
  <si>
    <t>3.1.05.133</t>
  </si>
  <si>
    <t>3.1.05.134</t>
  </si>
  <si>
    <t>3.1.05.103</t>
  </si>
  <si>
    <t>3.1.05.132</t>
  </si>
  <si>
    <t>3.1.06.108</t>
  </si>
  <si>
    <t>3.1.06.130</t>
  </si>
  <si>
    <t>3.1.06.201</t>
  </si>
  <si>
    <t>3.1.06.210</t>
  </si>
  <si>
    <t>3.1.06.202</t>
  </si>
  <si>
    <t>3.1.06.206</t>
  </si>
  <si>
    <t>3.1.06.815</t>
  </si>
  <si>
    <t>GASTOS DE PASAJES,ESTADIA Y TRASLADO NACIONAL</t>
  </si>
  <si>
    <t>3.1.06.819</t>
  </si>
  <si>
    <t>3.1.06.809</t>
  </si>
  <si>
    <t>3.1.06.817</t>
  </si>
  <si>
    <t>3.1.06.301</t>
  </si>
  <si>
    <t>3.1.06.302</t>
  </si>
  <si>
    <t>3.1.06.303</t>
  </si>
  <si>
    <t>3.1.02.105</t>
  </si>
  <si>
    <t>3.1.02.113</t>
  </si>
  <si>
    <t>COSTOS OPERATIVOS - INTERNACIO</t>
  </si>
  <si>
    <t>3.1.07.822</t>
  </si>
  <si>
    <t>3.1.07.833</t>
  </si>
  <si>
    <t xml:space="preserve">SUMINISTROS VISUAL </t>
  </si>
  <si>
    <t>3.1.06.801</t>
  </si>
  <si>
    <t>3.1.02.103</t>
  </si>
  <si>
    <t>3.1.02.104</t>
  </si>
  <si>
    <t>3.1.02.108</t>
  </si>
  <si>
    <t>3.1.06.601</t>
  </si>
  <si>
    <t>3.1.06.401</t>
  </si>
  <si>
    <t>GASTOS DE TELEFONIA MOVIL</t>
  </si>
  <si>
    <t>3.1.06.116</t>
  </si>
  <si>
    <t>3.1.06.505</t>
  </si>
  <si>
    <t>3.1.06.812</t>
  </si>
  <si>
    <t>3.1.06.209</t>
  </si>
  <si>
    <t>3.1.06.802</t>
  </si>
  <si>
    <t>3.1.06.501</t>
  </si>
  <si>
    <t>3.1.06.504</t>
  </si>
  <si>
    <t>3.1.06.831</t>
  </si>
  <si>
    <t>3.1.06.506</t>
  </si>
  <si>
    <t>3.1.06.805</t>
  </si>
  <si>
    <t>3.1.08.701</t>
  </si>
  <si>
    <t>3.2.08.105</t>
  </si>
  <si>
    <t>3.1.06.806</t>
  </si>
  <si>
    <t>3.2.11.158</t>
  </si>
  <si>
    <t>3.2.11.151</t>
  </si>
  <si>
    <t>DIF_CAM_OTROS PASIVOS FINANCIEROS</t>
  </si>
  <si>
    <t>3.2.11.152</t>
  </si>
  <si>
    <t>DIF_CAM_CUENTAS POR PAGAR COMERCIALES Y OTRAS CUEN</t>
  </si>
  <si>
    <t>3.2.13.101</t>
  </si>
  <si>
    <t>3.2.11.101</t>
  </si>
  <si>
    <t>DIF_CAM_EFECTIVO Y EQUIVALENTES AL EFECTIVO</t>
  </si>
  <si>
    <t>3.2.11.106</t>
  </si>
  <si>
    <t>DIF_CAM_INVENTARIOS</t>
  </si>
  <si>
    <t>3.1.06.830</t>
  </si>
  <si>
    <t>3.2.13.109</t>
  </si>
  <si>
    <t>3.2.08.116</t>
  </si>
  <si>
    <t>3.2.08.114</t>
  </si>
  <si>
    <t>INTERESES DEVENGADOS FONDOS MU</t>
  </si>
  <si>
    <t>3.1.06.109</t>
  </si>
  <si>
    <t>3.1.06.131</t>
  </si>
  <si>
    <t>3.1.02.102</t>
  </si>
  <si>
    <t>3.1.05.111</t>
  </si>
  <si>
    <t>3.1.05.116</t>
  </si>
  <si>
    <t>3.1.05.130</t>
  </si>
  <si>
    <t>HORAS EXTRAS DOMINICAL</t>
  </si>
  <si>
    <t>RE HORAS EXTRAS DOMINICAL</t>
  </si>
  <si>
    <t>3.1.06.112</t>
  </si>
  <si>
    <t>3.1.06.403</t>
  </si>
  <si>
    <t>3.1.06.803</t>
  </si>
  <si>
    <t>DIF</t>
  </si>
  <si>
    <t>1.1.04.108</t>
  </si>
  <si>
    <t>GIFTCARD</t>
  </si>
  <si>
    <t>1.1.04.109</t>
  </si>
  <si>
    <t>ECOMMERCE</t>
  </si>
  <si>
    <t>1.1.04.200</t>
  </si>
  <si>
    <t>CUENTAS POR COBRAR</t>
  </si>
  <si>
    <t>2.1.06.104</t>
  </si>
  <si>
    <t>Clasificacion</t>
  </si>
  <si>
    <t>Numero Cuenta</t>
  </si>
  <si>
    <t xml:space="preserve">Nombre Cuenta </t>
  </si>
  <si>
    <t>Valores Acumulados</t>
  </si>
  <si>
    <t>Saldos</t>
  </si>
  <si>
    <t>Inventario</t>
  </si>
  <si>
    <t>Resultados</t>
  </si>
  <si>
    <t>T/C Cierre</t>
  </si>
  <si>
    <t>Transacioanal</t>
  </si>
  <si>
    <t>Saldo (R)</t>
  </si>
  <si>
    <t>Saldos CLP sumados</t>
  </si>
  <si>
    <t>Dif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</si>
  <si>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</si>
  <si>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</si>
  <si>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</si>
  <si>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</si>
  <si>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</si>
  <si>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</si>
  <si>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</si>
  <si>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</si>
  <si>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Caja y Bancos</t>
  </si>
  <si>
    <t>1.1.01.101</t>
  </si>
  <si>
    <t>EFECTIVO EN TRANSITO</t>
  </si>
  <si>
    <t>Monetaria</t>
  </si>
  <si>
    <t>Derechos de arrendamiento</t>
  </si>
  <si>
    <t>Pagos anticipados</t>
  </si>
  <si>
    <t>Deudores Diversos</t>
  </si>
  <si>
    <t>Inventarios</t>
  </si>
  <si>
    <t>NO Monetario</t>
  </si>
  <si>
    <t>Impuestos a favor</t>
  </si>
  <si>
    <t>Equipo de tiendas</t>
  </si>
  <si>
    <t>1.2.02.401</t>
  </si>
  <si>
    <t>Equipo de cómputo</t>
  </si>
  <si>
    <t>Depreciación acumulada</t>
  </si>
  <si>
    <t>Acreedores diversos</t>
  </si>
  <si>
    <t>Cuentas por pagar a empresas realcionadas</t>
  </si>
  <si>
    <t>Proveedores</t>
  </si>
  <si>
    <t>Impuestos nómina</t>
  </si>
  <si>
    <t>Otros pasivos</t>
  </si>
  <si>
    <t>IVA por pagar del mes</t>
  </si>
  <si>
    <t>Capital social</t>
  </si>
  <si>
    <t>Costo estándar de venta</t>
  </si>
  <si>
    <t>Gastos de Administracion y Ventas</t>
  </si>
  <si>
    <t>Sueldos</t>
  </si>
  <si>
    <t>Comisiones bancarias</t>
  </si>
  <si>
    <t>Publicidad</t>
  </si>
  <si>
    <t>Depreciaciones</t>
  </si>
  <si>
    <t>Costo financiero</t>
  </si>
  <si>
    <t>Ventas Netas</t>
  </si>
  <si>
    <t>Total Acumulado</t>
  </si>
  <si>
    <t>Resultado del ejercicio</t>
  </si>
  <si>
    <t>Sumas Iguales</t>
  </si>
  <si>
    <t>Flexi Chile SpA</t>
  </si>
  <si>
    <t>BALANCE 8 COLUMNAS</t>
  </si>
  <si>
    <t>1.1.04.300</t>
  </si>
  <si>
    <t>PROVISION INGRESOS</t>
  </si>
  <si>
    <t>(para pago publicidad recibido en enero)</t>
  </si>
  <si>
    <t>3.1.06.304</t>
  </si>
  <si>
    <t>GASTOS COMUNES</t>
  </si>
  <si>
    <t>2.3.01.102</t>
  </si>
  <si>
    <t>2.3.01.103</t>
  </si>
  <si>
    <t>|</t>
  </si>
  <si>
    <t>APORTES POR CAPITALIZAR</t>
  </si>
  <si>
    <t>1.1.06.402</t>
  </si>
  <si>
    <t>EXISTENCIAS SINIESTRADAS</t>
  </si>
  <si>
    <t>1.2.02.403</t>
  </si>
  <si>
    <t>1.2.02.404</t>
  </si>
  <si>
    <t>MUEBLES, UTILES O SINIESTRADOS</t>
  </si>
  <si>
    <t>EQUIPOS COMPUTAC  SINIESTRADOS</t>
  </si>
  <si>
    <t>1.1.04.201</t>
  </si>
  <si>
    <t>CUENTAS POR COBRAR USD</t>
  </si>
  <si>
    <t>TALCA</t>
  </si>
  <si>
    <t>HMAULE TALCA</t>
  </si>
  <si>
    <t>C89004640</t>
  </si>
  <si>
    <t>Cuenta Mexico</t>
  </si>
  <si>
    <t>3.1.06.602</t>
  </si>
  <si>
    <t>GASTOS DE VIAJE Y REPRESENTACIÓN</t>
  </si>
  <si>
    <t>3.1.06.305</t>
  </si>
  <si>
    <t>3.1.02.106</t>
  </si>
  <si>
    <t>3.1.06.306</t>
  </si>
  <si>
    <t>CONSUMIBLES EQUIPO DE COMPUTO</t>
  </si>
  <si>
    <t>PRISA ASEO Y GTO OFICINA</t>
  </si>
  <si>
    <t>3.1.06.820</t>
  </si>
  <si>
    <t>3.1.06.507</t>
  </si>
  <si>
    <t>GASTOS DE ALMACENAJE</t>
  </si>
  <si>
    <t>3.1.06.603</t>
  </si>
  <si>
    <t>MANTENIMIENTO EQUIPO CEDIS</t>
  </si>
  <si>
    <t>MONITOREO COMERCIAL</t>
  </si>
  <si>
    <t>3.1.06.836</t>
  </si>
  <si>
    <t>3.1.06.837</t>
  </si>
  <si>
    <t>no va</t>
  </si>
  <si>
    <t>3.1.06.834</t>
  </si>
  <si>
    <t>3.1.06.835</t>
  </si>
  <si>
    <t>3.1.06.818</t>
  </si>
  <si>
    <t>3.1.06.406</t>
  </si>
  <si>
    <t>Resultados acumulados</t>
  </si>
  <si>
    <t>1.1.01.210</t>
  </si>
  <si>
    <t>FONDO FIJO TALCA</t>
  </si>
  <si>
    <t>DOMINGOS Y FESTIVOS</t>
  </si>
  <si>
    <t>RE DOMINGOS Y FESTIVOS</t>
  </si>
  <si>
    <t>3.1.05.131</t>
  </si>
  <si>
    <t>3.1.05.117</t>
  </si>
  <si>
    <t>3.1.06.816</t>
  </si>
  <si>
    <t>3.1.01.300</t>
  </si>
  <si>
    <t>OTROS INGRESOS</t>
  </si>
  <si>
    <t>DESCUENTOS GIFTCARD</t>
  </si>
  <si>
    <t>3.1.09.001</t>
  </si>
  <si>
    <t>SINIESTROS</t>
  </si>
  <si>
    <t>3.1.02.109</t>
  </si>
  <si>
    <t>1.1.01.211</t>
  </si>
  <si>
    <t>FONDO FIJO PLAZA NORTE</t>
  </si>
  <si>
    <t>PLAZA NORTE</t>
  </si>
  <si>
    <t>PLAZA OESTE</t>
  </si>
  <si>
    <t>NORTE</t>
  </si>
  <si>
    <t>OESTE</t>
  </si>
  <si>
    <t>C89004630</t>
  </si>
  <si>
    <t>C89004650</t>
  </si>
  <si>
    <t>C89004660</t>
  </si>
  <si>
    <t>HTREBOL</t>
  </si>
  <si>
    <t>HMARKETPLAZ</t>
  </si>
  <si>
    <t>HCONCEPCIO</t>
  </si>
  <si>
    <t>HSANTIAGO</t>
  </si>
  <si>
    <t>HMAULETALC</t>
  </si>
  <si>
    <t>HNORTE</t>
  </si>
  <si>
    <t>HOESTE</t>
  </si>
  <si>
    <t>S17</t>
  </si>
  <si>
    <t>Grupo Flexi de León S.A.P.I de CV</t>
  </si>
  <si>
    <t>S07 y S87</t>
  </si>
  <si>
    <t>Alyc-Distrib Flexi - Qli</t>
  </si>
  <si>
    <t>1.2.02.405</t>
  </si>
  <si>
    <t>ACTIVO EN CONSTRUCCION</t>
  </si>
  <si>
    <t>se crea para la provision de facturas de BAP provisionadas</t>
  </si>
  <si>
    <t>1.1.01.212</t>
  </si>
  <si>
    <t>FONDO FIJO PLAZA OESTE</t>
  </si>
  <si>
    <t>FONSO FIJO PLAZA NORTE</t>
  </si>
  <si>
    <t>3.2.08.117</t>
  </si>
  <si>
    <t>INTERES GANADOS POR FONDOS MUTUOS</t>
  </si>
  <si>
    <t>INTERES GANADO FONDOS MUTUOS</t>
  </si>
  <si>
    <t>INDEMNIZACIONES</t>
  </si>
  <si>
    <t>DIA FESTIVO NO  LABORADO</t>
  </si>
  <si>
    <t>dia festivo laborado</t>
  </si>
  <si>
    <t>MEX</t>
  </si>
  <si>
    <t>CHILE</t>
  </si>
  <si>
    <t>SANTANDER CHILE</t>
  </si>
  <si>
    <t>SANTANDER CH USD</t>
  </si>
  <si>
    <t>SANTANDER CH INV</t>
  </si>
  <si>
    <t>DEPOSITOS GARANTIA</t>
  </si>
  <si>
    <t>ANTICIPOS PROVEEDORE</t>
  </si>
  <si>
    <t>INV PROD TERMINADO</t>
  </si>
  <si>
    <t>INVENTARIO TRANSITO</t>
  </si>
  <si>
    <t>DERECHOS ARRENDAMIEN</t>
  </si>
  <si>
    <t>MOB Y EQ OFNA</t>
  </si>
  <si>
    <t>MOB Y EQ COMPUTO</t>
  </si>
  <si>
    <t>ACT FIJO CONTRUCCION</t>
  </si>
  <si>
    <t>DEP ACUM EQ OFICINA</t>
  </si>
  <si>
    <t>DEP ACUM EQ COMPUTO</t>
  </si>
  <si>
    <t>ACREED DIVERSOS</t>
  </si>
  <si>
    <t>PROVEED NACIONALES</t>
  </si>
  <si>
    <t>PROVEED SERVICIOS</t>
  </si>
  <si>
    <t>IMP Y DCHO IMSS</t>
  </si>
  <si>
    <t>NOMINAS X PAGAR</t>
  </si>
  <si>
    <t>CAP SOC EXH FIJO</t>
  </si>
  <si>
    <t>RESULT ACUMULADOS</t>
  </si>
  <si>
    <t>CTO ESTANDAR VTAS</t>
  </si>
  <si>
    <t>FLETES SOBRE VTA</t>
  </si>
  <si>
    <t>COMISIONES VENTAS</t>
  </si>
  <si>
    <t>I.M.S.S</t>
  </si>
  <si>
    <t>DIA FESTIVO NO LABORADO</t>
  </si>
  <si>
    <t>SERVICIO COMEDOR EXT</t>
  </si>
  <si>
    <t>TRANSP PERSONAL</t>
  </si>
  <si>
    <t>HONOR PROF</t>
  </si>
  <si>
    <t>MTTO AL SOFTWARE</t>
  </si>
  <si>
    <t>OTROS IMP Y DCHOS</t>
  </si>
  <si>
    <t>SERVICIO VIGILANCIA</t>
  </si>
  <si>
    <t>MTTO DEL EDIFICIO</t>
  </si>
  <si>
    <t>PAP Y ART DE OFNA</t>
  </si>
  <si>
    <t>GF GASTOS BANCARIOS</t>
  </si>
  <si>
    <t xml:space="preserve">LICENCIAS SOFTWARE </t>
  </si>
  <si>
    <t>CUOTAS Y SUSCRIP</t>
  </si>
  <si>
    <t>DEPR EQUIPO COMPUTO</t>
  </si>
  <si>
    <t>DEPR MUEBLES-ENSERES</t>
  </si>
  <si>
    <t>PRODUCTO FINANCIERO INTS X INVERSION</t>
  </si>
  <si>
    <t>PRODUCTO FINANCIERO UTILIDAD CAMBIOS</t>
  </si>
  <si>
    <t>GF PERDIDA (V M EXT)</t>
  </si>
  <si>
    <t>DIFER POR REDONDEOS</t>
  </si>
  <si>
    <t>VTAS CALZ NAL MENUD</t>
  </si>
  <si>
    <t>3.1.02.110</t>
  </si>
  <si>
    <t>DESCUENTOS CLUB FLEXI</t>
  </si>
  <si>
    <t>Otros ingresos</t>
  </si>
  <si>
    <t>DEPOSITO DE GARANTIA</t>
  </si>
  <si>
    <t>PT. OBSEQUIO-MUESTRA-CAL</t>
  </si>
  <si>
    <t>PROVISIONES PARA GASTOS</t>
  </si>
  <si>
    <t xml:space="preserve">Total Equipos Computacionales </t>
  </si>
  <si>
    <t>Total Muebles y Otros</t>
  </si>
  <si>
    <t>3.1.06.813</t>
  </si>
  <si>
    <t>COMISIONES GETNET</t>
  </si>
  <si>
    <t>3.1.05.112</t>
  </si>
  <si>
    <t>3.1.05.113</t>
  </si>
  <si>
    <t>CAPITALIZACION INDIVIDUAL AFP</t>
  </si>
  <si>
    <t>EXPECTATIVA DE VIDA</t>
  </si>
  <si>
    <t>GETNET TC</t>
  </si>
  <si>
    <t>1.1.04.112</t>
  </si>
  <si>
    <t>2.1.01.204</t>
  </si>
  <si>
    <t>CUENTAS POR PAGAR</t>
  </si>
  <si>
    <t>GETNET TD/ PREPAGO</t>
  </si>
  <si>
    <t>1.1.04.113</t>
  </si>
  <si>
    <t xml:space="preserve">INTERESES POR PRESTAMO </t>
  </si>
  <si>
    <t>FLEXI</t>
  </si>
  <si>
    <t>TAMARIS</t>
  </si>
  <si>
    <t>3.1.06.307</t>
  </si>
  <si>
    <t>GASTOS FUERA DE PLANIFICACION</t>
  </si>
  <si>
    <t>Al 30 de abril de 2026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</si>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</sst>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_-* #,##0_-;\-* #,##0_-;_-* &quot;-&quot;_-;_-@_-"/>
    <numFmt numFmtId="166" formatCode="_-* #,##0.00_-;\-* #,##0.00_-;_-* &quot;-&quot;??_-;_-@_-"/>
    <numFmt numFmtId="167" formatCode="_ * #,##0_ ;_ * \-#,##0_ ;_ * &quot;-&quot;??_ ;_ @_ "/>
    <numFmt numFmtId="168" formatCode="_(* #,##0_);_(* \(#,##0\);_(* &quot;-&quot;????_);_(@_)"/>
    <numFmt numFmtId="169" formatCode="0.0000"/>
    <numFmt numFmtId="170" formatCode="_-&quot;$&quot;\ * #,##0_-;\-&quot;$&quot;\ * #,##0_-;_-&quot;$&quot;\ * &quot;-&quot;_-;_-@_-"/>
    <numFmt numFmtId="171" formatCode="_ * #,##0.00_ ;_ * \-#,##0.00_ ;_ * &quot;-&quot;_ ;_ @_ "/>
    <numFmt numFmtId="172" formatCode="_(* #,##0.00_);_(* \(#,##0.00\);_(* &quot;-&quot;????_);_(@_)"/>
    <numFmt numFmtId="173" formatCode="_-* #,##0.00_-;\-* #,##0.00_-;_-* &quot;-&quot;_-;_-@_-"/>
    <numFmt numFmtId="174" formatCode="_-* #,##0\ _€_-;\-* #,##0\ _€_-;_-* &quot;-&quot;??\ _€_-;_-@_-"/>
    <numFmt numFmtId="175" formatCode="#,##0_ ;\-#,##0\ 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sz val="11"/>
      <name val="Book Antiqua"/>
      <family val="1"/>
    </font>
    <font>
      <sz val="11"/>
      <color theme="1"/>
      <name val="Segoe UI"/>
      <family val="2"/>
    </font>
    <font>
      <b/>
      <sz val="10"/>
      <color theme="1"/>
      <name val="Book Antiqua"/>
      <family val="1"/>
    </font>
    <font>
      <b/>
      <sz val="8"/>
      <color theme="1"/>
      <name val="Book Antiqua"/>
      <family val="1"/>
    </font>
    <font>
      <b/>
      <sz val="11"/>
      <color theme="1"/>
      <name val="Book Antiqua"/>
      <family val="1"/>
    </font>
    <font>
      <b/>
      <sz val="9"/>
      <color theme="1"/>
      <name val="Book Antiqua"/>
      <family val="1"/>
    </font>
    <font>
      <sz val="11"/>
      <color rgb="FF000000"/>
      <name val="Times New Roman"/>
      <family val="1"/>
    </font>
    <font>
      <sz val="10"/>
      <name val="Book Antiqua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name val="Book Antiqua"/>
      <family val="1"/>
    </font>
    <font>
      <b/>
      <sz val="8"/>
      <color rgb="FFC00000"/>
      <name val="Book Antiqua"/>
      <family val="1"/>
    </font>
    <font>
      <sz val="11"/>
      <color rgb="FFC00000"/>
      <name val="Calibri"/>
      <family val="2"/>
      <scheme val="minor"/>
    </font>
    <font>
      <sz val="10"/>
      <color rgb="FFC00000"/>
      <name val="Book Antiqua"/>
      <family val="1"/>
    </font>
    <font>
      <b/>
      <sz val="10"/>
      <color rgb="FFC00000"/>
      <name val="Book Antiqua"/>
      <family val="1"/>
    </font>
    <font>
      <b/>
      <sz val="9"/>
      <color rgb="FFC00000"/>
      <name val="Book Antiqua"/>
      <family val="1"/>
    </font>
    <font>
      <b/>
      <sz val="10"/>
      <name val="Book Antiqua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1"/>
      <color theme="0"/>
      <name val="Book Antiqua"/>
      <family val="1"/>
    </font>
    <font>
      <sz val="10"/>
      <color theme="0"/>
      <name val="Book Antiqua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sz val="11"/>
      <color rgb="FF0070C0"/>
      <name val="Calibri"/>
      <family val="2"/>
      <scheme val="minor"/>
    </font>
    <font>
      <sz val="11"/>
      <color rgb="FF0070C0"/>
      <name val="Book Antiqua"/>
      <family val="1"/>
    </font>
    <font>
      <b/>
      <sz val="11"/>
      <color rgb="FF0070C0"/>
      <name val="Calibri"/>
      <family val="2"/>
      <scheme val="minor"/>
    </font>
    <font>
      <sz val="10"/>
      <color rgb="FF0070C0"/>
      <name val="Book Antiqua"/>
      <family val="1"/>
    </font>
    <font>
      <b/>
      <sz val="8"/>
      <color rgb="FF002060"/>
      <name val="Book Antiqua"/>
      <family val="1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0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9" borderId="20" applyNumberFormat="0" applyAlignment="0" applyProtection="0"/>
    <xf numFmtId="0" fontId="19" fillId="10" borderId="21" applyNumberFormat="0" applyAlignment="0" applyProtection="0"/>
    <xf numFmtId="0" fontId="20" fillId="10" borderId="20" applyNumberFormat="0" applyAlignment="0" applyProtection="0"/>
    <xf numFmtId="0" fontId="21" fillId="0" borderId="22" applyNumberFormat="0" applyFill="0" applyAlignment="0" applyProtection="0"/>
    <xf numFmtId="0" fontId="22" fillId="11" borderId="23" applyNumberFormat="0" applyAlignment="0" applyProtection="0"/>
    <xf numFmtId="0" fontId="23" fillId="0" borderId="0" applyNumberFormat="0" applyFill="0" applyBorder="0" applyAlignment="0" applyProtection="0"/>
    <xf numFmtId="0" fontId="1" fillId="12" borderId="24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2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37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36" borderId="0" applyNumberFormat="0" applyBorder="0" applyAlignment="0" applyProtection="0"/>
    <xf numFmtId="43" fontId="1" fillId="0" borderId="0" applyFont="0" applyFill="0" applyBorder="0" applyAlignment="0" applyProtection="0"/>
    <xf numFmtId="165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1" fillId="8" borderId="0" applyNumberFormat="0" applyBorder="0" applyAlignment="0" applyProtection="0"/>
    <xf numFmtId="0" fontId="1" fillId="0" borderId="0"/>
    <xf numFmtId="0" fontId="29" fillId="0" borderId="0"/>
    <xf numFmtId="0" fontId="28" fillId="0" borderId="0" applyNumberFormat="0" applyFill="0" applyBorder="0">
      <alignment vertical="center"/>
    </xf>
    <xf numFmtId="0" fontId="30" fillId="0" borderId="0"/>
    <xf numFmtId="0" fontId="1" fillId="0" borderId="0"/>
    <xf numFmtId="0" fontId="28" fillId="0" borderId="0" applyNumberFormat="0" applyFill="0" applyBorder="0">
      <alignment vertical="center"/>
    </xf>
    <xf numFmtId="0" fontId="32" fillId="0" borderId="0"/>
    <xf numFmtId="166" fontId="26" fillId="0" borderId="0" applyFont="0" applyFill="0" applyBorder="0" applyAlignment="0" applyProtection="0"/>
    <xf numFmtId="43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4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261">
    <xf numFmtId="0" fontId="0" fillId="0" borderId="0" xfId="0"/>
    <xf numFmtId="4" fontId="0" fillId="0" borderId="0" xfId="0" applyNumberFormat="1"/>
    <xf numFmtId="0" fontId="3" fillId="0" borderId="1" xfId="0" applyFont="1" applyBorder="1"/>
    <xf numFmtId="0" fontId="4" fillId="2" borderId="1" xfId="0" applyFont="1" applyFill="1" applyBorder="1"/>
    <xf numFmtId="0" fontId="2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right"/>
    </xf>
    <xf numFmtId="0" fontId="4" fillId="2" borderId="0" xfId="0" applyFont="1" applyFill="1"/>
    <xf numFmtId="167" fontId="3" fillId="0" borderId="1" xfId="2" applyNumberFormat="1" applyFont="1" applyBorder="1"/>
    <xf numFmtId="167" fontId="3" fillId="0" borderId="1" xfId="2" applyNumberFormat="1" applyFont="1" applyBorder="1" applyAlignment="1"/>
    <xf numFmtId="168" fontId="3" fillId="0" borderId="1" xfId="2" applyNumberFormat="1" applyFont="1" applyBorder="1"/>
    <xf numFmtId="165" fontId="6" fillId="0" borderId="4" xfId="1" applyFont="1" applyBorder="1"/>
    <xf numFmtId="0" fontId="3" fillId="0" borderId="0" xfId="0" applyFont="1"/>
    <xf numFmtId="0" fontId="0" fillId="3" borderId="0" xfId="0" applyFill="1"/>
    <xf numFmtId="165" fontId="6" fillId="0" borderId="7" xfId="1" applyFont="1" applyFill="1" applyBorder="1"/>
    <xf numFmtId="4" fontId="6" fillId="0" borderId="4" xfId="1" applyNumberFormat="1" applyFont="1" applyBorder="1"/>
    <xf numFmtId="167" fontId="3" fillId="0" borderId="1" xfId="2" applyNumberFormat="1" applyFont="1" applyFill="1" applyBorder="1"/>
    <xf numFmtId="168" fontId="3" fillId="0" borderId="1" xfId="2" applyNumberFormat="1" applyFont="1" applyFill="1" applyBorder="1"/>
    <xf numFmtId="168" fontId="9" fillId="4" borderId="4" xfId="2" applyNumberFormat="1" applyFont="1" applyFill="1" applyBorder="1"/>
    <xf numFmtId="4" fontId="6" fillId="0" borderId="7" xfId="1" applyNumberFormat="1" applyFont="1" applyFill="1" applyBorder="1"/>
    <xf numFmtId="168" fontId="0" fillId="0" borderId="0" xfId="0" applyNumberFormat="1"/>
    <xf numFmtId="168" fontId="3" fillId="0" borderId="9" xfId="2" applyNumberFormat="1" applyFont="1" applyFill="1" applyBorder="1"/>
    <xf numFmtId="4" fontId="0" fillId="0" borderId="11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0" fontId="0" fillId="0" borderId="8" xfId="0" applyBorder="1" applyAlignment="1">
      <alignment horizontal="right"/>
    </xf>
    <xf numFmtId="4" fontId="3" fillId="0" borderId="0" xfId="0" applyNumberFormat="1" applyFont="1"/>
    <xf numFmtId="4" fontId="6" fillId="0" borderId="15" xfId="1" applyNumberFormat="1" applyFont="1" applyFill="1" applyBorder="1"/>
    <xf numFmtId="0" fontId="4" fillId="0" borderId="0" xfId="0" applyFont="1"/>
    <xf numFmtId="0" fontId="6" fillId="0" borderId="3" xfId="0" applyFont="1" applyBorder="1" applyAlignment="1">
      <alignment horizontal="center" vertical="center" wrapText="1"/>
    </xf>
    <xf numFmtId="0" fontId="10" fillId="0" borderId="0" xfId="0" applyFont="1"/>
    <xf numFmtId="0" fontId="3" fillId="0" borderId="1" xfId="0" applyFont="1" applyBorder="1" applyAlignment="1">
      <alignment horizontal="left"/>
    </xf>
    <xf numFmtId="167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67" fontId="6" fillId="0" borderId="1" xfId="2" applyNumberFormat="1" applyFont="1" applyBorder="1"/>
    <xf numFmtId="168" fontId="6" fillId="0" borderId="1" xfId="2" applyNumberFormat="1" applyFont="1" applyBorder="1"/>
    <xf numFmtId="168" fontId="6" fillId="0" borderId="1" xfId="2" applyNumberFormat="1" applyFont="1" applyBorder="1" applyAlignment="1"/>
    <xf numFmtId="4" fontId="6" fillId="0" borderId="3" xfId="0" applyNumberFormat="1" applyFont="1" applyBorder="1" applyAlignment="1">
      <alignment horizontal="center" vertical="center" wrapText="1"/>
    </xf>
    <xf numFmtId="4" fontId="6" fillId="0" borderId="4" xfId="1" applyNumberFormat="1" applyFont="1" applyBorder="1" applyAlignment="1"/>
    <xf numFmtId="165" fontId="6" fillId="0" borderId="4" xfId="1" applyFont="1" applyFill="1" applyBorder="1"/>
    <xf numFmtId="168" fontId="3" fillId="0" borderId="7" xfId="2" applyNumberFormat="1" applyFont="1" applyBorder="1"/>
    <xf numFmtId="168" fontId="9" fillId="4" borderId="7" xfId="2" applyNumberFormat="1" applyFont="1" applyFill="1" applyBorder="1"/>
    <xf numFmtId="168" fontId="3" fillId="0" borderId="0" xfId="2" applyNumberFormat="1" applyFont="1" applyFill="1" applyBorder="1"/>
    <xf numFmtId="166" fontId="3" fillId="0" borderId="7" xfId="2" applyFont="1" applyBorder="1"/>
    <xf numFmtId="166" fontId="3" fillId="0" borderId="7" xfId="2" applyFont="1" applyFill="1" applyBorder="1"/>
    <xf numFmtId="166" fontId="0" fillId="0" borderId="0" xfId="0" applyNumberFormat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43" fontId="0" fillId="0" borderId="0" xfId="0" applyNumberFormat="1"/>
    <xf numFmtId="167" fontId="0" fillId="0" borderId="0" xfId="0" applyNumberFormat="1"/>
    <xf numFmtId="0" fontId="11" fillId="2" borderId="1" xfId="0" applyFont="1" applyFill="1" applyBorder="1"/>
    <xf numFmtId="169" fontId="3" fillId="0" borderId="10" xfId="0" applyNumberFormat="1" applyFont="1" applyBorder="1" applyAlignment="1">
      <alignment horizontal="right"/>
    </xf>
    <xf numFmtId="169" fontId="3" fillId="0" borderId="12" xfId="0" applyNumberFormat="1" applyFont="1" applyBorder="1" applyAlignment="1">
      <alignment horizontal="right"/>
    </xf>
    <xf numFmtId="0" fontId="7" fillId="5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8" borderId="1" xfId="0" applyFont="1" applyFill="1" applyBorder="1"/>
    <xf numFmtId="0" fontId="0" fillId="38" borderId="0" xfId="0" applyFill="1"/>
    <xf numFmtId="0" fontId="4" fillId="38" borderId="1" xfId="0" applyFont="1" applyFill="1" applyBorder="1" applyAlignment="1">
      <alignment horizontal="center"/>
    </xf>
    <xf numFmtId="0" fontId="33" fillId="0" borderId="0" xfId="0" applyFont="1"/>
    <xf numFmtId="4" fontId="6" fillId="0" borderId="4" xfId="1" applyNumberFormat="1" applyFont="1" applyFill="1" applyBorder="1"/>
    <xf numFmtId="4" fontId="9" fillId="4" borderId="4" xfId="2" applyNumberFormat="1" applyFont="1" applyFill="1" applyBorder="1"/>
    <xf numFmtId="0" fontId="0" fillId="39" borderId="0" xfId="0" applyFill="1"/>
    <xf numFmtId="0" fontId="4" fillId="39" borderId="1" xfId="0" applyFont="1" applyFill="1" applyBorder="1" applyAlignment="1">
      <alignment horizontal="center"/>
    </xf>
    <xf numFmtId="0" fontId="3" fillId="39" borderId="1" xfId="0" applyFont="1" applyFill="1" applyBorder="1"/>
    <xf numFmtId="167" fontId="3" fillId="39" borderId="1" xfId="2" applyNumberFormat="1" applyFont="1" applyFill="1" applyBorder="1"/>
    <xf numFmtId="168" fontId="3" fillId="39" borderId="1" xfId="2" applyNumberFormat="1" applyFont="1" applyFill="1" applyBorder="1"/>
    <xf numFmtId="166" fontId="3" fillId="39" borderId="7" xfId="2" applyFont="1" applyFill="1" applyBorder="1"/>
    <xf numFmtId="166" fontId="0" fillId="39" borderId="0" xfId="0" applyNumberFormat="1" applyFill="1"/>
    <xf numFmtId="4" fontId="0" fillId="39" borderId="0" xfId="0" applyNumberFormat="1" applyFill="1"/>
    <xf numFmtId="43" fontId="0" fillId="39" borderId="0" xfId="0" applyNumberFormat="1" applyFill="1"/>
    <xf numFmtId="167" fontId="0" fillId="39" borderId="0" xfId="0" applyNumberFormat="1" applyFill="1"/>
    <xf numFmtId="167" fontId="3" fillId="38" borderId="1" xfId="2" applyNumberFormat="1" applyFont="1" applyFill="1" applyBorder="1"/>
    <xf numFmtId="168" fontId="3" fillId="38" borderId="1" xfId="2" applyNumberFormat="1" applyFont="1" applyFill="1" applyBorder="1"/>
    <xf numFmtId="166" fontId="3" fillId="38" borderId="7" xfId="2" applyFont="1" applyFill="1" applyBorder="1"/>
    <xf numFmtId="166" fontId="0" fillId="38" borderId="0" xfId="0" applyNumberFormat="1" applyFill="1"/>
    <xf numFmtId="4" fontId="0" fillId="38" borderId="0" xfId="0" applyNumberFormat="1" applyFill="1"/>
    <xf numFmtId="43" fontId="0" fillId="38" borderId="0" xfId="0" applyNumberFormat="1" applyFill="1"/>
    <xf numFmtId="167" fontId="0" fillId="38" borderId="0" xfId="0" applyNumberFormat="1" applyFill="1"/>
    <xf numFmtId="167" fontId="6" fillId="38" borderId="1" xfId="2" applyNumberFormat="1" applyFont="1" applyFill="1" applyBorder="1"/>
    <xf numFmtId="0" fontId="2" fillId="38" borderId="0" xfId="0" applyFont="1" applyFill="1"/>
    <xf numFmtId="0" fontId="34" fillId="38" borderId="1" xfId="0" applyFont="1" applyFill="1" applyBorder="1" applyAlignment="1">
      <alignment horizontal="center"/>
    </xf>
    <xf numFmtId="0" fontId="6" fillId="38" borderId="1" xfId="0" applyFont="1" applyFill="1" applyBorder="1"/>
    <xf numFmtId="168" fontId="6" fillId="38" borderId="1" xfId="2" applyNumberFormat="1" applyFont="1" applyFill="1" applyBorder="1"/>
    <xf numFmtId="166" fontId="6" fillId="38" borderId="7" xfId="2" applyFont="1" applyFill="1" applyBorder="1"/>
    <xf numFmtId="166" fontId="2" fillId="38" borderId="0" xfId="0" applyNumberFormat="1" applyFont="1" applyFill="1"/>
    <xf numFmtId="4" fontId="2" fillId="38" borderId="0" xfId="0" applyNumberFormat="1" applyFont="1" applyFill="1"/>
    <xf numFmtId="43" fontId="2" fillId="38" borderId="0" xfId="0" applyNumberFormat="1" applyFont="1" applyFill="1"/>
    <xf numFmtId="167" fontId="2" fillId="38" borderId="0" xfId="0" applyNumberFormat="1" applyFont="1" applyFill="1"/>
    <xf numFmtId="168" fontId="3" fillId="38" borderId="9" xfId="2" applyNumberFormat="1" applyFont="1" applyFill="1" applyBorder="1"/>
    <xf numFmtId="167" fontId="3" fillId="0" borderId="2" xfId="2" applyNumberFormat="1" applyFont="1" applyBorder="1"/>
    <xf numFmtId="167" fontId="6" fillId="38" borderId="3" xfId="2" applyNumberFormat="1" applyFont="1" applyFill="1" applyBorder="1"/>
    <xf numFmtId="167" fontId="6" fillId="38" borderId="26" xfId="2" applyNumberFormat="1" applyFont="1" applyFill="1" applyBorder="1"/>
    <xf numFmtId="167" fontId="3" fillId="38" borderId="27" xfId="2" applyNumberFormat="1" applyFont="1" applyFill="1" applyBorder="1"/>
    <xf numFmtId="167" fontId="6" fillId="38" borderId="27" xfId="2" applyNumberFormat="1" applyFont="1" applyFill="1" applyBorder="1"/>
    <xf numFmtId="167" fontId="3" fillId="38" borderId="28" xfId="2" applyNumberFormat="1" applyFont="1" applyFill="1" applyBorder="1"/>
    <xf numFmtId="167" fontId="3" fillId="38" borderId="29" xfId="2" applyNumberFormat="1" applyFont="1" applyFill="1" applyBorder="1"/>
    <xf numFmtId="167" fontId="3" fillId="38" borderId="30" xfId="2" applyNumberFormat="1" applyFont="1" applyFill="1" applyBorder="1"/>
    <xf numFmtId="167" fontId="6" fillId="38" borderId="30" xfId="2" applyNumberFormat="1" applyFont="1" applyFill="1" applyBorder="1"/>
    <xf numFmtId="167" fontId="3" fillId="38" borderId="31" xfId="2" applyNumberFormat="1" applyFont="1" applyFill="1" applyBorder="1"/>
    <xf numFmtId="167" fontId="3" fillId="38" borderId="32" xfId="2" applyNumberFormat="1" applyFont="1" applyFill="1" applyBorder="1"/>
    <xf numFmtId="167" fontId="3" fillId="38" borderId="7" xfId="2" applyNumberFormat="1" applyFont="1" applyFill="1" applyBorder="1"/>
    <xf numFmtId="167" fontId="3" fillId="38" borderId="15" xfId="2" applyNumberFormat="1" applyFont="1" applyFill="1" applyBorder="1"/>
    <xf numFmtId="0" fontId="25" fillId="0" borderId="0" xfId="0" applyFont="1"/>
    <xf numFmtId="171" fontId="4" fillId="40" borderId="33" xfId="48" applyNumberFormat="1" applyFont="1" applyFill="1" applyBorder="1"/>
    <xf numFmtId="0" fontId="35" fillId="5" borderId="2" xfId="0" applyFont="1" applyFill="1" applyBorder="1" applyAlignment="1">
      <alignment horizontal="center" vertical="center" wrapText="1"/>
    </xf>
    <xf numFmtId="0" fontId="36" fillId="0" borderId="0" xfId="0" applyFont="1"/>
    <xf numFmtId="4" fontId="37" fillId="0" borderId="0" xfId="0" applyNumberFormat="1" applyFont="1"/>
    <xf numFmtId="4" fontId="36" fillId="0" borderId="0" xfId="0" applyNumberFormat="1" applyFont="1"/>
    <xf numFmtId="168" fontId="37" fillId="0" borderId="0" xfId="2" applyNumberFormat="1" applyFont="1" applyFill="1" applyBorder="1"/>
    <xf numFmtId="172" fontId="39" fillId="4" borderId="7" xfId="2" applyNumberFormat="1" applyFont="1" applyFill="1" applyBorder="1"/>
    <xf numFmtId="168" fontId="23" fillId="0" borderId="0" xfId="0" applyNumberFormat="1" applyFont="1"/>
    <xf numFmtId="4" fontId="0" fillId="5" borderId="0" xfId="0" applyNumberFormat="1" applyFill="1"/>
    <xf numFmtId="4" fontId="6" fillId="5" borderId="4" xfId="1" applyNumberFormat="1" applyFont="1" applyFill="1" applyBorder="1"/>
    <xf numFmtId="173" fontId="38" fillId="0" borderId="4" xfId="1" applyNumberFormat="1" applyFont="1" applyBorder="1"/>
    <xf numFmtId="173" fontId="9" fillId="4" borderId="4" xfId="1" applyNumberFormat="1" applyFont="1" applyFill="1" applyBorder="1"/>
    <xf numFmtId="173" fontId="3" fillId="0" borderId="1" xfId="1" applyNumberFormat="1" applyFont="1" applyFill="1" applyBorder="1"/>
    <xf numFmtId="4" fontId="25" fillId="0" borderId="0" xfId="0" applyNumberFormat="1" applyFont="1"/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168" fontId="6" fillId="39" borderId="1" xfId="2" applyNumberFormat="1" applyFont="1" applyFill="1" applyBorder="1"/>
    <xf numFmtId="168" fontId="6" fillId="39" borderId="1" xfId="2" applyNumberFormat="1" applyFont="1" applyFill="1" applyBorder="1" applyAlignment="1"/>
    <xf numFmtId="167" fontId="6" fillId="0" borderId="1" xfId="46" applyNumberFormat="1" applyFont="1" applyBorder="1"/>
    <xf numFmtId="0" fontId="11" fillId="2" borderId="0" xfId="0" applyFont="1" applyFill="1"/>
    <xf numFmtId="41" fontId="11" fillId="2" borderId="0" xfId="48" applyFont="1" applyFill="1"/>
    <xf numFmtId="41" fontId="11" fillId="2" borderId="1" xfId="48" applyFont="1" applyFill="1" applyBorder="1"/>
    <xf numFmtId="0" fontId="11" fillId="43" borderId="35" xfId="0" applyFont="1" applyFill="1" applyBorder="1"/>
    <xf numFmtId="41" fontId="40" fillId="42" borderId="1" xfId="48" applyFont="1" applyFill="1" applyBorder="1" applyAlignment="1">
      <alignment horizontal="center"/>
    </xf>
    <xf numFmtId="0" fontId="11" fillId="2" borderId="33" xfId="0" applyFont="1" applyFill="1" applyBorder="1"/>
    <xf numFmtId="0" fontId="4" fillId="2" borderId="1" xfId="0" applyFont="1" applyFill="1" applyBorder="1" applyAlignment="1">
      <alignment horizontal="right"/>
    </xf>
    <xf numFmtId="175" fontId="4" fillId="2" borderId="1" xfId="48" applyNumberFormat="1" applyFont="1" applyFill="1" applyBorder="1"/>
    <xf numFmtId="41" fontId="4" fillId="2" borderId="0" xfId="48" applyFont="1" applyFill="1"/>
    <xf numFmtId="171" fontId="4" fillId="2" borderId="0" xfId="48" applyNumberFormat="1" applyFont="1" applyFill="1"/>
    <xf numFmtId="171" fontId="4" fillId="2" borderId="33" xfId="48" applyNumberFormat="1" applyFont="1" applyFill="1" applyBorder="1"/>
    <xf numFmtId="3" fontId="4" fillId="2" borderId="0" xfId="0" applyNumberFormat="1" applyFont="1" applyFill="1"/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indent="1"/>
    </xf>
    <xf numFmtId="3" fontId="4" fillId="2" borderId="1" xfId="0" applyNumberFormat="1" applyFont="1" applyFill="1" applyBorder="1"/>
    <xf numFmtId="0" fontId="11" fillId="2" borderId="0" xfId="0" applyFont="1" applyFill="1" applyAlignment="1">
      <alignment horizontal="left" vertical="center" wrapText="1" indent="1"/>
    </xf>
    <xf numFmtId="171" fontId="4" fillId="44" borderId="0" xfId="48" applyNumberFormat="1" applyFont="1" applyFill="1"/>
    <xf numFmtId="0" fontId="34" fillId="2" borderId="34" xfId="0" applyFont="1" applyFill="1" applyBorder="1"/>
    <xf numFmtId="0" fontId="34" fillId="2" borderId="36" xfId="0" applyFont="1" applyFill="1" applyBorder="1"/>
    <xf numFmtId="41" fontId="34" fillId="2" borderId="1" xfId="48" applyFont="1" applyFill="1" applyBorder="1"/>
    <xf numFmtId="41" fontId="34" fillId="2" borderId="9" xfId="48" applyFont="1" applyFill="1" applyBorder="1"/>
    <xf numFmtId="41" fontId="34" fillId="2" borderId="0" xfId="48" applyFont="1" applyFill="1"/>
    <xf numFmtId="3" fontId="34" fillId="2" borderId="1" xfId="0" applyNumberFormat="1" applyFont="1" applyFill="1" applyBorder="1"/>
    <xf numFmtId="4" fontId="34" fillId="2" borderId="1" xfId="0" applyNumberFormat="1" applyFont="1" applyFill="1" applyBorder="1"/>
    <xf numFmtId="41" fontId="4" fillId="2" borderId="37" xfId="48" applyFont="1" applyFill="1" applyBorder="1"/>
    <xf numFmtId="3" fontId="34" fillId="2" borderId="37" xfId="0" applyNumberFormat="1" applyFont="1" applyFill="1" applyBorder="1"/>
    <xf numFmtId="0" fontId="0" fillId="45" borderId="0" xfId="0" applyFill="1"/>
    <xf numFmtId="0" fontId="2" fillId="45" borderId="0" xfId="0" applyFont="1" applyFill="1"/>
    <xf numFmtId="0" fontId="4" fillId="45" borderId="1" xfId="0" applyFont="1" applyFill="1" applyBorder="1" applyAlignment="1">
      <alignment horizontal="left"/>
    </xf>
    <xf numFmtId="0" fontId="3" fillId="45" borderId="1" xfId="0" applyFont="1" applyFill="1" applyBorder="1"/>
    <xf numFmtId="0" fontId="4" fillId="45" borderId="1" xfId="0" applyFont="1" applyFill="1" applyBorder="1"/>
    <xf numFmtId="4" fontId="0" fillId="45" borderId="0" xfId="0" applyNumberFormat="1" applyFill="1"/>
    <xf numFmtId="165" fontId="0" fillId="45" borderId="0" xfId="1" applyFont="1" applyFill="1"/>
    <xf numFmtId="4" fontId="23" fillId="45" borderId="0" xfId="0" applyNumberFormat="1" applyFont="1" applyFill="1"/>
    <xf numFmtId="3" fontId="23" fillId="45" borderId="0" xfId="0" applyNumberFormat="1" applyFont="1" applyFill="1"/>
    <xf numFmtId="0" fontId="0" fillId="46" borderId="0" xfId="0" applyFill="1"/>
    <xf numFmtId="0" fontId="41" fillId="5" borderId="0" xfId="0" applyFont="1" applyFill="1"/>
    <xf numFmtId="0" fontId="11" fillId="5" borderId="0" xfId="0" applyFont="1" applyFill="1"/>
    <xf numFmtId="0" fontId="2" fillId="38" borderId="16" xfId="0" applyFont="1" applyFill="1" applyBorder="1" applyAlignment="1">
      <alignment horizontal="left"/>
    </xf>
    <xf numFmtId="0" fontId="2" fillId="38" borderId="16" xfId="0" applyFont="1" applyFill="1" applyBorder="1"/>
    <xf numFmtId="0" fontId="25" fillId="47" borderId="0" xfId="0" applyFont="1" applyFill="1"/>
    <xf numFmtId="0" fontId="22" fillId="47" borderId="0" xfId="0" applyFont="1" applyFill="1"/>
    <xf numFmtId="0" fontId="44" fillId="47" borderId="1" xfId="0" applyFont="1" applyFill="1" applyBorder="1"/>
    <xf numFmtId="0" fontId="43" fillId="47" borderId="1" xfId="0" applyFont="1" applyFill="1" applyBorder="1" applyAlignment="1">
      <alignment horizontal="left"/>
    </xf>
    <xf numFmtId="0" fontId="22" fillId="48" borderId="0" xfId="0" applyFont="1" applyFill="1"/>
    <xf numFmtId="0" fontId="4" fillId="0" borderId="1" xfId="0" applyFont="1" applyBorder="1" applyAlignment="1">
      <alignment horizontal="center"/>
    </xf>
    <xf numFmtId="0" fontId="4" fillId="41" borderId="1" xfId="0" applyFont="1" applyFill="1" applyBorder="1" applyAlignment="1">
      <alignment horizontal="left"/>
    </xf>
    <xf numFmtId="0" fontId="4" fillId="41" borderId="1" xfId="0" applyFont="1" applyFill="1" applyBorder="1"/>
    <xf numFmtId="0" fontId="0" fillId="41" borderId="0" xfId="0" applyFill="1"/>
    <xf numFmtId="43" fontId="11" fillId="2" borderId="0" xfId="0" applyNumberFormat="1" applyFont="1" applyFill="1"/>
    <xf numFmtId="0" fontId="7" fillId="5" borderId="0" xfId="0" applyFont="1" applyFill="1" applyAlignment="1">
      <alignment horizontal="center" vertical="center" wrapText="1"/>
    </xf>
    <xf numFmtId="167" fontId="3" fillId="0" borderId="9" xfId="2" applyNumberFormat="1" applyFont="1" applyFill="1" applyBorder="1"/>
    <xf numFmtId="0" fontId="0" fillId="39" borderId="0" xfId="0" applyFill="1" applyAlignment="1">
      <alignment horizontal="center"/>
    </xf>
    <xf numFmtId="0" fontId="7" fillId="39" borderId="7" xfId="0" applyFont="1" applyFill="1" applyBorder="1" applyAlignment="1">
      <alignment horizontal="center" vertical="center" wrapText="1"/>
    </xf>
    <xf numFmtId="0" fontId="0" fillId="49" borderId="0" xfId="0" applyFill="1" applyAlignment="1">
      <alignment horizontal="center"/>
    </xf>
    <xf numFmtId="0" fontId="0" fillId="49" borderId="0" xfId="0" applyFill="1"/>
    <xf numFmtId="4" fontId="0" fillId="50" borderId="1" xfId="0" applyNumberFormat="1" applyFill="1" applyBorder="1" applyAlignment="1">
      <alignment horizontal="right" vertical="top"/>
    </xf>
    <xf numFmtId="0" fontId="0" fillId="44" borderId="0" xfId="0" applyFill="1"/>
    <xf numFmtId="3" fontId="4" fillId="44" borderId="1" xfId="0" applyNumberFormat="1" applyFont="1" applyFill="1" applyBorder="1"/>
    <xf numFmtId="0" fontId="4" fillId="46" borderId="1" xfId="0" applyFont="1" applyFill="1" applyBorder="1" applyAlignment="1">
      <alignment horizontal="left"/>
    </xf>
    <xf numFmtId="0" fontId="4" fillId="46" borderId="1" xfId="0" applyFont="1" applyFill="1" applyBorder="1"/>
    <xf numFmtId="0" fontId="5" fillId="46" borderId="0" xfId="0" applyFont="1" applyFill="1" applyAlignment="1">
      <alignment vertical="center" wrapText="1"/>
    </xf>
    <xf numFmtId="0" fontId="4" fillId="39" borderId="1" xfId="0" applyFont="1" applyFill="1" applyBorder="1" applyAlignment="1">
      <alignment horizontal="left"/>
    </xf>
    <xf numFmtId="0" fontId="4" fillId="39" borderId="1" xfId="0" applyFont="1" applyFill="1" applyBorder="1"/>
    <xf numFmtId="0" fontId="4" fillId="51" borderId="1" xfId="0" applyFont="1" applyFill="1" applyBorder="1" applyAlignment="1">
      <alignment horizontal="left"/>
    </xf>
    <xf numFmtId="0" fontId="4" fillId="51" borderId="1" xfId="0" applyFont="1" applyFill="1" applyBorder="1"/>
    <xf numFmtId="0" fontId="0" fillId="51" borderId="0" xfId="0" applyFill="1"/>
    <xf numFmtId="0" fontId="45" fillId="45" borderId="0" xfId="0" applyFont="1" applyFill="1"/>
    <xf numFmtId="0" fontId="46" fillId="45" borderId="0" xfId="0" applyFont="1" applyFill="1"/>
    <xf numFmtId="0" fontId="0" fillId="52" borderId="0" xfId="0" applyFill="1"/>
    <xf numFmtId="0" fontId="2" fillId="52" borderId="0" xfId="0" applyFont="1" applyFill="1"/>
    <xf numFmtId="0" fontId="4" fillId="52" borderId="1" xfId="0" applyFont="1" applyFill="1" applyBorder="1" applyAlignment="1">
      <alignment horizontal="left"/>
    </xf>
    <xf numFmtId="0" fontId="4" fillId="52" borderId="1" xfId="0" applyFont="1" applyFill="1" applyBorder="1"/>
    <xf numFmtId="0" fontId="11" fillId="52" borderId="1" xfId="0" applyFont="1" applyFill="1" applyBorder="1" applyAlignment="1">
      <alignment horizontal="left"/>
    </xf>
    <xf numFmtId="0" fontId="11" fillId="52" borderId="1" xfId="0" applyFont="1" applyFill="1" applyBorder="1"/>
    <xf numFmtId="0" fontId="47" fillId="52" borderId="1" xfId="0" applyFont="1" applyFill="1" applyBorder="1" applyAlignment="1">
      <alignment horizontal="left"/>
    </xf>
    <xf numFmtId="0" fontId="3" fillId="52" borderId="1" xfId="0" applyFont="1" applyFill="1" applyBorder="1"/>
    <xf numFmtId="0" fontId="11" fillId="45" borderId="0" xfId="0" applyFont="1" applyFill="1"/>
    <xf numFmtId="0" fontId="11" fillId="39" borderId="0" xfId="0" applyFont="1" applyFill="1"/>
    <xf numFmtId="0" fontId="11" fillId="39" borderId="0" xfId="0" applyFont="1" applyFill="1" applyAlignment="1">
      <alignment horizontal="left" vertical="center"/>
    </xf>
    <xf numFmtId="0" fontId="11" fillId="39" borderId="0" xfId="0" applyFont="1" applyFill="1" applyAlignment="1">
      <alignment horizontal="left" vertical="center" indent="1"/>
    </xf>
    <xf numFmtId="0" fontId="11" fillId="39" borderId="0" xfId="0" applyFont="1" applyFill="1" applyAlignment="1">
      <alignment horizontal="left" vertical="center" wrapText="1" inden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4" fillId="2" borderId="34" xfId="0" applyFont="1" applyFill="1" applyBorder="1" applyAlignment="1">
      <alignment horizontal="right"/>
    </xf>
    <xf numFmtId="171" fontId="4" fillId="2" borderId="0" xfId="48" applyNumberFormat="1" applyFont="1" applyFill="1" applyBorder="1"/>
    <xf numFmtId="0" fontId="48" fillId="51" borderId="0" xfId="0" applyFont="1" applyFill="1"/>
    <xf numFmtId="0" fontId="48" fillId="0" borderId="0" xfId="0" applyFont="1"/>
    <xf numFmtId="37" fontId="40" fillId="2" borderId="1" xfId="56" applyNumberFormat="1" applyFont="1" applyFill="1" applyBorder="1" applyAlignment="1" applyProtection="1">
      <alignment horizontal="center" vertical="center" wrapText="1"/>
      <protection locked="0"/>
    </xf>
    <xf numFmtId="37" fontId="40" fillId="2" borderId="1" xfId="56" applyNumberFormat="1" applyFont="1" applyFill="1" applyBorder="1"/>
    <xf numFmtId="0" fontId="48" fillId="43" borderId="0" xfId="0" applyFont="1" applyFill="1"/>
    <xf numFmtId="0" fontId="50" fillId="43" borderId="0" xfId="0" applyFont="1" applyFill="1"/>
    <xf numFmtId="0" fontId="49" fillId="43" borderId="1" xfId="0" applyFont="1" applyFill="1" applyBorder="1" applyAlignment="1">
      <alignment horizontal="left"/>
    </xf>
    <xf numFmtId="0" fontId="49" fillId="43" borderId="1" xfId="0" applyFont="1" applyFill="1" applyBorder="1"/>
    <xf numFmtId="0" fontId="51" fillId="43" borderId="1" xfId="0" applyFont="1" applyFill="1" applyBorder="1" applyAlignment="1">
      <alignment horizontal="left"/>
    </xf>
    <xf numFmtId="0" fontId="51" fillId="43" borderId="1" xfId="0" applyFont="1" applyFill="1" applyBorder="1"/>
    <xf numFmtId="0" fontId="51" fillId="43" borderId="0" xfId="0" applyFont="1" applyFill="1"/>
    <xf numFmtId="0" fontId="0" fillId="54" borderId="0" xfId="0" applyFill="1"/>
    <xf numFmtId="0" fontId="4" fillId="54" borderId="1" xfId="0" applyFont="1" applyFill="1" applyBorder="1" applyAlignment="1">
      <alignment horizontal="left"/>
    </xf>
    <xf numFmtId="0" fontId="4" fillId="54" borderId="1" xfId="0" applyFont="1" applyFill="1" applyBorder="1"/>
    <xf numFmtId="0" fontId="2" fillId="46" borderId="0" xfId="0" applyFont="1" applyFill="1"/>
    <xf numFmtId="0" fontId="3" fillId="46" borderId="1" xfId="0" applyFont="1" applyFill="1" applyBorder="1"/>
    <xf numFmtId="0" fontId="0" fillId="38" borderId="0" xfId="0" applyFill="1" applyAlignment="1">
      <alignment horizontal="left"/>
    </xf>
    <xf numFmtId="0" fontId="4" fillId="38" borderId="1" xfId="0" applyFont="1" applyFill="1" applyBorder="1" applyAlignment="1">
      <alignment horizontal="left"/>
    </xf>
    <xf numFmtId="0" fontId="4" fillId="38" borderId="1" xfId="0" applyFont="1" applyFill="1" applyBorder="1"/>
    <xf numFmtId="0" fontId="3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/>
    <xf numFmtId="0" fontId="10" fillId="2" borderId="0" xfId="0" applyFont="1" applyFill="1"/>
    <xf numFmtId="0" fontId="7" fillId="2" borderId="37" xfId="0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165" fontId="2" fillId="0" borderId="0" xfId="1" applyFont="1"/>
    <xf numFmtId="0" fontId="2" fillId="54" borderId="0" xfId="0" applyFont="1" applyFill="1"/>
    <xf numFmtId="174" fontId="40" fillId="53" borderId="2" xfId="66" applyNumberFormat="1" applyFont="1" applyFill="1" applyBorder="1" applyAlignment="1">
      <alignment horizontal="center" vertical="center" wrapText="1"/>
    </xf>
    <xf numFmtId="174" fontId="40" fillId="53" borderId="3" xfId="66" applyNumberFormat="1" applyFont="1" applyFill="1" applyBorder="1" applyAlignment="1">
      <alignment horizontal="center" vertical="center" wrapText="1"/>
    </xf>
    <xf numFmtId="0" fontId="40" fillId="2" borderId="0" xfId="0" applyFont="1" applyFill="1" applyAlignment="1">
      <alignment horizontal="center"/>
    </xf>
    <xf numFmtId="174" fontId="40" fillId="42" borderId="2" xfId="66" applyNumberFormat="1" applyFont="1" applyFill="1" applyBorder="1" applyAlignment="1">
      <alignment horizontal="center" vertical="center" wrapText="1"/>
    </xf>
    <xf numFmtId="174" fontId="40" fillId="42" borderId="3" xfId="66" applyNumberFormat="1" applyFont="1" applyFill="1" applyBorder="1" applyAlignment="1">
      <alignment horizontal="center" vertical="center" wrapText="1"/>
    </xf>
    <xf numFmtId="174" fontId="40" fillId="42" borderId="2" xfId="66" applyNumberFormat="1" applyFont="1" applyFill="1" applyBorder="1" applyAlignment="1">
      <alignment horizontal="center" vertical="center"/>
    </xf>
    <xf numFmtId="174" fontId="40" fillId="42" borderId="3" xfId="66" applyNumberFormat="1" applyFont="1" applyFill="1" applyBorder="1" applyAlignment="1">
      <alignment horizontal="center" vertical="center"/>
    </xf>
    <xf numFmtId="41" fontId="40" fillId="42" borderId="34" xfId="48" applyFont="1" applyFill="1" applyBorder="1" applyAlignment="1">
      <alignment horizontal="center"/>
    </xf>
    <xf numFmtId="41" fontId="40" fillId="42" borderId="9" xfId="48" applyFont="1" applyFill="1" applyBorder="1" applyAlignment="1">
      <alignment horizontal="center"/>
    </xf>
    <xf numFmtId="0" fontId="6" fillId="39" borderId="2" xfId="0" applyFont="1" applyFill="1" applyBorder="1" applyAlignment="1">
      <alignment horizontal="center" vertical="center" wrapText="1"/>
    </xf>
    <xf numFmtId="0" fontId="6" fillId="39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3" fontId="0" fillId="0" borderId="0" xfId="0" applyNumberFormat="1"/>
  </cellXfs>
  <cellStyles count="80">
    <cellStyle name="20% - Énfasis1" xfId="20" builtinId="30" customBuiltin="1"/>
    <cellStyle name="20% - Énfasis2" xfId="23" builtinId="34" customBuiltin="1"/>
    <cellStyle name="20% - Énfasis3" xfId="26" builtinId="38" customBuiltin="1"/>
    <cellStyle name="20% - Énfasis4" xfId="29" builtinId="42" customBuiltin="1"/>
    <cellStyle name="20% - Énfasis5" xfId="32" builtinId="46" customBuiltin="1"/>
    <cellStyle name="20% - Énfasis6" xfId="35" builtinId="50" customBuiltin="1"/>
    <cellStyle name="40% - Énfasis1" xfId="21" builtinId="31" customBuiltin="1"/>
    <cellStyle name="40% - Énfasis2" xfId="24" builtinId="35" customBuiltin="1"/>
    <cellStyle name="40% - Énfasis3" xfId="27" builtinId="39" customBuiltin="1"/>
    <cellStyle name="40% - Énfasis4" xfId="30" builtinId="43" customBuiltin="1"/>
    <cellStyle name="40% - Énfasis5" xfId="33" builtinId="47" customBuiltin="1"/>
    <cellStyle name="40% - Énfasis6" xfId="36" builtinId="51" customBuiltin="1"/>
    <cellStyle name="60% - akcent 1" xfId="39" xr:uid="{694E84DD-A341-45CA-9AE8-3F59CD897077}"/>
    <cellStyle name="60% - Énfasis1 2" xfId="40" xr:uid="{E65BFCB6-EA66-4104-AEB9-1377F5412DBE}"/>
    <cellStyle name="60% - Énfasis2 2" xfId="41" xr:uid="{854B2CA4-BF86-47A3-B47F-D4348729D838}"/>
    <cellStyle name="60% - Énfasis3 2" xfId="42" xr:uid="{9A7757E5-6868-49EA-A9AA-E8F70E601A17}"/>
    <cellStyle name="60% - Énfasis4 2" xfId="43" xr:uid="{EC4845F5-FB3A-4237-8035-FCB0750D4159}"/>
    <cellStyle name="60% - Énfasis5 2" xfId="44" xr:uid="{AD9DF40B-3BE7-46C6-95A8-A4975215476A}"/>
    <cellStyle name="60% - Énfasis6 2" xfId="45" xr:uid="{FED2E11E-7AE6-40CE-A201-921FFF42CECB}"/>
    <cellStyle name="Bueno" xfId="8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2" builtinId="33" customBuiltin="1"/>
    <cellStyle name="Énfasis3" xfId="25" builtinId="37" customBuiltin="1"/>
    <cellStyle name="Énfasis4" xfId="28" builtinId="41" customBuiltin="1"/>
    <cellStyle name="Énfasis5" xfId="31" builtinId="45" customBuiltin="1"/>
    <cellStyle name="Énfasis6" xfId="34" builtinId="49" customBuiltin="1"/>
    <cellStyle name="Entrada" xfId="10" builtinId="20" customBuiltin="1"/>
    <cellStyle name="Incorrecto" xfId="9" builtinId="27" customBuiltin="1"/>
    <cellStyle name="Millares" xfId="2" builtinId="3"/>
    <cellStyle name="Millares [0]" xfId="1" builtinId="6"/>
    <cellStyle name="Millares [0] 2" xfId="47" xr:uid="{6F37C221-9E3A-4646-A563-7ABD58A3C0AC}"/>
    <cellStyle name="Millares [0] 3" xfId="48" xr:uid="{88C56F9A-5B47-4274-AF00-8650908A4315}"/>
    <cellStyle name="Millares [0] 3 2" xfId="73" xr:uid="{CBF2B83E-03D4-448C-B9E9-D2AA66A6DB55}"/>
    <cellStyle name="Millares [0] 34" xfId="49" xr:uid="{007D407C-27ED-473A-BA75-B66C6E40A69B}"/>
    <cellStyle name="Millares [0] 34 2" xfId="74" xr:uid="{BF94A417-E7C2-48E1-AA6A-16370E437A76}"/>
    <cellStyle name="Millares [0] 4" xfId="64" xr:uid="{13C40606-6FAD-4E2C-A1EB-B559546FE5A3}"/>
    <cellStyle name="Millares [0] 4 2" xfId="78" xr:uid="{9397E21E-49D0-43E3-81F0-A5F6754F417C}"/>
    <cellStyle name="Millares [0] 5" xfId="68" xr:uid="{EB197155-8D9F-4AC0-9F1F-AFD65A4C5705}"/>
    <cellStyle name="Millares 100 2" xfId="60" xr:uid="{13911E05-67D0-4FAE-8268-10A4403F1B98}"/>
    <cellStyle name="Millares 18" xfId="62" xr:uid="{21AF9AA7-A377-4D2A-B0BF-4C377CF96F7B}"/>
    <cellStyle name="Millares 2" xfId="50" xr:uid="{ED0C3449-68F4-41A1-B49A-B64816FD8270}"/>
    <cellStyle name="Millares 2 2" xfId="66" xr:uid="{EADF1901-2F9D-42FC-96D8-16062523FFE4}"/>
    <cellStyle name="Millares 2 2 2" xfId="79" xr:uid="{B56BE0C2-3C99-43ED-821B-FCC495F6E6EA}"/>
    <cellStyle name="Millares 2 3" xfId="75" xr:uid="{A93279FD-0D33-4340-8BDF-566FBF7C35BE}"/>
    <cellStyle name="Millares 3" xfId="46" xr:uid="{7E37453D-E7C9-40B2-BC77-A6D7D2201523}"/>
    <cellStyle name="Millares 3 2" xfId="72" xr:uid="{61A58BFF-1AB1-4C47-9791-C2877ACCC2EB}"/>
    <cellStyle name="Millares 3 2 2" xfId="63" xr:uid="{20859E3C-B16A-47F2-9196-779F21B45558}"/>
    <cellStyle name="Millares 30 2 2" xfId="61" xr:uid="{819D381D-55A2-496E-922B-0C50FAE48483}"/>
    <cellStyle name="Millares 30 2 2 2" xfId="77" xr:uid="{BB99A5D0-98D3-4781-B3FA-BCF92CBEF204}"/>
    <cellStyle name="Millares 4" xfId="37" xr:uid="{A4939642-D9A2-446A-92B4-D18E35B2D84C}"/>
    <cellStyle name="Millares 4 2" xfId="70" xr:uid="{A0F3F260-18CD-4EB0-A1D2-2FF0114E9343}"/>
    <cellStyle name="Millares 5" xfId="38" xr:uid="{81D6283D-498C-477F-92B6-B1CD88FEA27E}"/>
    <cellStyle name="Millares 5 2" xfId="71" xr:uid="{F4ADB0F2-FC2E-4853-9573-1438F639AD45}"/>
    <cellStyle name="Millares 6" xfId="69" xr:uid="{4BB918C5-D53B-40F2-BAB4-AC3034F40B2E}"/>
    <cellStyle name="Millares 7" xfId="67" xr:uid="{81793A6C-774C-4FD0-9DF9-DEE8BE83D12F}"/>
    <cellStyle name="Millares 79" xfId="51" xr:uid="{436E43FC-58D4-44A6-8939-2565A8DBF8F6}"/>
    <cellStyle name="Millares 79 2" xfId="76" xr:uid="{ED8C4317-E5FF-413F-8892-E87C83204B23}"/>
    <cellStyle name="Neutral 2" xfId="52" xr:uid="{9771EB0D-F202-4839-8D88-E3E013B6C232}"/>
    <cellStyle name="Normal" xfId="0" builtinId="0"/>
    <cellStyle name="Normal 15" xfId="53" xr:uid="{4A2249C8-A300-4E87-A4B0-A6B746C31F68}"/>
    <cellStyle name="Normal 2" xfId="54" xr:uid="{BFC46AC3-7B1B-4C40-9435-D217DAD8297E}"/>
    <cellStyle name="Normal 2 10" xfId="55" xr:uid="{25DCB6D1-814A-4880-968A-3D9D3F41099D}"/>
    <cellStyle name="Normal 3" xfId="56" xr:uid="{503D54EF-43A4-4B37-8A88-CFAF6A223DB5}"/>
    <cellStyle name="Normal 3 57" xfId="65" xr:uid="{6FCD09DD-6903-468E-87B1-DA6CFEE9FF02}"/>
    <cellStyle name="Normal 4" xfId="57" xr:uid="{16705833-6EDD-4010-9842-DF85F9FD5B4B}"/>
    <cellStyle name="Normal 4 10" xfId="58" xr:uid="{8975BA31-E039-49BE-8646-D7208DF2A759}"/>
    <cellStyle name="Normal 5" xfId="59" xr:uid="{2FE27C06-C328-4E71-BC81-F27504FB9523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00CCFF"/>
      <color rgb="FFCC99FF"/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205327</xdr:colOff>
      <xdr:row>0</xdr:row>
      <xdr:rowOff>16399</xdr:rowOff>
    </xdr:from>
    <xdr:to>
      <xdr:col>4</xdr:col>
      <xdr:colOff>359884</xdr:colOff>
      <xdr:row>5</xdr:row>
      <xdr:rowOff>52642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69A6E7-714A-4533-98AF-4429FF1CE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977" y="16399"/>
          <a:ext cx="1164206" cy="96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81572</xdr:colOff>
      <xdr:row>0</xdr:row>
      <xdr:rowOff>0</xdr:rowOff>
    </xdr:from>
    <xdr:to>
      <xdr:col>13</xdr:col>
      <xdr:colOff>67698</xdr:colOff>
      <xdr:row>5</xdr:row>
      <xdr:rowOff>176319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E33BE5-7EDF-4149-922A-85F17D8C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9472" y="0"/>
          <a:ext cx="1010064" cy="1109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916350</xdr:colOff>
      <xdr:row>98</xdr:row>
      <xdr:rowOff>29245</xdr:rowOff>
    </xdr:from>
    <xdr:to>
      <xdr:col>15</xdr:col>
      <xdr:colOff>575880</xdr:colOff>
      <xdr:row>104</xdr:row>
      <xdr:rowOff>414894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E847F5-D0C3-8EAA-472F-7F3039219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9847" y="17508128"/>
          <a:ext cx="7078063" cy="1438476"/>
        </a:xfrm>
        <a:prstGeom prst="rect">
          <a:avLst/>
        </a:prstGeom>
      </xdr:spPr>
    </xdr:pic>
    <xdr:clientData/>
  </xdr:twoCellAnchor>
  <xdr:twoCellAnchor editAs="oneCell">
    <xdr:from>
      <xdr:col>10</xdr:col>
      <xdr:colOff>116981</xdr:colOff>
      <xdr:row>106</xdr:row>
      <xdr:rowOff>97484</xdr:rowOff>
    </xdr:from>
    <xdr:to>
      <xdr:col>11</xdr:col>
      <xdr:colOff>235670</xdr:colOff>
      <xdr:row>106</xdr:row>
      <xdr:rowOff>402327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A6FBDA4-8333-346C-11F1-E12AF3229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27642" y="19321331"/>
          <a:ext cx="1181265" cy="304843"/>
        </a:xfrm>
        <a:prstGeom prst="rect">
          <a:avLst/>
        </a:prstGeom>
      </xdr:spPr>
    </xdr:pic>
    <xdr:clientData/>
  </xdr:twoCellAnchor>
  <xdr:twoCellAnchor editAs="oneCell">
    <xdr:from>
      <xdr:col>10</xdr:col>
      <xdr:colOff>68239</xdr:colOff>
      <xdr:row>104</xdr:row>
      <xdr:rowOff>438679</xdr:rowOff>
    </xdr:from>
    <xdr:to>
      <xdr:col>11</xdr:col>
      <xdr:colOff>1044298</xdr:colOff>
      <xdr:row>106</xdr:row>
      <xdr:rowOff>99016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FBD4188-BF46-FD34-8660-56C037D13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8900" y="18970389"/>
          <a:ext cx="2038635" cy="352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303601</xdr:colOff>
      <xdr:row>39</xdr:row>
      <xdr:rowOff>79111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2378EE-71FF-B0EE-3E37-C60B9F1B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8481" cy="72114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21</xdr:col>
      <xdr:colOff>251138</xdr:colOff>
      <xdr:row>33</xdr:row>
      <xdr:rowOff>128495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1EFF08-5562-D59B-DED3-535D1C18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7360" y="0"/>
          <a:ext cx="11345858" cy="6163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15</xdr:col>
      <xdr:colOff>125501</xdr:colOff>
      <xdr:row>67</xdr:row>
      <xdr:rowOff>17811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C37405C-B0CF-E60A-F44E-EDC2554CB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98080"/>
          <a:ext cx="12012701" cy="47726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64D0-3F8D-4935-8843-273046759AC1}">
  <sheetPr filterMode="1"/>
  <dimension ref="A1:J480"/>
  <sheetViews>
    <sheetView topLeftCell="A2" zoomScale="80" zoomScaleNormal="80" workbookViewId="0">
      <pane ySplit="1" topLeftCell="A408" activePane="bottomLeft" state="frozen"/>
      <selection activeCell="D3" sqref="D3:M3"/>
      <selection pane="bottomLeft" activeCell="C507" sqref="C507"/>
    </sheetView>
  </sheetViews>
  <sheetFormatPr baseColWidth="10" defaultRowHeight="14"/>
  <cols>
    <col min="1" max="1" width="4.09765625" customWidth="1"/>
    <col min="2" max="2" width="13.59765625" customWidth="1"/>
    <col min="3" max="3" width="59.59765625" bestFit="1" customWidth="1"/>
    <col min="4" max="4" width="16.3984375" style="6" customWidth="1"/>
    <col min="5" max="5" width="62.8984375" customWidth="1"/>
    <col min="6" max="6" width="23.59765625" customWidth="1"/>
    <col min="10" max="10" width="0" hidden="1" customWidth="1"/>
  </cols>
  <sheetData>
    <row r="1" spans="1:9" hidden="1"/>
    <row r="2" spans="1:9">
      <c r="A2" s="4"/>
      <c r="B2" s="48" t="s">
        <v>856</v>
      </c>
      <c r="C2" s="48" t="s">
        <v>70</v>
      </c>
      <c r="D2" s="164" t="s">
        <v>71</v>
      </c>
      <c r="E2" s="165"/>
    </row>
    <row r="3" spans="1:9" hidden="1">
      <c r="A3" t="s">
        <v>430</v>
      </c>
      <c r="B3">
        <v>111100</v>
      </c>
      <c r="C3" t="s">
        <v>72</v>
      </c>
      <c r="D3" s="120" t="s">
        <v>631</v>
      </c>
      <c r="E3" s="3" t="s">
        <v>69</v>
      </c>
    </row>
    <row r="4" spans="1:9" ht="17.2" hidden="1">
      <c r="B4">
        <v>111100</v>
      </c>
      <c r="C4" t="s">
        <v>72</v>
      </c>
      <c r="D4" s="120" t="s">
        <v>632</v>
      </c>
      <c r="E4" s="3" t="s">
        <v>68</v>
      </c>
      <c r="I4" s="5"/>
    </row>
    <row r="5" spans="1:9" ht="17.2" hidden="1">
      <c r="B5">
        <v>111100</v>
      </c>
      <c r="C5" t="s">
        <v>72</v>
      </c>
      <c r="D5" s="120" t="s">
        <v>633</v>
      </c>
      <c r="E5" s="3" t="s">
        <v>67</v>
      </c>
      <c r="I5" s="5"/>
    </row>
    <row r="6" spans="1:9" ht="17.2" hidden="1">
      <c r="B6">
        <v>111100</v>
      </c>
      <c r="C6" t="s">
        <v>72</v>
      </c>
      <c r="D6" s="120" t="s">
        <v>634</v>
      </c>
      <c r="E6" s="3" t="s">
        <v>66</v>
      </c>
      <c r="I6" s="5"/>
    </row>
    <row r="7" spans="1:9" ht="17.2" hidden="1">
      <c r="B7">
        <v>111100</v>
      </c>
      <c r="C7" t="s">
        <v>72</v>
      </c>
      <c r="D7" s="120" t="s">
        <v>635</v>
      </c>
      <c r="E7" s="3" t="s">
        <v>65</v>
      </c>
      <c r="I7" s="5"/>
    </row>
    <row r="8" spans="1:9" ht="17.2" hidden="1">
      <c r="B8">
        <v>111100</v>
      </c>
      <c r="C8" t="s">
        <v>72</v>
      </c>
      <c r="D8" s="120" t="s">
        <v>636</v>
      </c>
      <c r="E8" s="3" t="s">
        <v>533</v>
      </c>
      <c r="I8" s="5"/>
    </row>
    <row r="9" spans="1:9" ht="17.2" hidden="1">
      <c r="B9">
        <v>111100</v>
      </c>
      <c r="C9" t="s">
        <v>72</v>
      </c>
      <c r="D9" s="120" t="s">
        <v>637</v>
      </c>
      <c r="E9" s="3" t="s">
        <v>539</v>
      </c>
      <c r="I9" s="5"/>
    </row>
    <row r="10" spans="1:9" ht="17.2" hidden="1">
      <c r="B10">
        <v>111100</v>
      </c>
      <c r="C10" t="s">
        <v>72</v>
      </c>
      <c r="D10" s="120" t="s">
        <v>638</v>
      </c>
      <c r="E10" s="3" t="s">
        <v>621</v>
      </c>
      <c r="I10" s="5"/>
    </row>
    <row r="11" spans="1:9" ht="17.2" hidden="1">
      <c r="B11">
        <v>111100</v>
      </c>
      <c r="C11" t="s">
        <v>72</v>
      </c>
      <c r="D11" s="120" t="s">
        <v>640</v>
      </c>
      <c r="E11" s="3" t="s">
        <v>627</v>
      </c>
      <c r="I11" s="5"/>
    </row>
    <row r="12" spans="1:9" ht="17.2" hidden="1">
      <c r="B12">
        <v>111100</v>
      </c>
      <c r="C12" t="s">
        <v>72</v>
      </c>
      <c r="D12" s="120" t="s">
        <v>878</v>
      </c>
      <c r="E12" s="3" t="s">
        <v>879</v>
      </c>
      <c r="I12" s="5"/>
    </row>
    <row r="13" spans="1:9" ht="17.2" hidden="1">
      <c r="B13">
        <v>111100</v>
      </c>
      <c r="C13" t="s">
        <v>72</v>
      </c>
      <c r="D13" s="121" t="s">
        <v>891</v>
      </c>
      <c r="E13" s="7" t="s">
        <v>892</v>
      </c>
      <c r="I13" s="5"/>
    </row>
    <row r="14" spans="1:9" s="161" customFormat="1" ht="17.2" hidden="1">
      <c r="B14" s="161">
        <v>111100</v>
      </c>
      <c r="C14" s="161" t="s">
        <v>72</v>
      </c>
      <c r="D14" s="185" t="s">
        <v>914</v>
      </c>
      <c r="E14" s="186" t="s">
        <v>915</v>
      </c>
      <c r="I14" s="187"/>
    </row>
    <row r="15" spans="1:9" ht="17.2" hidden="1">
      <c r="A15" t="s">
        <v>430</v>
      </c>
      <c r="B15">
        <v>112093</v>
      </c>
      <c r="C15" t="s">
        <v>73</v>
      </c>
      <c r="D15" s="120" t="s">
        <v>639</v>
      </c>
      <c r="E15" s="3" t="s">
        <v>64</v>
      </c>
      <c r="I15" s="5"/>
    </row>
    <row r="16" spans="1:9" ht="15.6" hidden="1" customHeight="1">
      <c r="A16" t="s">
        <v>430</v>
      </c>
      <c r="B16">
        <v>112094</v>
      </c>
      <c r="C16" t="s">
        <v>74</v>
      </c>
      <c r="D16" s="120" t="s">
        <v>641</v>
      </c>
      <c r="E16" s="3" t="s">
        <v>63</v>
      </c>
    </row>
    <row r="17" spans="1:6" ht="15.6" hidden="1" customHeight="1">
      <c r="B17">
        <v>112094</v>
      </c>
      <c r="C17" t="s">
        <v>74</v>
      </c>
      <c r="D17" s="120" t="s">
        <v>642</v>
      </c>
      <c r="E17" s="3" t="s">
        <v>643</v>
      </c>
    </row>
    <row r="18" spans="1:6" ht="15.6" hidden="1" customHeight="1">
      <c r="B18">
        <v>112095</v>
      </c>
      <c r="C18" t="s">
        <v>515</v>
      </c>
      <c r="D18" s="120" t="s">
        <v>644</v>
      </c>
      <c r="E18" s="3" t="s">
        <v>645</v>
      </c>
    </row>
    <row r="19" spans="1:6" ht="15.05" hidden="1" customHeight="1">
      <c r="A19" t="s">
        <v>430</v>
      </c>
      <c r="B19">
        <v>112095</v>
      </c>
      <c r="C19" t="s">
        <v>515</v>
      </c>
      <c r="D19" s="120" t="s">
        <v>646</v>
      </c>
      <c r="E19" s="3" t="s">
        <v>513</v>
      </c>
    </row>
    <row r="20" spans="1:6" ht="15.05" hidden="1" customHeight="1">
      <c r="A20" t="s">
        <v>430</v>
      </c>
      <c r="B20">
        <v>113100</v>
      </c>
      <c r="C20" t="s">
        <v>75</v>
      </c>
      <c r="D20" s="120" t="s">
        <v>647</v>
      </c>
      <c r="E20" s="3" t="s">
        <v>62</v>
      </c>
      <c r="F20" t="s">
        <v>431</v>
      </c>
    </row>
    <row r="21" spans="1:6" s="64" customFormat="1" hidden="1">
      <c r="B21" s="64">
        <v>111100</v>
      </c>
      <c r="C21" s="64" t="s">
        <v>78</v>
      </c>
      <c r="D21" s="188" t="s">
        <v>648</v>
      </c>
      <c r="E21" s="189" t="s">
        <v>429</v>
      </c>
      <c r="F21" s="64" t="s">
        <v>432</v>
      </c>
    </row>
    <row r="22" spans="1:6" hidden="1">
      <c r="B22" s="4">
        <v>113103</v>
      </c>
      <c r="C22" t="s">
        <v>76</v>
      </c>
      <c r="D22" s="120"/>
      <c r="E22" s="3"/>
    </row>
    <row r="23" spans="1:6" hidden="1">
      <c r="B23" s="4">
        <v>115000</v>
      </c>
      <c r="C23" t="s">
        <v>77</v>
      </c>
      <c r="D23" s="120"/>
      <c r="E23" s="3"/>
    </row>
    <row r="24" spans="1:6" hidden="1">
      <c r="B24">
        <v>111100</v>
      </c>
      <c r="C24" t="s">
        <v>78</v>
      </c>
      <c r="D24" s="120" t="s">
        <v>803</v>
      </c>
      <c r="E24" s="3" t="s">
        <v>804</v>
      </c>
    </row>
    <row r="25" spans="1:6" hidden="1">
      <c r="B25" s="4">
        <v>115010</v>
      </c>
      <c r="C25" t="s">
        <v>78</v>
      </c>
      <c r="D25" s="120" t="s">
        <v>649</v>
      </c>
      <c r="E25" s="3" t="s">
        <v>60</v>
      </c>
    </row>
    <row r="26" spans="1:6" hidden="1">
      <c r="A26" s="6" t="s">
        <v>430</v>
      </c>
      <c r="B26" s="4">
        <v>115010</v>
      </c>
      <c r="C26" t="s">
        <v>78</v>
      </c>
      <c r="D26" s="120" t="s">
        <v>650</v>
      </c>
      <c r="E26" s="3" t="s">
        <v>59</v>
      </c>
    </row>
    <row r="27" spans="1:6" hidden="1">
      <c r="A27" s="6"/>
      <c r="B27" s="226">
        <v>115010</v>
      </c>
      <c r="C27" s="161" t="s">
        <v>78</v>
      </c>
      <c r="D27" s="185" t="s">
        <v>983</v>
      </c>
      <c r="E27" s="186" t="s">
        <v>982</v>
      </c>
    </row>
    <row r="28" spans="1:6" hidden="1">
      <c r="A28" s="228"/>
      <c r="B28" s="82">
        <v>115010</v>
      </c>
      <c r="C28" s="59" t="s">
        <v>78</v>
      </c>
      <c r="D28" s="229" t="s">
        <v>987</v>
      </c>
      <c r="E28" s="230" t="s">
        <v>986</v>
      </c>
    </row>
    <row r="29" spans="1:6" hidden="1">
      <c r="A29" s="6"/>
      <c r="B29" s="4">
        <v>115010</v>
      </c>
      <c r="C29" t="s">
        <v>78</v>
      </c>
      <c r="D29" s="120" t="s">
        <v>775</v>
      </c>
      <c r="E29" s="3" t="s">
        <v>776</v>
      </c>
    </row>
    <row r="30" spans="1:6" hidden="1">
      <c r="A30" s="6"/>
      <c r="B30" s="4">
        <v>115010</v>
      </c>
      <c r="C30" t="s">
        <v>78</v>
      </c>
      <c r="D30" s="120" t="s">
        <v>777</v>
      </c>
      <c r="E30" s="3" t="s">
        <v>778</v>
      </c>
    </row>
    <row r="31" spans="1:6" hidden="1">
      <c r="A31" s="6"/>
      <c r="B31" s="4">
        <v>115010</v>
      </c>
      <c r="C31" t="s">
        <v>78</v>
      </c>
      <c r="D31" s="120" t="s">
        <v>779</v>
      </c>
      <c r="E31" s="3" t="s">
        <v>780</v>
      </c>
    </row>
    <row r="32" spans="1:6" hidden="1">
      <c r="A32" s="6"/>
      <c r="B32" s="4">
        <v>115010</v>
      </c>
      <c r="C32" t="s">
        <v>78</v>
      </c>
      <c r="D32" s="120" t="s">
        <v>851</v>
      </c>
      <c r="E32" s="3" t="s">
        <v>852</v>
      </c>
    </row>
    <row r="33" spans="1:10" hidden="1">
      <c r="A33" s="6"/>
      <c r="B33" s="153">
        <v>115010</v>
      </c>
      <c r="C33" s="152" t="s">
        <v>78</v>
      </c>
      <c r="D33" s="120" t="s">
        <v>836</v>
      </c>
      <c r="E33" s="3" t="s">
        <v>837</v>
      </c>
      <c r="F33" s="152" t="s">
        <v>838</v>
      </c>
    </row>
    <row r="34" spans="1:10" hidden="1">
      <c r="A34" s="6"/>
      <c r="B34" s="4">
        <v>115025</v>
      </c>
      <c r="C34" t="s">
        <v>79</v>
      </c>
      <c r="D34" s="120"/>
      <c r="E34" s="3"/>
    </row>
    <row r="35" spans="1:10" hidden="1">
      <c r="B35" s="4">
        <v>115026</v>
      </c>
      <c r="C35" t="s">
        <v>80</v>
      </c>
      <c r="D35" s="120"/>
      <c r="E35" s="3"/>
    </row>
    <row r="36" spans="1:10" hidden="1">
      <c r="B36" s="4">
        <v>115050</v>
      </c>
      <c r="C36" t="s">
        <v>81</v>
      </c>
      <c r="D36" s="120"/>
      <c r="E36" s="3"/>
    </row>
    <row r="37" spans="1:10" s="216" customFormat="1" hidden="1">
      <c r="B37" s="217">
        <v>115061</v>
      </c>
      <c r="C37" s="216" t="s">
        <v>84</v>
      </c>
      <c r="D37" s="218" t="s">
        <v>651</v>
      </c>
      <c r="E37" s="219" t="s">
        <v>61</v>
      </c>
      <c r="J37" s="213"/>
    </row>
    <row r="38" spans="1:10" hidden="1">
      <c r="B38">
        <v>115060</v>
      </c>
      <c r="C38" t="s">
        <v>83</v>
      </c>
      <c r="D38" s="120" t="s">
        <v>652</v>
      </c>
      <c r="E38" s="3" t="s">
        <v>480</v>
      </c>
      <c r="H38" s="4"/>
    </row>
    <row r="39" spans="1:10" s="195" customFormat="1" hidden="1">
      <c r="A39" s="195" t="s">
        <v>430</v>
      </c>
      <c r="B39" s="196">
        <v>115055</v>
      </c>
      <c r="C39" s="195" t="s">
        <v>82</v>
      </c>
      <c r="D39" s="197" t="s">
        <v>653</v>
      </c>
      <c r="E39" s="198" t="s">
        <v>56</v>
      </c>
      <c r="J39"/>
    </row>
    <row r="40" spans="1:10" hidden="1">
      <c r="A40" t="s">
        <v>481</v>
      </c>
      <c r="B40">
        <v>115061</v>
      </c>
      <c r="C40" t="s">
        <v>84</v>
      </c>
      <c r="D40" s="120" t="s">
        <v>654</v>
      </c>
      <c r="E40" s="3" t="s">
        <v>58</v>
      </c>
      <c r="H40" s="4"/>
    </row>
    <row r="41" spans="1:10" s="195" customFormat="1" hidden="1">
      <c r="A41" s="195" t="s">
        <v>430</v>
      </c>
      <c r="B41" s="196">
        <v>115055</v>
      </c>
      <c r="C41" s="195" t="s">
        <v>82</v>
      </c>
      <c r="D41" s="197" t="s">
        <v>655</v>
      </c>
      <c r="E41" s="198" t="s">
        <v>57</v>
      </c>
      <c r="H41" s="196"/>
      <c r="J41"/>
    </row>
    <row r="42" spans="1:10" hidden="1">
      <c r="A42" t="s">
        <v>430</v>
      </c>
      <c r="B42" s="4">
        <v>115070</v>
      </c>
      <c r="C42" t="s">
        <v>85</v>
      </c>
      <c r="D42" s="120"/>
      <c r="E42" s="3"/>
    </row>
    <row r="43" spans="1:10" hidden="1">
      <c r="A43" t="s">
        <v>430</v>
      </c>
      <c r="B43" s="4">
        <v>115071</v>
      </c>
      <c r="C43" t="s">
        <v>86</v>
      </c>
      <c r="D43" s="120"/>
      <c r="E43" s="3"/>
    </row>
    <row r="44" spans="1:10" hidden="1">
      <c r="B44" s="4">
        <v>115082</v>
      </c>
      <c r="C44" t="s">
        <v>87</v>
      </c>
      <c r="D44" s="120" t="s">
        <v>656</v>
      </c>
      <c r="E44" s="3" t="s">
        <v>52</v>
      </c>
    </row>
    <row r="45" spans="1:10" hidden="1">
      <c r="B45" s="4">
        <v>115087</v>
      </c>
      <c r="C45" t="s">
        <v>88</v>
      </c>
      <c r="D45" s="120"/>
      <c r="E45" s="3"/>
    </row>
    <row r="46" spans="1:10" hidden="1">
      <c r="A46" t="s">
        <v>479</v>
      </c>
      <c r="B46">
        <v>115091</v>
      </c>
      <c r="C46" t="s">
        <v>89</v>
      </c>
      <c r="D46" s="120" t="s">
        <v>657</v>
      </c>
      <c r="E46" s="3" t="s">
        <v>51</v>
      </c>
    </row>
    <row r="47" spans="1:10" hidden="1">
      <c r="B47" s="4">
        <v>115093</v>
      </c>
      <c r="C47" t="s">
        <v>90</v>
      </c>
      <c r="D47" s="120"/>
      <c r="E47" s="3"/>
    </row>
    <row r="48" spans="1:10" hidden="1">
      <c r="A48" t="s">
        <v>430</v>
      </c>
      <c r="B48">
        <v>115102</v>
      </c>
      <c r="C48" t="s">
        <v>91</v>
      </c>
      <c r="D48" s="120"/>
      <c r="E48" s="3"/>
    </row>
    <row r="49" spans="1:7" hidden="1">
      <c r="B49" s="4">
        <v>115099</v>
      </c>
      <c r="C49" t="s">
        <v>92</v>
      </c>
      <c r="D49" s="120"/>
      <c r="E49" s="3"/>
    </row>
    <row r="50" spans="1:7" hidden="1">
      <c r="B50">
        <v>115095</v>
      </c>
      <c r="C50" t="s">
        <v>93</v>
      </c>
      <c r="D50" s="120" t="s">
        <v>658</v>
      </c>
      <c r="E50" s="3" t="s">
        <v>53</v>
      </c>
      <c r="F50" s="4">
        <v>115095</v>
      </c>
      <c r="G50" t="s">
        <v>93</v>
      </c>
    </row>
    <row r="51" spans="1:7" hidden="1">
      <c r="B51" s="4">
        <v>115103</v>
      </c>
      <c r="C51" t="s">
        <v>94</v>
      </c>
      <c r="D51" s="120"/>
      <c r="E51" s="3"/>
    </row>
    <row r="52" spans="1:7" hidden="1">
      <c r="A52" t="s">
        <v>430</v>
      </c>
      <c r="B52" s="4">
        <v>115100</v>
      </c>
      <c r="C52" t="s">
        <v>95</v>
      </c>
      <c r="D52" s="120"/>
      <c r="E52" s="3"/>
    </row>
    <row r="53" spans="1:7" hidden="1">
      <c r="B53" s="4">
        <v>115108</v>
      </c>
      <c r="C53" t="s">
        <v>96</v>
      </c>
      <c r="D53" s="120"/>
      <c r="E53" s="3"/>
    </row>
    <row r="54" spans="1:7" hidden="1">
      <c r="B54" s="4">
        <v>115111</v>
      </c>
      <c r="C54" t="s">
        <v>97</v>
      </c>
      <c r="D54" s="120"/>
      <c r="E54" s="3"/>
    </row>
    <row r="55" spans="1:7" hidden="1">
      <c r="B55" s="4">
        <v>115081</v>
      </c>
      <c r="C55" t="s">
        <v>98</v>
      </c>
      <c r="D55" s="120"/>
      <c r="E55" s="3" t="s">
        <v>500</v>
      </c>
    </row>
    <row r="56" spans="1:7" hidden="1">
      <c r="B56" s="4">
        <v>116010</v>
      </c>
      <c r="C56" t="s">
        <v>99</v>
      </c>
      <c r="D56" s="120"/>
      <c r="E56" s="3"/>
    </row>
    <row r="57" spans="1:7" hidden="1">
      <c r="B57" s="4">
        <v>116030</v>
      </c>
      <c r="C57" t="s">
        <v>100</v>
      </c>
      <c r="D57" s="120"/>
      <c r="E57" s="3"/>
    </row>
    <row r="58" spans="1:7" hidden="1">
      <c r="B58">
        <v>116050</v>
      </c>
      <c r="C58" t="s">
        <v>101</v>
      </c>
      <c r="D58" s="120" t="s">
        <v>659</v>
      </c>
      <c r="E58" s="3" t="s">
        <v>55</v>
      </c>
    </row>
    <row r="59" spans="1:7" hidden="1">
      <c r="B59">
        <v>116050</v>
      </c>
      <c r="C59" t="s">
        <v>101</v>
      </c>
      <c r="D59" s="120" t="s">
        <v>845</v>
      </c>
      <c r="E59" s="3" t="s">
        <v>846</v>
      </c>
    </row>
    <row r="60" spans="1:7" hidden="1">
      <c r="A60" t="s">
        <v>430</v>
      </c>
      <c r="B60" s="4">
        <v>116060</v>
      </c>
      <c r="C60" t="s">
        <v>102</v>
      </c>
      <c r="D60" s="120"/>
      <c r="E60" s="3"/>
    </row>
    <row r="61" spans="1:7" hidden="1">
      <c r="B61" s="4">
        <v>116067</v>
      </c>
      <c r="C61" t="s">
        <v>103</v>
      </c>
      <c r="D61" s="120"/>
      <c r="E61" s="3"/>
    </row>
    <row r="62" spans="1:7" hidden="1">
      <c r="B62" s="4">
        <v>116068</v>
      </c>
      <c r="C62" t="s">
        <v>104</v>
      </c>
      <c r="D62" s="120"/>
      <c r="E62" s="3"/>
    </row>
    <row r="63" spans="1:7" hidden="1">
      <c r="B63" s="4">
        <v>116069</v>
      </c>
      <c r="C63" t="s">
        <v>105</v>
      </c>
      <c r="D63" s="120"/>
      <c r="E63" s="3"/>
    </row>
    <row r="64" spans="1:7" hidden="1">
      <c r="B64">
        <v>116072</v>
      </c>
      <c r="C64" t="s">
        <v>106</v>
      </c>
      <c r="D64" s="120" t="s">
        <v>660</v>
      </c>
      <c r="E64" s="3" t="s">
        <v>54</v>
      </c>
    </row>
    <row r="65" spans="1:5" hidden="1">
      <c r="B65">
        <v>116072</v>
      </c>
      <c r="C65" t="s">
        <v>106</v>
      </c>
      <c r="D65" s="120" t="s">
        <v>661</v>
      </c>
      <c r="E65" s="3" t="s">
        <v>619</v>
      </c>
    </row>
    <row r="66" spans="1:5" hidden="1">
      <c r="A66" t="s">
        <v>430</v>
      </c>
      <c r="B66" s="4">
        <v>116081</v>
      </c>
      <c r="C66" t="s">
        <v>107</v>
      </c>
      <c r="D66" s="120"/>
      <c r="E66" s="3"/>
    </row>
    <row r="67" spans="1:5" hidden="1">
      <c r="A67" t="s">
        <v>430</v>
      </c>
      <c r="B67" s="4">
        <v>116083</v>
      </c>
      <c r="C67" t="s">
        <v>108</v>
      </c>
      <c r="D67" s="120"/>
      <c r="E67" s="3"/>
    </row>
    <row r="68" spans="1:5" hidden="1">
      <c r="B68" s="4">
        <v>167010</v>
      </c>
      <c r="C68" t="s">
        <v>109</v>
      </c>
      <c r="D68" s="120"/>
      <c r="E68" s="3"/>
    </row>
    <row r="69" spans="1:5" hidden="1">
      <c r="B69" s="4">
        <v>116950</v>
      </c>
      <c r="C69" t="s">
        <v>110</v>
      </c>
      <c r="D69" s="120"/>
      <c r="E69" s="3"/>
    </row>
    <row r="70" spans="1:5" hidden="1">
      <c r="B70" s="4">
        <v>116970</v>
      </c>
      <c r="C70" t="s">
        <v>111</v>
      </c>
      <c r="D70" s="120"/>
      <c r="E70" s="3"/>
    </row>
    <row r="71" spans="1:5" hidden="1">
      <c r="B71" s="4">
        <v>118200</v>
      </c>
      <c r="C71" t="s">
        <v>112</v>
      </c>
      <c r="D71" s="120"/>
      <c r="E71" s="3"/>
    </row>
    <row r="72" spans="1:5" hidden="1">
      <c r="B72" s="4">
        <v>118615</v>
      </c>
      <c r="C72" t="s">
        <v>113</v>
      </c>
      <c r="D72" s="120"/>
      <c r="E72" s="3"/>
    </row>
    <row r="73" spans="1:5" hidden="1">
      <c r="B73" s="4">
        <v>141000</v>
      </c>
      <c r="C73" t="s">
        <v>114</v>
      </c>
      <c r="D73" s="120"/>
      <c r="E73" s="3"/>
    </row>
    <row r="74" spans="1:5" hidden="1">
      <c r="B74" s="4">
        <v>141010</v>
      </c>
      <c r="C74" t="s">
        <v>115</v>
      </c>
      <c r="D74" s="120"/>
      <c r="E74" s="3"/>
    </row>
    <row r="75" spans="1:5" hidden="1">
      <c r="B75" s="4">
        <v>141020</v>
      </c>
      <c r="C75" t="s">
        <v>116</v>
      </c>
      <c r="D75" s="120"/>
      <c r="E75" s="3"/>
    </row>
    <row r="76" spans="1:5" hidden="1">
      <c r="B76" s="4">
        <v>141040</v>
      </c>
      <c r="C76" t="s">
        <v>117</v>
      </c>
      <c r="D76" s="120"/>
      <c r="E76" s="3"/>
    </row>
    <row r="77" spans="1:5" hidden="1">
      <c r="B77" s="4">
        <v>141050</v>
      </c>
      <c r="C77" t="s">
        <v>118</v>
      </c>
      <c r="D77" s="120"/>
      <c r="E77" s="3"/>
    </row>
    <row r="78" spans="1:5" hidden="1">
      <c r="B78">
        <v>141070</v>
      </c>
      <c r="C78" t="s">
        <v>119</v>
      </c>
      <c r="D78" s="120" t="s">
        <v>662</v>
      </c>
      <c r="E78" s="3" t="s">
        <v>48</v>
      </c>
    </row>
    <row r="79" spans="1:5" hidden="1">
      <c r="B79">
        <v>141070</v>
      </c>
      <c r="C79" t="s">
        <v>119</v>
      </c>
      <c r="D79" s="120" t="s">
        <v>848</v>
      </c>
      <c r="E79" s="3" t="s">
        <v>850</v>
      </c>
    </row>
    <row r="80" spans="1:5" hidden="1">
      <c r="A80" t="s">
        <v>430</v>
      </c>
      <c r="B80">
        <v>141080</v>
      </c>
      <c r="C80" t="s">
        <v>120</v>
      </c>
      <c r="D80" s="120" t="s">
        <v>813</v>
      </c>
      <c r="E80" s="3" t="s">
        <v>49</v>
      </c>
    </row>
    <row r="81" spans="1:10" hidden="1">
      <c r="B81">
        <v>141080</v>
      </c>
      <c r="C81" t="s">
        <v>120</v>
      </c>
      <c r="D81" s="120" t="s">
        <v>847</v>
      </c>
      <c r="E81" s="3" t="s">
        <v>849</v>
      </c>
    </row>
    <row r="82" spans="1:10" s="192" customFormat="1" hidden="1">
      <c r="B82" s="64">
        <v>141080</v>
      </c>
      <c r="C82" s="192" t="s">
        <v>120</v>
      </c>
      <c r="F82" s="192" t="s">
        <v>913</v>
      </c>
    </row>
    <row r="83" spans="1:10" hidden="1">
      <c r="A83" t="s">
        <v>430</v>
      </c>
      <c r="B83">
        <v>141085</v>
      </c>
      <c r="C83" t="s">
        <v>121</v>
      </c>
      <c r="D83" s="120"/>
      <c r="E83" s="3"/>
    </row>
    <row r="84" spans="1:10" hidden="1">
      <c r="B84">
        <v>141090</v>
      </c>
      <c r="C84" t="s">
        <v>122</v>
      </c>
      <c r="D84" s="120"/>
      <c r="E84" s="3"/>
    </row>
    <row r="85" spans="1:10" hidden="1">
      <c r="B85">
        <v>141100</v>
      </c>
      <c r="C85" t="s">
        <v>123</v>
      </c>
      <c r="D85" s="120"/>
      <c r="E85" s="3"/>
    </row>
    <row r="86" spans="1:10" hidden="1">
      <c r="B86">
        <v>141140</v>
      </c>
      <c r="C86" t="s">
        <v>124</v>
      </c>
      <c r="D86" s="120"/>
      <c r="E86" s="3"/>
    </row>
    <row r="87" spans="1:10" hidden="1">
      <c r="B87">
        <v>141170</v>
      </c>
      <c r="C87" t="s">
        <v>125</v>
      </c>
      <c r="D87" s="120"/>
      <c r="E87" s="3"/>
    </row>
    <row r="88" spans="1:10" hidden="1">
      <c r="B88">
        <v>141180</v>
      </c>
      <c r="C88" t="s">
        <v>126</v>
      </c>
      <c r="D88" s="120"/>
      <c r="E88" s="3"/>
    </row>
    <row r="89" spans="1:10" hidden="1">
      <c r="B89">
        <v>141190</v>
      </c>
      <c r="C89" t="s">
        <v>127</v>
      </c>
      <c r="D89" s="120"/>
      <c r="E89" s="3"/>
    </row>
    <row r="90" spans="1:10" s="216" customFormat="1" hidden="1">
      <c r="B90" s="216">
        <v>170013</v>
      </c>
      <c r="C90" s="216" t="s">
        <v>971</v>
      </c>
      <c r="D90" s="218" t="s">
        <v>664</v>
      </c>
      <c r="E90" s="219" t="s">
        <v>50</v>
      </c>
      <c r="J90" s="213"/>
    </row>
    <row r="91" spans="1:10" s="216" customFormat="1" hidden="1">
      <c r="B91" s="216">
        <v>141195</v>
      </c>
      <c r="C91" s="216" t="s">
        <v>128</v>
      </c>
      <c r="D91" s="218" t="s">
        <v>665</v>
      </c>
      <c r="E91" s="219" t="s">
        <v>532</v>
      </c>
      <c r="J91" s="213"/>
    </row>
    <row r="92" spans="1:10" hidden="1">
      <c r="A92" t="s">
        <v>430</v>
      </c>
      <c r="B92">
        <v>141200</v>
      </c>
      <c r="C92" t="s">
        <v>129</v>
      </c>
      <c r="D92" s="120"/>
      <c r="E92" s="3"/>
    </row>
    <row r="93" spans="1:10" hidden="1">
      <c r="B93">
        <v>141210</v>
      </c>
      <c r="C93" t="s">
        <v>130</v>
      </c>
      <c r="D93" s="120"/>
      <c r="E93" s="3"/>
    </row>
    <row r="94" spans="1:10" hidden="1">
      <c r="B94">
        <v>141900</v>
      </c>
      <c r="C94" t="s">
        <v>131</v>
      </c>
      <c r="D94" s="120"/>
      <c r="E94" s="3"/>
    </row>
    <row r="95" spans="1:10" hidden="1">
      <c r="B95">
        <v>142000</v>
      </c>
      <c r="C95" t="s">
        <v>132</v>
      </c>
      <c r="D95" s="120"/>
      <c r="E95" s="3"/>
    </row>
    <row r="96" spans="1:10" hidden="1">
      <c r="B96">
        <v>142020</v>
      </c>
      <c r="C96" t="s">
        <v>133</v>
      </c>
      <c r="D96" s="120"/>
      <c r="E96" s="3"/>
    </row>
    <row r="97" spans="1:10" hidden="1">
      <c r="B97">
        <v>142040</v>
      </c>
      <c r="C97" t="s">
        <v>134</v>
      </c>
      <c r="D97" s="120"/>
      <c r="E97" s="3"/>
    </row>
    <row r="98" spans="1:10" hidden="1">
      <c r="B98">
        <v>142050</v>
      </c>
      <c r="C98" t="s">
        <v>135</v>
      </c>
      <c r="D98" s="120"/>
      <c r="E98" s="3"/>
    </row>
    <row r="99" spans="1:10" hidden="1">
      <c r="B99">
        <v>142080</v>
      </c>
      <c r="C99" t="s">
        <v>136</v>
      </c>
      <c r="D99" s="190" t="s">
        <v>663</v>
      </c>
      <c r="E99" s="191" t="s">
        <v>47</v>
      </c>
    </row>
    <row r="100" spans="1:10" s="216" customFormat="1" hidden="1">
      <c r="B100" s="216">
        <v>142070</v>
      </c>
      <c r="C100" s="216" t="s">
        <v>136</v>
      </c>
      <c r="D100" s="218" t="s">
        <v>666</v>
      </c>
      <c r="E100" s="219" t="s">
        <v>46</v>
      </c>
      <c r="J100" s="213"/>
    </row>
    <row r="101" spans="1:10" hidden="1">
      <c r="A101" t="s">
        <v>430</v>
      </c>
      <c r="B101">
        <v>142085</v>
      </c>
      <c r="C101" t="s">
        <v>137</v>
      </c>
      <c r="D101" s="120"/>
      <c r="E101" s="3"/>
    </row>
    <row r="102" spans="1:10" hidden="1">
      <c r="A102" t="s">
        <v>430</v>
      </c>
      <c r="B102">
        <v>142090</v>
      </c>
      <c r="C102" t="s">
        <v>138</v>
      </c>
      <c r="D102" s="120"/>
      <c r="E102" s="3"/>
    </row>
    <row r="103" spans="1:10" hidden="1">
      <c r="B103">
        <v>142100</v>
      </c>
      <c r="C103" t="s">
        <v>139</v>
      </c>
      <c r="D103" s="120"/>
      <c r="E103" s="3"/>
    </row>
    <row r="104" spans="1:10" hidden="1">
      <c r="B104">
        <v>142140</v>
      </c>
      <c r="C104" t="s">
        <v>140</v>
      </c>
      <c r="D104" s="120"/>
      <c r="E104" s="3"/>
    </row>
    <row r="105" spans="1:10" hidden="1">
      <c r="B105">
        <v>142170</v>
      </c>
      <c r="C105" t="s">
        <v>141</v>
      </c>
      <c r="D105" s="120"/>
      <c r="E105" s="3"/>
    </row>
    <row r="106" spans="1:10" hidden="1">
      <c r="B106">
        <v>142180</v>
      </c>
      <c r="C106" t="s">
        <v>142</v>
      </c>
      <c r="D106" s="120"/>
      <c r="E106" s="3"/>
    </row>
    <row r="107" spans="1:10" hidden="1">
      <c r="B107">
        <v>142190</v>
      </c>
      <c r="C107" t="s">
        <v>143</v>
      </c>
      <c r="D107" s="120"/>
      <c r="E107" s="3"/>
    </row>
    <row r="108" spans="1:10" hidden="1">
      <c r="B108">
        <v>142195</v>
      </c>
      <c r="C108" t="s">
        <v>144</v>
      </c>
      <c r="D108" s="120"/>
      <c r="E108" s="3"/>
    </row>
    <row r="109" spans="1:10" hidden="1">
      <c r="B109">
        <v>142200</v>
      </c>
      <c r="C109" t="s">
        <v>145</v>
      </c>
      <c r="D109" s="120"/>
      <c r="E109" s="3"/>
    </row>
    <row r="110" spans="1:10" hidden="1">
      <c r="B110">
        <v>142210</v>
      </c>
      <c r="C110" t="s">
        <v>146</v>
      </c>
      <c r="D110" s="120"/>
      <c r="E110" s="3"/>
    </row>
    <row r="111" spans="1:10" hidden="1">
      <c r="B111">
        <v>142900</v>
      </c>
      <c r="C111" t="s">
        <v>147</v>
      </c>
      <c r="D111" s="120"/>
      <c r="E111" s="3"/>
    </row>
    <row r="112" spans="1:10" hidden="1">
      <c r="B112">
        <v>143000</v>
      </c>
      <c r="C112" t="s">
        <v>148</v>
      </c>
      <c r="D112" s="120"/>
      <c r="E112" s="3"/>
    </row>
    <row r="113" spans="2:5" hidden="1">
      <c r="B113">
        <v>143010</v>
      </c>
      <c r="C113" t="s">
        <v>149</v>
      </c>
      <c r="D113" s="120"/>
      <c r="E113" s="3"/>
    </row>
    <row r="114" spans="2:5" hidden="1">
      <c r="B114">
        <v>143020</v>
      </c>
      <c r="C114" t="s">
        <v>150</v>
      </c>
      <c r="D114" s="120"/>
      <c r="E114" s="3"/>
    </row>
    <row r="115" spans="2:5" hidden="1">
      <c r="B115">
        <v>143040</v>
      </c>
      <c r="C115" t="s">
        <v>151</v>
      </c>
      <c r="D115" s="120"/>
      <c r="E115" s="3"/>
    </row>
    <row r="116" spans="2:5" hidden="1">
      <c r="B116">
        <v>143050</v>
      </c>
      <c r="C116" t="s">
        <v>152</v>
      </c>
      <c r="D116" s="120"/>
      <c r="E116" s="3"/>
    </row>
    <row r="117" spans="2:5" hidden="1">
      <c r="B117">
        <v>143070</v>
      </c>
      <c r="C117" t="s">
        <v>153</v>
      </c>
      <c r="D117" s="120"/>
      <c r="E117" s="3"/>
    </row>
    <row r="118" spans="2:5" hidden="1">
      <c r="B118">
        <v>143080</v>
      </c>
      <c r="C118" t="s">
        <v>154</v>
      </c>
      <c r="D118" s="120"/>
      <c r="E118" s="3"/>
    </row>
    <row r="119" spans="2:5" hidden="1">
      <c r="B119">
        <v>143085</v>
      </c>
      <c r="C119" t="s">
        <v>155</v>
      </c>
      <c r="D119" s="120"/>
      <c r="E119" s="3"/>
    </row>
    <row r="120" spans="2:5" hidden="1">
      <c r="B120">
        <v>143090</v>
      </c>
      <c r="C120" t="s">
        <v>156</v>
      </c>
      <c r="D120" s="120"/>
      <c r="E120" s="3"/>
    </row>
    <row r="121" spans="2:5" hidden="1">
      <c r="B121">
        <v>143100</v>
      </c>
      <c r="C121" t="s">
        <v>157</v>
      </c>
      <c r="D121" s="120"/>
      <c r="E121" s="3"/>
    </row>
    <row r="122" spans="2:5" hidden="1">
      <c r="B122">
        <v>143140</v>
      </c>
      <c r="C122" t="s">
        <v>158</v>
      </c>
      <c r="D122" s="120"/>
      <c r="E122" s="3"/>
    </row>
    <row r="123" spans="2:5" hidden="1">
      <c r="B123">
        <v>143170</v>
      </c>
      <c r="C123" t="s">
        <v>159</v>
      </c>
      <c r="D123" s="120"/>
      <c r="E123" s="3"/>
    </row>
    <row r="124" spans="2:5" hidden="1">
      <c r="B124">
        <v>143180</v>
      </c>
      <c r="C124" t="s">
        <v>160</v>
      </c>
      <c r="D124" s="120"/>
      <c r="E124" s="3"/>
    </row>
    <row r="125" spans="2:5" hidden="1">
      <c r="B125">
        <v>143190</v>
      </c>
      <c r="C125" t="s">
        <v>161</v>
      </c>
      <c r="D125" s="120"/>
      <c r="E125" s="3"/>
    </row>
    <row r="126" spans="2:5" hidden="1">
      <c r="B126">
        <v>143195</v>
      </c>
      <c r="C126" t="s">
        <v>162</v>
      </c>
      <c r="D126" s="120"/>
      <c r="E126" s="3"/>
    </row>
    <row r="127" spans="2:5" hidden="1">
      <c r="B127">
        <v>143200</v>
      </c>
      <c r="C127" t="s">
        <v>163</v>
      </c>
      <c r="D127" s="120"/>
      <c r="E127" s="3"/>
    </row>
    <row r="128" spans="2:5" hidden="1">
      <c r="B128">
        <v>143210</v>
      </c>
      <c r="C128" t="s">
        <v>164</v>
      </c>
      <c r="D128" s="120"/>
      <c r="E128" s="3"/>
    </row>
    <row r="129" spans="2:5" hidden="1">
      <c r="B129">
        <v>143900</v>
      </c>
      <c r="C129" t="s">
        <v>165</v>
      </c>
      <c r="D129" s="120"/>
      <c r="E129" s="3"/>
    </row>
    <row r="130" spans="2:5" hidden="1">
      <c r="B130">
        <v>144000</v>
      </c>
      <c r="C130" t="s">
        <v>166</v>
      </c>
      <c r="D130" s="120"/>
      <c r="E130" s="3"/>
    </row>
    <row r="131" spans="2:5" hidden="1">
      <c r="B131">
        <v>144020</v>
      </c>
      <c r="C131" t="s">
        <v>167</v>
      </c>
      <c r="D131" s="120"/>
      <c r="E131" s="3"/>
    </row>
    <row r="132" spans="2:5" hidden="1">
      <c r="B132">
        <v>144040</v>
      </c>
      <c r="C132" t="s">
        <v>168</v>
      </c>
      <c r="D132" s="120"/>
      <c r="E132" s="3"/>
    </row>
    <row r="133" spans="2:5" hidden="1">
      <c r="B133">
        <v>144050</v>
      </c>
      <c r="C133" t="s">
        <v>169</v>
      </c>
      <c r="D133" s="120"/>
      <c r="E133" s="3"/>
    </row>
    <row r="134" spans="2:5" hidden="1">
      <c r="B134">
        <v>144070</v>
      </c>
      <c r="C134" t="s">
        <v>170</v>
      </c>
      <c r="D134" s="120"/>
      <c r="E134" s="3"/>
    </row>
    <row r="135" spans="2:5" hidden="1">
      <c r="B135">
        <v>144080</v>
      </c>
      <c r="C135" t="s">
        <v>171</v>
      </c>
      <c r="D135" s="120"/>
      <c r="E135" s="3"/>
    </row>
    <row r="136" spans="2:5" hidden="1">
      <c r="B136">
        <v>144085</v>
      </c>
      <c r="C136" t="s">
        <v>172</v>
      </c>
      <c r="D136" s="120"/>
      <c r="E136" s="3"/>
    </row>
    <row r="137" spans="2:5" hidden="1">
      <c r="B137">
        <v>144090</v>
      </c>
      <c r="C137" t="s">
        <v>173</v>
      </c>
      <c r="D137" s="120"/>
      <c r="E137" s="3"/>
    </row>
    <row r="138" spans="2:5" hidden="1">
      <c r="B138">
        <v>144100</v>
      </c>
      <c r="C138" t="s">
        <v>174</v>
      </c>
      <c r="D138" s="120"/>
      <c r="E138" s="3"/>
    </row>
    <row r="139" spans="2:5" hidden="1">
      <c r="B139">
        <v>144140</v>
      </c>
      <c r="C139" t="s">
        <v>175</v>
      </c>
      <c r="D139" s="120"/>
      <c r="E139" s="3"/>
    </row>
    <row r="140" spans="2:5" hidden="1">
      <c r="B140">
        <v>144170</v>
      </c>
      <c r="C140" t="s">
        <v>176</v>
      </c>
      <c r="D140" s="120"/>
      <c r="E140" s="3"/>
    </row>
    <row r="141" spans="2:5" hidden="1">
      <c r="B141">
        <v>144180</v>
      </c>
      <c r="C141" t="s">
        <v>177</v>
      </c>
      <c r="D141" s="120"/>
      <c r="E141" s="3"/>
    </row>
    <row r="142" spans="2:5" hidden="1">
      <c r="B142">
        <v>144190</v>
      </c>
      <c r="C142" t="s">
        <v>178</v>
      </c>
      <c r="D142" s="120"/>
      <c r="E142" s="3"/>
    </row>
    <row r="143" spans="2:5" hidden="1">
      <c r="B143">
        <v>144195</v>
      </c>
      <c r="C143" t="s">
        <v>179</v>
      </c>
      <c r="D143" s="120"/>
      <c r="E143" s="3"/>
    </row>
    <row r="144" spans="2:5" hidden="1">
      <c r="B144">
        <v>144200</v>
      </c>
      <c r="C144" t="s">
        <v>180</v>
      </c>
      <c r="D144" s="120"/>
      <c r="E144" s="3"/>
    </row>
    <row r="145" spans="1:10" hidden="1">
      <c r="B145">
        <v>144210</v>
      </c>
      <c r="C145" t="s">
        <v>181</v>
      </c>
      <c r="D145" s="120"/>
      <c r="E145" s="3"/>
    </row>
    <row r="146" spans="1:10" hidden="1">
      <c r="B146">
        <v>144900</v>
      </c>
      <c r="C146" t="s">
        <v>182</v>
      </c>
      <c r="D146" s="120"/>
      <c r="E146" s="3" t="s">
        <v>433</v>
      </c>
    </row>
    <row r="147" spans="1:10" s="216" customFormat="1" hidden="1">
      <c r="B147" s="216">
        <v>145000</v>
      </c>
      <c r="C147" s="216" t="s">
        <v>912</v>
      </c>
      <c r="D147" s="218" t="s">
        <v>911</v>
      </c>
      <c r="E147" s="219" t="s">
        <v>912</v>
      </c>
      <c r="J147" s="212"/>
    </row>
    <row r="148" spans="1:10" hidden="1">
      <c r="B148">
        <v>170013</v>
      </c>
      <c r="C148" t="s">
        <v>183</v>
      </c>
      <c r="D148" s="120"/>
      <c r="E148" s="3"/>
    </row>
    <row r="149" spans="1:10" hidden="1">
      <c r="B149">
        <v>170012</v>
      </c>
      <c r="C149" t="s">
        <v>184</v>
      </c>
      <c r="D149" s="120"/>
      <c r="E149" s="3"/>
    </row>
    <row r="150" spans="1:10" hidden="1">
      <c r="A150" t="s">
        <v>430</v>
      </c>
      <c r="B150">
        <v>210010</v>
      </c>
      <c r="C150" t="s">
        <v>185</v>
      </c>
      <c r="D150" s="120" t="s">
        <v>667</v>
      </c>
      <c r="E150" s="3" t="s">
        <v>44</v>
      </c>
    </row>
    <row r="151" spans="1:10" hidden="1">
      <c r="B151">
        <v>210020</v>
      </c>
      <c r="C151" t="s">
        <v>186</v>
      </c>
      <c r="D151" s="120" t="s">
        <v>668</v>
      </c>
      <c r="E151" s="3" t="s">
        <v>45</v>
      </c>
    </row>
    <row r="152" spans="1:10" hidden="1">
      <c r="A152" t="s">
        <v>430</v>
      </c>
      <c r="B152">
        <v>210030</v>
      </c>
      <c r="C152" t="s">
        <v>187</v>
      </c>
      <c r="D152" s="120" t="s">
        <v>669</v>
      </c>
      <c r="E152" s="3" t="s">
        <v>43</v>
      </c>
    </row>
    <row r="153" spans="1:10" hidden="1">
      <c r="A153" t="s">
        <v>430</v>
      </c>
      <c r="B153">
        <v>210032</v>
      </c>
      <c r="C153" t="s">
        <v>188</v>
      </c>
      <c r="D153" s="120"/>
      <c r="E153" s="3"/>
    </row>
    <row r="154" spans="1:10" hidden="1">
      <c r="A154" t="s">
        <v>430</v>
      </c>
      <c r="B154">
        <v>221007</v>
      </c>
      <c r="C154" t="s">
        <v>189</v>
      </c>
      <c r="D154" s="120"/>
      <c r="E154" s="3"/>
    </row>
    <row r="155" spans="1:10" hidden="1">
      <c r="B155">
        <v>221060</v>
      </c>
      <c r="C155" t="s">
        <v>190</v>
      </c>
      <c r="D155" s="120"/>
      <c r="E155" s="3"/>
    </row>
    <row r="156" spans="1:10" hidden="1">
      <c r="B156">
        <v>221070</v>
      </c>
      <c r="C156" t="s">
        <v>191</v>
      </c>
      <c r="D156" s="120"/>
      <c r="E156" s="3"/>
    </row>
    <row r="157" spans="1:10" hidden="1">
      <c r="B157">
        <v>224000</v>
      </c>
      <c r="C157" t="s">
        <v>192</v>
      </c>
      <c r="D157" s="120" t="s">
        <v>670</v>
      </c>
      <c r="E157" s="3" t="s">
        <v>671</v>
      </c>
    </row>
    <row r="158" spans="1:10" s="195" customFormat="1" hidden="1">
      <c r="B158" s="196">
        <v>224000</v>
      </c>
      <c r="C158" s="195" t="s">
        <v>192</v>
      </c>
      <c r="D158" s="197" t="s">
        <v>672</v>
      </c>
      <c r="E158" s="198" t="s">
        <v>501</v>
      </c>
      <c r="J158"/>
    </row>
    <row r="159" spans="1:10" s="195" customFormat="1" hidden="1">
      <c r="A159" s="59" t="s">
        <v>430</v>
      </c>
      <c r="B159" s="82">
        <v>224000</v>
      </c>
      <c r="C159" s="59" t="s">
        <v>192</v>
      </c>
      <c r="D159" s="59" t="s">
        <v>984</v>
      </c>
      <c r="E159" s="59" t="s">
        <v>985</v>
      </c>
      <c r="J159"/>
    </row>
    <row r="160" spans="1:10" s="216" customFormat="1" hidden="1">
      <c r="B160" s="217">
        <v>228050</v>
      </c>
      <c r="C160" s="216" t="s">
        <v>973</v>
      </c>
      <c r="D160" s="218" t="s">
        <v>673</v>
      </c>
      <c r="E160" s="219" t="s">
        <v>618</v>
      </c>
      <c r="J160" s="213"/>
    </row>
    <row r="161" spans="1:10" hidden="1">
      <c r="B161">
        <v>224005</v>
      </c>
      <c r="C161" t="s">
        <v>193</v>
      </c>
      <c r="D161" s="120"/>
      <c r="E161" s="3"/>
    </row>
    <row r="162" spans="1:10" hidden="1">
      <c r="B162">
        <v>224500</v>
      </c>
      <c r="C162" t="s">
        <v>194</v>
      </c>
      <c r="D162" s="120"/>
      <c r="E162" s="3"/>
    </row>
    <row r="163" spans="1:10" hidden="1">
      <c r="B163">
        <v>224501</v>
      </c>
      <c r="C163" t="s">
        <v>516</v>
      </c>
      <c r="D163" s="120"/>
      <c r="E163" s="3"/>
    </row>
    <row r="164" spans="1:10" s="216" customFormat="1" hidden="1">
      <c r="B164" s="216">
        <v>224600</v>
      </c>
      <c r="C164" s="216" t="s">
        <v>195</v>
      </c>
      <c r="D164" s="218" t="s">
        <v>674</v>
      </c>
      <c r="E164" s="219" t="s">
        <v>675</v>
      </c>
      <c r="J164" s="212"/>
    </row>
    <row r="165" spans="1:10" hidden="1">
      <c r="A165" t="s">
        <v>430</v>
      </c>
      <c r="B165">
        <v>224601</v>
      </c>
      <c r="C165" t="s">
        <v>196</v>
      </c>
      <c r="D165" s="120"/>
      <c r="E165" s="3"/>
    </row>
    <row r="166" spans="1:10" hidden="1">
      <c r="B166">
        <v>225010</v>
      </c>
      <c r="C166" t="s">
        <v>197</v>
      </c>
      <c r="D166" s="120"/>
      <c r="E166" s="3"/>
    </row>
    <row r="167" spans="1:10" hidden="1">
      <c r="B167">
        <v>226060</v>
      </c>
      <c r="C167" t="s">
        <v>198</v>
      </c>
      <c r="D167" s="120" t="s">
        <v>676</v>
      </c>
      <c r="E167" s="3" t="s">
        <v>37</v>
      </c>
    </row>
    <row r="168" spans="1:10" hidden="1">
      <c r="B168">
        <v>226050</v>
      </c>
      <c r="C168" t="s">
        <v>199</v>
      </c>
      <c r="D168" s="120" t="s">
        <v>677</v>
      </c>
      <c r="E168" s="3" t="s">
        <v>38</v>
      </c>
    </row>
    <row r="169" spans="1:10" hidden="1">
      <c r="A169" t="s">
        <v>430</v>
      </c>
      <c r="B169">
        <v>226040</v>
      </c>
      <c r="C169" t="s">
        <v>200</v>
      </c>
      <c r="D169" s="120"/>
      <c r="E169" s="3"/>
    </row>
    <row r="170" spans="1:10" hidden="1">
      <c r="A170" t="s">
        <v>430</v>
      </c>
      <c r="B170">
        <v>226055</v>
      </c>
      <c r="C170" t="s">
        <v>201</v>
      </c>
      <c r="D170" s="120"/>
      <c r="E170" s="3"/>
    </row>
    <row r="171" spans="1:10" hidden="1">
      <c r="B171">
        <v>227010</v>
      </c>
      <c r="C171" t="s">
        <v>202</v>
      </c>
      <c r="D171" s="120" t="s">
        <v>678</v>
      </c>
      <c r="E171" s="3" t="s">
        <v>40</v>
      </c>
    </row>
    <row r="172" spans="1:10" hidden="1">
      <c r="B172">
        <v>227052</v>
      </c>
      <c r="C172" t="s">
        <v>203</v>
      </c>
      <c r="D172" s="120"/>
      <c r="E172" s="3"/>
    </row>
    <row r="173" spans="1:10" hidden="1">
      <c r="A173" t="s">
        <v>430</v>
      </c>
      <c r="B173">
        <v>227054</v>
      </c>
      <c r="C173" t="s">
        <v>204</v>
      </c>
      <c r="D173" s="120"/>
      <c r="E173" s="3"/>
    </row>
    <row r="174" spans="1:10" hidden="1">
      <c r="B174">
        <v>227055</v>
      </c>
      <c r="C174" t="s">
        <v>205</v>
      </c>
      <c r="D174" s="120"/>
      <c r="E174" s="3"/>
    </row>
    <row r="175" spans="1:10" hidden="1">
      <c r="B175">
        <v>227050</v>
      </c>
      <c r="C175" t="s">
        <v>206</v>
      </c>
      <c r="D175" s="120" t="s">
        <v>679</v>
      </c>
      <c r="E175" s="3" t="s">
        <v>39</v>
      </c>
    </row>
    <row r="176" spans="1:10" hidden="1">
      <c r="B176">
        <v>228011</v>
      </c>
      <c r="C176" t="s">
        <v>207</v>
      </c>
      <c r="D176" s="120" t="s">
        <v>680</v>
      </c>
      <c r="E176" s="3" t="s">
        <v>36</v>
      </c>
    </row>
    <row r="177" spans="1:10" hidden="1">
      <c r="A177" t="s">
        <v>430</v>
      </c>
      <c r="B177">
        <v>228011</v>
      </c>
      <c r="C177" t="s">
        <v>207</v>
      </c>
      <c r="D177" s="120" t="s">
        <v>781</v>
      </c>
      <c r="E177" s="3" t="s">
        <v>514</v>
      </c>
    </row>
    <row r="178" spans="1:10" hidden="1">
      <c r="A178" t="s">
        <v>430</v>
      </c>
      <c r="B178" s="8">
        <v>226030</v>
      </c>
      <c r="C178" t="s">
        <v>208</v>
      </c>
      <c r="D178" s="120" t="s">
        <v>681</v>
      </c>
      <c r="E178" s="3" t="s">
        <v>42</v>
      </c>
    </row>
    <row r="179" spans="1:10" hidden="1">
      <c r="B179" s="8">
        <v>226034</v>
      </c>
      <c r="C179" t="s">
        <v>209</v>
      </c>
      <c r="D179" s="120"/>
      <c r="E179" s="3"/>
    </row>
    <row r="180" spans="1:10" hidden="1">
      <c r="A180" t="s">
        <v>430</v>
      </c>
      <c r="B180">
        <v>228012</v>
      </c>
      <c r="C180" t="s">
        <v>210</v>
      </c>
      <c r="D180" s="120"/>
      <c r="E180" s="3"/>
    </row>
    <row r="181" spans="1:10" hidden="1">
      <c r="A181" t="s">
        <v>430</v>
      </c>
      <c r="B181">
        <v>228015</v>
      </c>
      <c r="C181" t="s">
        <v>211</v>
      </c>
      <c r="D181" s="120"/>
      <c r="E181" s="3"/>
    </row>
    <row r="182" spans="1:10" hidden="1">
      <c r="A182" t="s">
        <v>430</v>
      </c>
      <c r="B182">
        <v>228040</v>
      </c>
      <c r="C182" t="s">
        <v>212</v>
      </c>
      <c r="D182" s="120"/>
      <c r="E182" s="3"/>
    </row>
    <row r="183" spans="1:10" s="195" customFormat="1" hidden="1">
      <c r="A183" s="195" t="s">
        <v>430</v>
      </c>
      <c r="B183" s="64">
        <v>228050</v>
      </c>
      <c r="C183" s="195" t="s">
        <v>973</v>
      </c>
      <c r="D183" s="197" t="s">
        <v>682</v>
      </c>
      <c r="E183" s="198" t="s">
        <v>41</v>
      </c>
      <c r="J183"/>
    </row>
    <row r="184" spans="1:10" hidden="1">
      <c r="A184" t="s">
        <v>430</v>
      </c>
      <c r="B184">
        <v>229000</v>
      </c>
      <c r="C184" t="s">
        <v>213</v>
      </c>
      <c r="D184" s="120"/>
      <c r="E184" s="3"/>
    </row>
    <row r="185" spans="1:10" hidden="1">
      <c r="A185" t="s">
        <v>430</v>
      </c>
      <c r="B185">
        <v>229060</v>
      </c>
      <c r="C185" t="s">
        <v>214</v>
      </c>
      <c r="D185" s="120"/>
      <c r="E185" s="3"/>
    </row>
    <row r="186" spans="1:10" hidden="1">
      <c r="A186" t="s">
        <v>430</v>
      </c>
      <c r="B186">
        <v>231010</v>
      </c>
      <c r="C186" t="s">
        <v>215</v>
      </c>
      <c r="D186" s="120"/>
      <c r="E186" s="3"/>
    </row>
    <row r="187" spans="1:10" hidden="1">
      <c r="B187">
        <v>231020</v>
      </c>
      <c r="C187" t="s">
        <v>216</v>
      </c>
      <c r="D187" s="120"/>
      <c r="E187" s="3"/>
    </row>
    <row r="188" spans="1:10" hidden="1">
      <c r="B188">
        <v>231030</v>
      </c>
      <c r="C188" t="s">
        <v>217</v>
      </c>
      <c r="D188" s="120"/>
      <c r="E188" s="3"/>
    </row>
    <row r="189" spans="1:10" hidden="1">
      <c r="B189">
        <v>235010</v>
      </c>
      <c r="C189" t="s">
        <v>218</v>
      </c>
      <c r="D189" s="120"/>
      <c r="E189" s="3"/>
    </row>
    <row r="190" spans="1:10" hidden="1">
      <c r="A190" t="s">
        <v>430</v>
      </c>
      <c r="B190">
        <v>310100</v>
      </c>
      <c r="C190" t="s">
        <v>219</v>
      </c>
      <c r="D190" s="120" t="s">
        <v>683</v>
      </c>
      <c r="E190" s="3" t="s">
        <v>35</v>
      </c>
    </row>
    <row r="191" spans="1:10" hidden="1">
      <c r="B191">
        <v>310300</v>
      </c>
      <c r="C191" t="s">
        <v>221</v>
      </c>
      <c r="D191" s="120"/>
      <c r="E191" s="3"/>
      <c r="J191" t="s">
        <v>220</v>
      </c>
    </row>
    <row r="192" spans="1:10" hidden="1">
      <c r="B192">
        <v>310500</v>
      </c>
      <c r="C192" t="s">
        <v>222</v>
      </c>
      <c r="D192" s="120"/>
      <c r="E192" s="3"/>
      <c r="J192" t="s">
        <v>220</v>
      </c>
    </row>
    <row r="193" spans="1:10" hidden="1">
      <c r="B193" s="152">
        <v>320100</v>
      </c>
      <c r="C193" s="152" t="s">
        <v>223</v>
      </c>
      <c r="D193" s="154" t="s">
        <v>841</v>
      </c>
      <c r="E193" s="156" t="s">
        <v>34</v>
      </c>
    </row>
    <row r="194" spans="1:10" hidden="1">
      <c r="B194" s="152">
        <v>320100</v>
      </c>
      <c r="C194" s="152" t="s">
        <v>223</v>
      </c>
      <c r="D194" s="154" t="s">
        <v>842</v>
      </c>
      <c r="E194" s="156" t="s">
        <v>844</v>
      </c>
    </row>
    <row r="195" spans="1:10" hidden="1">
      <c r="B195">
        <v>330100</v>
      </c>
      <c r="C195" t="s">
        <v>224</v>
      </c>
      <c r="D195" s="120"/>
      <c r="E195" s="3"/>
      <c r="J195" t="s">
        <v>220</v>
      </c>
    </row>
    <row r="196" spans="1:10" hidden="1">
      <c r="B196">
        <v>340100</v>
      </c>
      <c r="C196" t="s">
        <v>225</v>
      </c>
      <c r="D196" s="120" t="s">
        <v>684</v>
      </c>
      <c r="E196" s="3" t="s">
        <v>225</v>
      </c>
    </row>
    <row r="197" spans="1:10" hidden="1">
      <c r="A197" t="s">
        <v>430</v>
      </c>
      <c r="B197">
        <v>340300</v>
      </c>
      <c r="C197" t="s">
        <v>226</v>
      </c>
      <c r="D197" s="120"/>
      <c r="E197" s="3"/>
      <c r="J197" t="s">
        <v>220</v>
      </c>
    </row>
    <row r="198" spans="1:10" hidden="1">
      <c r="B198">
        <v>350100</v>
      </c>
      <c r="C198" t="s">
        <v>227</v>
      </c>
      <c r="D198" s="120"/>
      <c r="E198" s="3"/>
      <c r="J198" t="s">
        <v>220</v>
      </c>
    </row>
    <row r="199" spans="1:10" hidden="1">
      <c r="B199">
        <v>380100</v>
      </c>
      <c r="C199" t="s">
        <v>228</v>
      </c>
      <c r="D199" s="120"/>
      <c r="E199" s="3"/>
      <c r="J199" t="s">
        <v>220</v>
      </c>
    </row>
    <row r="200" spans="1:10" hidden="1">
      <c r="A200" t="s">
        <v>430</v>
      </c>
      <c r="B200">
        <v>510010</v>
      </c>
      <c r="C200" t="s">
        <v>229</v>
      </c>
      <c r="D200" s="120"/>
      <c r="E200" s="3"/>
      <c r="J200" t="s">
        <v>220</v>
      </c>
    </row>
    <row r="201" spans="1:10" hidden="1">
      <c r="A201" t="s">
        <v>843</v>
      </c>
      <c r="B201">
        <v>510012</v>
      </c>
      <c r="C201" t="s">
        <v>230</v>
      </c>
      <c r="D201" s="120"/>
      <c r="E201" s="3"/>
      <c r="J201" t="s">
        <v>220</v>
      </c>
    </row>
    <row r="202" spans="1:10" hidden="1">
      <c r="B202">
        <v>510020</v>
      </c>
      <c r="C202" t="s">
        <v>231</v>
      </c>
      <c r="D202" s="120" t="s">
        <v>508</v>
      </c>
      <c r="E202" s="3" t="s">
        <v>506</v>
      </c>
      <c r="G202" s="3"/>
      <c r="H202" s="3"/>
    </row>
    <row r="203" spans="1:10" hidden="1">
      <c r="A203" t="s">
        <v>430</v>
      </c>
      <c r="B203">
        <v>510060</v>
      </c>
      <c r="C203" t="s">
        <v>234</v>
      </c>
      <c r="D203" s="120" t="s">
        <v>507</v>
      </c>
      <c r="E203" s="3" t="s">
        <v>505</v>
      </c>
    </row>
    <row r="204" spans="1:10" hidden="1">
      <c r="D204" s="120" t="s">
        <v>685</v>
      </c>
      <c r="E204" s="3" t="s">
        <v>613</v>
      </c>
      <c r="F204" t="s">
        <v>616</v>
      </c>
    </row>
    <row r="205" spans="1:10" hidden="1">
      <c r="D205" s="120" t="s">
        <v>686</v>
      </c>
      <c r="E205" s="3" t="s">
        <v>614</v>
      </c>
      <c r="F205" t="s">
        <v>617</v>
      </c>
    </row>
    <row r="206" spans="1:10" hidden="1">
      <c r="D206" s="120" t="s">
        <v>687</v>
      </c>
      <c r="E206" s="3" t="s">
        <v>615</v>
      </c>
      <c r="F206" t="s">
        <v>617</v>
      </c>
    </row>
    <row r="207" spans="1:10" hidden="1">
      <c r="B207">
        <v>510021</v>
      </c>
      <c r="C207" t="s">
        <v>233</v>
      </c>
      <c r="D207" s="120"/>
      <c r="E207" s="3"/>
      <c r="G207" s="3"/>
      <c r="H207" s="3" t="s">
        <v>232</v>
      </c>
      <c r="J207" t="s">
        <v>220</v>
      </c>
    </row>
    <row r="208" spans="1:10" hidden="1">
      <c r="B208">
        <v>510070</v>
      </c>
      <c r="C208" t="s">
        <v>235</v>
      </c>
      <c r="D208" s="120"/>
      <c r="E208" s="3"/>
      <c r="J208" t="s">
        <v>220</v>
      </c>
    </row>
    <row r="209" spans="1:10" hidden="1">
      <c r="A209" t="s">
        <v>430</v>
      </c>
      <c r="B209">
        <v>520010</v>
      </c>
      <c r="C209" t="s">
        <v>236</v>
      </c>
      <c r="D209" s="120"/>
      <c r="E209" s="3"/>
      <c r="J209" t="s">
        <v>220</v>
      </c>
    </row>
    <row r="210" spans="1:10" hidden="1">
      <c r="B210">
        <v>520011</v>
      </c>
      <c r="C210" t="s">
        <v>237</v>
      </c>
      <c r="D210" s="120"/>
      <c r="E210" s="3"/>
      <c r="J210" t="s">
        <v>220</v>
      </c>
    </row>
    <row r="211" spans="1:10" hidden="1">
      <c r="B211">
        <v>520013</v>
      </c>
      <c r="C211" t="s">
        <v>238</v>
      </c>
      <c r="D211" s="120"/>
      <c r="E211" s="3"/>
      <c r="J211" t="s">
        <v>220</v>
      </c>
    </row>
    <row r="212" spans="1:10" hidden="1">
      <c r="B212">
        <v>520020</v>
      </c>
      <c r="C212" t="s">
        <v>239</v>
      </c>
      <c r="D212" s="120"/>
      <c r="E212" s="3"/>
      <c r="J212" t="s">
        <v>220</v>
      </c>
    </row>
    <row r="213" spans="1:10" hidden="1">
      <c r="B213">
        <v>520050</v>
      </c>
      <c r="C213" t="s">
        <v>240</v>
      </c>
      <c r="D213" s="120"/>
      <c r="E213" s="3"/>
      <c r="J213" t="s">
        <v>220</v>
      </c>
    </row>
    <row r="214" spans="1:10" hidden="1">
      <c r="B214">
        <v>520060</v>
      </c>
      <c r="C214" t="s">
        <v>241</v>
      </c>
      <c r="D214" s="120"/>
      <c r="E214" s="3"/>
      <c r="J214" t="s">
        <v>220</v>
      </c>
    </row>
    <row r="215" spans="1:10" hidden="1">
      <c r="B215">
        <v>520080</v>
      </c>
      <c r="C215" t="s">
        <v>242</v>
      </c>
      <c r="D215" s="120"/>
      <c r="E215" s="3"/>
      <c r="J215" t="s">
        <v>220</v>
      </c>
    </row>
    <row r="216" spans="1:10" hidden="1">
      <c r="B216">
        <v>540200</v>
      </c>
      <c r="C216" t="s">
        <v>243</v>
      </c>
      <c r="D216" s="120"/>
      <c r="E216" s="3"/>
      <c r="J216" t="s">
        <v>220</v>
      </c>
    </row>
    <row r="217" spans="1:10" hidden="1">
      <c r="B217">
        <v>540201</v>
      </c>
      <c r="C217" t="s">
        <v>244</v>
      </c>
      <c r="D217" s="120"/>
      <c r="E217" s="3"/>
      <c r="J217" t="s">
        <v>220</v>
      </c>
    </row>
    <row r="218" spans="1:10" hidden="1">
      <c r="B218">
        <v>550300</v>
      </c>
      <c r="C218" t="s">
        <v>245</v>
      </c>
      <c r="D218" s="120"/>
      <c r="E218" s="3"/>
      <c r="J218" t="s">
        <v>220</v>
      </c>
    </row>
    <row r="219" spans="1:10" hidden="1">
      <c r="B219" s="174">
        <v>570500</v>
      </c>
      <c r="C219" s="174" t="s">
        <v>246</v>
      </c>
      <c r="D219" s="172" t="s">
        <v>885</v>
      </c>
      <c r="E219" s="173" t="s">
        <v>886</v>
      </c>
      <c r="J219" t="s">
        <v>220</v>
      </c>
    </row>
    <row r="220" spans="1:10" hidden="1">
      <c r="B220">
        <v>570560</v>
      </c>
      <c r="C220" t="s">
        <v>247</v>
      </c>
      <c r="D220" s="120"/>
      <c r="E220" s="3"/>
      <c r="J220" t="s">
        <v>220</v>
      </c>
    </row>
    <row r="221" spans="1:10" hidden="1">
      <c r="B221">
        <v>570570</v>
      </c>
      <c r="C221" t="s">
        <v>248</v>
      </c>
      <c r="D221" s="120"/>
      <c r="E221" s="3"/>
      <c r="J221" t="s">
        <v>220</v>
      </c>
    </row>
    <row r="222" spans="1:10" s="152" customFormat="1" hidden="1">
      <c r="B222" s="152">
        <v>570580</v>
      </c>
      <c r="C222" s="152" t="s">
        <v>249</v>
      </c>
      <c r="D222" s="154" t="s">
        <v>888</v>
      </c>
      <c r="E222" s="156" t="s">
        <v>889</v>
      </c>
      <c r="J222" s="152" t="s">
        <v>220</v>
      </c>
    </row>
    <row r="223" spans="1:10" hidden="1">
      <c r="B223">
        <v>570690</v>
      </c>
      <c r="C223" t="s">
        <v>250</v>
      </c>
      <c r="D223" s="120"/>
      <c r="E223" s="3"/>
      <c r="J223" t="s">
        <v>220</v>
      </c>
    </row>
    <row r="224" spans="1:10" hidden="1">
      <c r="B224">
        <v>570700</v>
      </c>
      <c r="C224" t="s">
        <v>251</v>
      </c>
      <c r="D224" s="120"/>
      <c r="E224" s="3"/>
      <c r="J224" t="s">
        <v>220</v>
      </c>
    </row>
    <row r="225" spans="2:10" hidden="1">
      <c r="B225">
        <v>580600</v>
      </c>
      <c r="C225" t="s">
        <v>252</v>
      </c>
      <c r="D225" s="120"/>
      <c r="E225" s="3"/>
      <c r="J225" t="s">
        <v>220</v>
      </c>
    </row>
    <row r="226" spans="2:10" hidden="1">
      <c r="B226">
        <v>580660</v>
      </c>
      <c r="C226" t="s">
        <v>253</v>
      </c>
      <c r="D226" s="120"/>
      <c r="E226" s="3"/>
      <c r="J226" t="s">
        <v>220</v>
      </c>
    </row>
    <row r="227" spans="2:10" hidden="1">
      <c r="B227">
        <v>580661</v>
      </c>
      <c r="C227" t="s">
        <v>254</v>
      </c>
      <c r="D227" s="120"/>
      <c r="E227" s="3"/>
      <c r="J227" t="s">
        <v>220</v>
      </c>
    </row>
    <row r="228" spans="2:10" hidden="1">
      <c r="B228">
        <v>580662</v>
      </c>
      <c r="C228" t="s">
        <v>255</v>
      </c>
      <c r="D228" s="120"/>
      <c r="E228" s="3"/>
      <c r="J228" t="s">
        <v>220</v>
      </c>
    </row>
    <row r="229" spans="2:10" hidden="1">
      <c r="B229">
        <v>580668</v>
      </c>
      <c r="C229" t="s">
        <v>256</v>
      </c>
      <c r="D229" s="120"/>
      <c r="E229" s="3"/>
      <c r="J229" t="s">
        <v>220</v>
      </c>
    </row>
    <row r="230" spans="2:10" hidden="1">
      <c r="B230">
        <v>580670</v>
      </c>
      <c r="C230" t="s">
        <v>257</v>
      </c>
      <c r="D230" s="120"/>
      <c r="E230" s="3"/>
      <c r="J230" t="s">
        <v>220</v>
      </c>
    </row>
    <row r="231" spans="2:10" hidden="1">
      <c r="B231">
        <v>580674</v>
      </c>
      <c r="C231" t="s">
        <v>258</v>
      </c>
      <c r="D231" s="120"/>
      <c r="E231" s="3"/>
      <c r="J231" t="s">
        <v>220</v>
      </c>
    </row>
    <row r="232" spans="2:10" hidden="1">
      <c r="B232">
        <v>580676</v>
      </c>
      <c r="C232" t="s">
        <v>259</v>
      </c>
      <c r="D232" s="120"/>
      <c r="E232" s="3"/>
      <c r="J232" t="s">
        <v>220</v>
      </c>
    </row>
    <row r="233" spans="2:10" hidden="1">
      <c r="B233">
        <v>580678</v>
      </c>
      <c r="C233" t="s">
        <v>260</v>
      </c>
      <c r="D233" s="120"/>
      <c r="E233" s="3"/>
      <c r="J233" t="s">
        <v>220</v>
      </c>
    </row>
    <row r="234" spans="2:10" hidden="1">
      <c r="B234">
        <v>580680</v>
      </c>
      <c r="C234" t="s">
        <v>261</v>
      </c>
      <c r="D234" s="120"/>
      <c r="E234" s="3"/>
      <c r="J234" t="s">
        <v>220</v>
      </c>
    </row>
    <row r="235" spans="2:10" hidden="1">
      <c r="B235">
        <v>580681</v>
      </c>
      <c r="C235" t="s">
        <v>262</v>
      </c>
      <c r="D235" s="120"/>
      <c r="E235" s="3"/>
      <c r="J235" t="s">
        <v>220</v>
      </c>
    </row>
    <row r="236" spans="2:10" hidden="1">
      <c r="B236">
        <v>580682</v>
      </c>
      <c r="C236" t="s">
        <v>263</v>
      </c>
      <c r="D236" s="120"/>
      <c r="E236" s="3"/>
      <c r="J236" t="s">
        <v>220</v>
      </c>
    </row>
    <row r="237" spans="2:10" hidden="1">
      <c r="B237">
        <v>580690</v>
      </c>
      <c r="C237" t="s">
        <v>264</v>
      </c>
      <c r="D237" s="120"/>
      <c r="E237" s="3"/>
      <c r="J237" t="s">
        <v>220</v>
      </c>
    </row>
    <row r="238" spans="2:10" hidden="1">
      <c r="B238">
        <v>580696</v>
      </c>
      <c r="C238" t="s">
        <v>265</v>
      </c>
      <c r="D238" s="120"/>
      <c r="E238" s="3"/>
      <c r="J238" t="s">
        <v>220</v>
      </c>
    </row>
    <row r="239" spans="2:10" hidden="1">
      <c r="B239">
        <v>580700</v>
      </c>
      <c r="C239" t="s">
        <v>266</v>
      </c>
      <c r="D239" s="120"/>
      <c r="E239" s="3"/>
      <c r="J239" t="s">
        <v>220</v>
      </c>
    </row>
    <row r="240" spans="2:10" hidden="1">
      <c r="B240">
        <v>580702</v>
      </c>
      <c r="C240" t="s">
        <v>267</v>
      </c>
      <c r="D240" s="120"/>
      <c r="E240" s="3"/>
      <c r="J240" t="s">
        <v>220</v>
      </c>
    </row>
    <row r="241" spans="1:10" hidden="1">
      <c r="B241">
        <v>580704</v>
      </c>
      <c r="C241" t="s">
        <v>268</v>
      </c>
      <c r="D241" s="120"/>
      <c r="E241" s="3"/>
      <c r="J241" t="s">
        <v>220</v>
      </c>
    </row>
    <row r="242" spans="1:10" hidden="1">
      <c r="B242">
        <v>580706</v>
      </c>
      <c r="C242" t="s">
        <v>269</v>
      </c>
      <c r="D242" s="120"/>
      <c r="E242" s="3"/>
      <c r="J242" t="s">
        <v>220</v>
      </c>
    </row>
    <row r="243" spans="1:10" hidden="1">
      <c r="B243">
        <v>580708</v>
      </c>
      <c r="C243" t="s">
        <v>270</v>
      </c>
      <c r="D243" s="120"/>
      <c r="E243" s="3"/>
      <c r="J243" t="s">
        <v>220</v>
      </c>
    </row>
    <row r="244" spans="1:10" hidden="1">
      <c r="B244">
        <v>580710</v>
      </c>
      <c r="C244" t="s">
        <v>271</v>
      </c>
      <c r="D244" s="120"/>
      <c r="E244" s="3"/>
      <c r="J244" t="s">
        <v>220</v>
      </c>
    </row>
    <row r="245" spans="1:10" hidden="1">
      <c r="B245">
        <v>510060</v>
      </c>
      <c r="C245" t="s">
        <v>234</v>
      </c>
      <c r="D245" s="120"/>
      <c r="E245" s="3"/>
    </row>
    <row r="246" spans="1:10" hidden="1">
      <c r="B246">
        <v>610000</v>
      </c>
      <c r="C246" t="s">
        <v>272</v>
      </c>
      <c r="D246" s="120" t="s">
        <v>688</v>
      </c>
      <c r="E246" s="3" t="s">
        <v>33</v>
      </c>
    </row>
    <row r="247" spans="1:10" hidden="1">
      <c r="B247">
        <v>610002</v>
      </c>
      <c r="C247" t="s">
        <v>273</v>
      </c>
      <c r="D247" s="120"/>
      <c r="E247" s="3"/>
      <c r="J247" t="s">
        <v>220</v>
      </c>
    </row>
    <row r="248" spans="1:10" hidden="1">
      <c r="B248">
        <v>610010</v>
      </c>
      <c r="C248" t="s">
        <v>274</v>
      </c>
      <c r="D248" s="120"/>
      <c r="E248" s="3"/>
      <c r="J248" t="s">
        <v>220</v>
      </c>
    </row>
    <row r="249" spans="1:10" hidden="1">
      <c r="B249">
        <v>610025</v>
      </c>
      <c r="C249" t="s">
        <v>275</v>
      </c>
      <c r="D249" s="120"/>
      <c r="E249" s="3"/>
      <c r="J249" t="s">
        <v>220</v>
      </c>
    </row>
    <row r="250" spans="1:10" hidden="1">
      <c r="B250">
        <v>620000</v>
      </c>
      <c r="C250" t="s">
        <v>276</v>
      </c>
      <c r="D250" s="120"/>
      <c r="E250" s="3"/>
      <c r="J250" t="s">
        <v>220</v>
      </c>
    </row>
    <row r="251" spans="1:10" hidden="1">
      <c r="B251">
        <v>650012</v>
      </c>
      <c r="C251" t="s">
        <v>277</v>
      </c>
      <c r="D251" s="120"/>
      <c r="E251" s="3"/>
      <c r="J251" t="s">
        <v>220</v>
      </c>
    </row>
    <row r="252" spans="1:10" hidden="1">
      <c r="B252">
        <v>650030</v>
      </c>
      <c r="C252" t="s">
        <v>278</v>
      </c>
      <c r="D252" s="120"/>
      <c r="E252" s="3"/>
      <c r="J252" t="s">
        <v>279</v>
      </c>
    </row>
    <row r="253" spans="1:10" hidden="1">
      <c r="A253" t="s">
        <v>430</v>
      </c>
      <c r="B253">
        <v>650031</v>
      </c>
      <c r="C253" t="s">
        <v>280</v>
      </c>
      <c r="D253" s="120"/>
      <c r="E253" s="3"/>
      <c r="J253" t="s">
        <v>279</v>
      </c>
    </row>
    <row r="254" spans="1:10" hidden="1">
      <c r="B254">
        <v>650040</v>
      </c>
      <c r="C254" t="s">
        <v>281</v>
      </c>
      <c r="D254" s="120"/>
      <c r="E254" s="3"/>
      <c r="J254" t="s">
        <v>279</v>
      </c>
    </row>
    <row r="255" spans="1:10" hidden="1">
      <c r="B255">
        <v>650060</v>
      </c>
      <c r="C255" t="s">
        <v>282</v>
      </c>
      <c r="D255" s="120"/>
      <c r="E255" s="3"/>
      <c r="J255" t="s">
        <v>279</v>
      </c>
    </row>
    <row r="256" spans="1:10" hidden="1">
      <c r="B256">
        <v>670030</v>
      </c>
      <c r="C256" t="s">
        <v>283</v>
      </c>
      <c r="D256" s="120"/>
      <c r="E256" s="3"/>
      <c r="J256" t="s">
        <v>279</v>
      </c>
    </row>
    <row r="257" spans="1:10" hidden="1">
      <c r="B257">
        <v>680030</v>
      </c>
      <c r="C257" t="s">
        <v>284</v>
      </c>
      <c r="D257" s="120"/>
      <c r="E257" s="3"/>
      <c r="J257" t="s">
        <v>279</v>
      </c>
    </row>
    <row r="258" spans="1:10" hidden="1">
      <c r="B258">
        <v>690011</v>
      </c>
      <c r="C258" t="s">
        <v>285</v>
      </c>
      <c r="D258" s="120"/>
      <c r="E258" s="3"/>
      <c r="J258" t="s">
        <v>279</v>
      </c>
    </row>
    <row r="259" spans="1:10" hidden="1">
      <c r="B259">
        <v>690012</v>
      </c>
      <c r="C259" t="s">
        <v>286</v>
      </c>
      <c r="D259" s="120"/>
      <c r="E259" s="3"/>
      <c r="J259" t="s">
        <v>279</v>
      </c>
    </row>
    <row r="260" spans="1:10" hidden="1">
      <c r="B260">
        <v>690013</v>
      </c>
      <c r="C260" t="s">
        <v>287</v>
      </c>
      <c r="D260" s="120"/>
      <c r="E260" s="3"/>
      <c r="J260" t="s">
        <v>279</v>
      </c>
    </row>
    <row r="261" spans="1:10" hidden="1">
      <c r="B261">
        <v>701004</v>
      </c>
      <c r="C261" t="s">
        <v>288</v>
      </c>
      <c r="D261" s="120" t="s">
        <v>689</v>
      </c>
      <c r="E261" s="3" t="s">
        <v>288</v>
      </c>
    </row>
    <row r="262" spans="1:10" hidden="1">
      <c r="B262">
        <v>701004</v>
      </c>
      <c r="C262" t="s">
        <v>288</v>
      </c>
      <c r="D262" s="120" t="s">
        <v>690</v>
      </c>
      <c r="E262" s="58" t="s">
        <v>598</v>
      </c>
    </row>
    <row r="263" spans="1:10" hidden="1">
      <c r="B263">
        <v>701004</v>
      </c>
      <c r="C263" t="s">
        <v>288</v>
      </c>
      <c r="D263" s="120" t="s">
        <v>767</v>
      </c>
      <c r="E263" s="58" t="s">
        <v>769</v>
      </c>
    </row>
    <row r="264" spans="1:10" s="195" customFormat="1" hidden="1">
      <c r="B264" s="195">
        <v>701028</v>
      </c>
      <c r="C264" s="195" t="s">
        <v>922</v>
      </c>
      <c r="D264" s="197" t="s">
        <v>883</v>
      </c>
      <c r="E264" s="202" t="s">
        <v>880</v>
      </c>
      <c r="J264"/>
    </row>
    <row r="265" spans="1:10" hidden="1">
      <c r="B265">
        <v>701004</v>
      </c>
      <c r="C265" t="s">
        <v>288</v>
      </c>
      <c r="D265" s="120" t="s">
        <v>768</v>
      </c>
      <c r="E265" s="58" t="s">
        <v>770</v>
      </c>
    </row>
    <row r="266" spans="1:10" hidden="1">
      <c r="B266">
        <v>701004</v>
      </c>
      <c r="C266" t="s">
        <v>288</v>
      </c>
      <c r="D266" s="120" t="s">
        <v>882</v>
      </c>
      <c r="E266" s="58" t="s">
        <v>881</v>
      </c>
    </row>
    <row r="267" spans="1:10" hidden="1">
      <c r="B267">
        <v>701008</v>
      </c>
      <c r="C267" t="s">
        <v>289</v>
      </c>
      <c r="D267" s="120"/>
      <c r="E267" s="3"/>
      <c r="J267" t="s">
        <v>279</v>
      </c>
    </row>
    <row r="268" spans="1:10" hidden="1">
      <c r="B268">
        <v>701011</v>
      </c>
      <c r="C268" t="s">
        <v>290</v>
      </c>
      <c r="D268" s="121" t="s">
        <v>693</v>
      </c>
      <c r="E268" s="7" t="s">
        <v>32</v>
      </c>
    </row>
    <row r="269" spans="1:10" hidden="1">
      <c r="B269">
        <v>701011</v>
      </c>
      <c r="C269" t="s">
        <v>290</v>
      </c>
      <c r="D269" s="120" t="s">
        <v>694</v>
      </c>
      <c r="E269" s="2" t="s">
        <v>588</v>
      </c>
    </row>
    <row r="270" spans="1:10" hidden="1">
      <c r="B270" s="193">
        <v>701026</v>
      </c>
      <c r="C270" s="193" t="s">
        <v>920</v>
      </c>
      <c r="D270" s="194" t="s">
        <v>695</v>
      </c>
      <c r="E270" s="194" t="s">
        <v>538</v>
      </c>
    </row>
    <row r="271" spans="1:10" s="195" customFormat="1" hidden="1">
      <c r="B271" s="196">
        <v>701013</v>
      </c>
      <c r="C271" s="195" t="s">
        <v>291</v>
      </c>
      <c r="D271" s="197" t="s">
        <v>696</v>
      </c>
      <c r="E271" s="198" t="s">
        <v>21</v>
      </c>
      <c r="J271"/>
    </row>
    <row r="272" spans="1:10" hidden="1">
      <c r="A272" t="s">
        <v>430</v>
      </c>
      <c r="B272">
        <v>701013</v>
      </c>
      <c r="C272" t="s">
        <v>291</v>
      </c>
      <c r="D272" s="120" t="s">
        <v>697</v>
      </c>
      <c r="E272" s="58" t="s">
        <v>599</v>
      </c>
    </row>
    <row r="273" spans="1:10" s="195" customFormat="1" hidden="1">
      <c r="B273" s="196">
        <v>701013</v>
      </c>
      <c r="C273" s="195" t="s">
        <v>291</v>
      </c>
      <c r="J273"/>
    </row>
    <row r="274" spans="1:10" hidden="1">
      <c r="B274">
        <v>701016</v>
      </c>
      <c r="C274" t="s">
        <v>292</v>
      </c>
      <c r="D274" s="120"/>
      <c r="E274" s="3"/>
      <c r="J274" t="s">
        <v>279</v>
      </c>
    </row>
    <row r="275" spans="1:10" hidden="1">
      <c r="A275" t="s">
        <v>430</v>
      </c>
      <c r="B275">
        <v>701017</v>
      </c>
      <c r="C275" t="s">
        <v>293</v>
      </c>
      <c r="D275" s="120"/>
      <c r="E275" s="3"/>
      <c r="J275" t="s">
        <v>279</v>
      </c>
    </row>
    <row r="276" spans="1:10" hidden="1">
      <c r="B276">
        <v>701018</v>
      </c>
      <c r="C276" t="s">
        <v>294</v>
      </c>
      <c r="D276" s="120" t="s">
        <v>698</v>
      </c>
      <c r="E276" s="3" t="s">
        <v>294</v>
      </c>
    </row>
    <row r="277" spans="1:10" hidden="1">
      <c r="B277">
        <v>701021</v>
      </c>
      <c r="C277" t="s">
        <v>295</v>
      </c>
      <c r="D277" s="120"/>
      <c r="E277" s="3"/>
      <c r="J277" t="s">
        <v>279</v>
      </c>
    </row>
    <row r="278" spans="1:10" hidden="1">
      <c r="A278" t="s">
        <v>430</v>
      </c>
      <c r="B278">
        <v>701022</v>
      </c>
      <c r="C278" t="s">
        <v>296</v>
      </c>
      <c r="D278" s="120"/>
      <c r="E278" s="3"/>
      <c r="J278" t="s">
        <v>279</v>
      </c>
    </row>
    <row r="279" spans="1:10" hidden="1">
      <c r="B279">
        <v>701023</v>
      </c>
      <c r="C279" t="s">
        <v>297</v>
      </c>
      <c r="D279" s="120"/>
      <c r="E279" s="3"/>
      <c r="J279" t="s">
        <v>279</v>
      </c>
    </row>
    <row r="280" spans="1:10" hidden="1">
      <c r="B280">
        <v>701024</v>
      </c>
      <c r="C280" t="s">
        <v>298</v>
      </c>
      <c r="D280" s="120"/>
      <c r="E280" s="3"/>
      <c r="J280" t="s">
        <v>279</v>
      </c>
    </row>
    <row r="281" spans="1:10" s="195" customFormat="1" hidden="1">
      <c r="B281" s="196">
        <v>701025</v>
      </c>
      <c r="C281" s="195" t="s">
        <v>299</v>
      </c>
      <c r="D281" s="197" t="s">
        <v>699</v>
      </c>
      <c r="E281" s="198" t="s">
        <v>29</v>
      </c>
      <c r="J281"/>
    </row>
    <row r="282" spans="1:10" hidden="1">
      <c r="B282">
        <v>701025</v>
      </c>
      <c r="C282" t="s">
        <v>299</v>
      </c>
      <c r="D282" s="120" t="s">
        <v>700</v>
      </c>
      <c r="E282" s="58" t="s">
        <v>597</v>
      </c>
    </row>
    <row r="283" spans="1:10" s="195" customFormat="1" hidden="1">
      <c r="B283" s="196">
        <v>701025</v>
      </c>
      <c r="C283" s="195" t="s">
        <v>299</v>
      </c>
      <c r="D283" s="201" t="s">
        <v>691</v>
      </c>
      <c r="E283" s="196" t="s">
        <v>31</v>
      </c>
      <c r="F283" s="195" t="s">
        <v>434</v>
      </c>
      <c r="J283"/>
    </row>
    <row r="284" spans="1:10" hidden="1">
      <c r="B284">
        <v>701025</v>
      </c>
      <c r="C284" t="s">
        <v>299</v>
      </c>
      <c r="D284" s="167" t="s">
        <v>692</v>
      </c>
      <c r="E284" s="167" t="s">
        <v>600</v>
      </c>
    </row>
    <row r="285" spans="1:10" s="195" customFormat="1" hidden="1">
      <c r="B285" s="196">
        <v>701009</v>
      </c>
      <c r="C285" s="195" t="s">
        <v>921</v>
      </c>
      <c r="D285" s="197" t="s">
        <v>701</v>
      </c>
      <c r="E285" s="198" t="s">
        <v>22</v>
      </c>
      <c r="F285" s="195" t="s">
        <v>436</v>
      </c>
      <c r="J285"/>
    </row>
    <row r="286" spans="1:10" hidden="1">
      <c r="B286">
        <v>701028</v>
      </c>
      <c r="C286" t="s">
        <v>435</v>
      </c>
      <c r="D286" s="120" t="s">
        <v>702</v>
      </c>
      <c r="E286" s="58" t="s">
        <v>601</v>
      </c>
    </row>
    <row r="287" spans="1:10" hidden="1">
      <c r="B287">
        <v>701030</v>
      </c>
      <c r="C287" t="s">
        <v>300</v>
      </c>
      <c r="D287" s="120"/>
      <c r="E287" s="3"/>
      <c r="J287" t="s">
        <v>279</v>
      </c>
    </row>
    <row r="288" spans="1:10" hidden="1">
      <c r="A288" t="s">
        <v>430</v>
      </c>
      <c r="B288">
        <v>701031</v>
      </c>
      <c r="C288" t="s">
        <v>301</v>
      </c>
      <c r="D288" s="120"/>
      <c r="E288" s="3"/>
      <c r="J288" t="s">
        <v>279</v>
      </c>
    </row>
    <row r="289" spans="1:10" hidden="1">
      <c r="B289">
        <v>701033</v>
      </c>
      <c r="C289" t="s">
        <v>302</v>
      </c>
      <c r="D289" s="120"/>
      <c r="E289" s="3"/>
      <c r="J289" t="s">
        <v>279</v>
      </c>
    </row>
    <row r="290" spans="1:10" hidden="1">
      <c r="B290">
        <v>701035</v>
      </c>
      <c r="C290" t="s">
        <v>303</v>
      </c>
      <c r="D290" s="120"/>
      <c r="E290" s="3"/>
      <c r="J290" t="s">
        <v>279</v>
      </c>
    </row>
    <row r="291" spans="1:10" hidden="1">
      <c r="B291">
        <v>701037</v>
      </c>
      <c r="C291" t="s">
        <v>304</v>
      </c>
      <c r="D291" s="120"/>
      <c r="E291" s="3"/>
      <c r="J291" t="s">
        <v>279</v>
      </c>
    </row>
    <row r="292" spans="1:10" hidden="1">
      <c r="A292" t="s">
        <v>430</v>
      </c>
      <c r="B292">
        <v>701039</v>
      </c>
      <c r="C292" t="s">
        <v>305</v>
      </c>
      <c r="D292" s="120"/>
      <c r="E292" s="3"/>
      <c r="J292" t="s">
        <v>279</v>
      </c>
    </row>
    <row r="293" spans="1:10" hidden="1">
      <c r="B293">
        <v>702051</v>
      </c>
      <c r="C293" t="s">
        <v>306</v>
      </c>
      <c r="D293" s="120" t="s">
        <v>703</v>
      </c>
      <c r="E293" s="3" t="s">
        <v>26</v>
      </c>
    </row>
    <row r="294" spans="1:10" hidden="1">
      <c r="B294" s="161">
        <v>702052</v>
      </c>
      <c r="C294" s="161" t="s">
        <v>307</v>
      </c>
      <c r="D294" s="185" t="s">
        <v>766</v>
      </c>
      <c r="E294" s="186" t="s">
        <v>25</v>
      </c>
    </row>
    <row r="295" spans="1:10" hidden="1">
      <c r="B295" s="161">
        <v>702052</v>
      </c>
      <c r="C295" s="161" t="s">
        <v>307</v>
      </c>
      <c r="D295" s="185" t="s">
        <v>978</v>
      </c>
      <c r="E295" s="186" t="s">
        <v>980</v>
      </c>
    </row>
    <row r="296" spans="1:10" hidden="1">
      <c r="B296" s="161">
        <v>702052</v>
      </c>
      <c r="C296" s="161" t="s">
        <v>307</v>
      </c>
      <c r="D296" s="185" t="s">
        <v>979</v>
      </c>
      <c r="E296" s="186" t="s">
        <v>981</v>
      </c>
    </row>
    <row r="297" spans="1:10" hidden="1">
      <c r="B297" s="152">
        <v>702051</v>
      </c>
      <c r="C297" s="152" t="s">
        <v>306</v>
      </c>
      <c r="D297" s="154" t="s">
        <v>704</v>
      </c>
      <c r="E297" s="155" t="s">
        <v>605</v>
      </c>
    </row>
    <row r="298" spans="1:10" hidden="1">
      <c r="B298">
        <v>702051</v>
      </c>
      <c r="D298" s="120"/>
      <c r="E298" s="3" t="s">
        <v>23</v>
      </c>
    </row>
    <row r="299" spans="1:10" hidden="1">
      <c r="B299">
        <v>702052</v>
      </c>
      <c r="C299" t="s">
        <v>307</v>
      </c>
      <c r="D299" s="120"/>
      <c r="E299" s="3"/>
    </row>
    <row r="300" spans="1:10" hidden="1">
      <c r="B300">
        <v>702052</v>
      </c>
      <c r="C300" t="s">
        <v>307</v>
      </c>
      <c r="D300" s="120" t="s">
        <v>705</v>
      </c>
      <c r="E300" s="58" t="s">
        <v>606</v>
      </c>
    </row>
    <row r="301" spans="1:10" hidden="1">
      <c r="B301">
        <v>702053</v>
      </c>
      <c r="C301" t="s">
        <v>308</v>
      </c>
      <c r="D301" s="120"/>
      <c r="E301" s="3"/>
      <c r="J301" t="s">
        <v>279</v>
      </c>
    </row>
    <row r="302" spans="1:10" hidden="1">
      <c r="A302" t="s">
        <v>430</v>
      </c>
      <c r="B302">
        <v>702055</v>
      </c>
      <c r="C302" t="s">
        <v>309</v>
      </c>
      <c r="D302" s="120"/>
      <c r="E302" s="3"/>
      <c r="J302" t="s">
        <v>279</v>
      </c>
    </row>
    <row r="303" spans="1:10" hidden="1">
      <c r="B303">
        <v>702059</v>
      </c>
      <c r="C303" t="s">
        <v>310</v>
      </c>
      <c r="D303" s="121" t="s">
        <v>706</v>
      </c>
      <c r="E303" s="7" t="s">
        <v>30</v>
      </c>
    </row>
    <row r="304" spans="1:10" hidden="1">
      <c r="B304">
        <v>702059</v>
      </c>
      <c r="C304" t="s">
        <v>310</v>
      </c>
      <c r="D304" s="120" t="s">
        <v>707</v>
      </c>
      <c r="E304" s="58" t="s">
        <v>604</v>
      </c>
    </row>
    <row r="305" spans="1:10" hidden="1">
      <c r="A305" t="s">
        <v>430</v>
      </c>
      <c r="B305">
        <v>703071</v>
      </c>
      <c r="C305" t="s">
        <v>311</v>
      </c>
      <c r="D305" s="120"/>
      <c r="E305" s="3"/>
      <c r="J305" t="s">
        <v>279</v>
      </c>
    </row>
    <row r="306" spans="1:10" hidden="1">
      <c r="A306" t="s">
        <v>430</v>
      </c>
      <c r="B306">
        <v>703072</v>
      </c>
      <c r="C306" t="s">
        <v>312</v>
      </c>
      <c r="D306" s="120"/>
      <c r="E306" s="3"/>
      <c r="J306" t="s">
        <v>279</v>
      </c>
    </row>
    <row r="307" spans="1:10" hidden="1">
      <c r="B307">
        <v>703073</v>
      </c>
      <c r="C307" t="s">
        <v>313</v>
      </c>
      <c r="D307" s="120"/>
      <c r="E307" s="3"/>
      <c r="J307" t="s">
        <v>279</v>
      </c>
    </row>
    <row r="308" spans="1:10" hidden="1">
      <c r="B308">
        <v>703076</v>
      </c>
      <c r="C308" t="s">
        <v>314</v>
      </c>
      <c r="D308" s="120"/>
      <c r="E308" s="3"/>
      <c r="J308" t="s">
        <v>279</v>
      </c>
    </row>
    <row r="309" spans="1:10" hidden="1">
      <c r="B309">
        <v>703077</v>
      </c>
      <c r="C309" t="s">
        <v>315</v>
      </c>
      <c r="D309" s="120"/>
      <c r="E309" s="3"/>
      <c r="J309" t="s">
        <v>279</v>
      </c>
    </row>
    <row r="310" spans="1:10" hidden="1">
      <c r="A310" t="s">
        <v>430</v>
      </c>
      <c r="B310">
        <v>704081</v>
      </c>
      <c r="C310" t="s">
        <v>316</v>
      </c>
      <c r="D310" s="120"/>
      <c r="E310" s="3"/>
      <c r="J310" t="s">
        <v>279</v>
      </c>
    </row>
    <row r="311" spans="1:10" hidden="1">
      <c r="B311">
        <v>704082</v>
      </c>
      <c r="C311" t="s">
        <v>525</v>
      </c>
      <c r="D311" s="120"/>
      <c r="E311" s="3"/>
    </row>
    <row r="312" spans="1:10" hidden="1">
      <c r="B312">
        <v>704083</v>
      </c>
      <c r="C312" t="s">
        <v>317</v>
      </c>
      <c r="D312" s="121" t="s">
        <v>708</v>
      </c>
      <c r="E312" s="7" t="s">
        <v>28</v>
      </c>
      <c r="F312" t="s">
        <v>437</v>
      </c>
    </row>
    <row r="313" spans="1:10" hidden="1">
      <c r="B313">
        <v>704083</v>
      </c>
      <c r="C313" t="s">
        <v>317</v>
      </c>
      <c r="D313" s="120" t="s">
        <v>709</v>
      </c>
      <c r="E313" s="58" t="s">
        <v>602</v>
      </c>
    </row>
    <row r="314" spans="1:10" hidden="1">
      <c r="B314">
        <v>704084</v>
      </c>
      <c r="C314" t="s">
        <v>610</v>
      </c>
      <c r="D314" s="120" t="s">
        <v>771</v>
      </c>
      <c r="E314" s="2" t="s">
        <v>596</v>
      </c>
    </row>
    <row r="315" spans="1:10" hidden="1">
      <c r="B315">
        <v>704085</v>
      </c>
      <c r="C315" t="s">
        <v>318</v>
      </c>
      <c r="D315" s="120"/>
      <c r="E315" s="3"/>
      <c r="J315" t="s">
        <v>279</v>
      </c>
    </row>
    <row r="316" spans="1:10" hidden="1">
      <c r="B316">
        <v>704086</v>
      </c>
      <c r="C316" t="s">
        <v>438</v>
      </c>
      <c r="D316" s="121" t="s">
        <v>763</v>
      </c>
      <c r="E316" s="7" t="s">
        <v>27</v>
      </c>
      <c r="F316" t="s">
        <v>439</v>
      </c>
    </row>
    <row r="317" spans="1:10" hidden="1">
      <c r="B317">
        <v>704086</v>
      </c>
      <c r="C317" t="s">
        <v>438</v>
      </c>
      <c r="D317" s="120" t="s">
        <v>764</v>
      </c>
      <c r="E317" s="58" t="s">
        <v>603</v>
      </c>
    </row>
    <row r="318" spans="1:10" s="195" customFormat="1" hidden="1">
      <c r="B318" s="196">
        <v>706111</v>
      </c>
      <c r="C318" s="195" t="s">
        <v>20</v>
      </c>
      <c r="D318" s="197" t="s">
        <v>710</v>
      </c>
      <c r="E318" s="198" t="s">
        <v>20</v>
      </c>
      <c r="J318"/>
    </row>
    <row r="319" spans="1:10" hidden="1">
      <c r="A319" t="s">
        <v>430</v>
      </c>
      <c r="B319">
        <v>706111</v>
      </c>
      <c r="C319" t="s">
        <v>20</v>
      </c>
      <c r="D319" s="120" t="s">
        <v>711</v>
      </c>
      <c r="E319" s="2" t="s">
        <v>590</v>
      </c>
    </row>
    <row r="320" spans="1:10" hidden="1">
      <c r="B320">
        <v>706111</v>
      </c>
      <c r="C320" t="s">
        <v>20</v>
      </c>
      <c r="D320" s="33" t="s">
        <v>712</v>
      </c>
      <c r="E320" s="2" t="s">
        <v>485</v>
      </c>
    </row>
    <row r="321" spans="1:10" s="216" customFormat="1" hidden="1">
      <c r="B321" s="217">
        <v>706112</v>
      </c>
      <c r="C321" s="216" t="s">
        <v>20</v>
      </c>
      <c r="D321" s="218" t="s">
        <v>738</v>
      </c>
      <c r="E321" s="219" t="s">
        <v>487</v>
      </c>
      <c r="J321" s="213"/>
    </row>
    <row r="322" spans="1:10" s="216" customFormat="1" hidden="1">
      <c r="B322" s="216">
        <v>706112</v>
      </c>
      <c r="C322" s="216" t="s">
        <v>319</v>
      </c>
      <c r="D322" s="218" t="s">
        <v>713</v>
      </c>
      <c r="E322" s="219" t="s">
        <v>19</v>
      </c>
      <c r="J322" s="213"/>
    </row>
    <row r="323" spans="1:10" hidden="1">
      <c r="A323" t="s">
        <v>430</v>
      </c>
      <c r="B323">
        <v>706113</v>
      </c>
      <c r="C323" t="s">
        <v>320</v>
      </c>
      <c r="D323" s="167" t="s">
        <v>714</v>
      </c>
      <c r="E323" s="167" t="s">
        <v>715</v>
      </c>
      <c r="J323" t="s">
        <v>279</v>
      </c>
    </row>
    <row r="324" spans="1:10" hidden="1">
      <c r="B324">
        <v>706113</v>
      </c>
      <c r="C324" t="s">
        <v>320</v>
      </c>
      <c r="D324" s="120" t="s">
        <v>716</v>
      </c>
      <c r="E324" s="2" t="s">
        <v>595</v>
      </c>
    </row>
    <row r="325" spans="1:10" hidden="1">
      <c r="A325" t="s">
        <v>430</v>
      </c>
      <c r="B325">
        <v>706113</v>
      </c>
      <c r="C325" t="s">
        <v>320</v>
      </c>
      <c r="D325" s="120" t="s">
        <v>884</v>
      </c>
      <c r="E325" s="2" t="s">
        <v>529</v>
      </c>
    </row>
    <row r="326" spans="1:10" hidden="1">
      <c r="B326">
        <v>706113</v>
      </c>
      <c r="C326" t="s">
        <v>320</v>
      </c>
      <c r="D326" s="120" t="s">
        <v>717</v>
      </c>
      <c r="E326" s="2" t="s">
        <v>611</v>
      </c>
    </row>
    <row r="327" spans="1:10" hidden="1">
      <c r="B327">
        <v>706113</v>
      </c>
      <c r="C327" t="s">
        <v>320</v>
      </c>
    </row>
    <row r="328" spans="1:10" hidden="1">
      <c r="B328">
        <v>706115</v>
      </c>
      <c r="C328" t="s">
        <v>321</v>
      </c>
      <c r="D328" s="120"/>
      <c r="E328" s="3"/>
      <c r="J328" t="s">
        <v>279</v>
      </c>
    </row>
    <row r="329" spans="1:10" hidden="1">
      <c r="A329" t="s">
        <v>430</v>
      </c>
      <c r="B329">
        <v>706116</v>
      </c>
      <c r="C329" t="s">
        <v>322</v>
      </c>
      <c r="D329" s="120"/>
      <c r="E329" s="3"/>
    </row>
    <row r="330" spans="1:10" s="195" customFormat="1" hidden="1">
      <c r="B330" s="196">
        <v>707121</v>
      </c>
      <c r="C330" s="195" t="s">
        <v>323</v>
      </c>
      <c r="D330" s="197" t="s">
        <v>719</v>
      </c>
      <c r="E330" s="198" t="s">
        <v>18</v>
      </c>
      <c r="J330"/>
    </row>
    <row r="331" spans="1:10" s="195" customFormat="1" hidden="1">
      <c r="B331" s="196">
        <v>707121</v>
      </c>
      <c r="D331" s="197" t="s">
        <v>720</v>
      </c>
      <c r="E331" s="198" t="s">
        <v>17</v>
      </c>
      <c r="G331" s="198"/>
      <c r="H331" s="198"/>
      <c r="J331"/>
    </row>
    <row r="332" spans="1:10" hidden="1">
      <c r="B332">
        <v>707121</v>
      </c>
      <c r="D332" s="121" t="s">
        <v>721</v>
      </c>
      <c r="E332" s="7" t="s">
        <v>443</v>
      </c>
      <c r="G332" s="9"/>
      <c r="H332" s="9"/>
    </row>
    <row r="333" spans="1:10" hidden="1">
      <c r="B333">
        <v>707123</v>
      </c>
      <c r="C333" t="s">
        <v>324</v>
      </c>
      <c r="D333" s="33"/>
      <c r="E333" s="2" t="s">
        <v>620</v>
      </c>
    </row>
    <row r="334" spans="1:10" hidden="1">
      <c r="B334">
        <v>707125</v>
      </c>
      <c r="C334" t="s">
        <v>325</v>
      </c>
      <c r="D334" s="120"/>
      <c r="E334" s="3"/>
      <c r="J334" t="s">
        <v>279</v>
      </c>
    </row>
    <row r="335" spans="1:10" hidden="1">
      <c r="B335">
        <v>707126</v>
      </c>
      <c r="C335" t="s">
        <v>326</v>
      </c>
      <c r="D335" s="120"/>
      <c r="E335" s="3"/>
      <c r="J335" t="s">
        <v>279</v>
      </c>
    </row>
    <row r="336" spans="1:10" hidden="1">
      <c r="A336" t="s">
        <v>430</v>
      </c>
      <c r="B336">
        <v>708130</v>
      </c>
      <c r="C336" t="s">
        <v>327</v>
      </c>
      <c r="D336" s="121"/>
      <c r="E336" s="7" t="s">
        <v>9</v>
      </c>
    </row>
    <row r="337" spans="1:10" hidden="1">
      <c r="A337" t="s">
        <v>440</v>
      </c>
      <c r="B337">
        <v>708136</v>
      </c>
      <c r="C337" t="s">
        <v>328</v>
      </c>
      <c r="D337" s="120"/>
      <c r="E337" s="3"/>
      <c r="J337" t="s">
        <v>279</v>
      </c>
    </row>
    <row r="338" spans="1:10" s="195" customFormat="1" hidden="1">
      <c r="A338" s="195" t="s">
        <v>430</v>
      </c>
      <c r="B338" s="196">
        <v>708130</v>
      </c>
      <c r="C338" s="195" t="s">
        <v>327</v>
      </c>
      <c r="D338" s="199" t="s">
        <v>722</v>
      </c>
      <c r="E338" s="200" t="s">
        <v>535</v>
      </c>
      <c r="J338"/>
    </row>
    <row r="339" spans="1:10" s="195" customFormat="1" hidden="1">
      <c r="B339" s="196">
        <v>708130</v>
      </c>
      <c r="C339" s="195" t="s">
        <v>327</v>
      </c>
      <c r="D339" s="199" t="s">
        <v>765</v>
      </c>
      <c r="E339" s="200" t="s">
        <v>541</v>
      </c>
      <c r="J339"/>
    </row>
    <row r="340" spans="1:10" hidden="1">
      <c r="B340">
        <v>708130</v>
      </c>
      <c r="C340" t="s">
        <v>327</v>
      </c>
      <c r="D340" s="120" t="s">
        <v>723</v>
      </c>
      <c r="E340" s="2" t="s">
        <v>724</v>
      </c>
    </row>
    <row r="341" spans="1:10" s="195" customFormat="1" hidden="1">
      <c r="B341" s="196">
        <v>709205</v>
      </c>
      <c r="C341" s="195" t="s">
        <v>329</v>
      </c>
      <c r="D341" s="197" t="s">
        <v>725</v>
      </c>
      <c r="E341" s="198" t="s">
        <v>6</v>
      </c>
      <c r="J341"/>
    </row>
    <row r="342" spans="1:10" hidden="1">
      <c r="B342">
        <v>709205</v>
      </c>
      <c r="C342" t="s">
        <v>329</v>
      </c>
      <c r="D342" s="120"/>
      <c r="E342" s="3"/>
    </row>
    <row r="343" spans="1:10" hidden="1">
      <c r="A343" t="s">
        <v>430</v>
      </c>
      <c r="B343">
        <v>709216</v>
      </c>
      <c r="C343" t="s">
        <v>330</v>
      </c>
      <c r="D343" s="120"/>
      <c r="E343" s="3"/>
      <c r="J343" t="s">
        <v>279</v>
      </c>
    </row>
    <row r="344" spans="1:10" hidden="1">
      <c r="B344" s="64">
        <v>709222</v>
      </c>
      <c r="C344" s="64" t="s">
        <v>331</v>
      </c>
      <c r="D344" s="170" t="s">
        <v>857</v>
      </c>
      <c r="E344" s="170" t="s">
        <v>331</v>
      </c>
      <c r="J344" t="s">
        <v>279</v>
      </c>
    </row>
    <row r="345" spans="1:10" hidden="1">
      <c r="B345">
        <v>709218</v>
      </c>
      <c r="C345" t="s">
        <v>332</v>
      </c>
      <c r="D345" s="120"/>
      <c r="E345" s="3"/>
      <c r="J345" t="s">
        <v>279</v>
      </c>
    </row>
    <row r="346" spans="1:10" hidden="1">
      <c r="B346">
        <v>709215</v>
      </c>
      <c r="C346" t="s">
        <v>333</v>
      </c>
      <c r="D346" s="120"/>
      <c r="E346" s="3"/>
    </row>
    <row r="347" spans="1:10" hidden="1">
      <c r="B347">
        <v>709219</v>
      </c>
      <c r="C347" t="s">
        <v>334</v>
      </c>
      <c r="D347" s="120"/>
      <c r="E347" s="3" t="s">
        <v>334</v>
      </c>
      <c r="J347" t="s">
        <v>279</v>
      </c>
    </row>
    <row r="348" spans="1:10" hidden="1">
      <c r="A348" t="s">
        <v>430</v>
      </c>
      <c r="B348" s="166"/>
      <c r="C348" s="166"/>
      <c r="D348" s="120" t="s">
        <v>728</v>
      </c>
      <c r="E348" s="3" t="s">
        <v>11</v>
      </c>
      <c r="F348" t="s">
        <v>872</v>
      </c>
    </row>
    <row r="349" spans="1:10" hidden="1">
      <c r="B349" s="166"/>
      <c r="C349" s="166"/>
      <c r="D349" s="120" t="s">
        <v>873</v>
      </c>
      <c r="E349" s="3" t="s">
        <v>629</v>
      </c>
      <c r="F349" t="s">
        <v>872</v>
      </c>
    </row>
    <row r="350" spans="1:10" hidden="1">
      <c r="B350" s="166"/>
      <c r="C350" s="166"/>
      <c r="D350" s="120" t="s">
        <v>874</v>
      </c>
      <c r="E350" s="3" t="s">
        <v>630</v>
      </c>
      <c r="F350" t="s">
        <v>872</v>
      </c>
    </row>
    <row r="351" spans="1:10" hidden="1">
      <c r="B351">
        <v>709224</v>
      </c>
      <c r="C351" t="s">
        <v>608</v>
      </c>
      <c r="D351" s="169" t="s">
        <v>726</v>
      </c>
      <c r="E351" s="168" t="s">
        <v>727</v>
      </c>
    </row>
    <row r="352" spans="1:10" s="195" customFormat="1" hidden="1">
      <c r="B352" s="196">
        <v>709225</v>
      </c>
      <c r="C352" s="195" t="s">
        <v>869</v>
      </c>
      <c r="D352" s="196" t="s">
        <v>871</v>
      </c>
      <c r="E352" s="196" t="s">
        <v>869</v>
      </c>
      <c r="J352"/>
    </row>
    <row r="353" spans="1:10" hidden="1">
      <c r="A353" t="s">
        <v>430</v>
      </c>
      <c r="B353">
        <v>709226</v>
      </c>
      <c r="C353" t="s">
        <v>493</v>
      </c>
      <c r="D353" s="120" t="s">
        <v>729</v>
      </c>
      <c r="E353" s="3" t="s">
        <v>483</v>
      </c>
    </row>
    <row r="354" spans="1:10" s="216" customFormat="1" hidden="1">
      <c r="B354" s="216">
        <v>709226</v>
      </c>
      <c r="C354" s="216" t="s">
        <v>493</v>
      </c>
      <c r="D354" s="217" t="s">
        <v>730</v>
      </c>
      <c r="E354" s="217" t="s">
        <v>534</v>
      </c>
      <c r="J354" s="213"/>
    </row>
    <row r="355" spans="1:10" hidden="1">
      <c r="B355">
        <v>709226</v>
      </c>
      <c r="C355" t="s">
        <v>493</v>
      </c>
      <c r="D355"/>
    </row>
    <row r="356" spans="1:10" hidden="1">
      <c r="B356">
        <v>709226</v>
      </c>
      <c r="C356" t="s">
        <v>493</v>
      </c>
      <c r="D356" s="169" t="s">
        <v>860</v>
      </c>
      <c r="E356" s="168" t="s">
        <v>536</v>
      </c>
    </row>
    <row r="357" spans="1:10" hidden="1">
      <c r="B357">
        <v>709226</v>
      </c>
      <c r="C357" t="s">
        <v>493</v>
      </c>
      <c r="D357" s="122" t="s">
        <v>731</v>
      </c>
      <c r="E357" s="52" t="s">
        <v>537</v>
      </c>
    </row>
    <row r="358" spans="1:10" hidden="1">
      <c r="B358">
        <v>710303</v>
      </c>
      <c r="C358" t="s">
        <v>335</v>
      </c>
      <c r="D358" s="169" t="s">
        <v>732</v>
      </c>
      <c r="E358" s="168" t="s">
        <v>13</v>
      </c>
    </row>
    <row r="359" spans="1:10" hidden="1">
      <c r="B359">
        <v>710305</v>
      </c>
      <c r="C359" t="s">
        <v>336</v>
      </c>
      <c r="D359" s="120"/>
      <c r="E359" s="3"/>
      <c r="J359" t="s">
        <v>279</v>
      </c>
    </row>
    <row r="360" spans="1:10" hidden="1">
      <c r="B360">
        <v>710307</v>
      </c>
      <c r="C360" t="s">
        <v>337</v>
      </c>
      <c r="D360" s="120"/>
      <c r="E360" s="3"/>
      <c r="J360" t="s">
        <v>279</v>
      </c>
    </row>
    <row r="361" spans="1:10" hidden="1">
      <c r="B361">
        <v>710308</v>
      </c>
      <c r="C361" t="s">
        <v>338</v>
      </c>
      <c r="D361" s="120"/>
      <c r="E361" s="3"/>
      <c r="J361" t="s">
        <v>279</v>
      </c>
    </row>
    <row r="362" spans="1:10" hidden="1">
      <c r="B362">
        <v>710310</v>
      </c>
      <c r="C362" t="s">
        <v>339</v>
      </c>
      <c r="D362" s="120"/>
      <c r="E362" s="3"/>
      <c r="J362" t="s">
        <v>279</v>
      </c>
    </row>
    <row r="363" spans="1:10" hidden="1">
      <c r="B363">
        <v>710313</v>
      </c>
      <c r="C363" t="s">
        <v>340</v>
      </c>
      <c r="D363" s="120"/>
      <c r="E363" s="3"/>
    </row>
    <row r="364" spans="1:10" hidden="1">
      <c r="B364" s="166">
        <v>710317</v>
      </c>
      <c r="C364" s="166" t="s">
        <v>868</v>
      </c>
      <c r="D364" s="169" t="s">
        <v>870</v>
      </c>
      <c r="E364" s="168" t="s">
        <v>868</v>
      </c>
    </row>
    <row r="365" spans="1:10" hidden="1">
      <c r="A365" t="s">
        <v>430</v>
      </c>
      <c r="B365">
        <v>711351</v>
      </c>
      <c r="C365" t="s">
        <v>341</v>
      </c>
      <c r="D365" s="120"/>
      <c r="E365" s="3" t="s">
        <v>461</v>
      </c>
    </row>
    <row r="366" spans="1:10" hidden="1">
      <c r="B366">
        <v>711352</v>
      </c>
      <c r="C366" t="s">
        <v>342</v>
      </c>
      <c r="D366" s="120"/>
      <c r="E366" s="3"/>
      <c r="J366" t="s">
        <v>279</v>
      </c>
    </row>
    <row r="367" spans="1:10" s="195" customFormat="1" hidden="1">
      <c r="B367" s="196">
        <v>711353</v>
      </c>
      <c r="C367" s="195" t="s">
        <v>343</v>
      </c>
      <c r="D367" s="197" t="s">
        <v>733</v>
      </c>
      <c r="E367" s="198" t="s">
        <v>447</v>
      </c>
      <c r="J367"/>
    </row>
    <row r="368" spans="1:10" s="195" customFormat="1" hidden="1">
      <c r="B368" s="195">
        <v>711353</v>
      </c>
      <c r="C368" s="195" t="s">
        <v>343</v>
      </c>
      <c r="J368" s="64"/>
    </row>
    <row r="369" spans="1:10" hidden="1">
      <c r="B369">
        <v>711354</v>
      </c>
      <c r="C369" t="s">
        <v>344</v>
      </c>
      <c r="D369" s="120"/>
      <c r="E369" s="3"/>
      <c r="F369" s="2"/>
      <c r="J369" t="s">
        <v>279</v>
      </c>
    </row>
    <row r="370" spans="1:10" s="216" customFormat="1" hidden="1">
      <c r="B370" s="216">
        <v>711355</v>
      </c>
      <c r="D370" s="220" t="s">
        <v>876</v>
      </c>
      <c r="E370" s="221" t="s">
        <v>734</v>
      </c>
      <c r="F370" s="222"/>
      <c r="J370" s="213"/>
    </row>
    <row r="371" spans="1:10" hidden="1">
      <c r="B371">
        <v>712361</v>
      </c>
      <c r="C371" t="s">
        <v>345</v>
      </c>
      <c r="D371" s="170" t="s">
        <v>861</v>
      </c>
      <c r="E371" s="170" t="s">
        <v>345</v>
      </c>
      <c r="J371" t="s">
        <v>279</v>
      </c>
    </row>
    <row r="372" spans="1:10" hidden="1">
      <c r="B372">
        <v>712362</v>
      </c>
      <c r="C372" t="s">
        <v>346</v>
      </c>
      <c r="D372" s="121" t="s">
        <v>735</v>
      </c>
      <c r="E372" s="7" t="s">
        <v>24</v>
      </c>
    </row>
    <row r="373" spans="1:10" s="216" customFormat="1" hidden="1">
      <c r="A373" s="216" t="s">
        <v>430</v>
      </c>
      <c r="B373" s="216">
        <v>714382</v>
      </c>
      <c r="C373" s="216" t="s">
        <v>866</v>
      </c>
      <c r="D373" s="217" t="s">
        <v>867</v>
      </c>
      <c r="E373" s="217" t="s">
        <v>866</v>
      </c>
      <c r="J373"/>
    </row>
    <row r="374" spans="1:10" s="64" customFormat="1" hidden="1">
      <c r="A374" s="64" t="s">
        <v>430</v>
      </c>
      <c r="B374" s="64">
        <v>715391</v>
      </c>
      <c r="C374" s="64" t="s">
        <v>347</v>
      </c>
      <c r="D374" s="170" t="s">
        <v>773</v>
      </c>
      <c r="E374" s="170" t="s">
        <v>10</v>
      </c>
      <c r="F374" t="s">
        <v>863</v>
      </c>
      <c r="J374"/>
    </row>
    <row r="375" spans="1:10" s="216" customFormat="1" hidden="1">
      <c r="A375" s="216" t="s">
        <v>430</v>
      </c>
      <c r="B375" s="216">
        <v>715392</v>
      </c>
      <c r="C375" s="216" t="s">
        <v>862</v>
      </c>
      <c r="D375" s="217" t="s">
        <v>739</v>
      </c>
      <c r="E375" s="217" t="s">
        <v>504</v>
      </c>
      <c r="J375"/>
    </row>
    <row r="376" spans="1:10" hidden="1">
      <c r="B376">
        <v>716112</v>
      </c>
      <c r="C376" t="s">
        <v>348</v>
      </c>
      <c r="D376" s="120"/>
      <c r="E376" s="3"/>
      <c r="J376" t="s">
        <v>279</v>
      </c>
    </row>
    <row r="377" spans="1:10" hidden="1">
      <c r="B377">
        <v>716421</v>
      </c>
      <c r="C377" t="s">
        <v>349</v>
      </c>
      <c r="D377" s="120"/>
      <c r="E377" s="3"/>
      <c r="J377" t="s">
        <v>279</v>
      </c>
    </row>
    <row r="378" spans="1:10" s="216" customFormat="1" hidden="1">
      <c r="A378" s="216" t="s">
        <v>430</v>
      </c>
      <c r="B378" s="216">
        <v>717602</v>
      </c>
      <c r="C378" s="216" t="s">
        <v>350</v>
      </c>
      <c r="D378" s="218" t="s">
        <v>736</v>
      </c>
      <c r="E378" s="219" t="s">
        <v>14</v>
      </c>
      <c r="J378" s="213"/>
    </row>
    <row r="379" spans="1:10" hidden="1">
      <c r="B379">
        <v>717603</v>
      </c>
      <c r="C379" t="s">
        <v>351</v>
      </c>
      <c r="J379" t="s">
        <v>279</v>
      </c>
    </row>
    <row r="380" spans="1:10" s="223" customFormat="1" hidden="1">
      <c r="A380" s="223" t="s">
        <v>430</v>
      </c>
      <c r="B380" s="223">
        <v>717604</v>
      </c>
      <c r="C380" s="223" t="s">
        <v>352</v>
      </c>
      <c r="D380" s="224" t="s">
        <v>737</v>
      </c>
      <c r="E380" s="225" t="s">
        <v>7</v>
      </c>
      <c r="J380" t="s">
        <v>279</v>
      </c>
    </row>
    <row r="381" spans="1:10" s="223" customFormat="1" hidden="1">
      <c r="A381" s="223" t="s">
        <v>430</v>
      </c>
      <c r="B381" s="223">
        <v>717604</v>
      </c>
      <c r="C381" s="223" t="s">
        <v>352</v>
      </c>
      <c r="D381" s="224" t="s">
        <v>976</v>
      </c>
      <c r="E381" s="225" t="s">
        <v>977</v>
      </c>
      <c r="J381" t="s">
        <v>279</v>
      </c>
    </row>
    <row r="382" spans="1:10" s="216" customFormat="1" hidden="1">
      <c r="B382" s="216">
        <v>720716</v>
      </c>
      <c r="D382" s="218" t="s">
        <v>968</v>
      </c>
      <c r="E382" s="219" t="s">
        <v>969</v>
      </c>
      <c r="J382" s="213"/>
    </row>
    <row r="383" spans="1:10" hidden="1">
      <c r="B383">
        <v>721751</v>
      </c>
      <c r="C383" s="61" t="s">
        <v>609</v>
      </c>
    </row>
    <row r="384" spans="1:10" hidden="1">
      <c r="B384">
        <v>721751</v>
      </c>
      <c r="C384" s="61" t="s">
        <v>609</v>
      </c>
      <c r="D384" s="120"/>
      <c r="E384" s="3"/>
    </row>
    <row r="385" spans="1:10" hidden="1">
      <c r="B385">
        <v>721752</v>
      </c>
      <c r="C385" t="s">
        <v>353</v>
      </c>
      <c r="D385" s="120" t="s">
        <v>875</v>
      </c>
      <c r="E385" s="3" t="s">
        <v>628</v>
      </c>
    </row>
    <row r="386" spans="1:10" hidden="1">
      <c r="B386">
        <v>730755</v>
      </c>
      <c r="C386" t="s">
        <v>354</v>
      </c>
      <c r="D386" s="120"/>
      <c r="E386" s="3"/>
      <c r="J386" t="s">
        <v>279</v>
      </c>
    </row>
    <row r="387" spans="1:10" hidden="1">
      <c r="A387" s="1" t="s">
        <v>430</v>
      </c>
      <c r="B387">
        <v>730763</v>
      </c>
      <c r="C387" t="s">
        <v>355</v>
      </c>
      <c r="D387" s="120"/>
      <c r="E387" s="3"/>
      <c r="J387" t="s">
        <v>279</v>
      </c>
    </row>
    <row r="388" spans="1:10" hidden="1">
      <c r="B388" s="152">
        <v>730764</v>
      </c>
      <c r="C388" s="152" t="s">
        <v>356</v>
      </c>
      <c r="F388" t="s">
        <v>441</v>
      </c>
      <c r="J388" t="s">
        <v>279</v>
      </c>
    </row>
    <row r="389" spans="1:10" s="195" customFormat="1" hidden="1">
      <c r="B389" s="196">
        <v>730765</v>
      </c>
      <c r="C389" s="195" t="s">
        <v>357</v>
      </c>
      <c r="D389" s="196" t="s">
        <v>859</v>
      </c>
      <c r="E389" s="196" t="s">
        <v>357</v>
      </c>
      <c r="J389"/>
    </row>
    <row r="390" spans="1:10" hidden="1">
      <c r="B390">
        <v>730765</v>
      </c>
      <c r="C390" t="s">
        <v>357</v>
      </c>
      <c r="D390" s="121" t="s">
        <v>839</v>
      </c>
      <c r="E390" s="7" t="s">
        <v>840</v>
      </c>
    </row>
    <row r="391" spans="1:10" hidden="1">
      <c r="B391">
        <v>730767</v>
      </c>
      <c r="C391" t="s">
        <v>358</v>
      </c>
      <c r="J391" t="s">
        <v>279</v>
      </c>
    </row>
    <row r="392" spans="1:10" hidden="1">
      <c r="A392" s="1" t="s">
        <v>430</v>
      </c>
      <c r="B392">
        <v>730771</v>
      </c>
      <c r="C392" t="s">
        <v>494</v>
      </c>
      <c r="D392" s="120"/>
      <c r="E392" s="3"/>
    </row>
    <row r="393" spans="1:10" hidden="1">
      <c r="B393">
        <v>730778</v>
      </c>
      <c r="C393" t="s">
        <v>359</v>
      </c>
      <c r="D393" s="120"/>
      <c r="E393" s="3"/>
      <c r="J393" t="s">
        <v>279</v>
      </c>
    </row>
    <row r="394" spans="1:10" hidden="1">
      <c r="B394">
        <v>730779</v>
      </c>
      <c r="C394" t="s">
        <v>360</v>
      </c>
      <c r="D394" s="120" t="s">
        <v>740</v>
      </c>
      <c r="E394" s="3" t="s">
        <v>15</v>
      </c>
      <c r="F394" t="s">
        <v>442</v>
      </c>
    </row>
    <row r="395" spans="1:10" hidden="1">
      <c r="B395">
        <v>730779</v>
      </c>
      <c r="C395" t="s">
        <v>360</v>
      </c>
      <c r="D395" s="120" t="s">
        <v>741</v>
      </c>
      <c r="E395" s="3" t="s">
        <v>592</v>
      </c>
    </row>
    <row r="396" spans="1:10" hidden="1">
      <c r="A396" s="152"/>
      <c r="B396">
        <v>730779</v>
      </c>
      <c r="C396" t="s">
        <v>360</v>
      </c>
      <c r="D396" s="120"/>
      <c r="E396" s="3"/>
    </row>
    <row r="397" spans="1:10" hidden="1">
      <c r="A397" t="s">
        <v>430</v>
      </c>
      <c r="B397">
        <v>730780</v>
      </c>
      <c r="C397" t="s">
        <v>858</v>
      </c>
      <c r="D397" s="120"/>
      <c r="E397" s="2"/>
    </row>
    <row r="398" spans="1:10" hidden="1">
      <c r="A398" t="s">
        <v>430</v>
      </c>
      <c r="B398">
        <v>730780</v>
      </c>
      <c r="C398" t="s">
        <v>858</v>
      </c>
      <c r="D398" s="167" t="s">
        <v>716</v>
      </c>
      <c r="E398" s="167" t="s">
        <v>595</v>
      </c>
    </row>
    <row r="399" spans="1:10" hidden="1">
      <c r="B399">
        <v>730780</v>
      </c>
      <c r="C399" t="s">
        <v>858</v>
      </c>
      <c r="D399" s="167" t="s">
        <v>717</v>
      </c>
      <c r="E399" s="167" t="s">
        <v>611</v>
      </c>
    </row>
    <row r="400" spans="1:10" s="216" customFormat="1" hidden="1">
      <c r="B400" s="216">
        <v>730780</v>
      </c>
      <c r="C400" s="216" t="s">
        <v>858</v>
      </c>
      <c r="D400" s="217" t="s">
        <v>718</v>
      </c>
      <c r="E400" s="217" t="s">
        <v>612</v>
      </c>
      <c r="J400" s="213"/>
    </row>
    <row r="401" spans="1:10" hidden="1">
      <c r="B401">
        <v>730781</v>
      </c>
      <c r="C401" t="s">
        <v>552</v>
      </c>
      <c r="D401" s="120"/>
      <c r="E401" s="3" t="s">
        <v>542</v>
      </c>
    </row>
    <row r="402" spans="1:10" hidden="1">
      <c r="A402" t="s">
        <v>430</v>
      </c>
      <c r="B402">
        <v>730783</v>
      </c>
      <c r="C402" t="s">
        <v>361</v>
      </c>
      <c r="D402" s="167" t="s">
        <v>864</v>
      </c>
      <c r="E402" s="167" t="s">
        <v>361</v>
      </c>
      <c r="J402" t="s">
        <v>279</v>
      </c>
    </row>
    <row r="403" spans="1:10" hidden="1">
      <c r="B403">
        <v>730786</v>
      </c>
      <c r="C403" t="s">
        <v>362</v>
      </c>
      <c r="D403" s="121" t="s">
        <v>772</v>
      </c>
      <c r="E403" s="7" t="s">
        <v>16</v>
      </c>
    </row>
    <row r="404" spans="1:10" hidden="1">
      <c r="B404">
        <v>730786</v>
      </c>
      <c r="C404" t="s">
        <v>362</v>
      </c>
      <c r="D404" s="33" t="s">
        <v>742</v>
      </c>
      <c r="E404" s="2" t="s">
        <v>497</v>
      </c>
    </row>
    <row r="405" spans="1:10" hidden="1">
      <c r="B405">
        <v>730787</v>
      </c>
      <c r="C405" t="s">
        <v>363</v>
      </c>
      <c r="D405" s="33" t="s">
        <v>743</v>
      </c>
      <c r="E405" s="2" t="s">
        <v>363</v>
      </c>
    </row>
    <row r="406" spans="1:10" hidden="1">
      <c r="B406">
        <v>730788</v>
      </c>
      <c r="C406" t="s">
        <v>364</v>
      </c>
      <c r="D406" s="170" t="s">
        <v>865</v>
      </c>
      <c r="E406" s="170" t="s">
        <v>364</v>
      </c>
      <c r="J406" t="s">
        <v>279</v>
      </c>
    </row>
    <row r="407" spans="1:10" s="195" customFormat="1" hidden="1">
      <c r="B407" s="196">
        <v>720716</v>
      </c>
      <c r="C407" s="195" t="s">
        <v>972</v>
      </c>
      <c r="D407" s="197" t="s">
        <v>890</v>
      </c>
      <c r="E407" s="198" t="s">
        <v>887</v>
      </c>
      <c r="J407" s="152" t="s">
        <v>279</v>
      </c>
    </row>
    <row r="408" spans="1:10" s="195" customFormat="1">
      <c r="A408" s="223"/>
      <c r="B408" s="238">
        <v>730789</v>
      </c>
      <c r="C408" s="223" t="s">
        <v>4</v>
      </c>
      <c r="D408" s="238" t="s">
        <v>991</v>
      </c>
      <c r="E408" s="238" t="s">
        <v>992</v>
      </c>
      <c r="J408" s="152" t="s">
        <v>279</v>
      </c>
    </row>
    <row r="409" spans="1:10" hidden="1">
      <c r="B409">
        <v>730790</v>
      </c>
      <c r="C409" t="s">
        <v>365</v>
      </c>
      <c r="D409" s="120"/>
      <c r="E409" s="3"/>
      <c r="J409" t="s">
        <v>279</v>
      </c>
    </row>
    <row r="410" spans="1:10" s="216" customFormat="1" hidden="1">
      <c r="B410" s="216">
        <v>730791</v>
      </c>
      <c r="C410" s="216" t="s">
        <v>366</v>
      </c>
      <c r="D410" s="218" t="s">
        <v>744</v>
      </c>
      <c r="E410" s="219" t="s">
        <v>488</v>
      </c>
      <c r="J410"/>
    </row>
    <row r="411" spans="1:10" hidden="1">
      <c r="B411">
        <v>730797</v>
      </c>
      <c r="C411" t="s">
        <v>367</v>
      </c>
      <c r="D411" s="120"/>
      <c r="E411" s="3"/>
      <c r="J411" t="s">
        <v>279</v>
      </c>
    </row>
    <row r="412" spans="1:10" hidden="1">
      <c r="A412" t="s">
        <v>430</v>
      </c>
      <c r="B412">
        <v>740801</v>
      </c>
      <c r="C412" t="s">
        <v>368</v>
      </c>
      <c r="D412" s="120"/>
      <c r="E412" s="3"/>
    </row>
    <row r="413" spans="1:10" hidden="1">
      <c r="B413">
        <v>740802</v>
      </c>
      <c r="C413" t="s">
        <v>369</v>
      </c>
      <c r="D413" s="120"/>
      <c r="E413" s="3"/>
      <c r="J413" t="s">
        <v>279</v>
      </c>
    </row>
    <row r="414" spans="1:10" hidden="1">
      <c r="A414" t="s">
        <v>430</v>
      </c>
      <c r="B414">
        <v>740808</v>
      </c>
      <c r="C414" t="s">
        <v>370</v>
      </c>
      <c r="D414" s="120"/>
      <c r="E414" s="3"/>
      <c r="J414" t="s">
        <v>279</v>
      </c>
    </row>
    <row r="415" spans="1:10" hidden="1">
      <c r="B415">
        <v>740810</v>
      </c>
      <c r="C415" t="s">
        <v>371</v>
      </c>
      <c r="D415" s="120"/>
      <c r="E415" s="3"/>
      <c r="J415" t="s">
        <v>279</v>
      </c>
    </row>
    <row r="416" spans="1:10" hidden="1">
      <c r="B416" s="152">
        <v>740814</v>
      </c>
      <c r="C416" s="152" t="s">
        <v>372</v>
      </c>
      <c r="D416" s="154" t="s">
        <v>745</v>
      </c>
      <c r="E416" s="156" t="s">
        <v>12</v>
      </c>
      <c r="J416" t="s">
        <v>279</v>
      </c>
    </row>
    <row r="417" spans="1:10" hidden="1">
      <c r="B417">
        <v>740816</v>
      </c>
      <c r="C417" t="s">
        <v>373</v>
      </c>
      <c r="D417" s="120"/>
      <c r="E417" s="3"/>
      <c r="J417" t="s">
        <v>279</v>
      </c>
    </row>
    <row r="418" spans="1:10" hidden="1">
      <c r="A418" t="s">
        <v>430</v>
      </c>
      <c r="B418" s="152">
        <v>740818</v>
      </c>
      <c r="C418" s="152" t="s">
        <v>374</v>
      </c>
      <c r="D418" s="154"/>
      <c r="E418" s="156" t="s">
        <v>12</v>
      </c>
      <c r="J418" t="s">
        <v>279</v>
      </c>
    </row>
    <row r="419" spans="1:10" hidden="1">
      <c r="B419">
        <v>740820</v>
      </c>
      <c r="C419" t="s">
        <v>375</v>
      </c>
      <c r="D419" s="120"/>
      <c r="E419" s="3"/>
      <c r="J419" t="s">
        <v>279</v>
      </c>
    </row>
    <row r="420" spans="1:10" hidden="1">
      <c r="A420" t="s">
        <v>430</v>
      </c>
      <c r="B420">
        <v>740822</v>
      </c>
      <c r="C420" t="s">
        <v>376</v>
      </c>
      <c r="D420" s="120"/>
      <c r="E420" s="3"/>
      <c r="J420" t="s">
        <v>279</v>
      </c>
    </row>
    <row r="421" spans="1:10" hidden="1">
      <c r="B421">
        <v>740830</v>
      </c>
      <c r="C421" t="s">
        <v>377</v>
      </c>
      <c r="D421" s="120"/>
      <c r="E421" s="3"/>
      <c r="J421" t="s">
        <v>279</v>
      </c>
    </row>
    <row r="422" spans="1:10" hidden="1">
      <c r="B422">
        <v>740836</v>
      </c>
      <c r="C422" t="s">
        <v>378</v>
      </c>
      <c r="D422" s="120"/>
      <c r="E422" s="3"/>
      <c r="J422" t="s">
        <v>279</v>
      </c>
    </row>
    <row r="423" spans="1:10" hidden="1">
      <c r="B423">
        <v>740838</v>
      </c>
      <c r="C423" t="s">
        <v>379</v>
      </c>
      <c r="D423" s="120"/>
      <c r="E423" s="3"/>
      <c r="J423" t="s">
        <v>279</v>
      </c>
    </row>
    <row r="424" spans="1:10" hidden="1">
      <c r="B424">
        <v>740840</v>
      </c>
      <c r="C424" t="s">
        <v>380</v>
      </c>
      <c r="D424" s="120"/>
      <c r="E424" s="3"/>
      <c r="J424" t="s">
        <v>279</v>
      </c>
    </row>
    <row r="425" spans="1:10" hidden="1">
      <c r="B425">
        <v>740842</v>
      </c>
      <c r="C425" t="s">
        <v>381</v>
      </c>
      <c r="D425" s="120"/>
      <c r="E425" s="3"/>
      <c r="J425" t="s">
        <v>279</v>
      </c>
    </row>
    <row r="426" spans="1:10" hidden="1">
      <c r="B426">
        <v>740844</v>
      </c>
      <c r="C426" t="s">
        <v>382</v>
      </c>
      <c r="D426" s="120"/>
      <c r="E426" s="3"/>
      <c r="J426" t="s">
        <v>279</v>
      </c>
    </row>
    <row r="427" spans="1:10" hidden="1">
      <c r="B427">
        <v>740846</v>
      </c>
      <c r="C427" t="s">
        <v>383</v>
      </c>
      <c r="D427" s="120"/>
      <c r="E427" s="3"/>
      <c r="J427" t="s">
        <v>279</v>
      </c>
    </row>
    <row r="428" spans="1:10" hidden="1">
      <c r="B428">
        <v>740850</v>
      </c>
      <c r="C428" t="s">
        <v>384</v>
      </c>
      <c r="D428" s="120"/>
      <c r="E428" s="3"/>
      <c r="J428" t="s">
        <v>279</v>
      </c>
    </row>
    <row r="429" spans="1:10" hidden="1">
      <c r="B429">
        <v>740851</v>
      </c>
      <c r="C429" t="s">
        <v>385</v>
      </c>
      <c r="D429" s="120"/>
      <c r="E429" s="3"/>
      <c r="J429" t="s">
        <v>279</v>
      </c>
    </row>
    <row r="430" spans="1:10" hidden="1">
      <c r="B430">
        <v>780100</v>
      </c>
      <c r="C430" t="s">
        <v>386</v>
      </c>
      <c r="D430" s="120"/>
      <c r="E430" s="3"/>
      <c r="J430" t="s">
        <v>279</v>
      </c>
    </row>
    <row r="431" spans="1:10" hidden="1">
      <c r="B431">
        <v>780200</v>
      </c>
      <c r="C431" t="s">
        <v>387</v>
      </c>
      <c r="D431" s="120"/>
      <c r="E431" s="3"/>
      <c r="J431" t="s">
        <v>279</v>
      </c>
    </row>
    <row r="432" spans="1:10" hidden="1">
      <c r="B432">
        <v>780300</v>
      </c>
      <c r="C432" t="s">
        <v>388</v>
      </c>
      <c r="D432" s="120"/>
      <c r="E432" s="3"/>
      <c r="J432" t="s">
        <v>279</v>
      </c>
    </row>
    <row r="433" spans="2:10" hidden="1">
      <c r="B433">
        <v>780301</v>
      </c>
      <c r="C433" t="s">
        <v>389</v>
      </c>
      <c r="D433" s="120"/>
      <c r="E433" s="3"/>
      <c r="J433" t="s">
        <v>279</v>
      </c>
    </row>
    <row r="434" spans="2:10" hidden="1">
      <c r="B434">
        <v>780302</v>
      </c>
      <c r="C434" t="s">
        <v>390</v>
      </c>
      <c r="D434" s="120"/>
      <c r="E434" s="3"/>
      <c r="J434" t="s">
        <v>279</v>
      </c>
    </row>
    <row r="435" spans="2:10" hidden="1">
      <c r="B435">
        <v>780308</v>
      </c>
      <c r="C435" t="s">
        <v>391</v>
      </c>
      <c r="D435" s="120"/>
      <c r="E435" s="3"/>
      <c r="J435" t="s">
        <v>279</v>
      </c>
    </row>
    <row r="436" spans="2:10" hidden="1">
      <c r="B436">
        <v>780310</v>
      </c>
      <c r="C436" t="s">
        <v>392</v>
      </c>
      <c r="D436" s="120"/>
      <c r="E436" s="3"/>
      <c r="J436" t="s">
        <v>279</v>
      </c>
    </row>
    <row r="437" spans="2:10" hidden="1">
      <c r="B437">
        <v>780314</v>
      </c>
      <c r="C437" t="s">
        <v>393</v>
      </c>
      <c r="D437" s="120"/>
      <c r="E437" s="3"/>
      <c r="J437" t="s">
        <v>279</v>
      </c>
    </row>
    <row r="438" spans="2:10" hidden="1">
      <c r="B438">
        <v>780316</v>
      </c>
      <c r="C438" t="s">
        <v>394</v>
      </c>
      <c r="D438" s="120"/>
      <c r="E438" s="3"/>
      <c r="J438" t="s">
        <v>279</v>
      </c>
    </row>
    <row r="439" spans="2:10" hidden="1">
      <c r="B439">
        <v>780318</v>
      </c>
      <c r="C439" t="s">
        <v>395</v>
      </c>
      <c r="D439" s="120"/>
      <c r="E439" s="3"/>
      <c r="J439" t="s">
        <v>279</v>
      </c>
    </row>
    <row r="440" spans="2:10" hidden="1">
      <c r="B440">
        <v>780320</v>
      </c>
      <c r="C440" t="s">
        <v>396</v>
      </c>
      <c r="D440" s="120"/>
      <c r="E440" s="3"/>
      <c r="J440" t="s">
        <v>279</v>
      </c>
    </row>
    <row r="441" spans="2:10" hidden="1">
      <c r="B441">
        <v>780322</v>
      </c>
      <c r="C441" t="s">
        <v>397</v>
      </c>
      <c r="D441" s="120"/>
      <c r="E441" s="3"/>
      <c r="J441" t="s">
        <v>279</v>
      </c>
    </row>
    <row r="442" spans="2:10" hidden="1">
      <c r="B442">
        <v>780330</v>
      </c>
      <c r="C442" t="s">
        <v>398</v>
      </c>
      <c r="D442" s="120"/>
      <c r="E442" s="3"/>
      <c r="J442" t="s">
        <v>279</v>
      </c>
    </row>
    <row r="443" spans="2:10" hidden="1">
      <c r="B443">
        <v>780336</v>
      </c>
      <c r="C443" t="s">
        <v>399</v>
      </c>
      <c r="D443" s="120"/>
      <c r="E443" s="3"/>
    </row>
    <row r="444" spans="2:10" hidden="1">
      <c r="B444">
        <v>780338</v>
      </c>
      <c r="C444" t="s">
        <v>400</v>
      </c>
      <c r="D444" s="120"/>
      <c r="E444" s="3"/>
    </row>
    <row r="445" spans="2:10" hidden="1">
      <c r="B445">
        <v>780340</v>
      </c>
      <c r="C445" t="s">
        <v>401</v>
      </c>
      <c r="D445" s="120"/>
      <c r="E445" s="3"/>
    </row>
    <row r="446" spans="2:10" hidden="1">
      <c r="B446">
        <v>780342</v>
      </c>
      <c r="C446" t="s">
        <v>402</v>
      </c>
      <c r="D446" s="120"/>
      <c r="E446" s="3"/>
    </row>
    <row r="447" spans="2:10" hidden="1">
      <c r="B447">
        <v>780344</v>
      </c>
      <c r="C447" t="s">
        <v>403</v>
      </c>
      <c r="D447" s="120"/>
      <c r="E447" s="3"/>
    </row>
    <row r="448" spans="2:10" hidden="1">
      <c r="B448">
        <v>780346</v>
      </c>
      <c r="C448" t="s">
        <v>404</v>
      </c>
      <c r="D448" s="120"/>
      <c r="E448" s="3"/>
    </row>
    <row r="449" spans="1:10" hidden="1">
      <c r="B449">
        <v>780350</v>
      </c>
      <c r="C449" t="s">
        <v>405</v>
      </c>
      <c r="D449" s="120"/>
      <c r="E449" s="3"/>
    </row>
    <row r="450" spans="1:10" hidden="1">
      <c r="B450">
        <v>780500</v>
      </c>
      <c r="C450" t="s">
        <v>406</v>
      </c>
      <c r="D450" s="120"/>
      <c r="E450" s="3"/>
    </row>
    <row r="451" spans="1:10" hidden="1">
      <c r="B451">
        <v>790100</v>
      </c>
      <c r="C451" t="s">
        <v>407</v>
      </c>
      <c r="D451" s="120"/>
      <c r="E451" s="3"/>
    </row>
    <row r="452" spans="1:10" hidden="1">
      <c r="B452">
        <v>810010</v>
      </c>
      <c r="C452" t="s">
        <v>408</v>
      </c>
      <c r="D452" s="120"/>
      <c r="E452" s="3"/>
    </row>
    <row r="453" spans="1:10" hidden="1">
      <c r="B453">
        <v>810015</v>
      </c>
      <c r="C453" t="s">
        <v>502</v>
      </c>
      <c r="D453" s="120" t="s">
        <v>746</v>
      </c>
      <c r="E453" s="3" t="s">
        <v>988</v>
      </c>
    </row>
    <row r="454" spans="1:10" hidden="1">
      <c r="B454">
        <v>810040</v>
      </c>
      <c r="C454" t="s">
        <v>409</v>
      </c>
      <c r="D454" s="120" t="s">
        <v>747</v>
      </c>
      <c r="E454" s="3" t="s">
        <v>8</v>
      </c>
    </row>
    <row r="455" spans="1:10" hidden="1">
      <c r="B455">
        <v>810050</v>
      </c>
      <c r="C455" t="s">
        <v>410</v>
      </c>
      <c r="D455" s="120"/>
      <c r="E455" s="3"/>
    </row>
    <row r="456" spans="1:10" hidden="1">
      <c r="B456">
        <v>810051</v>
      </c>
      <c r="C456" t="s">
        <v>411</v>
      </c>
      <c r="D456" s="120"/>
      <c r="E456" s="3"/>
    </row>
    <row r="457" spans="1:10" hidden="1">
      <c r="B457">
        <v>810052</v>
      </c>
      <c r="C457" t="s">
        <v>412</v>
      </c>
      <c r="D457" s="120"/>
      <c r="E457" s="3"/>
    </row>
    <row r="458" spans="1:10" s="64" customFormat="1" hidden="1">
      <c r="B458" s="64">
        <v>810060</v>
      </c>
      <c r="C458" s="64" t="s">
        <v>413</v>
      </c>
      <c r="D458" s="188"/>
      <c r="E458" s="189" t="s">
        <v>1</v>
      </c>
      <c r="J458"/>
    </row>
    <row r="459" spans="1:10" hidden="1">
      <c r="B459">
        <v>810080</v>
      </c>
      <c r="C459" t="s">
        <v>414</v>
      </c>
      <c r="D459" s="120" t="s">
        <v>749</v>
      </c>
      <c r="E459" s="3" t="s">
        <v>750</v>
      </c>
    </row>
    <row r="460" spans="1:10" hidden="1">
      <c r="A460" t="s">
        <v>430</v>
      </c>
      <c r="B460">
        <v>810080</v>
      </c>
      <c r="D460" s="120" t="s">
        <v>751</v>
      </c>
      <c r="E460" s="3" t="s">
        <v>752</v>
      </c>
    </row>
    <row r="461" spans="1:10" hidden="1">
      <c r="B461">
        <v>810080</v>
      </c>
      <c r="D461" s="120" t="s">
        <v>753</v>
      </c>
      <c r="E461" s="3" t="s">
        <v>0</v>
      </c>
    </row>
    <row r="462" spans="1:10" hidden="1">
      <c r="A462" t="s">
        <v>430</v>
      </c>
      <c r="B462">
        <v>810080</v>
      </c>
      <c r="D462" s="120" t="s">
        <v>754</v>
      </c>
      <c r="E462" s="3" t="s">
        <v>755</v>
      </c>
    </row>
    <row r="463" spans="1:10" hidden="1">
      <c r="B463">
        <v>810080</v>
      </c>
      <c r="D463" s="120" t="s">
        <v>756</v>
      </c>
      <c r="E463" s="3" t="s">
        <v>757</v>
      </c>
    </row>
    <row r="464" spans="1:10" hidden="1">
      <c r="B464">
        <v>810090</v>
      </c>
      <c r="C464" t="s">
        <v>415</v>
      </c>
      <c r="D464" s="120"/>
      <c r="E464" s="3"/>
    </row>
    <row r="465" spans="1:5" hidden="1">
      <c r="B465">
        <v>810091</v>
      </c>
      <c r="C465" t="s">
        <v>416</v>
      </c>
      <c r="D465" s="120"/>
      <c r="E465" s="3"/>
    </row>
    <row r="466" spans="1:5" hidden="1">
      <c r="A466" t="s">
        <v>430</v>
      </c>
      <c r="B466">
        <v>810099</v>
      </c>
      <c r="C466" t="s">
        <v>417</v>
      </c>
      <c r="D466" s="120" t="s">
        <v>758</v>
      </c>
      <c r="E466" s="3" t="s">
        <v>5</v>
      </c>
    </row>
    <row r="467" spans="1:5" hidden="1">
      <c r="A467" t="s">
        <v>430</v>
      </c>
      <c r="B467">
        <v>810099</v>
      </c>
      <c r="D467" s="120" t="s">
        <v>759</v>
      </c>
      <c r="E467" s="3" t="s">
        <v>418</v>
      </c>
    </row>
    <row r="468" spans="1:5" hidden="1">
      <c r="A468" t="s">
        <v>430</v>
      </c>
      <c r="B468">
        <v>810100</v>
      </c>
      <c r="C468" t="s">
        <v>419</v>
      </c>
      <c r="D468" s="120"/>
      <c r="E468" s="3"/>
    </row>
    <row r="469" spans="1:5" hidden="1">
      <c r="A469" t="s">
        <v>430</v>
      </c>
      <c r="B469">
        <v>820010</v>
      </c>
      <c r="C469" t="s">
        <v>420</v>
      </c>
      <c r="D469" s="120"/>
      <c r="E469" s="3" t="s">
        <v>421</v>
      </c>
    </row>
    <row r="470" spans="1:5" hidden="1">
      <c r="B470">
        <v>820010</v>
      </c>
      <c r="D470" s="120" t="s">
        <v>760</v>
      </c>
      <c r="E470" s="3" t="s">
        <v>464</v>
      </c>
    </row>
    <row r="471" spans="1:5" hidden="1">
      <c r="B471">
        <v>820010</v>
      </c>
      <c r="D471" s="120" t="s">
        <v>917</v>
      </c>
      <c r="E471" s="3" t="s">
        <v>918</v>
      </c>
    </row>
    <row r="472" spans="1:5" hidden="1">
      <c r="B472">
        <v>820010</v>
      </c>
      <c r="D472" s="120" t="s">
        <v>761</v>
      </c>
      <c r="E472" s="3" t="s">
        <v>762</v>
      </c>
    </row>
    <row r="473" spans="1:5" hidden="1">
      <c r="B473">
        <v>820050</v>
      </c>
      <c r="C473" t="s">
        <v>422</v>
      </c>
      <c r="D473" s="120"/>
      <c r="E473" s="3"/>
    </row>
    <row r="474" spans="1:5" hidden="1">
      <c r="B474">
        <v>820051</v>
      </c>
      <c r="C474" t="s">
        <v>423</v>
      </c>
      <c r="D474" s="120"/>
      <c r="E474" s="3"/>
    </row>
    <row r="475" spans="1:5" s="64" customFormat="1" hidden="1">
      <c r="A475" s="64" t="s">
        <v>430</v>
      </c>
      <c r="B475" s="64">
        <v>820060</v>
      </c>
      <c r="C475" s="64" t="s">
        <v>424</v>
      </c>
      <c r="D475" s="188" t="s">
        <v>748</v>
      </c>
      <c r="E475" s="189" t="s">
        <v>1</v>
      </c>
    </row>
    <row r="476" spans="1:5" hidden="1">
      <c r="A476" t="s">
        <v>430</v>
      </c>
      <c r="B476">
        <v>820080</v>
      </c>
      <c r="C476" t="s">
        <v>425</v>
      </c>
      <c r="D476" s="120"/>
      <c r="E476" s="3"/>
    </row>
    <row r="477" spans="1:5" hidden="1">
      <c r="B477">
        <v>820099</v>
      </c>
      <c r="C477" t="s">
        <v>426</v>
      </c>
      <c r="D477" s="120"/>
      <c r="E477" s="3"/>
    </row>
    <row r="478" spans="1:5" hidden="1">
      <c r="A478" t="s">
        <v>430</v>
      </c>
      <c r="B478">
        <v>850000</v>
      </c>
      <c r="C478" t="s">
        <v>427</v>
      </c>
      <c r="D478" s="120"/>
      <c r="E478" s="3"/>
    </row>
    <row r="479" spans="1:5" hidden="1">
      <c r="B479">
        <v>850003</v>
      </c>
      <c r="C479" t="s">
        <v>428</v>
      </c>
      <c r="D479" s="120"/>
      <c r="E479" s="3"/>
    </row>
    <row r="480" spans="1:5" hidden="1">
      <c r="D480"/>
    </row>
  </sheetData>
  <autoFilter ref="A2:E480" xr:uid="{265164D0-3F8D-4935-8843-273046759AC1}">
    <filterColumn colId="4">
      <filters>
        <filter val="GASTOS FUERA DE PLANIFICACION"/>
      </filters>
    </filterColumn>
  </autoFilter>
  <phoneticPr fontId="42" type="noConversion"/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1366-4F55-49A4-83CC-990F4C0D6E32}">
  <dimension ref="A2:Y137"/>
  <sheetViews>
    <sheetView tabSelected="1" topLeftCell="D97" zoomScale="80" zoomScaleNormal="80" workbookViewId="0">
      <selection activeCell="F88" sqref="F88"/>
    </sheetView>
  </sheetViews>
  <sheetFormatPr baseColWidth="10" defaultColWidth="26.296875" defaultRowHeight="13.45"/>
  <cols>
    <col min="1" max="1" width="0" style="126" hidden="1" customWidth="1"/>
    <col min="2" max="3" width="39.59765625" style="126" hidden="1" customWidth="1"/>
    <col min="4" max="4" width="15.09765625" style="126" customWidth="1"/>
    <col min="5" max="5" width="38.3984375" style="126" customWidth="1"/>
    <col min="6" max="7" width="16.59765625" style="127" customWidth="1"/>
    <col min="8" max="13" width="15.296875" style="127" customWidth="1"/>
    <col min="14" max="14" width="4.09765625" style="127" customWidth="1"/>
    <col min="15" max="15" width="11.09765625" style="127" customWidth="1"/>
    <col min="16" max="16" width="16.5" style="127" customWidth="1"/>
    <col min="17" max="17" width="14" style="126" customWidth="1"/>
    <col min="18" max="23" width="26.296875" style="126" customWidth="1"/>
    <col min="24" max="16384" width="26.296875" style="126"/>
  </cols>
  <sheetData>
    <row r="2" spans="1:25">
      <c r="D2" s="241" t="s">
        <v>834</v>
      </c>
      <c r="E2" s="241"/>
      <c r="F2" s="241"/>
      <c r="G2" s="241"/>
      <c r="H2" s="241"/>
      <c r="I2" s="241"/>
      <c r="J2" s="241"/>
      <c r="K2" s="241"/>
      <c r="L2" s="241"/>
      <c r="M2" s="241"/>
    </row>
    <row r="3" spans="1:25">
      <c r="D3" s="241" t="s">
        <v>993</v>
      </c>
      <c r="E3" s="241"/>
      <c r="F3" s="241"/>
      <c r="G3" s="241"/>
      <c r="H3" s="241"/>
      <c r="I3" s="241"/>
      <c r="J3" s="241"/>
      <c r="K3" s="241"/>
      <c r="L3" s="241"/>
      <c r="M3" s="241"/>
    </row>
    <row r="4" spans="1:25"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25">
      <c r="A5" s="126" t="s">
        <v>923</v>
      </c>
      <c r="B5" s="126" t="s">
        <v>924</v>
      </c>
      <c r="C5" s="126" t="s">
        <v>923</v>
      </c>
    </row>
    <row r="6" spans="1:25" ht="14" thickBot="1"/>
    <row r="7" spans="1:25" ht="20.3" customHeight="1">
      <c r="A7" s="239" t="s">
        <v>784</v>
      </c>
      <c r="B7" s="239" t="s">
        <v>782</v>
      </c>
      <c r="C7" s="239" t="s">
        <v>783</v>
      </c>
      <c r="D7" s="242" t="s">
        <v>783</v>
      </c>
      <c r="E7" s="244" t="s">
        <v>784</v>
      </c>
      <c r="F7" s="246" t="s">
        <v>785</v>
      </c>
      <c r="G7" s="247"/>
      <c r="H7" s="246" t="s">
        <v>786</v>
      </c>
      <c r="I7" s="247"/>
      <c r="J7" s="246" t="s">
        <v>787</v>
      </c>
      <c r="K7" s="247"/>
      <c r="L7" s="246" t="s">
        <v>788</v>
      </c>
      <c r="M7" s="247"/>
      <c r="P7" s="128" t="s">
        <v>786</v>
      </c>
      <c r="Q7" s="52" t="s">
        <v>789</v>
      </c>
      <c r="R7" s="126" t="s">
        <v>790</v>
      </c>
      <c r="S7" s="129" t="s">
        <v>791</v>
      </c>
      <c r="U7" s="126" t="s">
        <v>792</v>
      </c>
      <c r="V7" s="126" t="s">
        <v>793</v>
      </c>
    </row>
    <row r="8" spans="1:25" ht="20.3" customHeight="1">
      <c r="A8" s="240"/>
      <c r="B8" s="240"/>
      <c r="C8" s="240"/>
      <c r="D8" s="243"/>
      <c r="E8" s="245"/>
      <c r="F8" s="130" t="s">
        <v>794</v>
      </c>
      <c r="G8" s="130" t="s">
        <v>795</v>
      </c>
      <c r="H8" s="130" t="s">
        <v>796</v>
      </c>
      <c r="I8" s="130" t="s">
        <v>797</v>
      </c>
      <c r="J8" s="130" t="s">
        <v>798</v>
      </c>
      <c r="K8" s="130" t="s">
        <v>799</v>
      </c>
      <c r="L8" s="130" t="s">
        <v>800</v>
      </c>
      <c r="M8" s="130" t="s">
        <v>801</v>
      </c>
      <c r="Q8" s="162">
        <v>903.05</v>
      </c>
      <c r="S8" s="131"/>
    </row>
    <row r="9" spans="1:25" ht="14">
      <c r="A9" s="126" t="s">
        <v>72</v>
      </c>
      <c r="B9" s="126" t="s">
        <v>802</v>
      </c>
      <c r="C9" s="126">
        <v>111100</v>
      </c>
      <c r="D9" s="132" t="s">
        <v>803</v>
      </c>
      <c r="E9" s="3" t="s">
        <v>804</v>
      </c>
      <c r="F9" s="133">
        <v>270743555</v>
      </c>
      <c r="G9" s="133">
        <v>186333119</v>
      </c>
      <c r="H9" s="133">
        <v>84410436</v>
      </c>
      <c r="I9" s="133">
        <v>0</v>
      </c>
      <c r="J9" s="133">
        <v>84410436</v>
      </c>
      <c r="K9" s="133">
        <v>0</v>
      </c>
      <c r="L9" s="133">
        <v>0</v>
      </c>
      <c r="M9" s="133">
        <v>0</v>
      </c>
      <c r="N9" s="134"/>
      <c r="O9" s="9" t="s">
        <v>805</v>
      </c>
      <c r="P9" s="184">
        <f>+J9-K9+L9-M9</f>
        <v>84410436</v>
      </c>
      <c r="Q9" s="135">
        <f>P9/$Q$8</f>
        <v>93472.605060627873</v>
      </c>
      <c r="R9" s="135"/>
      <c r="S9" s="136"/>
      <c r="T9" s="9"/>
      <c r="U9" s="134"/>
      <c r="V9" s="137"/>
      <c r="X9" s="126" t="s">
        <v>803</v>
      </c>
      <c r="Y9" s="126" t="b">
        <f>EXACT(X9,D9)</f>
        <v>1</v>
      </c>
    </row>
    <row r="10" spans="1:25" ht="14">
      <c r="A10" s="126" t="s">
        <v>72</v>
      </c>
      <c r="B10" s="126" t="s">
        <v>802</v>
      </c>
      <c r="C10" s="126">
        <v>111100</v>
      </c>
      <c r="D10" s="132" t="s">
        <v>633</v>
      </c>
      <c r="E10" s="3" t="s">
        <v>67</v>
      </c>
      <c r="F10" s="133">
        <v>330048</v>
      </c>
      <c r="G10" s="133">
        <v>292628</v>
      </c>
      <c r="H10" s="133">
        <v>37420</v>
      </c>
      <c r="I10" s="133">
        <v>0</v>
      </c>
      <c r="J10" s="133">
        <v>37420</v>
      </c>
      <c r="K10" s="133">
        <v>0</v>
      </c>
      <c r="L10" s="133">
        <v>0</v>
      </c>
      <c r="M10" s="133">
        <v>0</v>
      </c>
      <c r="N10" s="134"/>
      <c r="O10" s="9" t="s">
        <v>805</v>
      </c>
      <c r="P10" s="184">
        <f t="shared" ref="P10:P78" si="0">+J10-K10+L10-M10</f>
        <v>37420</v>
      </c>
      <c r="Q10" s="135">
        <f t="shared" ref="Q10:Q74" si="1">P10/$Q$8</f>
        <v>41.437351198715469</v>
      </c>
      <c r="R10" s="135"/>
      <c r="S10" s="136"/>
      <c r="T10" s="9"/>
      <c r="U10" s="134"/>
      <c r="V10" s="137">
        <f t="shared" ref="V10:V79" si="2">U10-P10</f>
        <v>-37420</v>
      </c>
      <c r="X10" s="126" t="s">
        <v>633</v>
      </c>
      <c r="Y10" s="126" t="b">
        <f t="shared" ref="Y10:Y74" si="3">EXACT(X10,D10)</f>
        <v>1</v>
      </c>
    </row>
    <row r="11" spans="1:25" ht="14">
      <c r="A11" s="126" t="s">
        <v>72</v>
      </c>
      <c r="B11" s="126" t="s">
        <v>802</v>
      </c>
      <c r="C11" s="126">
        <v>111100</v>
      </c>
      <c r="D11" s="132" t="s">
        <v>634</v>
      </c>
      <c r="E11" s="3" t="s">
        <v>66</v>
      </c>
      <c r="F11" s="133">
        <v>140340</v>
      </c>
      <c r="G11" s="133">
        <v>267114</v>
      </c>
      <c r="H11" s="133">
        <v>0</v>
      </c>
      <c r="I11" s="133">
        <v>126774</v>
      </c>
      <c r="J11" s="133">
        <v>0</v>
      </c>
      <c r="K11" s="133">
        <v>126774</v>
      </c>
      <c r="L11" s="133">
        <v>0</v>
      </c>
      <c r="M11" s="133">
        <v>0</v>
      </c>
      <c r="N11" s="134"/>
      <c r="O11" s="9" t="s">
        <v>805</v>
      </c>
      <c r="P11" s="184">
        <f t="shared" si="0"/>
        <v>-126774</v>
      </c>
      <c r="Q11" s="135">
        <f t="shared" si="1"/>
        <v>-140.38425336360115</v>
      </c>
      <c r="R11" s="135"/>
      <c r="S11" s="136"/>
      <c r="T11" s="9"/>
      <c r="U11" s="134"/>
      <c r="V11" s="137">
        <f t="shared" si="2"/>
        <v>126774</v>
      </c>
      <c r="X11" s="163" t="s">
        <v>634</v>
      </c>
      <c r="Y11" s="126" t="b">
        <f t="shared" si="3"/>
        <v>1</v>
      </c>
    </row>
    <row r="12" spans="1:25" ht="14">
      <c r="A12" s="126" t="s">
        <v>72</v>
      </c>
      <c r="B12" s="126" t="s">
        <v>802</v>
      </c>
      <c r="C12" s="126">
        <v>111100</v>
      </c>
      <c r="D12" s="132" t="s">
        <v>635</v>
      </c>
      <c r="E12" s="3" t="s">
        <v>65</v>
      </c>
      <c r="F12" s="133">
        <v>385201</v>
      </c>
      <c r="G12" s="133">
        <v>352851</v>
      </c>
      <c r="H12" s="133">
        <v>32350</v>
      </c>
      <c r="I12" s="133">
        <v>0</v>
      </c>
      <c r="J12" s="133">
        <v>32350</v>
      </c>
      <c r="K12" s="133">
        <v>0</v>
      </c>
      <c r="L12" s="133">
        <v>0</v>
      </c>
      <c r="M12" s="133">
        <v>0</v>
      </c>
      <c r="N12" s="134"/>
      <c r="O12" s="9" t="s">
        <v>805</v>
      </c>
      <c r="P12" s="184">
        <f t="shared" si="0"/>
        <v>32350</v>
      </c>
      <c r="Q12" s="135">
        <f t="shared" si="1"/>
        <v>35.823044128232105</v>
      </c>
      <c r="R12" s="135"/>
      <c r="S12" s="136"/>
      <c r="T12" s="9"/>
      <c r="U12" s="134"/>
      <c r="V12" s="137">
        <f t="shared" si="2"/>
        <v>-32350</v>
      </c>
      <c r="X12" s="163" t="s">
        <v>635</v>
      </c>
      <c r="Y12" s="126" t="b">
        <f t="shared" si="3"/>
        <v>1</v>
      </c>
    </row>
    <row r="13" spans="1:25" ht="14">
      <c r="A13" s="126" t="s">
        <v>72</v>
      </c>
      <c r="B13" s="126" t="s">
        <v>802</v>
      </c>
      <c r="C13" s="126">
        <v>111100</v>
      </c>
      <c r="D13" s="132" t="s">
        <v>636</v>
      </c>
      <c r="E13" s="3" t="s">
        <v>533</v>
      </c>
      <c r="F13" s="133">
        <v>352120</v>
      </c>
      <c r="G13" s="133">
        <v>307150</v>
      </c>
      <c r="H13" s="133">
        <v>44970</v>
      </c>
      <c r="I13" s="133">
        <v>0</v>
      </c>
      <c r="J13" s="133">
        <v>44970</v>
      </c>
      <c r="K13" s="133">
        <v>0</v>
      </c>
      <c r="L13" s="133">
        <v>0</v>
      </c>
      <c r="M13" s="133">
        <v>0</v>
      </c>
      <c r="N13" s="134"/>
      <c r="O13" s="9" t="s">
        <v>805</v>
      </c>
      <c r="P13" s="184">
        <f t="shared" si="0"/>
        <v>44970</v>
      </c>
      <c r="Q13" s="135">
        <f t="shared" si="1"/>
        <v>49.797907092630531</v>
      </c>
      <c r="R13" s="135"/>
      <c r="S13" s="136"/>
      <c r="T13" s="9"/>
      <c r="U13" s="134"/>
      <c r="V13" s="137">
        <f t="shared" si="2"/>
        <v>-44970</v>
      </c>
      <c r="X13" s="163" t="s">
        <v>636</v>
      </c>
      <c r="Y13" s="126" t="b">
        <f t="shared" si="3"/>
        <v>1</v>
      </c>
    </row>
    <row r="14" spans="1:25" ht="14">
      <c r="A14" s="126" t="s">
        <v>72</v>
      </c>
      <c r="B14" s="126" t="s">
        <v>802</v>
      </c>
      <c r="C14" s="126">
        <v>111100</v>
      </c>
      <c r="D14" s="132" t="s">
        <v>637</v>
      </c>
      <c r="E14" s="3" t="s">
        <v>539</v>
      </c>
      <c r="F14" s="133">
        <v>407078</v>
      </c>
      <c r="G14" s="133">
        <v>374218</v>
      </c>
      <c r="H14" s="133">
        <v>32860</v>
      </c>
      <c r="I14" s="133">
        <v>0</v>
      </c>
      <c r="J14" s="133">
        <v>32860</v>
      </c>
      <c r="K14" s="133">
        <v>0</v>
      </c>
      <c r="L14" s="133">
        <v>0</v>
      </c>
      <c r="M14" s="133">
        <v>0</v>
      </c>
      <c r="N14" s="134"/>
      <c r="O14" s="9" t="s">
        <v>805</v>
      </c>
      <c r="P14" s="184">
        <f t="shared" si="0"/>
        <v>32860</v>
      </c>
      <c r="Q14" s="135">
        <f t="shared" si="1"/>
        <v>36.387796910470072</v>
      </c>
      <c r="R14" s="135"/>
      <c r="S14" s="136"/>
      <c r="T14" s="9"/>
      <c r="U14" s="134"/>
      <c r="V14" s="137">
        <f t="shared" si="2"/>
        <v>-32860</v>
      </c>
      <c r="X14" s="163" t="s">
        <v>637</v>
      </c>
      <c r="Y14" s="126" t="b">
        <f t="shared" si="3"/>
        <v>1</v>
      </c>
    </row>
    <row r="15" spans="1:25" ht="14">
      <c r="A15" s="126" t="s">
        <v>72</v>
      </c>
      <c r="B15" s="126" t="s">
        <v>802</v>
      </c>
      <c r="C15" s="126">
        <v>111100</v>
      </c>
      <c r="D15" s="132" t="s">
        <v>638</v>
      </c>
      <c r="E15" s="3" t="s">
        <v>621</v>
      </c>
      <c r="F15" s="133">
        <v>215730</v>
      </c>
      <c r="G15" s="133">
        <v>204370</v>
      </c>
      <c r="H15" s="133">
        <v>11360</v>
      </c>
      <c r="I15" s="133">
        <v>0</v>
      </c>
      <c r="J15" s="133">
        <v>11360</v>
      </c>
      <c r="K15" s="133">
        <v>0</v>
      </c>
      <c r="L15" s="133">
        <v>0</v>
      </c>
      <c r="M15" s="133">
        <v>0</v>
      </c>
      <c r="N15" s="134"/>
      <c r="O15" s="9" t="s">
        <v>805</v>
      </c>
      <c r="P15" s="184">
        <f t="shared" si="0"/>
        <v>11360</v>
      </c>
      <c r="Q15" s="135">
        <f t="shared" si="1"/>
        <v>12.579591384751675</v>
      </c>
      <c r="R15" s="135"/>
      <c r="S15" s="136"/>
      <c r="T15" s="9"/>
      <c r="U15" s="134"/>
      <c r="V15" s="137">
        <f t="shared" si="2"/>
        <v>-11360</v>
      </c>
      <c r="X15" s="163" t="s">
        <v>638</v>
      </c>
      <c r="Y15" s="126" t="b">
        <f t="shared" si="3"/>
        <v>1</v>
      </c>
    </row>
    <row r="16" spans="1:25" ht="14">
      <c r="A16" s="126" t="s">
        <v>72</v>
      </c>
      <c r="B16" s="126" t="s">
        <v>802</v>
      </c>
      <c r="C16" s="126">
        <v>111100</v>
      </c>
      <c r="D16" s="132" t="s">
        <v>640</v>
      </c>
      <c r="E16" s="3" t="s">
        <v>627</v>
      </c>
      <c r="F16" s="133">
        <v>103980</v>
      </c>
      <c r="G16" s="133">
        <v>103980</v>
      </c>
      <c r="H16" s="133">
        <v>0</v>
      </c>
      <c r="I16" s="133">
        <v>0</v>
      </c>
      <c r="J16" s="133">
        <v>0</v>
      </c>
      <c r="K16" s="133">
        <v>0</v>
      </c>
      <c r="L16" s="133">
        <v>0</v>
      </c>
      <c r="M16" s="133">
        <v>0</v>
      </c>
      <c r="N16" s="134"/>
      <c r="O16" s="9" t="s">
        <v>805</v>
      </c>
      <c r="P16" s="184">
        <f t="shared" si="0"/>
        <v>0</v>
      </c>
      <c r="Q16" s="135">
        <f t="shared" si="1"/>
        <v>0</v>
      </c>
      <c r="R16" s="135"/>
      <c r="S16" s="136"/>
      <c r="T16" s="9"/>
      <c r="U16" s="134"/>
      <c r="V16" s="137">
        <f>U16-P16</f>
        <v>0</v>
      </c>
      <c r="X16" s="163" t="s">
        <v>640</v>
      </c>
      <c r="Y16" s="126" t="b">
        <f t="shared" si="3"/>
        <v>1</v>
      </c>
    </row>
    <row r="17" spans="1:25" ht="14">
      <c r="A17" s="126" t="s">
        <v>72</v>
      </c>
      <c r="B17" s="126" t="s">
        <v>802</v>
      </c>
      <c r="C17" s="126">
        <v>111100</v>
      </c>
      <c r="D17" s="132" t="s">
        <v>878</v>
      </c>
      <c r="E17" s="3" t="s">
        <v>879</v>
      </c>
      <c r="F17" s="133">
        <v>389445</v>
      </c>
      <c r="G17" s="133">
        <v>351423</v>
      </c>
      <c r="H17" s="133">
        <v>38022</v>
      </c>
      <c r="I17" s="133">
        <v>0</v>
      </c>
      <c r="J17" s="133">
        <v>38022</v>
      </c>
      <c r="K17" s="133">
        <v>0</v>
      </c>
      <c r="L17" s="133">
        <v>0</v>
      </c>
      <c r="M17" s="133">
        <v>0</v>
      </c>
      <c r="N17" s="134"/>
      <c r="O17" s="9" t="s">
        <v>805</v>
      </c>
      <c r="P17" s="184">
        <f t="shared" si="0"/>
        <v>38022</v>
      </c>
      <c r="Q17" s="135">
        <f t="shared" si="1"/>
        <v>42.103980953435581</v>
      </c>
      <c r="R17" s="135"/>
      <c r="S17" s="136"/>
      <c r="T17" s="9"/>
      <c r="U17" s="134"/>
      <c r="V17" s="137">
        <f>U17-P17</f>
        <v>-38022</v>
      </c>
      <c r="X17" s="163" t="s">
        <v>878</v>
      </c>
      <c r="Y17" s="126" t="b">
        <f t="shared" si="3"/>
        <v>1</v>
      </c>
    </row>
    <row r="18" spans="1:25" ht="14">
      <c r="A18" s="126" t="s">
        <v>72</v>
      </c>
      <c r="B18" s="203" t="s">
        <v>802</v>
      </c>
      <c r="C18" s="203">
        <v>111100</v>
      </c>
      <c r="D18" s="132" t="s">
        <v>891</v>
      </c>
      <c r="E18" s="3" t="s">
        <v>916</v>
      </c>
      <c r="F18" s="133">
        <v>262035</v>
      </c>
      <c r="G18" s="133">
        <v>225915</v>
      </c>
      <c r="H18" s="133">
        <v>36120</v>
      </c>
      <c r="I18" s="133">
        <v>0</v>
      </c>
      <c r="J18" s="133">
        <v>36120</v>
      </c>
      <c r="K18" s="133">
        <v>0</v>
      </c>
      <c r="L18" s="133">
        <v>0</v>
      </c>
      <c r="M18" s="133">
        <v>0</v>
      </c>
      <c r="N18" s="134"/>
      <c r="O18" s="9" t="s">
        <v>805</v>
      </c>
      <c r="P18" s="184">
        <f t="shared" si="0"/>
        <v>36120</v>
      </c>
      <c r="Q18" s="135">
        <f t="shared" si="1"/>
        <v>39.997785283206909</v>
      </c>
      <c r="R18" s="135"/>
      <c r="S18" s="136"/>
      <c r="T18" s="9"/>
      <c r="U18" s="134"/>
      <c r="V18" s="137"/>
      <c r="X18" s="163" t="s">
        <v>891</v>
      </c>
      <c r="Y18" s="126" t="b">
        <f t="shared" si="3"/>
        <v>1</v>
      </c>
    </row>
    <row r="19" spans="1:25" ht="14">
      <c r="A19" s="126" t="s">
        <v>72</v>
      </c>
      <c r="B19" s="203" t="s">
        <v>802</v>
      </c>
      <c r="C19" s="203">
        <v>111100</v>
      </c>
      <c r="D19" s="132" t="s">
        <v>914</v>
      </c>
      <c r="E19" s="3" t="s">
        <v>915</v>
      </c>
      <c r="F19" s="133">
        <v>279193</v>
      </c>
      <c r="G19" s="133">
        <v>237595</v>
      </c>
      <c r="H19" s="133">
        <v>41598</v>
      </c>
      <c r="I19" s="133">
        <v>0</v>
      </c>
      <c r="J19" s="133">
        <v>41598</v>
      </c>
      <c r="K19" s="133">
        <v>0</v>
      </c>
      <c r="L19" s="133">
        <v>0</v>
      </c>
      <c r="M19" s="133">
        <v>0</v>
      </c>
      <c r="N19" s="134"/>
      <c r="O19" s="9" t="s">
        <v>805</v>
      </c>
      <c r="P19" s="184">
        <f t="shared" si="0"/>
        <v>41598</v>
      </c>
      <c r="Q19" s="135">
        <f t="shared" si="1"/>
        <v>46.063894579480653</v>
      </c>
      <c r="R19" s="135"/>
      <c r="S19" s="136"/>
      <c r="T19" s="9"/>
      <c r="U19" s="134"/>
      <c r="V19" s="137"/>
      <c r="X19" s="163" t="s">
        <v>914</v>
      </c>
      <c r="Y19" s="126" t="b">
        <f t="shared" si="3"/>
        <v>1</v>
      </c>
    </row>
    <row r="20" spans="1:25" ht="14">
      <c r="A20" s="126" t="s">
        <v>925</v>
      </c>
      <c r="B20" s="126" t="s">
        <v>802</v>
      </c>
      <c r="C20" s="126">
        <v>112093</v>
      </c>
      <c r="D20" s="132" t="s">
        <v>639</v>
      </c>
      <c r="E20" s="3" t="s">
        <v>64</v>
      </c>
      <c r="F20" s="133">
        <v>1674610704</v>
      </c>
      <c r="G20" s="133">
        <v>1460796887</v>
      </c>
      <c r="H20" s="133">
        <v>213813817</v>
      </c>
      <c r="I20" s="133">
        <v>0</v>
      </c>
      <c r="J20" s="133">
        <v>213813817</v>
      </c>
      <c r="K20" s="133">
        <v>0</v>
      </c>
      <c r="L20" s="133">
        <v>0</v>
      </c>
      <c r="M20" s="133">
        <v>0</v>
      </c>
      <c r="N20" s="134"/>
      <c r="O20" s="9" t="s">
        <v>805</v>
      </c>
      <c r="P20" s="184">
        <f t="shared" si="0"/>
        <v>213813817</v>
      </c>
      <c r="Q20" s="135">
        <f t="shared" si="1"/>
        <v>236768.525552295</v>
      </c>
      <c r="R20" s="135"/>
      <c r="S20" s="136"/>
      <c r="T20" s="9"/>
      <c r="U20" s="134"/>
      <c r="V20" s="137">
        <f t="shared" si="2"/>
        <v>-213813817</v>
      </c>
      <c r="X20" s="163" t="s">
        <v>639</v>
      </c>
      <c r="Y20" s="126" t="b">
        <f t="shared" si="3"/>
        <v>1</v>
      </c>
    </row>
    <row r="21" spans="1:25" ht="14">
      <c r="A21" s="126" t="s">
        <v>926</v>
      </c>
      <c r="B21" s="126" t="s">
        <v>802</v>
      </c>
      <c r="C21" s="126">
        <v>112095</v>
      </c>
      <c r="D21" s="132" t="s">
        <v>646</v>
      </c>
      <c r="E21" s="3" t="s">
        <v>513</v>
      </c>
      <c r="F21" s="133">
        <v>1448479616</v>
      </c>
      <c r="G21" s="133">
        <v>1434002975</v>
      </c>
      <c r="H21" s="133">
        <v>14476641</v>
      </c>
      <c r="I21" s="133">
        <v>0</v>
      </c>
      <c r="J21" s="133">
        <v>14476641</v>
      </c>
      <c r="K21" s="133">
        <v>0</v>
      </c>
      <c r="L21" s="133">
        <v>0</v>
      </c>
      <c r="M21" s="133">
        <v>0</v>
      </c>
      <c r="N21" s="134"/>
      <c r="O21" s="9" t="s">
        <v>805</v>
      </c>
      <c r="P21" s="184">
        <f t="shared" si="0"/>
        <v>14476641</v>
      </c>
      <c r="Q21" s="135">
        <f t="shared" si="1"/>
        <v>16030.829965118211</v>
      </c>
      <c r="R21" s="135"/>
      <c r="S21" s="136"/>
      <c r="T21" s="9"/>
      <c r="U21" s="134"/>
      <c r="V21" s="137">
        <f t="shared" si="2"/>
        <v>-14476641</v>
      </c>
      <c r="X21" s="163" t="s">
        <v>646</v>
      </c>
      <c r="Y21" s="126" t="b">
        <f t="shared" si="3"/>
        <v>1</v>
      </c>
    </row>
    <row r="22" spans="1:25" ht="14">
      <c r="A22" s="126" t="s">
        <v>927</v>
      </c>
      <c r="B22" s="126" t="s">
        <v>802</v>
      </c>
      <c r="C22" s="126">
        <v>112094</v>
      </c>
      <c r="D22" s="132" t="s">
        <v>642</v>
      </c>
      <c r="E22" s="3" t="s">
        <v>643</v>
      </c>
      <c r="F22" s="133">
        <v>302389138</v>
      </c>
      <c r="G22" s="133">
        <v>0</v>
      </c>
      <c r="H22" s="133">
        <v>302389138</v>
      </c>
      <c r="I22" s="133">
        <v>0</v>
      </c>
      <c r="J22" s="133">
        <v>302389138</v>
      </c>
      <c r="K22" s="133">
        <v>0</v>
      </c>
      <c r="L22" s="133">
        <v>0</v>
      </c>
      <c r="M22" s="133">
        <v>0</v>
      </c>
      <c r="N22" s="134"/>
      <c r="O22" s="9" t="s">
        <v>805</v>
      </c>
      <c r="P22" s="184">
        <f t="shared" si="0"/>
        <v>302389138</v>
      </c>
      <c r="Q22" s="135">
        <f t="shared" si="1"/>
        <v>334853.15098831739</v>
      </c>
      <c r="R22" s="135"/>
      <c r="S22" s="136"/>
      <c r="T22" s="9"/>
      <c r="U22" s="134"/>
      <c r="V22" s="137">
        <f t="shared" si="2"/>
        <v>-302389138</v>
      </c>
      <c r="X22" s="163" t="s">
        <v>642</v>
      </c>
      <c r="Y22" s="126" t="b">
        <f t="shared" si="3"/>
        <v>1</v>
      </c>
    </row>
    <row r="23" spans="1:25" ht="14">
      <c r="A23" s="126" t="s">
        <v>927</v>
      </c>
      <c r="B23" s="126" t="s">
        <v>802</v>
      </c>
      <c r="C23" s="126">
        <v>112094</v>
      </c>
      <c r="D23" s="132" t="s">
        <v>644</v>
      </c>
      <c r="E23" s="3" t="s">
        <v>645</v>
      </c>
      <c r="F23" s="133">
        <v>324679550</v>
      </c>
      <c r="G23" s="133">
        <v>144084902</v>
      </c>
      <c r="H23" s="133">
        <v>180594648</v>
      </c>
      <c r="I23" s="133">
        <v>0</v>
      </c>
      <c r="J23" s="133">
        <v>180594648</v>
      </c>
      <c r="K23" s="133">
        <v>0</v>
      </c>
      <c r="L23" s="133">
        <v>0</v>
      </c>
      <c r="M23" s="133">
        <v>0</v>
      </c>
      <c r="N23" s="134"/>
      <c r="O23" s="9" t="s">
        <v>805</v>
      </c>
      <c r="P23" s="184">
        <f t="shared" ref="P23:P24" si="4">+J23-K23+L23-M23</f>
        <v>180594648</v>
      </c>
      <c r="Q23" s="135">
        <f t="shared" si="1"/>
        <v>199982.99983389626</v>
      </c>
      <c r="R23" s="135"/>
      <c r="S23" s="136"/>
      <c r="T23" s="9"/>
      <c r="U23" s="134"/>
      <c r="V23" s="137">
        <f t="shared" ref="V23:V24" si="5">U23-P23</f>
        <v>-180594648</v>
      </c>
      <c r="X23" s="163" t="s">
        <v>644</v>
      </c>
      <c r="Y23" s="126" t="b">
        <f t="shared" si="3"/>
        <v>1</v>
      </c>
    </row>
    <row r="24" spans="1:25" ht="14">
      <c r="A24" s="126" t="s">
        <v>927</v>
      </c>
      <c r="B24" s="126" t="s">
        <v>802</v>
      </c>
      <c r="C24" s="126">
        <v>112094</v>
      </c>
      <c r="D24" s="132" t="s">
        <v>641</v>
      </c>
      <c r="E24" s="3" t="s">
        <v>63</v>
      </c>
      <c r="F24" s="133">
        <v>4970977</v>
      </c>
      <c r="G24" s="133">
        <v>0</v>
      </c>
      <c r="H24" s="133">
        <v>4970977</v>
      </c>
      <c r="I24" s="133">
        <v>0</v>
      </c>
      <c r="J24" s="133">
        <v>4970977</v>
      </c>
      <c r="K24" s="133">
        <v>0</v>
      </c>
      <c r="L24" s="133">
        <v>0</v>
      </c>
      <c r="M24" s="133">
        <v>0</v>
      </c>
      <c r="N24" s="134"/>
      <c r="O24" s="9" t="s">
        <v>805</v>
      </c>
      <c r="P24" s="184">
        <f t="shared" si="4"/>
        <v>4970977</v>
      </c>
      <c r="Q24" s="135">
        <f t="shared" si="1"/>
        <v>5504.653119982283</v>
      </c>
      <c r="R24" s="135"/>
      <c r="S24" s="136"/>
      <c r="T24" s="9"/>
      <c r="U24" s="134"/>
      <c r="V24" s="137">
        <f t="shared" si="5"/>
        <v>-4970977</v>
      </c>
      <c r="X24" s="163" t="s">
        <v>641</v>
      </c>
      <c r="Y24" s="126" t="b">
        <f t="shared" si="3"/>
        <v>1</v>
      </c>
    </row>
    <row r="25" spans="1:25" ht="14">
      <c r="A25" s="126" t="s">
        <v>928</v>
      </c>
      <c r="B25" s="138" t="s">
        <v>806</v>
      </c>
      <c r="C25" s="126">
        <v>170013</v>
      </c>
      <c r="D25" s="132" t="s">
        <v>665</v>
      </c>
      <c r="E25" s="3" t="s">
        <v>532</v>
      </c>
      <c r="F25" s="133">
        <v>54550224</v>
      </c>
      <c r="G25" s="133">
        <v>26359837</v>
      </c>
      <c r="H25" s="133">
        <v>28190387</v>
      </c>
      <c r="I25" s="133">
        <v>0</v>
      </c>
      <c r="J25" s="133">
        <v>28190387</v>
      </c>
      <c r="K25" s="133">
        <v>0</v>
      </c>
      <c r="L25" s="133">
        <v>0</v>
      </c>
      <c r="M25" s="133">
        <v>0</v>
      </c>
      <c r="N25" s="134"/>
      <c r="O25" s="9" t="s">
        <v>805</v>
      </c>
      <c r="P25" s="184">
        <f t="shared" si="0"/>
        <v>28190387</v>
      </c>
      <c r="Q25" s="135">
        <f t="shared" si="1"/>
        <v>31216.861746304192</v>
      </c>
      <c r="R25" s="135"/>
      <c r="S25" s="136"/>
      <c r="T25" s="9"/>
      <c r="U25" s="134"/>
      <c r="V25" s="137">
        <f t="shared" si="2"/>
        <v>-28190387</v>
      </c>
      <c r="X25" s="163" t="s">
        <v>665</v>
      </c>
      <c r="Y25" s="126" t="b">
        <f t="shared" si="3"/>
        <v>1</v>
      </c>
    </row>
    <row r="26" spans="1:25" ht="14">
      <c r="A26" s="126" t="s">
        <v>78</v>
      </c>
      <c r="B26" s="138" t="s">
        <v>808</v>
      </c>
      <c r="C26" s="126">
        <v>115010</v>
      </c>
      <c r="D26" s="132" t="s">
        <v>647</v>
      </c>
      <c r="E26" s="3" t="s">
        <v>62</v>
      </c>
      <c r="F26" s="133">
        <v>1254176241</v>
      </c>
      <c r="G26" s="133">
        <v>1254176241</v>
      </c>
      <c r="H26" s="133">
        <v>0</v>
      </c>
      <c r="I26" s="133">
        <v>0</v>
      </c>
      <c r="J26" s="133">
        <v>0</v>
      </c>
      <c r="K26" s="133">
        <v>0</v>
      </c>
      <c r="L26" s="133">
        <v>0</v>
      </c>
      <c r="M26" s="133">
        <v>0</v>
      </c>
      <c r="N26" s="134"/>
      <c r="O26" s="9" t="s">
        <v>805</v>
      </c>
      <c r="P26" s="184">
        <f t="shared" si="0"/>
        <v>0</v>
      </c>
      <c r="Q26" s="135">
        <f t="shared" si="1"/>
        <v>0</v>
      </c>
      <c r="R26" s="135"/>
      <c r="S26" s="136"/>
      <c r="T26" s="9"/>
      <c r="U26" s="134"/>
      <c r="V26" s="137">
        <f t="shared" si="2"/>
        <v>0</v>
      </c>
      <c r="X26" s="163" t="s">
        <v>647</v>
      </c>
      <c r="Y26" s="126" t="b">
        <f t="shared" si="3"/>
        <v>1</v>
      </c>
    </row>
    <row r="27" spans="1:25" ht="14">
      <c r="A27" s="204" t="s">
        <v>929</v>
      </c>
      <c r="B27" s="205" t="s">
        <v>807</v>
      </c>
      <c r="C27" s="204">
        <v>115061</v>
      </c>
      <c r="D27" s="132" t="s">
        <v>651</v>
      </c>
      <c r="E27" s="3" t="s">
        <v>61</v>
      </c>
      <c r="F27" s="133">
        <v>11021221</v>
      </c>
      <c r="G27" s="133">
        <v>8392663</v>
      </c>
      <c r="H27" s="133">
        <v>2628558</v>
      </c>
      <c r="I27" s="133">
        <v>0</v>
      </c>
      <c r="J27" s="133">
        <v>2628558</v>
      </c>
      <c r="K27" s="133">
        <v>0</v>
      </c>
      <c r="L27" s="133">
        <v>0</v>
      </c>
      <c r="M27" s="133">
        <v>0</v>
      </c>
      <c r="N27" s="134"/>
      <c r="O27" s="9" t="s">
        <v>805</v>
      </c>
      <c r="P27" s="184">
        <f t="shared" si="0"/>
        <v>2628558</v>
      </c>
      <c r="Q27" s="135">
        <f t="shared" si="1"/>
        <v>2910.7557721056423</v>
      </c>
      <c r="R27" s="135"/>
      <c r="S27" s="136"/>
      <c r="T27" s="9"/>
      <c r="U27" s="134"/>
      <c r="V27" s="137">
        <f t="shared" si="2"/>
        <v>-2628558</v>
      </c>
      <c r="X27" s="163" t="s">
        <v>651</v>
      </c>
      <c r="Y27" s="126" t="b">
        <f t="shared" si="3"/>
        <v>1</v>
      </c>
    </row>
    <row r="28" spans="1:25" ht="14">
      <c r="A28" s="126" t="s">
        <v>78</v>
      </c>
      <c r="B28" s="138" t="s">
        <v>808</v>
      </c>
      <c r="C28" s="126">
        <v>115010</v>
      </c>
      <c r="D28" s="132" t="s">
        <v>649</v>
      </c>
      <c r="E28" s="3" t="s">
        <v>60</v>
      </c>
      <c r="F28" s="133">
        <v>675298550</v>
      </c>
      <c r="G28" s="133">
        <v>675836139</v>
      </c>
      <c r="H28" s="133">
        <v>0</v>
      </c>
      <c r="I28" s="133">
        <v>537589</v>
      </c>
      <c r="J28" s="133">
        <v>0</v>
      </c>
      <c r="K28" s="133">
        <v>537589</v>
      </c>
      <c r="L28" s="133">
        <v>0</v>
      </c>
      <c r="M28" s="133">
        <v>0</v>
      </c>
      <c r="N28" s="134"/>
      <c r="O28" s="9" t="s">
        <v>805</v>
      </c>
      <c r="P28" s="184">
        <f t="shared" si="0"/>
        <v>-537589</v>
      </c>
      <c r="Q28" s="135">
        <f t="shared" si="1"/>
        <v>-595.30369304025248</v>
      </c>
      <c r="R28" s="135"/>
      <c r="S28" s="136"/>
      <c r="T28" s="9"/>
      <c r="U28" s="134"/>
      <c r="V28" s="137">
        <f t="shared" si="2"/>
        <v>537589</v>
      </c>
      <c r="X28" s="163" t="s">
        <v>649</v>
      </c>
      <c r="Y28" s="126" t="b">
        <f t="shared" si="3"/>
        <v>1</v>
      </c>
    </row>
    <row r="29" spans="1:25" ht="14">
      <c r="A29" s="126" t="s">
        <v>78</v>
      </c>
      <c r="B29" s="138" t="s">
        <v>808</v>
      </c>
      <c r="C29" s="126">
        <v>115010</v>
      </c>
      <c r="D29" s="132" t="s">
        <v>650</v>
      </c>
      <c r="E29" s="3" t="s">
        <v>59</v>
      </c>
      <c r="F29" s="133">
        <v>732267924</v>
      </c>
      <c r="G29" s="133">
        <v>692327810</v>
      </c>
      <c r="H29" s="133">
        <v>39940114</v>
      </c>
      <c r="I29" s="133">
        <v>0</v>
      </c>
      <c r="J29" s="133">
        <v>39940114</v>
      </c>
      <c r="K29" s="133">
        <v>0</v>
      </c>
      <c r="L29" s="133">
        <v>0</v>
      </c>
      <c r="M29" s="133">
        <v>0</v>
      </c>
      <c r="N29" s="134"/>
      <c r="O29" s="9" t="s">
        <v>805</v>
      </c>
      <c r="P29" s="184">
        <f t="shared" si="0"/>
        <v>39940114</v>
      </c>
      <c r="Q29" s="135">
        <f t="shared" si="1"/>
        <v>44228.020596866176</v>
      </c>
      <c r="R29" s="135"/>
      <c r="S29" s="136"/>
      <c r="T29" s="9"/>
      <c r="U29" s="134"/>
      <c r="V29" s="137">
        <f t="shared" si="2"/>
        <v>-39940114</v>
      </c>
      <c r="X29" s="163" t="s">
        <v>650</v>
      </c>
      <c r="Y29" s="126" t="b">
        <f t="shared" si="3"/>
        <v>1</v>
      </c>
    </row>
    <row r="30" spans="1:25" ht="14">
      <c r="A30" s="126" t="s">
        <v>78</v>
      </c>
      <c r="B30" s="138" t="s">
        <v>808</v>
      </c>
      <c r="C30" s="126">
        <v>115010</v>
      </c>
      <c r="D30" s="132" t="s">
        <v>775</v>
      </c>
      <c r="E30" s="3" t="s">
        <v>776</v>
      </c>
      <c r="F30" s="133">
        <v>585390</v>
      </c>
      <c r="G30" s="133">
        <v>104990</v>
      </c>
      <c r="H30" s="133">
        <v>480400</v>
      </c>
      <c r="I30" s="133">
        <v>0</v>
      </c>
      <c r="J30" s="133">
        <v>480400</v>
      </c>
      <c r="K30" s="133">
        <v>0</v>
      </c>
      <c r="L30" s="133">
        <v>0</v>
      </c>
      <c r="M30" s="133">
        <v>0</v>
      </c>
      <c r="N30" s="134"/>
      <c r="O30" s="9" t="s">
        <v>805</v>
      </c>
      <c r="P30" s="184">
        <f t="shared" ref="P30" si="6">+J30-K30+L30-M30</f>
        <v>480400</v>
      </c>
      <c r="Q30" s="135">
        <f t="shared" si="1"/>
        <v>531.97497370023814</v>
      </c>
      <c r="R30" s="135"/>
      <c r="S30" s="136"/>
      <c r="T30" s="9"/>
      <c r="U30" s="134"/>
      <c r="V30" s="137">
        <f>U30-P30</f>
        <v>-480400</v>
      </c>
      <c r="X30" s="163" t="s">
        <v>775</v>
      </c>
      <c r="Y30" s="126" t="b">
        <f t="shared" si="3"/>
        <v>1</v>
      </c>
    </row>
    <row r="31" spans="1:25" ht="14">
      <c r="A31" s="126" t="s">
        <v>78</v>
      </c>
      <c r="B31" s="138" t="s">
        <v>808</v>
      </c>
      <c r="C31" s="126">
        <v>115010</v>
      </c>
      <c r="D31" s="132" t="s">
        <v>777</v>
      </c>
      <c r="E31" s="3" t="s">
        <v>778</v>
      </c>
      <c r="F31" s="133">
        <v>1371322273</v>
      </c>
      <c r="G31" s="133">
        <v>1083308831</v>
      </c>
      <c r="H31" s="133">
        <v>288013442</v>
      </c>
      <c r="I31" s="133">
        <v>0</v>
      </c>
      <c r="J31" s="133">
        <v>288013442</v>
      </c>
      <c r="K31" s="133">
        <v>0</v>
      </c>
      <c r="L31" s="133">
        <v>0</v>
      </c>
      <c r="M31" s="133">
        <v>0</v>
      </c>
      <c r="N31" s="134"/>
      <c r="O31" s="9" t="s">
        <v>805</v>
      </c>
      <c r="P31" s="184">
        <f t="shared" si="0"/>
        <v>288013442</v>
      </c>
      <c r="Q31" s="135">
        <f t="shared" si="1"/>
        <v>318934.10331653839</v>
      </c>
      <c r="R31" s="135"/>
      <c r="S31" s="136"/>
      <c r="T31" s="9"/>
      <c r="U31" s="134"/>
      <c r="V31" s="137">
        <f>U31-P31</f>
        <v>-288013442</v>
      </c>
      <c r="X31" s="163" t="s">
        <v>777</v>
      </c>
      <c r="Y31" s="126" t="b">
        <f t="shared" si="3"/>
        <v>1</v>
      </c>
    </row>
    <row r="32" spans="1:25" ht="14">
      <c r="A32" s="126" t="s">
        <v>78</v>
      </c>
      <c r="B32" s="138" t="s">
        <v>808</v>
      </c>
      <c r="C32" s="126">
        <v>115010</v>
      </c>
      <c r="D32" s="132" t="s">
        <v>983</v>
      </c>
      <c r="E32" s="3" t="s">
        <v>982</v>
      </c>
      <c r="F32" s="133">
        <v>81076483</v>
      </c>
      <c r="G32" s="133">
        <v>76544318</v>
      </c>
      <c r="H32" s="133">
        <v>4532165</v>
      </c>
      <c r="I32" s="133">
        <v>0</v>
      </c>
      <c r="J32" s="133">
        <v>4532165</v>
      </c>
      <c r="K32" s="133">
        <v>0</v>
      </c>
      <c r="L32" s="133">
        <v>0</v>
      </c>
      <c r="M32" s="133">
        <v>0</v>
      </c>
      <c r="N32" s="134"/>
      <c r="O32" s="9" t="s">
        <v>805</v>
      </c>
      <c r="P32" s="184">
        <f t="shared" ref="P32" si="7">+J32-K32+L32-M32</f>
        <v>4532165</v>
      </c>
      <c r="Q32" s="135">
        <f t="shared" si="1"/>
        <v>5018.73096727756</v>
      </c>
      <c r="R32" s="135"/>
      <c r="S32" s="136"/>
      <c r="T32" s="9"/>
      <c r="U32" s="134"/>
      <c r="V32" s="137">
        <f t="shared" ref="V32" si="8">U32-P32</f>
        <v>-4532165</v>
      </c>
      <c r="X32" s="163" t="s">
        <v>983</v>
      </c>
      <c r="Y32" s="126" t="b">
        <f t="shared" si="3"/>
        <v>1</v>
      </c>
    </row>
    <row r="33" spans="1:25" ht="14">
      <c r="A33" s="126" t="s">
        <v>78</v>
      </c>
      <c r="B33" s="138" t="s">
        <v>808</v>
      </c>
      <c r="C33" s="126">
        <v>115010</v>
      </c>
      <c r="D33" s="132" t="s">
        <v>987</v>
      </c>
      <c r="E33" s="3" t="s">
        <v>986</v>
      </c>
      <c r="F33" s="133">
        <v>89987722</v>
      </c>
      <c r="G33" s="133">
        <v>88445522</v>
      </c>
      <c r="H33" s="133">
        <v>1542200</v>
      </c>
      <c r="I33" s="133">
        <v>0</v>
      </c>
      <c r="J33" s="133">
        <v>1542200</v>
      </c>
      <c r="K33" s="133">
        <v>0</v>
      </c>
      <c r="L33" s="133">
        <v>0</v>
      </c>
      <c r="M33" s="133">
        <v>0</v>
      </c>
      <c r="N33" s="134"/>
      <c r="O33" s="9" t="s">
        <v>805</v>
      </c>
      <c r="P33" s="184">
        <f t="shared" ref="P33" si="9">+J33-K33+L33-M33</f>
        <v>1542200</v>
      </c>
      <c r="Q33" s="135">
        <f t="shared" si="1"/>
        <v>1707.7681191517636</v>
      </c>
      <c r="R33" s="135"/>
      <c r="S33" s="136"/>
      <c r="T33" s="9"/>
      <c r="U33" s="134"/>
      <c r="V33" s="137">
        <f t="shared" ref="V33" si="10">U33-P33</f>
        <v>-1542200</v>
      </c>
      <c r="X33" s="163" t="s">
        <v>987</v>
      </c>
      <c r="Y33" s="126" t="b">
        <f t="shared" si="3"/>
        <v>1</v>
      </c>
    </row>
    <row r="34" spans="1:25" ht="14">
      <c r="A34" s="126" t="s">
        <v>78</v>
      </c>
      <c r="B34" s="138" t="s">
        <v>808</v>
      </c>
      <c r="C34" s="126">
        <v>115010</v>
      </c>
      <c r="D34" s="132" t="s">
        <v>779</v>
      </c>
      <c r="E34" s="3" t="s">
        <v>780</v>
      </c>
      <c r="F34" s="133">
        <v>6734121</v>
      </c>
      <c r="G34" s="133">
        <v>0</v>
      </c>
      <c r="H34" s="133">
        <v>6734121</v>
      </c>
      <c r="I34" s="133">
        <v>0</v>
      </c>
      <c r="J34" s="133">
        <v>6734121</v>
      </c>
      <c r="K34" s="133">
        <v>0</v>
      </c>
      <c r="L34" s="133">
        <v>0</v>
      </c>
      <c r="M34" s="133">
        <v>0</v>
      </c>
      <c r="N34" s="134"/>
      <c r="O34" s="9" t="s">
        <v>805</v>
      </c>
      <c r="P34" s="184">
        <f t="shared" si="0"/>
        <v>6734121</v>
      </c>
      <c r="Q34" s="135">
        <f t="shared" si="1"/>
        <v>7457.0854327002935</v>
      </c>
      <c r="R34" s="135"/>
      <c r="S34" s="136"/>
      <c r="T34" s="9"/>
      <c r="U34" s="134"/>
      <c r="V34" s="137"/>
      <c r="X34" s="163" t="s">
        <v>779</v>
      </c>
      <c r="Y34" s="126" t="b">
        <f t="shared" si="3"/>
        <v>1</v>
      </c>
    </row>
    <row r="35" spans="1:25" ht="14">
      <c r="A35" s="126" t="s">
        <v>929</v>
      </c>
      <c r="B35" s="138" t="s">
        <v>807</v>
      </c>
      <c r="C35" s="126">
        <v>115061</v>
      </c>
      <c r="D35" s="132" t="s">
        <v>654</v>
      </c>
      <c r="E35" s="3" t="s">
        <v>58</v>
      </c>
      <c r="F35" s="133">
        <v>288303448</v>
      </c>
      <c r="G35" s="133">
        <v>54409745</v>
      </c>
      <c r="H35" s="133">
        <v>233893703</v>
      </c>
      <c r="I35" s="133">
        <v>0</v>
      </c>
      <c r="J35" s="133">
        <v>233893703</v>
      </c>
      <c r="K35" s="133">
        <v>0</v>
      </c>
      <c r="L35" s="133">
        <v>0</v>
      </c>
      <c r="M35" s="133">
        <v>0</v>
      </c>
      <c r="N35" s="134"/>
      <c r="O35" s="9" t="s">
        <v>805</v>
      </c>
      <c r="P35" s="184">
        <f t="shared" si="0"/>
        <v>233893703</v>
      </c>
      <c r="Q35" s="135">
        <f t="shared" si="1"/>
        <v>259004.15591606224</v>
      </c>
      <c r="R35" s="135"/>
      <c r="S35" s="136"/>
      <c r="T35" s="9"/>
      <c r="U35" s="134"/>
      <c r="V35" s="137">
        <f t="shared" si="2"/>
        <v>-233893703</v>
      </c>
      <c r="X35" s="163" t="s">
        <v>654</v>
      </c>
      <c r="Y35" s="126" t="b">
        <f t="shared" si="3"/>
        <v>1</v>
      </c>
    </row>
    <row r="36" spans="1:25" ht="14">
      <c r="A36" s="126" t="s">
        <v>929</v>
      </c>
      <c r="B36" s="138" t="s">
        <v>807</v>
      </c>
      <c r="C36" s="126">
        <v>115061</v>
      </c>
      <c r="D36" s="132" t="s">
        <v>655</v>
      </c>
      <c r="E36" s="3" t="s">
        <v>57</v>
      </c>
      <c r="F36" s="133">
        <v>100000</v>
      </c>
      <c r="G36" s="133">
        <v>20000</v>
      </c>
      <c r="H36" s="133">
        <v>80000</v>
      </c>
      <c r="I36" s="133">
        <v>0</v>
      </c>
      <c r="J36" s="133">
        <v>80000</v>
      </c>
      <c r="K36" s="133">
        <v>0</v>
      </c>
      <c r="L36" s="133">
        <v>0</v>
      </c>
      <c r="M36" s="133">
        <v>0</v>
      </c>
      <c r="N36" s="134"/>
      <c r="O36" s="9" t="s">
        <v>805</v>
      </c>
      <c r="P36" s="184">
        <f t="shared" ref="P36" si="11">+J36-K36+L36-M36</f>
        <v>80000</v>
      </c>
      <c r="Q36" s="135">
        <f t="shared" ref="Q36" si="12">P36/$Q$8</f>
        <v>88.588671723603355</v>
      </c>
      <c r="R36" s="135"/>
      <c r="S36" s="136"/>
      <c r="T36" s="9"/>
      <c r="U36" s="134"/>
      <c r="V36" s="137">
        <f t="shared" ref="V36" si="13">U36-P36</f>
        <v>-80000</v>
      </c>
      <c r="X36" s="163" t="s">
        <v>655</v>
      </c>
      <c r="Y36" s="126" t="b">
        <f t="shared" si="3"/>
        <v>1</v>
      </c>
    </row>
    <row r="37" spans="1:25" ht="14">
      <c r="A37" s="204" t="s">
        <v>82</v>
      </c>
      <c r="B37" s="205" t="s">
        <v>807</v>
      </c>
      <c r="C37" s="204">
        <v>115055</v>
      </c>
      <c r="D37" s="132" t="s">
        <v>653</v>
      </c>
      <c r="E37" s="3" t="s">
        <v>56</v>
      </c>
      <c r="F37" s="133">
        <v>183281799</v>
      </c>
      <c r="G37" s="133">
        <v>181910308</v>
      </c>
      <c r="H37" s="133">
        <v>1371491</v>
      </c>
      <c r="I37" s="133">
        <v>0</v>
      </c>
      <c r="J37" s="133">
        <v>1371491</v>
      </c>
      <c r="K37" s="133">
        <v>0</v>
      </c>
      <c r="L37" s="133">
        <v>0</v>
      </c>
      <c r="M37" s="133">
        <v>0</v>
      </c>
      <c r="N37" s="134"/>
      <c r="O37" s="9" t="s">
        <v>805</v>
      </c>
      <c r="P37" s="184">
        <f t="shared" si="0"/>
        <v>1371491</v>
      </c>
      <c r="Q37" s="135">
        <f t="shared" si="1"/>
        <v>1518.732074635956</v>
      </c>
      <c r="R37" s="135"/>
      <c r="S37" s="136"/>
      <c r="T37" s="9"/>
      <c r="U37" s="134"/>
      <c r="V37" s="137">
        <f t="shared" si="2"/>
        <v>-1371491</v>
      </c>
      <c r="X37" s="163" t="s">
        <v>653</v>
      </c>
      <c r="Y37" s="126" t="b">
        <f t="shared" si="3"/>
        <v>1</v>
      </c>
    </row>
    <row r="38" spans="1:25" ht="14">
      <c r="A38" s="126" t="s">
        <v>930</v>
      </c>
      <c r="B38" s="138" t="s">
        <v>809</v>
      </c>
      <c r="C38" s="126">
        <v>116050</v>
      </c>
      <c r="D38" s="132" t="s">
        <v>659</v>
      </c>
      <c r="E38" s="3" t="s">
        <v>55</v>
      </c>
      <c r="F38" s="133">
        <v>2012343198</v>
      </c>
      <c r="G38" s="133">
        <v>534509537</v>
      </c>
      <c r="H38" s="133">
        <v>1477833661</v>
      </c>
      <c r="I38" s="133">
        <v>0</v>
      </c>
      <c r="J38" s="133">
        <v>1477833661</v>
      </c>
      <c r="K38" s="133">
        <v>0</v>
      </c>
      <c r="L38" s="133">
        <v>0</v>
      </c>
      <c r="M38" s="133">
        <v>0</v>
      </c>
      <c r="N38" s="134"/>
      <c r="O38" s="9" t="s">
        <v>810</v>
      </c>
      <c r="P38" s="184">
        <f t="shared" si="0"/>
        <v>1477833661</v>
      </c>
      <c r="Q38" s="135">
        <f t="shared" si="1"/>
        <v>1636491.5132052489</v>
      </c>
      <c r="R38" s="135"/>
      <c r="S38" s="136"/>
      <c r="T38" s="9"/>
      <c r="U38" s="134"/>
      <c r="V38" s="137">
        <f t="shared" ref="V38" si="14">U38-P38</f>
        <v>-1477833661</v>
      </c>
      <c r="X38" s="163" t="s">
        <v>659</v>
      </c>
      <c r="Y38" s="126" t="b">
        <f t="shared" si="3"/>
        <v>1</v>
      </c>
    </row>
    <row r="39" spans="1:25" ht="14">
      <c r="A39" s="126" t="s">
        <v>931</v>
      </c>
      <c r="B39" s="126" t="s">
        <v>809</v>
      </c>
      <c r="C39" s="126">
        <v>116072</v>
      </c>
      <c r="D39" s="132" t="s">
        <v>660</v>
      </c>
      <c r="E39" s="3" t="s">
        <v>54</v>
      </c>
      <c r="F39" s="133">
        <v>35497364</v>
      </c>
      <c r="G39" s="133">
        <v>35497364</v>
      </c>
      <c r="H39" s="133">
        <v>0</v>
      </c>
      <c r="I39" s="133">
        <v>0</v>
      </c>
      <c r="J39" s="133">
        <v>0</v>
      </c>
      <c r="K39" s="133">
        <v>0</v>
      </c>
      <c r="L39" s="133">
        <v>0</v>
      </c>
      <c r="M39" s="133">
        <v>0</v>
      </c>
      <c r="N39" s="134"/>
      <c r="O39" s="9" t="s">
        <v>805</v>
      </c>
      <c r="P39" s="184">
        <f t="shared" si="0"/>
        <v>0</v>
      </c>
      <c r="Q39" s="135">
        <f t="shared" si="1"/>
        <v>0</v>
      </c>
      <c r="R39" s="135"/>
      <c r="S39" s="136"/>
      <c r="T39" s="9"/>
      <c r="U39" s="134"/>
      <c r="V39" s="137">
        <f>U39-P39</f>
        <v>0</v>
      </c>
      <c r="X39" s="163" t="s">
        <v>660</v>
      </c>
      <c r="Y39" s="126" t="b">
        <f t="shared" si="3"/>
        <v>1</v>
      </c>
    </row>
    <row r="40" spans="1:25" ht="14">
      <c r="A40" s="126" t="s">
        <v>931</v>
      </c>
      <c r="B40" s="126" t="s">
        <v>809</v>
      </c>
      <c r="C40" s="126">
        <v>116072</v>
      </c>
      <c r="D40" s="132" t="s">
        <v>661</v>
      </c>
      <c r="E40" s="3" t="s">
        <v>619</v>
      </c>
      <c r="F40" s="133">
        <v>835086075</v>
      </c>
      <c r="G40" s="133">
        <v>561260345</v>
      </c>
      <c r="H40" s="133">
        <v>273825730</v>
      </c>
      <c r="I40" s="133">
        <v>0</v>
      </c>
      <c r="J40" s="133">
        <v>273825730</v>
      </c>
      <c r="K40" s="133">
        <v>0</v>
      </c>
      <c r="L40" s="133">
        <v>0</v>
      </c>
      <c r="M40" s="133">
        <v>0</v>
      </c>
      <c r="N40" s="134"/>
      <c r="O40" s="9" t="s">
        <v>805</v>
      </c>
      <c r="P40" s="184">
        <f t="shared" si="0"/>
        <v>273825730</v>
      </c>
      <c r="Q40" s="135">
        <f t="shared" si="1"/>
        <v>303223.22130557557</v>
      </c>
      <c r="R40" s="135"/>
      <c r="S40" s="136"/>
      <c r="T40" s="9"/>
      <c r="U40" s="134"/>
      <c r="V40" s="137">
        <f t="shared" si="2"/>
        <v>-273825730</v>
      </c>
      <c r="X40" s="163" t="s">
        <v>661</v>
      </c>
      <c r="Y40" s="126" t="b">
        <f t="shared" si="3"/>
        <v>1</v>
      </c>
    </row>
    <row r="41" spans="1:25" ht="14">
      <c r="A41" s="126" t="s">
        <v>87</v>
      </c>
      <c r="B41" s="138" t="s">
        <v>811</v>
      </c>
      <c r="C41" s="126">
        <v>115082</v>
      </c>
      <c r="D41" s="132" t="s">
        <v>658</v>
      </c>
      <c r="E41" s="3" t="s">
        <v>53</v>
      </c>
      <c r="F41" s="133">
        <v>262722387</v>
      </c>
      <c r="G41" s="133">
        <v>262722387</v>
      </c>
      <c r="H41" s="133">
        <v>0</v>
      </c>
      <c r="I41" s="133">
        <v>0</v>
      </c>
      <c r="J41" s="133">
        <v>0</v>
      </c>
      <c r="K41" s="133">
        <v>0</v>
      </c>
      <c r="L41" s="133">
        <v>0</v>
      </c>
      <c r="M41" s="133">
        <v>0</v>
      </c>
      <c r="N41" s="134"/>
      <c r="O41" s="9" t="s">
        <v>805</v>
      </c>
      <c r="P41" s="184">
        <f t="shared" si="0"/>
        <v>0</v>
      </c>
      <c r="Q41" s="135">
        <f t="shared" si="1"/>
        <v>0</v>
      </c>
      <c r="R41" s="135"/>
      <c r="S41" s="136"/>
      <c r="T41" s="9"/>
      <c r="U41" s="134"/>
      <c r="V41" s="137">
        <f t="shared" si="2"/>
        <v>0</v>
      </c>
      <c r="X41" s="163" t="s">
        <v>658</v>
      </c>
      <c r="Y41" s="126" t="b">
        <f t="shared" si="3"/>
        <v>1</v>
      </c>
    </row>
    <row r="42" spans="1:25" ht="14">
      <c r="A42" s="126" t="s">
        <v>87</v>
      </c>
      <c r="B42" s="138" t="s">
        <v>811</v>
      </c>
      <c r="C42" s="126">
        <v>115082</v>
      </c>
      <c r="D42" s="132" t="s">
        <v>656</v>
      </c>
      <c r="E42" s="3" t="s">
        <v>52</v>
      </c>
      <c r="F42" s="133">
        <v>456135707</v>
      </c>
      <c r="G42" s="133">
        <v>99687425</v>
      </c>
      <c r="H42" s="133">
        <v>356448282</v>
      </c>
      <c r="I42" s="133">
        <v>0</v>
      </c>
      <c r="J42" s="133">
        <v>356448282</v>
      </c>
      <c r="K42" s="133">
        <v>0</v>
      </c>
      <c r="L42" s="133">
        <v>0</v>
      </c>
      <c r="M42" s="133">
        <v>0</v>
      </c>
      <c r="N42" s="134"/>
      <c r="O42" s="9" t="s">
        <v>805</v>
      </c>
      <c r="P42" s="184">
        <f t="shared" si="0"/>
        <v>356448282</v>
      </c>
      <c r="Q42" s="135">
        <f t="shared" si="1"/>
        <v>394715.9980067549</v>
      </c>
      <c r="R42" s="135"/>
      <c r="S42" s="136"/>
      <c r="T42" s="9"/>
      <c r="U42" s="134"/>
      <c r="V42" s="137">
        <f t="shared" si="2"/>
        <v>-356448282</v>
      </c>
      <c r="X42" s="163" t="s">
        <v>656</v>
      </c>
      <c r="Y42" s="126" t="b">
        <f t="shared" si="3"/>
        <v>1</v>
      </c>
    </row>
    <row r="43" spans="1:25" ht="14">
      <c r="A43" s="126" t="s">
        <v>932</v>
      </c>
      <c r="B43" s="138" t="s">
        <v>806</v>
      </c>
      <c r="C43" s="126">
        <v>141195</v>
      </c>
      <c r="D43" s="132" t="s">
        <v>664</v>
      </c>
      <c r="E43" s="3" t="s">
        <v>50</v>
      </c>
      <c r="F43" s="133">
        <v>83146237</v>
      </c>
      <c r="G43" s="133">
        <v>25817865</v>
      </c>
      <c r="H43" s="133">
        <v>57328372</v>
      </c>
      <c r="I43" s="133">
        <v>0</v>
      </c>
      <c r="J43" s="133">
        <v>57328372</v>
      </c>
      <c r="K43" s="133">
        <v>0</v>
      </c>
      <c r="L43" s="133">
        <v>0</v>
      </c>
      <c r="M43" s="133">
        <v>0</v>
      </c>
      <c r="N43" s="134"/>
      <c r="O43" s="9" t="s">
        <v>805</v>
      </c>
      <c r="P43" s="184">
        <f t="shared" si="0"/>
        <v>57328372</v>
      </c>
      <c r="Q43" s="135">
        <f t="shared" si="1"/>
        <v>63483.054094457671</v>
      </c>
      <c r="R43" s="135"/>
      <c r="S43" s="136"/>
      <c r="T43" s="9"/>
      <c r="U43" s="134"/>
      <c r="V43" s="137">
        <f t="shared" si="2"/>
        <v>-57328372</v>
      </c>
      <c r="X43" s="163" t="s">
        <v>664</v>
      </c>
      <c r="Y43" s="126" t="b">
        <f t="shared" si="3"/>
        <v>1</v>
      </c>
    </row>
    <row r="44" spans="1:25" ht="14">
      <c r="A44" s="126" t="s">
        <v>933</v>
      </c>
      <c r="B44" s="138" t="s">
        <v>812</v>
      </c>
      <c r="C44" s="126">
        <v>141080</v>
      </c>
      <c r="D44" s="132" t="s">
        <v>813</v>
      </c>
      <c r="E44" s="3" t="s">
        <v>49</v>
      </c>
      <c r="F44" s="133">
        <v>749360787</v>
      </c>
      <c r="G44" s="133">
        <v>0</v>
      </c>
      <c r="H44" s="133">
        <v>749360787</v>
      </c>
      <c r="I44" s="133">
        <v>0</v>
      </c>
      <c r="J44" s="133">
        <v>749360787</v>
      </c>
      <c r="K44" s="133">
        <v>0</v>
      </c>
      <c r="L44" s="133">
        <v>0</v>
      </c>
      <c r="M44" s="133">
        <v>0</v>
      </c>
      <c r="N44" s="134"/>
      <c r="O44" s="9" t="s">
        <v>810</v>
      </c>
      <c r="P44" s="184">
        <f t="shared" si="0"/>
        <v>749360787</v>
      </c>
      <c r="Q44" s="135">
        <f t="shared" si="1"/>
        <v>829810.9595260506</v>
      </c>
      <c r="R44" s="135"/>
      <c r="S44" s="136"/>
      <c r="T44" s="9"/>
      <c r="U44" s="134"/>
      <c r="V44" s="137">
        <f t="shared" si="2"/>
        <v>-749360787</v>
      </c>
      <c r="X44" s="163" t="s">
        <v>813</v>
      </c>
      <c r="Y44" s="126" t="b">
        <f t="shared" si="3"/>
        <v>1</v>
      </c>
    </row>
    <row r="45" spans="1:25" ht="14">
      <c r="A45" s="126" t="s">
        <v>934</v>
      </c>
      <c r="B45" s="126" t="s">
        <v>814</v>
      </c>
      <c r="C45" s="126">
        <v>141070</v>
      </c>
      <c r="D45" s="132" t="s">
        <v>662</v>
      </c>
      <c r="E45" s="3" t="s">
        <v>48</v>
      </c>
      <c r="F45" s="133">
        <v>117850669</v>
      </c>
      <c r="G45" s="133">
        <v>5187174</v>
      </c>
      <c r="H45" s="133">
        <v>112663495</v>
      </c>
      <c r="I45" s="133">
        <v>0</v>
      </c>
      <c r="J45" s="133">
        <v>112663495</v>
      </c>
      <c r="K45" s="133">
        <v>0</v>
      </c>
      <c r="L45" s="133">
        <v>0</v>
      </c>
      <c r="M45" s="133">
        <v>0</v>
      </c>
      <c r="N45" s="134"/>
      <c r="O45" s="9" t="s">
        <v>810</v>
      </c>
      <c r="P45" s="184">
        <f t="shared" si="0"/>
        <v>112663495</v>
      </c>
      <c r="Q45" s="135">
        <f t="shared" si="1"/>
        <v>124758.86717236035</v>
      </c>
      <c r="R45" s="135"/>
      <c r="S45" s="136"/>
      <c r="T45" s="9"/>
      <c r="U45" s="134"/>
      <c r="V45" s="137">
        <f t="shared" si="2"/>
        <v>-112663495</v>
      </c>
      <c r="X45" s="163" t="s">
        <v>662</v>
      </c>
      <c r="Y45" s="126" t="b">
        <f t="shared" si="3"/>
        <v>1</v>
      </c>
    </row>
    <row r="46" spans="1:25" ht="14">
      <c r="A46" s="126" t="s">
        <v>935</v>
      </c>
      <c r="B46" s="138" t="s">
        <v>812</v>
      </c>
      <c r="C46" s="126">
        <v>145000</v>
      </c>
      <c r="D46" s="132" t="s">
        <v>911</v>
      </c>
      <c r="E46" s="3" t="s">
        <v>912</v>
      </c>
      <c r="F46" s="133">
        <v>27748636</v>
      </c>
      <c r="G46" s="133">
        <v>27748636</v>
      </c>
      <c r="H46" s="133">
        <v>0</v>
      </c>
      <c r="I46" s="133">
        <v>0</v>
      </c>
      <c r="J46" s="133">
        <v>0</v>
      </c>
      <c r="K46" s="133">
        <v>0</v>
      </c>
      <c r="L46" s="133">
        <v>0</v>
      </c>
      <c r="M46" s="133">
        <v>0</v>
      </c>
      <c r="N46" s="134"/>
      <c r="O46" s="9" t="s">
        <v>810</v>
      </c>
      <c r="P46" s="184">
        <f t="shared" si="0"/>
        <v>0</v>
      </c>
      <c r="Q46" s="135">
        <f t="shared" si="1"/>
        <v>0</v>
      </c>
      <c r="R46" s="135"/>
      <c r="S46" s="136"/>
      <c r="T46" s="9"/>
      <c r="U46" s="134"/>
      <c r="V46" s="137">
        <f t="shared" ref="V46" si="15">U46-P46</f>
        <v>0</v>
      </c>
      <c r="X46" s="163" t="s">
        <v>911</v>
      </c>
      <c r="Y46" s="126" t="b">
        <f t="shared" si="3"/>
        <v>1</v>
      </c>
    </row>
    <row r="47" spans="1:25" ht="14">
      <c r="A47" s="126" t="s">
        <v>936</v>
      </c>
      <c r="B47" s="138" t="s">
        <v>815</v>
      </c>
      <c r="C47" s="126">
        <v>142080</v>
      </c>
      <c r="D47" s="132" t="s">
        <v>663</v>
      </c>
      <c r="E47" s="3" t="s">
        <v>47</v>
      </c>
      <c r="F47" s="133">
        <v>0</v>
      </c>
      <c r="G47" s="133">
        <v>235314694</v>
      </c>
      <c r="H47" s="133">
        <v>0</v>
      </c>
      <c r="I47" s="133">
        <v>235314694</v>
      </c>
      <c r="J47" s="133">
        <v>0</v>
      </c>
      <c r="K47" s="133">
        <v>235314694</v>
      </c>
      <c r="L47" s="133">
        <v>0</v>
      </c>
      <c r="M47" s="133">
        <v>0</v>
      </c>
      <c r="N47" s="134"/>
      <c r="O47" s="9" t="s">
        <v>810</v>
      </c>
      <c r="P47" s="184">
        <f t="shared" si="0"/>
        <v>-235314694</v>
      </c>
      <c r="Q47" s="135">
        <f t="shared" si="1"/>
        <v>-260577.70223132719</v>
      </c>
      <c r="R47" s="135"/>
      <c r="S47" s="136"/>
      <c r="T47" s="9"/>
      <c r="U47" s="134"/>
      <c r="V47" s="137">
        <f t="shared" si="2"/>
        <v>235314694</v>
      </c>
      <c r="X47" s="163" t="s">
        <v>663</v>
      </c>
      <c r="Y47" s="126" t="b">
        <f t="shared" si="3"/>
        <v>1</v>
      </c>
    </row>
    <row r="48" spans="1:25" ht="14">
      <c r="A48" s="126" t="s">
        <v>937</v>
      </c>
      <c r="B48" s="138" t="s">
        <v>815</v>
      </c>
      <c r="C48" s="126">
        <v>142070</v>
      </c>
      <c r="D48" s="132" t="s">
        <v>666</v>
      </c>
      <c r="E48" s="3" t="s">
        <v>46</v>
      </c>
      <c r="F48" s="133">
        <v>0</v>
      </c>
      <c r="G48" s="133">
        <v>41292706</v>
      </c>
      <c r="H48" s="133">
        <v>0</v>
      </c>
      <c r="I48" s="133">
        <v>41292706</v>
      </c>
      <c r="J48" s="133">
        <v>0</v>
      </c>
      <c r="K48" s="133">
        <v>41292706</v>
      </c>
      <c r="L48" s="133">
        <v>0</v>
      </c>
      <c r="M48" s="133">
        <v>0</v>
      </c>
      <c r="N48" s="134"/>
      <c r="O48" s="9" t="s">
        <v>810</v>
      </c>
      <c r="P48" s="184">
        <f t="shared" si="0"/>
        <v>-41292706</v>
      </c>
      <c r="Q48" s="135">
        <f t="shared" si="1"/>
        <v>-45725.824705165833</v>
      </c>
      <c r="R48" s="135"/>
      <c r="S48" s="136"/>
      <c r="T48" s="9"/>
      <c r="U48" s="134"/>
      <c r="V48" s="137">
        <f t="shared" si="2"/>
        <v>41292706</v>
      </c>
      <c r="X48" s="163" t="s">
        <v>666</v>
      </c>
      <c r="Y48" s="126" t="b">
        <f t="shared" si="3"/>
        <v>1</v>
      </c>
    </row>
    <row r="49" spans="1:25" ht="14">
      <c r="A49" s="126" t="s">
        <v>938</v>
      </c>
      <c r="B49" s="138" t="s">
        <v>817</v>
      </c>
      <c r="C49" s="126">
        <v>224000</v>
      </c>
      <c r="D49" s="132" t="s">
        <v>670</v>
      </c>
      <c r="E49" s="3" t="s">
        <v>671</v>
      </c>
      <c r="F49" s="133">
        <v>11264212</v>
      </c>
      <c r="G49" s="133">
        <v>164366963</v>
      </c>
      <c r="H49" s="133">
        <v>0</v>
      </c>
      <c r="I49" s="133">
        <v>153102751</v>
      </c>
      <c r="J49" s="133">
        <v>0</v>
      </c>
      <c r="K49" s="133">
        <v>153102751</v>
      </c>
      <c r="L49" s="133">
        <v>0</v>
      </c>
      <c r="M49" s="133">
        <v>0</v>
      </c>
      <c r="N49" s="134"/>
      <c r="O49" s="9" t="s">
        <v>805</v>
      </c>
      <c r="P49" s="184">
        <f t="shared" si="0"/>
        <v>-153102751</v>
      </c>
      <c r="Q49" s="135">
        <f t="shared" si="1"/>
        <v>-169539.61685399481</v>
      </c>
      <c r="R49" s="135"/>
      <c r="S49" s="136"/>
      <c r="T49" s="9"/>
      <c r="U49" s="134"/>
      <c r="V49" s="137">
        <f t="shared" si="2"/>
        <v>153102751</v>
      </c>
      <c r="X49" s="163" t="s">
        <v>670</v>
      </c>
      <c r="Y49" s="126" t="b">
        <f t="shared" si="3"/>
        <v>1</v>
      </c>
    </row>
    <row r="50" spans="1:25" ht="14">
      <c r="A50" s="204" t="s">
        <v>938</v>
      </c>
      <c r="B50" s="205" t="s">
        <v>816</v>
      </c>
      <c r="C50" s="204">
        <v>224000</v>
      </c>
      <c r="D50" s="132" t="s">
        <v>984</v>
      </c>
      <c r="E50" s="3" t="s">
        <v>985</v>
      </c>
      <c r="F50" s="133">
        <v>2280839</v>
      </c>
      <c r="G50" s="133">
        <v>5382695</v>
      </c>
      <c r="H50" s="133">
        <v>0</v>
      </c>
      <c r="I50" s="133">
        <v>3101856</v>
      </c>
      <c r="J50" s="133">
        <v>0</v>
      </c>
      <c r="K50" s="133">
        <v>3101856</v>
      </c>
      <c r="L50" s="133">
        <v>0</v>
      </c>
      <c r="M50" s="133">
        <v>0</v>
      </c>
      <c r="N50" s="134"/>
      <c r="O50" s="9" t="s">
        <v>805</v>
      </c>
      <c r="P50" s="184">
        <f t="shared" ref="P50" si="16">+J50-K50+L50-M50</f>
        <v>-3101856</v>
      </c>
      <c r="Q50" s="135">
        <f t="shared" si="1"/>
        <v>-3434.8662864736175</v>
      </c>
      <c r="R50" s="135"/>
      <c r="S50" s="136"/>
      <c r="T50" s="9"/>
      <c r="U50" s="134"/>
      <c r="V50" s="137">
        <f t="shared" ref="V50" si="17">U50-P50</f>
        <v>3101856</v>
      </c>
      <c r="X50" s="163" t="s">
        <v>984</v>
      </c>
      <c r="Y50" s="126" t="b">
        <f t="shared" si="3"/>
        <v>1</v>
      </c>
    </row>
    <row r="51" spans="1:25" ht="14">
      <c r="A51" s="204" t="s">
        <v>938</v>
      </c>
      <c r="B51" s="205" t="s">
        <v>816</v>
      </c>
      <c r="C51" s="204">
        <v>224000</v>
      </c>
      <c r="D51" s="132" t="s">
        <v>672</v>
      </c>
      <c r="E51" s="3" t="s">
        <v>501</v>
      </c>
      <c r="F51" s="133">
        <v>10906136</v>
      </c>
      <c r="G51" s="133">
        <v>10906136</v>
      </c>
      <c r="H51" s="133">
        <v>0</v>
      </c>
      <c r="I51" s="133">
        <v>0</v>
      </c>
      <c r="J51" s="133">
        <v>0</v>
      </c>
      <c r="K51" s="133">
        <v>0</v>
      </c>
      <c r="L51" s="133">
        <v>0</v>
      </c>
      <c r="M51" s="133">
        <v>0</v>
      </c>
      <c r="N51" s="134"/>
      <c r="O51" s="9" t="s">
        <v>805</v>
      </c>
      <c r="P51" s="184">
        <f t="shared" si="0"/>
        <v>0</v>
      </c>
      <c r="Q51" s="135">
        <f t="shared" si="1"/>
        <v>0</v>
      </c>
      <c r="R51" s="135"/>
      <c r="S51" s="136"/>
      <c r="T51" s="9"/>
      <c r="U51" s="134"/>
      <c r="V51" s="137">
        <f t="shared" si="2"/>
        <v>0</v>
      </c>
      <c r="X51" s="163" t="s">
        <v>672</v>
      </c>
      <c r="Y51" s="126" t="b">
        <f t="shared" si="3"/>
        <v>1</v>
      </c>
    </row>
    <row r="52" spans="1:25" ht="14">
      <c r="A52" s="126" t="s">
        <v>186</v>
      </c>
      <c r="B52" s="138" t="s">
        <v>817</v>
      </c>
      <c r="C52" s="126">
        <v>210020</v>
      </c>
      <c r="D52" s="132" t="s">
        <v>668</v>
      </c>
      <c r="E52" s="3" t="s">
        <v>45</v>
      </c>
      <c r="F52" s="133">
        <v>1012899710</v>
      </c>
      <c r="G52" s="133">
        <v>2555117510</v>
      </c>
      <c r="H52" s="133">
        <v>0</v>
      </c>
      <c r="I52" s="133">
        <v>1542217800</v>
      </c>
      <c r="J52" s="133">
        <v>0</v>
      </c>
      <c r="K52" s="133">
        <v>1542217800</v>
      </c>
      <c r="L52" s="133">
        <v>0</v>
      </c>
      <c r="M52" s="133">
        <v>0</v>
      </c>
      <c r="N52" s="134"/>
      <c r="O52" s="9" t="s">
        <v>805</v>
      </c>
      <c r="P52" s="184">
        <f t="shared" si="0"/>
        <v>-1542217800</v>
      </c>
      <c r="Q52" s="135">
        <f t="shared" si="1"/>
        <v>-1707787.830131222</v>
      </c>
      <c r="R52" s="135"/>
      <c r="S52" s="136"/>
      <c r="T52" s="9"/>
      <c r="U52" s="134"/>
      <c r="V52" s="137">
        <f t="shared" si="2"/>
        <v>1542217800</v>
      </c>
      <c r="X52" s="163" t="s">
        <v>668</v>
      </c>
      <c r="Y52" s="126" t="b">
        <f t="shared" si="3"/>
        <v>1</v>
      </c>
    </row>
    <row r="53" spans="1:25" ht="14">
      <c r="A53" s="126" t="s">
        <v>939</v>
      </c>
      <c r="B53" s="139" t="s">
        <v>818</v>
      </c>
      <c r="C53" s="126">
        <v>210010</v>
      </c>
      <c r="D53" s="132" t="s">
        <v>667</v>
      </c>
      <c r="E53" s="3" t="s">
        <v>44</v>
      </c>
      <c r="F53" s="133">
        <v>854562031</v>
      </c>
      <c r="G53" s="133">
        <v>871457822</v>
      </c>
      <c r="H53" s="133">
        <v>0</v>
      </c>
      <c r="I53" s="133">
        <v>16895791</v>
      </c>
      <c r="J53" s="133">
        <v>0</v>
      </c>
      <c r="K53" s="133">
        <v>16895791</v>
      </c>
      <c r="L53" s="133">
        <v>0</v>
      </c>
      <c r="M53" s="133">
        <v>0</v>
      </c>
      <c r="N53" s="134"/>
      <c r="O53" s="9" t="s">
        <v>805</v>
      </c>
      <c r="P53" s="184">
        <f t="shared" si="0"/>
        <v>-16895791</v>
      </c>
      <c r="Q53" s="135">
        <f t="shared" si="1"/>
        <v>-18709.696030120151</v>
      </c>
      <c r="R53" s="135"/>
      <c r="S53" s="136"/>
      <c r="T53" s="9"/>
      <c r="U53" s="134"/>
      <c r="V53" s="137">
        <f t="shared" si="2"/>
        <v>16895791</v>
      </c>
      <c r="X53" s="163" t="s">
        <v>667</v>
      </c>
      <c r="Y53" s="126" t="b">
        <f t="shared" si="3"/>
        <v>1</v>
      </c>
    </row>
    <row r="54" spans="1:25" ht="14">
      <c r="A54" s="126" t="s">
        <v>940</v>
      </c>
      <c r="B54" s="139" t="s">
        <v>818</v>
      </c>
      <c r="C54" s="126">
        <v>210030</v>
      </c>
      <c r="D54" s="132" t="s">
        <v>669</v>
      </c>
      <c r="E54" s="3" t="s">
        <v>43</v>
      </c>
      <c r="F54" s="133">
        <v>2941240</v>
      </c>
      <c r="G54" s="133">
        <v>5669625</v>
      </c>
      <c r="H54" s="133">
        <v>0</v>
      </c>
      <c r="I54" s="133">
        <v>2728385</v>
      </c>
      <c r="J54" s="133">
        <v>0</v>
      </c>
      <c r="K54" s="133">
        <v>2728385</v>
      </c>
      <c r="L54" s="133">
        <v>0</v>
      </c>
      <c r="M54" s="133">
        <v>0</v>
      </c>
      <c r="N54" s="134"/>
      <c r="O54" s="9" t="s">
        <v>805</v>
      </c>
      <c r="P54" s="184">
        <f t="shared" si="0"/>
        <v>-2728385</v>
      </c>
      <c r="Q54" s="135">
        <f t="shared" si="1"/>
        <v>-3021.3000387575439</v>
      </c>
      <c r="R54" s="135"/>
      <c r="S54" s="136"/>
      <c r="T54" s="9"/>
      <c r="U54" s="134"/>
      <c r="V54" s="137">
        <f t="shared" si="2"/>
        <v>2728385</v>
      </c>
      <c r="X54" s="163" t="s">
        <v>669</v>
      </c>
      <c r="Y54" s="126" t="b">
        <f t="shared" si="3"/>
        <v>1</v>
      </c>
    </row>
    <row r="55" spans="1:25" ht="14">
      <c r="A55" s="126" t="s">
        <v>941</v>
      </c>
      <c r="B55" s="138" t="s">
        <v>819</v>
      </c>
      <c r="C55" s="126">
        <v>226030</v>
      </c>
      <c r="D55" s="132" t="s">
        <v>681</v>
      </c>
      <c r="E55" s="3" t="s">
        <v>42</v>
      </c>
      <c r="F55" s="133">
        <v>67090726</v>
      </c>
      <c r="G55" s="133">
        <v>76538576</v>
      </c>
      <c r="H55" s="133">
        <v>0</v>
      </c>
      <c r="I55" s="133">
        <v>9447850</v>
      </c>
      <c r="J55" s="133">
        <v>0</v>
      </c>
      <c r="K55" s="133">
        <v>9447850</v>
      </c>
      <c r="L55" s="133">
        <v>0</v>
      </c>
      <c r="M55" s="133">
        <v>0</v>
      </c>
      <c r="N55" s="134"/>
      <c r="O55" s="9" t="s">
        <v>805</v>
      </c>
      <c r="P55" s="184">
        <f t="shared" si="0"/>
        <v>-9447850</v>
      </c>
      <c r="Q55" s="135">
        <f t="shared" si="1"/>
        <v>-10462.156026798073</v>
      </c>
      <c r="R55" s="135"/>
      <c r="S55" s="136"/>
      <c r="T55" s="9"/>
      <c r="U55" s="134"/>
      <c r="V55" s="137">
        <f t="shared" si="2"/>
        <v>9447850</v>
      </c>
      <c r="X55" s="163" t="s">
        <v>681</v>
      </c>
      <c r="Y55" s="126" t="b">
        <f t="shared" si="3"/>
        <v>1</v>
      </c>
    </row>
    <row r="56" spans="1:25" ht="14">
      <c r="A56" s="204" t="s">
        <v>938</v>
      </c>
      <c r="B56" s="206" t="s">
        <v>818</v>
      </c>
      <c r="C56" s="204">
        <v>224000</v>
      </c>
      <c r="D56" s="132" t="s">
        <v>673</v>
      </c>
      <c r="E56" s="3" t="s">
        <v>618</v>
      </c>
      <c r="F56" s="133">
        <v>5560473</v>
      </c>
      <c r="G56" s="133">
        <v>36688270</v>
      </c>
      <c r="H56" s="133">
        <v>0</v>
      </c>
      <c r="I56" s="133">
        <v>31127797</v>
      </c>
      <c r="J56" s="133">
        <v>0</v>
      </c>
      <c r="K56" s="133">
        <v>31127797</v>
      </c>
      <c r="L56" s="133">
        <v>0</v>
      </c>
      <c r="M56" s="133">
        <v>0</v>
      </c>
      <c r="N56" s="134"/>
      <c r="O56" s="9" t="s">
        <v>805</v>
      </c>
      <c r="P56" s="184">
        <f t="shared" si="0"/>
        <v>-31127797</v>
      </c>
      <c r="Q56" s="135">
        <f t="shared" si="1"/>
        <v>-34469.627373899566</v>
      </c>
      <c r="R56" s="135"/>
      <c r="S56" s="136"/>
      <c r="T56" s="9"/>
      <c r="U56" s="134"/>
      <c r="V56" s="137">
        <f t="shared" si="2"/>
        <v>31127797</v>
      </c>
      <c r="X56" s="163" t="s">
        <v>673</v>
      </c>
      <c r="Y56" s="126" t="b">
        <f t="shared" si="3"/>
        <v>1</v>
      </c>
    </row>
    <row r="57" spans="1:25" ht="14">
      <c r="A57" s="204" t="s">
        <v>938</v>
      </c>
      <c r="B57" s="204" t="s">
        <v>820</v>
      </c>
      <c r="C57" s="204">
        <v>224000</v>
      </c>
      <c r="D57" s="132" t="s">
        <v>682</v>
      </c>
      <c r="E57" s="3" t="s">
        <v>41</v>
      </c>
      <c r="F57" s="133">
        <v>135297446</v>
      </c>
      <c r="G57" s="133">
        <v>181190566</v>
      </c>
      <c r="H57" s="133">
        <v>0</v>
      </c>
      <c r="I57" s="133">
        <v>45893120</v>
      </c>
      <c r="J57" s="133">
        <v>0</v>
      </c>
      <c r="K57" s="133">
        <v>45893120</v>
      </c>
      <c r="L57" s="133">
        <v>0</v>
      </c>
      <c r="M57" s="133">
        <v>0</v>
      </c>
      <c r="N57" s="134"/>
      <c r="O57" s="9" t="s">
        <v>805</v>
      </c>
      <c r="P57" s="184">
        <f t="shared" si="0"/>
        <v>-45893120</v>
      </c>
      <c r="Q57" s="135">
        <f t="shared" si="1"/>
        <v>-50820.131775649192</v>
      </c>
      <c r="R57" s="135"/>
      <c r="S57" s="136"/>
      <c r="T57" s="9"/>
      <c r="U57" s="134"/>
      <c r="V57" s="137">
        <f t="shared" si="2"/>
        <v>45893120</v>
      </c>
      <c r="X57" s="163" t="s">
        <v>682</v>
      </c>
      <c r="Y57" s="126" t="b">
        <f t="shared" si="3"/>
        <v>1</v>
      </c>
    </row>
    <row r="58" spans="1:25" ht="14">
      <c r="A58" s="126" t="s">
        <v>198</v>
      </c>
      <c r="B58" s="139" t="s">
        <v>821</v>
      </c>
      <c r="C58" s="126">
        <v>226060</v>
      </c>
      <c r="D58" s="132" t="s">
        <v>678</v>
      </c>
      <c r="E58" s="3" t="s">
        <v>40</v>
      </c>
      <c r="F58" s="133">
        <v>4760200</v>
      </c>
      <c r="G58" s="133">
        <v>4760200</v>
      </c>
      <c r="H58" s="133">
        <v>0</v>
      </c>
      <c r="I58" s="133">
        <v>0</v>
      </c>
      <c r="J58" s="133">
        <v>0</v>
      </c>
      <c r="K58" s="133">
        <v>0</v>
      </c>
      <c r="L58" s="133">
        <v>0</v>
      </c>
      <c r="M58" s="133">
        <v>0</v>
      </c>
      <c r="N58" s="134"/>
      <c r="O58" s="9" t="s">
        <v>805</v>
      </c>
      <c r="P58" s="184">
        <f t="shared" si="0"/>
        <v>0</v>
      </c>
      <c r="Q58" s="135">
        <f t="shared" si="1"/>
        <v>0</v>
      </c>
      <c r="R58" s="135"/>
      <c r="S58" s="136"/>
      <c r="T58" s="9"/>
      <c r="U58" s="134"/>
      <c r="V58" s="137">
        <f t="shared" si="2"/>
        <v>0</v>
      </c>
      <c r="X58" s="163" t="s">
        <v>678</v>
      </c>
      <c r="Y58" s="126" t="b">
        <f t="shared" si="3"/>
        <v>1</v>
      </c>
    </row>
    <row r="59" spans="1:25" ht="14">
      <c r="A59" s="126" t="s">
        <v>198</v>
      </c>
      <c r="B59" s="138" t="s">
        <v>821</v>
      </c>
      <c r="C59" s="126">
        <v>226060</v>
      </c>
      <c r="D59" s="132" t="s">
        <v>679</v>
      </c>
      <c r="E59" s="3" t="s">
        <v>39</v>
      </c>
      <c r="F59" s="133">
        <v>665126</v>
      </c>
      <c r="G59" s="133">
        <v>665126</v>
      </c>
      <c r="H59" s="133">
        <v>0</v>
      </c>
      <c r="I59" s="133">
        <v>0</v>
      </c>
      <c r="J59" s="133">
        <v>0</v>
      </c>
      <c r="K59" s="133">
        <v>0</v>
      </c>
      <c r="L59" s="133">
        <v>0</v>
      </c>
      <c r="M59" s="133">
        <v>0</v>
      </c>
      <c r="N59" s="134"/>
      <c r="O59" s="9" t="s">
        <v>805</v>
      </c>
      <c r="P59" s="184">
        <f t="shared" si="0"/>
        <v>0</v>
      </c>
      <c r="Q59" s="135">
        <f t="shared" si="1"/>
        <v>0</v>
      </c>
      <c r="R59" s="135"/>
      <c r="S59" s="136"/>
      <c r="T59" s="9"/>
      <c r="U59" s="134"/>
      <c r="V59" s="137">
        <f t="shared" si="2"/>
        <v>0</v>
      </c>
      <c r="X59" s="163" t="s">
        <v>679</v>
      </c>
      <c r="Y59" s="126" t="b">
        <f t="shared" si="3"/>
        <v>1</v>
      </c>
    </row>
    <row r="60" spans="1:25" ht="14">
      <c r="A60" s="126" t="s">
        <v>198</v>
      </c>
      <c r="B60" s="138" t="s">
        <v>821</v>
      </c>
      <c r="C60" s="126">
        <v>226060</v>
      </c>
      <c r="D60" s="132" t="s">
        <v>677</v>
      </c>
      <c r="E60" s="3" t="s">
        <v>38</v>
      </c>
      <c r="F60" s="133">
        <v>291953295</v>
      </c>
      <c r="G60" s="133">
        <v>291953295</v>
      </c>
      <c r="H60" s="133">
        <v>0</v>
      </c>
      <c r="I60" s="133">
        <v>0</v>
      </c>
      <c r="J60" s="133">
        <v>0</v>
      </c>
      <c r="K60" s="133">
        <v>0</v>
      </c>
      <c r="L60" s="133">
        <v>0</v>
      </c>
      <c r="M60" s="133">
        <v>0</v>
      </c>
      <c r="N60" s="134"/>
      <c r="O60" s="9" t="s">
        <v>805</v>
      </c>
      <c r="P60" s="184">
        <f t="shared" si="0"/>
        <v>0</v>
      </c>
      <c r="Q60" s="135">
        <f t="shared" si="1"/>
        <v>0</v>
      </c>
      <c r="R60" s="135"/>
      <c r="S60" s="136"/>
      <c r="T60" s="9"/>
      <c r="U60" s="134"/>
      <c r="V60" s="137">
        <f t="shared" si="2"/>
        <v>0</v>
      </c>
      <c r="X60" s="163" t="s">
        <v>677</v>
      </c>
      <c r="Y60" s="126" t="b">
        <f t="shared" si="3"/>
        <v>1</v>
      </c>
    </row>
    <row r="61" spans="1:25" ht="14">
      <c r="A61" s="126" t="s">
        <v>198</v>
      </c>
      <c r="B61" s="138" t="s">
        <v>821</v>
      </c>
      <c r="C61" s="126">
        <v>226060</v>
      </c>
      <c r="D61" s="132" t="s">
        <v>676</v>
      </c>
      <c r="E61" s="3" t="s">
        <v>37</v>
      </c>
      <c r="F61" s="133">
        <v>5126233</v>
      </c>
      <c r="G61" s="133">
        <v>8999627</v>
      </c>
      <c r="H61" s="133">
        <v>0</v>
      </c>
      <c r="I61" s="133">
        <v>3873394</v>
      </c>
      <c r="J61" s="133">
        <v>0</v>
      </c>
      <c r="K61" s="133">
        <v>3873394</v>
      </c>
      <c r="L61" s="133">
        <v>0</v>
      </c>
      <c r="M61" s="133">
        <v>0</v>
      </c>
      <c r="N61" s="134"/>
      <c r="O61" s="9" t="s">
        <v>805</v>
      </c>
      <c r="P61" s="184">
        <f t="shared" si="0"/>
        <v>-3873394</v>
      </c>
      <c r="Q61" s="135">
        <f t="shared" si="1"/>
        <v>-4289.2353690271857</v>
      </c>
      <c r="R61" s="135"/>
      <c r="S61" s="136"/>
      <c r="T61" s="9"/>
      <c r="U61" s="134"/>
      <c r="V61" s="137">
        <f t="shared" si="2"/>
        <v>3873394</v>
      </c>
      <c r="X61" s="163" t="s">
        <v>676</v>
      </c>
      <c r="Y61" s="126" t="b">
        <f t="shared" si="3"/>
        <v>1</v>
      </c>
    </row>
    <row r="62" spans="1:25" ht="14">
      <c r="A62" s="126" t="s">
        <v>942</v>
      </c>
      <c r="B62" s="138" t="s">
        <v>820</v>
      </c>
      <c r="C62" s="126">
        <v>228011</v>
      </c>
      <c r="D62" s="132" t="s">
        <v>680</v>
      </c>
      <c r="E62" s="3" t="s">
        <v>36</v>
      </c>
      <c r="F62" s="133">
        <v>226943419</v>
      </c>
      <c r="G62" s="133">
        <v>238443754</v>
      </c>
      <c r="H62" s="133">
        <v>0</v>
      </c>
      <c r="I62" s="133">
        <v>11500335</v>
      </c>
      <c r="J62" s="133">
        <v>0</v>
      </c>
      <c r="K62" s="133">
        <v>11500335</v>
      </c>
      <c r="L62" s="133">
        <v>0</v>
      </c>
      <c r="M62" s="133">
        <v>0</v>
      </c>
      <c r="N62" s="134"/>
      <c r="O62" s="9" t="s">
        <v>805</v>
      </c>
      <c r="P62" s="184">
        <f t="shared" si="0"/>
        <v>-11500335</v>
      </c>
      <c r="Q62" s="135">
        <f t="shared" si="1"/>
        <v>-12734.992525330825</v>
      </c>
      <c r="R62" s="135"/>
      <c r="S62" s="136"/>
      <c r="T62" s="9"/>
      <c r="U62" s="134"/>
      <c r="V62" s="137">
        <f t="shared" si="2"/>
        <v>11500335</v>
      </c>
      <c r="X62" s="163" t="s">
        <v>680</v>
      </c>
      <c r="Y62" s="126" t="b">
        <f t="shared" si="3"/>
        <v>1</v>
      </c>
    </row>
    <row r="63" spans="1:25" ht="14">
      <c r="A63" s="126" t="s">
        <v>943</v>
      </c>
      <c r="B63" s="138" t="s">
        <v>822</v>
      </c>
      <c r="C63" s="126">
        <v>310100</v>
      </c>
      <c r="D63" s="132" t="s">
        <v>683</v>
      </c>
      <c r="E63" s="3" t="s">
        <v>35</v>
      </c>
      <c r="F63" s="133">
        <v>0</v>
      </c>
      <c r="G63" s="133">
        <v>5770668867</v>
      </c>
      <c r="H63" s="133">
        <v>0</v>
      </c>
      <c r="I63" s="133">
        <v>5770668867</v>
      </c>
      <c r="J63" s="133">
        <v>0</v>
      </c>
      <c r="K63" s="133">
        <v>5770668867</v>
      </c>
      <c r="L63" s="133">
        <v>0</v>
      </c>
      <c r="M63" s="133">
        <v>0</v>
      </c>
      <c r="N63" s="134"/>
      <c r="O63" s="9" t="s">
        <v>810</v>
      </c>
      <c r="P63" s="184">
        <f t="shared" si="0"/>
        <v>-5770668867</v>
      </c>
      <c r="Q63" s="135">
        <f t="shared" si="1"/>
        <v>-6390198.6235535135</v>
      </c>
      <c r="R63" s="135"/>
      <c r="S63" s="136"/>
      <c r="T63" s="9"/>
      <c r="U63" s="134"/>
      <c r="V63" s="137">
        <f t="shared" si="2"/>
        <v>5770668867</v>
      </c>
      <c r="X63" s="163" t="s">
        <v>683</v>
      </c>
      <c r="Y63" s="126" t="b">
        <f t="shared" si="3"/>
        <v>1</v>
      </c>
    </row>
    <row r="64" spans="1:25" ht="16.55" customHeight="1">
      <c r="A64" s="126" t="s">
        <v>944</v>
      </c>
      <c r="B64" s="141" t="s">
        <v>877</v>
      </c>
      <c r="C64" s="126">
        <v>340100</v>
      </c>
      <c r="D64" s="132" t="s">
        <v>684</v>
      </c>
      <c r="E64" s="3" t="s">
        <v>225</v>
      </c>
      <c r="F64" s="133">
        <v>3154549713</v>
      </c>
      <c r="G64" s="133">
        <v>0</v>
      </c>
      <c r="H64" s="133">
        <v>3154549713</v>
      </c>
      <c r="I64" s="133">
        <v>0</v>
      </c>
      <c r="J64" s="133">
        <v>3154549713</v>
      </c>
      <c r="K64" s="133">
        <v>0</v>
      </c>
      <c r="L64" s="133">
        <v>0</v>
      </c>
      <c r="M64" s="133">
        <v>0</v>
      </c>
      <c r="N64" s="134"/>
      <c r="O64" s="9" t="s">
        <v>805</v>
      </c>
      <c r="P64" s="184">
        <f t="shared" si="0"/>
        <v>3154549713</v>
      </c>
      <c r="Q64" s="135">
        <f t="shared" si="1"/>
        <v>3493217.1120093018</v>
      </c>
      <c r="R64" s="142"/>
      <c r="S64" s="136"/>
      <c r="T64" s="9"/>
      <c r="U64" s="134"/>
      <c r="V64" s="137">
        <f t="shared" si="2"/>
        <v>-3154549713</v>
      </c>
      <c r="X64" s="163" t="s">
        <v>684</v>
      </c>
      <c r="Y64" s="126" t="b">
        <f t="shared" si="3"/>
        <v>1</v>
      </c>
    </row>
    <row r="65" spans="1:25" ht="14">
      <c r="A65" s="126" t="s">
        <v>967</v>
      </c>
      <c r="B65" s="141" t="s">
        <v>830</v>
      </c>
      <c r="C65" s="126">
        <v>510020</v>
      </c>
      <c r="D65" s="132" t="s">
        <v>686</v>
      </c>
      <c r="E65" s="3" t="s">
        <v>614</v>
      </c>
      <c r="F65" s="133">
        <v>56869595</v>
      </c>
      <c r="G65" s="133">
        <v>1023709546</v>
      </c>
      <c r="H65" s="133">
        <v>0</v>
      </c>
      <c r="I65" s="133">
        <v>966839951</v>
      </c>
      <c r="J65" s="133">
        <v>0</v>
      </c>
      <c r="K65" s="133">
        <v>0</v>
      </c>
      <c r="L65" s="133">
        <v>0</v>
      </c>
      <c r="M65" s="133">
        <v>966839951</v>
      </c>
      <c r="N65" s="134"/>
      <c r="O65" s="9" t="s">
        <v>810</v>
      </c>
      <c r="P65" s="184">
        <f>+J65-K65+L65-M65</f>
        <v>-966839951</v>
      </c>
      <c r="Q65" s="135">
        <f t="shared" si="1"/>
        <v>-1070638.3378550468</v>
      </c>
      <c r="R65" s="135"/>
      <c r="S65" s="136"/>
      <c r="T65" s="9"/>
      <c r="U65" s="134"/>
      <c r="V65" s="137">
        <f t="shared" ref="V65" si="18">U65-P65</f>
        <v>966839951</v>
      </c>
      <c r="X65" s="163" t="s">
        <v>686</v>
      </c>
      <c r="Y65" s="126" t="b">
        <f t="shared" si="3"/>
        <v>1</v>
      </c>
    </row>
    <row r="66" spans="1:25" ht="14">
      <c r="A66" s="126" t="s">
        <v>246</v>
      </c>
      <c r="B66" s="141" t="s">
        <v>970</v>
      </c>
      <c r="C66" s="126">
        <v>570500</v>
      </c>
      <c r="D66" s="210" t="s">
        <v>885</v>
      </c>
      <c r="E66" s="3" t="s">
        <v>886</v>
      </c>
      <c r="F66" s="133">
        <v>0</v>
      </c>
      <c r="G66" s="133">
        <v>10765435</v>
      </c>
      <c r="H66" s="133">
        <v>0</v>
      </c>
      <c r="I66" s="133">
        <v>10765435</v>
      </c>
      <c r="J66" s="133">
        <v>0</v>
      </c>
      <c r="K66" s="133">
        <v>0</v>
      </c>
      <c r="L66" s="133">
        <v>0</v>
      </c>
      <c r="M66" s="133">
        <v>10765435</v>
      </c>
      <c r="N66" s="134"/>
      <c r="O66" s="9" t="s">
        <v>810</v>
      </c>
      <c r="P66" s="184">
        <f>+J66-K66+L66-M66</f>
        <v>-10765435</v>
      </c>
      <c r="Q66" s="135">
        <f t="shared" si="1"/>
        <v>-11921.194839709873</v>
      </c>
      <c r="R66" s="135"/>
      <c r="S66" s="211"/>
      <c r="T66" s="9"/>
      <c r="U66" s="134"/>
      <c r="V66" s="137"/>
      <c r="X66" s="163" t="s">
        <v>885</v>
      </c>
      <c r="Y66" s="126" t="b">
        <f t="shared" si="3"/>
        <v>1</v>
      </c>
    </row>
    <row r="67" spans="1:25" ht="16.55" customHeight="1">
      <c r="A67" s="126" t="s">
        <v>945</v>
      </c>
      <c r="B67" s="141" t="s">
        <v>823</v>
      </c>
      <c r="C67" s="126">
        <v>610000</v>
      </c>
      <c r="D67" s="132" t="s">
        <v>688</v>
      </c>
      <c r="E67" s="3" t="s">
        <v>33</v>
      </c>
      <c r="F67" s="133">
        <v>521764218</v>
      </c>
      <c r="G67" s="133">
        <v>20105868</v>
      </c>
      <c r="H67" s="133">
        <v>501658350</v>
      </c>
      <c r="I67" s="133">
        <v>0</v>
      </c>
      <c r="J67" s="133">
        <v>0</v>
      </c>
      <c r="K67" s="133">
        <v>0</v>
      </c>
      <c r="L67" s="133">
        <v>501658350</v>
      </c>
      <c r="M67" s="133">
        <v>0</v>
      </c>
      <c r="N67" s="134"/>
      <c r="O67" s="9" t="s">
        <v>810</v>
      </c>
      <c r="P67" s="184">
        <f t="shared" si="0"/>
        <v>501658350</v>
      </c>
      <c r="Q67" s="135">
        <f t="shared" si="1"/>
        <v>555515.58606943139</v>
      </c>
      <c r="R67" s="135"/>
      <c r="S67" s="136"/>
      <c r="T67" s="9"/>
      <c r="U67" s="134"/>
      <c r="V67" s="137">
        <f t="shared" si="2"/>
        <v>-501658350</v>
      </c>
      <c r="X67" s="163" t="s">
        <v>688</v>
      </c>
      <c r="Y67" s="126" t="b">
        <f t="shared" si="3"/>
        <v>1</v>
      </c>
    </row>
    <row r="68" spans="1:25" ht="16.55" customHeight="1">
      <c r="A68" s="204" t="s">
        <v>946</v>
      </c>
      <c r="B68" s="207" t="s">
        <v>824</v>
      </c>
      <c r="C68" s="204">
        <v>708130</v>
      </c>
      <c r="D68" s="132" t="s">
        <v>765</v>
      </c>
      <c r="E68" s="3" t="s">
        <v>541</v>
      </c>
      <c r="F68" s="133">
        <v>20343976</v>
      </c>
      <c r="G68" s="133">
        <v>8527680</v>
      </c>
      <c r="H68" s="133">
        <v>11816296</v>
      </c>
      <c r="I68" s="133">
        <v>0</v>
      </c>
      <c r="J68" s="133">
        <v>0</v>
      </c>
      <c r="K68" s="133">
        <v>0</v>
      </c>
      <c r="L68" s="133">
        <v>11816296</v>
      </c>
      <c r="M68" s="133">
        <v>0</v>
      </c>
      <c r="N68" s="134"/>
      <c r="O68" s="9" t="s">
        <v>810</v>
      </c>
      <c r="P68" s="184">
        <f t="shared" si="0"/>
        <v>11816296</v>
      </c>
      <c r="Q68" s="135">
        <f t="shared" si="1"/>
        <v>13084.874591661592</v>
      </c>
      <c r="R68" s="135"/>
      <c r="S68" s="136"/>
      <c r="T68" s="9"/>
      <c r="U68" s="134"/>
      <c r="V68" s="137">
        <f t="shared" si="2"/>
        <v>-11816296</v>
      </c>
      <c r="X68" s="163" t="s">
        <v>765</v>
      </c>
      <c r="Y68" s="126" t="b">
        <f t="shared" si="3"/>
        <v>1</v>
      </c>
    </row>
    <row r="69" spans="1:25" ht="16.55" customHeight="1">
      <c r="A69" s="204" t="s">
        <v>947</v>
      </c>
      <c r="B69" s="207" t="s">
        <v>824</v>
      </c>
      <c r="C69" s="204">
        <v>701013</v>
      </c>
      <c r="D69" s="132" t="s">
        <v>730</v>
      </c>
      <c r="E69" s="3" t="s">
        <v>534</v>
      </c>
      <c r="F69" s="133">
        <v>19865543</v>
      </c>
      <c r="G69" s="133">
        <v>7920152</v>
      </c>
      <c r="H69" s="133">
        <v>11945391</v>
      </c>
      <c r="I69" s="133">
        <v>0</v>
      </c>
      <c r="J69" s="133">
        <v>0</v>
      </c>
      <c r="K69" s="133">
        <v>0</v>
      </c>
      <c r="L69" s="133">
        <v>11945391</v>
      </c>
      <c r="M69" s="133">
        <v>0</v>
      </c>
      <c r="N69" s="134"/>
      <c r="O69" s="9" t="s">
        <v>810</v>
      </c>
      <c r="P69" s="184">
        <f t="shared" si="0"/>
        <v>11945391</v>
      </c>
      <c r="Q69" s="135">
        <f t="shared" si="1"/>
        <v>13227.829023863575</v>
      </c>
      <c r="R69" s="135"/>
      <c r="S69" s="136"/>
      <c r="T69" s="9"/>
      <c r="U69" s="134"/>
      <c r="V69" s="137">
        <f t="shared" si="2"/>
        <v>-11945391</v>
      </c>
      <c r="X69" s="163" t="s">
        <v>730</v>
      </c>
      <c r="Y69" s="126" t="b">
        <f t="shared" si="3"/>
        <v>1</v>
      </c>
    </row>
    <row r="70" spans="1:25" ht="16.55" customHeight="1">
      <c r="A70" s="204" t="s">
        <v>946</v>
      </c>
      <c r="B70" s="207" t="s">
        <v>824</v>
      </c>
      <c r="C70" s="204">
        <v>708130</v>
      </c>
      <c r="D70" s="132" t="s">
        <v>722</v>
      </c>
      <c r="E70" s="3" t="s">
        <v>535</v>
      </c>
      <c r="F70" s="133">
        <v>27818810</v>
      </c>
      <c r="G70" s="133">
        <v>10588880</v>
      </c>
      <c r="H70" s="133">
        <v>17229930</v>
      </c>
      <c r="I70" s="133">
        <v>0</v>
      </c>
      <c r="J70" s="133">
        <v>0</v>
      </c>
      <c r="K70" s="133">
        <v>0</v>
      </c>
      <c r="L70" s="133">
        <v>17229930</v>
      </c>
      <c r="M70" s="133">
        <v>0</v>
      </c>
      <c r="N70" s="134"/>
      <c r="O70" s="9" t="s">
        <v>810</v>
      </c>
      <c r="P70" s="184">
        <f t="shared" si="0"/>
        <v>17229930</v>
      </c>
      <c r="Q70" s="135">
        <f t="shared" si="1"/>
        <v>19079.707657383315</v>
      </c>
      <c r="R70" s="135"/>
      <c r="S70" s="136"/>
      <c r="T70" s="9"/>
      <c r="U70" s="134"/>
      <c r="V70" s="137">
        <f t="shared" si="2"/>
        <v>-17229930</v>
      </c>
      <c r="X70" s="163" t="s">
        <v>722</v>
      </c>
      <c r="Y70" s="126" t="b">
        <f t="shared" si="3"/>
        <v>1</v>
      </c>
    </row>
    <row r="71" spans="1:25" ht="16.55" customHeight="1">
      <c r="A71" s="126" t="s">
        <v>493</v>
      </c>
      <c r="B71" s="141" t="s">
        <v>824</v>
      </c>
      <c r="C71" s="126">
        <v>709226</v>
      </c>
      <c r="D71" s="132" t="s">
        <v>731</v>
      </c>
      <c r="E71" s="3" t="s">
        <v>537</v>
      </c>
      <c r="F71" s="133">
        <v>8731382</v>
      </c>
      <c r="G71" s="133">
        <v>249954</v>
      </c>
      <c r="H71" s="133">
        <v>8481428</v>
      </c>
      <c r="I71" s="133">
        <v>0</v>
      </c>
      <c r="J71" s="133">
        <v>0</v>
      </c>
      <c r="K71" s="133">
        <v>0</v>
      </c>
      <c r="L71" s="133">
        <v>8481428</v>
      </c>
      <c r="M71" s="133">
        <v>0</v>
      </c>
      <c r="N71" s="134"/>
      <c r="O71" s="9" t="s">
        <v>810</v>
      </c>
      <c r="P71" s="184">
        <f t="shared" si="0"/>
        <v>8481428</v>
      </c>
      <c r="Q71" s="135">
        <f t="shared" si="1"/>
        <v>9391.9805104922216</v>
      </c>
      <c r="R71" s="135"/>
      <c r="S71" s="136"/>
      <c r="T71" s="9"/>
      <c r="U71" s="134"/>
      <c r="V71" s="137">
        <f t="shared" si="2"/>
        <v>-8481428</v>
      </c>
      <c r="X71" s="163" t="s">
        <v>731</v>
      </c>
      <c r="Y71" s="126" t="b">
        <f t="shared" si="3"/>
        <v>1</v>
      </c>
    </row>
    <row r="72" spans="1:25" ht="16.55" customHeight="1">
      <c r="A72" s="204" t="s">
        <v>4</v>
      </c>
      <c r="B72" s="207" t="s">
        <v>824</v>
      </c>
      <c r="C72" s="204">
        <v>730789</v>
      </c>
      <c r="D72" s="132" t="s">
        <v>890</v>
      </c>
      <c r="E72" s="3" t="s">
        <v>887</v>
      </c>
      <c r="F72" s="133">
        <v>104990</v>
      </c>
      <c r="G72" s="133">
        <v>0</v>
      </c>
      <c r="H72" s="133">
        <v>104990</v>
      </c>
      <c r="I72" s="133">
        <v>0</v>
      </c>
      <c r="J72" s="133">
        <v>0</v>
      </c>
      <c r="K72" s="133">
        <v>0</v>
      </c>
      <c r="L72" s="133">
        <v>104990</v>
      </c>
      <c r="M72" s="133">
        <v>0</v>
      </c>
      <c r="N72" s="134"/>
      <c r="O72" s="9" t="s">
        <v>810</v>
      </c>
      <c r="P72" s="184">
        <f t="shared" si="0"/>
        <v>104990</v>
      </c>
      <c r="Q72" s="135">
        <f t="shared" si="1"/>
        <v>116.26155805326394</v>
      </c>
      <c r="R72" s="135"/>
      <c r="S72" s="136"/>
      <c r="T72" s="9"/>
      <c r="U72" s="134"/>
      <c r="V72" s="137"/>
      <c r="X72" s="163" t="s">
        <v>890</v>
      </c>
      <c r="Y72" s="126" t="b">
        <f t="shared" si="3"/>
        <v>1</v>
      </c>
    </row>
    <row r="73" spans="1:25" ht="16.55" customHeight="1">
      <c r="A73" s="204" t="s">
        <v>4</v>
      </c>
      <c r="B73" s="207" t="s">
        <v>824</v>
      </c>
      <c r="C73" s="204">
        <v>730789</v>
      </c>
      <c r="D73" s="132" t="s">
        <v>968</v>
      </c>
      <c r="E73" s="3" t="s">
        <v>969</v>
      </c>
      <c r="F73" s="133">
        <v>178274</v>
      </c>
      <c r="G73" s="133">
        <v>0</v>
      </c>
      <c r="H73" s="133">
        <v>178274</v>
      </c>
      <c r="I73" s="133">
        <v>0</v>
      </c>
      <c r="J73" s="133">
        <v>0</v>
      </c>
      <c r="K73" s="133">
        <v>0</v>
      </c>
      <c r="L73" s="133">
        <v>178274</v>
      </c>
      <c r="M73" s="133">
        <v>0</v>
      </c>
      <c r="N73" s="134"/>
      <c r="O73" s="9" t="s">
        <v>810</v>
      </c>
      <c r="P73" s="184">
        <f t="shared" si="0"/>
        <v>178274</v>
      </c>
      <c r="Q73" s="135">
        <f t="shared" si="1"/>
        <v>197.4132107856708</v>
      </c>
      <c r="R73" s="135"/>
      <c r="S73" s="136"/>
      <c r="T73" s="9"/>
      <c r="U73" s="134"/>
      <c r="V73" s="137"/>
      <c r="X73" s="163" t="s">
        <v>968</v>
      </c>
      <c r="Y73" s="126" t="b">
        <f t="shared" si="3"/>
        <v>1</v>
      </c>
    </row>
    <row r="74" spans="1:25" ht="14">
      <c r="A74" s="126" t="s">
        <v>290</v>
      </c>
      <c r="B74" s="138" t="s">
        <v>825</v>
      </c>
      <c r="C74" s="126">
        <v>701011</v>
      </c>
      <c r="D74" s="132" t="s">
        <v>693</v>
      </c>
      <c r="E74" s="3" t="s">
        <v>32</v>
      </c>
      <c r="F74" s="133">
        <v>245413637</v>
      </c>
      <c r="G74" s="133">
        <v>72355238</v>
      </c>
      <c r="H74" s="133">
        <v>173058399</v>
      </c>
      <c r="I74" s="133">
        <v>0</v>
      </c>
      <c r="J74" s="133">
        <v>0</v>
      </c>
      <c r="K74" s="133">
        <v>0</v>
      </c>
      <c r="L74" s="133">
        <v>173058399</v>
      </c>
      <c r="M74" s="133">
        <v>0</v>
      </c>
      <c r="N74" s="134"/>
      <c r="O74" s="9" t="s">
        <v>810</v>
      </c>
      <c r="P74" s="184">
        <f t="shared" si="0"/>
        <v>173058399</v>
      </c>
      <c r="Q74" s="135">
        <f t="shared" si="1"/>
        <v>191637.67122529208</v>
      </c>
      <c r="R74" s="135"/>
      <c r="S74" s="136"/>
      <c r="T74" s="9"/>
      <c r="U74" s="134"/>
      <c r="V74" s="137">
        <f t="shared" si="2"/>
        <v>-173058399</v>
      </c>
      <c r="X74" s="163" t="s">
        <v>693</v>
      </c>
      <c r="Y74" s="126" t="b">
        <f t="shared" si="3"/>
        <v>1</v>
      </c>
    </row>
    <row r="75" spans="1:25" ht="14">
      <c r="A75" s="204" t="s">
        <v>299</v>
      </c>
      <c r="B75" s="205" t="s">
        <v>825</v>
      </c>
      <c r="C75" s="204">
        <v>701025</v>
      </c>
      <c r="D75" s="132" t="s">
        <v>691</v>
      </c>
      <c r="E75" s="3" t="s">
        <v>31</v>
      </c>
      <c r="F75" s="133">
        <v>7431815</v>
      </c>
      <c r="G75" s="133">
        <v>1795800</v>
      </c>
      <c r="H75" s="133">
        <v>5636015</v>
      </c>
      <c r="I75" s="133">
        <v>0</v>
      </c>
      <c r="J75" s="133">
        <v>0</v>
      </c>
      <c r="K75" s="133">
        <v>0</v>
      </c>
      <c r="L75" s="133">
        <v>5636015</v>
      </c>
      <c r="M75" s="133">
        <v>0</v>
      </c>
      <c r="N75" s="134"/>
      <c r="O75" s="9" t="s">
        <v>810</v>
      </c>
      <c r="P75" s="184">
        <f t="shared" si="0"/>
        <v>5636015</v>
      </c>
      <c r="Q75" s="135">
        <f t="shared" ref="Q75:Q126" si="19">P75/$Q$8</f>
        <v>6241.0885333038041</v>
      </c>
      <c r="R75" s="135"/>
      <c r="S75" s="136"/>
      <c r="T75" s="9"/>
      <c r="U75" s="134"/>
      <c r="V75" s="137">
        <f>U75-P75</f>
        <v>-5636015</v>
      </c>
      <c r="X75" s="163" t="s">
        <v>691</v>
      </c>
      <c r="Y75" s="126" t="b">
        <f t="shared" ref="Y75:Y90" si="20">EXACT(X75,D75)</f>
        <v>1</v>
      </c>
    </row>
    <row r="76" spans="1:25" ht="14">
      <c r="A76" s="126" t="s">
        <v>310</v>
      </c>
      <c r="B76" s="138" t="s">
        <v>825</v>
      </c>
      <c r="C76" s="126">
        <v>702059</v>
      </c>
      <c r="D76" s="132" t="s">
        <v>706</v>
      </c>
      <c r="E76" s="3" t="s">
        <v>30</v>
      </c>
      <c r="F76" s="133">
        <v>8007119</v>
      </c>
      <c r="G76" s="133">
        <v>1858975</v>
      </c>
      <c r="H76" s="133">
        <v>6148144</v>
      </c>
      <c r="I76" s="133">
        <v>0</v>
      </c>
      <c r="J76" s="133">
        <v>0</v>
      </c>
      <c r="K76" s="133">
        <v>0</v>
      </c>
      <c r="L76" s="133">
        <v>6148144</v>
      </c>
      <c r="M76" s="133">
        <v>0</v>
      </c>
      <c r="N76" s="134"/>
      <c r="O76" s="9" t="s">
        <v>810</v>
      </c>
      <c r="P76" s="184">
        <f t="shared" si="0"/>
        <v>6148144</v>
      </c>
      <c r="Q76" s="135">
        <f t="shared" si="19"/>
        <v>6808.1988815680197</v>
      </c>
      <c r="R76" s="135"/>
      <c r="S76" s="136"/>
      <c r="T76" s="9"/>
      <c r="U76" s="134"/>
      <c r="V76" s="137">
        <f t="shared" si="2"/>
        <v>-6148144</v>
      </c>
      <c r="X76" s="163" t="s">
        <v>706</v>
      </c>
      <c r="Y76" s="126" t="b">
        <f t="shared" si="20"/>
        <v>1</v>
      </c>
    </row>
    <row r="77" spans="1:25" ht="14">
      <c r="A77" s="204" t="s">
        <v>299</v>
      </c>
      <c r="B77" s="205" t="s">
        <v>825</v>
      </c>
      <c r="C77" s="204">
        <v>701025</v>
      </c>
      <c r="D77" s="132" t="s">
        <v>699</v>
      </c>
      <c r="E77" s="3" t="s">
        <v>29</v>
      </c>
      <c r="F77" s="133">
        <v>48413067</v>
      </c>
      <c r="G77" s="133">
        <v>8103026</v>
      </c>
      <c r="H77" s="133">
        <v>40310041</v>
      </c>
      <c r="I77" s="133">
        <v>0</v>
      </c>
      <c r="J77" s="133">
        <v>0</v>
      </c>
      <c r="K77" s="133">
        <v>0</v>
      </c>
      <c r="L77" s="133">
        <v>40310041</v>
      </c>
      <c r="M77" s="133">
        <v>0</v>
      </c>
      <c r="N77" s="134"/>
      <c r="O77" s="9" t="s">
        <v>810</v>
      </c>
      <c r="P77" s="184">
        <f t="shared" si="0"/>
        <v>40310041</v>
      </c>
      <c r="Q77" s="135">
        <f t="shared" si="19"/>
        <v>44637.662366424898</v>
      </c>
      <c r="R77" s="135"/>
      <c r="S77" s="136"/>
      <c r="T77" s="9"/>
      <c r="U77" s="134"/>
      <c r="V77" s="137">
        <f t="shared" si="2"/>
        <v>-40310041</v>
      </c>
      <c r="X77" s="163" t="s">
        <v>699</v>
      </c>
      <c r="Y77" s="126" t="b">
        <f t="shared" si="20"/>
        <v>1</v>
      </c>
    </row>
    <row r="78" spans="1:25" ht="14">
      <c r="A78" s="126" t="s">
        <v>920</v>
      </c>
      <c r="B78" s="138" t="s">
        <v>825</v>
      </c>
      <c r="C78" s="126">
        <v>701026</v>
      </c>
      <c r="D78" s="132" t="s">
        <v>695</v>
      </c>
      <c r="E78" s="3" t="s">
        <v>538</v>
      </c>
      <c r="F78" s="133">
        <v>2825656</v>
      </c>
      <c r="G78" s="133">
        <v>0</v>
      </c>
      <c r="H78" s="133">
        <v>2825656</v>
      </c>
      <c r="I78" s="133">
        <v>0</v>
      </c>
      <c r="J78" s="133">
        <v>0</v>
      </c>
      <c r="K78" s="133">
        <v>0</v>
      </c>
      <c r="L78" s="133">
        <v>2825656</v>
      </c>
      <c r="M78" s="133">
        <v>0</v>
      </c>
      <c r="N78" s="134"/>
      <c r="O78" s="9" t="s">
        <v>810</v>
      </c>
      <c r="P78" s="184">
        <f t="shared" si="0"/>
        <v>2825656</v>
      </c>
      <c r="Q78" s="135">
        <f t="shared" si="19"/>
        <v>3129.013897347877</v>
      </c>
      <c r="R78" s="135"/>
      <c r="S78" s="136"/>
      <c r="T78" s="9"/>
      <c r="U78" s="134"/>
      <c r="V78" s="137">
        <f t="shared" ref="V78" si="21">U78-P78</f>
        <v>-2825656</v>
      </c>
      <c r="X78" s="126" t="s">
        <v>695</v>
      </c>
      <c r="Y78" s="126" t="b">
        <f t="shared" si="20"/>
        <v>1</v>
      </c>
    </row>
    <row r="79" spans="1:25" ht="14">
      <c r="A79" s="126" t="s">
        <v>948</v>
      </c>
      <c r="B79" s="138" t="s">
        <v>825</v>
      </c>
      <c r="C79" s="126">
        <v>702051</v>
      </c>
      <c r="D79" s="132" t="s">
        <v>703</v>
      </c>
      <c r="E79" s="3" t="s">
        <v>26</v>
      </c>
      <c r="F79" s="133">
        <v>2883601</v>
      </c>
      <c r="G79" s="133">
        <v>643555</v>
      </c>
      <c r="H79" s="133">
        <v>2240046</v>
      </c>
      <c r="I79" s="133">
        <v>0</v>
      </c>
      <c r="J79" s="133">
        <v>0</v>
      </c>
      <c r="K79" s="133">
        <v>0</v>
      </c>
      <c r="L79" s="133">
        <v>2240046</v>
      </c>
      <c r="M79" s="133">
        <v>0</v>
      </c>
      <c r="N79" s="134"/>
      <c r="O79" s="9" t="s">
        <v>810</v>
      </c>
      <c r="P79" s="184">
        <f t="shared" ref="P79:P119" si="22">+J79-K79+L79-M79</f>
        <v>2240046</v>
      </c>
      <c r="Q79" s="135">
        <f t="shared" si="19"/>
        <v>2480.533746747135</v>
      </c>
      <c r="R79" s="135"/>
      <c r="S79" s="136"/>
      <c r="T79" s="9"/>
      <c r="U79" s="134"/>
      <c r="V79" s="137">
        <f t="shared" si="2"/>
        <v>-2240046</v>
      </c>
      <c r="X79" s="126" t="s">
        <v>703</v>
      </c>
      <c r="Y79" s="126" t="b">
        <f t="shared" si="20"/>
        <v>1</v>
      </c>
    </row>
    <row r="80" spans="1:25" ht="14">
      <c r="A80" s="126" t="s">
        <v>307</v>
      </c>
      <c r="B80" s="138" t="s">
        <v>825</v>
      </c>
      <c r="C80" s="126">
        <v>702052</v>
      </c>
      <c r="D80" s="132" t="s">
        <v>766</v>
      </c>
      <c r="E80" s="3" t="s">
        <v>25</v>
      </c>
      <c r="F80" s="133">
        <v>4910778</v>
      </c>
      <c r="G80" s="133">
        <v>1095399</v>
      </c>
      <c r="H80" s="133">
        <v>3815379</v>
      </c>
      <c r="I80" s="133">
        <v>0</v>
      </c>
      <c r="J80" s="133">
        <v>0</v>
      </c>
      <c r="K80" s="133">
        <v>0</v>
      </c>
      <c r="L80" s="133">
        <v>3815379</v>
      </c>
      <c r="M80" s="133">
        <v>0</v>
      </c>
      <c r="N80" s="134"/>
      <c r="O80" s="9" t="s">
        <v>810</v>
      </c>
      <c r="P80" s="184">
        <f t="shared" si="22"/>
        <v>3815379</v>
      </c>
      <c r="Q80" s="135">
        <f t="shared" si="19"/>
        <v>4224.9919716516251</v>
      </c>
      <c r="R80" s="135"/>
      <c r="S80" s="136"/>
      <c r="T80" s="9"/>
      <c r="U80" s="134"/>
      <c r="V80" s="137">
        <f t="shared" ref="V80:V124" si="23">U80-P80</f>
        <v>-3815379</v>
      </c>
      <c r="X80" s="126" t="s">
        <v>766</v>
      </c>
      <c r="Y80" s="126" t="b">
        <f t="shared" si="20"/>
        <v>1</v>
      </c>
    </row>
    <row r="81" spans="1:25" ht="14">
      <c r="A81" s="126" t="s">
        <v>307</v>
      </c>
      <c r="B81" s="138" t="s">
        <v>825</v>
      </c>
      <c r="C81" s="126">
        <v>702052</v>
      </c>
      <c r="D81" s="132" t="s">
        <v>978</v>
      </c>
      <c r="E81" s="3" t="s">
        <v>980</v>
      </c>
      <c r="F81" s="133">
        <v>309915</v>
      </c>
      <c r="G81" s="133">
        <v>69168</v>
      </c>
      <c r="H81" s="133">
        <v>240747</v>
      </c>
      <c r="I81" s="133">
        <v>0</v>
      </c>
      <c r="J81" s="133">
        <v>0</v>
      </c>
      <c r="K81" s="133">
        <v>0</v>
      </c>
      <c r="L81" s="133">
        <v>240747</v>
      </c>
      <c r="M81" s="133">
        <v>0</v>
      </c>
      <c r="N81" s="134"/>
      <c r="O81" s="9" t="s">
        <v>810</v>
      </c>
      <c r="P81" s="184">
        <f t="shared" ref="P81:P82" si="24">+J81-K81+L81-M81</f>
        <v>240747</v>
      </c>
      <c r="Q81" s="135">
        <f t="shared" si="19"/>
        <v>266.59321189302921</v>
      </c>
      <c r="R81" s="135"/>
      <c r="S81" s="136"/>
      <c r="T81" s="9"/>
      <c r="U81" s="134"/>
      <c r="V81" s="137">
        <f t="shared" ref="V81:V82" si="25">U81-P81</f>
        <v>-240747</v>
      </c>
      <c r="X81" s="126" t="s">
        <v>978</v>
      </c>
      <c r="Y81" s="126" t="b">
        <f t="shared" si="20"/>
        <v>1</v>
      </c>
    </row>
    <row r="82" spans="1:25" ht="14">
      <c r="A82" s="126" t="s">
        <v>307</v>
      </c>
      <c r="B82" s="138" t="s">
        <v>825</v>
      </c>
      <c r="C82" s="126">
        <v>702052</v>
      </c>
      <c r="D82" s="132" t="s">
        <v>979</v>
      </c>
      <c r="E82" s="3" t="s">
        <v>981</v>
      </c>
      <c r="F82" s="133">
        <v>2833244</v>
      </c>
      <c r="G82" s="133">
        <v>632259</v>
      </c>
      <c r="H82" s="133">
        <v>2200985</v>
      </c>
      <c r="I82" s="133">
        <v>0</v>
      </c>
      <c r="J82" s="133">
        <v>0</v>
      </c>
      <c r="K82" s="133">
        <v>0</v>
      </c>
      <c r="L82" s="133">
        <v>2200985</v>
      </c>
      <c r="M82" s="133">
        <v>0</v>
      </c>
      <c r="N82" s="134"/>
      <c r="O82" s="9" t="s">
        <v>810</v>
      </c>
      <c r="P82" s="184">
        <f t="shared" si="24"/>
        <v>2200985</v>
      </c>
      <c r="Q82" s="135">
        <f t="shared" si="19"/>
        <v>2437.279220419689</v>
      </c>
      <c r="R82" s="135"/>
      <c r="S82" s="136"/>
      <c r="T82" s="9"/>
      <c r="U82" s="134"/>
      <c r="V82" s="137">
        <f t="shared" si="25"/>
        <v>-2200985</v>
      </c>
      <c r="X82" s="126" t="s">
        <v>979</v>
      </c>
      <c r="Y82" s="126" t="b">
        <f t="shared" si="20"/>
        <v>1</v>
      </c>
    </row>
    <row r="83" spans="1:25" ht="14">
      <c r="A83" s="204" t="s">
        <v>435</v>
      </c>
      <c r="B83" s="205" t="s">
        <v>825</v>
      </c>
      <c r="C83" s="204">
        <v>701028</v>
      </c>
      <c r="D83" s="132" t="s">
        <v>883</v>
      </c>
      <c r="E83" s="3" t="s">
        <v>880</v>
      </c>
      <c r="F83" s="133">
        <v>5410005</v>
      </c>
      <c r="G83" s="133">
        <v>7718</v>
      </c>
      <c r="H83" s="133">
        <v>5402287</v>
      </c>
      <c r="I83" s="133">
        <v>0</v>
      </c>
      <c r="J83" s="133">
        <v>0</v>
      </c>
      <c r="K83" s="133">
        <v>0</v>
      </c>
      <c r="L83" s="133">
        <v>5402287</v>
      </c>
      <c r="M83" s="133">
        <v>0</v>
      </c>
      <c r="N83" s="134"/>
      <c r="O83" s="9" t="s">
        <v>810</v>
      </c>
      <c r="P83" s="184">
        <f t="shared" si="22"/>
        <v>5402287</v>
      </c>
      <c r="Q83" s="135">
        <f t="shared" si="19"/>
        <v>5982.2678699961243</v>
      </c>
      <c r="R83" s="135"/>
      <c r="S83" s="136"/>
      <c r="T83" s="9"/>
      <c r="U83" s="134"/>
      <c r="V83" s="137">
        <f t="shared" si="23"/>
        <v>-5402287</v>
      </c>
      <c r="X83" s="126" t="s">
        <v>883</v>
      </c>
      <c r="Y83" s="126" t="b">
        <f t="shared" si="20"/>
        <v>1</v>
      </c>
    </row>
    <row r="84" spans="1:25" ht="14">
      <c r="A84" s="204" t="s">
        <v>949</v>
      </c>
      <c r="B84" s="205" t="s">
        <v>825</v>
      </c>
      <c r="C84" s="204">
        <v>701009</v>
      </c>
      <c r="D84" s="132" t="s">
        <v>701</v>
      </c>
      <c r="E84" s="3" t="s">
        <v>22</v>
      </c>
      <c r="F84" s="133">
        <v>5672845</v>
      </c>
      <c r="G84" s="133">
        <v>80923</v>
      </c>
      <c r="H84" s="133">
        <v>5591922</v>
      </c>
      <c r="I84" s="133">
        <v>0</v>
      </c>
      <c r="J84" s="133">
        <v>0</v>
      </c>
      <c r="K84" s="133">
        <v>0</v>
      </c>
      <c r="L84" s="133">
        <v>5591922</v>
      </c>
      <c r="M84" s="133">
        <v>0</v>
      </c>
      <c r="N84" s="134"/>
      <c r="O84" s="9" t="s">
        <v>810</v>
      </c>
      <c r="P84" s="184">
        <f t="shared" si="22"/>
        <v>5591922</v>
      </c>
      <c r="Q84" s="135">
        <f t="shared" si="19"/>
        <v>6192.2617795249434</v>
      </c>
      <c r="R84" s="135"/>
      <c r="S84" s="136"/>
      <c r="T84" s="9"/>
      <c r="U84" s="134"/>
      <c r="V84" s="137">
        <f t="shared" si="23"/>
        <v>-5591922</v>
      </c>
      <c r="X84" s="126" t="s">
        <v>701</v>
      </c>
      <c r="Y84" s="126" t="b">
        <f t="shared" si="20"/>
        <v>1</v>
      </c>
    </row>
    <row r="85" spans="1:25" ht="14">
      <c r="A85" s="204" t="s">
        <v>947</v>
      </c>
      <c r="B85" s="205" t="s">
        <v>825</v>
      </c>
      <c r="C85" s="204">
        <v>701013</v>
      </c>
      <c r="D85" s="132" t="s">
        <v>696</v>
      </c>
      <c r="E85" s="3" t="s">
        <v>21</v>
      </c>
      <c r="F85" s="133">
        <v>23649973</v>
      </c>
      <c r="G85" s="133">
        <v>360252</v>
      </c>
      <c r="H85" s="133">
        <v>23289721</v>
      </c>
      <c r="I85" s="133">
        <v>0</v>
      </c>
      <c r="J85" s="133">
        <v>0</v>
      </c>
      <c r="K85" s="133">
        <v>0</v>
      </c>
      <c r="L85" s="133">
        <v>23289721</v>
      </c>
      <c r="M85" s="133">
        <v>0</v>
      </c>
      <c r="N85" s="134"/>
      <c r="O85" s="9" t="s">
        <v>810</v>
      </c>
      <c r="P85" s="184">
        <f t="shared" si="22"/>
        <v>23289721</v>
      </c>
      <c r="Q85" s="135">
        <f t="shared" si="19"/>
        <v>25790.068102541391</v>
      </c>
      <c r="R85" s="135"/>
      <c r="S85" s="136"/>
      <c r="T85" s="9"/>
      <c r="U85" s="134"/>
      <c r="V85" s="137">
        <f t="shared" si="23"/>
        <v>-23289721</v>
      </c>
      <c r="X85" s="126" t="s">
        <v>696</v>
      </c>
      <c r="Y85" s="126" t="b">
        <f t="shared" si="20"/>
        <v>1</v>
      </c>
    </row>
    <row r="86" spans="1:25" ht="14">
      <c r="A86" s="126" t="s">
        <v>950</v>
      </c>
      <c r="B86" s="138" t="s">
        <v>824</v>
      </c>
      <c r="C86" s="126">
        <v>704083</v>
      </c>
      <c r="D86" s="132" t="s">
        <v>708</v>
      </c>
      <c r="E86" s="3" t="s">
        <v>28</v>
      </c>
      <c r="F86" s="133">
        <v>12288166</v>
      </c>
      <c r="G86" s="133">
        <v>3302000</v>
      </c>
      <c r="H86" s="133">
        <v>8986166</v>
      </c>
      <c r="I86" s="133">
        <v>0</v>
      </c>
      <c r="J86" s="133">
        <v>0</v>
      </c>
      <c r="K86" s="133">
        <v>0</v>
      </c>
      <c r="L86" s="133">
        <v>8986166</v>
      </c>
      <c r="M86" s="133">
        <v>0</v>
      </c>
      <c r="N86" s="134"/>
      <c r="O86" s="9" t="s">
        <v>810</v>
      </c>
      <c r="P86" s="184">
        <f t="shared" si="22"/>
        <v>8986166</v>
      </c>
      <c r="Q86" s="135">
        <f t="shared" si="19"/>
        <v>9950.9063728475721</v>
      </c>
      <c r="R86" s="135"/>
      <c r="S86" s="136"/>
      <c r="T86" s="9"/>
      <c r="U86" s="134"/>
      <c r="V86" s="137">
        <f t="shared" si="23"/>
        <v>-8986166</v>
      </c>
      <c r="X86" s="126" t="s">
        <v>708</v>
      </c>
      <c r="Y86" s="126" t="b">
        <f t="shared" si="20"/>
        <v>1</v>
      </c>
    </row>
    <row r="87" spans="1:25" ht="14">
      <c r="A87" s="126" t="s">
        <v>951</v>
      </c>
      <c r="B87" s="138" t="s">
        <v>824</v>
      </c>
      <c r="C87" s="126">
        <v>704086</v>
      </c>
      <c r="D87" s="132" t="s">
        <v>763</v>
      </c>
      <c r="E87" s="3" t="s">
        <v>27</v>
      </c>
      <c r="F87" s="133">
        <v>12288166</v>
      </c>
      <c r="G87" s="133">
        <v>3302000</v>
      </c>
      <c r="H87" s="133">
        <v>8986166</v>
      </c>
      <c r="I87" s="133">
        <v>0</v>
      </c>
      <c r="J87" s="133">
        <v>0</v>
      </c>
      <c r="K87" s="133">
        <v>0</v>
      </c>
      <c r="L87" s="133">
        <v>8986166</v>
      </c>
      <c r="M87" s="133">
        <v>0</v>
      </c>
      <c r="N87" s="134"/>
      <c r="O87" s="9" t="s">
        <v>810</v>
      </c>
      <c r="P87" s="184">
        <f t="shared" si="22"/>
        <v>8986166</v>
      </c>
      <c r="Q87" s="135">
        <f t="shared" si="19"/>
        <v>9950.9063728475721</v>
      </c>
      <c r="R87" s="135"/>
      <c r="S87" s="136"/>
      <c r="T87" s="9"/>
      <c r="U87" s="134"/>
      <c r="V87" s="137">
        <f t="shared" si="23"/>
        <v>-8986166</v>
      </c>
      <c r="X87" s="126" t="s">
        <v>763</v>
      </c>
      <c r="Y87" s="126" t="b">
        <f t="shared" si="20"/>
        <v>1</v>
      </c>
    </row>
    <row r="88" spans="1:25" ht="14">
      <c r="A88" s="208" t="s">
        <v>346</v>
      </c>
      <c r="B88" s="209" t="s">
        <v>824</v>
      </c>
      <c r="C88" s="126">
        <v>712362</v>
      </c>
      <c r="D88" s="132" t="s">
        <v>735</v>
      </c>
      <c r="E88" s="3" t="s">
        <v>24</v>
      </c>
      <c r="F88" s="133">
        <v>5644358</v>
      </c>
      <c r="G88" s="133">
        <v>1563513</v>
      </c>
      <c r="H88" s="133">
        <v>4080845</v>
      </c>
      <c r="I88" s="133">
        <v>0</v>
      </c>
      <c r="J88" s="133">
        <v>0</v>
      </c>
      <c r="K88" s="133">
        <v>0</v>
      </c>
      <c r="L88" s="133">
        <v>4080845</v>
      </c>
      <c r="M88" s="133">
        <v>0</v>
      </c>
      <c r="N88" s="134"/>
      <c r="O88" s="9" t="s">
        <v>810</v>
      </c>
      <c r="P88" s="184">
        <f t="shared" si="22"/>
        <v>4080845</v>
      </c>
      <c r="Q88" s="135">
        <f t="shared" si="19"/>
        <v>4518.9579757488509</v>
      </c>
      <c r="R88" s="135"/>
      <c r="S88" s="136"/>
      <c r="T88" s="9"/>
      <c r="U88" s="134"/>
      <c r="V88" s="137">
        <f t="shared" si="23"/>
        <v>-4080845</v>
      </c>
      <c r="X88" s="126" t="s">
        <v>735</v>
      </c>
      <c r="Y88" s="126" t="b">
        <f t="shared" si="20"/>
        <v>1</v>
      </c>
    </row>
    <row r="89" spans="1:25" ht="14">
      <c r="A89" s="204" t="s">
        <v>952</v>
      </c>
      <c r="B89" s="205" t="s">
        <v>824</v>
      </c>
      <c r="C89" s="204">
        <v>706111</v>
      </c>
      <c r="D89" s="132" t="s">
        <v>710</v>
      </c>
      <c r="E89" s="3" t="s">
        <v>20</v>
      </c>
      <c r="F89" s="133">
        <v>13140850</v>
      </c>
      <c r="G89" s="133">
        <v>3144450</v>
      </c>
      <c r="H89" s="133">
        <v>9996400</v>
      </c>
      <c r="I89" s="133">
        <v>0</v>
      </c>
      <c r="J89" s="133">
        <v>0</v>
      </c>
      <c r="K89" s="133">
        <v>0</v>
      </c>
      <c r="L89" s="133">
        <v>9996400</v>
      </c>
      <c r="M89" s="133">
        <v>0</v>
      </c>
      <c r="N89" s="134"/>
      <c r="O89" s="9" t="s">
        <v>810</v>
      </c>
      <c r="P89" s="184">
        <f t="shared" si="22"/>
        <v>9996400</v>
      </c>
      <c r="Q89" s="135">
        <f t="shared" si="19"/>
        <v>11069.597475222856</v>
      </c>
      <c r="R89" s="135"/>
      <c r="S89" s="136"/>
      <c r="T89" s="9"/>
      <c r="U89" s="134"/>
      <c r="V89" s="137">
        <f>U89-P89</f>
        <v>-9996400</v>
      </c>
      <c r="X89" s="126" t="s">
        <v>710</v>
      </c>
      <c r="Y89" s="126" t="b">
        <f t="shared" si="20"/>
        <v>1</v>
      </c>
    </row>
    <row r="90" spans="1:25" ht="14">
      <c r="A90" s="204" t="s">
        <v>952</v>
      </c>
      <c r="B90" s="205" t="s">
        <v>824</v>
      </c>
      <c r="C90" s="204">
        <v>706111</v>
      </c>
      <c r="D90" s="132" t="s">
        <v>713</v>
      </c>
      <c r="E90" s="3" t="s">
        <v>19</v>
      </c>
      <c r="F90" s="133">
        <v>18694340</v>
      </c>
      <c r="G90" s="133">
        <v>3893716</v>
      </c>
      <c r="H90" s="133">
        <v>14800624</v>
      </c>
      <c r="I90" s="133">
        <v>0</v>
      </c>
      <c r="J90" s="133">
        <v>0</v>
      </c>
      <c r="K90" s="133">
        <v>0</v>
      </c>
      <c r="L90" s="133">
        <v>14800624</v>
      </c>
      <c r="M90" s="133">
        <v>0</v>
      </c>
      <c r="N90" s="134"/>
      <c r="O90" s="9" t="s">
        <v>810</v>
      </c>
      <c r="P90" s="184">
        <f t="shared" si="22"/>
        <v>14800624</v>
      </c>
      <c r="Q90" s="135">
        <f t="shared" si="19"/>
        <v>16389.595260506063</v>
      </c>
      <c r="R90" s="135"/>
      <c r="S90" s="136"/>
      <c r="T90" s="9"/>
      <c r="U90" s="134"/>
      <c r="V90" s="137">
        <f t="shared" si="23"/>
        <v>-14800624</v>
      </c>
      <c r="X90" s="126" t="s">
        <v>713</v>
      </c>
      <c r="Y90" s="126" t="b">
        <f t="shared" si="20"/>
        <v>1</v>
      </c>
    </row>
    <row r="91" spans="1:25" ht="14">
      <c r="A91" s="126" t="s">
        <v>953</v>
      </c>
      <c r="B91" s="138" t="s">
        <v>824</v>
      </c>
      <c r="C91" s="126">
        <v>721751</v>
      </c>
      <c r="D91" s="132" t="s">
        <v>738</v>
      </c>
      <c r="E91" s="3" t="s">
        <v>487</v>
      </c>
      <c r="F91" s="133">
        <v>1450399</v>
      </c>
      <c r="G91" s="133">
        <v>179571</v>
      </c>
      <c r="H91" s="133">
        <v>1270828</v>
      </c>
      <c r="I91" s="133">
        <v>0</v>
      </c>
      <c r="J91" s="133">
        <v>0</v>
      </c>
      <c r="K91" s="133">
        <v>0</v>
      </c>
      <c r="L91" s="133">
        <v>1270828</v>
      </c>
      <c r="M91" s="133">
        <v>0</v>
      </c>
      <c r="N91" s="134"/>
      <c r="O91" s="9" t="s">
        <v>810</v>
      </c>
      <c r="P91" s="184">
        <f t="shared" ref="P91" si="26">+J91-K91+L91-M91</f>
        <v>1270828</v>
      </c>
      <c r="Q91" s="135">
        <f t="shared" ref="Q91" si="27">P91/$Q$8</f>
        <v>1407.2620563645426</v>
      </c>
      <c r="R91" s="135"/>
      <c r="S91" s="136"/>
      <c r="T91" s="9"/>
      <c r="U91" s="134"/>
      <c r="V91" s="137">
        <f t="shared" ref="V91" si="28">U91-P91</f>
        <v>-1270828</v>
      </c>
      <c r="X91" s="126" t="s">
        <v>738</v>
      </c>
      <c r="Y91" s="126" t="b">
        <f t="shared" ref="Y91:Y126" si="29">EXACT(X91,D91)</f>
        <v>1</v>
      </c>
    </row>
    <row r="92" spans="1:25" ht="14">
      <c r="A92" s="126" t="s">
        <v>953</v>
      </c>
      <c r="B92" s="138" t="s">
        <v>824</v>
      </c>
      <c r="C92" s="126">
        <v>721751</v>
      </c>
      <c r="D92" s="132" t="s">
        <v>711</v>
      </c>
      <c r="E92" s="3" t="s">
        <v>590</v>
      </c>
      <c r="F92" s="133">
        <v>2958536</v>
      </c>
      <c r="G92" s="133">
        <v>1072000</v>
      </c>
      <c r="H92" s="133">
        <v>1886536</v>
      </c>
      <c r="I92" s="133">
        <v>0</v>
      </c>
      <c r="J92" s="133">
        <v>0</v>
      </c>
      <c r="K92" s="133">
        <v>0</v>
      </c>
      <c r="L92" s="133">
        <v>1886536</v>
      </c>
      <c r="M92" s="133">
        <v>0</v>
      </c>
      <c r="N92" s="134"/>
      <c r="O92" s="9" t="s">
        <v>810</v>
      </c>
      <c r="P92" s="184">
        <f t="shared" si="22"/>
        <v>1886536</v>
      </c>
      <c r="Q92" s="135">
        <f t="shared" si="19"/>
        <v>2089.0714799844973</v>
      </c>
      <c r="R92" s="135"/>
      <c r="S92" s="136"/>
      <c r="T92" s="9"/>
      <c r="U92" s="134"/>
      <c r="V92" s="137">
        <f t="shared" si="23"/>
        <v>-1886536</v>
      </c>
      <c r="X92" s="126" t="s">
        <v>711</v>
      </c>
      <c r="Y92" s="126" t="b">
        <f t="shared" si="29"/>
        <v>1</v>
      </c>
    </row>
    <row r="93" spans="1:25" ht="14">
      <c r="A93" s="204" t="s">
        <v>323</v>
      </c>
      <c r="B93" s="205" t="s">
        <v>824</v>
      </c>
      <c r="C93" s="204">
        <v>707121</v>
      </c>
      <c r="D93" s="132" t="s">
        <v>719</v>
      </c>
      <c r="E93" s="3" t="s">
        <v>18</v>
      </c>
      <c r="F93" s="133">
        <v>272514740</v>
      </c>
      <c r="G93" s="133">
        <v>8693449</v>
      </c>
      <c r="H93" s="133">
        <v>263821291</v>
      </c>
      <c r="I93" s="133">
        <v>0</v>
      </c>
      <c r="J93" s="133">
        <v>0</v>
      </c>
      <c r="K93" s="133">
        <v>0</v>
      </c>
      <c r="L93" s="133">
        <v>263821291</v>
      </c>
      <c r="M93" s="133">
        <v>0</v>
      </c>
      <c r="N93" s="134"/>
      <c r="O93" s="9" t="s">
        <v>810</v>
      </c>
      <c r="P93" s="184">
        <f t="shared" si="22"/>
        <v>263821291</v>
      </c>
      <c r="Q93" s="135">
        <f t="shared" si="19"/>
        <v>292144.7217762029</v>
      </c>
      <c r="R93" s="135"/>
      <c r="S93" s="136"/>
      <c r="T93" s="9"/>
      <c r="U93" s="134"/>
      <c r="V93" s="137">
        <f t="shared" si="23"/>
        <v>-263821291</v>
      </c>
      <c r="X93" s="126" t="s">
        <v>719</v>
      </c>
      <c r="Y93" s="126" t="b">
        <f t="shared" si="29"/>
        <v>1</v>
      </c>
    </row>
    <row r="94" spans="1:25" ht="14">
      <c r="A94" s="204" t="s">
        <v>323</v>
      </c>
      <c r="B94" s="205" t="s">
        <v>824</v>
      </c>
      <c r="C94" s="204">
        <v>707121</v>
      </c>
      <c r="D94" s="132" t="s">
        <v>720</v>
      </c>
      <c r="E94" s="3" t="s">
        <v>17</v>
      </c>
      <c r="F94" s="133">
        <v>12437499</v>
      </c>
      <c r="G94" s="133">
        <v>0</v>
      </c>
      <c r="H94" s="133">
        <v>12437499</v>
      </c>
      <c r="I94" s="133">
        <v>0</v>
      </c>
      <c r="J94" s="133">
        <v>0</v>
      </c>
      <c r="K94" s="133">
        <v>0</v>
      </c>
      <c r="L94" s="133">
        <v>12437499</v>
      </c>
      <c r="M94" s="133">
        <v>0</v>
      </c>
      <c r="N94" s="134"/>
      <c r="O94" s="9" t="s">
        <v>810</v>
      </c>
      <c r="P94" s="184">
        <f t="shared" si="22"/>
        <v>12437499</v>
      </c>
      <c r="Q94" s="135">
        <f t="shared" si="19"/>
        <v>13772.768949670561</v>
      </c>
      <c r="R94" s="135"/>
      <c r="S94" s="136"/>
      <c r="T94" s="9"/>
      <c r="U94" s="134"/>
      <c r="V94" s="137">
        <f t="shared" si="23"/>
        <v>-12437499</v>
      </c>
      <c r="X94" s="126" t="s">
        <v>720</v>
      </c>
      <c r="Y94" s="126" t="b">
        <f t="shared" si="29"/>
        <v>1</v>
      </c>
    </row>
    <row r="95" spans="1:25" ht="14">
      <c r="A95" s="204" t="s">
        <v>357</v>
      </c>
      <c r="B95" s="205" t="s">
        <v>824</v>
      </c>
      <c r="C95" s="204">
        <v>730765</v>
      </c>
      <c r="D95" s="132" t="s">
        <v>859</v>
      </c>
      <c r="E95" s="3" t="s">
        <v>357</v>
      </c>
      <c r="F95" s="133">
        <v>4853316</v>
      </c>
      <c r="G95" s="133">
        <v>2479746</v>
      </c>
      <c r="H95" s="133">
        <v>2373570</v>
      </c>
      <c r="I95" s="133">
        <v>0</v>
      </c>
      <c r="J95" s="133">
        <v>0</v>
      </c>
      <c r="K95" s="133">
        <v>0</v>
      </c>
      <c r="L95" s="133">
        <v>2373570</v>
      </c>
      <c r="M95" s="133">
        <v>0</v>
      </c>
      <c r="N95" s="134"/>
      <c r="O95" s="9" t="s">
        <v>810</v>
      </c>
      <c r="P95" s="184">
        <f t="shared" si="22"/>
        <v>2373570</v>
      </c>
      <c r="Q95" s="135">
        <f t="shared" si="19"/>
        <v>2628.3926692874152</v>
      </c>
      <c r="R95" s="135"/>
      <c r="S95" s="136"/>
      <c r="T95" s="9"/>
      <c r="U95" s="134"/>
      <c r="V95" s="137"/>
      <c r="X95" s="126" t="s">
        <v>859</v>
      </c>
      <c r="Y95" s="126" t="b">
        <f t="shared" si="29"/>
        <v>1</v>
      </c>
    </row>
    <row r="96" spans="1:25" ht="14">
      <c r="A96" s="204" t="s">
        <v>357</v>
      </c>
      <c r="B96" s="205" t="s">
        <v>824</v>
      </c>
      <c r="C96" s="204">
        <v>730765</v>
      </c>
      <c r="D96" s="132" t="s">
        <v>861</v>
      </c>
      <c r="E96" s="3" t="s">
        <v>345</v>
      </c>
      <c r="F96" s="133">
        <v>234000</v>
      </c>
      <c r="G96" s="133">
        <v>0</v>
      </c>
      <c r="H96" s="133">
        <v>234000</v>
      </c>
      <c r="I96" s="133">
        <v>0</v>
      </c>
      <c r="J96" s="133">
        <v>0</v>
      </c>
      <c r="K96" s="133">
        <v>0</v>
      </c>
      <c r="L96" s="133">
        <v>234000</v>
      </c>
      <c r="M96" s="133">
        <v>0</v>
      </c>
      <c r="N96" s="134"/>
      <c r="O96" s="9" t="s">
        <v>810</v>
      </c>
      <c r="P96" s="184">
        <f t="shared" ref="P96" si="30">+J96-K96+L96-M96</f>
        <v>234000</v>
      </c>
      <c r="Q96" s="135">
        <f t="shared" ref="Q96" si="31">P96/$Q$8</f>
        <v>259.12186479153979</v>
      </c>
      <c r="R96" s="135"/>
      <c r="S96" s="136"/>
      <c r="T96" s="9"/>
      <c r="U96" s="134"/>
      <c r="V96" s="137"/>
      <c r="X96" s="126" t="s">
        <v>861</v>
      </c>
      <c r="Y96" s="126" t="b">
        <f t="shared" si="29"/>
        <v>1</v>
      </c>
    </row>
    <row r="97" spans="1:25" ht="14">
      <c r="A97" s="204" t="s">
        <v>357</v>
      </c>
      <c r="B97" s="205" t="s">
        <v>824</v>
      </c>
      <c r="C97" s="204">
        <v>730765</v>
      </c>
      <c r="D97" s="132" t="s">
        <v>991</v>
      </c>
      <c r="E97" s="3" t="s">
        <v>992</v>
      </c>
      <c r="F97" s="133">
        <v>900000</v>
      </c>
      <c r="G97" s="133">
        <v>1395860</v>
      </c>
      <c r="H97" s="133">
        <v>0</v>
      </c>
      <c r="I97" s="133">
        <v>495860</v>
      </c>
      <c r="J97" s="133">
        <v>0</v>
      </c>
      <c r="K97" s="133">
        <v>0</v>
      </c>
      <c r="L97" s="133">
        <v>0</v>
      </c>
      <c r="M97" s="133">
        <v>495860</v>
      </c>
      <c r="N97" s="134"/>
      <c r="O97" s="9" t="s">
        <v>810</v>
      </c>
      <c r="P97" s="184">
        <f t="shared" ref="P97" si="32">+J97-K97+L97-M97</f>
        <v>-495860</v>
      </c>
      <c r="Q97" s="135">
        <f t="shared" si="19"/>
        <v>-549.09473451082442</v>
      </c>
      <c r="R97" s="135"/>
      <c r="S97" s="136"/>
      <c r="T97" s="9"/>
      <c r="U97" s="134"/>
      <c r="V97" s="137"/>
      <c r="X97" s="126" t="s">
        <v>991</v>
      </c>
      <c r="Y97" s="126" t="b">
        <f t="shared" si="29"/>
        <v>1</v>
      </c>
    </row>
    <row r="98" spans="1:25" ht="14">
      <c r="A98" s="204" t="s">
        <v>343</v>
      </c>
      <c r="B98" s="205" t="s">
        <v>824</v>
      </c>
      <c r="C98" s="204">
        <v>711353</v>
      </c>
      <c r="D98" s="132" t="s">
        <v>733</v>
      </c>
      <c r="E98" s="3" t="s">
        <v>447</v>
      </c>
      <c r="F98" s="133">
        <v>3520523</v>
      </c>
      <c r="G98" s="133">
        <v>1011068</v>
      </c>
      <c r="H98" s="133">
        <v>2509455</v>
      </c>
      <c r="I98" s="133">
        <v>0</v>
      </c>
      <c r="J98" s="133">
        <v>0</v>
      </c>
      <c r="K98" s="133">
        <v>0</v>
      </c>
      <c r="L98" s="133">
        <v>2509455</v>
      </c>
      <c r="M98" s="133">
        <v>0</v>
      </c>
      <c r="N98" s="134"/>
      <c r="O98" s="9" t="s">
        <v>810</v>
      </c>
      <c r="P98" s="184">
        <f t="shared" si="22"/>
        <v>2509455</v>
      </c>
      <c r="Q98" s="135">
        <f t="shared" si="19"/>
        <v>2778.8660650019378</v>
      </c>
      <c r="R98" s="135"/>
      <c r="S98" s="136"/>
      <c r="T98" s="9"/>
      <c r="U98" s="134"/>
      <c r="V98" s="137">
        <f t="shared" si="23"/>
        <v>-2509455</v>
      </c>
      <c r="X98" s="126" t="s">
        <v>733</v>
      </c>
      <c r="Y98" s="126" t="b">
        <f t="shared" si="29"/>
        <v>1</v>
      </c>
    </row>
    <row r="99" spans="1:25" ht="14">
      <c r="A99" s="204" t="s">
        <v>343</v>
      </c>
      <c r="B99" s="205" t="s">
        <v>824</v>
      </c>
      <c r="C99" s="204">
        <v>711353</v>
      </c>
      <c r="D99" s="132" t="s">
        <v>876</v>
      </c>
      <c r="E99" s="3" t="s">
        <v>734</v>
      </c>
      <c r="F99" s="133">
        <v>538900</v>
      </c>
      <c r="G99" s="133">
        <v>13123</v>
      </c>
      <c r="H99" s="133">
        <v>525777</v>
      </c>
      <c r="I99" s="133">
        <v>0</v>
      </c>
      <c r="J99" s="133">
        <v>0</v>
      </c>
      <c r="K99" s="133">
        <v>0</v>
      </c>
      <c r="L99" s="133">
        <v>525777</v>
      </c>
      <c r="M99" s="133">
        <v>0</v>
      </c>
      <c r="N99" s="134"/>
      <c r="O99" s="9" t="s">
        <v>810</v>
      </c>
      <c r="P99" s="184">
        <f t="shared" si="22"/>
        <v>525777</v>
      </c>
      <c r="Q99" s="135">
        <f t="shared" si="19"/>
        <v>582.22357566026244</v>
      </c>
      <c r="R99" s="135"/>
      <c r="S99" s="136"/>
      <c r="T99" s="9"/>
      <c r="U99" s="134"/>
      <c r="V99" s="137">
        <f>U99-P99</f>
        <v>-525777</v>
      </c>
      <c r="X99" s="126" t="s">
        <v>876</v>
      </c>
      <c r="Y99" s="126" t="b">
        <f t="shared" si="29"/>
        <v>1</v>
      </c>
    </row>
    <row r="100" spans="1:25" ht="14">
      <c r="A100" s="126" t="s">
        <v>954</v>
      </c>
      <c r="B100" s="138" t="s">
        <v>824</v>
      </c>
      <c r="C100" s="126">
        <v>730779</v>
      </c>
      <c r="D100" s="132" t="s">
        <v>740</v>
      </c>
      <c r="E100" s="3" t="s">
        <v>15</v>
      </c>
      <c r="F100" s="133">
        <v>3398921</v>
      </c>
      <c r="G100" s="133">
        <v>41856</v>
      </c>
      <c r="H100" s="133">
        <v>3357065</v>
      </c>
      <c r="I100" s="133">
        <v>0</v>
      </c>
      <c r="J100" s="133">
        <v>0</v>
      </c>
      <c r="K100" s="133">
        <v>0</v>
      </c>
      <c r="L100" s="133">
        <v>3357065</v>
      </c>
      <c r="M100" s="133">
        <v>0</v>
      </c>
      <c r="N100" s="134"/>
      <c r="O100" s="9" t="s">
        <v>810</v>
      </c>
      <c r="P100" s="184">
        <f t="shared" si="22"/>
        <v>3357065</v>
      </c>
      <c r="Q100" s="135">
        <f t="shared" si="19"/>
        <v>3717.4741154974809</v>
      </c>
      <c r="R100" s="135"/>
      <c r="S100" s="136"/>
      <c r="T100" s="9"/>
      <c r="U100" s="134"/>
      <c r="V100" s="137">
        <f t="shared" si="23"/>
        <v>-3357065</v>
      </c>
      <c r="X100" s="126" t="s">
        <v>740</v>
      </c>
      <c r="Y100" s="126" t="b">
        <f t="shared" si="29"/>
        <v>1</v>
      </c>
    </row>
    <row r="101" spans="1:25" ht="14">
      <c r="B101" s="138"/>
      <c r="D101" s="132" t="s">
        <v>741</v>
      </c>
      <c r="E101" s="3" t="s">
        <v>592</v>
      </c>
      <c r="F101" s="133">
        <v>1065119</v>
      </c>
      <c r="G101" s="133">
        <v>0</v>
      </c>
      <c r="H101" s="133">
        <v>1065119</v>
      </c>
      <c r="I101" s="133">
        <v>0</v>
      </c>
      <c r="J101" s="133">
        <v>0</v>
      </c>
      <c r="K101" s="133">
        <v>0</v>
      </c>
      <c r="L101" s="133">
        <v>1065119</v>
      </c>
      <c r="M101" s="133">
        <v>0</v>
      </c>
      <c r="N101" s="134"/>
      <c r="O101" s="9" t="s">
        <v>810</v>
      </c>
      <c r="P101" s="184">
        <f t="shared" ref="P101" si="33">+J101-K101+L101-M101</f>
        <v>1065119</v>
      </c>
      <c r="Q101" s="135">
        <f t="shared" si="19"/>
        <v>1179.4684679696584</v>
      </c>
      <c r="R101" s="135"/>
      <c r="S101" s="136"/>
      <c r="T101" s="9"/>
      <c r="U101" s="134"/>
      <c r="V101" s="137"/>
      <c r="X101" s="126" t="s">
        <v>741</v>
      </c>
      <c r="Y101" s="126" t="b">
        <f t="shared" si="29"/>
        <v>1</v>
      </c>
    </row>
    <row r="102" spans="1:25" ht="14">
      <c r="A102" s="126" t="s">
        <v>356</v>
      </c>
      <c r="B102" s="138" t="s">
        <v>824</v>
      </c>
      <c r="C102" s="126">
        <v>730764</v>
      </c>
      <c r="D102" s="132" t="s">
        <v>736</v>
      </c>
      <c r="E102" s="3" t="s">
        <v>14</v>
      </c>
      <c r="F102" s="133">
        <v>421448</v>
      </c>
      <c r="G102" s="133">
        <v>0</v>
      </c>
      <c r="H102" s="133">
        <v>421448</v>
      </c>
      <c r="I102" s="133">
        <v>0</v>
      </c>
      <c r="J102" s="133">
        <v>0</v>
      </c>
      <c r="K102" s="133">
        <v>0</v>
      </c>
      <c r="L102" s="133">
        <v>421448</v>
      </c>
      <c r="M102" s="133">
        <v>0</v>
      </c>
      <c r="N102" s="134"/>
      <c r="O102" s="9" t="s">
        <v>810</v>
      </c>
      <c r="P102" s="184">
        <f t="shared" si="22"/>
        <v>421448</v>
      </c>
      <c r="Q102" s="135">
        <f t="shared" si="19"/>
        <v>466.69398150711481</v>
      </c>
      <c r="R102" s="135"/>
      <c r="S102" s="136"/>
      <c r="T102" s="9"/>
      <c r="U102" s="134"/>
      <c r="V102" s="137"/>
      <c r="X102" s="126" t="s">
        <v>736</v>
      </c>
      <c r="Y102" s="126" t="b">
        <f t="shared" si="29"/>
        <v>1</v>
      </c>
    </row>
    <row r="103" spans="1:25" ht="14">
      <c r="A103" s="126" t="s">
        <v>363</v>
      </c>
      <c r="B103" s="138" t="s">
        <v>824</v>
      </c>
      <c r="C103" s="126">
        <v>730787</v>
      </c>
      <c r="D103" s="132" t="s">
        <v>743</v>
      </c>
      <c r="E103" s="3" t="s">
        <v>363</v>
      </c>
      <c r="F103" s="133">
        <v>2622763</v>
      </c>
      <c r="G103" s="133">
        <v>112463</v>
      </c>
      <c r="H103" s="133">
        <v>2510300</v>
      </c>
      <c r="I103" s="133">
        <v>0</v>
      </c>
      <c r="J103" s="133">
        <v>0</v>
      </c>
      <c r="K103" s="133">
        <v>0</v>
      </c>
      <c r="L103" s="133">
        <v>2510300</v>
      </c>
      <c r="M103" s="133">
        <v>0</v>
      </c>
      <c r="N103" s="134"/>
      <c r="O103" s="9" t="s">
        <v>810</v>
      </c>
      <c r="P103" s="184">
        <f t="shared" si="22"/>
        <v>2510300</v>
      </c>
      <c r="Q103" s="135">
        <f t="shared" si="19"/>
        <v>2779.8017828470188</v>
      </c>
      <c r="R103" s="135"/>
      <c r="S103" s="136"/>
      <c r="T103" s="9"/>
      <c r="U103" s="134"/>
      <c r="V103" s="137"/>
      <c r="X103" s="126" t="s">
        <v>743</v>
      </c>
      <c r="Y103" s="126" t="b">
        <f t="shared" si="29"/>
        <v>1</v>
      </c>
    </row>
    <row r="104" spans="1:25" ht="14">
      <c r="A104" s="126" t="s">
        <v>955</v>
      </c>
      <c r="B104" s="138" t="s">
        <v>824</v>
      </c>
      <c r="C104" s="126">
        <v>730788</v>
      </c>
      <c r="D104" s="132" t="s">
        <v>865</v>
      </c>
      <c r="E104" s="3" t="s">
        <v>364</v>
      </c>
      <c r="F104" s="133">
        <v>243778</v>
      </c>
      <c r="G104" s="133">
        <v>61187</v>
      </c>
      <c r="H104" s="133">
        <v>182591</v>
      </c>
      <c r="I104" s="133">
        <v>0</v>
      </c>
      <c r="J104" s="133">
        <v>0</v>
      </c>
      <c r="K104" s="133">
        <v>0</v>
      </c>
      <c r="L104" s="133">
        <v>182591</v>
      </c>
      <c r="M104" s="133">
        <v>0</v>
      </c>
      <c r="N104" s="134"/>
      <c r="O104" s="9" t="s">
        <v>810</v>
      </c>
      <c r="P104" s="184">
        <f t="shared" si="22"/>
        <v>182591</v>
      </c>
      <c r="Q104" s="135">
        <f t="shared" si="19"/>
        <v>202.19367698355575</v>
      </c>
      <c r="R104" s="135"/>
      <c r="S104" s="136"/>
      <c r="T104" s="9"/>
      <c r="U104" s="134"/>
      <c r="V104" s="137"/>
      <c r="X104" s="126" t="s">
        <v>865</v>
      </c>
      <c r="Y104" s="126" t="b">
        <f t="shared" si="29"/>
        <v>1</v>
      </c>
    </row>
    <row r="105" spans="1:25" ht="14">
      <c r="A105" s="126" t="s">
        <v>956</v>
      </c>
      <c r="B105" s="138" t="s">
        <v>824</v>
      </c>
      <c r="C105" s="126">
        <v>710303</v>
      </c>
      <c r="D105" s="132" t="s">
        <v>732</v>
      </c>
      <c r="E105" s="3" t="s">
        <v>13</v>
      </c>
      <c r="F105" s="133">
        <v>10148319</v>
      </c>
      <c r="G105" s="133">
        <v>6788199</v>
      </c>
      <c r="H105" s="133">
        <v>3360120</v>
      </c>
      <c r="I105" s="133">
        <v>0</v>
      </c>
      <c r="J105" s="133">
        <v>0</v>
      </c>
      <c r="K105" s="133">
        <v>0</v>
      </c>
      <c r="L105" s="133">
        <v>3360120</v>
      </c>
      <c r="M105" s="133">
        <v>0</v>
      </c>
      <c r="N105" s="134"/>
      <c r="O105" s="9" t="s">
        <v>810</v>
      </c>
      <c r="P105" s="184">
        <f t="shared" si="22"/>
        <v>3360120</v>
      </c>
      <c r="Q105" s="135">
        <f t="shared" si="19"/>
        <v>3720.857095398926</v>
      </c>
      <c r="R105" s="135"/>
      <c r="S105" s="136"/>
      <c r="T105" s="9"/>
      <c r="U105" s="134"/>
      <c r="V105" s="137">
        <f t="shared" si="23"/>
        <v>-3360120</v>
      </c>
      <c r="X105" s="126" t="s">
        <v>732</v>
      </c>
      <c r="Y105" s="126" t="b">
        <f t="shared" si="29"/>
        <v>1</v>
      </c>
    </row>
    <row r="106" spans="1:25" ht="14">
      <c r="A106" s="126" t="s">
        <v>331</v>
      </c>
      <c r="B106" s="138" t="s">
        <v>824</v>
      </c>
      <c r="C106" s="126">
        <v>709222</v>
      </c>
      <c r="D106" s="132" t="s">
        <v>857</v>
      </c>
      <c r="E106" s="3" t="s">
        <v>331</v>
      </c>
      <c r="F106" s="133">
        <v>2588619</v>
      </c>
      <c r="G106" s="133">
        <v>19947</v>
      </c>
      <c r="H106" s="133">
        <v>2568672</v>
      </c>
      <c r="I106" s="133">
        <v>0</v>
      </c>
      <c r="J106" s="133">
        <v>0</v>
      </c>
      <c r="K106" s="133">
        <v>0</v>
      </c>
      <c r="L106" s="133">
        <v>2568672</v>
      </c>
      <c r="M106" s="133">
        <v>0</v>
      </c>
      <c r="N106" s="134"/>
      <c r="O106" s="9" t="s">
        <v>810</v>
      </c>
      <c r="P106" s="184">
        <f t="shared" si="22"/>
        <v>2568672</v>
      </c>
      <c r="Q106" s="135">
        <f t="shared" si="19"/>
        <v>2844.4405071701458</v>
      </c>
      <c r="R106" s="135"/>
      <c r="S106" s="136"/>
      <c r="T106" s="9"/>
      <c r="U106" s="134"/>
      <c r="V106" s="137"/>
      <c r="X106" s="126" t="s">
        <v>857</v>
      </c>
      <c r="Y106" s="126" t="b">
        <f t="shared" si="29"/>
        <v>1</v>
      </c>
    </row>
    <row r="107" spans="1:25" ht="14">
      <c r="A107" s="126" t="s">
        <v>957</v>
      </c>
      <c r="B107" s="138" t="s">
        <v>824</v>
      </c>
      <c r="C107" s="126">
        <v>715391</v>
      </c>
      <c r="D107" s="132" t="s">
        <v>739</v>
      </c>
      <c r="E107" s="3" t="s">
        <v>504</v>
      </c>
      <c r="F107" s="133">
        <v>295630</v>
      </c>
      <c r="G107" s="133">
        <v>0</v>
      </c>
      <c r="H107" s="133">
        <v>295630</v>
      </c>
      <c r="I107" s="133">
        <v>0</v>
      </c>
      <c r="J107" s="133">
        <v>0</v>
      </c>
      <c r="K107" s="133">
        <v>0</v>
      </c>
      <c r="L107" s="133">
        <v>295630</v>
      </c>
      <c r="M107" s="133">
        <v>0</v>
      </c>
      <c r="N107" s="134"/>
      <c r="O107" s="9" t="s">
        <v>810</v>
      </c>
      <c r="P107" s="184">
        <f t="shared" ref="P107" si="34">+J107-K107+L107-M107</f>
        <v>295630</v>
      </c>
      <c r="Q107" s="135">
        <f t="shared" ref="Q107" si="35">P107/$Q$8</f>
        <v>327.3683627706107</v>
      </c>
      <c r="R107" s="135"/>
      <c r="S107" s="136"/>
      <c r="T107" s="9"/>
      <c r="U107" s="134"/>
      <c r="V107" s="137">
        <f>U107-P107</f>
        <v>-295630</v>
      </c>
      <c r="X107" s="126" t="s">
        <v>739</v>
      </c>
      <c r="Y107" s="126" t="b">
        <f t="shared" si="29"/>
        <v>1</v>
      </c>
    </row>
    <row r="108" spans="1:25" ht="14">
      <c r="A108" s="126" t="s">
        <v>957</v>
      </c>
      <c r="B108" s="138" t="s">
        <v>824</v>
      </c>
      <c r="C108" s="126">
        <v>715391</v>
      </c>
      <c r="D108" s="132" t="s">
        <v>773</v>
      </c>
      <c r="E108" s="3" t="s">
        <v>10</v>
      </c>
      <c r="F108" s="133">
        <v>1389959</v>
      </c>
      <c r="G108" s="133">
        <v>3890</v>
      </c>
      <c r="H108" s="133">
        <v>1386069</v>
      </c>
      <c r="I108" s="133">
        <v>0</v>
      </c>
      <c r="J108" s="133">
        <v>0</v>
      </c>
      <c r="K108" s="133">
        <v>0</v>
      </c>
      <c r="L108" s="133">
        <v>1386069</v>
      </c>
      <c r="M108" s="133">
        <v>0</v>
      </c>
      <c r="N108" s="134"/>
      <c r="O108" s="9" t="s">
        <v>810</v>
      </c>
      <c r="P108" s="184">
        <f t="shared" si="22"/>
        <v>1386069</v>
      </c>
      <c r="Q108" s="135">
        <f t="shared" si="19"/>
        <v>1534.8751453407897</v>
      </c>
      <c r="R108" s="135"/>
      <c r="S108" s="136"/>
      <c r="T108" s="9"/>
      <c r="U108" s="134"/>
      <c r="V108" s="137">
        <f>U108-P108</f>
        <v>-1386069</v>
      </c>
      <c r="X108" s="126" t="s">
        <v>773</v>
      </c>
      <c r="Y108" s="126" t="b">
        <f t="shared" si="29"/>
        <v>1</v>
      </c>
    </row>
    <row r="109" spans="1:25" ht="14">
      <c r="A109" s="126" t="s">
        <v>958</v>
      </c>
      <c r="B109" s="138" t="s">
        <v>826</v>
      </c>
      <c r="C109" s="126">
        <v>810040</v>
      </c>
      <c r="D109" s="132" t="s">
        <v>747</v>
      </c>
      <c r="E109" s="3" t="s">
        <v>8</v>
      </c>
      <c r="F109" s="133">
        <v>1560534</v>
      </c>
      <c r="G109" s="133">
        <v>101644</v>
      </c>
      <c r="H109" s="133">
        <v>1458890</v>
      </c>
      <c r="I109" s="133">
        <v>0</v>
      </c>
      <c r="J109" s="133">
        <v>0</v>
      </c>
      <c r="K109" s="133">
        <v>0</v>
      </c>
      <c r="L109" s="133">
        <v>1458890</v>
      </c>
      <c r="M109" s="133">
        <v>0</v>
      </c>
      <c r="N109" s="134"/>
      <c r="O109" s="9" t="s">
        <v>810</v>
      </c>
      <c r="P109" s="184">
        <f t="shared" si="22"/>
        <v>1458890</v>
      </c>
      <c r="Q109" s="135">
        <f t="shared" si="19"/>
        <v>1615.5140911355961</v>
      </c>
      <c r="R109" s="135"/>
      <c r="S109" s="136"/>
      <c r="T109" s="9"/>
      <c r="U109" s="134"/>
      <c r="V109" s="137">
        <f t="shared" si="23"/>
        <v>-1458890</v>
      </c>
      <c r="X109" s="126" t="s">
        <v>747</v>
      </c>
      <c r="Y109" s="126" t="b">
        <f t="shared" si="29"/>
        <v>1</v>
      </c>
    </row>
    <row r="110" spans="1:25" ht="14">
      <c r="A110" s="126" t="s">
        <v>352</v>
      </c>
      <c r="B110" s="141" t="s">
        <v>824</v>
      </c>
      <c r="C110" s="126">
        <v>717604</v>
      </c>
      <c r="D110" s="132" t="s">
        <v>737</v>
      </c>
      <c r="E110" s="3" t="s">
        <v>7</v>
      </c>
      <c r="F110" s="133">
        <v>10594035</v>
      </c>
      <c r="G110" s="133">
        <v>133467</v>
      </c>
      <c r="H110" s="133">
        <v>10460568</v>
      </c>
      <c r="I110" s="133">
        <v>0</v>
      </c>
      <c r="J110" s="133">
        <v>0</v>
      </c>
      <c r="K110" s="133">
        <v>0</v>
      </c>
      <c r="L110" s="133">
        <v>10460568</v>
      </c>
      <c r="M110" s="133">
        <v>0</v>
      </c>
      <c r="N110" s="134"/>
      <c r="O110" s="9" t="s">
        <v>810</v>
      </c>
      <c r="P110" s="184">
        <f t="shared" si="22"/>
        <v>10460568</v>
      </c>
      <c r="Q110" s="135">
        <f t="shared" si="19"/>
        <v>11583.597807430375</v>
      </c>
      <c r="R110" s="135"/>
      <c r="S110" s="136"/>
      <c r="T110" s="9"/>
      <c r="U110" s="134"/>
      <c r="V110" s="137">
        <f t="shared" ref="V110" si="36">U110-P110</f>
        <v>-10460568</v>
      </c>
      <c r="X110" s="126" t="s">
        <v>737</v>
      </c>
      <c r="Y110" s="126" t="b">
        <f t="shared" si="29"/>
        <v>1</v>
      </c>
    </row>
    <row r="111" spans="1:25" ht="14">
      <c r="A111" s="126" t="s">
        <v>352</v>
      </c>
      <c r="B111" s="141" t="s">
        <v>824</v>
      </c>
      <c r="C111" s="126">
        <v>717604</v>
      </c>
      <c r="D111" s="132" t="s">
        <v>976</v>
      </c>
      <c r="E111" s="3" t="s">
        <v>977</v>
      </c>
      <c r="F111" s="133">
        <v>2443895</v>
      </c>
      <c r="G111" s="133">
        <v>0</v>
      </c>
      <c r="H111" s="133">
        <v>2443895</v>
      </c>
      <c r="I111" s="133">
        <v>0</v>
      </c>
      <c r="J111" s="133">
        <v>0</v>
      </c>
      <c r="K111" s="133">
        <v>0</v>
      </c>
      <c r="L111" s="133">
        <v>2443895</v>
      </c>
      <c r="M111" s="133">
        <v>0</v>
      </c>
      <c r="N111" s="134"/>
      <c r="O111" s="9" t="s">
        <v>810</v>
      </c>
      <c r="P111" s="184">
        <f t="shared" si="22"/>
        <v>2443895</v>
      </c>
      <c r="Q111" s="135">
        <f t="shared" si="19"/>
        <v>2706.2676485244451</v>
      </c>
      <c r="R111" s="135"/>
      <c r="S111" s="136"/>
      <c r="T111" s="9"/>
      <c r="U111" s="134"/>
      <c r="V111" s="137">
        <f t="shared" si="23"/>
        <v>-2443895</v>
      </c>
      <c r="X111" s="126" t="s">
        <v>976</v>
      </c>
      <c r="Y111" s="126" t="b">
        <f t="shared" si="29"/>
        <v>1</v>
      </c>
    </row>
    <row r="112" spans="1:25" ht="14">
      <c r="A112" s="126" t="s">
        <v>320</v>
      </c>
      <c r="B112" s="138" t="s">
        <v>824</v>
      </c>
      <c r="C112" s="126">
        <v>706113</v>
      </c>
      <c r="D112" s="132" t="s">
        <v>718</v>
      </c>
      <c r="E112" s="3" t="s">
        <v>612</v>
      </c>
      <c r="F112" s="133">
        <v>1133557</v>
      </c>
      <c r="G112" s="133">
        <v>0</v>
      </c>
      <c r="H112" s="133">
        <v>1133557</v>
      </c>
      <c r="I112" s="133">
        <v>0</v>
      </c>
      <c r="J112" s="133">
        <v>0</v>
      </c>
      <c r="K112" s="133">
        <v>0</v>
      </c>
      <c r="L112" s="133">
        <v>1133557</v>
      </c>
      <c r="M112" s="133">
        <v>0</v>
      </c>
      <c r="N112" s="134"/>
      <c r="O112" s="9" t="s">
        <v>810</v>
      </c>
      <c r="P112" s="184">
        <f t="shared" si="22"/>
        <v>1133557</v>
      </c>
      <c r="Q112" s="135">
        <f t="shared" si="19"/>
        <v>1255.253861912408</v>
      </c>
      <c r="R112" s="135"/>
      <c r="S112" s="136"/>
      <c r="T112" s="9"/>
      <c r="U112" s="134"/>
      <c r="V112" s="137"/>
      <c r="X112" s="126" t="s">
        <v>718</v>
      </c>
      <c r="Y112" s="126" t="b">
        <f t="shared" si="29"/>
        <v>1</v>
      </c>
    </row>
    <row r="113" spans="1:25" ht="14">
      <c r="A113" s="126" t="s">
        <v>959</v>
      </c>
      <c r="B113" s="138" t="s">
        <v>824</v>
      </c>
      <c r="C113" s="126">
        <v>721752</v>
      </c>
      <c r="D113" s="132" t="s">
        <v>875</v>
      </c>
      <c r="E113" s="3" t="s">
        <v>628</v>
      </c>
      <c r="F113" s="133">
        <v>11326287</v>
      </c>
      <c r="G113" s="133">
        <v>587504</v>
      </c>
      <c r="H113" s="133">
        <v>10738783</v>
      </c>
      <c r="I113" s="133">
        <v>0</v>
      </c>
      <c r="J113" s="133">
        <v>0</v>
      </c>
      <c r="K113" s="133">
        <v>0</v>
      </c>
      <c r="L113" s="133">
        <v>10738783</v>
      </c>
      <c r="M113" s="133">
        <v>0</v>
      </c>
      <c r="N113" s="134"/>
      <c r="O113" s="9" t="s">
        <v>810</v>
      </c>
      <c r="P113" s="184">
        <f t="shared" si="22"/>
        <v>10738783</v>
      </c>
      <c r="Q113" s="135">
        <f t="shared" si="19"/>
        <v>11891.681523725154</v>
      </c>
      <c r="R113" s="135"/>
      <c r="S113" s="136"/>
      <c r="T113" s="9"/>
      <c r="U113" s="134"/>
      <c r="V113" s="137">
        <f>U113-P113</f>
        <v>-10738783</v>
      </c>
      <c r="X113" s="126" t="s">
        <v>875</v>
      </c>
      <c r="Y113" s="126" t="b">
        <f t="shared" si="29"/>
        <v>1</v>
      </c>
    </row>
    <row r="114" spans="1:25" ht="14">
      <c r="A114" s="126" t="s">
        <v>960</v>
      </c>
      <c r="B114" s="138" t="s">
        <v>824</v>
      </c>
      <c r="C114" s="126">
        <v>730786</v>
      </c>
      <c r="D114" s="132" t="s">
        <v>742</v>
      </c>
      <c r="E114" s="3" t="s">
        <v>497</v>
      </c>
      <c r="F114" s="133">
        <v>537122</v>
      </c>
      <c r="G114" s="133">
        <v>0</v>
      </c>
      <c r="H114" s="133">
        <v>537122</v>
      </c>
      <c r="I114" s="133">
        <v>0</v>
      </c>
      <c r="J114" s="133">
        <v>0</v>
      </c>
      <c r="K114" s="133">
        <v>0</v>
      </c>
      <c r="L114" s="133">
        <v>537122</v>
      </c>
      <c r="M114" s="133">
        <v>0</v>
      </c>
      <c r="N114" s="134"/>
      <c r="O114" s="9" t="s">
        <v>810</v>
      </c>
      <c r="P114" s="184">
        <f t="shared" si="22"/>
        <v>537122</v>
      </c>
      <c r="Q114" s="135">
        <f t="shared" si="19"/>
        <v>594.78655666906593</v>
      </c>
      <c r="R114" s="135"/>
      <c r="S114" s="136"/>
      <c r="T114" s="9"/>
      <c r="U114" s="134"/>
      <c r="V114" s="137">
        <f t="shared" si="23"/>
        <v>-537122</v>
      </c>
      <c r="X114" s="126" t="s">
        <v>742</v>
      </c>
      <c r="Y114" s="126" t="b">
        <f t="shared" si="29"/>
        <v>1</v>
      </c>
    </row>
    <row r="115" spans="1:25" ht="14">
      <c r="A115" s="204" t="s">
        <v>869</v>
      </c>
      <c r="B115" s="205" t="s">
        <v>824</v>
      </c>
      <c r="C115" s="204">
        <v>709225</v>
      </c>
      <c r="D115" s="132" t="s">
        <v>871</v>
      </c>
      <c r="E115" s="3" t="s">
        <v>869</v>
      </c>
      <c r="F115" s="133">
        <v>4258452</v>
      </c>
      <c r="G115" s="133">
        <v>2094675</v>
      </c>
      <c r="H115" s="133">
        <v>2163777</v>
      </c>
      <c r="I115" s="133">
        <v>0</v>
      </c>
      <c r="J115" s="133">
        <v>0</v>
      </c>
      <c r="K115" s="133">
        <v>0</v>
      </c>
      <c r="L115" s="133">
        <v>2163777</v>
      </c>
      <c r="M115" s="133">
        <v>0</v>
      </c>
      <c r="N115" s="134"/>
      <c r="O115" s="9" t="s">
        <v>810</v>
      </c>
      <c r="P115" s="184">
        <f t="shared" si="22"/>
        <v>2163777</v>
      </c>
      <c r="Q115" s="135">
        <f t="shared" si="19"/>
        <v>2396.0766292010412</v>
      </c>
      <c r="R115" s="135"/>
      <c r="S115" s="136"/>
      <c r="T115" s="9"/>
      <c r="U115" s="134"/>
      <c r="V115" s="137">
        <f>U115-P115</f>
        <v>-2163777</v>
      </c>
      <c r="X115" s="126" t="s">
        <v>871</v>
      </c>
      <c r="Y115" s="126" t="b">
        <f t="shared" si="29"/>
        <v>1</v>
      </c>
    </row>
    <row r="116" spans="1:25" ht="14">
      <c r="A116" s="204" t="s">
        <v>869</v>
      </c>
      <c r="B116" s="205" t="s">
        <v>827</v>
      </c>
      <c r="C116" s="204">
        <v>709205</v>
      </c>
      <c r="D116" s="132" t="s">
        <v>725</v>
      </c>
      <c r="E116" s="3" t="s">
        <v>6</v>
      </c>
      <c r="F116" s="133">
        <v>11460348</v>
      </c>
      <c r="G116" s="133">
        <v>459174</v>
      </c>
      <c r="H116" s="133">
        <v>11001174</v>
      </c>
      <c r="I116" s="133">
        <v>0</v>
      </c>
      <c r="J116" s="133">
        <v>0</v>
      </c>
      <c r="K116" s="133">
        <v>0</v>
      </c>
      <c r="L116" s="133">
        <v>11001174</v>
      </c>
      <c r="M116" s="133">
        <v>0</v>
      </c>
      <c r="N116" s="134"/>
      <c r="O116" s="9" t="s">
        <v>810</v>
      </c>
      <c r="P116" s="184">
        <f t="shared" si="22"/>
        <v>11001174</v>
      </c>
      <c r="Q116" s="135">
        <f t="shared" si="19"/>
        <v>12182.242400753004</v>
      </c>
      <c r="R116" s="135"/>
      <c r="S116" s="136"/>
      <c r="T116" s="9"/>
      <c r="U116" s="134"/>
      <c r="V116" s="137">
        <f>U116-P116</f>
        <v>-11001174</v>
      </c>
      <c r="X116" s="126" t="s">
        <v>725</v>
      </c>
      <c r="Y116" s="126" t="b">
        <f t="shared" si="29"/>
        <v>1</v>
      </c>
    </row>
    <row r="117" spans="1:25" ht="14">
      <c r="A117" s="208" t="s">
        <v>608</v>
      </c>
      <c r="B117" s="209" t="s">
        <v>824</v>
      </c>
      <c r="C117" s="126">
        <v>709224</v>
      </c>
      <c r="D117" s="132" t="s">
        <v>726</v>
      </c>
      <c r="E117" s="3" t="s">
        <v>727</v>
      </c>
      <c r="F117" s="133">
        <v>13441550</v>
      </c>
      <c r="G117" s="133">
        <v>6853996</v>
      </c>
      <c r="H117" s="133">
        <v>6587554</v>
      </c>
      <c r="I117" s="133">
        <v>0</v>
      </c>
      <c r="J117" s="133">
        <v>0</v>
      </c>
      <c r="K117" s="133">
        <v>0</v>
      </c>
      <c r="L117" s="133">
        <v>6587554</v>
      </c>
      <c r="M117" s="133">
        <v>0</v>
      </c>
      <c r="N117" s="134"/>
      <c r="O117" s="9" t="s">
        <v>810</v>
      </c>
      <c r="P117" s="184">
        <f t="shared" si="22"/>
        <v>6587554</v>
      </c>
      <c r="Q117" s="135">
        <f t="shared" si="19"/>
        <v>7294.7832345938768</v>
      </c>
      <c r="R117" s="135"/>
      <c r="S117" s="136"/>
      <c r="T117" s="9"/>
      <c r="U117" s="134"/>
      <c r="V117" s="137">
        <f>U117-P117</f>
        <v>-6587554</v>
      </c>
      <c r="X117" s="126" t="s">
        <v>726</v>
      </c>
      <c r="Y117" s="126" t="b">
        <f t="shared" si="29"/>
        <v>1</v>
      </c>
    </row>
    <row r="118" spans="1:25" ht="14">
      <c r="A118" s="126" t="s">
        <v>961</v>
      </c>
      <c r="B118" s="138" t="s">
        <v>828</v>
      </c>
      <c r="C118" s="126">
        <v>740814</v>
      </c>
      <c r="D118" s="132" t="s">
        <v>745</v>
      </c>
      <c r="E118" s="3" t="s">
        <v>12</v>
      </c>
      <c r="F118" s="133">
        <v>37936648</v>
      </c>
      <c r="G118" s="133">
        <v>0</v>
      </c>
      <c r="H118" s="133">
        <v>37936648</v>
      </c>
      <c r="I118" s="133">
        <v>0</v>
      </c>
      <c r="J118" s="133">
        <v>0</v>
      </c>
      <c r="K118" s="133">
        <v>0</v>
      </c>
      <c r="L118" s="133">
        <v>37936648</v>
      </c>
      <c r="M118" s="133">
        <v>0</v>
      </c>
      <c r="N118" s="134"/>
      <c r="O118" s="9" t="s">
        <v>810</v>
      </c>
      <c r="P118" s="184">
        <f t="shared" si="22"/>
        <v>37936648</v>
      </c>
      <c r="Q118" s="135">
        <f t="shared" si="19"/>
        <v>42009.465699573666</v>
      </c>
      <c r="R118" s="135"/>
      <c r="S118" s="136"/>
      <c r="T118" s="9"/>
      <c r="U118" s="134"/>
      <c r="V118" s="137">
        <f>U118-P118</f>
        <v>-37936648</v>
      </c>
      <c r="X118" s="126" t="s">
        <v>745</v>
      </c>
      <c r="Y118" s="126" t="b">
        <f t="shared" si="29"/>
        <v>1</v>
      </c>
    </row>
    <row r="119" spans="1:25" ht="14">
      <c r="A119" s="126" t="s">
        <v>962</v>
      </c>
      <c r="B119" s="138"/>
      <c r="C119" s="126">
        <v>740818</v>
      </c>
      <c r="D119" s="132"/>
      <c r="E119" s="3"/>
      <c r="F119" s="133">
        <v>0</v>
      </c>
      <c r="G119" s="133">
        <v>0</v>
      </c>
      <c r="H119" s="133">
        <v>0</v>
      </c>
      <c r="I119" s="133">
        <v>0</v>
      </c>
      <c r="J119" s="133">
        <v>0</v>
      </c>
      <c r="K119" s="133">
        <v>0</v>
      </c>
      <c r="L119" s="133">
        <v>0</v>
      </c>
      <c r="M119" s="133">
        <v>0</v>
      </c>
      <c r="N119" s="134"/>
      <c r="O119" s="9" t="s">
        <v>810</v>
      </c>
      <c r="P119" s="184">
        <f t="shared" si="22"/>
        <v>0</v>
      </c>
      <c r="Q119" s="135">
        <f t="shared" si="19"/>
        <v>0</v>
      </c>
      <c r="R119" s="135"/>
      <c r="S119" s="136"/>
      <c r="T119" s="9"/>
      <c r="U119" s="134"/>
      <c r="V119" s="137"/>
      <c r="Y119" s="126" t="b">
        <f t="shared" si="29"/>
        <v>1</v>
      </c>
    </row>
    <row r="120" spans="1:25" ht="14">
      <c r="A120" s="126" t="s">
        <v>963</v>
      </c>
      <c r="B120" s="138" t="s">
        <v>829</v>
      </c>
      <c r="C120" s="126">
        <v>820010</v>
      </c>
      <c r="D120" s="132" t="s">
        <v>746</v>
      </c>
      <c r="E120" s="3" t="s">
        <v>988</v>
      </c>
      <c r="F120" s="133">
        <v>77281</v>
      </c>
      <c r="G120" s="133">
        <v>0</v>
      </c>
      <c r="H120" s="133">
        <v>77281</v>
      </c>
      <c r="I120" s="133">
        <v>0</v>
      </c>
      <c r="J120" s="133">
        <v>0</v>
      </c>
      <c r="K120" s="133">
        <v>0</v>
      </c>
      <c r="L120" s="133">
        <v>77281</v>
      </c>
      <c r="M120" s="133">
        <v>0</v>
      </c>
      <c r="N120" s="134"/>
      <c r="O120" s="9" t="s">
        <v>810</v>
      </c>
      <c r="P120" s="184">
        <f t="shared" ref="P120:P121" si="37">+J120-K120+L120-M120</f>
        <v>77281</v>
      </c>
      <c r="Q120" s="135">
        <f t="shared" si="19"/>
        <v>85.577764243397382</v>
      </c>
      <c r="R120" s="135"/>
      <c r="S120" s="136"/>
      <c r="T120" s="9"/>
      <c r="U120" s="134"/>
      <c r="V120" s="137">
        <f t="shared" ref="V120" si="38">U120-P120</f>
        <v>-77281</v>
      </c>
      <c r="X120" s="126" t="s">
        <v>746</v>
      </c>
      <c r="Y120" s="126" t="b">
        <f t="shared" si="29"/>
        <v>1</v>
      </c>
    </row>
    <row r="121" spans="1:25" ht="14">
      <c r="B121" s="138"/>
      <c r="D121" s="132" t="s">
        <v>761</v>
      </c>
      <c r="E121" s="3" t="s">
        <v>762</v>
      </c>
      <c r="F121" s="133">
        <v>105657</v>
      </c>
      <c r="G121" s="133">
        <v>3801270</v>
      </c>
      <c r="H121" s="133">
        <v>0</v>
      </c>
      <c r="I121" s="133">
        <v>3695613</v>
      </c>
      <c r="J121" s="133">
        <v>0</v>
      </c>
      <c r="K121" s="133">
        <v>0</v>
      </c>
      <c r="L121" s="133">
        <v>0</v>
      </c>
      <c r="M121" s="133">
        <v>3695613</v>
      </c>
      <c r="N121" s="134"/>
      <c r="O121" s="9" t="s">
        <v>810</v>
      </c>
      <c r="P121" s="184">
        <f t="shared" si="37"/>
        <v>-3695613</v>
      </c>
      <c r="Q121" s="135">
        <f t="shared" si="19"/>
        <v>-4092.3680859310116</v>
      </c>
      <c r="R121" s="135"/>
      <c r="S121" s="136"/>
      <c r="T121" s="9"/>
      <c r="U121" s="134"/>
      <c r="V121" s="137"/>
      <c r="X121" s="126" t="s">
        <v>761</v>
      </c>
      <c r="Y121" s="126" t="b">
        <f t="shared" si="29"/>
        <v>1</v>
      </c>
    </row>
    <row r="122" spans="1:25" ht="14">
      <c r="A122" s="126" t="s">
        <v>963</v>
      </c>
      <c r="B122" s="138" t="s">
        <v>829</v>
      </c>
      <c r="C122" s="126">
        <v>820010</v>
      </c>
      <c r="D122" s="132" t="s">
        <v>760</v>
      </c>
      <c r="E122" s="3" t="s">
        <v>464</v>
      </c>
      <c r="F122" s="133">
        <v>0</v>
      </c>
      <c r="G122" s="133">
        <v>35492</v>
      </c>
      <c r="H122" s="133">
        <v>0</v>
      </c>
      <c r="I122" s="133">
        <v>35492</v>
      </c>
      <c r="J122" s="133">
        <v>0</v>
      </c>
      <c r="K122" s="133">
        <v>0</v>
      </c>
      <c r="L122" s="133">
        <v>0</v>
      </c>
      <c r="M122" s="133">
        <v>35492</v>
      </c>
      <c r="N122" s="134"/>
      <c r="O122" s="9" t="s">
        <v>810</v>
      </c>
      <c r="P122" s="184">
        <f t="shared" ref="P122:P126" si="39">+J122-K122+L122-M122</f>
        <v>-35492</v>
      </c>
      <c r="Q122" s="135">
        <f t="shared" si="19"/>
        <v>-39.302364210176627</v>
      </c>
      <c r="R122" s="135"/>
      <c r="S122" s="136"/>
      <c r="T122" s="9"/>
      <c r="U122" s="134"/>
      <c r="V122" s="137">
        <f t="shared" si="23"/>
        <v>35492</v>
      </c>
      <c r="X122" s="126" t="s">
        <v>760</v>
      </c>
      <c r="Y122" s="126" t="b">
        <f t="shared" si="29"/>
        <v>1</v>
      </c>
    </row>
    <row r="123" spans="1:25" ht="14">
      <c r="A123" s="126" t="s">
        <v>963</v>
      </c>
      <c r="B123" s="138" t="s">
        <v>829</v>
      </c>
      <c r="C123" s="126">
        <v>820010</v>
      </c>
      <c r="D123" s="132" t="s">
        <v>917</v>
      </c>
      <c r="E123" s="3" t="s">
        <v>919</v>
      </c>
      <c r="F123" s="133">
        <v>0</v>
      </c>
      <c r="G123" s="133">
        <v>775274</v>
      </c>
      <c r="H123" s="133">
        <v>0</v>
      </c>
      <c r="I123" s="133">
        <v>775274</v>
      </c>
      <c r="J123" s="133">
        <v>0</v>
      </c>
      <c r="K123" s="133">
        <v>0</v>
      </c>
      <c r="L123" s="133">
        <v>0</v>
      </c>
      <c r="M123" s="133">
        <v>775274</v>
      </c>
      <c r="N123" s="134"/>
      <c r="O123" s="9" t="s">
        <v>810</v>
      </c>
      <c r="P123" s="184">
        <f t="shared" ref="P123" si="40">+J123-K123+L123-M123</f>
        <v>-775274</v>
      </c>
      <c r="Q123" s="135">
        <f t="shared" ref="Q123" si="41">P123/$Q$8</f>
        <v>-858.50617352306074</v>
      </c>
      <c r="R123" s="135"/>
      <c r="S123" s="136"/>
      <c r="T123" s="9"/>
      <c r="U123" s="134"/>
      <c r="V123" s="137">
        <f t="shared" ref="V123" si="42">U123-P123</f>
        <v>775274</v>
      </c>
      <c r="X123" s="126" t="s">
        <v>917</v>
      </c>
      <c r="Y123" s="126" t="b">
        <f t="shared" si="29"/>
        <v>1</v>
      </c>
    </row>
    <row r="124" spans="1:25" ht="14">
      <c r="A124" s="126" t="s">
        <v>964</v>
      </c>
      <c r="B124" s="126" t="s">
        <v>829</v>
      </c>
      <c r="C124" s="126">
        <v>820060</v>
      </c>
      <c r="D124" s="132" t="s">
        <v>748</v>
      </c>
      <c r="E124" s="3" t="s">
        <v>1</v>
      </c>
      <c r="F124" s="133">
        <v>199410323</v>
      </c>
      <c r="G124" s="133">
        <v>188575345</v>
      </c>
      <c r="H124" s="133">
        <v>10834978</v>
      </c>
      <c r="I124" s="133">
        <v>0</v>
      </c>
      <c r="J124" s="133">
        <v>0</v>
      </c>
      <c r="K124" s="133">
        <v>0</v>
      </c>
      <c r="L124" s="133">
        <v>10834978</v>
      </c>
      <c r="M124" s="133">
        <v>0</v>
      </c>
      <c r="N124" s="134"/>
      <c r="O124" s="9" t="s">
        <v>810</v>
      </c>
      <c r="P124" s="184">
        <f t="shared" si="39"/>
        <v>10834978</v>
      </c>
      <c r="Q124" s="135">
        <f t="shared" si="19"/>
        <v>11998.203864680805</v>
      </c>
      <c r="R124" s="135"/>
      <c r="S124" s="136"/>
      <c r="T124" s="9"/>
      <c r="U124" s="134"/>
      <c r="V124" s="137">
        <f t="shared" si="23"/>
        <v>-10834978</v>
      </c>
      <c r="X124" s="126" t="s">
        <v>748</v>
      </c>
      <c r="Y124" s="126" t="b">
        <f t="shared" si="29"/>
        <v>1</v>
      </c>
    </row>
    <row r="125" spans="1:25" ht="14">
      <c r="A125" s="126" t="s">
        <v>965</v>
      </c>
      <c r="B125" s="126" t="s">
        <v>829</v>
      </c>
      <c r="C125" s="126">
        <v>810080</v>
      </c>
      <c r="D125" s="132" t="s">
        <v>753</v>
      </c>
      <c r="E125" s="3" t="s">
        <v>0</v>
      </c>
      <c r="F125" s="133">
        <v>1746970</v>
      </c>
      <c r="G125" s="133">
        <v>6262362</v>
      </c>
      <c r="H125" s="133">
        <v>0</v>
      </c>
      <c r="I125" s="133">
        <v>4515392</v>
      </c>
      <c r="J125" s="133">
        <v>0</v>
      </c>
      <c r="K125" s="133">
        <v>0</v>
      </c>
      <c r="L125" s="133">
        <v>0</v>
      </c>
      <c r="M125" s="133">
        <v>4515392</v>
      </c>
      <c r="N125" s="134"/>
      <c r="O125" s="9" t="s">
        <v>810</v>
      </c>
      <c r="P125" s="184">
        <f t="shared" si="39"/>
        <v>-4515392</v>
      </c>
      <c r="Q125" s="135">
        <f t="shared" si="19"/>
        <v>-5000.1572448923098</v>
      </c>
      <c r="R125" s="135"/>
      <c r="S125" s="136"/>
      <c r="T125" s="9"/>
      <c r="U125" s="134"/>
      <c r="V125" s="137"/>
      <c r="X125" s="126" t="s">
        <v>753</v>
      </c>
      <c r="Y125" s="126" t="b">
        <f t="shared" si="29"/>
        <v>1</v>
      </c>
    </row>
    <row r="126" spans="1:25" ht="14">
      <c r="A126" s="126" t="s">
        <v>966</v>
      </c>
      <c r="B126" s="126" t="s">
        <v>829</v>
      </c>
      <c r="C126" s="126">
        <v>810099</v>
      </c>
      <c r="D126" s="132" t="s">
        <v>759</v>
      </c>
      <c r="E126" s="3" t="s">
        <v>418</v>
      </c>
      <c r="F126" s="133">
        <v>1352</v>
      </c>
      <c r="G126" s="133">
        <v>3</v>
      </c>
      <c r="H126" s="133">
        <v>1349</v>
      </c>
      <c r="I126" s="133">
        <v>0</v>
      </c>
      <c r="J126" s="133">
        <v>0</v>
      </c>
      <c r="K126" s="133">
        <v>0</v>
      </c>
      <c r="L126" s="133">
        <v>1349</v>
      </c>
      <c r="M126" s="133">
        <v>0</v>
      </c>
      <c r="N126" s="134"/>
      <c r="O126" s="9" t="s">
        <v>810</v>
      </c>
      <c r="P126" s="184">
        <f t="shared" si="39"/>
        <v>1349</v>
      </c>
      <c r="Q126" s="135">
        <f t="shared" si="19"/>
        <v>1.4938264769392615</v>
      </c>
      <c r="R126" s="135"/>
      <c r="S126" s="136"/>
      <c r="T126" s="9"/>
      <c r="U126" s="134"/>
      <c r="V126" s="137">
        <f t="shared" ref="V126" si="43">U126-P126</f>
        <v>-1349</v>
      </c>
      <c r="X126" s="126" t="s">
        <v>759</v>
      </c>
      <c r="Y126" s="126" t="b">
        <f t="shared" si="29"/>
        <v>1</v>
      </c>
    </row>
    <row r="129" spans="4:22" ht="14">
      <c r="D129" s="143" t="s">
        <v>831</v>
      </c>
      <c r="E129" s="144"/>
      <c r="F129" s="145">
        <f t="shared" ref="F129:M129" si="44">SUM(F9:F126)</f>
        <v>20837246768</v>
      </c>
      <c r="G129" s="145">
        <f t="shared" si="44"/>
        <v>20837246768</v>
      </c>
      <c r="H129" s="145">
        <f t="shared" si="44"/>
        <v>8854952726</v>
      </c>
      <c r="I129" s="145">
        <f t="shared" si="44"/>
        <v>8854952726</v>
      </c>
      <c r="J129" s="145">
        <f t="shared" si="44"/>
        <v>7590346978</v>
      </c>
      <c r="K129" s="145">
        <f t="shared" si="44"/>
        <v>7867829709</v>
      </c>
      <c r="L129" s="145">
        <f t="shared" si="44"/>
        <v>1264605748</v>
      </c>
      <c r="M129" s="145">
        <f t="shared" si="44"/>
        <v>987123017</v>
      </c>
      <c r="N129" s="134"/>
      <c r="O129" s="134"/>
      <c r="P129" s="140">
        <f>SUM(P9:P126)</f>
        <v>0</v>
      </c>
      <c r="Q129" s="140">
        <f>SUM(Q9:Q126)</f>
        <v>-1.0091982804993904E-9</v>
      </c>
      <c r="R129" s="140">
        <f>SUM(R10:R65)</f>
        <v>0</v>
      </c>
      <c r="S129" s="140">
        <f>SUM(S10:S65)</f>
        <v>0</v>
      </c>
      <c r="T129" s="140"/>
      <c r="U129" s="140">
        <f>SUM(U10:U65)</f>
        <v>0</v>
      </c>
      <c r="V129" s="9"/>
    </row>
    <row r="130" spans="4:22" ht="14">
      <c r="D130" s="143" t="s">
        <v>832</v>
      </c>
      <c r="E130" s="144"/>
      <c r="F130" s="145"/>
      <c r="G130" s="146"/>
      <c r="H130" s="146"/>
      <c r="I130" s="146"/>
      <c r="J130" s="145">
        <v>0</v>
      </c>
      <c r="K130" s="147">
        <f>+J129-K129</f>
        <v>-277482731</v>
      </c>
      <c r="L130" s="145">
        <f>+M129-L129</f>
        <v>-277482731</v>
      </c>
      <c r="M130" s="145">
        <v>0</v>
      </c>
      <c r="N130" s="134"/>
      <c r="O130" s="134"/>
      <c r="P130" s="148">
        <f>SUM(P65:P128)</f>
        <v>277482731</v>
      </c>
      <c r="Q130" s="148">
        <f>SUM(Q65:Q128)</f>
        <v>307272.83206909918</v>
      </c>
      <c r="R130" s="148">
        <f>SUM(R67:R127)</f>
        <v>0</v>
      </c>
      <c r="S130" s="149">
        <f>SUM(S67:S127)</f>
        <v>0</v>
      </c>
      <c r="T130" s="148"/>
      <c r="U130" s="148">
        <f>SUM(U67:U127)</f>
        <v>0</v>
      </c>
      <c r="V130" s="9"/>
    </row>
    <row r="131" spans="4:22" ht="14">
      <c r="D131" s="143" t="s">
        <v>833</v>
      </c>
      <c r="E131" s="144"/>
      <c r="F131" s="145">
        <f>SUM(F129:F130)</f>
        <v>20837246768</v>
      </c>
      <c r="G131" s="145">
        <f t="shared" ref="G131:M131" si="45">SUM(G129:G130)</f>
        <v>20837246768</v>
      </c>
      <c r="H131" s="145">
        <f t="shared" si="45"/>
        <v>8854952726</v>
      </c>
      <c r="I131" s="145">
        <f t="shared" si="45"/>
        <v>8854952726</v>
      </c>
      <c r="J131" s="145">
        <f t="shared" si="45"/>
        <v>7590346978</v>
      </c>
      <c r="K131" s="145">
        <f t="shared" si="45"/>
        <v>7590346978</v>
      </c>
      <c r="L131" s="145">
        <f t="shared" si="45"/>
        <v>987123017</v>
      </c>
      <c r="M131" s="145">
        <f t="shared" si="45"/>
        <v>987123017</v>
      </c>
      <c r="N131" s="134"/>
      <c r="O131" s="134"/>
      <c r="P131" s="150"/>
      <c r="Q131" s="151"/>
      <c r="R131" s="9"/>
      <c r="S131" s="9"/>
      <c r="T131" s="9"/>
      <c r="U131" s="9"/>
      <c r="V131" s="9"/>
    </row>
    <row r="132" spans="4:22" ht="14">
      <c r="D132" s="9" t="s">
        <v>433</v>
      </c>
      <c r="E132" s="9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9"/>
      <c r="R132" s="9"/>
      <c r="S132" s="9"/>
      <c r="T132" s="9"/>
      <c r="U132" s="9"/>
      <c r="V132" s="9"/>
    </row>
    <row r="133" spans="4:22">
      <c r="Q133" s="175"/>
    </row>
    <row r="137" spans="4:22">
      <c r="D137" s="126" t="s">
        <v>433</v>
      </c>
    </row>
  </sheetData>
  <mergeCells count="12">
    <mergeCell ref="A7:A8"/>
    <mergeCell ref="B7:B8"/>
    <mergeCell ref="C7:C8"/>
    <mergeCell ref="D2:M2"/>
    <mergeCell ref="D3:M3"/>
    <mergeCell ref="D4:M4"/>
    <mergeCell ref="D7:D8"/>
    <mergeCell ref="E7:E8"/>
    <mergeCell ref="F7:G7"/>
    <mergeCell ref="H7:I7"/>
    <mergeCell ref="J7:K7"/>
    <mergeCell ref="L7:M7"/>
  </mergeCells>
  <phoneticPr fontId="4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1841-C6EC-4042-B194-6418DB0EA0E8}">
  <dimension ref="A1:CJ62"/>
  <sheetViews>
    <sheetView topLeftCell="A24" zoomScale="80" zoomScaleNormal="80" workbookViewId="0">
      <selection activeCell="B71" sqref="B71"/>
    </sheetView>
  </sheetViews>
  <sheetFormatPr baseColWidth="10" defaultColWidth="11.59765625" defaultRowHeight="14"/>
  <cols>
    <col min="1" max="1" width="16.3984375" customWidth="1"/>
    <col min="2" max="2" width="62.59765625" bestFit="1" customWidth="1"/>
    <col min="3" max="3" width="17.59765625" customWidth="1"/>
    <col min="4" max="4" width="16.3984375" customWidth="1"/>
    <col min="5" max="5" width="14.3984375" customWidth="1"/>
    <col min="6" max="6" width="21.296875" customWidth="1"/>
    <col min="8" max="8" width="33.09765625" bestFit="1" customWidth="1"/>
    <col min="9" max="9" width="15.296875" bestFit="1" customWidth="1"/>
  </cols>
  <sheetData>
    <row r="1" spans="1:11" ht="15.05">
      <c r="A1" s="4"/>
      <c r="B1" s="32"/>
      <c r="C1" s="48" t="s">
        <v>527</v>
      </c>
      <c r="D1" s="49" t="s">
        <v>526</v>
      </c>
      <c r="E1" s="49" t="s">
        <v>528</v>
      </c>
      <c r="F1" s="162">
        <v>903.05</v>
      </c>
      <c r="H1" t="s">
        <v>517</v>
      </c>
      <c r="I1" t="s">
        <v>518</v>
      </c>
      <c r="J1" t="s">
        <v>519</v>
      </c>
      <c r="K1" t="s">
        <v>520</v>
      </c>
    </row>
    <row r="2" spans="1:11">
      <c r="A2" s="3" t="s">
        <v>803</v>
      </c>
      <c r="B2" s="3" t="s">
        <v>804</v>
      </c>
      <c r="C2" s="1">
        <f>VLOOKUP(A2,BCE!$D$9:$P$131,13)</f>
        <v>84410436</v>
      </c>
      <c r="D2">
        <f>SUMIF('Balanza ok'!D:D,A2,'Balanza ok'!B:B)</f>
        <v>111100</v>
      </c>
      <c r="E2">
        <v>40</v>
      </c>
      <c r="F2" s="1">
        <f>C2/$F$1</f>
        <v>93472.605060627873</v>
      </c>
      <c r="I2" s="1"/>
    </row>
    <row r="3" spans="1:11">
      <c r="A3" s="3" t="s">
        <v>633</v>
      </c>
      <c r="B3" s="3" t="s">
        <v>67</v>
      </c>
      <c r="C3" s="1">
        <f>VLOOKUP(A3,BCE!$D$9:$P$131,13)</f>
        <v>37420</v>
      </c>
      <c r="D3">
        <f>SUMIF('Balanza ok'!D:D,A3,'Balanza ok'!B:B)</f>
        <v>111100</v>
      </c>
      <c r="E3">
        <v>40</v>
      </c>
      <c r="F3" s="1">
        <f t="shared" ref="F3:F59" si="0">C3/$F$1</f>
        <v>41.437351198715469</v>
      </c>
      <c r="I3" s="1"/>
    </row>
    <row r="4" spans="1:11">
      <c r="A4" s="3" t="s">
        <v>634</v>
      </c>
      <c r="B4" s="3" t="s">
        <v>66</v>
      </c>
      <c r="C4" s="1">
        <f>VLOOKUP(A4,BCE!$D$9:$P$131,13)</f>
        <v>-126774</v>
      </c>
      <c r="D4">
        <f>SUMIF('Balanza ok'!D:D,A4,'Balanza ok'!B:B)</f>
        <v>111100</v>
      </c>
      <c r="E4">
        <v>50</v>
      </c>
      <c r="F4" s="1">
        <f t="shared" si="0"/>
        <v>-140.38425336360115</v>
      </c>
      <c r="I4" s="1"/>
    </row>
    <row r="5" spans="1:11">
      <c r="A5" s="3" t="s">
        <v>635</v>
      </c>
      <c r="B5" s="3" t="s">
        <v>65</v>
      </c>
      <c r="C5" s="1">
        <f>VLOOKUP(A5,BCE!$D$9:$P$131,13)</f>
        <v>32350</v>
      </c>
      <c r="D5">
        <f>SUMIF('Balanza ok'!D:D,A5,'Balanza ok'!B:B)</f>
        <v>111100</v>
      </c>
      <c r="E5">
        <v>40</v>
      </c>
      <c r="F5" s="1">
        <f t="shared" si="0"/>
        <v>35.823044128232105</v>
      </c>
      <c r="I5" s="1"/>
    </row>
    <row r="6" spans="1:11">
      <c r="A6" s="3" t="s">
        <v>636</v>
      </c>
      <c r="B6" s="3" t="s">
        <v>533</v>
      </c>
      <c r="C6" s="1">
        <f>VLOOKUP(A6,BCE!$D$9:$P$131,13)</f>
        <v>44970</v>
      </c>
      <c r="D6">
        <f>SUMIF('Balanza ok'!D:D,A6,'Balanza ok'!B:B)</f>
        <v>111100</v>
      </c>
      <c r="E6">
        <v>40</v>
      </c>
      <c r="F6" s="1">
        <f t="shared" si="0"/>
        <v>49.797907092630531</v>
      </c>
      <c r="I6" s="1"/>
    </row>
    <row r="7" spans="1:11">
      <c r="A7" s="3" t="s">
        <v>637</v>
      </c>
      <c r="B7" s="3" t="s">
        <v>539</v>
      </c>
      <c r="C7" s="1">
        <f>VLOOKUP(A7,BCE!$D$9:$P$131,13)</f>
        <v>32860</v>
      </c>
      <c r="D7">
        <f>SUMIF('Balanza ok'!D:D,A7,'Balanza ok'!B:B)</f>
        <v>111100</v>
      </c>
      <c r="E7">
        <v>40</v>
      </c>
      <c r="F7" s="1">
        <f t="shared" si="0"/>
        <v>36.387796910470072</v>
      </c>
      <c r="I7" s="1"/>
    </row>
    <row r="8" spans="1:11">
      <c r="A8" s="3" t="s">
        <v>638</v>
      </c>
      <c r="B8" s="3" t="s">
        <v>621</v>
      </c>
      <c r="C8" s="1">
        <f>VLOOKUP(A8,BCE!$D$9:$P$131,13)</f>
        <v>11360</v>
      </c>
      <c r="D8">
        <f>SUMIF('Balanza ok'!D:D,A8,'Balanza ok'!B:B)</f>
        <v>111100</v>
      </c>
      <c r="E8">
        <v>40</v>
      </c>
      <c r="F8" s="1">
        <f t="shared" si="0"/>
        <v>12.579591384751675</v>
      </c>
      <c r="I8" s="1"/>
    </row>
    <row r="9" spans="1:11">
      <c r="A9" s="3" t="s">
        <v>640</v>
      </c>
      <c r="B9" s="3" t="s">
        <v>627</v>
      </c>
      <c r="C9" s="1">
        <f>VLOOKUP(A9,BCE!$D$9:$P$131,13)</f>
        <v>0</v>
      </c>
      <c r="D9">
        <f>SUMIF('Balanza ok'!D:D,A9,'Balanza ok'!B:B)</f>
        <v>111100</v>
      </c>
      <c r="E9">
        <v>40</v>
      </c>
      <c r="F9" s="1">
        <f t="shared" si="0"/>
        <v>0</v>
      </c>
      <c r="I9" s="1"/>
    </row>
    <row r="10" spans="1:11">
      <c r="A10" s="3" t="s">
        <v>878</v>
      </c>
      <c r="B10" s="3" t="s">
        <v>879</v>
      </c>
      <c r="C10" s="1">
        <f>VLOOKUP(A10,BCE!$D$9:$P$131,13)</f>
        <v>38022</v>
      </c>
      <c r="D10">
        <f>SUMIF('Balanza ok'!D:D,A10,'Balanza ok'!B:B)</f>
        <v>111100</v>
      </c>
      <c r="E10">
        <v>40</v>
      </c>
      <c r="F10" s="1">
        <f t="shared" si="0"/>
        <v>42.103980953435581</v>
      </c>
      <c r="I10" s="1"/>
    </row>
    <row r="11" spans="1:11">
      <c r="A11" s="3" t="s">
        <v>891</v>
      </c>
      <c r="B11" s="3" t="s">
        <v>892</v>
      </c>
      <c r="C11" s="1">
        <f>VLOOKUP(A11,BCE!$D$9:$P$131,13)</f>
        <v>36120</v>
      </c>
      <c r="D11">
        <f>SUMIF('Balanza ok'!D:D,A11,'Balanza ok'!B:B)</f>
        <v>111100</v>
      </c>
      <c r="E11">
        <v>40</v>
      </c>
      <c r="F11" s="1">
        <f t="shared" ref="F11" si="1">C11/$F$1</f>
        <v>39.997785283206909</v>
      </c>
      <c r="I11" s="1"/>
    </row>
    <row r="12" spans="1:11">
      <c r="A12" s="3" t="s">
        <v>914</v>
      </c>
      <c r="B12" s="3" t="s">
        <v>915</v>
      </c>
      <c r="C12" s="1">
        <f>VLOOKUP(A12,BCE!$D$9:$P$131,13)</f>
        <v>41598</v>
      </c>
      <c r="D12">
        <f>SUMIF('Balanza ok'!D:D,A12,'Balanza ok'!B:B)</f>
        <v>111100</v>
      </c>
      <c r="E12">
        <v>40</v>
      </c>
      <c r="F12" s="1">
        <f t="shared" si="0"/>
        <v>46.063894579480653</v>
      </c>
      <c r="I12" s="1"/>
    </row>
    <row r="13" spans="1:11">
      <c r="A13" s="3" t="s">
        <v>639</v>
      </c>
      <c r="B13" s="3" t="s">
        <v>64</v>
      </c>
      <c r="C13" s="1">
        <f>VLOOKUP(A13,BCE!$D$9:$P$131,13)</f>
        <v>213813817</v>
      </c>
      <c r="D13">
        <f>SUMIF('Balanza ok'!D:D,A13,'Balanza ok'!B:B)</f>
        <v>112093</v>
      </c>
      <c r="E13">
        <v>40</v>
      </c>
      <c r="F13" s="1">
        <f t="shared" si="0"/>
        <v>236768.525552295</v>
      </c>
      <c r="I13" s="1"/>
    </row>
    <row r="14" spans="1:11">
      <c r="A14" s="3" t="s">
        <v>646</v>
      </c>
      <c r="B14" s="3" t="s">
        <v>513</v>
      </c>
      <c r="C14" s="1">
        <f>VLOOKUP(A14,BCE!$D$9:$P$131,13)</f>
        <v>14476641</v>
      </c>
      <c r="D14">
        <f>SUMIF('Balanza ok'!D:D,A14,'Balanza ok'!B:B)</f>
        <v>112095</v>
      </c>
      <c r="E14">
        <v>40</v>
      </c>
      <c r="F14" s="1">
        <f t="shared" si="0"/>
        <v>16030.829965118211</v>
      </c>
      <c r="I14" s="1"/>
    </row>
    <row r="15" spans="1:11">
      <c r="A15" s="3" t="s">
        <v>642</v>
      </c>
      <c r="B15" s="3" t="s">
        <v>643</v>
      </c>
      <c r="C15" s="1">
        <f>VLOOKUP(A15,BCE!$D$9:$P$131,13)</f>
        <v>302389138</v>
      </c>
      <c r="D15">
        <f>SUMIF('Balanza ok'!D:D,A15,'Balanza ok'!B:B)</f>
        <v>112094</v>
      </c>
      <c r="E15">
        <v>40</v>
      </c>
      <c r="F15" s="1">
        <f t="shared" si="0"/>
        <v>334853.15098831739</v>
      </c>
      <c r="I15" s="1"/>
    </row>
    <row r="16" spans="1:11">
      <c r="A16" s="3" t="s">
        <v>644</v>
      </c>
      <c r="B16" s="3" t="s">
        <v>645</v>
      </c>
      <c r="C16" s="1">
        <f>VLOOKUP(A16,BCE!$D$9:$P$131,13)</f>
        <v>180594648</v>
      </c>
      <c r="D16">
        <f>SUMIF('Balanza ok'!D:D,A16,'Balanza ok'!B:B)</f>
        <v>112095</v>
      </c>
      <c r="E16">
        <v>40</v>
      </c>
      <c r="F16" s="1">
        <f t="shared" ref="F16:F17" si="2">C16/$F$1</f>
        <v>199982.99983389626</v>
      </c>
      <c r="I16" s="1"/>
    </row>
    <row r="17" spans="1:88">
      <c r="A17" s="3" t="s">
        <v>641</v>
      </c>
      <c r="B17" s="3" t="s">
        <v>63</v>
      </c>
      <c r="C17" s="1">
        <f>VLOOKUP(A17,BCE!$D$9:$P$131,13)</f>
        <v>4970977</v>
      </c>
      <c r="D17">
        <f>SUMIF('Balanza ok'!D:D,A17,'Balanza ok'!B:B)</f>
        <v>112094</v>
      </c>
      <c r="E17">
        <v>40</v>
      </c>
      <c r="F17" s="1">
        <f t="shared" si="2"/>
        <v>5504.653119982283</v>
      </c>
      <c r="I17" s="1"/>
    </row>
    <row r="18" spans="1:88">
      <c r="A18" s="3" t="s">
        <v>665</v>
      </c>
      <c r="B18" s="3" t="s">
        <v>532</v>
      </c>
      <c r="C18" s="1">
        <f>VLOOKUP(A18,BCE!$D$9:$P$131,13)</f>
        <v>28190387</v>
      </c>
      <c r="D18">
        <f>SUMIF('Balanza ok'!D:D,A18,'Balanza ok'!B:B)</f>
        <v>141195</v>
      </c>
      <c r="E18">
        <v>40</v>
      </c>
      <c r="F18" s="1">
        <f t="shared" si="0"/>
        <v>31216.861746304192</v>
      </c>
      <c r="I18" s="1"/>
    </row>
    <row r="19" spans="1:88">
      <c r="A19" s="7" t="s">
        <v>647</v>
      </c>
      <c r="B19" s="7" t="s">
        <v>62</v>
      </c>
      <c r="C19" s="1">
        <f>VLOOKUP(A19,BCE!$D$9:$P$131,13)</f>
        <v>0</v>
      </c>
      <c r="D19">
        <f>SUMIF('Balanza ok'!D:D,A19,'Balanza ok'!B:B)</f>
        <v>113100</v>
      </c>
      <c r="E19">
        <v>40</v>
      </c>
      <c r="F19" s="1">
        <f t="shared" si="0"/>
        <v>0</v>
      </c>
      <c r="I19" s="1"/>
    </row>
    <row r="20" spans="1:88">
      <c r="A20" s="3" t="s">
        <v>651</v>
      </c>
      <c r="B20" s="3" t="s">
        <v>61</v>
      </c>
      <c r="C20" s="1">
        <f>VLOOKUP(A20,BCE!$D$9:$P$131,13)</f>
        <v>2628558</v>
      </c>
      <c r="D20">
        <f>SUMIF('Balanza ok'!D:D,A20,'Balanza ok'!B:B)</f>
        <v>115061</v>
      </c>
      <c r="E20">
        <v>40</v>
      </c>
      <c r="F20" s="1">
        <f t="shared" si="0"/>
        <v>2910.7557721056423</v>
      </c>
      <c r="I20" s="1"/>
    </row>
    <row r="21" spans="1:88">
      <c r="A21" s="3" t="s">
        <v>649</v>
      </c>
      <c r="B21" s="3" t="s">
        <v>60</v>
      </c>
      <c r="C21" s="1">
        <f>VLOOKUP(A21,BCE!$D$9:$P$131,13)</f>
        <v>-537589</v>
      </c>
      <c r="D21">
        <f>SUMIF('Balanza ok'!D:D,A21,'Balanza ok'!B:B)</f>
        <v>115010</v>
      </c>
      <c r="E21">
        <v>50</v>
      </c>
      <c r="F21" s="1">
        <f t="shared" si="0"/>
        <v>-595.30369304025248</v>
      </c>
      <c r="I21" s="1"/>
    </row>
    <row r="22" spans="1:88">
      <c r="A22" s="3" t="s">
        <v>650</v>
      </c>
      <c r="B22" s="3" t="s">
        <v>59</v>
      </c>
      <c r="C22" s="1">
        <f>VLOOKUP(A22,BCE!$D$9:$P$131,13)</f>
        <v>39940114</v>
      </c>
      <c r="D22">
        <f>SUMIF('Balanza ok'!D:D,A22,'Balanza ok'!B:B)</f>
        <v>115010</v>
      </c>
      <c r="E22">
        <v>40</v>
      </c>
      <c r="F22" s="1">
        <f t="shared" si="0"/>
        <v>44228.020596866176</v>
      </c>
      <c r="I22" s="1"/>
    </row>
    <row r="23" spans="1:88">
      <c r="A23" s="3" t="s">
        <v>775</v>
      </c>
      <c r="B23" s="3" t="s">
        <v>776</v>
      </c>
      <c r="C23" s="1">
        <f>VLOOKUP(A23,BCE!$D$9:$P$131,13)</f>
        <v>480400</v>
      </c>
      <c r="D23">
        <f>SUMIF('Balanza ok'!D:D,A23,'Balanza ok'!B:B)</f>
        <v>115010</v>
      </c>
      <c r="E23">
        <v>40</v>
      </c>
      <c r="F23" s="1">
        <f t="shared" ref="F23" si="3">C23/$F$1</f>
        <v>531.97497370023814</v>
      </c>
      <c r="I23" s="1"/>
    </row>
    <row r="24" spans="1:88">
      <c r="A24" s="3" t="s">
        <v>777</v>
      </c>
      <c r="B24" s="3" t="s">
        <v>778</v>
      </c>
      <c r="C24" s="1">
        <f>VLOOKUP(A24,BCE!$D$9:$P$131,13)</f>
        <v>288013442</v>
      </c>
      <c r="D24">
        <f>SUMIF('Balanza ok'!D:D,A24,'Balanza ok'!B:B)</f>
        <v>115010</v>
      </c>
      <c r="E24">
        <v>40</v>
      </c>
      <c r="F24" s="1">
        <f t="shared" si="0"/>
        <v>318934.10331653839</v>
      </c>
      <c r="I24" s="1"/>
    </row>
    <row r="25" spans="1:88">
      <c r="A25" s="3" t="s">
        <v>983</v>
      </c>
      <c r="B25" s="3" t="s">
        <v>982</v>
      </c>
      <c r="C25" s="1">
        <f>VLOOKUP(A25,BCE!$D$9:$P$131,13)</f>
        <v>4532165</v>
      </c>
      <c r="D25">
        <f>SUMIF('Balanza ok'!D:D,A25,'Balanza ok'!B:B)</f>
        <v>115010</v>
      </c>
      <c r="E25">
        <v>40</v>
      </c>
      <c r="F25" s="1">
        <f t="shared" ref="F25" si="4">C25/$F$1</f>
        <v>5018.73096727756</v>
      </c>
      <c r="I25" s="1"/>
    </row>
    <row r="26" spans="1:88">
      <c r="A26" s="3" t="s">
        <v>987</v>
      </c>
      <c r="B26" s="3" t="s">
        <v>982</v>
      </c>
      <c r="C26" s="1">
        <f>VLOOKUP(A26,BCE!$D$9:$P$131,13)</f>
        <v>1542200</v>
      </c>
      <c r="D26">
        <f>SUMIF('Balanza ok'!D:D,A26,'Balanza ok'!B:B)</f>
        <v>115010</v>
      </c>
      <c r="E26">
        <v>40</v>
      </c>
      <c r="F26" s="1">
        <f t="shared" ref="F26" si="5">C26/$F$1</f>
        <v>1707.7681191517636</v>
      </c>
      <c r="I26" s="1"/>
    </row>
    <row r="27" spans="1:88">
      <c r="A27" s="3" t="s">
        <v>779</v>
      </c>
      <c r="B27" s="3" t="s">
        <v>780</v>
      </c>
      <c r="C27" s="1">
        <f>VLOOKUP(A27,BCE!$D$9:$P$131,13)</f>
        <v>6734121</v>
      </c>
      <c r="D27">
        <f>SUMIF('Balanza ok'!D:D,A27,'Balanza ok'!B:B)</f>
        <v>115010</v>
      </c>
      <c r="E27">
        <v>40</v>
      </c>
      <c r="F27" s="1">
        <f t="shared" si="0"/>
        <v>7457.0854327002935</v>
      </c>
      <c r="I27" s="1"/>
    </row>
    <row r="28" spans="1:88">
      <c r="A28" s="7" t="s">
        <v>654</v>
      </c>
      <c r="B28" s="7" t="s">
        <v>58</v>
      </c>
      <c r="C28" s="1">
        <f>VLOOKUP(A28,BCE!$D$9:$P$131,13)</f>
        <v>233893703</v>
      </c>
      <c r="D28">
        <f>SUMIF('Balanza ok'!D:D,A28,'Balanza ok'!B:B)</f>
        <v>115061</v>
      </c>
      <c r="E28">
        <v>40</v>
      </c>
      <c r="F28" s="1">
        <f t="shared" si="0"/>
        <v>259004.15591606224</v>
      </c>
      <c r="I28" s="1"/>
    </row>
    <row r="29" spans="1:88">
      <c r="A29" s="7" t="s">
        <v>655</v>
      </c>
      <c r="B29" s="7" t="s">
        <v>57</v>
      </c>
      <c r="C29" s="1">
        <f>VLOOKUP(A29,BCE!$D$9:$P$131,13)</f>
        <v>80000</v>
      </c>
      <c r="D29">
        <f>SUMIF('Balanza ok'!D:D,A29,'Balanza ok'!B:B)</f>
        <v>115055</v>
      </c>
      <c r="E29">
        <v>40</v>
      </c>
      <c r="F29" s="1">
        <f t="shared" ref="F29" si="6">C29/$F$1</f>
        <v>88.588671723603355</v>
      </c>
      <c r="I29" s="1"/>
    </row>
    <row r="30" spans="1:88">
      <c r="A30" s="7" t="s">
        <v>653</v>
      </c>
      <c r="B30" s="7" t="s">
        <v>56</v>
      </c>
      <c r="C30" s="1">
        <f>VLOOKUP(A30,BCE!$D$9:$P$131,13)</f>
        <v>1371491</v>
      </c>
      <c r="D30">
        <f>SUMIF('Balanza ok'!D:D,A30,'Balanza ok'!B:B)</f>
        <v>115055</v>
      </c>
      <c r="E30">
        <v>40</v>
      </c>
      <c r="F30" s="1">
        <f t="shared" si="0"/>
        <v>1518.732074635956</v>
      </c>
      <c r="I30" s="1"/>
    </row>
    <row r="31" spans="1:88">
      <c r="A31" s="7" t="s">
        <v>659</v>
      </c>
      <c r="B31" s="7" t="s">
        <v>55</v>
      </c>
      <c r="C31" s="1">
        <f>VLOOKUP(A31,BCE!$D$9:$P$131,13)</f>
        <v>1477833661</v>
      </c>
      <c r="D31">
        <f>SUMIF('Balanza ok'!D:D,A31,'Balanza ok'!B:B)</f>
        <v>116050</v>
      </c>
      <c r="E31">
        <v>40</v>
      </c>
      <c r="F31" s="1">
        <f t="shared" si="0"/>
        <v>1636491.5132052489</v>
      </c>
      <c r="I31" s="1"/>
    </row>
    <row r="32" spans="1:88" s="15" customFormat="1">
      <c r="A32" s="7" t="s">
        <v>660</v>
      </c>
      <c r="B32" s="7" t="s">
        <v>54</v>
      </c>
      <c r="C32" s="1">
        <f>VLOOKUP(A32,BCE!$D$9:$P$131,13)</f>
        <v>0</v>
      </c>
      <c r="D32">
        <f>SUMIF('Balanza ok'!D:D,A32,'Balanza ok'!B:B)</f>
        <v>116072</v>
      </c>
      <c r="E32">
        <v>40</v>
      </c>
      <c r="F32" s="1">
        <f t="shared" si="0"/>
        <v>0</v>
      </c>
      <c r="G32"/>
      <c r="H32"/>
      <c r="I32" s="1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</row>
    <row r="33" spans="1:88" s="15" customFormat="1">
      <c r="A33" s="7" t="s">
        <v>661</v>
      </c>
      <c r="B33" s="7" t="s">
        <v>619</v>
      </c>
      <c r="C33" s="1">
        <f>VLOOKUP(A33,BCE!$D$9:$P$131,13)</f>
        <v>273825730</v>
      </c>
      <c r="D33">
        <f>SUMIF('Balanza ok'!D:D,A33,'Balanza ok'!B:B)</f>
        <v>116072</v>
      </c>
      <c r="E33">
        <v>40</v>
      </c>
      <c r="F33" s="1">
        <f t="shared" si="0"/>
        <v>303223.22130557557</v>
      </c>
      <c r="G33"/>
      <c r="H33"/>
      <c r="I33" s="1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</row>
    <row r="34" spans="1:88">
      <c r="A34" s="7" t="s">
        <v>658</v>
      </c>
      <c r="B34" s="7" t="s">
        <v>53</v>
      </c>
      <c r="C34" s="1">
        <f>VLOOKUP(A34,BCE!$D$9:$P$131,13)</f>
        <v>0</v>
      </c>
      <c r="D34">
        <f>SUMIF('Balanza ok'!D:D,A34,'Balanza ok'!B:B)</f>
        <v>115095</v>
      </c>
      <c r="E34">
        <v>50</v>
      </c>
      <c r="F34" s="1">
        <f t="shared" si="0"/>
        <v>0</v>
      </c>
      <c r="I34" s="1"/>
    </row>
    <row r="35" spans="1:88">
      <c r="A35" s="7" t="s">
        <v>656</v>
      </c>
      <c r="B35" s="7" t="s">
        <v>52</v>
      </c>
      <c r="C35" s="1">
        <f>VLOOKUP(A35,BCE!$D$9:$P$131,13)</f>
        <v>356448282</v>
      </c>
      <c r="D35">
        <f>SUMIF('Balanza ok'!D:D,A35,'Balanza ok'!B:B)</f>
        <v>115082</v>
      </c>
      <c r="E35">
        <v>40</v>
      </c>
      <c r="F35" s="1">
        <f t="shared" si="0"/>
        <v>394715.9980067549</v>
      </c>
      <c r="I35" s="1"/>
    </row>
    <row r="36" spans="1:88">
      <c r="A36" s="7" t="s">
        <v>664</v>
      </c>
      <c r="B36" s="7" t="s">
        <v>50</v>
      </c>
      <c r="C36" s="1">
        <f>VLOOKUP(A36,BCE!$D$9:$P$131,13)</f>
        <v>57328372</v>
      </c>
      <c r="D36">
        <f>SUMIF('Balanza ok'!D:D,A36,'Balanza ok'!B:B)</f>
        <v>170013</v>
      </c>
      <c r="E36">
        <v>40</v>
      </c>
      <c r="F36" s="1">
        <f t="shared" si="0"/>
        <v>63483.054094457671</v>
      </c>
      <c r="I36" s="1"/>
    </row>
    <row r="37" spans="1:88">
      <c r="A37" s="7" t="s">
        <v>813</v>
      </c>
      <c r="B37" s="7" t="s">
        <v>49</v>
      </c>
      <c r="C37" s="1">
        <f>VLOOKUP(A37,BCE!$D$9:$P$131,13)</f>
        <v>749360787</v>
      </c>
      <c r="D37">
        <f>SUMIF('Balanza ok'!D:D,A37,'Balanza ok'!B:B)</f>
        <v>141080</v>
      </c>
      <c r="E37">
        <v>40</v>
      </c>
      <c r="F37" s="1">
        <f t="shared" si="0"/>
        <v>829810.9595260506</v>
      </c>
      <c r="I37" s="1"/>
    </row>
    <row r="38" spans="1:88">
      <c r="A38" s="7" t="s">
        <v>662</v>
      </c>
      <c r="B38" s="7" t="s">
        <v>48</v>
      </c>
      <c r="C38" s="1">
        <f>VLOOKUP(A38,BCE!$D$9:$P$131,13)</f>
        <v>112663495</v>
      </c>
      <c r="D38">
        <f>SUMIF('Balanza ok'!D:D,A38,'Balanza ok'!B:B)</f>
        <v>141070</v>
      </c>
      <c r="E38">
        <v>40</v>
      </c>
      <c r="F38" s="1">
        <f t="shared" si="0"/>
        <v>124758.86717236035</v>
      </c>
      <c r="I38" s="1"/>
    </row>
    <row r="39" spans="1:88">
      <c r="A39" s="7" t="s">
        <v>911</v>
      </c>
      <c r="B39" s="7" t="s">
        <v>912</v>
      </c>
      <c r="C39" s="1">
        <f>VLOOKUP(A39,BCE!$D$9:$P$131,13)</f>
        <v>0</v>
      </c>
      <c r="D39">
        <f>SUMIF('Balanza ok'!D:D,A39,'Balanza ok'!B:B)</f>
        <v>145000</v>
      </c>
      <c r="E39">
        <v>40</v>
      </c>
      <c r="F39" s="1">
        <f t="shared" si="0"/>
        <v>0</v>
      </c>
      <c r="I39" s="1"/>
    </row>
    <row r="40" spans="1:88" s="15" customFormat="1">
      <c r="A40" s="7" t="s">
        <v>663</v>
      </c>
      <c r="B40" s="7" t="s">
        <v>47</v>
      </c>
      <c r="C40" s="1">
        <f>VLOOKUP(A40,BCE!$D$9:$P$131,13)</f>
        <v>-235314694</v>
      </c>
      <c r="D40">
        <f>SUMIF('Balanza ok'!D:D,A40,'Balanza ok'!B:B)</f>
        <v>142080</v>
      </c>
      <c r="E40">
        <v>50</v>
      </c>
      <c r="F40" s="1">
        <f t="shared" si="0"/>
        <v>-260577.70223132719</v>
      </c>
      <c r="G40"/>
      <c r="H40"/>
      <c r="I40" s="1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 s="15" customFormat="1">
      <c r="A41" s="7" t="s">
        <v>666</v>
      </c>
      <c r="B41" s="7" t="s">
        <v>46</v>
      </c>
      <c r="C41" s="1">
        <f>VLOOKUP(A41,BCE!$D$9:$P$131,13)</f>
        <v>-41292706</v>
      </c>
      <c r="D41">
        <f>SUMIF('Balanza ok'!D:D,A41,'Balanza ok'!B:B)</f>
        <v>142070</v>
      </c>
      <c r="E41">
        <v>50</v>
      </c>
      <c r="F41" s="1">
        <f t="shared" si="0"/>
        <v>-45725.824705165833</v>
      </c>
      <c r="G41"/>
      <c r="H41"/>
      <c r="I41" s="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 s="15" customFormat="1">
      <c r="A42" s="7" t="s">
        <v>670</v>
      </c>
      <c r="B42" s="7" t="s">
        <v>671</v>
      </c>
      <c r="C42" s="1">
        <f>VLOOKUP(A42,BCE!$D$9:$P$131,13)</f>
        <v>-153102751</v>
      </c>
      <c r="D42">
        <f>SUMIF('Balanza ok'!D:D,A42,'Balanza ok'!B:B)</f>
        <v>224000</v>
      </c>
      <c r="E42">
        <v>50</v>
      </c>
      <c r="F42" s="1">
        <f>C42/$F$1</f>
        <v>-169539.61685399481</v>
      </c>
      <c r="G42" s="1" t="s">
        <v>907</v>
      </c>
      <c r="H42" t="s">
        <v>908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 s="15" customFormat="1">
      <c r="A43" s="7" t="s">
        <v>984</v>
      </c>
      <c r="B43" s="7" t="s">
        <v>985</v>
      </c>
      <c r="C43" s="1">
        <f>VLOOKUP(A43,BCE!$D$9:$P$131,13)</f>
        <v>-3101856</v>
      </c>
      <c r="D43">
        <f>SUMIF('Balanza ok'!D:D,A43,'Balanza ok'!B:B)</f>
        <v>224000</v>
      </c>
      <c r="E43">
        <v>50</v>
      </c>
      <c r="F43" s="1">
        <f t="shared" ref="F43" si="7">C43/$F$1</f>
        <v>-3434.8662864736175</v>
      </c>
      <c r="G43"/>
      <c r="H43"/>
      <c r="I43" s="1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 s="15" customFormat="1">
      <c r="A44" s="7" t="s">
        <v>672</v>
      </c>
      <c r="B44" s="7" t="s">
        <v>501</v>
      </c>
      <c r="C44" s="1">
        <f>VLOOKUP(A44,BCE!$D$9:$P$131,13)</f>
        <v>0</v>
      </c>
      <c r="D44">
        <f>SUMIF('Balanza ok'!D:D,A44,'Balanza ok'!B:B)</f>
        <v>224000</v>
      </c>
      <c r="E44">
        <v>50</v>
      </c>
      <c r="F44" s="1">
        <f t="shared" si="0"/>
        <v>0</v>
      </c>
      <c r="G44"/>
      <c r="H44"/>
      <c r="I44" s="1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</row>
    <row r="45" spans="1:88">
      <c r="A45" s="7" t="s">
        <v>668</v>
      </c>
      <c r="B45" s="7" t="s">
        <v>45</v>
      </c>
      <c r="C45" s="1">
        <f>VLOOKUP(A45,BCE!$D$9:$P$131,13)</f>
        <v>-1542217800</v>
      </c>
      <c r="D45">
        <f>SUMIF('Balanza ok'!D:D,A45,'Balanza ok'!B:B)</f>
        <v>210020</v>
      </c>
      <c r="E45">
        <v>50</v>
      </c>
      <c r="F45" s="1">
        <f t="shared" si="0"/>
        <v>-1707787.830131222</v>
      </c>
      <c r="G45" s="1" t="s">
        <v>909</v>
      </c>
      <c r="H45" t="s">
        <v>910</v>
      </c>
      <c r="I45" s="182"/>
    </row>
    <row r="46" spans="1:88">
      <c r="A46" s="7" t="s">
        <v>667</v>
      </c>
      <c r="B46" s="7" t="s">
        <v>44</v>
      </c>
      <c r="C46" s="1">
        <f>VLOOKUP(A46,BCE!$D$9:$P$131,13)</f>
        <v>-16895791</v>
      </c>
      <c r="D46">
        <f>SUMIF('Balanza ok'!D:D,A46,'Balanza ok'!B:B)</f>
        <v>210010</v>
      </c>
      <c r="E46">
        <v>50</v>
      </c>
      <c r="F46" s="1">
        <f t="shared" si="0"/>
        <v>-18709.696030120151</v>
      </c>
      <c r="I46" s="1"/>
    </row>
    <row r="47" spans="1:88">
      <c r="A47" s="7" t="s">
        <v>669</v>
      </c>
      <c r="B47" s="7" t="s">
        <v>43</v>
      </c>
      <c r="C47" s="1">
        <f>VLOOKUP(A47,BCE!$D$9:$P$131,13)</f>
        <v>-2728385</v>
      </c>
      <c r="D47">
        <f>SUMIF('Balanza ok'!D:D,A47,'Balanza ok'!B:B)</f>
        <v>210030</v>
      </c>
      <c r="E47">
        <v>50</v>
      </c>
      <c r="F47" s="1">
        <f t="shared" si="0"/>
        <v>-3021.3000387575439</v>
      </c>
      <c r="I47" s="1"/>
    </row>
    <row r="48" spans="1:88">
      <c r="A48" s="7" t="s">
        <v>681</v>
      </c>
      <c r="B48" s="7" t="s">
        <v>42</v>
      </c>
      <c r="C48" s="1">
        <f>VLOOKUP(A48,BCE!$D$9:$P$131,13)</f>
        <v>-9447850</v>
      </c>
      <c r="D48">
        <f>SUMIF('Balanza ok'!D:D,A48,'Balanza ok'!B:B)</f>
        <v>226030</v>
      </c>
      <c r="E48">
        <v>50</v>
      </c>
      <c r="F48" s="1">
        <f t="shared" si="0"/>
        <v>-10462.156026798073</v>
      </c>
      <c r="I48" s="1"/>
    </row>
    <row r="49" spans="1:9">
      <c r="A49" s="7" t="s">
        <v>673</v>
      </c>
      <c r="B49" s="7" t="s">
        <v>618</v>
      </c>
      <c r="C49" s="1">
        <f>VLOOKUP(A49,BCE!$D$9:$P$131,13)</f>
        <v>-31127797</v>
      </c>
      <c r="D49">
        <f>SUMIF('Balanza ok'!D:D,A49,'Balanza ok'!B:B)</f>
        <v>228050</v>
      </c>
      <c r="E49">
        <v>50</v>
      </c>
      <c r="F49" s="1">
        <f t="shared" si="0"/>
        <v>-34469.627373899566</v>
      </c>
      <c r="I49" s="1"/>
    </row>
    <row r="50" spans="1:9">
      <c r="A50" s="7" t="s">
        <v>682</v>
      </c>
      <c r="B50" s="7" t="s">
        <v>41</v>
      </c>
      <c r="C50" s="1">
        <f>VLOOKUP(A50,BCE!$D$9:$P$131,13)</f>
        <v>-45893120</v>
      </c>
      <c r="D50">
        <f>SUMIF('Balanza ok'!D:D,A50,'Balanza ok'!B:B)</f>
        <v>228050</v>
      </c>
      <c r="E50">
        <v>50</v>
      </c>
      <c r="F50" s="1">
        <f t="shared" si="0"/>
        <v>-50820.131775649192</v>
      </c>
      <c r="I50" s="1"/>
    </row>
    <row r="51" spans="1:9">
      <c r="A51" s="7" t="s">
        <v>678</v>
      </c>
      <c r="B51" s="7" t="s">
        <v>40</v>
      </c>
      <c r="C51" s="1">
        <f>VLOOKUP(A51,BCE!$D$9:$P$131,13)</f>
        <v>0</v>
      </c>
      <c r="D51">
        <f>SUMIF('Balanza ok'!D:D,A51,'Balanza ok'!B:B)</f>
        <v>227010</v>
      </c>
      <c r="E51">
        <v>50</v>
      </c>
      <c r="F51" s="1">
        <f t="shared" si="0"/>
        <v>0</v>
      </c>
      <c r="I51" s="1"/>
    </row>
    <row r="52" spans="1:9">
      <c r="A52" s="7" t="s">
        <v>679</v>
      </c>
      <c r="B52" s="7" t="s">
        <v>39</v>
      </c>
      <c r="C52" s="1">
        <f>VLOOKUP(A52,BCE!$D$9:$P$131,13)</f>
        <v>0</v>
      </c>
      <c r="D52">
        <f>SUMIF('Balanza ok'!D:D,A52,'Balanza ok'!B:B)</f>
        <v>227050</v>
      </c>
      <c r="E52">
        <v>50</v>
      </c>
      <c r="F52" s="1">
        <f t="shared" si="0"/>
        <v>0</v>
      </c>
      <c r="I52" s="1"/>
    </row>
    <row r="53" spans="1:9">
      <c r="A53" s="3" t="s">
        <v>677</v>
      </c>
      <c r="B53" s="3" t="s">
        <v>38</v>
      </c>
      <c r="C53" s="1">
        <f>VLOOKUP(A53,BCE!$D$9:$P$131,13)</f>
        <v>0</v>
      </c>
      <c r="D53">
        <f>SUMIF('Balanza ok'!D:D,A53,'Balanza ok'!B:B)</f>
        <v>226050</v>
      </c>
      <c r="E53">
        <v>50</v>
      </c>
      <c r="F53" s="1">
        <f t="shared" si="0"/>
        <v>0</v>
      </c>
      <c r="I53" s="1"/>
    </row>
    <row r="54" spans="1:9">
      <c r="A54" s="3" t="s">
        <v>676</v>
      </c>
      <c r="B54" s="3" t="s">
        <v>37</v>
      </c>
      <c r="C54" s="1">
        <f>VLOOKUP(A54,BCE!$D$9:$P$131,13)</f>
        <v>-3873394</v>
      </c>
      <c r="D54">
        <f>SUMIF('Balanza ok'!D:D,A54,'Balanza ok'!B:B)</f>
        <v>226060</v>
      </c>
      <c r="E54">
        <v>50</v>
      </c>
      <c r="F54" s="1">
        <f t="shared" si="0"/>
        <v>-4289.2353690271857</v>
      </c>
      <c r="I54" s="1"/>
    </row>
    <row r="55" spans="1:9">
      <c r="A55" s="3" t="s">
        <v>680</v>
      </c>
      <c r="B55" s="3" t="s">
        <v>36</v>
      </c>
      <c r="C55" s="1">
        <f>VLOOKUP(A55,BCE!$D$9:$P$131,13)</f>
        <v>-11500335</v>
      </c>
      <c r="D55">
        <f>SUMIF('Balanza ok'!D:D,A55,'Balanza ok'!B:B)</f>
        <v>228011</v>
      </c>
      <c r="E55">
        <v>50</v>
      </c>
      <c r="F55" s="1">
        <f t="shared" si="0"/>
        <v>-12734.992525330825</v>
      </c>
      <c r="I55" s="1"/>
    </row>
    <row r="56" spans="1:9">
      <c r="A56" s="3" t="s">
        <v>683</v>
      </c>
      <c r="B56" s="3" t="s">
        <v>35</v>
      </c>
      <c r="C56" s="1">
        <f>VLOOKUP(A56,BCE!$D$9:$P$131,13)</f>
        <v>-5770668867</v>
      </c>
      <c r="D56">
        <f>SUMIF('Balanza ok'!D:D,A56,'Balanza ok'!B:B)</f>
        <v>310100</v>
      </c>
      <c r="E56">
        <v>50</v>
      </c>
      <c r="F56" s="1">
        <f t="shared" si="0"/>
        <v>-6390198.6235535135</v>
      </c>
      <c r="I56" s="1"/>
    </row>
    <row r="57" spans="1:9">
      <c r="A57" s="3" t="s">
        <v>684</v>
      </c>
      <c r="B57" s="3" t="s">
        <v>225</v>
      </c>
      <c r="C57" s="1">
        <f>VLOOKUP(A57,BCE!$D$9:$P$131,13)</f>
        <v>3154549713</v>
      </c>
      <c r="D57">
        <f>SUMIF('Balanza ok'!D:D,A57,'Balanza ok'!B:B)</f>
        <v>340100</v>
      </c>
      <c r="E57">
        <v>40</v>
      </c>
      <c r="F57" s="1">
        <f t="shared" si="0"/>
        <v>3493217.1120093018</v>
      </c>
      <c r="I57" s="1"/>
    </row>
    <row r="58" spans="1:9">
      <c r="F58" s="1"/>
    </row>
    <row r="59" spans="1:9">
      <c r="C59" s="157">
        <f>SUM(C2:C58)</f>
        <v>-277482731</v>
      </c>
      <c r="F59" s="1">
        <f t="shared" si="0"/>
        <v>-307272.83206909918</v>
      </c>
    </row>
    <row r="60" spans="1:9">
      <c r="C60" t="b">
        <f>EXACT(C59,BCE!L130)</f>
        <v>1</v>
      </c>
    </row>
    <row r="62" spans="1:9">
      <c r="C62" s="260"/>
    </row>
  </sheetData>
  <autoFilter ref="C1:E57" xr:uid="{BDCD1841-C6EC-4042-B194-6418DB0EA0E8}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67B5-6692-4614-BAB1-218AACCD5D8B}">
  <dimension ref="A1:BI110"/>
  <sheetViews>
    <sheetView zoomScale="70" zoomScaleNormal="70" workbookViewId="0">
      <selection activeCell="S6" sqref="S6"/>
    </sheetView>
  </sheetViews>
  <sheetFormatPr baseColWidth="10" defaultRowHeight="14" outlineLevelCol="1"/>
  <cols>
    <col min="1" max="1" width="10.09765625" customWidth="1"/>
    <col min="2" max="2" width="11.3984375" customWidth="1"/>
    <col min="3" max="3" width="39.09765625" customWidth="1"/>
    <col min="4" max="4" width="13.69921875" customWidth="1" outlineLevel="1"/>
    <col min="5" max="5" width="15.8984375" customWidth="1" outlineLevel="1"/>
    <col min="6" max="6" width="11.59765625" customWidth="1" outlineLevel="1"/>
    <col min="7" max="7" width="16.8984375" customWidth="1" outlineLevel="1"/>
    <col min="8" max="8" width="15.5" customWidth="1" outlineLevel="1"/>
    <col min="9" max="10" width="15" customWidth="1" outlineLevel="1"/>
    <col min="11" max="11" width="15.5" customWidth="1" outlineLevel="1"/>
    <col min="12" max="13" width="16.3984375" customWidth="1" outlineLevel="1"/>
    <col min="14" max="16" width="15.09765625" customWidth="1" outlineLevel="1"/>
    <col min="17" max="17" width="17.3984375" customWidth="1" outlineLevel="1"/>
    <col min="18" max="18" width="18.09765625" style="108" customWidth="1" outlineLevel="1"/>
    <col min="19" max="19" width="15.59765625" customWidth="1" outlineLevel="1"/>
    <col min="20" max="36" width="18.09765625" customWidth="1"/>
    <col min="37" max="37" width="19.09765625" customWidth="1"/>
    <col min="38" max="38" width="12.69921875" customWidth="1"/>
    <col min="40" max="40" width="14" bestFit="1" customWidth="1"/>
  </cols>
  <sheetData>
    <row r="1" spans="1:37" ht="26.2" customHeight="1">
      <c r="B1" s="32"/>
      <c r="C1" s="179" t="s">
        <v>901</v>
      </c>
      <c r="E1" s="55" t="s">
        <v>468</v>
      </c>
      <c r="F1" s="55" t="s">
        <v>470</v>
      </c>
      <c r="G1" s="55" t="s">
        <v>457</v>
      </c>
      <c r="H1" s="55" t="s">
        <v>466</v>
      </c>
      <c r="I1" s="55"/>
      <c r="J1" s="55" t="s">
        <v>543</v>
      </c>
      <c r="K1" s="55" t="s">
        <v>544</v>
      </c>
      <c r="L1" s="55" t="s">
        <v>545</v>
      </c>
      <c r="M1" s="55" t="s">
        <v>622</v>
      </c>
      <c r="N1" s="55" t="s">
        <v>854</v>
      </c>
      <c r="O1" s="176"/>
      <c r="P1" s="176"/>
      <c r="R1" s="107" t="s">
        <v>521</v>
      </c>
      <c r="S1" s="55" t="s">
        <v>522</v>
      </c>
      <c r="U1" s="55" t="s">
        <v>467</v>
      </c>
      <c r="V1" s="55" t="s">
        <v>469</v>
      </c>
      <c r="W1" s="55" t="s">
        <v>468</v>
      </c>
      <c r="X1" s="55" t="s">
        <v>470</v>
      </c>
      <c r="Y1" s="55" t="s">
        <v>900</v>
      </c>
      <c r="Z1" s="55" t="s">
        <v>466</v>
      </c>
      <c r="AA1" s="55" t="s">
        <v>545</v>
      </c>
      <c r="AB1" s="55" t="s">
        <v>543</v>
      </c>
      <c r="AC1" s="55" t="s">
        <v>544</v>
      </c>
      <c r="AD1" s="55" t="s">
        <v>545</v>
      </c>
      <c r="AE1" s="55" t="s">
        <v>903</v>
      </c>
      <c r="AF1" s="55" t="s">
        <v>902</v>
      </c>
      <c r="AG1" s="55" t="s">
        <v>904</v>
      </c>
      <c r="AH1" s="55" t="s">
        <v>905</v>
      </c>
      <c r="AI1" s="55" t="s">
        <v>906</v>
      </c>
    </row>
    <row r="2" spans="1:37" s="233" customFormat="1">
      <c r="B2" s="234"/>
      <c r="C2" s="231" t="s">
        <v>989</v>
      </c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2"/>
      <c r="P2" s="232"/>
      <c r="R2" s="231"/>
      <c r="S2" s="232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</row>
    <row r="3" spans="1:37" ht="14.4" customHeight="1">
      <c r="A3" s="49" t="s">
        <v>526</v>
      </c>
      <c r="B3" s="250" t="s">
        <v>448</v>
      </c>
      <c r="C3" s="250" t="s">
        <v>449</v>
      </c>
      <c r="D3" s="250" t="s">
        <v>450</v>
      </c>
      <c r="E3" s="250" t="s">
        <v>454</v>
      </c>
      <c r="F3" s="253" t="s">
        <v>456</v>
      </c>
      <c r="G3" s="250" t="s">
        <v>457</v>
      </c>
      <c r="H3" s="250" t="s">
        <v>452</v>
      </c>
      <c r="I3" s="253" t="s">
        <v>451</v>
      </c>
      <c r="J3" s="250" t="s">
        <v>530</v>
      </c>
      <c r="K3" s="250" t="s">
        <v>531</v>
      </c>
      <c r="L3" s="250" t="s">
        <v>540</v>
      </c>
      <c r="M3" s="250" t="s">
        <v>623</v>
      </c>
      <c r="N3" s="250" t="s">
        <v>853</v>
      </c>
      <c r="O3" s="250" t="s">
        <v>893</v>
      </c>
      <c r="P3" s="250" t="s">
        <v>894</v>
      </c>
      <c r="Q3" s="250" t="s">
        <v>458</v>
      </c>
      <c r="T3" s="250" t="s">
        <v>450</v>
      </c>
      <c r="U3" s="250" t="s">
        <v>453</v>
      </c>
      <c r="V3" s="250" t="s">
        <v>455</v>
      </c>
      <c r="W3" s="250" t="s">
        <v>454</v>
      </c>
      <c r="X3" s="250" t="s">
        <v>456</v>
      </c>
      <c r="Y3" s="250" t="s">
        <v>457</v>
      </c>
      <c r="Z3" s="250" t="s">
        <v>452</v>
      </c>
      <c r="AA3" s="250" t="s">
        <v>451</v>
      </c>
      <c r="AB3" s="250" t="s">
        <v>530</v>
      </c>
      <c r="AC3" s="250" t="s">
        <v>531</v>
      </c>
      <c r="AD3" s="250" t="s">
        <v>540</v>
      </c>
      <c r="AE3" s="250" t="s">
        <v>623</v>
      </c>
      <c r="AF3" s="250" t="s">
        <v>624</v>
      </c>
      <c r="AG3" s="248" t="s">
        <v>853</v>
      </c>
      <c r="AH3" s="248" t="s">
        <v>893</v>
      </c>
      <c r="AI3" s="248" t="s">
        <v>894</v>
      </c>
      <c r="AJ3" s="250" t="s">
        <v>458</v>
      </c>
    </row>
    <row r="4" spans="1:37">
      <c r="B4" s="251"/>
      <c r="C4" s="251"/>
      <c r="D4" s="251"/>
      <c r="E4" s="251"/>
      <c r="F4" s="254"/>
      <c r="G4" s="251"/>
      <c r="H4" s="251"/>
      <c r="I4" s="254"/>
      <c r="J4" s="251"/>
      <c r="K4" s="251"/>
      <c r="L4" s="251"/>
      <c r="M4" s="251"/>
      <c r="N4" s="251"/>
      <c r="O4" s="251"/>
      <c r="P4" s="251"/>
      <c r="Q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49"/>
      <c r="AH4" s="249"/>
      <c r="AI4" s="249"/>
      <c r="AJ4" s="251"/>
    </row>
    <row r="5" spans="1:37">
      <c r="A5">
        <f>SUMIF('Balanza ok'!D:D,B5,'Balanza ok'!B:B)</f>
        <v>0</v>
      </c>
      <c r="B5" s="31" t="s">
        <v>685</v>
      </c>
      <c r="C5" s="35" t="s">
        <v>509</v>
      </c>
      <c r="D5" s="125">
        <f t="shared" ref="D5:Q5" si="0">SUM(D6:D7)</f>
        <v>0</v>
      </c>
      <c r="E5" s="125">
        <f t="shared" si="0"/>
        <v>98849733.991596535</v>
      </c>
      <c r="F5" s="125">
        <f t="shared" si="0"/>
        <v>23271304.201680679</v>
      </c>
      <c r="G5" s="125">
        <f t="shared" si="0"/>
        <v>68376718.957983151</v>
      </c>
      <c r="H5" s="125">
        <f t="shared" si="0"/>
        <v>128312918</v>
      </c>
      <c r="I5" s="125">
        <f t="shared" si="0"/>
        <v>0</v>
      </c>
      <c r="J5" s="125">
        <f t="shared" si="0"/>
        <v>138887420.39495787</v>
      </c>
      <c r="K5" s="125">
        <f t="shared" si="0"/>
        <v>57892370.100840345</v>
      </c>
      <c r="L5" s="125">
        <f t="shared" si="0"/>
        <v>0</v>
      </c>
      <c r="M5" s="125">
        <f t="shared" si="0"/>
        <v>107090044.40336126</v>
      </c>
      <c r="N5" s="125">
        <f t="shared" si="0"/>
        <v>52053371.058823526</v>
      </c>
      <c r="O5" s="125">
        <f t="shared" si="0"/>
        <v>47954271.445378147</v>
      </c>
      <c r="P5" s="125">
        <f t="shared" si="0"/>
        <v>66517984.151260488</v>
      </c>
      <c r="Q5" s="36">
        <f t="shared" si="0"/>
        <v>789206136.70588195</v>
      </c>
      <c r="R5" s="36">
        <f>Q5/S5</f>
        <v>873934.04208613257</v>
      </c>
      <c r="S5" s="47">
        <v>903.05</v>
      </c>
      <c r="T5" s="39">
        <f>IFERROR((D5/#REF!),0)</f>
        <v>0</v>
      </c>
      <c r="U5" s="39"/>
      <c r="V5" s="39">
        <f>+V6+V7</f>
        <v>0</v>
      </c>
      <c r="W5" s="39">
        <f t="shared" ref="W5:AI5" si="1">+W6+W7</f>
        <v>109462.08293183826</v>
      </c>
      <c r="X5" s="39">
        <f t="shared" si="1"/>
        <v>25769.674106285009</v>
      </c>
      <c r="Y5" s="39">
        <f t="shared" si="1"/>
        <v>75717.533866323196</v>
      </c>
      <c r="Z5" s="39">
        <f t="shared" si="1"/>
        <v>142088.38713249544</v>
      </c>
      <c r="AA5" s="39">
        <f t="shared" si="1"/>
        <v>0</v>
      </c>
      <c r="AB5" s="39">
        <f t="shared" si="1"/>
        <v>153798.15114883767</v>
      </c>
      <c r="AC5" s="39">
        <f t="shared" si="1"/>
        <v>64107.602127058686</v>
      </c>
      <c r="AD5" s="39">
        <f t="shared" ref="AD5:AH5" si="2">+AD6+AD7</f>
        <v>0</v>
      </c>
      <c r="AE5" s="39">
        <f t="shared" si="2"/>
        <v>118587.05985644346</v>
      </c>
      <c r="AF5" s="39">
        <f t="shared" ref="AF5:AG5" si="3">+AF6+AF7</f>
        <v>0</v>
      </c>
      <c r="AG5" s="39">
        <f t="shared" si="3"/>
        <v>57641.73751046291</v>
      </c>
      <c r="AH5" s="39">
        <f t="shared" si="2"/>
        <v>53102.565135239638</v>
      </c>
      <c r="AI5" s="39">
        <f t="shared" si="1"/>
        <v>73659.248271148317</v>
      </c>
      <c r="AJ5" s="34">
        <f>+AJ6+AJ7</f>
        <v>873934.04208613269</v>
      </c>
      <c r="AK5" s="1">
        <f>+AJ5</f>
        <v>873934.04208613269</v>
      </c>
    </row>
    <row r="6" spans="1:37">
      <c r="A6">
        <v>510060</v>
      </c>
      <c r="B6" s="2" t="s">
        <v>507</v>
      </c>
      <c r="C6" s="33" t="s">
        <v>505</v>
      </c>
      <c r="D6" s="10"/>
      <c r="E6" s="10">
        <v>1460319.327731092</v>
      </c>
      <c r="F6" s="10">
        <v>176722.68907563025</v>
      </c>
      <c r="G6" s="11">
        <v>1900809.2436974784</v>
      </c>
      <c r="H6" s="10">
        <v>267353</v>
      </c>
      <c r="I6" s="10"/>
      <c r="J6" s="11">
        <v>3361368.0672268905</v>
      </c>
      <c r="K6" s="11">
        <v>1122858.8235294116</v>
      </c>
      <c r="L6" s="11"/>
      <c r="M6" s="11">
        <v>1530563.8655462179</v>
      </c>
      <c r="N6" s="11">
        <v>770665.54621848685</v>
      </c>
      <c r="O6" s="11">
        <v>1330168.9075630233</v>
      </c>
      <c r="P6" s="11">
        <v>1282000.8403361342</v>
      </c>
      <c r="Q6" s="12">
        <f>SUM(D6:P6)</f>
        <v>13202830.310924364</v>
      </c>
      <c r="R6" s="36">
        <f t="shared" ref="R6:R8" si="4">Q6/S6</f>
        <v>14620.26500296148</v>
      </c>
      <c r="S6" s="47">
        <f>+S5</f>
        <v>903.05</v>
      </c>
      <c r="T6" s="10">
        <f>IFERROR((D6/$S$5),0)</f>
        <v>0</v>
      </c>
      <c r="U6" s="10">
        <f>IFERROR((#REF!/$S$5),0)</f>
        <v>0</v>
      </c>
      <c r="V6" s="10">
        <f>IFERROR((#REF!/$S$5),0)</f>
        <v>0</v>
      </c>
      <c r="W6" s="10">
        <f>IFERROR((E6/$S$5),0)</f>
        <v>1617.0968692000356</v>
      </c>
      <c r="X6" s="10">
        <f>IFERROR((F6/$S$5),0)</f>
        <v>195.69535360791789</v>
      </c>
      <c r="Y6" s="10">
        <f>IFERROR((G6/$S$5),0)</f>
        <v>2104.8770762388335</v>
      </c>
      <c r="Z6" s="10">
        <f>IFERROR((H6/$S$5),0)</f>
        <v>296.0555893915066</v>
      </c>
      <c r="AA6" s="10">
        <f>IFERROR((I6/$S$5),0)</f>
        <v>0</v>
      </c>
      <c r="AB6" s="10">
        <f>IFERROR((J6/$S$5),0)</f>
        <v>3722.239153122076</v>
      </c>
      <c r="AC6" s="10">
        <f>IFERROR((K6/$S$5),0)</f>
        <v>1243.4071463699813</v>
      </c>
      <c r="AD6" s="10">
        <f>IFERROR((L6/$S$5),0)</f>
        <v>0</v>
      </c>
      <c r="AE6" s="10">
        <f>IFERROR((M6/$S$5),0)</f>
        <v>1694.8827479610409</v>
      </c>
      <c r="AF6" s="10">
        <f>IFERROR((#REF!/$S$5),0)</f>
        <v>0</v>
      </c>
      <c r="AG6" s="10">
        <f t="shared" ref="AG6:AI7" si="5">IFERROR((N6/$S$5),0)</f>
        <v>853.40296353301244</v>
      </c>
      <c r="AH6" s="10">
        <f t="shared" si="5"/>
        <v>1472.9737086130594</v>
      </c>
      <c r="AI6" s="10">
        <f t="shared" si="5"/>
        <v>1419.6343949240177</v>
      </c>
      <c r="AJ6" s="12">
        <f>SUM(T6:AI6)</f>
        <v>14620.265002961482</v>
      </c>
      <c r="AK6" s="1"/>
    </row>
    <row r="7" spans="1:37">
      <c r="A7">
        <v>510020</v>
      </c>
      <c r="B7" s="2" t="s">
        <v>508</v>
      </c>
      <c r="C7" s="33" t="s">
        <v>506</v>
      </c>
      <c r="D7" s="10"/>
      <c r="E7" s="10">
        <v>97389414.663865447</v>
      </c>
      <c r="F7" s="10">
        <v>23094581.512605049</v>
      </c>
      <c r="G7" s="11">
        <v>66475909.714285679</v>
      </c>
      <c r="H7" s="10">
        <v>128045565</v>
      </c>
      <c r="I7" s="10"/>
      <c r="J7" s="11">
        <v>135526052.32773098</v>
      </c>
      <c r="K7" s="11">
        <v>56769511.27731093</v>
      </c>
      <c r="L7" s="11"/>
      <c r="M7" s="11">
        <v>105559480.53781505</v>
      </c>
      <c r="N7" s="11">
        <v>51282705.512605041</v>
      </c>
      <c r="O7" s="11">
        <v>46624102.537815124</v>
      </c>
      <c r="P7" s="11">
        <v>65235983.310924351</v>
      </c>
      <c r="Q7" s="12">
        <f>SUM(D7:P7)</f>
        <v>776003306.39495754</v>
      </c>
      <c r="R7" s="36">
        <f t="shared" si="4"/>
        <v>859313.77708317107</v>
      </c>
      <c r="S7" s="47">
        <f>+S6</f>
        <v>903.05</v>
      </c>
      <c r="T7" s="10">
        <f>IFERROR((D7/$S$5),0)</f>
        <v>0</v>
      </c>
      <c r="U7" s="10">
        <f>IFERROR((#REF!/$S$5),0)</f>
        <v>0</v>
      </c>
      <c r="V7" s="10">
        <f>IFERROR((#REF!/$S$5),0)</f>
        <v>0</v>
      </c>
      <c r="W7" s="10">
        <f>IFERROR((E7/$S$5),0)</f>
        <v>107844.98606263823</v>
      </c>
      <c r="X7" s="10">
        <f>IFERROR((F7/$S$5),0)</f>
        <v>25573.978752677092</v>
      </c>
      <c r="Y7" s="10">
        <f>IFERROR((G7/$S$5),0)</f>
        <v>73612.656790084366</v>
      </c>
      <c r="Z7" s="10">
        <f>IFERROR((H7/$S$5),0)</f>
        <v>141792.33154310394</v>
      </c>
      <c r="AA7" s="10">
        <f>IFERROR((I7/$S$5),0)</f>
        <v>0</v>
      </c>
      <c r="AB7" s="10">
        <f>IFERROR((J7/$S$5),0)</f>
        <v>150075.91199571561</v>
      </c>
      <c r="AC7" s="10">
        <f>IFERROR((K7/$S$5),0)</f>
        <v>62864.194980688706</v>
      </c>
      <c r="AD7" s="10">
        <f>IFERROR((L7/$S$5),0)</f>
        <v>0</v>
      </c>
      <c r="AE7" s="10">
        <f>IFERROR((M7/$S$5),0)</f>
        <v>116892.17710848243</v>
      </c>
      <c r="AF7" s="10">
        <f>IFERROR((#REF!/$S$5),0)</f>
        <v>0</v>
      </c>
      <c r="AG7" s="10">
        <f t="shared" si="5"/>
        <v>56788.334546929895</v>
      </c>
      <c r="AH7" s="10">
        <f t="shared" si="5"/>
        <v>51629.591426626575</v>
      </c>
      <c r="AI7" s="10">
        <f t="shared" si="5"/>
        <v>72239.613876224306</v>
      </c>
      <c r="AJ7" s="12">
        <f>SUM(T7:AI7)</f>
        <v>859313.77708317118</v>
      </c>
      <c r="AK7" s="1"/>
    </row>
    <row r="8" spans="1:37">
      <c r="A8">
        <f>SUMIF('Balanza ok'!D:D,B8,'Balanza ok'!B:B)</f>
        <v>610000</v>
      </c>
      <c r="B8" s="2" t="s">
        <v>688</v>
      </c>
      <c r="C8" s="2" t="s">
        <v>33</v>
      </c>
      <c r="D8" s="123"/>
      <c r="E8" s="123">
        <v>-52077833</v>
      </c>
      <c r="F8" s="123">
        <v>-11212926</v>
      </c>
      <c r="G8" s="124">
        <v>-33973126</v>
      </c>
      <c r="H8" s="123">
        <v>-83073137</v>
      </c>
      <c r="I8" s="123"/>
      <c r="J8" s="124">
        <v>-73387032</v>
      </c>
      <c r="K8" s="124">
        <v>-29634483</v>
      </c>
      <c r="L8" s="124"/>
      <c r="M8" s="124">
        <v>-56640704</v>
      </c>
      <c r="N8" s="124">
        <v>-27289574</v>
      </c>
      <c r="O8" s="124">
        <v>-24878624</v>
      </c>
      <c r="P8" s="124">
        <v>-34956397</v>
      </c>
      <c r="Q8" s="124">
        <f>SUM(D8:P8)</f>
        <v>-427123836</v>
      </c>
      <c r="R8" s="36">
        <f t="shared" si="4"/>
        <v>-472979.16615912743</v>
      </c>
      <c r="S8" s="47">
        <f>+S7</f>
        <v>903.05</v>
      </c>
      <c r="T8" s="10">
        <f>IFERROR((D8/$S$8),0)</f>
        <v>0</v>
      </c>
      <c r="U8" s="10">
        <f>IFERROR((#REF!/$S$8),0)</f>
        <v>0</v>
      </c>
      <c r="V8" s="10">
        <f>IFERROR((#REF!/$S$8),0)</f>
        <v>0</v>
      </c>
      <c r="W8" s="10">
        <f>IFERROR((E8/$S$8),0)</f>
        <v>-57668.825646420468</v>
      </c>
      <c r="X8" s="10">
        <f>IFERROR((F8/$S$8),0)</f>
        <v>-12416.727755938209</v>
      </c>
      <c r="Y8" s="10">
        <f>IFERROR((G8/$S$8),0)</f>
        <v>-37620.426332982672</v>
      </c>
      <c r="Z8" s="10">
        <f>IFERROR((H8/$S$8),0)</f>
        <v>-91991.735784286589</v>
      </c>
      <c r="AA8" s="10">
        <f>IFERROR((I8/$S$8),0)</f>
        <v>0</v>
      </c>
      <c r="AB8" s="10">
        <f>IFERROR((J8/$S$8),0)</f>
        <v>-81265.746082719677</v>
      </c>
      <c r="AC8" s="10">
        <f>IFERROR((K8/$S$8),0)</f>
        <v>-32815.9935773213</v>
      </c>
      <c r="AD8" s="10">
        <f>IFERROR((L8/$S$8),0)</f>
        <v>0</v>
      </c>
      <c r="AE8" s="10">
        <f>IFERROR((M8/$S$8),0)</f>
        <v>-62721.559160622339</v>
      </c>
      <c r="AF8" s="10">
        <f>IFERROR((#REF!/$S$8),0)</f>
        <v>0</v>
      </c>
      <c r="AG8" s="10">
        <f>IFERROR((N8/$S$8),0)</f>
        <v>-30219.338907037265</v>
      </c>
      <c r="AH8" s="10">
        <f>IFERROR((O8/$S$8),0)</f>
        <v>-27549.553180886996</v>
      </c>
      <c r="AI8" s="10">
        <f>IFERROR((P8/$S$8),0)</f>
        <v>-38709.259730911908</v>
      </c>
      <c r="AJ8" s="12">
        <f>SUM(T8:AI8)</f>
        <v>-472979.16615912755</v>
      </c>
      <c r="AK8" s="1">
        <f>+AJ8</f>
        <v>-472979.16615912755</v>
      </c>
    </row>
    <row r="9" spans="1:37" ht="14.55" thickBot="1">
      <c r="B9" s="252" t="s">
        <v>460</v>
      </c>
      <c r="C9" s="252"/>
      <c r="D9" s="13">
        <f t="shared" ref="D9:R9" si="6">+D5+D8</f>
        <v>0</v>
      </c>
      <c r="E9" s="13">
        <f t="shared" si="6"/>
        <v>46771900.991596535</v>
      </c>
      <c r="F9" s="13">
        <f t="shared" si="6"/>
        <v>12058378.201680679</v>
      </c>
      <c r="G9" s="13">
        <f t="shared" si="6"/>
        <v>34403592.957983151</v>
      </c>
      <c r="H9" s="13">
        <f t="shared" si="6"/>
        <v>45239781</v>
      </c>
      <c r="I9" s="13">
        <f t="shared" si="6"/>
        <v>0</v>
      </c>
      <c r="J9" s="13">
        <f t="shared" si="6"/>
        <v>65500388.39495787</v>
      </c>
      <c r="K9" s="13">
        <f t="shared" si="6"/>
        <v>28257887.100840345</v>
      </c>
      <c r="L9" s="13">
        <f t="shared" si="6"/>
        <v>0</v>
      </c>
      <c r="M9" s="13">
        <f t="shared" si="6"/>
        <v>50449340.403361261</v>
      </c>
      <c r="N9" s="13">
        <f t="shared" si="6"/>
        <v>24763797.058823526</v>
      </c>
      <c r="O9" s="13">
        <f t="shared" si="6"/>
        <v>23075647.445378147</v>
      </c>
      <c r="P9" s="13">
        <f t="shared" si="6"/>
        <v>31561587.151260488</v>
      </c>
      <c r="Q9" s="13">
        <f t="shared" si="6"/>
        <v>362082300.70588195</v>
      </c>
      <c r="R9" s="116">
        <f t="shared" si="6"/>
        <v>400954.87592700514</v>
      </c>
      <c r="S9" s="16"/>
      <c r="T9" s="13">
        <f t="shared" ref="T9:AA9" si="7">SUM(T6:T8)</f>
        <v>0</v>
      </c>
      <c r="U9" s="17">
        <f t="shared" si="7"/>
        <v>0</v>
      </c>
      <c r="V9" s="17">
        <f t="shared" si="7"/>
        <v>0</v>
      </c>
      <c r="W9" s="17">
        <f t="shared" si="7"/>
        <v>51793.257285417792</v>
      </c>
      <c r="X9" s="17">
        <f t="shared" si="7"/>
        <v>13352.9463503468</v>
      </c>
      <c r="Y9" s="40">
        <f t="shared" si="7"/>
        <v>38097.107533340524</v>
      </c>
      <c r="Z9" s="17">
        <f t="shared" si="7"/>
        <v>50096.651348208849</v>
      </c>
      <c r="AA9" s="17">
        <f t="shared" si="7"/>
        <v>0</v>
      </c>
      <c r="AB9" s="40">
        <f>SUM(AB6:AB8)</f>
        <v>72532.405066117994</v>
      </c>
      <c r="AC9" s="40">
        <f>SUM(AC6:AC8)</f>
        <v>31291.608549737386</v>
      </c>
      <c r="AD9" s="40">
        <f t="shared" ref="AD9:AE9" si="8">SUM(AD6:AD8)</f>
        <v>0</v>
      </c>
      <c r="AE9" s="40">
        <f t="shared" si="8"/>
        <v>55865.500695821123</v>
      </c>
      <c r="AF9" s="40">
        <f>SUM(AF6:AF8)</f>
        <v>0</v>
      </c>
      <c r="AG9" s="40">
        <f>SUM(AG6:AG8)</f>
        <v>27422.398603425645</v>
      </c>
      <c r="AH9" s="40">
        <f>SUM(AH6:AH8)</f>
        <v>25553.011954352642</v>
      </c>
      <c r="AI9" s="40">
        <f>SUM(AI6:AI8)</f>
        <v>34949.988540236409</v>
      </c>
      <c r="AJ9" s="17">
        <f>SUM(AJ6:AJ8)</f>
        <v>400954.87592700514</v>
      </c>
      <c r="AK9" s="1">
        <f>SUM(AK5:AK8)</f>
        <v>400954.87592700514</v>
      </c>
    </row>
    <row r="10" spans="1:37" ht="14.55" thickTop="1">
      <c r="B10" s="14"/>
      <c r="C10" s="14"/>
      <c r="Q10" s="14"/>
      <c r="T10" s="1"/>
      <c r="AD10" s="178" t="s">
        <v>548</v>
      </c>
      <c r="AE10" s="178" t="s">
        <v>897</v>
      </c>
      <c r="AF10" s="178" t="s">
        <v>626</v>
      </c>
      <c r="AG10" s="178" t="s">
        <v>855</v>
      </c>
      <c r="AH10" s="178" t="s">
        <v>899</v>
      </c>
      <c r="AI10" s="178" t="s">
        <v>898</v>
      </c>
      <c r="AJ10" s="14"/>
      <c r="AK10" s="1"/>
    </row>
    <row r="11" spans="1:37">
      <c r="B11" s="14"/>
      <c r="C11" s="236" t="s">
        <v>990</v>
      </c>
      <c r="Q11" s="14"/>
      <c r="T11" s="1"/>
      <c r="AD11" s="178"/>
      <c r="AE11" s="178"/>
      <c r="AF11" s="178"/>
      <c r="AG11" s="178"/>
      <c r="AH11" s="178"/>
      <c r="AI11" s="178"/>
      <c r="AJ11" s="14"/>
      <c r="AK11" s="1"/>
    </row>
    <row r="12" spans="1:37" ht="14.4" customHeight="1">
      <c r="A12" s="49" t="s">
        <v>526</v>
      </c>
      <c r="B12" s="250" t="s">
        <v>448</v>
      </c>
      <c r="C12" s="250" t="s">
        <v>449</v>
      </c>
      <c r="D12" s="250" t="s">
        <v>450</v>
      </c>
      <c r="E12" s="250" t="s">
        <v>454</v>
      </c>
      <c r="F12" s="253" t="s">
        <v>456</v>
      </c>
      <c r="G12" s="250" t="s">
        <v>457</v>
      </c>
      <c r="H12" s="250" t="s">
        <v>452</v>
      </c>
      <c r="I12" s="253" t="s">
        <v>451</v>
      </c>
      <c r="J12" s="250" t="s">
        <v>530</v>
      </c>
      <c r="K12" s="250" t="s">
        <v>531</v>
      </c>
      <c r="L12" s="250" t="s">
        <v>540</v>
      </c>
      <c r="M12" s="250" t="s">
        <v>623</v>
      </c>
      <c r="N12" s="250" t="s">
        <v>853</v>
      </c>
      <c r="O12" s="250" t="s">
        <v>893</v>
      </c>
      <c r="P12" s="250" t="s">
        <v>894</v>
      </c>
      <c r="Q12" s="250" t="s">
        <v>458</v>
      </c>
      <c r="T12" s="250" t="s">
        <v>450</v>
      </c>
      <c r="U12" s="250" t="s">
        <v>453</v>
      </c>
      <c r="V12" s="250" t="s">
        <v>455</v>
      </c>
      <c r="W12" s="250" t="s">
        <v>454</v>
      </c>
      <c r="X12" s="250" t="s">
        <v>456</v>
      </c>
      <c r="Y12" s="250" t="s">
        <v>457</v>
      </c>
      <c r="Z12" s="250" t="s">
        <v>452</v>
      </c>
      <c r="AA12" s="250" t="s">
        <v>451</v>
      </c>
      <c r="AB12" s="250" t="s">
        <v>530</v>
      </c>
      <c r="AC12" s="250" t="s">
        <v>531</v>
      </c>
      <c r="AD12" s="250" t="s">
        <v>540</v>
      </c>
      <c r="AE12" s="250" t="s">
        <v>623</v>
      </c>
      <c r="AF12" s="250" t="s">
        <v>624</v>
      </c>
      <c r="AG12" s="248" t="s">
        <v>853</v>
      </c>
      <c r="AH12" s="248" t="s">
        <v>893</v>
      </c>
      <c r="AI12" s="248" t="s">
        <v>894</v>
      </c>
      <c r="AJ12" s="250" t="s">
        <v>458</v>
      </c>
    </row>
    <row r="13" spans="1:37">
      <c r="B13" s="251"/>
      <c r="C13" s="251"/>
      <c r="D13" s="251"/>
      <c r="E13" s="251"/>
      <c r="F13" s="254"/>
      <c r="G13" s="251"/>
      <c r="H13" s="251"/>
      <c r="I13" s="254"/>
      <c r="J13" s="251"/>
      <c r="K13" s="251"/>
      <c r="L13" s="251"/>
      <c r="M13" s="251"/>
      <c r="N13" s="251"/>
      <c r="O13" s="251"/>
      <c r="P13" s="251"/>
      <c r="Q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  <c r="AG13" s="249"/>
      <c r="AH13" s="249"/>
      <c r="AI13" s="249"/>
      <c r="AJ13" s="251"/>
    </row>
    <row r="14" spans="1:37">
      <c r="A14">
        <f>SUMIF('Balanza ok'!D:D,B14,'Balanza ok'!B:B)</f>
        <v>0</v>
      </c>
      <c r="B14" s="31" t="s">
        <v>685</v>
      </c>
      <c r="C14" s="35" t="s">
        <v>509</v>
      </c>
      <c r="D14" s="125">
        <f t="shared" ref="D14:Q14" si="9">SUM(D15:D16)</f>
        <v>0</v>
      </c>
      <c r="E14" s="125">
        <f t="shared" si="9"/>
        <v>20188230.252100844</v>
      </c>
      <c r="F14" s="125">
        <f t="shared" si="9"/>
        <v>9144942.8571428545</v>
      </c>
      <c r="G14" s="125">
        <f t="shared" si="9"/>
        <v>18738756.302521009</v>
      </c>
      <c r="H14" s="125">
        <f t="shared" si="9"/>
        <v>4629941.176470587</v>
      </c>
      <c r="I14" s="125">
        <f t="shared" si="9"/>
        <v>0</v>
      </c>
      <c r="J14" s="125">
        <f t="shared" si="9"/>
        <v>47691077.310924388</v>
      </c>
      <c r="K14" s="125">
        <f t="shared" si="9"/>
        <v>10781589.075630251</v>
      </c>
      <c r="L14" s="125">
        <f t="shared" si="9"/>
        <v>0</v>
      </c>
      <c r="M14" s="125">
        <f t="shared" si="9"/>
        <v>21770210.924369745</v>
      </c>
      <c r="N14" s="125">
        <f t="shared" si="9"/>
        <v>10644696.638655463</v>
      </c>
      <c r="O14" s="125">
        <f t="shared" si="9"/>
        <v>11782568.067226894</v>
      </c>
      <c r="P14" s="125">
        <f t="shared" si="9"/>
        <v>22262343.697478987</v>
      </c>
      <c r="Q14" s="36">
        <f t="shared" si="9"/>
        <v>177634356.30252099</v>
      </c>
      <c r="R14" s="36">
        <f>Q14/S14</f>
        <v>203847.04823506845</v>
      </c>
      <c r="S14" s="47">
        <v>871.41</v>
      </c>
      <c r="T14" s="39">
        <f>IFERROR((D14/#REF!),0)</f>
        <v>0</v>
      </c>
      <c r="U14" s="39"/>
      <c r="V14" s="39">
        <f>+V15+V16</f>
        <v>0</v>
      </c>
      <c r="W14" s="39">
        <f t="shared" ref="W14:AI14" si="10">+W15+W16</f>
        <v>22355.606281048498</v>
      </c>
      <c r="X14" s="39">
        <f t="shared" si="10"/>
        <v>10126.729258781745</v>
      </c>
      <c r="Y14" s="39">
        <f t="shared" si="10"/>
        <v>20750.519132407961</v>
      </c>
      <c r="Z14" s="39">
        <f t="shared" si="10"/>
        <v>5127.0042372743337</v>
      </c>
      <c r="AA14" s="39">
        <f t="shared" si="10"/>
        <v>0</v>
      </c>
      <c r="AB14" s="39">
        <f t="shared" si="10"/>
        <v>52811.114900530854</v>
      </c>
      <c r="AC14" s="39">
        <f t="shared" si="10"/>
        <v>11939.083190997455</v>
      </c>
      <c r="AD14" s="39">
        <f t="shared" si="10"/>
        <v>0</v>
      </c>
      <c r="AE14" s="39">
        <f t="shared" si="10"/>
        <v>24107.425861657433</v>
      </c>
      <c r="AF14" s="39">
        <f t="shared" si="10"/>
        <v>0</v>
      </c>
      <c r="AG14" s="39">
        <f t="shared" si="10"/>
        <v>11787.49420148991</v>
      </c>
      <c r="AH14" s="39">
        <f t="shared" si="10"/>
        <v>13047.525682107187</v>
      </c>
      <c r="AI14" s="39">
        <f t="shared" si="10"/>
        <v>24652.393220174949</v>
      </c>
      <c r="AJ14" s="34">
        <f>+AJ15+AJ16</f>
        <v>196704.8959664703</v>
      </c>
      <c r="AK14" s="1">
        <f>+AJ14</f>
        <v>196704.8959664703</v>
      </c>
    </row>
    <row r="15" spans="1:37">
      <c r="A15">
        <v>510060</v>
      </c>
      <c r="B15" s="2" t="s">
        <v>507</v>
      </c>
      <c r="C15" s="33" t="s">
        <v>505</v>
      </c>
      <c r="D15" s="10"/>
      <c r="E15" s="10"/>
      <c r="F15" s="10"/>
      <c r="G15" s="11"/>
      <c r="H15" s="10"/>
      <c r="I15" s="10"/>
      <c r="J15" s="11"/>
      <c r="K15" s="11"/>
      <c r="L15" s="11"/>
      <c r="M15" s="11"/>
      <c r="N15" s="11"/>
      <c r="O15" s="11"/>
      <c r="P15" s="11"/>
      <c r="Q15" s="12">
        <f>SUM(D15:P15)</f>
        <v>0</v>
      </c>
      <c r="R15" s="36">
        <f t="shared" ref="R15:R17" si="11">Q15/S15</f>
        <v>0</v>
      </c>
      <c r="S15" s="47">
        <f>+S14</f>
        <v>871.41</v>
      </c>
      <c r="T15" s="10">
        <f>IFERROR((D15/$S$5),0)</f>
        <v>0</v>
      </c>
      <c r="U15" s="10">
        <f>IFERROR((#REF!/$S$5),0)</f>
        <v>0</v>
      </c>
      <c r="V15" s="10">
        <f>IFERROR((#REF!/$S$5),0)</f>
        <v>0</v>
      </c>
      <c r="W15" s="10">
        <f>IFERROR((E15/$S$5),0)</f>
        <v>0</v>
      </c>
      <c r="X15" s="10">
        <f>IFERROR((F15/$S$5),0)</f>
        <v>0</v>
      </c>
      <c r="Y15" s="10">
        <f>IFERROR((G15/$S$5),0)</f>
        <v>0</v>
      </c>
      <c r="Z15" s="10">
        <f>IFERROR((H15/$S$5),0)</f>
        <v>0</v>
      </c>
      <c r="AA15" s="10">
        <f>IFERROR((I15/$S$5),0)</f>
        <v>0</v>
      </c>
      <c r="AB15" s="10">
        <f>IFERROR((J15/$S$5),0)</f>
        <v>0</v>
      </c>
      <c r="AC15" s="10">
        <f>IFERROR((K15/$S$5),0)</f>
        <v>0</v>
      </c>
      <c r="AD15" s="10">
        <f>IFERROR((L15/$S$5),0)</f>
        <v>0</v>
      </c>
      <c r="AE15" s="10">
        <f>IFERROR((M15/$S$5),0)</f>
        <v>0</v>
      </c>
      <c r="AF15" s="10">
        <f>IFERROR((#REF!/$S$5),0)</f>
        <v>0</v>
      </c>
      <c r="AG15" s="10">
        <f t="shared" ref="AG15:AG16" si="12">IFERROR((N15/$S$5),0)</f>
        <v>0</v>
      </c>
      <c r="AH15" s="10">
        <f t="shared" ref="AH15:AH16" si="13">IFERROR((O15/$S$5),0)</f>
        <v>0</v>
      </c>
      <c r="AI15" s="10">
        <f t="shared" ref="AI15:AI16" si="14">IFERROR((P15/$S$5),0)</f>
        <v>0</v>
      </c>
      <c r="AJ15" s="12">
        <f>SUM(T15:AI15)</f>
        <v>0</v>
      </c>
      <c r="AK15" s="1"/>
    </row>
    <row r="16" spans="1:37">
      <c r="A16">
        <v>510020</v>
      </c>
      <c r="B16" s="2" t="s">
        <v>508</v>
      </c>
      <c r="C16" s="33" t="s">
        <v>506</v>
      </c>
      <c r="D16" s="10"/>
      <c r="E16" s="10">
        <v>20188230.252100844</v>
      </c>
      <c r="F16" s="10">
        <v>9144942.8571428545</v>
      </c>
      <c r="G16" s="11">
        <v>18738756.302521009</v>
      </c>
      <c r="H16" s="10">
        <v>4629941.176470587</v>
      </c>
      <c r="I16" s="10"/>
      <c r="J16" s="11">
        <v>47691077.310924388</v>
      </c>
      <c r="K16" s="11">
        <v>10781589.075630251</v>
      </c>
      <c r="L16" s="11"/>
      <c r="M16" s="11">
        <v>21770210.924369745</v>
      </c>
      <c r="N16" s="11">
        <v>10644696.638655463</v>
      </c>
      <c r="O16" s="11">
        <v>11782568.067226894</v>
      </c>
      <c r="P16" s="11">
        <v>22262343.697478987</v>
      </c>
      <c r="Q16" s="12">
        <f>SUM(D16:P16)</f>
        <v>177634356.30252099</v>
      </c>
      <c r="R16" s="36">
        <f t="shared" si="11"/>
        <v>203847.04823506845</v>
      </c>
      <c r="S16" s="47">
        <f>+S15</f>
        <v>871.41</v>
      </c>
      <c r="T16" s="10">
        <f>IFERROR((D16/$S$5),0)</f>
        <v>0</v>
      </c>
      <c r="U16" s="10">
        <f>IFERROR((#REF!/$S$5),0)</f>
        <v>0</v>
      </c>
      <c r="V16" s="10">
        <f>IFERROR((#REF!/$S$5),0)</f>
        <v>0</v>
      </c>
      <c r="W16" s="10">
        <f>IFERROR((E16/$S$5),0)</f>
        <v>22355.606281048498</v>
      </c>
      <c r="X16" s="10">
        <f>IFERROR((F16/$S$5),0)</f>
        <v>10126.729258781745</v>
      </c>
      <c r="Y16" s="10">
        <f>IFERROR((G16/$S$5),0)</f>
        <v>20750.519132407961</v>
      </c>
      <c r="Z16" s="10">
        <f>IFERROR((H16/$S$5),0)</f>
        <v>5127.0042372743337</v>
      </c>
      <c r="AA16" s="10">
        <f>IFERROR((I16/$S$5),0)</f>
        <v>0</v>
      </c>
      <c r="AB16" s="10">
        <f>IFERROR((J16/$S$5),0)</f>
        <v>52811.114900530854</v>
      </c>
      <c r="AC16" s="10">
        <f>IFERROR((K16/$S$5),0)</f>
        <v>11939.083190997455</v>
      </c>
      <c r="AD16" s="10">
        <f>IFERROR((L16/$S$5),0)</f>
        <v>0</v>
      </c>
      <c r="AE16" s="10">
        <f>IFERROR((M16/$S$5),0)</f>
        <v>24107.425861657433</v>
      </c>
      <c r="AF16" s="10">
        <f>IFERROR((#REF!/$S$5),0)</f>
        <v>0</v>
      </c>
      <c r="AG16" s="10">
        <f t="shared" si="12"/>
        <v>11787.49420148991</v>
      </c>
      <c r="AH16" s="10">
        <f t="shared" si="13"/>
        <v>13047.525682107187</v>
      </c>
      <c r="AI16" s="10">
        <f t="shared" si="14"/>
        <v>24652.393220174949</v>
      </c>
      <c r="AJ16" s="12">
        <f>SUM(T16:AI16)</f>
        <v>196704.8959664703</v>
      </c>
      <c r="AK16" s="1"/>
    </row>
    <row r="17" spans="1:61">
      <c r="A17">
        <f>SUMIF('Balanza ok'!D:D,B17,'Balanza ok'!B:B)</f>
        <v>610000</v>
      </c>
      <c r="B17" s="2" t="s">
        <v>688</v>
      </c>
      <c r="C17" s="2" t="s">
        <v>33</v>
      </c>
      <c r="D17" s="123"/>
      <c r="E17" s="123">
        <v>-8579160</v>
      </c>
      <c r="F17" s="123">
        <v>-3710766</v>
      </c>
      <c r="G17" s="124">
        <v>-7603450</v>
      </c>
      <c r="H17" s="123">
        <v>-2079036</v>
      </c>
      <c r="I17" s="123"/>
      <c r="J17" s="124">
        <v>-20233730</v>
      </c>
      <c r="K17" s="124">
        <v>-4493616</v>
      </c>
      <c r="L17" s="124"/>
      <c r="M17" s="124">
        <v>-9071392</v>
      </c>
      <c r="N17" s="124">
        <v>-4524686</v>
      </c>
      <c r="O17" s="124">
        <v>-5028056</v>
      </c>
      <c r="P17" s="124">
        <v>-9210647</v>
      </c>
      <c r="Q17" s="124">
        <f>SUM(D17:P17)</f>
        <v>-74534539</v>
      </c>
      <c r="R17" s="36">
        <f t="shared" si="11"/>
        <v>-85533.261036710624</v>
      </c>
      <c r="S17" s="47">
        <f>+S16</f>
        <v>871.41</v>
      </c>
      <c r="T17" s="10">
        <f>IFERROR((D17/$S$8),0)</f>
        <v>0</v>
      </c>
      <c r="U17" s="10">
        <f>IFERROR((#REF!/$S$8),0)</f>
        <v>0</v>
      </c>
      <c r="V17" s="10">
        <f>IFERROR((#REF!/$S$8),0)</f>
        <v>0</v>
      </c>
      <c r="W17" s="10">
        <f>IFERROR((E17/$S$8),0)</f>
        <v>-9500.2048613033621</v>
      </c>
      <c r="X17" s="10">
        <f>IFERROR((F17/$S$8),0)</f>
        <v>-4109.1478877138588</v>
      </c>
      <c r="Y17" s="10">
        <f>IFERROR((G17/$S$8),0)</f>
        <v>-8419.744200210398</v>
      </c>
      <c r="Z17" s="10">
        <f>IFERROR((H17/$S$8),0)</f>
        <v>-2302.2379713194177</v>
      </c>
      <c r="AA17" s="10">
        <f>IFERROR((I17/$S$8),0)</f>
        <v>0</v>
      </c>
      <c r="AB17" s="10">
        <f>IFERROR((J17/$S$8),0)</f>
        <v>-22405.990808925311</v>
      </c>
      <c r="AC17" s="10">
        <f>IFERROR((K17/$S$8),0)</f>
        <v>-4976.0434084491444</v>
      </c>
      <c r="AD17" s="10">
        <f>IFERROR((L17/$S$8),0)</f>
        <v>0</v>
      </c>
      <c r="AE17" s="10">
        <f>IFERROR((M17/$S$8),0)</f>
        <v>-10045.282099551521</v>
      </c>
      <c r="AF17" s="10">
        <f>IFERROR((#REF!/$S$8),0)</f>
        <v>0</v>
      </c>
      <c r="AG17" s="10">
        <f>IFERROR((N17/$S$8),0)</f>
        <v>-5010.4490338297992</v>
      </c>
      <c r="AH17" s="10">
        <f>IFERROR((O17/$S$8),0)</f>
        <v>-5567.8600298986767</v>
      </c>
      <c r="AI17" s="10">
        <f>IFERROR((P17/$S$8),0)</f>
        <v>-10199.487293062401</v>
      </c>
      <c r="AJ17" s="12">
        <f>SUM(T17:AI17)</f>
        <v>-82536.447594263882</v>
      </c>
      <c r="AK17" s="1">
        <f>+AJ17</f>
        <v>-82536.447594263882</v>
      </c>
    </row>
    <row r="18" spans="1:61" ht="14.55" thickBot="1">
      <c r="B18" s="252" t="s">
        <v>460</v>
      </c>
      <c r="C18" s="252"/>
      <c r="D18" s="13">
        <f t="shared" ref="D18:R18" si="15">+D14+D17</f>
        <v>0</v>
      </c>
      <c r="E18" s="13">
        <f t="shared" si="15"/>
        <v>11609070.252100844</v>
      </c>
      <c r="F18" s="13">
        <f t="shared" si="15"/>
        <v>5434176.8571428545</v>
      </c>
      <c r="G18" s="13">
        <f t="shared" si="15"/>
        <v>11135306.302521009</v>
      </c>
      <c r="H18" s="13">
        <f t="shared" si="15"/>
        <v>2550905.176470587</v>
      </c>
      <c r="I18" s="13">
        <f t="shared" si="15"/>
        <v>0</v>
      </c>
      <c r="J18" s="13">
        <f t="shared" si="15"/>
        <v>27457347.310924388</v>
      </c>
      <c r="K18" s="13">
        <f t="shared" si="15"/>
        <v>6287973.0756302513</v>
      </c>
      <c r="L18" s="13">
        <f t="shared" si="15"/>
        <v>0</v>
      </c>
      <c r="M18" s="13">
        <f t="shared" si="15"/>
        <v>12698818.924369745</v>
      </c>
      <c r="N18" s="13">
        <f t="shared" si="15"/>
        <v>6120010.6386554632</v>
      </c>
      <c r="O18" s="13">
        <f t="shared" si="15"/>
        <v>6754512.0672268942</v>
      </c>
      <c r="P18" s="13">
        <f t="shared" si="15"/>
        <v>13051696.697478987</v>
      </c>
      <c r="Q18" s="13">
        <f t="shared" si="15"/>
        <v>103099817.30252099</v>
      </c>
      <c r="R18" s="116">
        <f t="shared" si="15"/>
        <v>118313.78719835782</v>
      </c>
      <c r="S18" s="16"/>
      <c r="T18" s="13">
        <f t="shared" ref="T18:AA18" si="16">SUM(T15:T17)</f>
        <v>0</v>
      </c>
      <c r="U18" s="17">
        <f t="shared" si="16"/>
        <v>0</v>
      </c>
      <c r="V18" s="17">
        <f t="shared" si="16"/>
        <v>0</v>
      </c>
      <c r="W18" s="17">
        <f t="shared" si="16"/>
        <v>12855.401419745136</v>
      </c>
      <c r="X18" s="17">
        <f t="shared" si="16"/>
        <v>6017.5813710678858</v>
      </c>
      <c r="Y18" s="40">
        <f t="shared" si="16"/>
        <v>12330.774932197563</v>
      </c>
      <c r="Z18" s="17">
        <f t="shared" si="16"/>
        <v>2824.766265954916</v>
      </c>
      <c r="AA18" s="17">
        <f t="shared" si="16"/>
        <v>0</v>
      </c>
      <c r="AB18" s="40">
        <f>SUM(AB15:AB17)</f>
        <v>30405.124091605543</v>
      </c>
      <c r="AC18" s="40">
        <f>SUM(AC15:AC17)</f>
        <v>6963.0397825483105</v>
      </c>
      <c r="AD18" s="40">
        <f t="shared" ref="AD18:AE18" si="17">SUM(AD15:AD17)</f>
        <v>0</v>
      </c>
      <c r="AE18" s="40">
        <f t="shared" si="17"/>
        <v>14062.143762105912</v>
      </c>
      <c r="AF18" s="40">
        <f>SUM(AF15:AF17)</f>
        <v>0</v>
      </c>
      <c r="AG18" s="40">
        <f>SUM(AG15:AG17)</f>
        <v>6777.0451676601106</v>
      </c>
      <c r="AH18" s="40">
        <f>SUM(AH15:AH17)</f>
        <v>7479.6656522085104</v>
      </c>
      <c r="AI18" s="40">
        <f>SUM(AI15:AI17)</f>
        <v>14452.905927112548</v>
      </c>
      <c r="AJ18" s="17">
        <f>SUM(AJ15:AJ17)</f>
        <v>114168.44837220642</v>
      </c>
      <c r="AK18" s="1">
        <f>SUM(AK14:AK17)</f>
        <v>114168.44837220642</v>
      </c>
    </row>
    <row r="19" spans="1:61" ht="14.55" thickTop="1">
      <c r="B19" s="14"/>
      <c r="C19" s="14"/>
      <c r="Q19" s="14"/>
      <c r="T19" s="1"/>
      <c r="AD19" s="178"/>
      <c r="AE19" s="178"/>
      <c r="AF19" s="178"/>
      <c r="AG19" s="178"/>
      <c r="AH19" s="178"/>
      <c r="AI19" s="178"/>
      <c r="AJ19" s="14"/>
      <c r="AK19" s="1"/>
    </row>
    <row r="20" spans="1:61">
      <c r="B20" s="14"/>
      <c r="C20" s="14"/>
      <c r="D20" s="15" t="s">
        <v>471</v>
      </c>
      <c r="E20" s="15" t="s">
        <v>475</v>
      </c>
      <c r="F20" s="15" t="s">
        <v>477</v>
      </c>
      <c r="G20" s="15" t="s">
        <v>478</v>
      </c>
      <c r="H20" s="15" t="s">
        <v>473</v>
      </c>
      <c r="I20" s="15" t="s">
        <v>472</v>
      </c>
      <c r="J20" s="15" t="s">
        <v>546</v>
      </c>
      <c r="K20" s="15" t="s">
        <v>547</v>
      </c>
      <c r="L20" s="15"/>
      <c r="M20" s="15" t="s">
        <v>625</v>
      </c>
      <c r="N20" s="15" t="s">
        <v>855</v>
      </c>
      <c r="O20" s="15"/>
      <c r="P20" s="15"/>
      <c r="Q20" s="14"/>
      <c r="T20" s="180" t="s">
        <v>471</v>
      </c>
      <c r="U20" s="56" t="s">
        <v>474</v>
      </c>
      <c r="V20" s="56" t="s">
        <v>476</v>
      </c>
      <c r="W20" s="56" t="s">
        <v>475</v>
      </c>
      <c r="X20" s="56" t="s">
        <v>477</v>
      </c>
      <c r="Y20" s="56" t="s">
        <v>478</v>
      </c>
      <c r="Z20" s="56" t="s">
        <v>473</v>
      </c>
      <c r="AA20" s="180" t="s">
        <v>472</v>
      </c>
      <c r="AB20" s="56" t="s">
        <v>546</v>
      </c>
      <c r="AC20" s="56" t="s">
        <v>547</v>
      </c>
      <c r="AD20" s="178" t="s">
        <v>548</v>
      </c>
      <c r="AE20" s="178" t="s">
        <v>897</v>
      </c>
      <c r="AF20" s="178" t="s">
        <v>626</v>
      </c>
      <c r="AG20" s="178" t="s">
        <v>855</v>
      </c>
      <c r="AH20" s="178" t="s">
        <v>899</v>
      </c>
      <c r="AI20" s="178" t="s">
        <v>898</v>
      </c>
      <c r="AJ20" s="14"/>
      <c r="AK20" s="1"/>
    </row>
    <row r="21" spans="1:61" ht="15.05" customHeight="1">
      <c r="B21" s="255" t="s">
        <v>448</v>
      </c>
      <c r="C21" s="250" t="s">
        <v>449</v>
      </c>
      <c r="D21" s="250" t="s">
        <v>450</v>
      </c>
      <c r="E21" s="250" t="s">
        <v>454</v>
      </c>
      <c r="F21" s="250" t="s">
        <v>456</v>
      </c>
      <c r="G21" s="250" t="s">
        <v>457</v>
      </c>
      <c r="H21" s="250" t="s">
        <v>452</v>
      </c>
      <c r="I21" s="250" t="s">
        <v>451</v>
      </c>
      <c r="J21" s="250" t="s">
        <v>530</v>
      </c>
      <c r="K21" s="250" t="s">
        <v>531</v>
      </c>
      <c r="L21" s="250" t="s">
        <v>540</v>
      </c>
      <c r="M21" s="250" t="s">
        <v>623</v>
      </c>
      <c r="N21" s="250" t="s">
        <v>853</v>
      </c>
      <c r="O21" s="250" t="s">
        <v>893</v>
      </c>
      <c r="P21" s="250" t="s">
        <v>894</v>
      </c>
      <c r="Q21" s="250" t="s">
        <v>458</v>
      </c>
      <c r="T21" s="250" t="s">
        <v>450</v>
      </c>
      <c r="U21" s="250" t="s">
        <v>453</v>
      </c>
      <c r="V21" s="250" t="s">
        <v>455</v>
      </c>
      <c r="W21" s="250" t="s">
        <v>454</v>
      </c>
      <c r="X21" s="250" t="s">
        <v>456</v>
      </c>
      <c r="Y21" s="250" t="s">
        <v>457</v>
      </c>
      <c r="Z21" s="250" t="s">
        <v>452</v>
      </c>
      <c r="AA21" s="250" t="s">
        <v>451</v>
      </c>
      <c r="AB21" s="250" t="s">
        <v>530</v>
      </c>
      <c r="AC21" s="250" t="s">
        <v>531</v>
      </c>
      <c r="AD21" s="250" t="s">
        <v>540</v>
      </c>
      <c r="AE21" s="250" t="s">
        <v>623</v>
      </c>
      <c r="AF21" s="250" t="s">
        <v>624</v>
      </c>
      <c r="AG21" s="248" t="s">
        <v>853</v>
      </c>
      <c r="AH21" s="248" t="s">
        <v>893</v>
      </c>
      <c r="AI21" s="248" t="s">
        <v>894</v>
      </c>
      <c r="AJ21" s="250" t="s">
        <v>458</v>
      </c>
      <c r="AK21" s="1"/>
    </row>
    <row r="22" spans="1:61">
      <c r="B22" s="255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49"/>
      <c r="AH22" s="249"/>
      <c r="AI22" s="249"/>
      <c r="AJ22" s="251"/>
      <c r="AK22" s="1">
        <f>-AK9</f>
        <v>-400954.87592700514</v>
      </c>
    </row>
    <row r="23" spans="1:61">
      <c r="A23" s="59">
        <f>SUMIF('Balanza ok'!D:D,B23,'Balanza ok'!B:B)</f>
        <v>570500</v>
      </c>
      <c r="B23" s="171" t="s">
        <v>885</v>
      </c>
      <c r="C23" s="2" t="s">
        <v>886</v>
      </c>
      <c r="D23" s="18">
        <v>0</v>
      </c>
      <c r="E23" s="18">
        <v>0</v>
      </c>
      <c r="F23" s="18">
        <v>0</v>
      </c>
      <c r="G23" s="18">
        <v>0</v>
      </c>
      <c r="H23" s="18">
        <v>10765435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9">
        <f>SUM(D23:P23)</f>
        <v>10765435</v>
      </c>
      <c r="R23" s="36">
        <f t="shared" ref="R23:R86" si="18">Q23/S23</f>
        <v>11921.194839709873</v>
      </c>
      <c r="S23" s="47">
        <f>+S8</f>
        <v>903.05</v>
      </c>
      <c r="T23" s="18">
        <f>IFERROR((D23/$S23),0)</f>
        <v>0</v>
      </c>
      <c r="U23" s="18">
        <f>IFERROR((#REF!/$S23),0)</f>
        <v>0</v>
      </c>
      <c r="V23" s="18">
        <f>IFERROR((#REF!/$S23),0)</f>
        <v>0</v>
      </c>
      <c r="W23" s="18">
        <f>IFERROR((E23/$S23),0)</f>
        <v>0</v>
      </c>
      <c r="X23" s="18">
        <f>IFERROR((F23/$S23),0)</f>
        <v>0</v>
      </c>
      <c r="Y23" s="18">
        <f>IFERROR((G23/$S23),0)</f>
        <v>0</v>
      </c>
      <c r="Z23" s="18">
        <f>IFERROR((H23/$S23),0)</f>
        <v>11921.194839709873</v>
      </c>
      <c r="AA23" s="18">
        <f>IFERROR((I23/$S23),0)</f>
        <v>0</v>
      </c>
      <c r="AB23" s="18">
        <f>IFERROR((J23/$S23),0)</f>
        <v>0</v>
      </c>
      <c r="AC23" s="18">
        <f>IFERROR((K23/$S23),0)</f>
        <v>0</v>
      </c>
      <c r="AD23" s="18">
        <f t="shared" ref="AD23:AE27" si="19">IFERROR((L23/$S23),0)</f>
        <v>0</v>
      </c>
      <c r="AE23" s="18">
        <f t="shared" si="19"/>
        <v>0</v>
      </c>
      <c r="AF23" s="18">
        <f>IFERROR((#REF!/$S23),0)</f>
        <v>0</v>
      </c>
      <c r="AG23" s="18">
        <f t="shared" ref="AG23" si="20">IFERROR((N23/$S23),0)</f>
        <v>0</v>
      </c>
      <c r="AH23" s="18">
        <f t="shared" ref="AH23" si="21">IFERROR((O23/$S23),0)</f>
        <v>0</v>
      </c>
      <c r="AI23" s="18">
        <f t="shared" ref="AI23" si="22">IFERROR((P23/$S23),0)</f>
        <v>0</v>
      </c>
      <c r="AJ23" s="118">
        <f>SUM(T23:AI23)</f>
        <v>11921.194839709873</v>
      </c>
      <c r="AK23" s="1">
        <f>+AJ23</f>
        <v>11921.194839709873</v>
      </c>
      <c r="AL23" s="50">
        <f>+R23-AJ23</f>
        <v>0</v>
      </c>
      <c r="AM23" s="51"/>
      <c r="AN23" t="s">
        <v>885</v>
      </c>
      <c r="AO23" t="b">
        <f>EXACT(B23,AN23)</f>
        <v>1</v>
      </c>
    </row>
    <row r="24" spans="1:61">
      <c r="A24" s="59">
        <f>SUMIF('Balanza ok'!D:D,B24,'Balanza ok'!B:B)</f>
        <v>708130</v>
      </c>
      <c r="B24" s="171" t="s">
        <v>765</v>
      </c>
      <c r="C24" s="2" t="s">
        <v>541</v>
      </c>
      <c r="D24" s="18">
        <v>-9366599</v>
      </c>
      <c r="E24" s="18">
        <v>-311388</v>
      </c>
      <c r="F24" s="18">
        <v>-108593</v>
      </c>
      <c r="G24" s="18">
        <v>-311388</v>
      </c>
      <c r="H24" s="18">
        <v>150000</v>
      </c>
      <c r="I24" s="18">
        <v>0</v>
      </c>
      <c r="J24" s="18">
        <v>-311388</v>
      </c>
      <c r="K24" s="18">
        <v>-311388</v>
      </c>
      <c r="L24" s="18">
        <v>0</v>
      </c>
      <c r="M24" s="18">
        <v>-311388</v>
      </c>
      <c r="N24" s="18">
        <v>-311388</v>
      </c>
      <c r="O24" s="18">
        <v>-311388</v>
      </c>
      <c r="P24" s="18">
        <v>-311388</v>
      </c>
      <c r="Q24" s="19">
        <f>SUM(D24:P24)</f>
        <v>-11816296</v>
      </c>
      <c r="R24" s="36">
        <f t="shared" si="18"/>
        <v>-13084.874591661592</v>
      </c>
      <c r="S24" s="47">
        <f>+S23</f>
        <v>903.05</v>
      </c>
      <c r="T24" s="18">
        <f>IFERROR((D24/$S24),0)</f>
        <v>-10372.182049720392</v>
      </c>
      <c r="U24" s="18">
        <f>IFERROR((#REF!/$S24),0)</f>
        <v>0</v>
      </c>
      <c r="V24" s="18">
        <f>IFERROR((#REF!/$S24),0)</f>
        <v>0</v>
      </c>
      <c r="W24" s="18">
        <f>IFERROR((E24/$S24),0)</f>
        <v>-344.81811638336751</v>
      </c>
      <c r="X24" s="18">
        <f>IFERROR((F24/$S24),0)</f>
        <v>-120.25137035601573</v>
      </c>
      <c r="Y24" s="18">
        <f>IFERROR((G24/$S24),0)</f>
        <v>-344.81811638336751</v>
      </c>
      <c r="Z24" s="18">
        <f>IFERROR((H24/$S24),0)</f>
        <v>166.10375948175627</v>
      </c>
      <c r="AA24" s="18">
        <f>IFERROR((I24/$S24),0)</f>
        <v>0</v>
      </c>
      <c r="AB24" s="18">
        <f>IFERROR((J24/$S24),0)</f>
        <v>-344.81811638336751</v>
      </c>
      <c r="AC24" s="18">
        <f>IFERROR((K24/$S24),0)</f>
        <v>-344.81811638336751</v>
      </c>
      <c r="AD24" s="18">
        <f t="shared" si="19"/>
        <v>0</v>
      </c>
      <c r="AE24" s="18">
        <f t="shared" si="19"/>
        <v>-344.81811638336751</v>
      </c>
      <c r="AF24" s="18">
        <f>IFERROR((#REF!/$S24),0)</f>
        <v>0</v>
      </c>
      <c r="AG24" s="18">
        <f t="shared" ref="AG24:AI25" si="23">IFERROR((N24/$S24),0)</f>
        <v>-344.81811638336751</v>
      </c>
      <c r="AH24" s="18">
        <f t="shared" si="23"/>
        <v>-344.81811638336751</v>
      </c>
      <c r="AI24" s="18">
        <f t="shared" si="23"/>
        <v>-344.81811638336751</v>
      </c>
      <c r="AJ24" s="118">
        <f>SUM(T24:AI24)</f>
        <v>-13084.874591661586</v>
      </c>
      <c r="AK24" s="1">
        <f>+AJ24</f>
        <v>-13084.874591661586</v>
      </c>
      <c r="AL24" s="50">
        <f>+R24-AJ24</f>
        <v>0</v>
      </c>
      <c r="AM24" s="51"/>
      <c r="AN24" t="s">
        <v>765</v>
      </c>
      <c r="AO24" t="b">
        <f>EXACT(B24,AN24)</f>
        <v>1</v>
      </c>
    </row>
    <row r="25" spans="1:61" s="64" customFormat="1">
      <c r="A25" s="174">
        <f>SUMIF('Balanza ok'!D:D,B25,'Balanza ok'!B:B)</f>
        <v>709226</v>
      </c>
      <c r="B25" s="171" t="s">
        <v>730</v>
      </c>
      <c r="C25" s="2" t="s">
        <v>534</v>
      </c>
      <c r="D25" s="18">
        <v>0</v>
      </c>
      <c r="E25" s="18">
        <v>0</v>
      </c>
      <c r="F25" s="18">
        <v>0</v>
      </c>
      <c r="G25" s="18">
        <v>0</v>
      </c>
      <c r="H25" s="18">
        <v>-4702554</v>
      </c>
      <c r="I25" s="18">
        <v>0</v>
      </c>
      <c r="J25" s="18">
        <v>0</v>
      </c>
      <c r="K25" s="18">
        <v>0</v>
      </c>
      <c r="L25" s="18">
        <v>-7242837</v>
      </c>
      <c r="M25" s="18">
        <v>0</v>
      </c>
      <c r="N25" s="18">
        <v>0</v>
      </c>
      <c r="O25" s="18">
        <v>0</v>
      </c>
      <c r="P25" s="18">
        <v>0</v>
      </c>
      <c r="Q25" s="19">
        <f>SUM(D25:P25)</f>
        <v>-11945391</v>
      </c>
      <c r="R25" s="36">
        <f t="shared" si="18"/>
        <v>-13227.829023863575</v>
      </c>
      <c r="S25" s="47">
        <f t="shared" ref="S25:S86" si="24">+S24</f>
        <v>903.05</v>
      </c>
      <c r="T25" s="18">
        <f>IFERROR((D25/$S25),0)</f>
        <v>0</v>
      </c>
      <c r="U25" s="18">
        <f>IFERROR((#REF!/$S25),0)</f>
        <v>0</v>
      </c>
      <c r="V25" s="18">
        <f>IFERROR((#REF!/$S25),0)</f>
        <v>0</v>
      </c>
      <c r="W25" s="18">
        <f>IFERROR((E25/$S25),0)</f>
        <v>0</v>
      </c>
      <c r="X25" s="18">
        <f>IFERROR((F25/$S25),0)</f>
        <v>0</v>
      </c>
      <c r="Y25" s="18">
        <f>IFERROR((G25/$S25),0)</f>
        <v>0</v>
      </c>
      <c r="Z25" s="18">
        <f>IFERROR((H25/$S25),0)</f>
        <v>-5207.4126571064726</v>
      </c>
      <c r="AA25" s="18">
        <f>IFERROR((I25/$S25),0)</f>
        <v>0</v>
      </c>
      <c r="AB25" s="18">
        <f>IFERROR((J25/$S25),0)</f>
        <v>0</v>
      </c>
      <c r="AC25" s="18">
        <f>IFERROR((K25/$S25),0)</f>
        <v>0</v>
      </c>
      <c r="AD25" s="18">
        <f t="shared" si="19"/>
        <v>-8020.4163667571011</v>
      </c>
      <c r="AE25" s="18">
        <f t="shared" si="19"/>
        <v>0</v>
      </c>
      <c r="AF25" s="18">
        <f>IFERROR((#REF!/$S25),0)</f>
        <v>0</v>
      </c>
      <c r="AG25" s="18">
        <f t="shared" si="23"/>
        <v>0</v>
      </c>
      <c r="AH25" s="18">
        <f t="shared" si="23"/>
        <v>0</v>
      </c>
      <c r="AI25" s="18">
        <f t="shared" si="23"/>
        <v>0</v>
      </c>
      <c r="AJ25" s="118">
        <f t="shared" ref="AJ25:AJ85" si="25">SUM(T25:AI25)</f>
        <v>-13227.829023863575</v>
      </c>
      <c r="AK25" s="1">
        <f t="shared" ref="AK25:AK29" si="26">+AJ25</f>
        <v>-13227.829023863575</v>
      </c>
      <c r="AL25" s="50">
        <f t="shared" ref="AL25:AL85" si="27">+R25-AJ25</f>
        <v>0</v>
      </c>
      <c r="AM25" s="51"/>
      <c r="AN25" t="s">
        <v>730</v>
      </c>
      <c r="AO25" t="b">
        <f>EXACT(B25,AN25)</f>
        <v>1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>
      <c r="A26" s="59">
        <f>SUMIF('Balanza ok'!D:D,B26,'Balanza ok'!B:B)</f>
        <v>708130</v>
      </c>
      <c r="B26" s="171" t="s">
        <v>722</v>
      </c>
      <c r="C26" s="2" t="s">
        <v>535</v>
      </c>
      <c r="D26" s="18">
        <v>0</v>
      </c>
      <c r="E26" s="18">
        <v>0</v>
      </c>
      <c r="F26" s="18">
        <v>0</v>
      </c>
      <c r="G26" s="18">
        <v>0</v>
      </c>
      <c r="H26" s="18">
        <v>-14363756</v>
      </c>
      <c r="I26" s="18">
        <v>0</v>
      </c>
      <c r="J26" s="18">
        <v>0</v>
      </c>
      <c r="K26" s="18">
        <v>0</v>
      </c>
      <c r="L26" s="18">
        <v>-2866174</v>
      </c>
      <c r="M26" s="18">
        <v>0</v>
      </c>
      <c r="N26" s="18">
        <v>0</v>
      </c>
      <c r="O26" s="18">
        <v>0</v>
      </c>
      <c r="P26" s="18">
        <v>0</v>
      </c>
      <c r="Q26" s="19">
        <f>SUM(D26:P26)</f>
        <v>-17229930</v>
      </c>
      <c r="R26" s="36">
        <f t="shared" si="18"/>
        <v>-19079.707657383315</v>
      </c>
      <c r="S26" s="47">
        <f t="shared" si="24"/>
        <v>903.05</v>
      </c>
      <c r="T26" s="18">
        <f>IFERROR((D26/$S26),0)</f>
        <v>0</v>
      </c>
      <c r="U26" s="18">
        <f>IFERROR((#REF!/$S26),0)</f>
        <v>0</v>
      </c>
      <c r="V26" s="18">
        <f>IFERROR((#REF!/$S26),0)</f>
        <v>0</v>
      </c>
      <c r="W26" s="18">
        <f>IFERROR((E26/$S26),0)</f>
        <v>0</v>
      </c>
      <c r="X26" s="18">
        <f>IFERROR((F26/$S26),0)</f>
        <v>0</v>
      </c>
      <c r="Y26" s="18">
        <f>IFERROR((G26/$S26),0)</f>
        <v>0</v>
      </c>
      <c r="Z26" s="18">
        <f>IFERROR((H26/$S26),0)</f>
        <v>-15905.825812524225</v>
      </c>
      <c r="AA26" s="18">
        <f>IFERROR((I26/$S26),0)</f>
        <v>0</v>
      </c>
      <c r="AB26" s="18">
        <f>IFERROR((J26/$S26),0)</f>
        <v>0</v>
      </c>
      <c r="AC26" s="18">
        <f>IFERROR((K26/$S26),0)</f>
        <v>0</v>
      </c>
      <c r="AD26" s="18">
        <f t="shared" si="19"/>
        <v>-3173.8818448590887</v>
      </c>
      <c r="AE26" s="18">
        <f t="shared" si="19"/>
        <v>0</v>
      </c>
      <c r="AF26" s="18">
        <f>IFERROR((#REF!/$S26),0)</f>
        <v>0</v>
      </c>
      <c r="AG26" s="18">
        <f t="shared" ref="AG26:AG81" si="28">IFERROR((N26/$S26),0)</f>
        <v>0</v>
      </c>
      <c r="AH26" s="18">
        <f t="shared" ref="AH26:AH48" si="29">IFERROR((O26/$S26),0)</f>
        <v>0</v>
      </c>
      <c r="AI26" s="18">
        <f t="shared" ref="AI26:AI48" si="30">IFERROR((P26/$S26),0)</f>
        <v>0</v>
      </c>
      <c r="AJ26" s="118">
        <f t="shared" si="25"/>
        <v>-19079.707657383315</v>
      </c>
      <c r="AK26" s="1">
        <f t="shared" si="26"/>
        <v>-19079.707657383315</v>
      </c>
      <c r="AL26" s="50">
        <f t="shared" si="27"/>
        <v>0</v>
      </c>
      <c r="AM26" s="51"/>
      <c r="AN26" t="s">
        <v>722</v>
      </c>
      <c r="AO26" t="b">
        <f>EXACT(B26,AN26)</f>
        <v>1</v>
      </c>
    </row>
    <row r="27" spans="1:61" s="64" customFormat="1">
      <c r="A27" s="59">
        <f>SUMIF('Balanza ok'!D:D,B27,'Balanza ok'!B:B)</f>
        <v>709226</v>
      </c>
      <c r="B27" s="171" t="s">
        <v>731</v>
      </c>
      <c r="C27" s="2" t="s">
        <v>537</v>
      </c>
      <c r="D27" s="18">
        <v>0</v>
      </c>
      <c r="E27" s="18">
        <v>0</v>
      </c>
      <c r="F27" s="18">
        <v>0</v>
      </c>
      <c r="G27" s="18">
        <v>0</v>
      </c>
      <c r="H27" s="18">
        <v>-222925</v>
      </c>
      <c r="I27" s="18">
        <v>0</v>
      </c>
      <c r="J27" s="18">
        <v>0</v>
      </c>
      <c r="K27" s="18">
        <v>0</v>
      </c>
      <c r="L27" s="18">
        <v>-8258503</v>
      </c>
      <c r="M27" s="18">
        <v>0</v>
      </c>
      <c r="N27" s="18">
        <v>0</v>
      </c>
      <c r="O27" s="18">
        <v>0</v>
      </c>
      <c r="P27" s="18">
        <v>0</v>
      </c>
      <c r="Q27" s="19">
        <f>SUM(D27:P27)</f>
        <v>-8481428</v>
      </c>
      <c r="R27" s="36">
        <f t="shared" si="18"/>
        <v>-9391.9805104922216</v>
      </c>
      <c r="S27" s="47">
        <f t="shared" si="24"/>
        <v>903.05</v>
      </c>
      <c r="T27" s="18">
        <f>IFERROR((D27/$S27),0)</f>
        <v>0</v>
      </c>
      <c r="U27" s="18">
        <f>IFERROR((#REF!/$S27),0)</f>
        <v>0</v>
      </c>
      <c r="V27" s="18">
        <f>IFERROR((#REF!/$S27),0)</f>
        <v>0</v>
      </c>
      <c r="W27" s="18">
        <f>IFERROR((E27/$S27),0)</f>
        <v>0</v>
      </c>
      <c r="X27" s="18">
        <f>IFERROR((F27/$S27),0)</f>
        <v>0</v>
      </c>
      <c r="Y27" s="18">
        <f>IFERROR((G27/$S27),0)</f>
        <v>0</v>
      </c>
      <c r="Z27" s="18">
        <f>IFERROR((H27/$S27),0)</f>
        <v>-246.85787054980347</v>
      </c>
      <c r="AA27" s="18">
        <f>IFERROR((I27/$S27),0)</f>
        <v>0</v>
      </c>
      <c r="AB27" s="18">
        <f>IFERROR((J27/$S27),0)</f>
        <v>0</v>
      </c>
      <c r="AC27" s="18">
        <f>IFERROR((K27/$S27),0)</f>
        <v>0</v>
      </c>
      <c r="AD27" s="18">
        <f t="shared" si="19"/>
        <v>-9145.1226399424177</v>
      </c>
      <c r="AE27" s="18">
        <f t="shared" si="19"/>
        <v>0</v>
      </c>
      <c r="AF27" s="18">
        <f>IFERROR((#REF!/$S27),0)</f>
        <v>0</v>
      </c>
      <c r="AG27" s="18">
        <f t="shared" si="28"/>
        <v>0</v>
      </c>
      <c r="AH27" s="18">
        <f t="shared" si="29"/>
        <v>0</v>
      </c>
      <c r="AI27" s="18">
        <f t="shared" si="30"/>
        <v>0</v>
      </c>
      <c r="AJ27" s="118">
        <f t="shared" si="25"/>
        <v>-9391.9805104922216</v>
      </c>
      <c r="AK27" s="1">
        <f t="shared" si="26"/>
        <v>-9391.9805104922216</v>
      </c>
      <c r="AL27" s="50">
        <f t="shared" si="27"/>
        <v>0</v>
      </c>
      <c r="AM27" s="51"/>
      <c r="AN27" t="s">
        <v>731</v>
      </c>
      <c r="AO27" t="b">
        <f>EXACT(B27,AN27)</f>
        <v>1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64" customFormat="1">
      <c r="A28" s="59">
        <f>SUMIF('Balanza ok'!D:D,B28,'Balanza ok'!B:B)</f>
        <v>720716</v>
      </c>
      <c r="B28" s="171" t="s">
        <v>890</v>
      </c>
      <c r="C28" s="2" t="s">
        <v>887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-60000</v>
      </c>
      <c r="K28" s="18">
        <v>0</v>
      </c>
      <c r="L28" s="18">
        <v>0</v>
      </c>
      <c r="M28" s="18">
        <v>-44990</v>
      </c>
      <c r="N28" s="18">
        <v>0</v>
      </c>
      <c r="O28" s="18">
        <v>0</v>
      </c>
      <c r="P28" s="18">
        <v>0</v>
      </c>
      <c r="Q28" s="19">
        <f>SUM(D28:P28)</f>
        <v>-104990</v>
      </c>
      <c r="R28" s="36">
        <f t="shared" si="18"/>
        <v>-116.26155805326394</v>
      </c>
      <c r="S28" s="47">
        <f t="shared" si="24"/>
        <v>903.05</v>
      </c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18">
        <f t="shared" si="25"/>
        <v>0</v>
      </c>
      <c r="AK28" s="1">
        <f t="shared" si="26"/>
        <v>0</v>
      </c>
      <c r="AL28" s="50"/>
      <c r="AM28" s="51"/>
      <c r="AN28" t="s">
        <v>890</v>
      </c>
      <c r="AO28" t="b">
        <f>EXACT(B28,AN28)</f>
        <v>1</v>
      </c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64" customFormat="1">
      <c r="A29" s="174">
        <f>SUMIF('Balanza ok'!D:D,B29,'Balanza ok'!B:B)</f>
        <v>720716</v>
      </c>
      <c r="B29" s="171" t="s">
        <v>968</v>
      </c>
      <c r="C29" s="2" t="s">
        <v>969</v>
      </c>
      <c r="D29" s="18">
        <v>0</v>
      </c>
      <c r="E29" s="18">
        <v>-10120</v>
      </c>
      <c r="F29" s="18">
        <v>-10776</v>
      </c>
      <c r="G29" s="18">
        <v>-5696</v>
      </c>
      <c r="H29" s="18">
        <v>0</v>
      </c>
      <c r="I29" s="18">
        <v>0</v>
      </c>
      <c r="J29" s="18">
        <v>-18330</v>
      </c>
      <c r="K29" s="18">
        <v>-100966</v>
      </c>
      <c r="L29" s="18">
        <v>0</v>
      </c>
      <c r="M29" s="18">
        <v>-32386</v>
      </c>
      <c r="N29" s="18">
        <v>0</v>
      </c>
      <c r="O29" s="18">
        <v>0</v>
      </c>
      <c r="P29" s="18">
        <v>0</v>
      </c>
      <c r="Q29" s="19">
        <f>SUM(D29:P29)</f>
        <v>-178274</v>
      </c>
      <c r="R29" s="36">
        <f t="shared" si="18"/>
        <v>-197.4132107856708</v>
      </c>
      <c r="S29" s="47">
        <f t="shared" si="24"/>
        <v>903.05</v>
      </c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18">
        <f t="shared" si="25"/>
        <v>0</v>
      </c>
      <c r="AK29" s="1">
        <f t="shared" si="26"/>
        <v>0</v>
      </c>
      <c r="AL29" s="50"/>
      <c r="AM29" s="51"/>
      <c r="AN29" t="s">
        <v>968</v>
      </c>
      <c r="AO29" t="b">
        <f>EXACT(B29,AN29)</f>
        <v>1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>
      <c r="A30" s="161">
        <f>SUMIF('Balanza ok'!D:D,B30,'Balanza ok'!B:B)</f>
        <v>701011</v>
      </c>
      <c r="B30" s="171" t="s">
        <v>693</v>
      </c>
      <c r="C30" s="66" t="s">
        <v>32</v>
      </c>
      <c r="D30" s="18">
        <v>0</v>
      </c>
      <c r="E30" s="18">
        <v>-19605284</v>
      </c>
      <c r="F30" s="18">
        <v>-4340553</v>
      </c>
      <c r="G30" s="18">
        <v>-19777384</v>
      </c>
      <c r="H30" s="18">
        <v>-13430862</v>
      </c>
      <c r="I30" s="18">
        <v>-1005381</v>
      </c>
      <c r="J30" s="18">
        <v>-23788136</v>
      </c>
      <c r="K30" s="18">
        <v>-15596068</v>
      </c>
      <c r="L30" s="18">
        <v>-5733292</v>
      </c>
      <c r="M30" s="18">
        <v>-21549622</v>
      </c>
      <c r="N30" s="18">
        <v>-15454865</v>
      </c>
      <c r="O30" s="18">
        <v>-15892636</v>
      </c>
      <c r="P30" s="18">
        <v>-16884316</v>
      </c>
      <c r="Q30" s="19">
        <f>SUM(D30:P30)</f>
        <v>-173058399</v>
      </c>
      <c r="R30" s="36">
        <f t="shared" si="18"/>
        <v>-191637.67122529208</v>
      </c>
      <c r="S30" s="47">
        <f t="shared" si="24"/>
        <v>903.05</v>
      </c>
      <c r="T30" s="18">
        <f>IFERROR((D30/$S30),0)</f>
        <v>0</v>
      </c>
      <c r="U30" s="18">
        <f>IFERROR((#REF!/$S30),0)</f>
        <v>0</v>
      </c>
      <c r="V30" s="18">
        <f>IFERROR((#REF!/$S30),0)</f>
        <v>0</v>
      </c>
      <c r="W30" s="18">
        <f>IFERROR((E30/$S30),0)</f>
        <v>-21710.075854050163</v>
      </c>
      <c r="X30" s="18">
        <f>IFERROR((F30/$S30),0)</f>
        <v>-4806.547810198771</v>
      </c>
      <c r="Y30" s="18">
        <f>IFERROR((G30/$S30),0)</f>
        <v>-21900.652234095567</v>
      </c>
      <c r="Z30" s="18">
        <f>IFERROR((H30/$S30),0)</f>
        <v>-14872.777808537734</v>
      </c>
      <c r="AA30" s="18">
        <f>IFERROR((I30/$S30),0)</f>
        <v>-1113.3170920768507</v>
      </c>
      <c r="AB30" s="18">
        <f>IFERROR((J30/$S30),0)</f>
        <v>-26341.992137755387</v>
      </c>
      <c r="AC30" s="18">
        <f>IFERROR((K30/$S30),0)</f>
        <v>-17270.436852887437</v>
      </c>
      <c r="AD30" s="18">
        <f t="shared" ref="AD30:AD62" si="31">IFERROR((L30/$S30),0)</f>
        <v>-6348.8090360445158</v>
      </c>
      <c r="AE30" s="18">
        <f t="shared" ref="AE30:AE62" si="32">IFERROR((M30/$S30),0)</f>
        <v>-23863.154864071759</v>
      </c>
      <c r="AF30" s="18">
        <f>IFERROR((#REF!/$S30),0)</f>
        <v>0</v>
      </c>
      <c r="AG30" s="18">
        <f t="shared" si="28"/>
        <v>-17114.074525220087</v>
      </c>
      <c r="AH30" s="18">
        <f t="shared" si="29"/>
        <v>-17598.843917834009</v>
      </c>
      <c r="AI30" s="18">
        <f t="shared" si="30"/>
        <v>-18696.989092519794</v>
      </c>
      <c r="AJ30" s="118">
        <f t="shared" si="25"/>
        <v>-191637.67122529208</v>
      </c>
      <c r="AK30" s="1">
        <f t="shared" ref="AK30:AK85" si="33">+AJ30</f>
        <v>-191637.67122529208</v>
      </c>
      <c r="AL30" s="50">
        <f t="shared" si="27"/>
        <v>0</v>
      </c>
      <c r="AM30" s="51"/>
      <c r="AN30" t="s">
        <v>693</v>
      </c>
      <c r="AO30" t="b">
        <f>EXACT(B30,AN30)</f>
        <v>1</v>
      </c>
    </row>
    <row r="31" spans="1:61">
      <c r="A31" s="152">
        <f>SUMIF('Balanza ok'!D:D,B31,'Balanza ok'!B:B)</f>
        <v>701025</v>
      </c>
      <c r="B31" s="171" t="s">
        <v>691</v>
      </c>
      <c r="C31" s="66" t="s">
        <v>31</v>
      </c>
      <c r="D31" s="18">
        <v>0</v>
      </c>
      <c r="E31" s="18">
        <v>-718846</v>
      </c>
      <c r="F31" s="18">
        <v>-8666</v>
      </c>
      <c r="G31" s="18">
        <v>-387944</v>
      </c>
      <c r="H31" s="18">
        <v>-945271</v>
      </c>
      <c r="I31" s="18">
        <v>-20000</v>
      </c>
      <c r="J31" s="18">
        <v>-635071</v>
      </c>
      <c r="K31" s="18">
        <v>-404590</v>
      </c>
      <c r="L31" s="18">
        <v>0</v>
      </c>
      <c r="M31" s="18">
        <v>-1518574</v>
      </c>
      <c r="N31" s="18">
        <v>-367293</v>
      </c>
      <c r="O31" s="18">
        <v>323240</v>
      </c>
      <c r="P31" s="18">
        <v>-953000</v>
      </c>
      <c r="Q31" s="19">
        <f>SUM(D31:P31)</f>
        <v>-5636015</v>
      </c>
      <c r="R31" s="36">
        <f t="shared" si="18"/>
        <v>-6241.0885333038041</v>
      </c>
      <c r="S31" s="47">
        <f t="shared" si="24"/>
        <v>903.05</v>
      </c>
      <c r="T31" s="18">
        <f>IFERROR((D31/$S31),0)</f>
        <v>0</v>
      </c>
      <c r="U31" s="18">
        <f>IFERROR((#REF!/$S31),0)</f>
        <v>0</v>
      </c>
      <c r="V31" s="18">
        <f>IFERROR((#REF!/$S31),0)</f>
        <v>0</v>
      </c>
      <c r="W31" s="18">
        <f>IFERROR((E31/$S31),0)</f>
        <v>-796.02015392281714</v>
      </c>
      <c r="X31" s="18">
        <f>IFERROR((F31/$S31),0)</f>
        <v>-9.5963678644593333</v>
      </c>
      <c r="Y31" s="18">
        <f>IFERROR((G31/$S31),0)</f>
        <v>-429.59304578926969</v>
      </c>
      <c r="Z31" s="18">
        <f>IFERROR((H31/$S31),0)</f>
        <v>-1046.7537788605282</v>
      </c>
      <c r="AA31" s="18">
        <f>IFERROR((I31/$S31),0)</f>
        <v>-22.147167930900839</v>
      </c>
      <c r="AB31" s="18">
        <f>IFERROR((J31/$S31),0)</f>
        <v>-703.25120425225623</v>
      </c>
      <c r="AC31" s="18">
        <f>IFERROR((K31/$S31),0)</f>
        <v>-448.02613365815847</v>
      </c>
      <c r="AD31" s="18">
        <f t="shared" si="31"/>
        <v>0</v>
      </c>
      <c r="AE31" s="18">
        <f t="shared" si="32"/>
        <v>-1681.6056696749904</v>
      </c>
      <c r="AF31" s="18">
        <f>IFERROR((#REF!/$S31),0)</f>
        <v>0</v>
      </c>
      <c r="AG31" s="18">
        <f t="shared" si="28"/>
        <v>-406.72498754221806</v>
      </c>
      <c r="AH31" s="18">
        <f t="shared" si="29"/>
        <v>357.94252809921932</v>
      </c>
      <c r="AI31" s="18">
        <f t="shared" si="30"/>
        <v>-1055.3125519074249</v>
      </c>
      <c r="AJ31" s="118">
        <f t="shared" si="25"/>
        <v>-6241.0885333038041</v>
      </c>
      <c r="AK31" s="1">
        <f t="shared" si="33"/>
        <v>-6241.0885333038041</v>
      </c>
      <c r="AL31" s="50">
        <f t="shared" si="27"/>
        <v>0</v>
      </c>
      <c r="AM31" s="51"/>
      <c r="AN31" t="s">
        <v>691</v>
      </c>
      <c r="AO31" t="b">
        <f>EXACT(B31,AN31)</f>
        <v>1</v>
      </c>
    </row>
    <row r="32" spans="1:61">
      <c r="A32" s="152">
        <f>SUMIF('Balanza ok'!D:D,B32,'Balanza ok'!B:B)</f>
        <v>702059</v>
      </c>
      <c r="B32" s="171" t="s">
        <v>706</v>
      </c>
      <c r="C32" s="66" t="s">
        <v>30</v>
      </c>
      <c r="D32" s="18">
        <v>0</v>
      </c>
      <c r="E32" s="18">
        <v>-692642</v>
      </c>
      <c r="F32" s="18">
        <v>-176477</v>
      </c>
      <c r="G32" s="18">
        <v>-718791</v>
      </c>
      <c r="H32" s="18">
        <v>-379112</v>
      </c>
      <c r="I32" s="18">
        <v>-81064</v>
      </c>
      <c r="J32" s="18">
        <v>-866143</v>
      </c>
      <c r="K32" s="18">
        <v>-554933</v>
      </c>
      <c r="L32" s="18">
        <v>-140387</v>
      </c>
      <c r="M32" s="18">
        <v>-804251</v>
      </c>
      <c r="N32" s="18">
        <v>-555974</v>
      </c>
      <c r="O32" s="18">
        <v>-564822</v>
      </c>
      <c r="P32" s="18">
        <v>-613548</v>
      </c>
      <c r="Q32" s="19">
        <f>SUM(D32:P32)</f>
        <v>-6148144</v>
      </c>
      <c r="R32" s="36">
        <f t="shared" si="18"/>
        <v>-6808.1988815680197</v>
      </c>
      <c r="S32" s="47">
        <f t="shared" si="24"/>
        <v>903.05</v>
      </c>
      <c r="T32" s="18">
        <f>IFERROR((D32/$S32),0)</f>
        <v>0</v>
      </c>
      <c r="U32" s="18">
        <f>IFERROR((#REF!/$S32),0)</f>
        <v>0</v>
      </c>
      <c r="V32" s="18">
        <f>IFERROR((#REF!/$S32),0)</f>
        <v>0</v>
      </c>
      <c r="W32" s="18">
        <f>IFERROR((E32/$S32),0)</f>
        <v>-767.00293449975084</v>
      </c>
      <c r="X32" s="18">
        <f>IFERROR((F32/$S32),0)</f>
        <v>-195.42328774707934</v>
      </c>
      <c r="Y32" s="18">
        <f>IFERROR((G32/$S32),0)</f>
        <v>-795.9592492110072</v>
      </c>
      <c r="Z32" s="18">
        <f>IFERROR((H32/$S32),0)</f>
        <v>-419.81285643098391</v>
      </c>
      <c r="AA32" s="18">
        <f>IFERROR((I32/$S32),0)</f>
        <v>-89.766901057527278</v>
      </c>
      <c r="AB32" s="18">
        <f>IFERROR((J32/$S32),0)</f>
        <v>-959.13072365871221</v>
      </c>
      <c r="AC32" s="18">
        <f>IFERROR((K32/$S32),0)</f>
        <v>-614.50971706992971</v>
      </c>
      <c r="AD32" s="18">
        <f t="shared" si="31"/>
        <v>-155.4587232157688</v>
      </c>
      <c r="AE32" s="18">
        <f t="shared" si="32"/>
        <v>-890.59409777974645</v>
      </c>
      <c r="AF32" s="18">
        <f>IFERROR((#REF!/$S32),0)</f>
        <v>0</v>
      </c>
      <c r="AG32" s="18">
        <f t="shared" si="28"/>
        <v>-615.66247716073315</v>
      </c>
      <c r="AH32" s="18">
        <f t="shared" si="29"/>
        <v>-625.4603842533636</v>
      </c>
      <c r="AI32" s="18">
        <f t="shared" si="30"/>
        <v>-679.4175294834173</v>
      </c>
      <c r="AJ32" s="118">
        <f t="shared" si="25"/>
        <v>-6808.1988815680197</v>
      </c>
      <c r="AK32" s="1">
        <f t="shared" si="33"/>
        <v>-6808.1988815680197</v>
      </c>
      <c r="AL32" s="50">
        <f t="shared" si="27"/>
        <v>0</v>
      </c>
      <c r="AM32" s="51"/>
      <c r="AN32" t="s">
        <v>706</v>
      </c>
      <c r="AO32" t="b">
        <f>EXACT(B32,AN32)</f>
        <v>1</v>
      </c>
    </row>
    <row r="33" spans="1:41">
      <c r="A33" s="152">
        <f>SUMIF('Balanza ok'!D:D,B33,'Balanza ok'!B:B)</f>
        <v>701025</v>
      </c>
      <c r="B33" s="171" t="s">
        <v>699</v>
      </c>
      <c r="C33" s="66" t="s">
        <v>29</v>
      </c>
      <c r="D33" s="18">
        <v>0</v>
      </c>
      <c r="E33" s="18">
        <v>-4698748</v>
      </c>
      <c r="F33" s="18">
        <v>-1339662</v>
      </c>
      <c r="G33" s="18">
        <v>-4820799</v>
      </c>
      <c r="H33" s="18">
        <v>-1839436</v>
      </c>
      <c r="I33" s="18">
        <v>-305874</v>
      </c>
      <c r="J33" s="18">
        <v>-5574494</v>
      </c>
      <c r="K33" s="18">
        <v>-3913639</v>
      </c>
      <c r="L33" s="18">
        <v>-591154</v>
      </c>
      <c r="M33" s="18">
        <v>-5185749</v>
      </c>
      <c r="N33" s="18">
        <v>-3973103</v>
      </c>
      <c r="O33" s="18">
        <v>-3973505</v>
      </c>
      <c r="P33" s="18">
        <v>-4093878</v>
      </c>
      <c r="Q33" s="19">
        <f>SUM(D33:P33)</f>
        <v>-40310041</v>
      </c>
      <c r="R33" s="36">
        <f t="shared" si="18"/>
        <v>-44637.662366424898</v>
      </c>
      <c r="S33" s="47">
        <f t="shared" si="24"/>
        <v>903.05</v>
      </c>
      <c r="T33" s="18">
        <f>IFERROR((D33/$S33),0)</f>
        <v>0</v>
      </c>
      <c r="U33" s="18">
        <f>IFERROR((#REF!/$S33),0)</f>
        <v>0</v>
      </c>
      <c r="V33" s="18">
        <f>IFERROR((#REF!/$S33),0)</f>
        <v>0</v>
      </c>
      <c r="W33" s="18">
        <f>IFERROR((E33/$S33),0)</f>
        <v>-5203.1980510492222</v>
      </c>
      <c r="X33" s="18">
        <f>IFERROR((F33/$S33),0)</f>
        <v>-1483.4859642323238</v>
      </c>
      <c r="Y33" s="18">
        <f>IFERROR((G33/$S33),0)</f>
        <v>-5338.3522507059415</v>
      </c>
      <c r="Z33" s="18">
        <f>IFERROR((H33/$S33),0)</f>
        <v>-2036.9148995072255</v>
      </c>
      <c r="AA33" s="18">
        <f>IFERROR((I33/$S33),0)</f>
        <v>-338.71214218481811</v>
      </c>
      <c r="AB33" s="18">
        <f>IFERROR((J33/$S33),0)</f>
        <v>-6172.9627373899566</v>
      </c>
      <c r="AC33" s="18">
        <f>IFERROR((K33/$S33),0)</f>
        <v>-4333.8010076961409</v>
      </c>
      <c r="AD33" s="18">
        <f t="shared" si="31"/>
        <v>-654.61934555118762</v>
      </c>
      <c r="AE33" s="18">
        <f t="shared" si="32"/>
        <v>-5742.4826975250544</v>
      </c>
      <c r="AF33" s="18">
        <f>IFERROR((#REF!/$S33),0)</f>
        <v>0</v>
      </c>
      <c r="AG33" s="18">
        <f t="shared" si="28"/>
        <v>-4399.6489673882952</v>
      </c>
      <c r="AH33" s="18">
        <f t="shared" si="29"/>
        <v>-4400.0941254637064</v>
      </c>
      <c r="AI33" s="18">
        <f t="shared" si="30"/>
        <v>-4533.390177731023</v>
      </c>
      <c r="AJ33" s="118">
        <f t="shared" si="25"/>
        <v>-44637.662366424898</v>
      </c>
      <c r="AK33" s="1">
        <f t="shared" si="33"/>
        <v>-44637.662366424898</v>
      </c>
      <c r="AL33" s="50">
        <f t="shared" si="27"/>
        <v>0</v>
      </c>
      <c r="AM33" s="51"/>
      <c r="AN33" t="s">
        <v>699</v>
      </c>
      <c r="AO33" t="b">
        <f>EXACT(B33,AN33)</f>
        <v>1</v>
      </c>
    </row>
    <row r="34" spans="1:41">
      <c r="A34" s="161">
        <f>SUMIF('Balanza ok'!D:D,B34,'Balanza ok'!B:B)</f>
        <v>701026</v>
      </c>
      <c r="B34" s="171" t="s">
        <v>695</v>
      </c>
      <c r="C34" s="66" t="s">
        <v>538</v>
      </c>
      <c r="D34" s="18">
        <v>0</v>
      </c>
      <c r="E34" s="18">
        <v>-701842</v>
      </c>
      <c r="F34" s="18">
        <v>0</v>
      </c>
      <c r="G34" s="18">
        <v>-90809</v>
      </c>
      <c r="H34" s="18">
        <v>0</v>
      </c>
      <c r="I34" s="18">
        <v>-1279325</v>
      </c>
      <c r="J34" s="18">
        <v>0</v>
      </c>
      <c r="K34" s="18">
        <v>-59888</v>
      </c>
      <c r="L34" s="18">
        <v>0</v>
      </c>
      <c r="M34" s="18">
        <v>0</v>
      </c>
      <c r="N34" s="18">
        <v>-86412</v>
      </c>
      <c r="O34" s="18">
        <v>-105208</v>
      </c>
      <c r="P34" s="18">
        <v>-502172</v>
      </c>
      <c r="Q34" s="19">
        <f>SUM(D34:P34)</f>
        <v>-2825656</v>
      </c>
      <c r="R34" s="36">
        <f t="shared" si="18"/>
        <v>-3129.013897347877</v>
      </c>
      <c r="S34" s="47">
        <f t="shared" si="24"/>
        <v>903.05</v>
      </c>
      <c r="T34" s="18">
        <f>IFERROR((D34/$S34),0)</f>
        <v>0</v>
      </c>
      <c r="U34" s="18">
        <f>IFERROR((#REF!/$S34),0)</f>
        <v>0</v>
      </c>
      <c r="V34" s="18">
        <f>IFERROR((#REF!/$S34),0)</f>
        <v>0</v>
      </c>
      <c r="W34" s="18">
        <f>IFERROR((E34/$S34),0)</f>
        <v>-777.19063174796531</v>
      </c>
      <c r="X34" s="18">
        <f>IFERROR((F34/$S34),0)</f>
        <v>0</v>
      </c>
      <c r="Y34" s="18">
        <f>IFERROR((G34/$S34),0)</f>
        <v>-100.5581086318587</v>
      </c>
      <c r="Z34" s="18">
        <f>IFERROR((H34/$S34),0)</f>
        <v>0</v>
      </c>
      <c r="AA34" s="18">
        <f>IFERROR((I34/$S34),0)</f>
        <v>-1416.6712806599858</v>
      </c>
      <c r="AB34" s="18">
        <f>IFERROR((J34/$S34),0)</f>
        <v>0</v>
      </c>
      <c r="AC34" s="18">
        <f>IFERROR((K34/$S34),0)</f>
        <v>-66.317479652289464</v>
      </c>
      <c r="AD34" s="18">
        <f t="shared" si="31"/>
        <v>0</v>
      </c>
      <c r="AE34" s="18">
        <f t="shared" si="32"/>
        <v>0</v>
      </c>
      <c r="AF34" s="18">
        <f>IFERROR((#REF!/$S34),0)</f>
        <v>0</v>
      </c>
      <c r="AG34" s="18">
        <f t="shared" si="28"/>
        <v>-95.689053762250154</v>
      </c>
      <c r="AH34" s="18">
        <f t="shared" si="29"/>
        <v>-116.50296218371076</v>
      </c>
      <c r="AI34" s="18">
        <f t="shared" si="30"/>
        <v>-556.08438070981674</v>
      </c>
      <c r="AJ34" s="118">
        <f t="shared" si="25"/>
        <v>-3129.013897347877</v>
      </c>
      <c r="AK34" s="1">
        <f t="shared" si="33"/>
        <v>-3129.013897347877</v>
      </c>
      <c r="AL34" s="50">
        <f t="shared" si="27"/>
        <v>0</v>
      </c>
      <c r="AM34" s="51"/>
      <c r="AN34" t="s">
        <v>695</v>
      </c>
      <c r="AO34" t="b">
        <f>EXACT(B34,AN34)</f>
        <v>1</v>
      </c>
    </row>
    <row r="35" spans="1:41">
      <c r="A35" s="152">
        <f>SUMIF('Balanza ok'!D:D,B35,'Balanza ok'!B:B)</f>
        <v>702051</v>
      </c>
      <c r="B35" s="171" t="s">
        <v>703</v>
      </c>
      <c r="C35" s="66" t="s">
        <v>26</v>
      </c>
      <c r="D35" s="18">
        <v>0</v>
      </c>
      <c r="E35" s="18">
        <v>-260348</v>
      </c>
      <c r="F35" s="18">
        <v>-65861</v>
      </c>
      <c r="G35" s="18">
        <v>-257184</v>
      </c>
      <c r="H35" s="18">
        <v>-141509</v>
      </c>
      <c r="I35" s="18">
        <v>-15661</v>
      </c>
      <c r="J35" s="18">
        <v>-323752</v>
      </c>
      <c r="K35" s="18">
        <v>-200082</v>
      </c>
      <c r="L35" s="18">
        <v>-48283</v>
      </c>
      <c r="M35" s="18">
        <v>-300022</v>
      </c>
      <c r="N35" s="18">
        <v>-204243</v>
      </c>
      <c r="O35" s="18">
        <v>-202216</v>
      </c>
      <c r="P35" s="18">
        <v>-220885</v>
      </c>
      <c r="Q35" s="19">
        <f>SUM(D35:P35)</f>
        <v>-2240046</v>
      </c>
      <c r="R35" s="36">
        <f t="shared" si="18"/>
        <v>-2480.533746747135</v>
      </c>
      <c r="S35" s="47">
        <f t="shared" si="24"/>
        <v>903.05</v>
      </c>
      <c r="T35" s="18">
        <f>IFERROR((D35/$S35),0)</f>
        <v>0</v>
      </c>
      <c r="U35" s="18">
        <f>IFERROR((#REF!/$S35),0)</f>
        <v>0</v>
      </c>
      <c r="V35" s="18">
        <f>IFERROR((#REF!/$S35),0)</f>
        <v>0</v>
      </c>
      <c r="W35" s="18">
        <f>IFERROR((E35/$S35),0)</f>
        <v>-288.29854382370854</v>
      </c>
      <c r="X35" s="18">
        <f>IFERROR((F35/$S35),0)</f>
        <v>-72.931731354853</v>
      </c>
      <c r="Y35" s="18">
        <f>IFERROR((G35/$S35),0)</f>
        <v>-284.79486185704002</v>
      </c>
      <c r="Z35" s="18">
        <f>IFERROR((H35/$S35),0)</f>
        <v>-156.70117933669232</v>
      </c>
      <c r="AA35" s="18">
        <f>IFERROR((I35/$S35),0)</f>
        <v>-17.3423398482919</v>
      </c>
      <c r="AB35" s="18">
        <f>IFERROR((J35/$S35),0)</f>
        <v>-358.5094955982504</v>
      </c>
      <c r="AC35" s="18">
        <f>IFERROR((K35/$S35),0)</f>
        <v>-221.56248269752507</v>
      </c>
      <c r="AD35" s="18">
        <f t="shared" si="31"/>
        <v>-53.466585460384259</v>
      </c>
      <c r="AE35" s="18">
        <f t="shared" si="32"/>
        <v>-332.23188084823653</v>
      </c>
      <c r="AF35" s="18">
        <f>IFERROR((#REF!/$S35),0)</f>
        <v>0</v>
      </c>
      <c r="AG35" s="18">
        <f t="shared" si="28"/>
        <v>-226.17020098554897</v>
      </c>
      <c r="AH35" s="18">
        <f t="shared" si="29"/>
        <v>-223.92558551575218</v>
      </c>
      <c r="AI35" s="18">
        <f t="shared" si="30"/>
        <v>-244.59885942085157</v>
      </c>
      <c r="AJ35" s="118">
        <f t="shared" si="25"/>
        <v>-2480.533746747135</v>
      </c>
      <c r="AK35" s="1">
        <f t="shared" si="33"/>
        <v>-2480.533746747135</v>
      </c>
      <c r="AL35" s="50">
        <f t="shared" si="27"/>
        <v>0</v>
      </c>
      <c r="AM35" s="51"/>
      <c r="AN35" t="s">
        <v>703</v>
      </c>
      <c r="AO35" t="b">
        <f>EXACT(B35,AN35)</f>
        <v>1</v>
      </c>
    </row>
    <row r="36" spans="1:41">
      <c r="A36" s="152">
        <f>SUMIF('Balanza ok'!D:D,B36,'Balanza ok'!B:B)</f>
        <v>702052</v>
      </c>
      <c r="B36" s="171" t="s">
        <v>766</v>
      </c>
      <c r="C36" s="66" t="s">
        <v>25</v>
      </c>
      <c r="D36" s="18">
        <v>0</v>
      </c>
      <c r="E36" s="18">
        <v>-436142</v>
      </c>
      <c r="F36" s="18">
        <v>-114723</v>
      </c>
      <c r="G36" s="18">
        <v>-442491</v>
      </c>
      <c r="H36" s="18">
        <v>-237394</v>
      </c>
      <c r="I36" s="18">
        <v>-52016</v>
      </c>
      <c r="J36" s="18">
        <v>-543253</v>
      </c>
      <c r="K36" s="18">
        <v>-344879</v>
      </c>
      <c r="L36" s="18">
        <v>-81001</v>
      </c>
      <c r="M36" s="18">
        <v>-501846</v>
      </c>
      <c r="N36" s="18">
        <v>-346669</v>
      </c>
      <c r="O36" s="18">
        <v>-339584</v>
      </c>
      <c r="P36" s="18">
        <v>-375381</v>
      </c>
      <c r="Q36" s="19">
        <f>SUM(D36:P36)</f>
        <v>-3815379</v>
      </c>
      <c r="R36" s="36">
        <f t="shared" si="18"/>
        <v>-4224.9919716516251</v>
      </c>
      <c r="S36" s="47">
        <f t="shared" si="24"/>
        <v>903.05</v>
      </c>
      <c r="T36" s="18">
        <f>IFERROR((D36/$S36),0)</f>
        <v>0</v>
      </c>
      <c r="U36" s="18">
        <f>IFERROR((#REF!/$S36),0)</f>
        <v>0</v>
      </c>
      <c r="V36" s="18">
        <f>IFERROR((#REF!/$S36),0)</f>
        <v>0</v>
      </c>
      <c r="W36" s="18">
        <f>IFERROR((E36/$S36),0)</f>
        <v>-482.96550578594764</v>
      </c>
      <c r="X36" s="18">
        <f>IFERROR((F36/$S36),0)</f>
        <v>-127.03947732683683</v>
      </c>
      <c r="Y36" s="18">
        <f>IFERROR((G36/$S36),0)</f>
        <v>-489.99612424561212</v>
      </c>
      <c r="Z36" s="18">
        <f>IFERROR((H36/$S36),0)</f>
        <v>-262.88023918941366</v>
      </c>
      <c r="AA36" s="18">
        <f>IFERROR((I36/$S36),0)</f>
        <v>-57.6003543546869</v>
      </c>
      <c r="AB36" s="18">
        <f>IFERROR((J36/$S36),0)</f>
        <v>-601.57577099828359</v>
      </c>
      <c r="AC36" s="18">
        <f>IFERROR((K36/$S36),0)</f>
        <v>-381.9046564420575</v>
      </c>
      <c r="AD36" s="18">
        <f t="shared" si="31"/>
        <v>-89.697137478544931</v>
      </c>
      <c r="AE36" s="18">
        <f t="shared" si="32"/>
        <v>-555.72338187254309</v>
      </c>
      <c r="AF36" s="18">
        <f>IFERROR((#REF!/$S36),0)</f>
        <v>0</v>
      </c>
      <c r="AG36" s="18">
        <f t="shared" si="28"/>
        <v>-383.88682797187312</v>
      </c>
      <c r="AH36" s="18">
        <f t="shared" si="29"/>
        <v>-376.04119373235147</v>
      </c>
      <c r="AI36" s="18">
        <f t="shared" si="30"/>
        <v>-415.68130225347437</v>
      </c>
      <c r="AJ36" s="118">
        <f t="shared" si="25"/>
        <v>-4224.9919716516251</v>
      </c>
      <c r="AK36" s="1">
        <f t="shared" si="33"/>
        <v>-4224.9919716516251</v>
      </c>
      <c r="AL36" s="50">
        <f t="shared" si="27"/>
        <v>0</v>
      </c>
      <c r="AM36" s="51"/>
      <c r="AN36" t="s">
        <v>766</v>
      </c>
      <c r="AO36" t="b">
        <f>EXACT(B36,AN36)</f>
        <v>1</v>
      </c>
    </row>
    <row r="37" spans="1:41">
      <c r="A37" s="152">
        <f>SUMIF('Balanza ok'!D:D,B37,'Balanza ok'!B:B)</f>
        <v>702052</v>
      </c>
      <c r="B37" s="171" t="s">
        <v>978</v>
      </c>
      <c r="C37" s="227" t="s">
        <v>980</v>
      </c>
      <c r="D37" s="18">
        <v>0</v>
      </c>
      <c r="E37" s="18">
        <v>-27997</v>
      </c>
      <c r="F37" s="18">
        <v>-7083</v>
      </c>
      <c r="G37" s="18">
        <v>-27627</v>
      </c>
      <c r="H37" s="18">
        <v>-15218</v>
      </c>
      <c r="I37" s="18">
        <v>-1628</v>
      </c>
      <c r="J37" s="18">
        <v>-34812</v>
      </c>
      <c r="K37" s="18">
        <v>-21494</v>
      </c>
      <c r="L37" s="18">
        <v>-5192</v>
      </c>
      <c r="M37" s="18">
        <v>-32261</v>
      </c>
      <c r="N37" s="18">
        <v>-21952</v>
      </c>
      <c r="O37" s="18">
        <v>-21744</v>
      </c>
      <c r="P37" s="18">
        <v>-23739</v>
      </c>
      <c r="Q37" s="19">
        <f>SUM(D37:P37)</f>
        <v>-240747</v>
      </c>
      <c r="R37" s="36">
        <f t="shared" ref="R37:R38" si="34">Q37/S37</f>
        <v>-266.59321189302921</v>
      </c>
      <c r="S37" s="47">
        <f t="shared" si="24"/>
        <v>903.05</v>
      </c>
      <c r="T37" s="18">
        <f>IFERROR((D37/$S37),0)</f>
        <v>0</v>
      </c>
      <c r="U37" s="18">
        <f>IFERROR((#REF!/$S37),0)</f>
        <v>0</v>
      </c>
      <c r="V37" s="18">
        <f>IFERROR((#REF!/$S37),0)</f>
        <v>0</v>
      </c>
      <c r="W37" s="18">
        <f>IFERROR((E37/$S37),0)</f>
        <v>-31.002713028071536</v>
      </c>
      <c r="X37" s="18">
        <f>IFERROR((F37/$S37),0)</f>
        <v>-7.8434195227285315</v>
      </c>
      <c r="Y37" s="18">
        <f>IFERROR((G37/$S37),0)</f>
        <v>-30.592990421349871</v>
      </c>
      <c r="Z37" s="18">
        <f>IFERROR((H37/$S37),0)</f>
        <v>-16.851780078622447</v>
      </c>
      <c r="AA37" s="18">
        <f>IFERROR((I37/$S37),0)</f>
        <v>-1.8027794695753281</v>
      </c>
      <c r="AB37" s="18">
        <f>IFERROR((J37/$S37),0)</f>
        <v>-38.549360500525999</v>
      </c>
      <c r="AC37" s="18">
        <f>IFERROR((K37/$S37),0)</f>
        <v>-23.80156137533913</v>
      </c>
      <c r="AD37" s="18">
        <f t="shared" si="31"/>
        <v>-5.7494047948618574</v>
      </c>
      <c r="AE37" s="18">
        <f t="shared" si="32"/>
        <v>-35.724489230939596</v>
      </c>
      <c r="AF37" s="18">
        <f>IFERROR((#REF!/$S37),0)</f>
        <v>0</v>
      </c>
      <c r="AG37" s="18">
        <f t="shared" ref="AG37:AG38" si="35">IFERROR((N37/$S37),0)</f>
        <v>-24.308731520956758</v>
      </c>
      <c r="AH37" s="18">
        <f t="shared" ref="AH37:AH38" si="36">IFERROR((O37/$S37),0)</f>
        <v>-24.07840097447539</v>
      </c>
      <c r="AI37" s="18">
        <f t="shared" ref="AI37:AI38" si="37">IFERROR((P37/$S37),0)</f>
        <v>-26.287580975582749</v>
      </c>
      <c r="AJ37" s="118">
        <f t="shared" ref="AJ37:AJ38" si="38">SUM(T37:AI37)</f>
        <v>-266.59321189302921</v>
      </c>
      <c r="AK37" s="1">
        <f t="shared" ref="AK37:AK38" si="39">+AJ37</f>
        <v>-266.59321189302921</v>
      </c>
      <c r="AL37" s="50">
        <f t="shared" ref="AL37:AL38" si="40">+R37-AJ37</f>
        <v>0</v>
      </c>
      <c r="AM37" s="51"/>
      <c r="AN37" t="s">
        <v>978</v>
      </c>
      <c r="AO37" t="b">
        <f>EXACT(B37,AN37)</f>
        <v>1</v>
      </c>
    </row>
    <row r="38" spans="1:41">
      <c r="A38" s="152">
        <f>SUMIF('Balanza ok'!D:D,B38,'Balanza ok'!B:B)</f>
        <v>702052</v>
      </c>
      <c r="B38" s="171" t="s">
        <v>979</v>
      </c>
      <c r="C38" s="227" t="s">
        <v>981</v>
      </c>
      <c r="D38" s="18">
        <v>0</v>
      </c>
      <c r="E38" s="18">
        <v>-251947</v>
      </c>
      <c r="F38" s="18">
        <v>-63734</v>
      </c>
      <c r="G38" s="18">
        <v>-255509</v>
      </c>
      <c r="H38" s="18">
        <v>-136944</v>
      </c>
      <c r="I38" s="18">
        <v>-30400</v>
      </c>
      <c r="J38" s="18">
        <v>-313308</v>
      </c>
      <c r="K38" s="18">
        <v>-199693</v>
      </c>
      <c r="L38" s="18">
        <v>-46727</v>
      </c>
      <c r="M38" s="18">
        <v>-290346</v>
      </c>
      <c r="N38" s="18">
        <v>-199937</v>
      </c>
      <c r="O38" s="18">
        <v>-195701</v>
      </c>
      <c r="P38" s="18">
        <v>-216739</v>
      </c>
      <c r="Q38" s="19">
        <f>SUM(D38:P38)</f>
        <v>-2200985</v>
      </c>
      <c r="R38" s="36">
        <f t="shared" si="34"/>
        <v>-2437.279220419689</v>
      </c>
      <c r="S38" s="47">
        <f t="shared" si="24"/>
        <v>903.05</v>
      </c>
      <c r="T38" s="18">
        <f>IFERROR((D38/$S38),0)</f>
        <v>0</v>
      </c>
      <c r="U38" s="18">
        <f>IFERROR((#REF!/$S38),0)</f>
        <v>0</v>
      </c>
      <c r="V38" s="18">
        <f>IFERROR((#REF!/$S38),0)</f>
        <v>0</v>
      </c>
      <c r="W38" s="18">
        <f>IFERROR((E38/$S38),0)</f>
        <v>-278.99562593433365</v>
      </c>
      <c r="X38" s="18">
        <f>IFERROR((F38/$S38),0)</f>
        <v>-70.576380045401692</v>
      </c>
      <c r="Y38" s="18">
        <f>IFERROR((G38/$S38),0)</f>
        <v>-282.9400365428271</v>
      </c>
      <c r="Z38" s="18">
        <f>IFERROR((H38/$S38),0)</f>
        <v>-151.64608825646422</v>
      </c>
      <c r="AA38" s="18">
        <f>IFERROR((I38/$S38),0)</f>
        <v>-33.663695254969269</v>
      </c>
      <c r="AB38" s="18">
        <f>IFERROR((J38/$S38),0)</f>
        <v>-346.944244504734</v>
      </c>
      <c r="AC38" s="18">
        <f>IFERROR((K38/$S38),0)</f>
        <v>-221.13172028126905</v>
      </c>
      <c r="AD38" s="18">
        <f t="shared" si="31"/>
        <v>-51.743535795360174</v>
      </c>
      <c r="AE38" s="18">
        <f t="shared" si="32"/>
        <v>-321.5170810032667</v>
      </c>
      <c r="AF38" s="18">
        <f>IFERROR((#REF!/$S38),0)</f>
        <v>0</v>
      </c>
      <c r="AG38" s="18">
        <f t="shared" si="35"/>
        <v>-221.40191573002605</v>
      </c>
      <c r="AH38" s="18">
        <f t="shared" si="36"/>
        <v>-216.71114556226124</v>
      </c>
      <c r="AI38" s="18">
        <f t="shared" si="37"/>
        <v>-240.00775150877584</v>
      </c>
      <c r="AJ38" s="118">
        <f t="shared" si="38"/>
        <v>-2437.279220419689</v>
      </c>
      <c r="AK38" s="1">
        <f t="shared" si="39"/>
        <v>-2437.279220419689</v>
      </c>
      <c r="AL38" s="50">
        <f t="shared" si="40"/>
        <v>0</v>
      </c>
      <c r="AM38" s="51"/>
      <c r="AN38" t="s">
        <v>979</v>
      </c>
      <c r="AO38" t="b">
        <f>EXACT(B38,AN38)</f>
        <v>1</v>
      </c>
    </row>
    <row r="39" spans="1:41">
      <c r="A39" s="152">
        <f>SUMIF('Balanza ok'!D:D,B39,'Balanza ok'!B:B)</f>
        <v>701004</v>
      </c>
      <c r="B39" s="171" t="s">
        <v>689</v>
      </c>
      <c r="C39" s="66" t="s">
        <v>288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9">
        <f>SUM(D39:P39)</f>
        <v>0</v>
      </c>
      <c r="R39" s="36">
        <f t="shared" si="18"/>
        <v>0</v>
      </c>
      <c r="S39" s="47">
        <f>+S36</f>
        <v>903.05</v>
      </c>
      <c r="T39" s="18">
        <f>IFERROR((D39/$S39),0)</f>
        <v>0</v>
      </c>
      <c r="U39" s="18">
        <f>IFERROR((#REF!/$S39),0)</f>
        <v>0</v>
      </c>
      <c r="V39" s="18">
        <f>IFERROR((#REF!/$S39),0)</f>
        <v>0</v>
      </c>
      <c r="W39" s="18">
        <f>IFERROR((E39/$S39),0)</f>
        <v>0</v>
      </c>
      <c r="X39" s="18">
        <f>IFERROR((F39/$S39),0)</f>
        <v>0</v>
      </c>
      <c r="Y39" s="18">
        <f>IFERROR((G39/$S39),0)</f>
        <v>0</v>
      </c>
      <c r="Z39" s="18">
        <f>IFERROR((H39/$S39),0)</f>
        <v>0</v>
      </c>
      <c r="AA39" s="18">
        <f>IFERROR((I39/$S39),0)</f>
        <v>0</v>
      </c>
      <c r="AB39" s="18">
        <f>IFERROR((J39/$S39),0)</f>
        <v>0</v>
      </c>
      <c r="AC39" s="18">
        <f>IFERROR((K39/$S39),0)</f>
        <v>0</v>
      </c>
      <c r="AD39" s="18">
        <f t="shared" si="31"/>
        <v>0</v>
      </c>
      <c r="AE39" s="18">
        <f t="shared" si="32"/>
        <v>0</v>
      </c>
      <c r="AF39" s="18">
        <f>IFERROR((#REF!/$S39),0)</f>
        <v>0</v>
      </c>
      <c r="AG39" s="18">
        <f t="shared" si="28"/>
        <v>0</v>
      </c>
      <c r="AH39" s="18">
        <f t="shared" si="29"/>
        <v>0</v>
      </c>
      <c r="AI39" s="18">
        <f t="shared" si="30"/>
        <v>0</v>
      </c>
      <c r="AJ39" s="118">
        <f t="shared" si="25"/>
        <v>0</v>
      </c>
      <c r="AK39" s="1">
        <f t="shared" si="33"/>
        <v>0</v>
      </c>
      <c r="AL39" s="50">
        <f t="shared" si="27"/>
        <v>0</v>
      </c>
      <c r="AM39" s="51"/>
      <c r="AN39" t="s">
        <v>689</v>
      </c>
      <c r="AO39" t="b">
        <f>EXACT(B39,AN39)</f>
        <v>1</v>
      </c>
    </row>
    <row r="40" spans="1:41">
      <c r="A40" s="152">
        <f>SUMIF('Balanza ok'!D:D,B40,'Balanza ok'!B:B)</f>
        <v>701028</v>
      </c>
      <c r="B40" s="171" t="s">
        <v>883</v>
      </c>
      <c r="C40" s="66" t="s">
        <v>880</v>
      </c>
      <c r="D40" s="18">
        <v>0</v>
      </c>
      <c r="E40" s="18">
        <v>-756319</v>
      </c>
      <c r="F40" s="18">
        <v>-470770</v>
      </c>
      <c r="G40" s="18">
        <v>-1034152</v>
      </c>
      <c r="H40" s="18">
        <v>0</v>
      </c>
      <c r="I40" s="18">
        <v>-7718</v>
      </c>
      <c r="J40" s="18">
        <v>-625126</v>
      </c>
      <c r="K40" s="18">
        <v>-493923</v>
      </c>
      <c r="L40" s="18">
        <v>0</v>
      </c>
      <c r="M40" s="18">
        <v>0</v>
      </c>
      <c r="N40" s="18">
        <v>-833493</v>
      </c>
      <c r="O40" s="18">
        <v>-725449</v>
      </c>
      <c r="P40" s="18">
        <v>-455337</v>
      </c>
      <c r="Q40" s="19">
        <f>SUM(D40:P40)</f>
        <v>-5402287</v>
      </c>
      <c r="R40" s="36">
        <f t="shared" si="18"/>
        <v>-5982.2678699961243</v>
      </c>
      <c r="S40" s="47">
        <f>+S39</f>
        <v>903.05</v>
      </c>
      <c r="T40" s="18">
        <f>IFERROR((D40/$S40),0)</f>
        <v>0</v>
      </c>
      <c r="U40" s="18">
        <f>IFERROR((#REF!/$S40),0)</f>
        <v>0</v>
      </c>
      <c r="V40" s="18">
        <f>IFERROR((#REF!/$S40),0)</f>
        <v>0</v>
      </c>
      <c r="W40" s="18">
        <f>IFERROR((E40/$S40),0)</f>
        <v>-837.51619511654951</v>
      </c>
      <c r="X40" s="18">
        <f>IFERROR((F40/$S40),0)</f>
        <v>-521.31111234150933</v>
      </c>
      <c r="Y40" s="18">
        <f>IFERROR((G40/$S40),0)</f>
        <v>-1145.1769005038482</v>
      </c>
      <c r="Z40" s="18">
        <f>IFERROR((H40/$S40),0)</f>
        <v>0</v>
      </c>
      <c r="AA40" s="18">
        <f>IFERROR((I40/$S40),0)</f>
        <v>-8.5465921045346338</v>
      </c>
      <c r="AB40" s="18">
        <f>IFERROR((J40/$S40),0)</f>
        <v>-692.23852499861584</v>
      </c>
      <c r="AC40" s="18">
        <f>IFERROR((K40/$S40),0)</f>
        <v>-546.94978129671676</v>
      </c>
      <c r="AD40" s="18">
        <f t="shared" si="31"/>
        <v>0</v>
      </c>
      <c r="AE40" s="18">
        <f t="shared" si="32"/>
        <v>0</v>
      </c>
      <c r="AF40" s="18">
        <f>IFERROR((#REF!/$S40),0)</f>
        <v>0</v>
      </c>
      <c r="AG40" s="18">
        <f t="shared" si="28"/>
        <v>-922.97547201151656</v>
      </c>
      <c r="AH40" s="18">
        <f t="shared" si="29"/>
        <v>-803.33204141520412</v>
      </c>
      <c r="AI40" s="18">
        <f t="shared" si="30"/>
        <v>-504.22125020762974</v>
      </c>
      <c r="AJ40" s="118">
        <f t="shared" si="25"/>
        <v>-5982.2678699961243</v>
      </c>
      <c r="AK40" s="1">
        <f t="shared" si="33"/>
        <v>-5982.2678699961243</v>
      </c>
      <c r="AL40" s="50">
        <f t="shared" si="27"/>
        <v>0</v>
      </c>
      <c r="AM40" s="51"/>
      <c r="AN40" t="s">
        <v>883</v>
      </c>
      <c r="AO40" t="b">
        <f>EXACT(B40,AN40)</f>
        <v>1</v>
      </c>
    </row>
    <row r="41" spans="1:41">
      <c r="A41" s="152">
        <f>SUMIF('Balanza ok'!D:D,B41,'Balanza ok'!B:B)</f>
        <v>701009</v>
      </c>
      <c r="B41" s="171" t="s">
        <v>701</v>
      </c>
      <c r="C41" s="66" t="s">
        <v>22</v>
      </c>
      <c r="D41" s="18">
        <v>0</v>
      </c>
      <c r="E41" s="18">
        <v>-678344</v>
      </c>
      <c r="F41" s="18">
        <v>-237589</v>
      </c>
      <c r="G41" s="18">
        <v>-549134</v>
      </c>
      <c r="H41" s="18">
        <v>0</v>
      </c>
      <c r="I41" s="18">
        <v>-80923</v>
      </c>
      <c r="J41" s="18">
        <v>-1189945</v>
      </c>
      <c r="K41" s="18">
        <v>-405019</v>
      </c>
      <c r="L41" s="18">
        <v>0</v>
      </c>
      <c r="M41" s="18">
        <v>-1170652</v>
      </c>
      <c r="N41" s="18">
        <v>-447565</v>
      </c>
      <c r="O41" s="18">
        <v>-337145</v>
      </c>
      <c r="P41" s="18">
        <v>-495606</v>
      </c>
      <c r="Q41" s="19">
        <f>SUM(D41:P41)</f>
        <v>-5591922</v>
      </c>
      <c r="R41" s="36">
        <f t="shared" si="18"/>
        <v>-6192.2617795249434</v>
      </c>
      <c r="S41" s="47">
        <f t="shared" si="24"/>
        <v>903.05</v>
      </c>
      <c r="T41" s="18">
        <f>IFERROR((D41/$S41),0)</f>
        <v>0</v>
      </c>
      <c r="U41" s="18">
        <f>IFERROR((#REF!/$S41),0)</f>
        <v>0</v>
      </c>
      <c r="V41" s="18">
        <f>IFERROR((#REF!/$S41),0)</f>
        <v>0</v>
      </c>
      <c r="W41" s="18">
        <f>IFERROR((E41/$S41),0)</f>
        <v>-751.16992414594984</v>
      </c>
      <c r="X41" s="18">
        <f>IFERROR((F41/$S41),0)</f>
        <v>-263.09617407673994</v>
      </c>
      <c r="Y41" s="18">
        <f>IFERROR((G41/$S41),0)</f>
        <v>-608.08814572836502</v>
      </c>
      <c r="Z41" s="18">
        <f>IFERROR((H41/$S41),0)</f>
        <v>0</v>
      </c>
      <c r="AA41" s="18">
        <f>IFERROR((I41/$S41),0)</f>
        <v>-89.610763523614423</v>
      </c>
      <c r="AB41" s="18">
        <f>IFERROR((J41/$S41),0)</f>
        <v>-1317.6955871767898</v>
      </c>
      <c r="AC41" s="18">
        <f>IFERROR((K41/$S41),0)</f>
        <v>-448.50119041027631</v>
      </c>
      <c r="AD41" s="18">
        <f t="shared" si="31"/>
        <v>0</v>
      </c>
      <c r="AE41" s="18">
        <f t="shared" si="32"/>
        <v>-1296.3313216322463</v>
      </c>
      <c r="AF41" s="18">
        <f>IFERROR((#REF!/$S41),0)</f>
        <v>0</v>
      </c>
      <c r="AG41" s="18">
        <f t="shared" si="28"/>
        <v>-495.61486074968167</v>
      </c>
      <c r="AH41" s="18">
        <f t="shared" si="29"/>
        <v>-373.34034660317815</v>
      </c>
      <c r="AI41" s="18">
        <f t="shared" si="30"/>
        <v>-548.81346547810199</v>
      </c>
      <c r="AJ41" s="118">
        <f t="shared" si="25"/>
        <v>-6192.2617795249425</v>
      </c>
      <c r="AK41" s="1">
        <f t="shared" si="33"/>
        <v>-6192.2617795249425</v>
      </c>
      <c r="AL41" s="50">
        <f t="shared" si="27"/>
        <v>0</v>
      </c>
      <c r="AM41" s="51"/>
      <c r="AN41" t="s">
        <v>701</v>
      </c>
      <c r="AO41" t="b">
        <f>EXACT(B41,AN41)</f>
        <v>1</v>
      </c>
    </row>
    <row r="42" spans="1:41">
      <c r="A42" s="183">
        <f>SUMIF('Balanza ok'!D:D,B42,'Balanza ok'!B:B)</f>
        <v>701013</v>
      </c>
      <c r="B42" s="171" t="s">
        <v>696</v>
      </c>
      <c r="C42" s="66" t="s">
        <v>21</v>
      </c>
      <c r="D42" s="18">
        <v>0</v>
      </c>
      <c r="E42" s="18">
        <v>-3028261</v>
      </c>
      <c r="F42" s="18">
        <v>-989208</v>
      </c>
      <c r="G42" s="18">
        <v>-2231239</v>
      </c>
      <c r="H42" s="18">
        <v>0</v>
      </c>
      <c r="I42" s="18">
        <v>-360252</v>
      </c>
      <c r="J42" s="18">
        <v>-5199117</v>
      </c>
      <c r="K42" s="18">
        <v>-1779090</v>
      </c>
      <c r="L42" s="18">
        <v>0</v>
      </c>
      <c r="M42" s="18">
        <v>-4443222</v>
      </c>
      <c r="N42" s="18">
        <v>-1696561</v>
      </c>
      <c r="O42" s="18">
        <v>-1452179</v>
      </c>
      <c r="P42" s="18">
        <v>-2110592</v>
      </c>
      <c r="Q42" s="19">
        <f>SUM(D42:P42)</f>
        <v>-23289721</v>
      </c>
      <c r="R42" s="36">
        <f t="shared" si="18"/>
        <v>-25790.068102541391</v>
      </c>
      <c r="S42" s="47">
        <f t="shared" si="24"/>
        <v>903.05</v>
      </c>
      <c r="T42" s="18">
        <f>IFERROR((D42/$S42),0)</f>
        <v>0</v>
      </c>
      <c r="U42" s="18">
        <f>IFERROR((#REF!/$S42),0)</f>
        <v>0</v>
      </c>
      <c r="V42" s="18">
        <f>IFERROR((#REF!/$S42),0)</f>
        <v>0</v>
      </c>
      <c r="W42" s="18">
        <f>IFERROR((E42/$S42),0)</f>
        <v>-3353.3702452798848</v>
      </c>
      <c r="X42" s="18">
        <f>IFERROR((F42/$S42),0)</f>
        <v>-1095.4077847295277</v>
      </c>
      <c r="Y42" s="18">
        <f>IFERROR((G42/$S42),0)</f>
        <v>-2470.7812413487627</v>
      </c>
      <c r="Z42" s="18">
        <f>IFERROR((H42/$S42),0)</f>
        <v>0</v>
      </c>
      <c r="AA42" s="18">
        <f>IFERROR((I42/$S42),0)</f>
        <v>-398.92807707214445</v>
      </c>
      <c r="AB42" s="18">
        <f>IFERROR((J42/$S42),0)</f>
        <v>-5757.285864570068</v>
      </c>
      <c r="AC42" s="18">
        <f>IFERROR((K42/$S42),0)</f>
        <v>-1970.0902497093184</v>
      </c>
      <c r="AD42" s="18">
        <f t="shared" si="31"/>
        <v>0</v>
      </c>
      <c r="AE42" s="18">
        <f t="shared" si="32"/>
        <v>-4920.2391894136535</v>
      </c>
      <c r="AF42" s="18">
        <f>IFERROR((#REF!/$S42),0)</f>
        <v>0</v>
      </c>
      <c r="AG42" s="18">
        <f t="shared" si="28"/>
        <v>-1878.7010686008528</v>
      </c>
      <c r="AH42" s="18">
        <f t="shared" si="29"/>
        <v>-1608.0826089363823</v>
      </c>
      <c r="AI42" s="18">
        <f t="shared" si="30"/>
        <v>-2337.1817728807928</v>
      </c>
      <c r="AJ42" s="118">
        <f t="shared" si="25"/>
        <v>-25790.068102541387</v>
      </c>
      <c r="AK42" s="1">
        <f t="shared" si="33"/>
        <v>-25790.068102541387</v>
      </c>
      <c r="AL42" s="50">
        <f t="shared" si="27"/>
        <v>0</v>
      </c>
      <c r="AM42" s="51"/>
      <c r="AN42" t="s">
        <v>696</v>
      </c>
      <c r="AO42" t="b">
        <f>EXACT(B42,AN42)</f>
        <v>1</v>
      </c>
    </row>
    <row r="43" spans="1:41">
      <c r="A43" s="59">
        <f>SUMIF('Balanza ok'!D:D,B43,'Balanza ok'!B:B)</f>
        <v>704083</v>
      </c>
      <c r="B43" s="171" t="s">
        <v>708</v>
      </c>
      <c r="C43" s="2" t="s">
        <v>28</v>
      </c>
      <c r="D43" s="18">
        <v>0</v>
      </c>
      <c r="E43" s="18">
        <v>-1184946</v>
      </c>
      <c r="F43" s="18">
        <v>-229140</v>
      </c>
      <c r="G43" s="18">
        <v>-987223</v>
      </c>
      <c r="H43" s="18">
        <v>-428691</v>
      </c>
      <c r="I43" s="18">
        <v>-62000</v>
      </c>
      <c r="J43" s="18">
        <v>-1290879</v>
      </c>
      <c r="K43" s="18">
        <v>-843943</v>
      </c>
      <c r="L43" s="18">
        <v>-278975</v>
      </c>
      <c r="M43" s="18">
        <v>-1206733</v>
      </c>
      <c r="N43" s="18">
        <v>-825957</v>
      </c>
      <c r="O43" s="18">
        <v>-758701</v>
      </c>
      <c r="P43" s="18">
        <v>-888978</v>
      </c>
      <c r="Q43" s="19">
        <f>SUM(D43:P43)</f>
        <v>-8986166</v>
      </c>
      <c r="R43" s="36">
        <f t="shared" si="18"/>
        <v>-9950.9063728475721</v>
      </c>
      <c r="S43" s="47">
        <f t="shared" si="24"/>
        <v>903.05</v>
      </c>
      <c r="T43" s="18">
        <f>IFERROR((D43/$S43),0)</f>
        <v>0</v>
      </c>
      <c r="U43" s="18">
        <f>IFERROR((#REF!/$S43),0)</f>
        <v>0</v>
      </c>
      <c r="V43" s="18">
        <f>IFERROR((#REF!/$S43),0)</f>
        <v>0</v>
      </c>
      <c r="W43" s="18">
        <f>IFERROR((E43/$S43),0)</f>
        <v>-1312.1599025524611</v>
      </c>
      <c r="X43" s="18">
        <f>IFERROR((F43/$S43),0)</f>
        <v>-253.74010298433089</v>
      </c>
      <c r="Y43" s="18">
        <f>IFERROR((G43/$S43),0)</f>
        <v>-1093.2096783123859</v>
      </c>
      <c r="Z43" s="18">
        <f>IFERROR((H43/$S43),0)</f>
        <v>-474.71457837329052</v>
      </c>
      <c r="AA43" s="18">
        <f>IFERROR((I43/$S43),0)</f>
        <v>-68.656220585792596</v>
      </c>
      <c r="AB43" s="18">
        <f>IFERROR((J43/$S43),0)</f>
        <v>-1429.4656995736671</v>
      </c>
      <c r="AC43" s="18">
        <f>IFERROR((K43/$S43),0)</f>
        <v>-934.54736725541227</v>
      </c>
      <c r="AD43" s="18">
        <f t="shared" si="31"/>
        <v>-308.92530867615307</v>
      </c>
      <c r="AE43" s="18">
        <f t="shared" si="32"/>
        <v>-1336.285919937988</v>
      </c>
      <c r="AF43" s="18">
        <f>IFERROR((#REF!/$S43),0)</f>
        <v>0</v>
      </c>
      <c r="AG43" s="18">
        <f t="shared" si="28"/>
        <v>-914.63041913515315</v>
      </c>
      <c r="AH43" s="18">
        <f t="shared" si="29"/>
        <v>-840.15392281711979</v>
      </c>
      <c r="AI43" s="18">
        <f t="shared" si="30"/>
        <v>-984.41725264381819</v>
      </c>
      <c r="AJ43" s="118">
        <f t="shared" si="25"/>
        <v>-9950.9063728475721</v>
      </c>
      <c r="AK43" s="1">
        <f t="shared" si="33"/>
        <v>-9950.9063728475721</v>
      </c>
      <c r="AL43" s="50">
        <f t="shared" si="27"/>
        <v>0</v>
      </c>
      <c r="AM43" s="51"/>
      <c r="AN43" t="s">
        <v>708</v>
      </c>
      <c r="AO43" t="b">
        <f>EXACT(B43,AN43)</f>
        <v>1</v>
      </c>
    </row>
    <row r="44" spans="1:41">
      <c r="A44" s="59">
        <f>SUMIF('Balanza ok'!D:D,B44,'Balanza ok'!B:B)</f>
        <v>704086</v>
      </c>
      <c r="B44" s="171" t="s">
        <v>763</v>
      </c>
      <c r="C44" s="2" t="s">
        <v>27</v>
      </c>
      <c r="D44" s="18">
        <v>0</v>
      </c>
      <c r="E44" s="18">
        <v>-1184946</v>
      </c>
      <c r="F44" s="18">
        <v>-231000</v>
      </c>
      <c r="G44" s="18">
        <v>-985363</v>
      </c>
      <c r="H44" s="18">
        <v>-428691</v>
      </c>
      <c r="I44" s="18">
        <v>-62000</v>
      </c>
      <c r="J44" s="18">
        <v>-1290879</v>
      </c>
      <c r="K44" s="18">
        <v>-843943</v>
      </c>
      <c r="L44" s="18">
        <v>-278975</v>
      </c>
      <c r="M44" s="18">
        <v>-1206733</v>
      </c>
      <c r="N44" s="18">
        <v>-825957</v>
      </c>
      <c r="O44" s="18">
        <v>-758701</v>
      </c>
      <c r="P44" s="18">
        <v>-888978</v>
      </c>
      <c r="Q44" s="19">
        <f>SUM(D44:P44)</f>
        <v>-8986166</v>
      </c>
      <c r="R44" s="36">
        <f t="shared" si="18"/>
        <v>-9950.9063728475721</v>
      </c>
      <c r="S44" s="47">
        <f t="shared" si="24"/>
        <v>903.05</v>
      </c>
      <c r="T44" s="18">
        <f>IFERROR((D44/$S44),0)</f>
        <v>0</v>
      </c>
      <c r="U44" s="18">
        <f>IFERROR((#REF!/$S44),0)</f>
        <v>0</v>
      </c>
      <c r="V44" s="18">
        <f>IFERROR((#REF!/$S44),0)</f>
        <v>0</v>
      </c>
      <c r="W44" s="18">
        <f>IFERROR((E44/$S44),0)</f>
        <v>-1312.1599025524611</v>
      </c>
      <c r="X44" s="18">
        <f>IFERROR((F44/$S44),0)</f>
        <v>-255.79978960190468</v>
      </c>
      <c r="Y44" s="18">
        <f>IFERROR((G44/$S44),0)</f>
        <v>-1091.1499916948121</v>
      </c>
      <c r="Z44" s="18">
        <f>IFERROR((H44/$S44),0)</f>
        <v>-474.71457837329052</v>
      </c>
      <c r="AA44" s="18">
        <f>IFERROR((I44/$S44),0)</f>
        <v>-68.656220585792596</v>
      </c>
      <c r="AB44" s="18">
        <f>IFERROR((J44/$S44),0)</f>
        <v>-1429.4656995736671</v>
      </c>
      <c r="AC44" s="18">
        <f>IFERROR((K44/$S44),0)</f>
        <v>-934.54736725541227</v>
      </c>
      <c r="AD44" s="18">
        <f t="shared" si="31"/>
        <v>-308.92530867615307</v>
      </c>
      <c r="AE44" s="18">
        <f t="shared" si="32"/>
        <v>-1336.285919937988</v>
      </c>
      <c r="AF44" s="18">
        <f>IFERROR((#REF!/$S44),0)</f>
        <v>0</v>
      </c>
      <c r="AG44" s="18">
        <f t="shared" si="28"/>
        <v>-914.63041913515315</v>
      </c>
      <c r="AH44" s="18">
        <f t="shared" si="29"/>
        <v>-840.15392281711979</v>
      </c>
      <c r="AI44" s="18">
        <f t="shared" si="30"/>
        <v>-984.41725264381819</v>
      </c>
      <c r="AJ44" s="118">
        <f t="shared" si="25"/>
        <v>-9950.9063728475721</v>
      </c>
      <c r="AK44" s="1">
        <f t="shared" si="33"/>
        <v>-9950.9063728475721</v>
      </c>
      <c r="AL44" s="50">
        <f t="shared" si="27"/>
        <v>0</v>
      </c>
      <c r="AM44" s="51"/>
      <c r="AN44" t="s">
        <v>763</v>
      </c>
      <c r="AO44" t="b">
        <f>EXACT(B44,AN44)</f>
        <v>1</v>
      </c>
    </row>
    <row r="45" spans="1:41">
      <c r="A45" s="59">
        <f>SUMIF('Balanza ok'!D:D,B45,'Balanza ok'!B:B)</f>
        <v>712362</v>
      </c>
      <c r="B45" s="171" t="s">
        <v>735</v>
      </c>
      <c r="C45" s="2" t="s">
        <v>24</v>
      </c>
      <c r="D45" s="18">
        <v>-50143</v>
      </c>
      <c r="E45" s="18">
        <v>-476275</v>
      </c>
      <c r="F45" s="18">
        <v>-229667</v>
      </c>
      <c r="G45" s="18">
        <v>-339542</v>
      </c>
      <c r="H45" s="18">
        <v>0</v>
      </c>
      <c r="I45" s="18">
        <v>-29980</v>
      </c>
      <c r="J45" s="18">
        <v>-559442</v>
      </c>
      <c r="K45" s="18">
        <v>-492897</v>
      </c>
      <c r="L45" s="18">
        <v>0</v>
      </c>
      <c r="M45" s="18">
        <v>-466462</v>
      </c>
      <c r="N45" s="18">
        <v>-538872</v>
      </c>
      <c r="O45" s="18">
        <v>-491024</v>
      </c>
      <c r="P45" s="18">
        <v>-406541</v>
      </c>
      <c r="Q45" s="19">
        <f>SUM(D45:P45)</f>
        <v>-4080845</v>
      </c>
      <c r="R45" s="36">
        <f t="shared" si="18"/>
        <v>-4518.9579757488509</v>
      </c>
      <c r="S45" s="47">
        <f t="shared" si="24"/>
        <v>903.05</v>
      </c>
      <c r="T45" s="18">
        <f>IFERROR((D45/$S45),0)</f>
        <v>-55.526272077958033</v>
      </c>
      <c r="U45" s="18">
        <f>IFERROR((#REF!/$S45),0)</f>
        <v>0</v>
      </c>
      <c r="V45" s="18">
        <f>IFERROR((#REF!/$S45),0)</f>
        <v>0</v>
      </c>
      <c r="W45" s="18">
        <f>IFERROR((E45/$S45),0)</f>
        <v>-527.40712031448982</v>
      </c>
      <c r="X45" s="18">
        <f>IFERROR((F45/$S45),0)</f>
        <v>-254.32368085931012</v>
      </c>
      <c r="Y45" s="18">
        <f>IFERROR((G45/$S45),0)</f>
        <v>-375.9946846796966</v>
      </c>
      <c r="Z45" s="18">
        <f>IFERROR((H45/$S45),0)</f>
        <v>0</v>
      </c>
      <c r="AA45" s="18">
        <f>IFERROR((I45/$S45),0)</f>
        <v>-33.198604728420356</v>
      </c>
      <c r="AB45" s="18">
        <f>IFERROR((J45/$S45),0)</f>
        <v>-619.50279607995128</v>
      </c>
      <c r="AC45" s="18">
        <f>IFERROR((K45/$S45),0)</f>
        <v>-545.8136315818615</v>
      </c>
      <c r="AD45" s="18">
        <f t="shared" si="31"/>
        <v>0</v>
      </c>
      <c r="AE45" s="18">
        <f t="shared" si="32"/>
        <v>-516.54061236919335</v>
      </c>
      <c r="AF45" s="18">
        <f>IFERROR((#REF!/$S45),0)</f>
        <v>0</v>
      </c>
      <c r="AG45" s="18">
        <f t="shared" si="28"/>
        <v>-596.72443386301984</v>
      </c>
      <c r="AH45" s="18">
        <f t="shared" si="29"/>
        <v>-543.73954930513264</v>
      </c>
      <c r="AI45" s="18">
        <f t="shared" si="30"/>
        <v>-450.18658988981787</v>
      </c>
      <c r="AJ45" s="118">
        <f t="shared" si="25"/>
        <v>-4518.9579757488518</v>
      </c>
      <c r="AK45" s="1">
        <f t="shared" si="33"/>
        <v>-4518.9579757488518</v>
      </c>
      <c r="AL45" s="50">
        <f t="shared" si="27"/>
        <v>0</v>
      </c>
      <c r="AM45" s="51"/>
      <c r="AN45" t="s">
        <v>735</v>
      </c>
      <c r="AO45" t="b">
        <f>EXACT(B45,AN45)</f>
        <v>1</v>
      </c>
    </row>
    <row r="46" spans="1:41">
      <c r="A46" s="59">
        <f>SUMIF('Balanza ok'!D:D,B46,'Balanza ok'!B:B)</f>
        <v>706111</v>
      </c>
      <c r="B46" s="171" t="s">
        <v>710</v>
      </c>
      <c r="C46" s="2" t="s">
        <v>20</v>
      </c>
      <c r="D46" s="18">
        <v>0</v>
      </c>
      <c r="E46" s="18">
        <v>-904489</v>
      </c>
      <c r="F46" s="18">
        <v>-291302</v>
      </c>
      <c r="G46" s="18">
        <v>-931681</v>
      </c>
      <c r="H46" s="18">
        <v>0</v>
      </c>
      <c r="I46" s="18">
        <v>-2442000</v>
      </c>
      <c r="J46" s="18">
        <v>-904490</v>
      </c>
      <c r="K46" s="18">
        <v>-904490</v>
      </c>
      <c r="L46" s="18">
        <v>0</v>
      </c>
      <c r="M46" s="18">
        <v>-904487</v>
      </c>
      <c r="N46" s="18">
        <v>-904487</v>
      </c>
      <c r="O46" s="18">
        <v>-904487</v>
      </c>
      <c r="P46" s="18">
        <v>-904487</v>
      </c>
      <c r="Q46" s="19">
        <f>SUM(D46:P46)</f>
        <v>-9996400</v>
      </c>
      <c r="R46" s="36">
        <f t="shared" si="18"/>
        <v>-11069.597475222856</v>
      </c>
      <c r="S46" s="47">
        <f t="shared" si="24"/>
        <v>903.05</v>
      </c>
      <c r="T46" s="18">
        <f>IFERROR((D46/$S46),0)</f>
        <v>0</v>
      </c>
      <c r="U46" s="18">
        <f>IFERROR((#REF!/$S46),0)</f>
        <v>0</v>
      </c>
      <c r="V46" s="18">
        <f>IFERROR((#REF!/$S46),0)</f>
        <v>0</v>
      </c>
      <c r="W46" s="18">
        <f>IFERROR((E46/$S46),0)</f>
        <v>-1001.5934887326283</v>
      </c>
      <c r="X46" s="18">
        <f>IFERROR((F46/$S46),0)</f>
        <v>-322.57571563036379</v>
      </c>
      <c r="Y46" s="18">
        <f>IFERROR((G46/$S46),0)</f>
        <v>-1031.7047782514812</v>
      </c>
      <c r="Z46" s="18">
        <f>IFERROR((H46/$S46),0)</f>
        <v>0</v>
      </c>
      <c r="AA46" s="18">
        <f>IFERROR((I46/$S46),0)</f>
        <v>-2704.1692043629923</v>
      </c>
      <c r="AB46" s="18">
        <f>IFERROR((J46/$S46),0)</f>
        <v>-1001.5945960910249</v>
      </c>
      <c r="AC46" s="18">
        <f>IFERROR((K46/$S46),0)</f>
        <v>-1001.5945960910249</v>
      </c>
      <c r="AD46" s="18">
        <f t="shared" si="31"/>
        <v>0</v>
      </c>
      <c r="AE46" s="18">
        <f t="shared" si="32"/>
        <v>-1001.5912740158353</v>
      </c>
      <c r="AF46" s="18">
        <f>IFERROR((#REF!/$S46),0)</f>
        <v>0</v>
      </c>
      <c r="AG46" s="18">
        <f t="shared" si="28"/>
        <v>-1001.5912740158353</v>
      </c>
      <c r="AH46" s="18">
        <f t="shared" si="29"/>
        <v>-1001.5912740158353</v>
      </c>
      <c r="AI46" s="18">
        <f t="shared" si="30"/>
        <v>-1001.5912740158353</v>
      </c>
      <c r="AJ46" s="118">
        <f t="shared" si="25"/>
        <v>-11069.597475222856</v>
      </c>
      <c r="AK46" s="1">
        <f t="shared" si="33"/>
        <v>-11069.597475222856</v>
      </c>
      <c r="AL46" s="50">
        <f t="shared" si="27"/>
        <v>0</v>
      </c>
      <c r="AM46" s="51"/>
      <c r="AN46" t="s">
        <v>710</v>
      </c>
      <c r="AO46" t="b">
        <f>EXACT(B46,AN46)</f>
        <v>1</v>
      </c>
    </row>
    <row r="47" spans="1:41">
      <c r="A47" s="174">
        <f>SUMIF('Balanza ok'!D:D,B47,'Balanza ok'!B:B)</f>
        <v>706112</v>
      </c>
      <c r="B47" s="171" t="s">
        <v>713</v>
      </c>
      <c r="C47" s="2" t="s">
        <v>19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-14800624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9">
        <f>SUM(D47:P47)</f>
        <v>-14800624</v>
      </c>
      <c r="R47" s="36">
        <f t="shared" si="18"/>
        <v>-16389.595260506063</v>
      </c>
      <c r="S47" s="47">
        <f t="shared" si="24"/>
        <v>903.05</v>
      </c>
      <c r="T47" s="18">
        <f>IFERROR((D47/$S47),0)</f>
        <v>0</v>
      </c>
      <c r="U47" s="18">
        <f>IFERROR((#REF!/$S47),0)</f>
        <v>0</v>
      </c>
      <c r="V47" s="18">
        <f>IFERROR((#REF!/$S47),0)</f>
        <v>0</v>
      </c>
      <c r="W47" s="18">
        <f>IFERROR((E47/$S47),0)</f>
        <v>0</v>
      </c>
      <c r="X47" s="18">
        <f>IFERROR((F47/$S47),0)</f>
        <v>0</v>
      </c>
      <c r="Y47" s="18">
        <f>IFERROR((G47/$S47),0)</f>
        <v>0</v>
      </c>
      <c r="Z47" s="18">
        <f>IFERROR((H47/$S47),0)</f>
        <v>0</v>
      </c>
      <c r="AA47" s="18">
        <f>IFERROR((I47/$S47),0)</f>
        <v>-16389.595260506063</v>
      </c>
      <c r="AB47" s="18">
        <f>IFERROR((J47/$S47),0)</f>
        <v>0</v>
      </c>
      <c r="AC47" s="18">
        <f>IFERROR((K47/$S47),0)</f>
        <v>0</v>
      </c>
      <c r="AD47" s="18">
        <f t="shared" si="31"/>
        <v>0</v>
      </c>
      <c r="AE47" s="18">
        <f t="shared" si="32"/>
        <v>0</v>
      </c>
      <c r="AF47" s="18">
        <f>IFERROR((#REF!/$S47),0)</f>
        <v>0</v>
      </c>
      <c r="AG47" s="18">
        <f t="shared" si="28"/>
        <v>0</v>
      </c>
      <c r="AH47" s="18">
        <f t="shared" si="29"/>
        <v>0</v>
      </c>
      <c r="AI47" s="18">
        <f t="shared" si="30"/>
        <v>0</v>
      </c>
      <c r="AJ47" s="118">
        <f t="shared" si="25"/>
        <v>-16389.595260506063</v>
      </c>
      <c r="AK47" s="1">
        <f t="shared" si="33"/>
        <v>-16389.595260506063</v>
      </c>
      <c r="AL47" s="50">
        <f t="shared" si="27"/>
        <v>0</v>
      </c>
      <c r="AM47" s="51"/>
      <c r="AN47" t="s">
        <v>713</v>
      </c>
      <c r="AO47" t="b">
        <f>EXACT(B47,AN47)</f>
        <v>1</v>
      </c>
    </row>
    <row r="48" spans="1:41">
      <c r="A48" s="174">
        <f>SUMIF('Balanza ok'!D:D,B48,'Balanza ok'!B:B)</f>
        <v>706112</v>
      </c>
      <c r="B48" s="171" t="s">
        <v>738</v>
      </c>
      <c r="C48" s="2" t="s">
        <v>487</v>
      </c>
      <c r="D48" s="18">
        <v>0</v>
      </c>
      <c r="E48" s="18">
        <v>0</v>
      </c>
      <c r="F48" s="18">
        <v>0</v>
      </c>
      <c r="G48" s="18">
        <v>0</v>
      </c>
      <c r="H48" s="18">
        <v>-769896</v>
      </c>
      <c r="I48" s="18">
        <v>-500932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9">
        <f>SUM(D48:P48)</f>
        <v>-1270828</v>
      </c>
      <c r="R48" s="36">
        <f t="shared" si="18"/>
        <v>-1407.2620563645426</v>
      </c>
      <c r="S48" s="47">
        <f t="shared" si="24"/>
        <v>903.05</v>
      </c>
      <c r="T48" s="18">
        <f>IFERROR((D48/$S48),0)</f>
        <v>0</v>
      </c>
      <c r="U48" s="18">
        <f>IFERROR((#REF!/$S48),0)</f>
        <v>0</v>
      </c>
      <c r="V48" s="18">
        <f>IFERROR((#REF!/$S48),0)</f>
        <v>0</v>
      </c>
      <c r="W48" s="18">
        <f>IFERROR((E48/$S48),0)</f>
        <v>0</v>
      </c>
      <c r="X48" s="18">
        <f>IFERROR((F48/$S48),0)</f>
        <v>0</v>
      </c>
      <c r="Y48" s="18">
        <f>IFERROR((G48/$S48),0)</f>
        <v>0</v>
      </c>
      <c r="Z48" s="18">
        <f>IFERROR((H48/$S48),0)</f>
        <v>-852.55080006644152</v>
      </c>
      <c r="AA48" s="18">
        <f>IFERROR((I48/$S48),0)</f>
        <v>-554.71125629810092</v>
      </c>
      <c r="AB48" s="18">
        <f>IFERROR((J48/$S48),0)</f>
        <v>0</v>
      </c>
      <c r="AC48" s="18">
        <f>IFERROR((K48/$S48),0)</f>
        <v>0</v>
      </c>
      <c r="AD48" s="18">
        <f t="shared" si="31"/>
        <v>0</v>
      </c>
      <c r="AE48" s="18">
        <f t="shared" si="32"/>
        <v>0</v>
      </c>
      <c r="AF48" s="18">
        <f>IFERROR((#REF!/$S48),0)</f>
        <v>0</v>
      </c>
      <c r="AG48" s="18">
        <f t="shared" si="28"/>
        <v>0</v>
      </c>
      <c r="AH48" s="18">
        <f t="shared" si="29"/>
        <v>0</v>
      </c>
      <c r="AI48" s="18">
        <f t="shared" si="30"/>
        <v>0</v>
      </c>
      <c r="AJ48" s="118">
        <f t="shared" si="25"/>
        <v>-1407.2620563645423</v>
      </c>
      <c r="AK48" s="1">
        <f t="shared" si="33"/>
        <v>-1407.2620563645423</v>
      </c>
      <c r="AL48" s="50">
        <f t="shared" si="27"/>
        <v>0</v>
      </c>
      <c r="AM48" s="51"/>
      <c r="AN48" t="s">
        <v>738</v>
      </c>
      <c r="AO48" t="b">
        <f>EXACT(B48,AN48)</f>
        <v>1</v>
      </c>
    </row>
    <row r="49" spans="1:41">
      <c r="A49" s="174">
        <f>SUMIF('Balanza ok'!D:D,B49,'Balanza ok'!B:B)</f>
        <v>706111</v>
      </c>
      <c r="B49" s="171" t="s">
        <v>711</v>
      </c>
      <c r="C49" s="2" t="s">
        <v>590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-1886536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9">
        <f>SUM(D49:P49)</f>
        <v>-1886536</v>
      </c>
      <c r="R49" s="36">
        <f t="shared" ref="R49" si="41">Q49/S49</f>
        <v>-2089.0714799844973</v>
      </c>
      <c r="S49" s="47">
        <f t="shared" si="24"/>
        <v>903.05</v>
      </c>
      <c r="T49" s="18">
        <f>IFERROR((D49/$S49),0)</f>
        <v>0</v>
      </c>
      <c r="U49" s="18">
        <f>IFERROR((#REF!/$S49),0)</f>
        <v>0</v>
      </c>
      <c r="V49" s="18">
        <f>IFERROR((#REF!/$S49),0)</f>
        <v>0</v>
      </c>
      <c r="W49" s="18">
        <f>IFERROR((E49/$S49),0)</f>
        <v>0</v>
      </c>
      <c r="X49" s="18">
        <f>IFERROR((F49/$S49),0)</f>
        <v>0</v>
      </c>
      <c r="Y49" s="18">
        <f>IFERROR((G49/$S49),0)</f>
        <v>0</v>
      </c>
      <c r="Z49" s="18">
        <f>IFERROR((H49/$S49),0)</f>
        <v>0</v>
      </c>
      <c r="AA49" s="18">
        <f>IFERROR((I49/$S49),0)</f>
        <v>-2089.0714799844973</v>
      </c>
      <c r="AB49" s="18">
        <f>IFERROR((J49/$S49),0)</f>
        <v>0</v>
      </c>
      <c r="AC49" s="18">
        <f>IFERROR((K49/$S49),0)</f>
        <v>0</v>
      </c>
      <c r="AD49" s="18">
        <f t="shared" ref="AD49" si="42">IFERROR((L49/$S49),0)</f>
        <v>0</v>
      </c>
      <c r="AE49" s="18">
        <f t="shared" ref="AE49" si="43">IFERROR((M49/$S49),0)</f>
        <v>0</v>
      </c>
      <c r="AF49" s="18">
        <f>IFERROR((#REF!/$S49),0)</f>
        <v>0</v>
      </c>
      <c r="AG49" s="18">
        <f t="shared" ref="AG49" si="44">IFERROR((N49/$S49),0)</f>
        <v>0</v>
      </c>
      <c r="AH49" s="18">
        <f t="shared" ref="AH49" si="45">IFERROR((O49/$S49),0)</f>
        <v>0</v>
      </c>
      <c r="AI49" s="18">
        <f t="shared" ref="AI49" si="46">IFERROR((P49/$S49),0)</f>
        <v>0</v>
      </c>
      <c r="AJ49" s="118">
        <f t="shared" ref="AJ49" si="47">SUM(T49:AI49)</f>
        <v>-2089.0714799844973</v>
      </c>
      <c r="AK49" s="1">
        <f t="shared" ref="AK49" si="48">+AJ49</f>
        <v>-2089.0714799844973</v>
      </c>
      <c r="AL49" s="50">
        <f t="shared" ref="AL49" si="49">+R49-AJ49</f>
        <v>0</v>
      </c>
      <c r="AM49" s="51"/>
      <c r="AN49" t="s">
        <v>711</v>
      </c>
      <c r="AO49" t="b">
        <f>EXACT(B49,AN49)</f>
        <v>1</v>
      </c>
    </row>
    <row r="50" spans="1:41">
      <c r="A50" s="59">
        <f>SUMIF('Balanza ok'!D:D,B50,'Balanza ok'!B:B)</f>
        <v>707121</v>
      </c>
      <c r="B50" s="171" t="s">
        <v>719</v>
      </c>
      <c r="C50" s="2" t="s">
        <v>18</v>
      </c>
      <c r="D50" s="18">
        <v>0</v>
      </c>
      <c r="E50" s="18">
        <v>-32298763</v>
      </c>
      <c r="F50" s="18">
        <v>-4020148</v>
      </c>
      <c r="G50" s="18">
        <v>-32689973</v>
      </c>
      <c r="H50" s="18">
        <v>0</v>
      </c>
      <c r="I50" s="18">
        <v>-3630987</v>
      </c>
      <c r="J50" s="18">
        <v>-64050539</v>
      </c>
      <c r="K50" s="18">
        <v>-28740442</v>
      </c>
      <c r="L50" s="18">
        <v>0</v>
      </c>
      <c r="M50" s="18">
        <v>-28634045</v>
      </c>
      <c r="N50" s="18">
        <v>-15141505</v>
      </c>
      <c r="O50" s="18">
        <v>-21251744</v>
      </c>
      <c r="P50" s="18">
        <v>-33363145</v>
      </c>
      <c r="Q50" s="19">
        <f>SUM(D50:P50)</f>
        <v>-263821291</v>
      </c>
      <c r="R50" s="36">
        <f t="shared" si="18"/>
        <v>-292144.7217762029</v>
      </c>
      <c r="S50" s="47">
        <f>+S48</f>
        <v>903.05</v>
      </c>
      <c r="T50" s="18">
        <f>IFERROR((D50/$S50),0)</f>
        <v>0</v>
      </c>
      <c r="U50" s="18">
        <f>IFERROR((#REF!/$S50),0)</f>
        <v>0</v>
      </c>
      <c r="V50" s="18">
        <f>IFERROR((#REF!/$S50),0)</f>
        <v>0</v>
      </c>
      <c r="W50" s="18">
        <f>IFERROR((E50/$S50),0)</f>
        <v>-35766.306406068325</v>
      </c>
      <c r="X50" s="18">
        <f>IFERROR((F50/$S50),0)</f>
        <v>-4451.7446431537574</v>
      </c>
      <c r="Y50" s="18">
        <f>IFERROR((G50/$S50),0)</f>
        <v>-36199.51608438071</v>
      </c>
      <c r="Z50" s="18">
        <f>IFERROR((H50/$S50),0)</f>
        <v>0</v>
      </c>
      <c r="AA50" s="18">
        <f>IFERROR((I50/$S50),0)</f>
        <v>-4020.803942195892</v>
      </c>
      <c r="AB50" s="18">
        <f>IFERROR((J50/$S50),0)</f>
        <v>-70926.902164885672</v>
      </c>
      <c r="AC50" s="18">
        <f>IFERROR((K50/$S50),0)</f>
        <v>-31825.969769115774</v>
      </c>
      <c r="AD50" s="18">
        <f t="shared" si="31"/>
        <v>0</v>
      </c>
      <c r="AE50" s="18">
        <f t="shared" si="32"/>
        <v>-31708.150157798573</v>
      </c>
      <c r="AF50" s="18">
        <f>IFERROR((#REF!/$S50),0)</f>
        <v>0</v>
      </c>
      <c r="AG50" s="18">
        <f t="shared" si="28"/>
        <v>-16767.072698078733</v>
      </c>
      <c r="AH50" s="18">
        <f t="shared" ref="AH50:AH85" si="50">IFERROR((O50/$S50),0)</f>
        <v>-23533.297159625716</v>
      </c>
      <c r="AI50" s="18">
        <f t="shared" ref="AI50:AI85" si="51">IFERROR((P50/$S50),0)</f>
        <v>-36944.958750899728</v>
      </c>
      <c r="AJ50" s="118">
        <f t="shared" si="25"/>
        <v>-292144.72177620284</v>
      </c>
      <c r="AK50" s="1">
        <f t="shared" si="33"/>
        <v>-292144.72177620284</v>
      </c>
      <c r="AL50" s="50">
        <f t="shared" si="27"/>
        <v>0</v>
      </c>
      <c r="AM50" s="51"/>
      <c r="AN50" t="s">
        <v>719</v>
      </c>
      <c r="AO50" t="b">
        <f>EXACT(B50,AN50)</f>
        <v>1</v>
      </c>
    </row>
    <row r="51" spans="1:41">
      <c r="A51" s="59">
        <f>SUMIF('Balanza ok'!D:D,B51,'Balanza ok'!B:B)</f>
        <v>707121</v>
      </c>
      <c r="B51" s="171" t="s">
        <v>720</v>
      </c>
      <c r="C51" s="2" t="s">
        <v>17</v>
      </c>
      <c r="D51" s="18">
        <v>-12437499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9">
        <f>SUM(D51:P51)</f>
        <v>-12437499</v>
      </c>
      <c r="R51" s="36">
        <f t="shared" si="18"/>
        <v>-13772.768949670561</v>
      </c>
      <c r="S51" s="47">
        <f t="shared" si="24"/>
        <v>903.05</v>
      </c>
      <c r="T51" s="18">
        <f>IFERROR((D51/$S51),0)</f>
        <v>-13772.768949670561</v>
      </c>
      <c r="U51" s="18">
        <f>IFERROR((#REF!/$S51),0)</f>
        <v>0</v>
      </c>
      <c r="V51" s="18">
        <f>IFERROR((#REF!/$S51),0)</f>
        <v>0</v>
      </c>
      <c r="W51" s="18">
        <f>IFERROR((E51/$S51),0)</f>
        <v>0</v>
      </c>
      <c r="X51" s="18">
        <f>IFERROR((F51/$S51),0)</f>
        <v>0</v>
      </c>
      <c r="Y51" s="18">
        <f>IFERROR((G51/$S51),0)</f>
        <v>0</v>
      </c>
      <c r="Z51" s="18">
        <f>IFERROR((H51/$S51),0)</f>
        <v>0</v>
      </c>
      <c r="AA51" s="18">
        <f>IFERROR((I51/$S51),0)</f>
        <v>0</v>
      </c>
      <c r="AB51" s="18">
        <f>IFERROR((J51/$S51),0)</f>
        <v>0</v>
      </c>
      <c r="AC51" s="18">
        <f>IFERROR((K51/$S51),0)</f>
        <v>0</v>
      </c>
      <c r="AD51" s="18">
        <f t="shared" si="31"/>
        <v>0</v>
      </c>
      <c r="AE51" s="18">
        <f t="shared" si="32"/>
        <v>0</v>
      </c>
      <c r="AF51" s="18">
        <f>IFERROR((#REF!/$S51),0)</f>
        <v>0</v>
      </c>
      <c r="AG51" s="18">
        <f t="shared" si="28"/>
        <v>0</v>
      </c>
      <c r="AH51" s="18">
        <f t="shared" si="50"/>
        <v>0</v>
      </c>
      <c r="AI51" s="18">
        <f t="shared" si="51"/>
        <v>0</v>
      </c>
      <c r="AJ51" s="118">
        <f t="shared" si="25"/>
        <v>-13772.768949670561</v>
      </c>
      <c r="AK51" s="1">
        <f t="shared" ref="AK51" si="52">+AJ51</f>
        <v>-13772.768949670561</v>
      </c>
      <c r="AL51" s="50">
        <f t="shared" ref="AL51" si="53">+R51-AJ51</f>
        <v>0</v>
      </c>
      <c r="AM51" s="51"/>
      <c r="AN51" t="s">
        <v>720</v>
      </c>
      <c r="AO51" t="b">
        <f>EXACT(B51,AN51)</f>
        <v>1</v>
      </c>
    </row>
    <row r="52" spans="1:41">
      <c r="A52" s="59">
        <f>SUMIF('Balanza ok'!D:D,B52,'Balanza ok'!B:B)</f>
        <v>730765</v>
      </c>
      <c r="B52" s="171" t="s">
        <v>859</v>
      </c>
      <c r="C52" s="2" t="s">
        <v>357</v>
      </c>
      <c r="D52" s="18">
        <v>-949276</v>
      </c>
      <c r="E52" s="18">
        <v>-168660</v>
      </c>
      <c r="F52" s="18">
        <v>-216747</v>
      </c>
      <c r="G52" s="18">
        <v>-283782</v>
      </c>
      <c r="H52" s="18">
        <v>0</v>
      </c>
      <c r="I52" s="18">
        <v>-159919</v>
      </c>
      <c r="J52" s="18">
        <v>-193071</v>
      </c>
      <c r="K52" s="18">
        <v>-117511</v>
      </c>
      <c r="L52" s="18">
        <v>0</v>
      </c>
      <c r="M52" s="18">
        <v>-151891</v>
      </c>
      <c r="N52" s="18">
        <v>73011</v>
      </c>
      <c r="O52" s="18">
        <v>-117880</v>
      </c>
      <c r="P52" s="18">
        <v>-87844</v>
      </c>
      <c r="Q52" s="19">
        <f>SUM(D52:P52)</f>
        <v>-2373570</v>
      </c>
      <c r="R52" s="36">
        <f t="shared" si="18"/>
        <v>-2628.3926692874152</v>
      </c>
      <c r="S52" s="47">
        <f t="shared" si="24"/>
        <v>903.05</v>
      </c>
      <c r="T52" s="18">
        <f>IFERROR((D52/$S52),0)</f>
        <v>-1051.1887492386911</v>
      </c>
      <c r="U52" s="18">
        <f>IFERROR((#REF!/$S52),0)</f>
        <v>0</v>
      </c>
      <c r="V52" s="18">
        <f>IFERROR((#REF!/$S52),0)</f>
        <v>0</v>
      </c>
      <c r="W52" s="18">
        <f>IFERROR((E52/$S52),0)</f>
        <v>-186.76706716128675</v>
      </c>
      <c r="X52" s="18">
        <f>IFERROR((F52/$S52),0)</f>
        <v>-240.01661037594818</v>
      </c>
      <c r="Y52" s="18">
        <f>IFERROR((G52/$S52),0)</f>
        <v>-314.24838048834505</v>
      </c>
      <c r="Z52" s="18">
        <f>IFERROR((H52/$S52),0)</f>
        <v>0</v>
      </c>
      <c r="AA52" s="18">
        <f>IFERROR((I52/$S52),0)</f>
        <v>-177.08764741708654</v>
      </c>
      <c r="AB52" s="18">
        <f>IFERROR((J52/$S52),0)</f>
        <v>-213.79879297934778</v>
      </c>
      <c r="AC52" s="18">
        <f>IFERROR((K52/$S52),0)</f>
        <v>-130.12679253640442</v>
      </c>
      <c r="AD52" s="18">
        <f t="shared" si="31"/>
        <v>0</v>
      </c>
      <c r="AE52" s="18">
        <f t="shared" si="32"/>
        <v>-168.19777420962296</v>
      </c>
      <c r="AF52" s="18">
        <f>IFERROR((#REF!/$S52),0)</f>
        <v>0</v>
      </c>
      <c r="AG52" s="18">
        <f t="shared" si="28"/>
        <v>80.849343890150053</v>
      </c>
      <c r="AH52" s="18">
        <f t="shared" si="50"/>
        <v>-130.53540778472953</v>
      </c>
      <c r="AI52" s="18">
        <f t="shared" si="51"/>
        <v>-97.274790986102659</v>
      </c>
      <c r="AJ52" s="118">
        <f t="shared" si="25"/>
        <v>-2628.3926692874152</v>
      </c>
      <c r="AK52" s="1">
        <f t="shared" si="33"/>
        <v>-2628.3926692874152</v>
      </c>
      <c r="AL52" s="50">
        <f t="shared" si="27"/>
        <v>0</v>
      </c>
      <c r="AM52" s="51"/>
      <c r="AN52" t="s">
        <v>859</v>
      </c>
      <c r="AO52" t="b">
        <f>EXACT(B52,AN52)</f>
        <v>1</v>
      </c>
    </row>
    <row r="53" spans="1:41">
      <c r="A53" s="59">
        <f>SUMIF('Balanza ok'!D:D,B53,'Balanza ok'!B:B)</f>
        <v>712361</v>
      </c>
      <c r="B53" s="171" t="s">
        <v>861</v>
      </c>
      <c r="C53" s="2" t="s">
        <v>345</v>
      </c>
      <c r="D53" s="18">
        <v>0</v>
      </c>
      <c r="E53" s="18">
        <v>-60634</v>
      </c>
      <c r="F53" s="18">
        <v>-18334</v>
      </c>
      <c r="G53" s="18">
        <v>-18334</v>
      </c>
      <c r="H53" s="18">
        <v>0</v>
      </c>
      <c r="I53" s="18">
        <v>0</v>
      </c>
      <c r="J53" s="18">
        <v>-18333</v>
      </c>
      <c r="K53" s="18">
        <v>-45033</v>
      </c>
      <c r="L53" s="18">
        <v>0</v>
      </c>
      <c r="M53" s="18">
        <v>-18333</v>
      </c>
      <c r="N53" s="18">
        <v>-18333</v>
      </c>
      <c r="O53" s="18">
        <v>-18333</v>
      </c>
      <c r="P53" s="18">
        <v>-18333</v>
      </c>
      <c r="Q53" s="19">
        <f>SUM(D53:P53)</f>
        <v>-234000</v>
      </c>
      <c r="R53" s="36">
        <f t="shared" si="18"/>
        <v>-259.12186479153979</v>
      </c>
      <c r="S53" s="47">
        <f t="shared" si="24"/>
        <v>903.05</v>
      </c>
      <c r="T53" s="18">
        <f>IFERROR((D53/$S53),0)</f>
        <v>0</v>
      </c>
      <c r="U53" s="18">
        <f>IFERROR((#REF!/$S53),0)</f>
        <v>0</v>
      </c>
      <c r="V53" s="18">
        <f>IFERROR((#REF!/$S53),0)</f>
        <v>0</v>
      </c>
      <c r="W53" s="18">
        <f>IFERROR((E53/$S53),0)</f>
        <v>-67.143569016112068</v>
      </c>
      <c r="X53" s="18">
        <f>IFERROR((F53/$S53),0)</f>
        <v>-20.302308842256796</v>
      </c>
      <c r="Y53" s="18">
        <f>IFERROR((G53/$S53),0)</f>
        <v>-20.302308842256796</v>
      </c>
      <c r="Z53" s="18">
        <f>IFERROR((H53/$S53),0)</f>
        <v>0</v>
      </c>
      <c r="AA53" s="18">
        <f>IFERROR((I53/$S53),0)</f>
        <v>0</v>
      </c>
      <c r="AB53" s="18">
        <f>IFERROR((J53/$S53),0)</f>
        <v>-20.301201483860254</v>
      </c>
      <c r="AC53" s="18">
        <f>IFERROR((K53/$S53),0)</f>
        <v>-49.867670671612871</v>
      </c>
      <c r="AD53" s="18">
        <f t="shared" si="31"/>
        <v>0</v>
      </c>
      <c r="AE53" s="18">
        <f t="shared" si="32"/>
        <v>-20.301201483860254</v>
      </c>
      <c r="AF53" s="18">
        <f>IFERROR((#REF!/$S53),0)</f>
        <v>0</v>
      </c>
      <c r="AG53" s="18">
        <f t="shared" ref="AG53" si="54">IFERROR((N53/$S53),0)</f>
        <v>-20.301201483860254</v>
      </c>
      <c r="AH53" s="18">
        <f t="shared" ref="AH53" si="55">IFERROR((O53/$S53),0)</f>
        <v>-20.301201483860254</v>
      </c>
      <c r="AI53" s="18">
        <f t="shared" ref="AI53" si="56">IFERROR((P53/$S53),0)</f>
        <v>-20.301201483860254</v>
      </c>
      <c r="AJ53" s="118">
        <f t="shared" si="25"/>
        <v>-259.12186479153985</v>
      </c>
      <c r="AK53" s="1">
        <f t="shared" ref="AK53" si="57">+AJ53</f>
        <v>-259.12186479153985</v>
      </c>
      <c r="AL53" s="50">
        <f t="shared" ref="AL53" si="58">+R53-AJ53</f>
        <v>0</v>
      </c>
      <c r="AM53" s="51"/>
      <c r="AN53" t="s">
        <v>861</v>
      </c>
      <c r="AO53" t="b">
        <f>EXACT(B53,AN53)</f>
        <v>1</v>
      </c>
    </row>
    <row r="54" spans="1:41">
      <c r="A54" s="59">
        <f>SUMIF('Balanza ok'!D:D,B54,'Balanza ok'!B:B)</f>
        <v>730789</v>
      </c>
      <c r="B54" s="171" t="s">
        <v>991</v>
      </c>
      <c r="C54" s="2" t="s">
        <v>992</v>
      </c>
      <c r="D54" s="18">
        <v>-900000</v>
      </c>
      <c r="E54" s="18">
        <v>0</v>
      </c>
      <c r="F54" s="18">
        <v>0</v>
      </c>
      <c r="G54" s="18">
        <v>126030</v>
      </c>
      <c r="H54" s="18">
        <v>0</v>
      </c>
      <c r="I54" s="18">
        <v>139930</v>
      </c>
      <c r="J54" s="18">
        <v>341900</v>
      </c>
      <c r="K54" s="18">
        <v>0</v>
      </c>
      <c r="L54" s="18">
        <v>0</v>
      </c>
      <c r="M54" s="18">
        <v>0</v>
      </c>
      <c r="N54" s="18">
        <v>183170</v>
      </c>
      <c r="O54" s="18">
        <v>262920</v>
      </c>
      <c r="P54" s="18">
        <v>341910</v>
      </c>
      <c r="Q54" s="19">
        <f>SUM(D54:P54)</f>
        <v>495860</v>
      </c>
      <c r="R54" s="36">
        <f t="shared" ref="R54" si="59">Q54/S54</f>
        <v>549.09473451082442</v>
      </c>
      <c r="S54" s="47">
        <f t="shared" si="24"/>
        <v>903.05</v>
      </c>
      <c r="T54" s="18">
        <f>IFERROR((D54/$S54),0)</f>
        <v>-996.62255689053768</v>
      </c>
      <c r="U54" s="18">
        <f>IFERROR((#REF!/$S54),0)</f>
        <v>0</v>
      </c>
      <c r="V54" s="18">
        <f>IFERROR((#REF!/$S54),0)</f>
        <v>0</v>
      </c>
      <c r="W54" s="18">
        <f>IFERROR((E54/$S54),0)</f>
        <v>0</v>
      </c>
      <c r="X54" s="18">
        <f>IFERROR((F54/$S54),0)</f>
        <v>0</v>
      </c>
      <c r="Y54" s="18">
        <f>IFERROR((G54/$S54),0)</f>
        <v>139.56037871657162</v>
      </c>
      <c r="Z54" s="18">
        <f>IFERROR((H54/$S54),0)</f>
        <v>0</v>
      </c>
      <c r="AA54" s="18">
        <f>IFERROR((I54/$S54),0)</f>
        <v>154.95266042854772</v>
      </c>
      <c r="AB54" s="18">
        <f>IFERROR((J54/$S54),0)</f>
        <v>378.60583577874979</v>
      </c>
      <c r="AC54" s="18">
        <f>IFERROR((K54/$S54),0)</f>
        <v>0</v>
      </c>
      <c r="AD54" s="18">
        <f t="shared" si="31"/>
        <v>0</v>
      </c>
      <c r="AE54" s="18">
        <f t="shared" si="32"/>
        <v>0</v>
      </c>
      <c r="AF54" s="18">
        <f>IFERROR((#REF!/$S54),0)</f>
        <v>0</v>
      </c>
      <c r="AG54" s="18">
        <f t="shared" ref="AG54" si="60">IFERROR((N54/$S54),0)</f>
        <v>202.83483749515531</v>
      </c>
      <c r="AH54" s="18">
        <f t="shared" ref="AH54" si="61">IFERROR((O54/$S54),0)</f>
        <v>291.1466696196224</v>
      </c>
      <c r="AI54" s="18">
        <f t="shared" ref="AI54" si="62">IFERROR((P54/$S54),0)</f>
        <v>378.61690936271526</v>
      </c>
      <c r="AJ54" s="118">
        <f t="shared" ref="AJ54" si="63">SUM(T54:AI54)</f>
        <v>549.09473451082442</v>
      </c>
      <c r="AK54" s="1">
        <f t="shared" ref="AK54" si="64">+AJ54</f>
        <v>549.09473451082442</v>
      </c>
      <c r="AL54" s="50">
        <f t="shared" ref="AL54" si="65">+R54-AJ54</f>
        <v>0</v>
      </c>
      <c r="AM54" s="51"/>
      <c r="AN54" t="s">
        <v>991</v>
      </c>
      <c r="AO54" t="b">
        <f>EXACT(B54,AN54)</f>
        <v>1</v>
      </c>
    </row>
    <row r="55" spans="1:41">
      <c r="A55" s="59">
        <f>SUMIF('Balanza ok'!D:D,B55,'Balanza ok'!B:B)</f>
        <v>711353</v>
      </c>
      <c r="B55" s="171" t="s">
        <v>733</v>
      </c>
      <c r="C55" s="2" t="s">
        <v>447</v>
      </c>
      <c r="D55" s="18">
        <v>-249651</v>
      </c>
      <c r="E55" s="18">
        <v>-249658</v>
      </c>
      <c r="F55" s="18">
        <v>-57816</v>
      </c>
      <c r="G55" s="18">
        <v>-249658</v>
      </c>
      <c r="H55" s="18">
        <v>-249651</v>
      </c>
      <c r="I55" s="18">
        <v>294562</v>
      </c>
      <c r="J55" s="18">
        <v>-249657</v>
      </c>
      <c r="K55" s="18">
        <v>-249657</v>
      </c>
      <c r="L55" s="18">
        <v>-249651</v>
      </c>
      <c r="M55" s="18">
        <v>-249656</v>
      </c>
      <c r="N55" s="18">
        <v>-249655</v>
      </c>
      <c r="O55" s="18">
        <v>-249655</v>
      </c>
      <c r="P55" s="18">
        <v>-249652</v>
      </c>
      <c r="Q55" s="19">
        <f>SUM(D55:P55)</f>
        <v>-2509455</v>
      </c>
      <c r="R55" s="36">
        <f t="shared" si="18"/>
        <v>-2778.8660650019378</v>
      </c>
      <c r="S55" s="47">
        <f>+S53</f>
        <v>903.05</v>
      </c>
      <c r="T55" s="18">
        <f>IFERROR((D55/$S55),0)</f>
        <v>-276.45313105586627</v>
      </c>
      <c r="U55" s="18">
        <f>IFERROR((#REF!/$S55),0)</f>
        <v>0</v>
      </c>
      <c r="V55" s="18">
        <f>IFERROR((#REF!/$S55),0)</f>
        <v>0</v>
      </c>
      <c r="W55" s="18">
        <f>IFERROR((E55/$S55),0)</f>
        <v>-276.46088256464208</v>
      </c>
      <c r="X55" s="18">
        <f>IFERROR((F55/$S55),0)</f>
        <v>-64.023033054648138</v>
      </c>
      <c r="Y55" s="18">
        <f>IFERROR((G55/$S55),0)</f>
        <v>-276.46088256464208</v>
      </c>
      <c r="Z55" s="18">
        <f>IFERROR((H55/$S55),0)</f>
        <v>-276.45313105586627</v>
      </c>
      <c r="AA55" s="18">
        <f>IFERROR((I55/$S55),0)</f>
        <v>326.18570400310062</v>
      </c>
      <c r="AB55" s="18">
        <f>IFERROR((J55/$S55),0)</f>
        <v>-276.45977520624552</v>
      </c>
      <c r="AC55" s="18">
        <f>IFERROR((K55/$S55),0)</f>
        <v>-276.45977520624552</v>
      </c>
      <c r="AD55" s="18">
        <f t="shared" si="31"/>
        <v>-276.45313105586627</v>
      </c>
      <c r="AE55" s="18">
        <f t="shared" si="32"/>
        <v>-276.45866784784897</v>
      </c>
      <c r="AF55" s="18">
        <f>IFERROR((#REF!/$S55),0)</f>
        <v>0</v>
      </c>
      <c r="AG55" s="18">
        <f t="shared" si="28"/>
        <v>-276.45756048945242</v>
      </c>
      <c r="AH55" s="18">
        <f t="shared" si="50"/>
        <v>-276.45756048945242</v>
      </c>
      <c r="AI55" s="18">
        <f t="shared" si="51"/>
        <v>-276.45423841426282</v>
      </c>
      <c r="AJ55" s="118">
        <f t="shared" si="25"/>
        <v>-2778.8660650019383</v>
      </c>
      <c r="AK55" s="1">
        <f t="shared" si="33"/>
        <v>-2778.8660650019383</v>
      </c>
      <c r="AL55" s="50">
        <f t="shared" si="27"/>
        <v>0</v>
      </c>
      <c r="AM55" s="51"/>
      <c r="AN55" t="s">
        <v>733</v>
      </c>
      <c r="AO55" t="b">
        <f>EXACT(B55,AN55)</f>
        <v>1</v>
      </c>
    </row>
    <row r="56" spans="1:41">
      <c r="A56" s="174">
        <f>SUMIF('Balanza ok'!D:D,B56,'Balanza ok'!B:B)</f>
        <v>711355</v>
      </c>
      <c r="B56" s="171" t="s">
        <v>876</v>
      </c>
      <c r="C56" s="2" t="s">
        <v>734</v>
      </c>
      <c r="D56" s="18">
        <v>0</v>
      </c>
      <c r="E56" s="18">
        <v>-57302</v>
      </c>
      <c r="F56" s="18">
        <v>-13265</v>
      </c>
      <c r="G56" s="18">
        <v>-57302</v>
      </c>
      <c r="H56" s="18">
        <v>0</v>
      </c>
      <c r="I56" s="18">
        <v>-54092</v>
      </c>
      <c r="J56" s="18">
        <v>-57303</v>
      </c>
      <c r="K56" s="18">
        <v>-57303</v>
      </c>
      <c r="L56" s="18">
        <v>0</v>
      </c>
      <c r="M56" s="18">
        <v>-57303</v>
      </c>
      <c r="N56" s="18">
        <v>-57303</v>
      </c>
      <c r="O56" s="18">
        <v>-57303</v>
      </c>
      <c r="P56" s="18">
        <v>-57301</v>
      </c>
      <c r="Q56" s="19">
        <f>SUM(D56:P56)</f>
        <v>-525777</v>
      </c>
      <c r="R56" s="36">
        <f t="shared" si="18"/>
        <v>-582.22357566026244</v>
      </c>
      <c r="S56" s="47">
        <f t="shared" si="24"/>
        <v>903.05</v>
      </c>
      <c r="T56" s="18">
        <f>IFERROR((D56/$S56),0)</f>
        <v>0</v>
      </c>
      <c r="U56" s="18">
        <f>IFERROR((#REF!/$S56),0)</f>
        <v>0</v>
      </c>
      <c r="V56" s="18">
        <f>IFERROR((#REF!/$S56),0)</f>
        <v>0</v>
      </c>
      <c r="W56" s="18">
        <f>IFERROR((E56/$S56),0)</f>
        <v>-63.453850838823989</v>
      </c>
      <c r="X56" s="18">
        <f>IFERROR((F56/$S56),0)</f>
        <v>-14.68910913016998</v>
      </c>
      <c r="Y56" s="18">
        <f>IFERROR((G56/$S56),0)</f>
        <v>-63.453850838823989</v>
      </c>
      <c r="Z56" s="18">
        <f>IFERROR((H56/$S56),0)</f>
        <v>0</v>
      </c>
      <c r="AA56" s="18">
        <f>IFERROR((I56/$S56),0)</f>
        <v>-59.899230385914407</v>
      </c>
      <c r="AB56" s="18">
        <f>IFERROR((J56/$S56),0)</f>
        <v>-63.454958197220535</v>
      </c>
      <c r="AC56" s="18">
        <f>IFERROR((K56/$S56),0)</f>
        <v>-63.454958197220535</v>
      </c>
      <c r="AD56" s="18">
        <f t="shared" si="31"/>
        <v>0</v>
      </c>
      <c r="AE56" s="18">
        <f t="shared" si="32"/>
        <v>-63.454958197220535</v>
      </c>
      <c r="AF56" s="18">
        <f>IFERROR((#REF!/$S56),0)</f>
        <v>0</v>
      </c>
      <c r="AG56" s="18">
        <f t="shared" si="28"/>
        <v>-63.454958197220535</v>
      </c>
      <c r="AH56" s="18">
        <f t="shared" si="50"/>
        <v>-63.454958197220535</v>
      </c>
      <c r="AI56" s="18">
        <f t="shared" si="51"/>
        <v>-63.452743480427444</v>
      </c>
      <c r="AJ56" s="118">
        <f t="shared" si="25"/>
        <v>-582.22357566026255</v>
      </c>
      <c r="AK56" s="1">
        <f t="shared" ref="AK56" si="66">+AJ56</f>
        <v>-582.22357566026255</v>
      </c>
      <c r="AL56" s="50">
        <f t="shared" ref="AL56" si="67">+R56-AJ56</f>
        <v>0</v>
      </c>
      <c r="AM56" s="51"/>
      <c r="AN56" t="s">
        <v>876</v>
      </c>
      <c r="AO56" t="b">
        <f>EXACT(B56,AN56)</f>
        <v>1</v>
      </c>
    </row>
    <row r="57" spans="1:41">
      <c r="A57" s="59">
        <f>SUMIF('Balanza ok'!D:D,B57,'Balanza ok'!B:B)</f>
        <v>730779</v>
      </c>
      <c r="B57" s="171" t="s">
        <v>740</v>
      </c>
      <c r="C57" s="2" t="s">
        <v>15</v>
      </c>
      <c r="D57" s="18">
        <v>0</v>
      </c>
      <c r="E57" s="18">
        <v>-38256</v>
      </c>
      <c r="F57" s="18">
        <v>-11619</v>
      </c>
      <c r="G57" s="18">
        <v>-179492</v>
      </c>
      <c r="H57" s="18">
        <v>0</v>
      </c>
      <c r="I57" s="18">
        <v>-334990</v>
      </c>
      <c r="J57" s="18">
        <v>-220876</v>
      </c>
      <c r="K57" s="18">
        <v>-46476</v>
      </c>
      <c r="L57" s="18">
        <v>0</v>
      </c>
      <c r="M57" s="18">
        <v>-2144956</v>
      </c>
      <c r="N57" s="18">
        <v>-17032</v>
      </c>
      <c r="O57" s="18">
        <v>-151448</v>
      </c>
      <c r="P57" s="18">
        <v>-211920</v>
      </c>
      <c r="Q57" s="19">
        <f>SUM(D57:P57)</f>
        <v>-3357065</v>
      </c>
      <c r="R57" s="36">
        <f t="shared" si="18"/>
        <v>-3717.4741154974809</v>
      </c>
      <c r="S57" s="47">
        <f t="shared" si="24"/>
        <v>903.05</v>
      </c>
      <c r="T57" s="18">
        <f>IFERROR((D57/$S57),0)</f>
        <v>0</v>
      </c>
      <c r="U57" s="18">
        <f>IFERROR((#REF!/$S57),0)</f>
        <v>0</v>
      </c>
      <c r="V57" s="18">
        <f>IFERROR((#REF!/$S57),0)</f>
        <v>0</v>
      </c>
      <c r="W57" s="18">
        <f>IFERROR((E57/$S57),0)</f>
        <v>-42.363102818227119</v>
      </c>
      <c r="X57" s="18">
        <f>IFERROR((F57/$S57),0)</f>
        <v>-12.866397209456842</v>
      </c>
      <c r="Y57" s="18">
        <f>IFERROR((G57/$S57),0)</f>
        <v>-198.76197331266266</v>
      </c>
      <c r="Z57" s="18">
        <f>IFERROR((H57/$S57),0)</f>
        <v>0</v>
      </c>
      <c r="AA57" s="18">
        <f>IFERROR((I57/$S57),0)</f>
        <v>-370.95398925862355</v>
      </c>
      <c r="AB57" s="18">
        <f>IFERROR((J57/$S57),0)</f>
        <v>-244.58889319528268</v>
      </c>
      <c r="AC57" s="18">
        <f>IFERROR((K57/$S57),0)</f>
        <v>-51.465588837827369</v>
      </c>
      <c r="AD57" s="18">
        <f t="shared" si="31"/>
        <v>0</v>
      </c>
      <c r="AE57" s="18">
        <f t="shared" si="32"/>
        <v>-2375.2350368196667</v>
      </c>
      <c r="AF57" s="18">
        <f>IFERROR((#REF!/$S57),0)</f>
        <v>0</v>
      </c>
      <c r="AG57" s="18">
        <f t="shared" si="28"/>
        <v>-18.860528209955152</v>
      </c>
      <c r="AH57" s="18">
        <f t="shared" si="50"/>
        <v>-167.7072144399535</v>
      </c>
      <c r="AI57" s="18">
        <f t="shared" si="51"/>
        <v>-234.67139139582528</v>
      </c>
      <c r="AJ57" s="118">
        <f t="shared" si="25"/>
        <v>-3717.4741154974809</v>
      </c>
      <c r="AK57" s="1">
        <f t="shared" ref="AK57:AK77" si="68">+AJ57</f>
        <v>-3717.4741154974809</v>
      </c>
      <c r="AL57" s="50">
        <f t="shared" ref="AL57:AL77" si="69">+R57-AJ57</f>
        <v>0</v>
      </c>
      <c r="AM57" s="51"/>
      <c r="AN57" t="s">
        <v>740</v>
      </c>
      <c r="AO57" t="b">
        <f>EXACT(B57,AN57)</f>
        <v>1</v>
      </c>
    </row>
    <row r="58" spans="1:41">
      <c r="A58" s="59">
        <f>SUMIF('Balanza ok'!D:D,B58,'Balanza ok'!B:B)</f>
        <v>730779</v>
      </c>
      <c r="B58" s="171" t="s">
        <v>741</v>
      </c>
      <c r="C58" s="2" t="s">
        <v>592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-1065119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9">
        <f>SUM(D58:P58)</f>
        <v>-1065119</v>
      </c>
      <c r="R58" s="36">
        <f t="shared" ref="R58" si="70">Q58/S58</f>
        <v>-1179.4684679696584</v>
      </c>
      <c r="S58" s="47">
        <f t="shared" si="24"/>
        <v>903.05</v>
      </c>
      <c r="T58" s="18">
        <f>IFERROR((D58/$S58),0)</f>
        <v>0</v>
      </c>
      <c r="U58" s="18">
        <f>IFERROR((#REF!/$S58),0)</f>
        <v>0</v>
      </c>
      <c r="V58" s="18">
        <f>IFERROR((#REF!/$S58),0)</f>
        <v>0</v>
      </c>
      <c r="W58" s="18">
        <f>IFERROR((E58/$S58),0)</f>
        <v>0</v>
      </c>
      <c r="X58" s="18">
        <f>IFERROR((F58/$S58),0)</f>
        <v>0</v>
      </c>
      <c r="Y58" s="18">
        <f>IFERROR((G58/$S58),0)</f>
        <v>0</v>
      </c>
      <c r="Z58" s="18">
        <f>IFERROR((H58/$S58),0)</f>
        <v>0</v>
      </c>
      <c r="AA58" s="18">
        <f>IFERROR((I58/$S58),0)</f>
        <v>-1179.4684679696584</v>
      </c>
      <c r="AB58" s="18">
        <f>IFERROR((J58/$S58),0)</f>
        <v>0</v>
      </c>
      <c r="AC58" s="18">
        <f>IFERROR((K58/$S58),0)</f>
        <v>0</v>
      </c>
      <c r="AD58" s="18">
        <f t="shared" si="31"/>
        <v>0</v>
      </c>
      <c r="AE58" s="18">
        <f t="shared" si="32"/>
        <v>0</v>
      </c>
      <c r="AF58" s="18">
        <f>IFERROR((#REF!/$S58),0)</f>
        <v>0</v>
      </c>
      <c r="AG58" s="18">
        <f t="shared" ref="AG58" si="71">IFERROR((N58/$S58),0)</f>
        <v>0</v>
      </c>
      <c r="AH58" s="18">
        <f t="shared" ref="AH58" si="72">IFERROR((O58/$S58),0)</f>
        <v>0</v>
      </c>
      <c r="AI58" s="18">
        <f t="shared" ref="AI58" si="73">IFERROR((P58/$S58),0)</f>
        <v>0</v>
      </c>
      <c r="AJ58" s="118">
        <f t="shared" ref="AJ58" si="74">SUM(T58:AI58)</f>
        <v>-1179.4684679696584</v>
      </c>
      <c r="AK58" s="1">
        <f t="shared" ref="AK58" si="75">+AJ58</f>
        <v>-1179.4684679696584</v>
      </c>
      <c r="AL58" s="50">
        <f t="shared" ref="AL58" si="76">+R58-AJ58</f>
        <v>0</v>
      </c>
      <c r="AM58" s="51"/>
      <c r="AN58" t="s">
        <v>741</v>
      </c>
      <c r="AO58" t="b">
        <f>EXACT(B58,AN58)</f>
        <v>1</v>
      </c>
    </row>
    <row r="59" spans="1:41">
      <c r="A59" s="174">
        <f>SUMIF('Balanza ok'!D:D,B59,'Balanza ok'!B:B)</f>
        <v>717602</v>
      </c>
      <c r="B59" s="171" t="s">
        <v>736</v>
      </c>
      <c r="C59" s="2" t="s">
        <v>14</v>
      </c>
      <c r="D59" s="18">
        <v>0</v>
      </c>
      <c r="E59" s="18">
        <v>-506</v>
      </c>
      <c r="F59" s="18">
        <v>0</v>
      </c>
      <c r="G59" s="18">
        <v>0</v>
      </c>
      <c r="H59" s="18">
        <v>0</v>
      </c>
      <c r="I59" s="18">
        <v>-420710</v>
      </c>
      <c r="J59" s="18">
        <v>-232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9">
        <f>SUM(D59:P59)</f>
        <v>-421448</v>
      </c>
      <c r="R59" s="36">
        <f t="shared" si="18"/>
        <v>-466.69398150711481</v>
      </c>
      <c r="S59" s="47">
        <f>+S57</f>
        <v>903.05</v>
      </c>
      <c r="T59" s="18">
        <f>IFERROR((D59/$S59),0)</f>
        <v>0</v>
      </c>
      <c r="U59" s="18">
        <f>IFERROR((#REF!/$S59),0)</f>
        <v>0</v>
      </c>
      <c r="V59" s="18">
        <f>IFERROR((#REF!/$S59),0)</f>
        <v>0</v>
      </c>
      <c r="W59" s="18">
        <f>IFERROR((E59/$S59),0)</f>
        <v>-0.56032334865179123</v>
      </c>
      <c r="X59" s="18">
        <f>IFERROR((F59/$S59),0)</f>
        <v>0</v>
      </c>
      <c r="Y59" s="18">
        <f>IFERROR((G59/$S59),0)</f>
        <v>0</v>
      </c>
      <c r="Z59" s="18">
        <f>IFERROR((H59/$S59),0)</f>
        <v>0</v>
      </c>
      <c r="AA59" s="18">
        <f>IFERROR((I59/$S59),0)</f>
        <v>-465.87675101046455</v>
      </c>
      <c r="AB59" s="18">
        <f>IFERROR((J59/$S59),0)</f>
        <v>-0.25690714799844971</v>
      </c>
      <c r="AC59" s="18">
        <f>IFERROR((K59/$S59),0)</f>
        <v>0</v>
      </c>
      <c r="AD59" s="18">
        <f t="shared" si="31"/>
        <v>0</v>
      </c>
      <c r="AE59" s="18">
        <f t="shared" si="32"/>
        <v>0</v>
      </c>
      <c r="AF59" s="18">
        <f>IFERROR((#REF!/$S59),0)</f>
        <v>0</v>
      </c>
      <c r="AG59" s="18">
        <f t="shared" ref="AG59" si="77">IFERROR((N59/$S59),0)</f>
        <v>0</v>
      </c>
      <c r="AH59" s="18">
        <f t="shared" ref="AH59" si="78">IFERROR((O59/$S59),0)</f>
        <v>0</v>
      </c>
      <c r="AI59" s="18">
        <f t="shared" ref="AI59" si="79">IFERROR((P59/$S59),0)</f>
        <v>0</v>
      </c>
      <c r="AJ59" s="118">
        <f t="shared" si="25"/>
        <v>-466.69398150711476</v>
      </c>
      <c r="AK59" s="1">
        <f t="shared" ref="AK59" si="80">+AJ59</f>
        <v>-466.69398150711476</v>
      </c>
      <c r="AL59" s="50">
        <f t="shared" ref="AL59" si="81">+R59-AJ59</f>
        <v>0</v>
      </c>
      <c r="AM59" s="51"/>
      <c r="AN59" t="s">
        <v>736</v>
      </c>
      <c r="AO59" t="b">
        <f>EXACT(B59,AN59)</f>
        <v>1</v>
      </c>
    </row>
    <row r="60" spans="1:41">
      <c r="A60" s="59">
        <f>SUMIF('Balanza ok'!D:D,B60,'Balanza ok'!B:B)</f>
        <v>730787</v>
      </c>
      <c r="B60" s="171" t="s">
        <v>743</v>
      </c>
      <c r="C60" s="2" t="s">
        <v>363</v>
      </c>
      <c r="D60" s="18">
        <v>-994960</v>
      </c>
      <c r="E60" s="18">
        <v>-169586</v>
      </c>
      <c r="F60" s="18">
        <v>-34236</v>
      </c>
      <c r="G60" s="18">
        <v>-166796</v>
      </c>
      <c r="H60" s="18">
        <v>0</v>
      </c>
      <c r="I60" s="18">
        <v>-190690</v>
      </c>
      <c r="J60" s="18">
        <v>-163176</v>
      </c>
      <c r="K60" s="18">
        <v>-147094</v>
      </c>
      <c r="L60" s="18">
        <v>0</v>
      </c>
      <c r="M60" s="18">
        <v>-157804</v>
      </c>
      <c r="N60" s="18">
        <v>-149850</v>
      </c>
      <c r="O60" s="18">
        <v>-168054</v>
      </c>
      <c r="P60" s="18">
        <v>-168054</v>
      </c>
      <c r="Q60" s="19">
        <f>SUM(D60:P60)</f>
        <v>-2510300</v>
      </c>
      <c r="R60" s="36">
        <f t="shared" si="18"/>
        <v>-2779.8017828470188</v>
      </c>
      <c r="S60" s="47">
        <f t="shared" si="24"/>
        <v>903.05</v>
      </c>
      <c r="T60" s="18">
        <f>IFERROR((D60/$S60),0)</f>
        <v>-1101.7773102264548</v>
      </c>
      <c r="U60" s="18">
        <f>IFERROR((#REF!/$S60),0)</f>
        <v>0</v>
      </c>
      <c r="V60" s="18">
        <f>IFERROR((#REF!/$S60),0)</f>
        <v>0</v>
      </c>
      <c r="W60" s="18">
        <f>IFERROR((E60/$S60),0)</f>
        <v>-187.79248103648746</v>
      </c>
      <c r="X60" s="18">
        <f>IFERROR((F60/$S60),0)</f>
        <v>-37.911522064116056</v>
      </c>
      <c r="Y60" s="18">
        <f>IFERROR((G60/$S60),0)</f>
        <v>-184.7029511101268</v>
      </c>
      <c r="Z60" s="18">
        <f>IFERROR((H60/$S60),0)</f>
        <v>0</v>
      </c>
      <c r="AA60" s="18">
        <f>IFERROR((I60/$S60),0)</f>
        <v>-211.16217263717402</v>
      </c>
      <c r="AB60" s="18">
        <f>IFERROR((J60/$S60),0)</f>
        <v>-180.69431371463375</v>
      </c>
      <c r="AC60" s="18">
        <f>IFERROR((K60/$S60),0)</f>
        <v>-162.88577598139639</v>
      </c>
      <c r="AD60" s="18">
        <f t="shared" si="31"/>
        <v>0</v>
      </c>
      <c r="AE60" s="18">
        <f t="shared" si="32"/>
        <v>-174.7455844083938</v>
      </c>
      <c r="AF60" s="18">
        <f>IFERROR((#REF!/$S60),0)</f>
        <v>0</v>
      </c>
      <c r="AG60" s="18">
        <f t="shared" si="28"/>
        <v>-165.93765572227451</v>
      </c>
      <c r="AH60" s="18">
        <f t="shared" si="50"/>
        <v>-186.09600797298046</v>
      </c>
      <c r="AI60" s="18">
        <f t="shared" si="51"/>
        <v>-186.09600797298046</v>
      </c>
      <c r="AJ60" s="118">
        <f t="shared" si="25"/>
        <v>-2779.8017828470183</v>
      </c>
      <c r="AK60" s="1">
        <f t="shared" si="68"/>
        <v>-2779.8017828470183</v>
      </c>
      <c r="AL60" s="50">
        <f t="shared" si="69"/>
        <v>0</v>
      </c>
      <c r="AM60" s="51"/>
      <c r="AN60" t="s">
        <v>743</v>
      </c>
      <c r="AO60" t="b">
        <f>EXACT(B60,AN60)</f>
        <v>1</v>
      </c>
    </row>
    <row r="61" spans="1:41">
      <c r="A61" s="59">
        <f>SUMIF('Balanza ok'!D:D,B61,'Balanza ok'!B:B)</f>
        <v>730788</v>
      </c>
      <c r="B61" s="171" t="s">
        <v>865</v>
      </c>
      <c r="C61" s="2" t="s">
        <v>364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-182591</v>
      </c>
      <c r="N61" s="18">
        <v>0</v>
      </c>
      <c r="O61" s="18">
        <v>0</v>
      </c>
      <c r="P61" s="18">
        <v>0</v>
      </c>
      <c r="Q61" s="19">
        <f>SUM(D61:P61)</f>
        <v>-182591</v>
      </c>
      <c r="R61" s="36">
        <f t="shared" si="18"/>
        <v>-202.19367698355575</v>
      </c>
      <c r="S61" s="47">
        <f t="shared" si="24"/>
        <v>903.05</v>
      </c>
      <c r="T61" s="18">
        <f>IFERROR((D61/$S61),0)</f>
        <v>0</v>
      </c>
      <c r="U61" s="18">
        <f>IFERROR((#REF!/$S61),0)</f>
        <v>0</v>
      </c>
      <c r="V61" s="18">
        <f>IFERROR((#REF!/$S61),0)</f>
        <v>0</v>
      </c>
      <c r="W61" s="18">
        <f>IFERROR((E61/$S61),0)</f>
        <v>0</v>
      </c>
      <c r="X61" s="18">
        <f>IFERROR((F61/$S61),0)</f>
        <v>0</v>
      </c>
      <c r="Y61" s="18">
        <f>IFERROR((G61/$S61),0)</f>
        <v>0</v>
      </c>
      <c r="Z61" s="18">
        <f>IFERROR((H61/$S61),0)</f>
        <v>0</v>
      </c>
      <c r="AA61" s="18">
        <f>IFERROR((I61/$S61),0)</f>
        <v>0</v>
      </c>
      <c r="AB61" s="18">
        <f>IFERROR((J61/$S61),0)</f>
        <v>0</v>
      </c>
      <c r="AC61" s="18">
        <f>IFERROR((K61/$S61),0)</f>
        <v>0</v>
      </c>
      <c r="AD61" s="18">
        <f t="shared" si="31"/>
        <v>0</v>
      </c>
      <c r="AE61" s="18">
        <f t="shared" si="32"/>
        <v>-202.19367698355575</v>
      </c>
      <c r="AF61" s="18">
        <f>IFERROR((#REF!/$S61),0)</f>
        <v>0</v>
      </c>
      <c r="AG61" s="18">
        <f t="shared" si="28"/>
        <v>0</v>
      </c>
      <c r="AH61" s="18">
        <f t="shared" si="50"/>
        <v>0</v>
      </c>
      <c r="AI61" s="18">
        <f t="shared" si="51"/>
        <v>0</v>
      </c>
      <c r="AJ61" s="118">
        <f t="shared" si="25"/>
        <v>-202.19367698355575</v>
      </c>
      <c r="AK61" s="1">
        <f t="shared" ref="AK61" si="82">+AJ61</f>
        <v>-202.19367698355575</v>
      </c>
      <c r="AL61" s="50">
        <f t="shared" ref="AL61" si="83">+R61-AJ61</f>
        <v>0</v>
      </c>
      <c r="AM61" s="51"/>
      <c r="AN61" t="s">
        <v>865</v>
      </c>
      <c r="AO61" t="b">
        <f>EXACT(B61,AN61)</f>
        <v>1</v>
      </c>
    </row>
    <row r="62" spans="1:41">
      <c r="A62" s="59">
        <f>SUMIF('Balanza ok'!D:D,B62,'Balanza ok'!B:B)</f>
        <v>710303</v>
      </c>
      <c r="B62" s="171" t="s">
        <v>732</v>
      </c>
      <c r="C62" s="2" t="s">
        <v>13</v>
      </c>
      <c r="D62" s="18">
        <v>-319960</v>
      </c>
      <c r="E62" s="18">
        <v>-172777</v>
      </c>
      <c r="F62" s="18">
        <v>-19384</v>
      </c>
      <c r="G62" s="18">
        <v>-187879</v>
      </c>
      <c r="H62" s="18">
        <v>0</v>
      </c>
      <c r="I62" s="18">
        <v>0</v>
      </c>
      <c r="J62" s="18">
        <v>-302571</v>
      </c>
      <c r="K62" s="18">
        <v>-96079</v>
      </c>
      <c r="L62" s="18">
        <v>0</v>
      </c>
      <c r="M62" s="18">
        <v>-1679738</v>
      </c>
      <c r="N62" s="18">
        <v>-212580</v>
      </c>
      <c r="O62" s="18">
        <v>-113779</v>
      </c>
      <c r="P62" s="18">
        <v>-255373</v>
      </c>
      <c r="Q62" s="19">
        <f>SUM(D62:P62)</f>
        <v>-3360120</v>
      </c>
      <c r="R62" s="36">
        <f t="shared" si="18"/>
        <v>-3720.857095398926</v>
      </c>
      <c r="S62" s="47">
        <f t="shared" si="24"/>
        <v>903.05</v>
      </c>
      <c r="T62" s="18">
        <f>IFERROR((D62/$S62),0)</f>
        <v>-354.3103925585516</v>
      </c>
      <c r="U62" s="18">
        <f>IFERROR((#REF!/$S62),0)</f>
        <v>0</v>
      </c>
      <c r="V62" s="18">
        <f>IFERROR((#REF!/$S62),0)</f>
        <v>0</v>
      </c>
      <c r="W62" s="18">
        <f>IFERROR((E62/$S62),0)</f>
        <v>-191.3260616798627</v>
      </c>
      <c r="X62" s="18">
        <f>IFERROR((F62/$S62),0)</f>
        <v>-21.465035158629092</v>
      </c>
      <c r="Y62" s="18">
        <f>IFERROR((G62/$S62),0)</f>
        <v>-208.04938818448591</v>
      </c>
      <c r="Z62" s="18">
        <f>IFERROR((H62/$S62),0)</f>
        <v>0</v>
      </c>
      <c r="AA62" s="18">
        <f>IFERROR((I62/$S62),0)</f>
        <v>0</v>
      </c>
      <c r="AB62" s="18">
        <f>IFERROR((J62/$S62),0)</f>
        <v>-335.05453740102985</v>
      </c>
      <c r="AC62" s="18">
        <f>IFERROR((K62/$S62),0)</f>
        <v>-106.39388738165108</v>
      </c>
      <c r="AD62" s="18">
        <f t="shared" si="31"/>
        <v>0</v>
      </c>
      <c r="AE62" s="18">
        <f t="shared" si="32"/>
        <v>-1860.0719782957756</v>
      </c>
      <c r="AF62" s="18">
        <f>IFERROR((#REF!/$S62),0)</f>
        <v>0</v>
      </c>
      <c r="AG62" s="18">
        <f t="shared" si="28"/>
        <v>-235.40224793754498</v>
      </c>
      <c r="AH62" s="18">
        <f t="shared" si="50"/>
        <v>-125.99413100049831</v>
      </c>
      <c r="AI62" s="18">
        <f t="shared" si="51"/>
        <v>-282.78943580089697</v>
      </c>
      <c r="AJ62" s="118">
        <f t="shared" si="25"/>
        <v>-3720.857095398926</v>
      </c>
      <c r="AK62" s="1">
        <f t="shared" si="68"/>
        <v>-3720.857095398926</v>
      </c>
      <c r="AL62" s="50">
        <f t="shared" si="69"/>
        <v>0</v>
      </c>
      <c r="AM62" s="51"/>
      <c r="AN62" t="s">
        <v>732</v>
      </c>
      <c r="AO62" t="b">
        <f>EXACT(B62,AN62)</f>
        <v>1</v>
      </c>
    </row>
    <row r="63" spans="1:41">
      <c r="A63" s="64">
        <f>SUMIF('Balanza ok'!D:D,B63,'Balanza ok'!B:B)</f>
        <v>709222</v>
      </c>
      <c r="B63" s="171" t="s">
        <v>857</v>
      </c>
      <c r="C63" s="2" t="s">
        <v>331</v>
      </c>
      <c r="D63" s="18">
        <v>0</v>
      </c>
      <c r="E63" s="18">
        <v>-273841</v>
      </c>
      <c r="F63" s="18">
        <v>-64217</v>
      </c>
      <c r="G63" s="18">
        <v>-273841</v>
      </c>
      <c r="H63" s="18">
        <v>-273838</v>
      </c>
      <c r="I63" s="18">
        <v>-39894</v>
      </c>
      <c r="J63" s="18">
        <v>-273841</v>
      </c>
      <c r="K63" s="18">
        <v>-273842</v>
      </c>
      <c r="L63" s="18">
        <v>0</v>
      </c>
      <c r="M63" s="18">
        <v>-273841</v>
      </c>
      <c r="N63" s="18">
        <v>-273841</v>
      </c>
      <c r="O63" s="18">
        <v>-273838</v>
      </c>
      <c r="P63" s="18">
        <v>-273838</v>
      </c>
      <c r="Q63" s="19">
        <f>SUM(D63:P63)</f>
        <v>-2568672</v>
      </c>
      <c r="R63" s="36">
        <f t="shared" si="18"/>
        <v>-2844.4405071701458</v>
      </c>
      <c r="S63" s="47">
        <f t="shared" si="24"/>
        <v>903.05</v>
      </c>
      <c r="T63" s="18">
        <f>IFERROR((D63/$S63),0)</f>
        <v>0</v>
      </c>
      <c r="U63" s="18">
        <f>IFERROR((#REF!/$S63),0)</f>
        <v>0</v>
      </c>
      <c r="V63" s="18">
        <f>IFERROR((#REF!/$S63),0)</f>
        <v>0</v>
      </c>
      <c r="W63" s="18">
        <f>IFERROR((E63/$S63),0)</f>
        <v>-303.24013066829082</v>
      </c>
      <c r="X63" s="18">
        <f>IFERROR((F63/$S63),0)</f>
        <v>-71.111234150932958</v>
      </c>
      <c r="Y63" s="18">
        <f>IFERROR((G63/$S63),0)</f>
        <v>-303.24013066829082</v>
      </c>
      <c r="Z63" s="18">
        <f>IFERROR((H63/$S63),0)</f>
        <v>-303.23680859310116</v>
      </c>
      <c r="AA63" s="18">
        <f>IFERROR((I63/$S63),0)</f>
        <v>-44.176955871767902</v>
      </c>
      <c r="AB63" s="18">
        <f>IFERROR((J63/$S63),0)</f>
        <v>-303.24013066829082</v>
      </c>
      <c r="AC63" s="18">
        <f>IFERROR((K63/$S63),0)</f>
        <v>-303.24123802668737</v>
      </c>
      <c r="AD63" s="18">
        <f t="shared" ref="AD63:AD81" si="84">IFERROR((L63/$S63),0)</f>
        <v>0</v>
      </c>
      <c r="AE63" s="18">
        <f t="shared" ref="AE63:AE81" si="85">IFERROR((M63/$S63),0)</f>
        <v>-303.24013066829082</v>
      </c>
      <c r="AF63" s="18">
        <f>IFERROR((#REF!/$S63),0)</f>
        <v>0</v>
      </c>
      <c r="AG63" s="18">
        <f t="shared" si="28"/>
        <v>-303.24013066829082</v>
      </c>
      <c r="AH63" s="18">
        <f t="shared" si="50"/>
        <v>-303.23680859310116</v>
      </c>
      <c r="AI63" s="18">
        <f t="shared" si="51"/>
        <v>-303.23680859310116</v>
      </c>
      <c r="AJ63" s="118">
        <f t="shared" si="25"/>
        <v>-2844.4405071701458</v>
      </c>
      <c r="AK63" s="1">
        <f t="shared" ref="AK63" si="86">+AJ63</f>
        <v>-2844.4405071701458</v>
      </c>
      <c r="AL63" s="50">
        <f t="shared" ref="AL63" si="87">+R63-AJ63</f>
        <v>0</v>
      </c>
      <c r="AM63" s="51"/>
      <c r="AN63" t="s">
        <v>857</v>
      </c>
      <c r="AO63" t="b">
        <f>EXACT(B63,AN63)</f>
        <v>1</v>
      </c>
    </row>
    <row r="64" spans="1:41">
      <c r="A64" s="174">
        <f>SUMIF('Balanza ok'!D:D,B64,'Balanza ok'!B:B)</f>
        <v>714382</v>
      </c>
      <c r="B64" s="171" t="s">
        <v>867</v>
      </c>
      <c r="C64" s="3" t="s">
        <v>866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9">
        <f>SUM(D64:P64)</f>
        <v>0</v>
      </c>
      <c r="R64" s="36">
        <f t="shared" si="18"/>
        <v>0</v>
      </c>
      <c r="S64" s="47">
        <f t="shared" si="24"/>
        <v>903.05</v>
      </c>
      <c r="T64" s="18">
        <f>IFERROR((D64/$S64),0)</f>
        <v>0</v>
      </c>
      <c r="U64" s="18">
        <f>IFERROR((#REF!/$S64),0)</f>
        <v>0</v>
      </c>
      <c r="V64" s="18">
        <f>IFERROR((#REF!/$S64),0)</f>
        <v>0</v>
      </c>
      <c r="W64" s="18">
        <f>IFERROR((E64/$S64),0)</f>
        <v>0</v>
      </c>
      <c r="X64" s="18">
        <f>IFERROR((F64/$S64),0)</f>
        <v>0</v>
      </c>
      <c r="Y64" s="18">
        <f>IFERROR((G64/$S64),0)</f>
        <v>0</v>
      </c>
      <c r="Z64" s="18">
        <f>IFERROR((H64/$S64),0)</f>
        <v>0</v>
      </c>
      <c r="AA64" s="18">
        <f>IFERROR((I64/$S64),0)</f>
        <v>0</v>
      </c>
      <c r="AB64" s="18">
        <f>IFERROR((J64/$S64),0)</f>
        <v>0</v>
      </c>
      <c r="AC64" s="18">
        <f>IFERROR((K64/$S64),0)</f>
        <v>0</v>
      </c>
      <c r="AD64" s="18">
        <f t="shared" si="84"/>
        <v>0</v>
      </c>
      <c r="AE64" s="18">
        <f t="shared" si="85"/>
        <v>0</v>
      </c>
      <c r="AF64" s="18">
        <f>IFERROR((#REF!/$S64),0)</f>
        <v>0</v>
      </c>
      <c r="AG64" s="18">
        <f t="shared" ref="AG64" si="88">IFERROR((N64/$S64),0)</f>
        <v>0</v>
      </c>
      <c r="AH64" s="18">
        <f t="shared" ref="AH64" si="89">IFERROR((O64/$S64),0)</f>
        <v>0</v>
      </c>
      <c r="AI64" s="18">
        <f t="shared" ref="AI64" si="90">IFERROR((P64/$S64),0)</f>
        <v>0</v>
      </c>
      <c r="AJ64" s="118">
        <f t="shared" si="25"/>
        <v>0</v>
      </c>
      <c r="AK64" s="1">
        <f t="shared" ref="AK64" si="91">+AJ64</f>
        <v>0</v>
      </c>
      <c r="AL64" s="50">
        <f t="shared" ref="AL64" si="92">+R64-AJ64</f>
        <v>0</v>
      </c>
      <c r="AM64" s="51"/>
      <c r="AN64" t="s">
        <v>867</v>
      </c>
      <c r="AO64" t="b">
        <f>EXACT(B64,AN64)</f>
        <v>1</v>
      </c>
    </row>
    <row r="65" spans="1:41">
      <c r="A65" s="174">
        <f>SUMIF('Balanza ok'!D:D,B65,'Balanza ok'!B:B)</f>
        <v>715392</v>
      </c>
      <c r="B65" s="171" t="s">
        <v>739</v>
      </c>
      <c r="C65" s="2" t="s">
        <v>504</v>
      </c>
      <c r="D65" s="18">
        <v>-142640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-152990</v>
      </c>
      <c r="Q65" s="19">
        <f>SUM(D65:P65)</f>
        <v>-295630</v>
      </c>
      <c r="R65" s="36">
        <f t="shared" si="18"/>
        <v>-327.3683627706107</v>
      </c>
      <c r="S65" s="47">
        <f>+S64</f>
        <v>903.05</v>
      </c>
      <c r="T65" s="18">
        <f>IFERROR((D65/$S65),0)</f>
        <v>-157.95360168318476</v>
      </c>
      <c r="U65" s="18">
        <f>IFERROR((#REF!/$S65),0)</f>
        <v>0</v>
      </c>
      <c r="V65" s="18">
        <f>IFERROR((#REF!/$S65),0)</f>
        <v>0</v>
      </c>
      <c r="W65" s="18">
        <f>IFERROR((E65/$S65),0)</f>
        <v>0</v>
      </c>
      <c r="X65" s="18">
        <f>IFERROR((F65/$S65),0)</f>
        <v>0</v>
      </c>
      <c r="Y65" s="18">
        <f>IFERROR((G65/$S65),0)</f>
        <v>0</v>
      </c>
      <c r="Z65" s="18">
        <f>IFERROR((H65/$S65),0)</f>
        <v>0</v>
      </c>
      <c r="AA65" s="18">
        <f>IFERROR((I65/$S65),0)</f>
        <v>0</v>
      </c>
      <c r="AB65" s="18">
        <f>IFERROR((J65/$S65),0)</f>
        <v>0</v>
      </c>
      <c r="AC65" s="18">
        <f>IFERROR((K65/$S65),0)</f>
        <v>0</v>
      </c>
      <c r="AD65" s="18">
        <f t="shared" si="84"/>
        <v>0</v>
      </c>
      <c r="AE65" s="18">
        <f t="shared" si="85"/>
        <v>0</v>
      </c>
      <c r="AF65" s="18">
        <f>IFERROR((#REF!/$S65),0)</f>
        <v>0</v>
      </c>
      <c r="AG65" s="18">
        <f t="shared" ref="AG65" si="93">IFERROR((N65/$S65),0)</f>
        <v>0</v>
      </c>
      <c r="AH65" s="18">
        <f t="shared" ref="AH65" si="94">IFERROR((O65/$S65),0)</f>
        <v>0</v>
      </c>
      <c r="AI65" s="18">
        <f t="shared" ref="AI65" si="95">IFERROR((P65/$S65),0)</f>
        <v>-169.41476108742594</v>
      </c>
      <c r="AJ65" s="118">
        <f t="shared" si="25"/>
        <v>-327.3683627706107</v>
      </c>
      <c r="AK65" s="1">
        <f t="shared" ref="AK65" si="96">+AJ65</f>
        <v>-327.3683627706107</v>
      </c>
      <c r="AL65" s="50">
        <f t="shared" ref="AL65" si="97">+R65-AJ65</f>
        <v>0</v>
      </c>
      <c r="AM65" s="51"/>
      <c r="AN65" t="s">
        <v>739</v>
      </c>
      <c r="AO65" t="b">
        <f>EXACT(B65,AN65)</f>
        <v>1</v>
      </c>
    </row>
    <row r="66" spans="1:41">
      <c r="A66" s="64">
        <f>SUMIF('Balanza ok'!D:D,B66,'Balanza ok'!B:B)</f>
        <v>715391</v>
      </c>
      <c r="B66" s="171" t="s">
        <v>773</v>
      </c>
      <c r="C66" s="2" t="s">
        <v>10</v>
      </c>
      <c r="D66" s="18">
        <v>0</v>
      </c>
      <c r="E66" s="18">
        <v>-167288</v>
      </c>
      <c r="F66" s="18">
        <v>-43928</v>
      </c>
      <c r="G66" s="18">
        <v>-167288</v>
      </c>
      <c r="H66" s="18">
        <v>0</v>
      </c>
      <c r="I66" s="18">
        <v>-3890</v>
      </c>
      <c r="J66" s="18">
        <v>-167285</v>
      </c>
      <c r="K66" s="18">
        <v>-167285</v>
      </c>
      <c r="L66" s="18">
        <v>0</v>
      </c>
      <c r="M66" s="18">
        <v>-167284</v>
      </c>
      <c r="N66" s="18">
        <v>-167276</v>
      </c>
      <c r="O66" s="18">
        <v>-167275</v>
      </c>
      <c r="P66" s="18">
        <v>-167270</v>
      </c>
      <c r="Q66" s="19">
        <f>SUM(D66:P66)</f>
        <v>-1386069</v>
      </c>
      <c r="R66" s="36">
        <f t="shared" si="18"/>
        <v>-1534.8751453407897</v>
      </c>
      <c r="S66" s="47">
        <f t="shared" si="24"/>
        <v>903.05</v>
      </c>
      <c r="T66" s="18">
        <f>IFERROR((D66/$S66),0)</f>
        <v>0</v>
      </c>
      <c r="U66" s="18">
        <f>IFERROR((#REF!/$S66),0)</f>
        <v>0</v>
      </c>
      <c r="V66" s="18">
        <f>IFERROR((#REF!/$S66),0)</f>
        <v>0</v>
      </c>
      <c r="W66" s="18">
        <f>IFERROR((E66/$S66),0)</f>
        <v>-185.24777144122697</v>
      </c>
      <c r="X66" s="18">
        <f>IFERROR((F66/$S66),0)</f>
        <v>-48.644039643430595</v>
      </c>
      <c r="Y66" s="18">
        <f>IFERROR((G66/$S66),0)</f>
        <v>-185.24777144122697</v>
      </c>
      <c r="Z66" s="18">
        <f>IFERROR((H66/$S66),0)</f>
        <v>0</v>
      </c>
      <c r="AA66" s="18">
        <f>IFERROR((I66/$S66),0)</f>
        <v>-4.307624162560213</v>
      </c>
      <c r="AB66" s="18">
        <f>IFERROR((J66/$S66),0)</f>
        <v>-185.24444936603732</v>
      </c>
      <c r="AC66" s="18">
        <f>IFERROR((K66/$S66),0)</f>
        <v>-185.24444936603732</v>
      </c>
      <c r="AD66" s="18">
        <f t="shared" si="84"/>
        <v>0</v>
      </c>
      <c r="AE66" s="18">
        <f t="shared" si="85"/>
        <v>-185.24334200764079</v>
      </c>
      <c r="AF66" s="18">
        <f>IFERROR((#REF!/$S66),0)</f>
        <v>0</v>
      </c>
      <c r="AG66" s="18">
        <f t="shared" si="28"/>
        <v>-185.23448314046843</v>
      </c>
      <c r="AH66" s="18">
        <f t="shared" si="50"/>
        <v>-185.23337578207187</v>
      </c>
      <c r="AI66" s="18">
        <f t="shared" si="51"/>
        <v>-185.22783899008914</v>
      </c>
      <c r="AJ66" s="118">
        <f t="shared" si="25"/>
        <v>-1534.8751453407895</v>
      </c>
      <c r="AK66" s="1">
        <f t="shared" si="68"/>
        <v>-1534.8751453407895</v>
      </c>
      <c r="AL66" s="50">
        <f t="shared" si="69"/>
        <v>0</v>
      </c>
      <c r="AM66" s="51"/>
      <c r="AN66" t="s">
        <v>773</v>
      </c>
      <c r="AO66" t="b">
        <f>EXACT(B66,AN66)</f>
        <v>1</v>
      </c>
    </row>
    <row r="67" spans="1:41">
      <c r="A67" s="195">
        <v>730791</v>
      </c>
      <c r="B67" s="171" t="s">
        <v>744</v>
      </c>
      <c r="C67" s="2" t="s">
        <v>488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9">
        <f>SUM(D67:P67)</f>
        <v>0</v>
      </c>
      <c r="R67" s="36">
        <f t="shared" ref="R67" si="98">Q67/S67</f>
        <v>0</v>
      </c>
      <c r="S67" s="47">
        <f t="shared" si="24"/>
        <v>903.05</v>
      </c>
      <c r="T67" s="18">
        <f>IFERROR((D67/$S67),0)</f>
        <v>0</v>
      </c>
      <c r="U67" s="18">
        <f>IFERROR((#REF!/$S67),0)</f>
        <v>0</v>
      </c>
      <c r="V67" s="18">
        <f>IFERROR((#REF!/$S67),0)</f>
        <v>0</v>
      </c>
      <c r="W67" s="18">
        <f>IFERROR((E67/$S67),0)</f>
        <v>0</v>
      </c>
      <c r="X67" s="18">
        <f>IFERROR((F67/$S67),0)</f>
        <v>0</v>
      </c>
      <c r="Y67" s="18">
        <f>IFERROR((G67/$S67),0)</f>
        <v>0</v>
      </c>
      <c r="Z67" s="18">
        <f>IFERROR((H67/$S67),0)</f>
        <v>0</v>
      </c>
      <c r="AA67" s="18">
        <f>IFERROR((I67/$S67),0)</f>
        <v>0</v>
      </c>
      <c r="AB67" s="18">
        <f>IFERROR((J67/$S67),0)</f>
        <v>0</v>
      </c>
      <c r="AC67" s="18">
        <f>IFERROR((K67/$S67),0)</f>
        <v>0</v>
      </c>
      <c r="AD67" s="18">
        <f t="shared" si="84"/>
        <v>0</v>
      </c>
      <c r="AE67" s="18">
        <f t="shared" si="85"/>
        <v>0</v>
      </c>
      <c r="AF67" s="18">
        <f>IFERROR((#REF!/$S67),0)</f>
        <v>0</v>
      </c>
      <c r="AG67" s="18">
        <f t="shared" ref="AG67" si="99">IFERROR((N67/$S67),0)</f>
        <v>0</v>
      </c>
      <c r="AH67" s="18">
        <f t="shared" ref="AH67" si="100">IFERROR((O67/$S67),0)</f>
        <v>0</v>
      </c>
      <c r="AI67" s="18">
        <f t="shared" ref="AI67" si="101">IFERROR((P67/$S67),0)</f>
        <v>0</v>
      </c>
      <c r="AJ67" s="118">
        <f t="shared" si="25"/>
        <v>0</v>
      </c>
      <c r="AK67" s="1">
        <f t="shared" ref="AK67" si="102">+AJ67</f>
        <v>0</v>
      </c>
      <c r="AL67" s="50">
        <f t="shared" ref="AL67" si="103">+R67-AJ67</f>
        <v>0</v>
      </c>
      <c r="AM67" s="51"/>
      <c r="AN67" t="s">
        <v>744</v>
      </c>
      <c r="AO67" t="b">
        <f>EXACT(B67,AN67)</f>
        <v>1</v>
      </c>
    </row>
    <row r="68" spans="1:41">
      <c r="A68" s="59">
        <f>SUMIF('Balanza ok'!D:D,B68,'Balanza ok'!B:B)</f>
        <v>810040</v>
      </c>
      <c r="B68" s="171" t="s">
        <v>747</v>
      </c>
      <c r="C68" s="2" t="s">
        <v>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-1458890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9">
        <f>SUM(D68:P68)</f>
        <v>-1458890</v>
      </c>
      <c r="R68" s="36">
        <f t="shared" si="18"/>
        <v>-1615.5140911355961</v>
      </c>
      <c r="S68" s="47">
        <f>+S67</f>
        <v>903.05</v>
      </c>
      <c r="T68" s="18">
        <f>IFERROR((D68/$S68),0)</f>
        <v>0</v>
      </c>
      <c r="U68" s="18">
        <f>IFERROR((#REF!/$S68),0)</f>
        <v>0</v>
      </c>
      <c r="V68" s="18">
        <f>IFERROR((#REF!/$S68),0)</f>
        <v>0</v>
      </c>
      <c r="W68" s="18">
        <f>IFERROR((E68/$S68),0)</f>
        <v>0</v>
      </c>
      <c r="X68" s="18">
        <f>IFERROR((F68/$S68),0)</f>
        <v>0</v>
      </c>
      <c r="Y68" s="18">
        <f>IFERROR((G68/$S68),0)</f>
        <v>0</v>
      </c>
      <c r="Z68" s="18">
        <f>IFERROR((H68/$S68),0)</f>
        <v>0</v>
      </c>
      <c r="AA68" s="18">
        <f>IFERROR((I68/$S68),0)</f>
        <v>-1615.5140911355961</v>
      </c>
      <c r="AB68" s="18">
        <f>IFERROR((J68/$S68),0)</f>
        <v>0</v>
      </c>
      <c r="AC68" s="18">
        <f>IFERROR((K68/$S68),0)</f>
        <v>0</v>
      </c>
      <c r="AD68" s="18">
        <f t="shared" si="84"/>
        <v>0</v>
      </c>
      <c r="AE68" s="18">
        <f t="shared" si="85"/>
        <v>0</v>
      </c>
      <c r="AF68" s="18">
        <f>IFERROR((#REF!/$S68),0)</f>
        <v>0</v>
      </c>
      <c r="AG68" s="18">
        <f t="shared" si="28"/>
        <v>0</v>
      </c>
      <c r="AH68" s="18">
        <f t="shared" si="50"/>
        <v>0</v>
      </c>
      <c r="AI68" s="18">
        <f t="shared" si="51"/>
        <v>0</v>
      </c>
      <c r="AJ68" s="118">
        <f t="shared" si="25"/>
        <v>-1615.5140911355961</v>
      </c>
      <c r="AK68" s="1">
        <f t="shared" ref="AK68:AK69" si="104">+AJ68</f>
        <v>-1615.5140911355961</v>
      </c>
      <c r="AL68" s="50">
        <f t="shared" ref="AL68:AL69" si="105">+R68-AJ68</f>
        <v>0</v>
      </c>
      <c r="AM68" s="51"/>
      <c r="AN68" t="s">
        <v>747</v>
      </c>
      <c r="AO68" t="b">
        <f>EXACT(B68,AN68)</f>
        <v>1</v>
      </c>
    </row>
    <row r="69" spans="1:41">
      <c r="A69" s="59">
        <f>SUMIF('Balanza ok'!D:D,B69,'Balanza ok'!B:B)</f>
        <v>717604</v>
      </c>
      <c r="B69" s="171" t="s">
        <v>737</v>
      </c>
      <c r="C69" s="2" t="s">
        <v>7</v>
      </c>
      <c r="D69" s="18">
        <v>0</v>
      </c>
      <c r="E69" s="18">
        <v>-1480761</v>
      </c>
      <c r="F69" s="18">
        <v>-96105</v>
      </c>
      <c r="G69" s="18">
        <v>-1480762</v>
      </c>
      <c r="H69" s="18">
        <v>-1480762</v>
      </c>
      <c r="I69" s="18">
        <v>866</v>
      </c>
      <c r="J69" s="18">
        <v>-1480761</v>
      </c>
      <c r="K69" s="18">
        <v>-1480762</v>
      </c>
      <c r="L69" s="18">
        <v>0</v>
      </c>
      <c r="M69" s="18">
        <v>-1480760</v>
      </c>
      <c r="N69" s="18">
        <v>-1480761</v>
      </c>
      <c r="O69" s="18">
        <v>0</v>
      </c>
      <c r="P69" s="18">
        <v>0</v>
      </c>
      <c r="Q69" s="19">
        <f>SUM(D69:P69)</f>
        <v>-10460568</v>
      </c>
      <c r="R69" s="36">
        <f t="shared" ref="R69" si="106">Q69/S69</f>
        <v>-11583.597807430375</v>
      </c>
      <c r="S69" s="47">
        <f t="shared" si="24"/>
        <v>903.05</v>
      </c>
      <c r="T69" s="18">
        <f>IFERROR((D69/$S69),0)</f>
        <v>0</v>
      </c>
      <c r="U69" s="18">
        <f>IFERROR((#REF!/$S69),0)</f>
        <v>0</v>
      </c>
      <c r="V69" s="18">
        <f>IFERROR((#REF!/$S69),0)</f>
        <v>0</v>
      </c>
      <c r="W69" s="18">
        <f>IFERROR((E69/$S69),0)</f>
        <v>-1639.7331266264327</v>
      </c>
      <c r="X69" s="18">
        <f>IFERROR((F69/$S69),0)</f>
        <v>-106.42267869996125</v>
      </c>
      <c r="Y69" s="18">
        <f>IFERROR((G69/$S69),0)</f>
        <v>-1639.7342339848292</v>
      </c>
      <c r="Z69" s="18">
        <f>IFERROR((H69/$S69),0)</f>
        <v>-1639.7342339848292</v>
      </c>
      <c r="AA69" s="18">
        <f>IFERROR((I69/$S69),0)</f>
        <v>0.95897237140800629</v>
      </c>
      <c r="AB69" s="18">
        <f>IFERROR((J69/$S69),0)</f>
        <v>-1639.7331266264327</v>
      </c>
      <c r="AC69" s="18">
        <f>IFERROR((K69/$S69),0)</f>
        <v>-1639.7342339848292</v>
      </c>
      <c r="AD69" s="18">
        <f t="shared" si="84"/>
        <v>0</v>
      </c>
      <c r="AE69" s="18">
        <f t="shared" si="85"/>
        <v>-1639.7320192680361</v>
      </c>
      <c r="AF69" s="18">
        <f>IFERROR((#REF!/$S69),0)</f>
        <v>0</v>
      </c>
      <c r="AG69" s="18">
        <f t="shared" ref="AG69" si="107">IFERROR((N69/$S69),0)</f>
        <v>-1639.7331266264327</v>
      </c>
      <c r="AH69" s="18">
        <f t="shared" ref="AH69" si="108">IFERROR((O69/$S69),0)</f>
        <v>0</v>
      </c>
      <c r="AI69" s="18">
        <f t="shared" ref="AI69" si="109">IFERROR((P69/$S69),0)</f>
        <v>0</v>
      </c>
      <c r="AJ69" s="118">
        <f t="shared" si="25"/>
        <v>-11583.597807430375</v>
      </c>
      <c r="AK69" s="1">
        <f t="shared" si="104"/>
        <v>-11583.597807430375</v>
      </c>
      <c r="AL69" s="50">
        <f t="shared" si="105"/>
        <v>0</v>
      </c>
      <c r="AM69" s="51"/>
      <c r="AN69" t="s">
        <v>737</v>
      </c>
      <c r="AO69" t="b">
        <f>EXACT(B69,AN69)</f>
        <v>1</v>
      </c>
    </row>
    <row r="70" spans="1:41">
      <c r="A70" s="59">
        <f>SUMIF('Balanza ok'!D:D,B70,'Balanza ok'!B:B)</f>
        <v>717604</v>
      </c>
      <c r="B70" s="171" t="s">
        <v>976</v>
      </c>
      <c r="C70" s="2" t="s">
        <v>977</v>
      </c>
      <c r="D70" s="18">
        <v>0</v>
      </c>
      <c r="E70" s="18">
        <v>0</v>
      </c>
      <c r="F70" s="18">
        <v>-196439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-1047425</v>
      </c>
      <c r="P70" s="18">
        <v>-1200031</v>
      </c>
      <c r="Q70" s="19">
        <f>SUM(D70:P70)</f>
        <v>-2443895</v>
      </c>
      <c r="R70" s="36">
        <f t="shared" si="18"/>
        <v>-2706.2676485244451</v>
      </c>
      <c r="S70" s="47">
        <f t="shared" si="24"/>
        <v>903.05</v>
      </c>
      <c r="T70" s="18">
        <f>IFERROR((D70/$S70),0)</f>
        <v>0</v>
      </c>
      <c r="U70" s="18">
        <f>IFERROR((#REF!/$S70),0)</f>
        <v>0</v>
      </c>
      <c r="V70" s="18">
        <f>IFERROR((#REF!/$S70),0)</f>
        <v>0</v>
      </c>
      <c r="W70" s="18">
        <f>IFERROR((E70/$S70),0)</f>
        <v>0</v>
      </c>
      <c r="X70" s="18">
        <f>IFERROR((F70/$S70),0)</f>
        <v>-217.52837605891148</v>
      </c>
      <c r="Y70" s="18">
        <f>IFERROR((G70/$S70),0)</f>
        <v>0</v>
      </c>
      <c r="Z70" s="18">
        <f>IFERROR((H70/$S70),0)</f>
        <v>0</v>
      </c>
      <c r="AA70" s="18">
        <f>IFERROR((I70/$S70),0)</f>
        <v>0</v>
      </c>
      <c r="AB70" s="18">
        <f>IFERROR((J70/$S70),0)</f>
        <v>0</v>
      </c>
      <c r="AC70" s="18">
        <f>IFERROR((K70/$S70),0)</f>
        <v>0</v>
      </c>
      <c r="AD70" s="18">
        <f t="shared" si="84"/>
        <v>0</v>
      </c>
      <c r="AE70" s="18">
        <f t="shared" si="85"/>
        <v>0</v>
      </c>
      <c r="AF70" s="18">
        <f>IFERROR((#REF!/$S70),0)</f>
        <v>0</v>
      </c>
      <c r="AG70" s="18">
        <f t="shared" si="28"/>
        <v>0</v>
      </c>
      <c r="AH70" s="18">
        <f t="shared" si="50"/>
        <v>-1159.8748685011906</v>
      </c>
      <c r="AI70" s="18">
        <f t="shared" si="51"/>
        <v>-1328.8644039643432</v>
      </c>
      <c r="AJ70" s="118">
        <f t="shared" si="25"/>
        <v>-2706.2676485244451</v>
      </c>
      <c r="AK70" s="1">
        <f t="shared" si="68"/>
        <v>-2706.2676485244451</v>
      </c>
      <c r="AL70" s="50">
        <f t="shared" si="69"/>
        <v>0</v>
      </c>
      <c r="AM70" s="51"/>
      <c r="AN70" t="s">
        <v>976</v>
      </c>
      <c r="AO70" t="b">
        <f>EXACT(B70,AN70)</f>
        <v>1</v>
      </c>
    </row>
    <row r="71" spans="1:41">
      <c r="A71" s="59">
        <f>SUMIF('Balanza ok'!D:D,B71,'Balanza ok'!B:B)</f>
        <v>730780</v>
      </c>
      <c r="B71" s="171" t="s">
        <v>718</v>
      </c>
      <c r="C71" s="2" t="s">
        <v>612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-1133557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9">
        <f>SUM(D71:P71)</f>
        <v>-1133557</v>
      </c>
      <c r="R71" s="36">
        <f t="shared" si="18"/>
        <v>-1255.253861912408</v>
      </c>
      <c r="S71" s="47">
        <f t="shared" si="24"/>
        <v>903.05</v>
      </c>
      <c r="T71" s="18">
        <f>IFERROR((D71/$S71),0)</f>
        <v>0</v>
      </c>
      <c r="U71" s="18">
        <f>IFERROR((#REF!/$S71),0)</f>
        <v>0</v>
      </c>
      <c r="V71" s="18">
        <f>IFERROR((#REF!/$S71),0)</f>
        <v>0</v>
      </c>
      <c r="W71" s="18">
        <f>IFERROR((E71/$S71),0)</f>
        <v>0</v>
      </c>
      <c r="X71" s="18">
        <f>IFERROR((F71/$S71),0)</f>
        <v>0</v>
      </c>
      <c r="Y71" s="18">
        <f>IFERROR((G71/$S71),0)</f>
        <v>0</v>
      </c>
      <c r="Z71" s="18">
        <f>IFERROR((H71/$S71),0)</f>
        <v>0</v>
      </c>
      <c r="AA71" s="18">
        <f>IFERROR((I71/$S71),0)</f>
        <v>-1255.253861912408</v>
      </c>
      <c r="AB71" s="18">
        <f>IFERROR((J71/$S71),0)</f>
        <v>0</v>
      </c>
      <c r="AC71" s="18">
        <f>IFERROR((K71/$S71),0)</f>
        <v>0</v>
      </c>
      <c r="AD71" s="18">
        <f t="shared" si="84"/>
        <v>0</v>
      </c>
      <c r="AE71" s="18">
        <f t="shared" si="85"/>
        <v>0</v>
      </c>
      <c r="AF71" s="18">
        <f>IFERROR((#REF!/$S71),0)</f>
        <v>0</v>
      </c>
      <c r="AG71" s="18">
        <f t="shared" ref="AG71" si="110">IFERROR((N71/$S71),0)</f>
        <v>0</v>
      </c>
      <c r="AH71" s="18">
        <f t="shared" ref="AH71" si="111">IFERROR((O71/$S71),0)</f>
        <v>0</v>
      </c>
      <c r="AI71" s="18">
        <f t="shared" ref="AI71" si="112">IFERROR((P71/$S71),0)</f>
        <v>0</v>
      </c>
      <c r="AJ71" s="118">
        <f t="shared" si="25"/>
        <v>-1255.253861912408</v>
      </c>
      <c r="AK71" s="1">
        <f t="shared" ref="AK71" si="113">+AJ71</f>
        <v>-1255.253861912408</v>
      </c>
      <c r="AL71" s="50">
        <f t="shared" ref="AL71" si="114">+R71-AJ71</f>
        <v>0</v>
      </c>
      <c r="AM71" s="51"/>
      <c r="AN71" t="s">
        <v>718</v>
      </c>
      <c r="AO71" t="b">
        <f>EXACT(B71,AN71)</f>
        <v>1</v>
      </c>
    </row>
    <row r="72" spans="1:41">
      <c r="A72" s="59">
        <f>SUMIF('Balanza ok'!D:D,B72,'Balanza ok'!B:B)</f>
        <v>721752</v>
      </c>
      <c r="B72" s="171" t="s">
        <v>875</v>
      </c>
      <c r="C72" s="2" t="s">
        <v>628</v>
      </c>
      <c r="D72" s="18">
        <v>-497134</v>
      </c>
      <c r="E72" s="18">
        <v>-497134</v>
      </c>
      <c r="F72" s="18">
        <v>-121354</v>
      </c>
      <c r="G72" s="18">
        <v>-497134</v>
      </c>
      <c r="H72" s="18">
        <v>-4331016</v>
      </c>
      <c r="I72" s="18">
        <v>-1315075</v>
      </c>
      <c r="J72" s="18">
        <v>-497133</v>
      </c>
      <c r="K72" s="18">
        <v>-497133</v>
      </c>
      <c r="L72" s="18">
        <v>-497134</v>
      </c>
      <c r="M72" s="18">
        <v>-497134</v>
      </c>
      <c r="N72" s="18">
        <v>-497134</v>
      </c>
      <c r="O72" s="18">
        <v>-497134</v>
      </c>
      <c r="P72" s="18">
        <v>-497134</v>
      </c>
      <c r="Q72" s="19">
        <f>SUM(D72:P72)</f>
        <v>-10738783</v>
      </c>
      <c r="R72" s="36">
        <f t="shared" si="18"/>
        <v>-11891.681523725154</v>
      </c>
      <c r="S72" s="47">
        <f t="shared" si="24"/>
        <v>903.05</v>
      </c>
      <c r="T72" s="18">
        <f>IFERROR((D72/$S72),0)</f>
        <v>-550.50550910802281</v>
      </c>
      <c r="U72" s="18">
        <f>IFERROR((#REF!/$S72),0)</f>
        <v>0</v>
      </c>
      <c r="V72" s="18">
        <f>IFERROR((#REF!/$S72),0)</f>
        <v>0</v>
      </c>
      <c r="W72" s="18">
        <f>IFERROR((E72/$S72),0)</f>
        <v>-550.50550910802281</v>
      </c>
      <c r="X72" s="18">
        <f>IFERROR((F72/$S72),0)</f>
        <v>-134.38237085432701</v>
      </c>
      <c r="Y72" s="18">
        <f>IFERROR((G72/$S72),0)</f>
        <v>-550.50550910802281</v>
      </c>
      <c r="Z72" s="18">
        <f>IFERROR((H72/$S72),0)</f>
        <v>-4795.9869331709206</v>
      </c>
      <c r="AA72" s="18">
        <f>IFERROR((I72/$S72),0)</f>
        <v>-1456.2593433364709</v>
      </c>
      <c r="AB72" s="18">
        <f>IFERROR((J72/$S72),0)</f>
        <v>-550.50440174962625</v>
      </c>
      <c r="AC72" s="18">
        <f>IFERROR((K72/$S72),0)</f>
        <v>-550.50440174962625</v>
      </c>
      <c r="AD72" s="18">
        <f t="shared" si="84"/>
        <v>-550.50550910802281</v>
      </c>
      <c r="AE72" s="18">
        <f t="shared" si="85"/>
        <v>-550.50550910802281</v>
      </c>
      <c r="AF72" s="18">
        <f>IFERROR((#REF!/$S72),0)</f>
        <v>0</v>
      </c>
      <c r="AG72" s="18">
        <f t="shared" si="28"/>
        <v>-550.50550910802281</v>
      </c>
      <c r="AH72" s="18">
        <f t="shared" si="50"/>
        <v>-550.50550910802281</v>
      </c>
      <c r="AI72" s="18">
        <f t="shared" si="51"/>
        <v>-550.50550910802281</v>
      </c>
      <c r="AJ72" s="118">
        <f t="shared" si="25"/>
        <v>-11891.681523725154</v>
      </c>
      <c r="AK72" s="1">
        <f t="shared" ref="AK72" si="115">+AJ72</f>
        <v>-11891.681523725154</v>
      </c>
      <c r="AL72" s="50">
        <f t="shared" ref="AL72" si="116">+R72-AJ72</f>
        <v>0</v>
      </c>
      <c r="AM72" s="51"/>
      <c r="AN72" t="s">
        <v>875</v>
      </c>
      <c r="AO72" t="b">
        <f>EXACT(B72,AN72)</f>
        <v>1</v>
      </c>
    </row>
    <row r="73" spans="1:41">
      <c r="A73" s="59">
        <f>SUMIF('Balanza ok'!D:D,B73,'Balanza ok'!B:B)</f>
        <v>730786</v>
      </c>
      <c r="B73" s="171" t="s">
        <v>742</v>
      </c>
      <c r="C73" s="2" t="s">
        <v>497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-537122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9">
        <f>SUM(D73:P73)</f>
        <v>-537122</v>
      </c>
      <c r="R73" s="36">
        <f t="shared" si="18"/>
        <v>-594.78655666906593</v>
      </c>
      <c r="S73" s="47">
        <f t="shared" si="24"/>
        <v>903.05</v>
      </c>
      <c r="T73" s="18">
        <f>IFERROR((D73/$S73),0)</f>
        <v>0</v>
      </c>
      <c r="U73" s="18">
        <f>IFERROR((#REF!/$S73),0)</f>
        <v>0</v>
      </c>
      <c r="V73" s="18">
        <f>IFERROR((#REF!/$S73),0)</f>
        <v>0</v>
      </c>
      <c r="W73" s="18">
        <f>IFERROR((E73/$S73),0)</f>
        <v>0</v>
      </c>
      <c r="X73" s="18">
        <f>IFERROR((F73/$S73),0)</f>
        <v>0</v>
      </c>
      <c r="Y73" s="18">
        <f>IFERROR((G73/$S73),0)</f>
        <v>0</v>
      </c>
      <c r="Z73" s="18">
        <f>IFERROR((H73/$S73),0)</f>
        <v>0</v>
      </c>
      <c r="AA73" s="18">
        <f>IFERROR((I73/$S73),0)</f>
        <v>-594.78655666906593</v>
      </c>
      <c r="AB73" s="18">
        <f>IFERROR((J73/$S73),0)</f>
        <v>0</v>
      </c>
      <c r="AC73" s="18">
        <f>IFERROR((K73/$S73),0)</f>
        <v>0</v>
      </c>
      <c r="AD73" s="18">
        <f t="shared" si="84"/>
        <v>0</v>
      </c>
      <c r="AE73" s="18">
        <f t="shared" si="85"/>
        <v>0</v>
      </c>
      <c r="AF73" s="18">
        <f>IFERROR((#REF!/$S73),0)</f>
        <v>0</v>
      </c>
      <c r="AG73" s="18">
        <f t="shared" si="28"/>
        <v>0</v>
      </c>
      <c r="AH73" s="18">
        <f t="shared" si="50"/>
        <v>0</v>
      </c>
      <c r="AI73" s="18">
        <f t="shared" si="51"/>
        <v>0</v>
      </c>
      <c r="AJ73" s="118">
        <f t="shared" si="25"/>
        <v>-594.78655666906593</v>
      </c>
      <c r="AK73" s="1">
        <f t="shared" si="68"/>
        <v>-594.78655666906593</v>
      </c>
      <c r="AL73" s="50">
        <f t="shared" si="69"/>
        <v>0</v>
      </c>
      <c r="AM73" s="51"/>
      <c r="AN73" t="s">
        <v>742</v>
      </c>
      <c r="AO73" t="b">
        <f>EXACT(B73,AN73)</f>
        <v>1</v>
      </c>
    </row>
    <row r="74" spans="1:41">
      <c r="A74" s="59">
        <f>SUMIF('Balanza ok'!D:D,B74,'Balanza ok'!B:B)</f>
        <v>709225</v>
      </c>
      <c r="B74" s="171" t="s">
        <v>871</v>
      </c>
      <c r="C74" s="2" t="s">
        <v>869</v>
      </c>
      <c r="D74" s="18">
        <v>0</v>
      </c>
      <c r="E74" s="18">
        <v>-262949</v>
      </c>
      <c r="F74" s="18">
        <v>-60206</v>
      </c>
      <c r="G74" s="18">
        <v>-262948</v>
      </c>
      <c r="H74" s="18">
        <v>0</v>
      </c>
      <c r="I74" s="18">
        <v>0</v>
      </c>
      <c r="J74" s="18">
        <v>-262947</v>
      </c>
      <c r="K74" s="18">
        <v>-262946</v>
      </c>
      <c r="L74" s="18">
        <v>0</v>
      </c>
      <c r="M74" s="18">
        <v>-262946</v>
      </c>
      <c r="N74" s="18">
        <v>-262945</v>
      </c>
      <c r="O74" s="18">
        <v>-262945</v>
      </c>
      <c r="P74" s="18">
        <v>-262945</v>
      </c>
      <c r="Q74" s="19">
        <f>SUM(D74:P74)</f>
        <v>-2163777</v>
      </c>
      <c r="R74" s="36">
        <f t="shared" si="18"/>
        <v>-2396.0766292010412</v>
      </c>
      <c r="S74" s="47">
        <f t="shared" si="24"/>
        <v>903.05</v>
      </c>
      <c r="T74" s="18">
        <f>IFERROR((D74/$S74),0)</f>
        <v>0</v>
      </c>
      <c r="U74" s="18">
        <f>IFERROR((#REF!/$S74),0)</f>
        <v>0</v>
      </c>
      <c r="V74" s="18">
        <f>IFERROR((#REF!/$S74),0)</f>
        <v>0</v>
      </c>
      <c r="W74" s="18">
        <f>IFERROR((E74/$S74),0)</f>
        <v>-291.1787830131222</v>
      </c>
      <c r="X74" s="18">
        <f>IFERROR((F74/$S74),0)</f>
        <v>-66.669619622390783</v>
      </c>
      <c r="Y74" s="18">
        <f>IFERROR((G74/$S74),0)</f>
        <v>-291.17767565472565</v>
      </c>
      <c r="Z74" s="18">
        <f>IFERROR((H74/$S74),0)</f>
        <v>0</v>
      </c>
      <c r="AA74" s="18">
        <f>IFERROR((I74/$S74),0)</f>
        <v>0</v>
      </c>
      <c r="AB74" s="18">
        <f>IFERROR((J74/$S74),0)</f>
        <v>-291.17656829632909</v>
      </c>
      <c r="AC74" s="18">
        <f>IFERROR((K74/$S74),0)</f>
        <v>-291.1754609379326</v>
      </c>
      <c r="AD74" s="18">
        <f t="shared" si="84"/>
        <v>0</v>
      </c>
      <c r="AE74" s="18">
        <f t="shared" si="85"/>
        <v>-291.1754609379326</v>
      </c>
      <c r="AF74" s="18">
        <f>IFERROR((#REF!/$S74),0)</f>
        <v>0</v>
      </c>
      <c r="AG74" s="18">
        <f t="shared" si="28"/>
        <v>-291.17435357953605</v>
      </c>
      <c r="AH74" s="18">
        <f t="shared" si="50"/>
        <v>-291.17435357953605</v>
      </c>
      <c r="AI74" s="18">
        <f t="shared" si="51"/>
        <v>-291.17435357953605</v>
      </c>
      <c r="AJ74" s="118">
        <f t="shared" si="25"/>
        <v>-2396.0766292010412</v>
      </c>
      <c r="AK74" s="1">
        <f t="shared" si="68"/>
        <v>-2396.0766292010412</v>
      </c>
      <c r="AL74" s="50">
        <f t="shared" si="69"/>
        <v>0</v>
      </c>
      <c r="AM74" s="51"/>
      <c r="AN74" t="s">
        <v>871</v>
      </c>
      <c r="AO74" t="b">
        <f>EXACT(B74,AN74)</f>
        <v>1</v>
      </c>
    </row>
    <row r="75" spans="1:41">
      <c r="A75" s="59">
        <f>SUMIF('Balanza ok'!D:D,B75,'Balanza ok'!B:B)</f>
        <v>709205</v>
      </c>
      <c r="B75" s="171" t="s">
        <v>725</v>
      </c>
      <c r="C75" s="2" t="s">
        <v>6</v>
      </c>
      <c r="D75" s="18">
        <v>0</v>
      </c>
      <c r="E75" s="18">
        <v>0</v>
      </c>
      <c r="F75" s="18">
        <v>0</v>
      </c>
      <c r="G75" s="18">
        <v>0</v>
      </c>
      <c r="H75" s="18">
        <v>-11432859</v>
      </c>
      <c r="I75" s="18">
        <v>431685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9">
        <f>SUM(D75:P75)</f>
        <v>-11001174</v>
      </c>
      <c r="R75" s="36">
        <f t="shared" si="18"/>
        <v>-12182.242400753004</v>
      </c>
      <c r="S75" s="47">
        <f t="shared" si="24"/>
        <v>903.05</v>
      </c>
      <c r="T75" s="18">
        <f>IFERROR((D75/$S75),0)</f>
        <v>0</v>
      </c>
      <c r="U75" s="18">
        <f>IFERROR((#REF!/$S75),0)</f>
        <v>0</v>
      </c>
      <c r="V75" s="18">
        <f>IFERROR((#REF!/$S75),0)</f>
        <v>0</v>
      </c>
      <c r="W75" s="18">
        <f>IFERROR((E75/$S75),0)</f>
        <v>0</v>
      </c>
      <c r="X75" s="18">
        <f>IFERROR((F75/$S75),0)</f>
        <v>0</v>
      </c>
      <c r="Y75" s="18">
        <f>IFERROR((G75/$S75),0)</f>
        <v>0</v>
      </c>
      <c r="Z75" s="18">
        <f>IFERROR((H75/$S75),0)</f>
        <v>-12660.272410165551</v>
      </c>
      <c r="AA75" s="18">
        <f>IFERROR((I75/$S75),0)</f>
        <v>478.03000941254641</v>
      </c>
      <c r="AB75" s="18">
        <f>IFERROR((J75/$S75),0)</f>
        <v>0</v>
      </c>
      <c r="AC75" s="18">
        <f>IFERROR((K75/$S75),0)</f>
        <v>0</v>
      </c>
      <c r="AD75" s="18">
        <f t="shared" si="84"/>
        <v>0</v>
      </c>
      <c r="AE75" s="18">
        <f t="shared" si="85"/>
        <v>0</v>
      </c>
      <c r="AF75" s="18">
        <f>IFERROR((#REF!/$S75),0)</f>
        <v>0</v>
      </c>
      <c r="AG75" s="18">
        <f t="shared" si="28"/>
        <v>0</v>
      </c>
      <c r="AH75" s="18">
        <f t="shared" si="50"/>
        <v>0</v>
      </c>
      <c r="AI75" s="18">
        <f t="shared" si="51"/>
        <v>0</v>
      </c>
      <c r="AJ75" s="118">
        <f t="shared" si="25"/>
        <v>-12182.242400753004</v>
      </c>
      <c r="AK75" s="1">
        <f t="shared" ref="AK75:AK76" si="117">+AJ75</f>
        <v>-12182.242400753004</v>
      </c>
      <c r="AL75" s="50">
        <f t="shared" ref="AL75:AL76" si="118">+R75-AJ75</f>
        <v>0</v>
      </c>
      <c r="AM75" s="51"/>
      <c r="AN75" t="s">
        <v>725</v>
      </c>
      <c r="AO75" t="b">
        <f>EXACT(B75,AN75)</f>
        <v>1</v>
      </c>
    </row>
    <row r="76" spans="1:41">
      <c r="A76" s="59">
        <f>SUMIF('Balanza ok'!D:D,B76,'Balanza ok'!B:B)</f>
        <v>709224</v>
      </c>
      <c r="B76" s="171" t="s">
        <v>726</v>
      </c>
      <c r="C76" s="2" t="s">
        <v>727</v>
      </c>
      <c r="D76" s="18">
        <v>0</v>
      </c>
      <c r="E76" s="18">
        <v>-680949</v>
      </c>
      <c r="F76" s="18">
        <v>82370</v>
      </c>
      <c r="G76" s="18">
        <v>-680950</v>
      </c>
      <c r="H76" s="18">
        <v>0</v>
      </c>
      <c r="I76" s="18">
        <v>-1222329</v>
      </c>
      <c r="J76" s="18">
        <v>-680950</v>
      </c>
      <c r="K76" s="18">
        <v>-680951</v>
      </c>
      <c r="L76" s="18">
        <v>0</v>
      </c>
      <c r="M76" s="18">
        <v>-680950</v>
      </c>
      <c r="N76" s="18">
        <v>-680949</v>
      </c>
      <c r="O76" s="18">
        <v>-680948</v>
      </c>
      <c r="P76" s="18">
        <v>-680948</v>
      </c>
      <c r="Q76" s="19">
        <f>SUM(D76:P76)</f>
        <v>-6587554</v>
      </c>
      <c r="R76" s="36">
        <f t="shared" si="18"/>
        <v>-7294.7832345938768</v>
      </c>
      <c r="S76" s="47">
        <f t="shared" si="24"/>
        <v>903.05</v>
      </c>
      <c r="T76" s="18">
        <f>IFERROR((D76/$S76),0)</f>
        <v>0</v>
      </c>
      <c r="U76" s="18">
        <f>IFERROR((#REF!/$S76),0)</f>
        <v>0</v>
      </c>
      <c r="V76" s="18">
        <f>IFERROR((#REF!/$S76),0)</f>
        <v>0</v>
      </c>
      <c r="W76" s="18">
        <f>IFERROR((E76/$S76),0)</f>
        <v>-754.05459276894976</v>
      </c>
      <c r="X76" s="18">
        <f>IFERROR((F76/$S76),0)</f>
        <v>91.213111123415104</v>
      </c>
      <c r="Y76" s="18">
        <f>IFERROR((G76/$S76),0)</f>
        <v>-754.0557001273462</v>
      </c>
      <c r="Z76" s="18">
        <f>IFERROR((H76/$S76),0)</f>
        <v>0</v>
      </c>
      <c r="AA76" s="18">
        <f>IFERROR((I76/$S76),0)</f>
        <v>-1353.5562814905045</v>
      </c>
      <c r="AB76" s="18">
        <f>IFERROR((J76/$S76),0)</f>
        <v>-754.0557001273462</v>
      </c>
      <c r="AC76" s="18">
        <f>IFERROR((K76/$S76),0)</f>
        <v>-754.05680748574275</v>
      </c>
      <c r="AD76" s="18">
        <f t="shared" si="84"/>
        <v>0</v>
      </c>
      <c r="AE76" s="18">
        <f t="shared" si="85"/>
        <v>-754.0557001273462</v>
      </c>
      <c r="AF76" s="18">
        <f>IFERROR((#REF!/$S76),0)</f>
        <v>0</v>
      </c>
      <c r="AG76" s="18">
        <f t="shared" si="28"/>
        <v>-754.05459276894976</v>
      </c>
      <c r="AH76" s="18">
        <f t="shared" si="50"/>
        <v>-754.05348541055321</v>
      </c>
      <c r="AI76" s="18">
        <f t="shared" si="51"/>
        <v>-754.05348541055321</v>
      </c>
      <c r="AJ76" s="118">
        <f t="shared" si="25"/>
        <v>-7294.7832345938778</v>
      </c>
      <c r="AK76" s="1">
        <f t="shared" si="117"/>
        <v>-7294.7832345938778</v>
      </c>
      <c r="AL76" s="50">
        <f t="shared" si="118"/>
        <v>0</v>
      </c>
      <c r="AM76" s="51"/>
      <c r="AN76" t="s">
        <v>726</v>
      </c>
      <c r="AO76" t="b">
        <f>EXACT(B76,AN76)</f>
        <v>1</v>
      </c>
    </row>
    <row r="77" spans="1:41">
      <c r="A77" s="59">
        <v>740818</v>
      </c>
      <c r="B77" s="171" t="s">
        <v>745</v>
      </c>
      <c r="C77" s="2" t="s">
        <v>12</v>
      </c>
      <c r="D77" s="18">
        <v>-8669001.6220182925</v>
      </c>
      <c r="E77" s="18">
        <v>-26046.172364516762</v>
      </c>
      <c r="F77" s="18">
        <v>-848768.51646821829</v>
      </c>
      <c r="G77" s="18">
        <v>-72223.970409615533</v>
      </c>
      <c r="H77" s="18">
        <v>0</v>
      </c>
      <c r="I77" s="18">
        <v>-2782219.8891337477</v>
      </c>
      <c r="J77" s="18">
        <v>-4212648.4704934396</v>
      </c>
      <c r="K77" s="18">
        <v>-1209758.2216202128</v>
      </c>
      <c r="L77" s="18">
        <v>0</v>
      </c>
      <c r="M77" s="18">
        <v>-4166376.6308202036</v>
      </c>
      <c r="N77" s="18">
        <v>-3861879.9147996418</v>
      </c>
      <c r="O77" s="18">
        <v>-3444902.6942674536</v>
      </c>
      <c r="P77" s="18">
        <v>-2559960.8976046592</v>
      </c>
      <c r="Q77" s="19">
        <f>SUM(D77:P77)</f>
        <v>-31853787</v>
      </c>
      <c r="R77" s="36">
        <f t="shared" si="18"/>
        <v>-35273.558496207297</v>
      </c>
      <c r="S77" s="47">
        <f t="shared" si="24"/>
        <v>903.05</v>
      </c>
      <c r="T77" s="18">
        <f>IFERROR((D77/$S77),0)</f>
        <v>-9599.691735804543</v>
      </c>
      <c r="U77" s="18">
        <f>IFERROR((#REF!/$S77),0)</f>
        <v>0</v>
      </c>
      <c r="V77" s="18">
        <f>IFERROR((#REF!/$S77),0)</f>
        <v>0</v>
      </c>
      <c r="W77" s="18">
        <f>IFERROR((E77/$S77),0)</f>
        <v>-28.842447665707063</v>
      </c>
      <c r="X77" s="18">
        <f>IFERROR((F77/$S77),0)</f>
        <v>-939.89094343416014</v>
      </c>
      <c r="Y77" s="18">
        <f>IFERROR((G77/$S77),0)</f>
        <v>-79.9778200649084</v>
      </c>
      <c r="Z77" s="18">
        <f>IFERROR((H77/$S77),0)</f>
        <v>0</v>
      </c>
      <c r="AA77" s="18">
        <f>IFERROR((I77/$S77),0)</f>
        <v>-3080.914555266871</v>
      </c>
      <c r="AB77" s="18">
        <f>IFERROR((J77/$S77),0)</f>
        <v>-4664.9116554935381</v>
      </c>
      <c r="AC77" s="18">
        <f>IFERROR((K77/$S77),0)</f>
        <v>-1339.6359245005401</v>
      </c>
      <c r="AD77" s="18">
        <f t="shared" si="84"/>
        <v>0</v>
      </c>
      <c r="AE77" s="18">
        <f t="shared" si="85"/>
        <v>-4613.6721453077944</v>
      </c>
      <c r="AF77" s="18">
        <f>IFERROR((#REF!/$S77),0)</f>
        <v>0</v>
      </c>
      <c r="AG77" s="18">
        <f t="shared" si="28"/>
        <v>-4276.4851501020339</v>
      </c>
      <c r="AH77" s="18">
        <f t="shared" si="50"/>
        <v>-3814.7419237777021</v>
      </c>
      <c r="AI77" s="18">
        <f t="shared" si="51"/>
        <v>-2834.7941947895015</v>
      </c>
      <c r="AJ77" s="118">
        <f t="shared" si="25"/>
        <v>-35273.558496207304</v>
      </c>
      <c r="AK77" s="1">
        <f t="shared" si="68"/>
        <v>-35273.558496207304</v>
      </c>
      <c r="AL77" s="50">
        <f t="shared" si="69"/>
        <v>0</v>
      </c>
      <c r="AN77" t="s">
        <v>745</v>
      </c>
      <c r="AO77" t="b">
        <f>EXACT(B77,AN77)</f>
        <v>1</v>
      </c>
    </row>
    <row r="78" spans="1:41">
      <c r="A78" s="59">
        <v>740814</v>
      </c>
      <c r="B78" s="171"/>
      <c r="C78" s="2"/>
      <c r="D78" s="18">
        <v>-1655450.4665808904</v>
      </c>
      <c r="E78" s="18">
        <v>-4973.8309061991986</v>
      </c>
      <c r="F78" s="18">
        <v>-162082.59011484095</v>
      </c>
      <c r="G78" s="18">
        <v>-13792.038659820448</v>
      </c>
      <c r="H78" s="18">
        <v>0</v>
      </c>
      <c r="I78" s="18">
        <v>-531298.46024008235</v>
      </c>
      <c r="J78" s="18">
        <v>-804456.05850469449</v>
      </c>
      <c r="K78" s="18">
        <v>-231017.93029368331</v>
      </c>
      <c r="L78" s="18">
        <v>0</v>
      </c>
      <c r="M78" s="18">
        <v>-795619.89236740163</v>
      </c>
      <c r="N78" s="18">
        <v>-737472.57015116361</v>
      </c>
      <c r="O78" s="18">
        <v>-657845.73832195194</v>
      </c>
      <c r="P78" s="18">
        <v>-488855.42385927198</v>
      </c>
      <c r="Q78" s="19">
        <f>SUM(D78:P78)</f>
        <v>-6082865</v>
      </c>
      <c r="R78" s="36">
        <f t="shared" si="18"/>
        <v>-6735.9116327999564</v>
      </c>
      <c r="S78" s="47">
        <f t="shared" si="24"/>
        <v>903.05</v>
      </c>
      <c r="T78" s="18">
        <f>IFERROR((D78/$S78),0)</f>
        <v>-1833.176974232756</v>
      </c>
      <c r="U78" s="18">
        <f>IFERROR((#REF!/$S78),0)</f>
        <v>0</v>
      </c>
      <c r="V78" s="18">
        <f>IFERROR((#REF!/$S78),0)</f>
        <v>0</v>
      </c>
      <c r="W78" s="18">
        <f>IFERROR((E78/$S78),0)</f>
        <v>-5.5078134169749173</v>
      </c>
      <c r="X78" s="18">
        <f>IFERROR((F78/$S78),0)</f>
        <v>-179.48351709743753</v>
      </c>
      <c r="Y78" s="18">
        <f>IFERROR((G78/$S78),0)</f>
        <v>-15.272729815425999</v>
      </c>
      <c r="Z78" s="18">
        <f>IFERROR((H78/$S78),0)</f>
        <v>0</v>
      </c>
      <c r="AA78" s="18">
        <f>IFERROR((I78/$S78),0)</f>
        <v>-588.33781101830732</v>
      </c>
      <c r="AB78" s="18">
        <f>IFERROR((J78/$S78),0)</f>
        <v>-890.82117103670282</v>
      </c>
      <c r="AC78" s="18">
        <f>IFERROR((K78/$S78),0)</f>
        <v>-255.81964486316741</v>
      </c>
      <c r="AD78" s="18">
        <f t="shared" si="84"/>
        <v>0</v>
      </c>
      <c r="AE78" s="18">
        <f t="shared" si="85"/>
        <v>-881.0363682713047</v>
      </c>
      <c r="AF78" s="18">
        <f>IFERROR((#REF!/$S78),0)</f>
        <v>0</v>
      </c>
      <c r="AG78" s="18">
        <f t="shared" si="28"/>
        <v>-816.64644277854347</v>
      </c>
      <c r="AH78" s="18">
        <f t="shared" si="50"/>
        <v>-728.47100196218594</v>
      </c>
      <c r="AI78" s="18">
        <f t="shared" si="51"/>
        <v>-541.33815830715025</v>
      </c>
      <c r="AJ78" s="118">
        <f t="shared" si="25"/>
        <v>-6735.9116327999564</v>
      </c>
      <c r="AK78" s="1">
        <f t="shared" si="33"/>
        <v>-6735.9116327999564</v>
      </c>
      <c r="AL78" s="50">
        <f t="shared" si="27"/>
        <v>0</v>
      </c>
      <c r="AO78" t="b">
        <f>EXACT(B78,AN78)</f>
        <v>1</v>
      </c>
    </row>
    <row r="79" spans="1:41">
      <c r="A79" s="59">
        <f>SUMIF('Balanza ok'!D:D,B79,'Balanza ok'!B:B)</f>
        <v>810015</v>
      </c>
      <c r="B79" s="171" t="s">
        <v>746</v>
      </c>
      <c r="C79" s="2" t="s">
        <v>988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-33811</v>
      </c>
      <c r="K79" s="18">
        <v>0</v>
      </c>
      <c r="L79" s="18">
        <v>0</v>
      </c>
      <c r="M79" s="18">
        <v>0</v>
      </c>
      <c r="N79" s="18">
        <v>0</v>
      </c>
      <c r="O79" s="18">
        <v>-16417</v>
      </c>
      <c r="P79" s="18">
        <v>-27053</v>
      </c>
      <c r="Q79" s="19">
        <f>SUM(D79:P79)</f>
        <v>-77281</v>
      </c>
      <c r="R79" s="36">
        <f t="shared" ref="R79" si="119">Q79/S79</f>
        <v>-85.577764243397382</v>
      </c>
      <c r="S79" s="47">
        <f>+S77</f>
        <v>903.05</v>
      </c>
      <c r="T79" s="18">
        <f>IFERROR((D79/$S79),0)</f>
        <v>0</v>
      </c>
      <c r="U79" s="18">
        <f>IFERROR((#REF!/$S79),0)</f>
        <v>0</v>
      </c>
      <c r="V79" s="18">
        <f>IFERROR((#REF!/$S79),0)</f>
        <v>0</v>
      </c>
      <c r="W79" s="18">
        <f>IFERROR((E79/$S79),0)</f>
        <v>0</v>
      </c>
      <c r="X79" s="18">
        <f>IFERROR((F79/$S79),0)</f>
        <v>0</v>
      </c>
      <c r="Y79" s="18">
        <f>IFERROR((G79/$S79),0)</f>
        <v>0</v>
      </c>
      <c r="Z79" s="18">
        <f>IFERROR((H79/$S79),0)</f>
        <v>0</v>
      </c>
      <c r="AA79" s="18">
        <f>IFERROR((I79/$S79),0)</f>
        <v>0</v>
      </c>
      <c r="AB79" s="18">
        <f>IFERROR((J79/$S79),0)</f>
        <v>-37.440894745584409</v>
      </c>
      <c r="AC79" s="18">
        <f>IFERROR((K79/$S79),0)</f>
        <v>0</v>
      </c>
      <c r="AD79" s="18">
        <f t="shared" si="84"/>
        <v>0</v>
      </c>
      <c r="AE79" s="18">
        <f t="shared" si="85"/>
        <v>0</v>
      </c>
      <c r="AF79" s="18">
        <f>IFERROR((#REF!/$S79),0)</f>
        <v>0</v>
      </c>
      <c r="AG79" s="18">
        <f t="shared" si="28"/>
        <v>0</v>
      </c>
      <c r="AH79" s="18">
        <f t="shared" si="50"/>
        <v>-18.179502796079952</v>
      </c>
      <c r="AI79" s="18">
        <f t="shared" si="51"/>
        <v>-29.957366701733019</v>
      </c>
      <c r="AJ79" s="118">
        <f t="shared" ref="AJ79" si="120">SUM(T79:AI79)</f>
        <v>-85.577764243397382</v>
      </c>
      <c r="AK79" s="1">
        <f t="shared" si="33"/>
        <v>-85.577764243397382</v>
      </c>
      <c r="AL79" s="50">
        <f t="shared" si="27"/>
        <v>0</v>
      </c>
      <c r="AN79" t="s">
        <v>746</v>
      </c>
      <c r="AO79" t="b">
        <f>EXACT(B79,AN79)</f>
        <v>1</v>
      </c>
    </row>
    <row r="80" spans="1:41">
      <c r="A80" s="59">
        <f>SUMIF('Balanza ok'!D:D,B80,'Balanza ok'!B:B)</f>
        <v>820010</v>
      </c>
      <c r="B80" s="171" t="s">
        <v>761</v>
      </c>
      <c r="C80" s="2" t="s">
        <v>762</v>
      </c>
      <c r="D80" s="18"/>
      <c r="E80" s="18"/>
      <c r="F80" s="18"/>
      <c r="G80" s="18"/>
      <c r="H80" s="18">
        <v>0</v>
      </c>
      <c r="I80" s="18">
        <v>3695613</v>
      </c>
      <c r="J80" s="18"/>
      <c r="K80" s="18"/>
      <c r="L80" s="18">
        <v>0</v>
      </c>
      <c r="M80" s="18"/>
      <c r="N80" s="18"/>
      <c r="O80" s="18"/>
      <c r="P80" s="18"/>
      <c r="Q80" s="19">
        <f>SUM(D80:P80)</f>
        <v>3695613</v>
      </c>
      <c r="R80" s="36">
        <f t="shared" si="18"/>
        <v>4092.3680859310116</v>
      </c>
      <c r="S80" s="47">
        <f>+S78</f>
        <v>903.05</v>
      </c>
      <c r="T80" s="18">
        <f>IFERROR((D80/$S80),0)</f>
        <v>0</v>
      </c>
      <c r="U80" s="18">
        <f>IFERROR((#REF!/$S80),0)</f>
        <v>0</v>
      </c>
      <c r="V80" s="18">
        <f>IFERROR((#REF!/$S80),0)</f>
        <v>0</v>
      </c>
      <c r="W80" s="18">
        <f>IFERROR((E80/$S80),0)</f>
        <v>0</v>
      </c>
      <c r="X80" s="18">
        <f>IFERROR((F80/$S80),0)</f>
        <v>0</v>
      </c>
      <c r="Y80" s="18">
        <f>IFERROR((G80/$S80),0)</f>
        <v>0</v>
      </c>
      <c r="Z80" s="18">
        <f>IFERROR((H80/$S80),0)</f>
        <v>0</v>
      </c>
      <c r="AA80" s="18">
        <f>IFERROR((I80/$S80),0)</f>
        <v>4092.3680859310116</v>
      </c>
      <c r="AB80" s="18">
        <f>IFERROR((J80/$S80),0)</f>
        <v>0</v>
      </c>
      <c r="AC80" s="18">
        <f>IFERROR((K80/$S80),0)</f>
        <v>0</v>
      </c>
      <c r="AD80" s="18">
        <f t="shared" si="84"/>
        <v>0</v>
      </c>
      <c r="AE80" s="18">
        <f t="shared" si="85"/>
        <v>0</v>
      </c>
      <c r="AF80" s="18">
        <f>IFERROR((#REF!/$S80),0)</f>
        <v>0</v>
      </c>
      <c r="AG80" s="18">
        <f t="shared" ref="AG80" si="121">IFERROR((N80/$S80),0)</f>
        <v>0</v>
      </c>
      <c r="AH80" s="18">
        <f t="shared" ref="AH80" si="122">IFERROR((O80/$S80),0)</f>
        <v>0</v>
      </c>
      <c r="AI80" s="18">
        <f t="shared" ref="AI80" si="123">IFERROR((P80/$S80),0)</f>
        <v>0</v>
      </c>
      <c r="AJ80" s="118">
        <f t="shared" si="25"/>
        <v>4092.3680859310116</v>
      </c>
      <c r="AK80" s="1">
        <f t="shared" ref="AK80" si="124">+AJ80</f>
        <v>4092.3680859310116</v>
      </c>
      <c r="AL80" s="50">
        <f t="shared" ref="AL80" si="125">+R80-AJ80</f>
        <v>0</v>
      </c>
      <c r="AN80" t="s">
        <v>761</v>
      </c>
      <c r="AO80" t="b">
        <f>EXACT(B80,AN80)</f>
        <v>1</v>
      </c>
    </row>
    <row r="81" spans="1:41">
      <c r="A81" s="59">
        <f>SUMIF('Balanza ok'!D:D,B81,'Balanza ok'!B:B)</f>
        <v>820010</v>
      </c>
      <c r="B81" s="171" t="s">
        <v>760</v>
      </c>
      <c r="C81" s="2" t="s">
        <v>464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35492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9">
        <f>SUM(D81:P81)</f>
        <v>35492</v>
      </c>
      <c r="R81" s="36">
        <f t="shared" si="18"/>
        <v>39.302364210176627</v>
      </c>
      <c r="S81" s="47">
        <f t="shared" si="24"/>
        <v>903.05</v>
      </c>
      <c r="T81" s="18">
        <f>IFERROR((D81/$S81),0)</f>
        <v>0</v>
      </c>
      <c r="U81" s="18">
        <f>IFERROR((#REF!/$S81),0)</f>
        <v>0</v>
      </c>
      <c r="V81" s="18">
        <f>IFERROR((#REF!/$S81),0)</f>
        <v>0</v>
      </c>
      <c r="W81" s="18">
        <f>IFERROR((E81/$S81),0)</f>
        <v>0</v>
      </c>
      <c r="X81" s="18">
        <f>IFERROR((F81/$S81),0)</f>
        <v>0</v>
      </c>
      <c r="Y81" s="18">
        <f>IFERROR((G81/$S81),0)</f>
        <v>0</v>
      </c>
      <c r="Z81" s="18">
        <f>IFERROR((H81/$S81),0)</f>
        <v>0</v>
      </c>
      <c r="AA81" s="18">
        <f>IFERROR((I81/$S81),0)</f>
        <v>39.302364210176627</v>
      </c>
      <c r="AB81" s="18">
        <f>IFERROR((J81/$S81),0)</f>
        <v>0</v>
      </c>
      <c r="AC81" s="18">
        <f>IFERROR((K81/$S81),0)</f>
        <v>0</v>
      </c>
      <c r="AD81" s="18">
        <f t="shared" si="84"/>
        <v>0</v>
      </c>
      <c r="AE81" s="18">
        <f t="shared" si="85"/>
        <v>0</v>
      </c>
      <c r="AF81" s="18">
        <f>IFERROR((#REF!/$S81),0)</f>
        <v>0</v>
      </c>
      <c r="AG81" s="18">
        <f t="shared" si="28"/>
        <v>0</v>
      </c>
      <c r="AH81" s="18">
        <f t="shared" si="50"/>
        <v>0</v>
      </c>
      <c r="AI81" s="18">
        <f t="shared" si="51"/>
        <v>0</v>
      </c>
      <c r="AJ81" s="118">
        <f t="shared" si="25"/>
        <v>39.302364210176627</v>
      </c>
      <c r="AK81" s="1">
        <f t="shared" si="33"/>
        <v>39.302364210176627</v>
      </c>
      <c r="AL81" s="50">
        <f t="shared" si="27"/>
        <v>0</v>
      </c>
      <c r="AN81" t="s">
        <v>760</v>
      </c>
      <c r="AO81" t="b">
        <f>EXACT(B81,AN81)</f>
        <v>1</v>
      </c>
    </row>
    <row r="82" spans="1:41">
      <c r="A82" s="59">
        <f>SUMIF('Balanza ok'!D:D,B82,'Balanza ok'!B:B)</f>
        <v>820010</v>
      </c>
      <c r="B82" s="171" t="s">
        <v>917</v>
      </c>
      <c r="C82" s="2" t="s">
        <v>919</v>
      </c>
      <c r="D82" s="18"/>
      <c r="E82" s="18"/>
      <c r="F82" s="18"/>
      <c r="G82" s="18"/>
      <c r="H82" s="18">
        <v>0</v>
      </c>
      <c r="I82" s="18">
        <v>775274</v>
      </c>
      <c r="J82" s="18"/>
      <c r="K82" s="18"/>
      <c r="L82" s="18">
        <v>0</v>
      </c>
      <c r="M82" s="18"/>
      <c r="N82" s="18"/>
      <c r="O82" s="18"/>
      <c r="P82" s="18"/>
      <c r="Q82" s="19">
        <f>SUM(D82:P82)</f>
        <v>775274</v>
      </c>
      <c r="R82" s="36">
        <f t="shared" si="18"/>
        <v>858.50617352306074</v>
      </c>
      <c r="S82" s="47">
        <f t="shared" si="24"/>
        <v>903.05</v>
      </c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18">
        <f t="shared" si="25"/>
        <v>0</v>
      </c>
      <c r="AK82" s="1">
        <f t="shared" si="33"/>
        <v>0</v>
      </c>
      <c r="AL82" s="50"/>
      <c r="AN82" t="s">
        <v>917</v>
      </c>
      <c r="AO82" t="b">
        <f>EXACT(B82,AN82)</f>
        <v>1</v>
      </c>
    </row>
    <row r="83" spans="1:41">
      <c r="A83" s="181">
        <f>SUMIF('Balanza ok'!D:D,B83,'Balanza ok'!B:B)</f>
        <v>820060</v>
      </c>
      <c r="B83" s="171" t="s">
        <v>748</v>
      </c>
      <c r="C83" s="2" t="s">
        <v>1</v>
      </c>
      <c r="D83" s="18"/>
      <c r="E83" s="18"/>
      <c r="F83" s="18"/>
      <c r="G83" s="18"/>
      <c r="H83" s="18">
        <v>0</v>
      </c>
      <c r="I83" s="18">
        <v>-10834978</v>
      </c>
      <c r="J83" s="18"/>
      <c r="K83" s="18"/>
      <c r="L83" s="18">
        <v>0</v>
      </c>
      <c r="M83" s="18"/>
      <c r="N83" s="18"/>
      <c r="O83" s="18"/>
      <c r="P83" s="18"/>
      <c r="Q83" s="19">
        <f>SUM(D83:P83)</f>
        <v>-10834978</v>
      </c>
      <c r="R83" s="36">
        <f t="shared" si="18"/>
        <v>-11998.203864680805</v>
      </c>
      <c r="S83" s="47">
        <f t="shared" si="24"/>
        <v>903.05</v>
      </c>
      <c r="T83" s="18">
        <f>IFERROR((D83/$S83),0)</f>
        <v>0</v>
      </c>
      <c r="U83" s="18">
        <f>IFERROR((#REF!/$S83),0)</f>
        <v>0</v>
      </c>
      <c r="V83" s="18">
        <f>IFERROR((#REF!/$S83),0)</f>
        <v>0</v>
      </c>
      <c r="W83" s="18">
        <f>IFERROR((E83/$S83),0)</f>
        <v>0</v>
      </c>
      <c r="X83" s="18">
        <f>IFERROR((F83/$S83),0)</f>
        <v>0</v>
      </c>
      <c r="Y83" s="18">
        <f>IFERROR((G83/$S83),0)</f>
        <v>0</v>
      </c>
      <c r="Z83" s="18">
        <f>IFERROR((H83/$S83),0)</f>
        <v>0</v>
      </c>
      <c r="AA83" s="18">
        <f>IFERROR((I83/$S83),0)</f>
        <v>-11998.203864680805</v>
      </c>
      <c r="AB83" s="18">
        <f>IFERROR((J83/$S83),0)</f>
        <v>0</v>
      </c>
      <c r="AC83" s="18">
        <f>IFERROR((K83/$S83),0)</f>
        <v>0</v>
      </c>
      <c r="AD83" s="18">
        <f t="shared" ref="AD83:AE85" si="126">IFERROR((L83/$S83),0)</f>
        <v>0</v>
      </c>
      <c r="AE83" s="18">
        <f t="shared" si="126"/>
        <v>0</v>
      </c>
      <c r="AF83" s="18">
        <f>IFERROR((#REF!/$S83),0)</f>
        <v>0</v>
      </c>
      <c r="AG83" s="18">
        <f t="shared" ref="AG83:AG85" si="127">IFERROR((N83/$S83),0)</f>
        <v>0</v>
      </c>
      <c r="AH83" s="18">
        <f t="shared" si="50"/>
        <v>0</v>
      </c>
      <c r="AI83" s="18">
        <f t="shared" si="51"/>
        <v>0</v>
      </c>
      <c r="AJ83" s="118">
        <f t="shared" si="25"/>
        <v>-11998.203864680805</v>
      </c>
      <c r="AK83" s="1">
        <f t="shared" si="33"/>
        <v>-11998.203864680805</v>
      </c>
      <c r="AL83" s="50">
        <f t="shared" si="27"/>
        <v>0</v>
      </c>
      <c r="AM83" s="51"/>
      <c r="AN83" t="s">
        <v>748</v>
      </c>
      <c r="AO83" t="b">
        <f>EXACT(B83,AN83)</f>
        <v>1</v>
      </c>
    </row>
    <row r="84" spans="1:41">
      <c r="A84" s="59">
        <f>SUMIF('Balanza ok'!D:D,B84,'Balanza ok'!B:B)</f>
        <v>810080</v>
      </c>
      <c r="B84" s="171" t="s">
        <v>753</v>
      </c>
      <c r="C84" s="2" t="s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4515392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9">
        <f>SUM(D84:P84)</f>
        <v>4515392</v>
      </c>
      <c r="R84" s="36">
        <f t="shared" si="18"/>
        <v>5000.1572448923098</v>
      </c>
      <c r="S84" s="47">
        <f t="shared" si="24"/>
        <v>903.05</v>
      </c>
      <c r="T84" s="18">
        <f>IFERROR((D84/$S84),0)</f>
        <v>0</v>
      </c>
      <c r="U84" s="18">
        <f>IFERROR((#REF!/$S84),0)</f>
        <v>0</v>
      </c>
      <c r="V84" s="18">
        <f>IFERROR((#REF!/$S84),0)</f>
        <v>0</v>
      </c>
      <c r="W84" s="18">
        <f>IFERROR((E84/$S84),0)</f>
        <v>0</v>
      </c>
      <c r="X84" s="18">
        <f>IFERROR((F84/$S84),0)</f>
        <v>0</v>
      </c>
      <c r="Y84" s="18">
        <f>IFERROR((G84/$S84),0)</f>
        <v>0</v>
      </c>
      <c r="Z84" s="18">
        <f>IFERROR((H84/$S84),0)</f>
        <v>0</v>
      </c>
      <c r="AA84" s="18">
        <f>IFERROR((I84/$S84),0)</f>
        <v>5000.1572448923098</v>
      </c>
      <c r="AB84" s="18">
        <f>IFERROR((J84/$S84),0)</f>
        <v>0</v>
      </c>
      <c r="AC84" s="18">
        <f>IFERROR((K84/$S84),0)</f>
        <v>0</v>
      </c>
      <c r="AD84" s="18">
        <f t="shared" si="126"/>
        <v>0</v>
      </c>
      <c r="AE84" s="18">
        <f t="shared" si="126"/>
        <v>0</v>
      </c>
      <c r="AF84" s="18">
        <f>IFERROR((#REF!/$S84),0)</f>
        <v>0</v>
      </c>
      <c r="AG84" s="18">
        <f t="shared" ref="AG84" si="128">IFERROR((N84/$S84),0)</f>
        <v>0</v>
      </c>
      <c r="AH84" s="18">
        <f t="shared" ref="AH84" si="129">IFERROR((O84/$S84),0)</f>
        <v>0</v>
      </c>
      <c r="AI84" s="18">
        <f t="shared" ref="AI84" si="130">IFERROR((P84/$S84),0)</f>
        <v>0</v>
      </c>
      <c r="AJ84" s="118">
        <f t="shared" si="25"/>
        <v>5000.1572448923098</v>
      </c>
      <c r="AK84" s="1">
        <f t="shared" ref="AK84" si="131">+AJ84</f>
        <v>5000.1572448923098</v>
      </c>
      <c r="AL84" s="50">
        <f t="shared" ref="AL84" si="132">+R84-AJ84</f>
        <v>0</v>
      </c>
      <c r="AM84" s="51"/>
      <c r="AN84" t="s">
        <v>753</v>
      </c>
      <c r="AO84" t="b">
        <f>EXACT(B84,AN84)</f>
        <v>1</v>
      </c>
    </row>
    <row r="85" spans="1:41">
      <c r="A85" s="59">
        <f>SUMIF('Balanza ok'!D:D,B85,'Balanza ok'!B:B)</f>
        <v>810099</v>
      </c>
      <c r="B85" s="171" t="s">
        <v>759</v>
      </c>
      <c r="C85" s="2" t="s">
        <v>418</v>
      </c>
      <c r="D85" s="18">
        <v>0</v>
      </c>
      <c r="E85" s="18">
        <v>2</v>
      </c>
      <c r="F85" s="18">
        <v>0</v>
      </c>
      <c r="G85" s="18">
        <v>0</v>
      </c>
      <c r="H85" s="18">
        <v>0</v>
      </c>
      <c r="I85" s="18">
        <v>-1346</v>
      </c>
      <c r="J85" s="18">
        <v>0</v>
      </c>
      <c r="K85" s="18">
        <v>0</v>
      </c>
      <c r="L85" s="18">
        <v>0</v>
      </c>
      <c r="M85" s="18">
        <v>-5</v>
      </c>
      <c r="N85" s="18">
        <v>0</v>
      </c>
      <c r="O85" s="18">
        <v>0</v>
      </c>
      <c r="P85" s="18">
        <v>0</v>
      </c>
      <c r="Q85" s="19">
        <f>SUM(D85:P85)</f>
        <v>-1349</v>
      </c>
      <c r="R85" s="36">
        <f t="shared" si="18"/>
        <v>-1.4938264769392615</v>
      </c>
      <c r="S85" s="47">
        <f t="shared" si="24"/>
        <v>903.05</v>
      </c>
      <c r="T85" s="18">
        <f>IFERROR((D85/$S85),0)</f>
        <v>0</v>
      </c>
      <c r="U85" s="18">
        <f>IFERROR((#REF!/$S85),0)</f>
        <v>0</v>
      </c>
      <c r="V85" s="18">
        <f>IFERROR((#REF!/$S85),0)</f>
        <v>0</v>
      </c>
      <c r="W85" s="18">
        <f>IFERROR((E85/$S85),0)</f>
        <v>2.2147167930900839E-3</v>
      </c>
      <c r="X85" s="18">
        <f>IFERROR((F85/$S85),0)</f>
        <v>0</v>
      </c>
      <c r="Y85" s="18">
        <f>IFERROR((G85/$S85),0)</f>
        <v>0</v>
      </c>
      <c r="Z85" s="18">
        <f>IFERROR((H85/$S85),0)</f>
        <v>0</v>
      </c>
      <c r="AA85" s="18">
        <f>IFERROR((I85/$S85),0)</f>
        <v>-1.4905044017496263</v>
      </c>
      <c r="AB85" s="18">
        <f>IFERROR((J85/$S85),0)</f>
        <v>0</v>
      </c>
      <c r="AC85" s="18">
        <f>IFERROR((K85/$S85),0)</f>
        <v>0</v>
      </c>
      <c r="AD85" s="18">
        <f t="shared" si="126"/>
        <v>0</v>
      </c>
      <c r="AE85" s="18">
        <f t="shared" si="126"/>
        <v>-5.5367919827252095E-3</v>
      </c>
      <c r="AF85" s="18">
        <f>IFERROR((#REF!/$S85),0)</f>
        <v>0</v>
      </c>
      <c r="AG85" s="18">
        <f t="shared" si="127"/>
        <v>0</v>
      </c>
      <c r="AH85" s="18">
        <f t="shared" si="50"/>
        <v>0</v>
      </c>
      <c r="AI85" s="18">
        <f t="shared" si="51"/>
        <v>0</v>
      </c>
      <c r="AJ85" s="118">
        <f t="shared" si="25"/>
        <v>-1.4938264769392613</v>
      </c>
      <c r="AK85" s="1">
        <f t="shared" si="33"/>
        <v>-1.4938264769392613</v>
      </c>
      <c r="AL85" s="50">
        <f t="shared" si="27"/>
        <v>0</v>
      </c>
      <c r="AM85" s="51"/>
      <c r="AN85" t="s">
        <v>759</v>
      </c>
      <c r="AO85" t="b">
        <f>EXACT(B85,AN85)</f>
        <v>1</v>
      </c>
    </row>
    <row r="86" spans="1:41" ht="14.55" thickBot="1">
      <c r="B86" s="258" t="s">
        <v>465</v>
      </c>
      <c r="C86" s="259"/>
      <c r="D86" s="13">
        <f>SUM(D23:D85)</f>
        <v>-36232314.088599183</v>
      </c>
      <c r="E86" s="13">
        <f>SUM(E23:E85)</f>
        <v>-72538966.003270715</v>
      </c>
      <c r="F86" s="13">
        <f>SUM(F23:F85)</f>
        <v>-14817083.106583059</v>
      </c>
      <c r="G86" s="13">
        <f>SUM(G23:G85)</f>
        <v>-71310081.009069443</v>
      </c>
      <c r="H86" s="13">
        <f>SUM(H23:H85)</f>
        <v>-44894950</v>
      </c>
      <c r="I86" s="13">
        <f>SUM(I23:I85)</f>
        <v>-38852606.349373832</v>
      </c>
      <c r="J86" s="13">
        <f>SUM(J23:J85)</f>
        <v>-116856255.52899814</v>
      </c>
      <c r="K86" s="13">
        <f>SUM(K23:K85)</f>
        <v>-61774215.151913896</v>
      </c>
      <c r="L86" s="13">
        <f>SUM(L23:L85)</f>
        <v>-26318285</v>
      </c>
      <c r="M86" s="13">
        <f>SUM(M23:M85)</f>
        <v>-81570957.523187608</v>
      </c>
      <c r="N86" s="13">
        <f>SUM(N23:N85)</f>
        <v>-51147063.484950811</v>
      </c>
      <c r="O86" s="13">
        <f>SUM(O23:O85)</f>
        <v>-55625256.432589404</v>
      </c>
      <c r="P86" s="13">
        <f>SUM(P23:P85)</f>
        <v>-70726302.321463928</v>
      </c>
      <c r="Q86" s="13">
        <f>SUM(D86:P86)</f>
        <v>-742664336</v>
      </c>
      <c r="R86" s="36">
        <f t="shared" si="18"/>
        <v>-822395.58828414825</v>
      </c>
      <c r="S86" s="47">
        <f t="shared" si="24"/>
        <v>903.05</v>
      </c>
      <c r="T86" s="41">
        <f>SUM(T24:T85)</f>
        <v>-40122.15723226752</v>
      </c>
      <c r="U86" s="41">
        <f>SUM(U24:U85)</f>
        <v>0</v>
      </c>
      <c r="V86" s="41">
        <f>SUM(V24:V85)</f>
        <v>0</v>
      </c>
      <c r="W86" s="41">
        <f>SUM(W24:W85)</f>
        <v>-80315.426613444142</v>
      </c>
      <c r="X86" s="41">
        <f>SUM(X24:X85)</f>
        <v>-16395.888496299271</v>
      </c>
      <c r="Y86" s="41">
        <f>SUM(Y24:Y85)</f>
        <v>-78959.509450273428</v>
      </c>
      <c r="Z86" s="41">
        <f>SUM(Z24:Z85)</f>
        <v>-61635.994684679696</v>
      </c>
      <c r="AA86" s="41">
        <f>SUM(AA24:AA85)</f>
        <v>-43882.266042161376</v>
      </c>
      <c r="AB86" s="41">
        <f>SUM(AB24:AB85)</f>
        <v>-129315.01636564765</v>
      </c>
      <c r="AC86" s="41">
        <f>SUM(AC24:AC85)</f>
        <v>-68294.39029058622</v>
      </c>
      <c r="AD86" s="41">
        <f>SUM(AD24:AD85)</f>
        <v>-29143.773877415428</v>
      </c>
      <c r="AE86" s="41">
        <f>SUM(AE24:AE85)</f>
        <v>-90242.601764229679</v>
      </c>
      <c r="AF86" s="41">
        <f>SUM(AF24:AF85)</f>
        <v>0</v>
      </c>
      <c r="AG86" s="41">
        <f>SUM(AG24:AG85)</f>
        <v>-56638.130208682567</v>
      </c>
      <c r="AH86" s="41">
        <f>SUM(AH24:AH85)</f>
        <v>-61597.094770598982</v>
      </c>
      <c r="AI86" s="41">
        <f>SUM(AI24:AI85)</f>
        <v>-78319.364732256174</v>
      </c>
      <c r="AJ86" s="62">
        <f>SUM(AJ24:AJ85)</f>
        <v>-834861.6145285425</v>
      </c>
      <c r="AK86" s="114">
        <f>AJ86-R86</f>
        <v>-12466.026244394248</v>
      </c>
      <c r="AL86" s="115">
        <f>SUM(AL24:AL85)</f>
        <v>0</v>
      </c>
    </row>
    <row r="87" spans="1:41" ht="14.55" thickTop="1">
      <c r="B87" s="14"/>
      <c r="C87" s="14"/>
      <c r="D87" s="28">
        <f>D88/$S$86</f>
        <v>-40122.15723226752</v>
      </c>
      <c r="E87" s="28">
        <f>E88/$S$86</f>
        <v>-15677.974375254236</v>
      </c>
      <c r="F87" s="28">
        <f>F88/$S$86</f>
        <v>2962.7063310342446</v>
      </c>
      <c r="G87" s="28">
        <f>G88/$S$86</f>
        <v>-28537.9344981621</v>
      </c>
      <c r="H87" s="28">
        <f>H88/$S$86</f>
        <v>3206.6177691939397</v>
      </c>
      <c r="I87" s="28">
        <f>I88/$S$86</f>
        <v>-43023.759868638321</v>
      </c>
      <c r="J87" s="28">
        <f>J88/$S$86</f>
        <v>-26464.226591125494</v>
      </c>
      <c r="K87" s="28">
        <f>K88/$S$86</f>
        <v>-30151.547506166105</v>
      </c>
      <c r="L87" s="28">
        <f>L88/$S$86</f>
        <v>-29143.773877415428</v>
      </c>
      <c r="M87" s="28">
        <f>M88/$S$86</f>
        <v>-20400.640269593714</v>
      </c>
      <c r="N87" s="28">
        <f>N88/$S$86</f>
        <v>-22438.686437596836</v>
      </c>
      <c r="O87" s="28">
        <f>O88/$S$86</f>
        <v>-28564.417164037834</v>
      </c>
      <c r="P87" s="28">
        <f>P88/$S$86</f>
        <v>-28916.470264907206</v>
      </c>
      <c r="Q87" s="19">
        <f>SUM(D87:P87)</f>
        <v>-307272.26398493664</v>
      </c>
      <c r="R87" s="109"/>
      <c r="S87" s="29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L87" s="50"/>
      <c r="AM87" s="51"/>
    </row>
    <row r="88" spans="1:41" ht="14.55" thickBot="1">
      <c r="B88" s="256" t="s">
        <v>465</v>
      </c>
      <c r="C88" s="257"/>
      <c r="D88" s="20">
        <f>+D9+D86</f>
        <v>-36232314.088599183</v>
      </c>
      <c r="E88" s="20">
        <f>+E9+E86+E18</f>
        <v>-14157994.759573337</v>
      </c>
      <c r="F88" s="20">
        <f>+F9+F86+F18</f>
        <v>2675471.9522404745</v>
      </c>
      <c r="G88" s="20">
        <f>+G9+G86+G18</f>
        <v>-25771181.748565283</v>
      </c>
      <c r="H88" s="20">
        <f>+H9+H86+H18</f>
        <v>2895736.176470587</v>
      </c>
      <c r="I88" s="20">
        <f>+I9+I86+I18</f>
        <v>-38852606.349373832</v>
      </c>
      <c r="J88" s="20">
        <f>+J9+J86+J18</f>
        <v>-23898519.823115878</v>
      </c>
      <c r="K88" s="20">
        <f>+K9+K86+K18</f>
        <v>-27228354.9754433</v>
      </c>
      <c r="L88" s="20">
        <f>+L9+L86+L18</f>
        <v>-26318285</v>
      </c>
      <c r="M88" s="20">
        <f>+M9+M86+M18</f>
        <v>-18422798.195456602</v>
      </c>
      <c r="N88" s="20">
        <f>+N9+N86+N18</f>
        <v>-20263255.787471823</v>
      </c>
      <c r="O88" s="20">
        <f>+O9+O86+O18</f>
        <v>-25795096.919984363</v>
      </c>
      <c r="P88" s="20">
        <f>+P9+P86+P18</f>
        <v>-26113018.472724453</v>
      </c>
      <c r="Q88" s="20">
        <f>+Q9+Q86+Q18</f>
        <v>-277482217.99159706</v>
      </c>
      <c r="R88" s="112">
        <f>+R9+R86</f>
        <v>-421440.71235714311</v>
      </c>
      <c r="S88" s="21"/>
      <c r="T88" s="20">
        <f>+T9+T86</f>
        <v>-40122.15723226752</v>
      </c>
      <c r="U88" s="20">
        <f>+U9+U86</f>
        <v>0</v>
      </c>
      <c r="V88" s="20">
        <f>+V9+V86</f>
        <v>0</v>
      </c>
      <c r="W88" s="20">
        <f>+W9+W86</f>
        <v>-28522.16932802635</v>
      </c>
      <c r="X88" s="20">
        <f>+X9+X86</f>
        <v>-3042.942145952471</v>
      </c>
      <c r="Y88" s="20">
        <f>+Y9+Y86</f>
        <v>-40862.401916932904</v>
      </c>
      <c r="Z88" s="20">
        <f>+Z9+Z86</f>
        <v>-11539.343336470847</v>
      </c>
      <c r="AA88" s="20">
        <f>+AA9+AA86</f>
        <v>-43882.266042161376</v>
      </c>
      <c r="AB88" s="20">
        <f>+AB9+AB86</f>
        <v>-56782.611299529657</v>
      </c>
      <c r="AC88" s="20">
        <f>+AC9+AC86</f>
        <v>-37002.781740848834</v>
      </c>
      <c r="AD88" s="20">
        <f>+AD9+AD86</f>
        <v>-29143.773877415428</v>
      </c>
      <c r="AE88" s="20">
        <f>+AE9+AE86</f>
        <v>-34377.101068408556</v>
      </c>
      <c r="AF88" s="20">
        <f>+AF9+AF86</f>
        <v>0</v>
      </c>
      <c r="AG88" s="20">
        <f>+AG9+AG86</f>
        <v>-29215.731605256922</v>
      </c>
      <c r="AH88" s="20">
        <f>+AH9+AH86</f>
        <v>-36044.082816246344</v>
      </c>
      <c r="AI88" s="20">
        <f>+AI9+AI86</f>
        <v>-43369.376192019765</v>
      </c>
      <c r="AJ88" s="117">
        <f>+AJ9+AJ86</f>
        <v>-433906.73860153736</v>
      </c>
      <c r="AM88" s="51"/>
    </row>
    <row r="89" spans="1:41" ht="14.55" thickTop="1">
      <c r="D89" s="1"/>
      <c r="E89" s="1"/>
      <c r="F89" s="1"/>
      <c r="G89" s="1"/>
      <c r="H89" s="1"/>
      <c r="I89" s="1"/>
      <c r="J89" s="1"/>
      <c r="K89" s="1"/>
      <c r="L89" s="1"/>
      <c r="M89" s="1"/>
      <c r="N89" s="157" t="s">
        <v>835</v>
      </c>
      <c r="O89" s="157"/>
      <c r="P89" s="157"/>
      <c r="Q89" s="158">
        <f>+Balance!C59</f>
        <v>-277482731</v>
      </c>
      <c r="R89" s="36">
        <f t="shared" ref="R89" si="133">Q89/S89</f>
        <v>-307272.83206909918</v>
      </c>
      <c r="S89" s="47">
        <f>+S86</f>
        <v>903.05</v>
      </c>
      <c r="V89" s="30"/>
      <c r="W89" s="30"/>
      <c r="AJ89" s="113">
        <f>AJ88-R88</f>
        <v>-12466.026244394248</v>
      </c>
      <c r="AM89" s="51"/>
    </row>
    <row r="90" spans="1:41">
      <c r="D90" s="1"/>
      <c r="E90" s="1"/>
      <c r="F90" s="1"/>
      <c r="G90" s="1"/>
      <c r="H90" s="1"/>
      <c r="I90" s="1"/>
      <c r="J90" s="1"/>
      <c r="K90" s="1"/>
      <c r="L90" s="1"/>
      <c r="M90" s="1"/>
      <c r="N90" s="159" t="s">
        <v>774</v>
      </c>
      <c r="O90" s="159"/>
      <c r="P90" s="159"/>
      <c r="Q90" s="160">
        <f>Q89-Q88</f>
        <v>-513.00840294361115</v>
      </c>
      <c r="R90" s="110"/>
      <c r="V90" s="30"/>
      <c r="W90" s="30"/>
      <c r="AJ90" s="22"/>
      <c r="AM90" s="51"/>
    </row>
    <row r="91" spans="1:41">
      <c r="D91" s="1" t="s">
        <v>450</v>
      </c>
      <c r="E91" s="1" t="s">
        <v>454</v>
      </c>
      <c r="F91" s="1" t="s">
        <v>456</v>
      </c>
      <c r="G91" s="1" t="s">
        <v>457</v>
      </c>
      <c r="H91" s="1" t="s">
        <v>452</v>
      </c>
      <c r="I91" s="1" t="s">
        <v>451</v>
      </c>
      <c r="J91" s="1" t="s">
        <v>530</v>
      </c>
      <c r="K91" s="1" t="s">
        <v>531</v>
      </c>
      <c r="L91" s="1"/>
      <c r="M91" s="1" t="s">
        <v>994</v>
      </c>
      <c r="N91" s="1" t="s">
        <v>853</v>
      </c>
      <c r="O91" s="1" t="s">
        <v>895</v>
      </c>
      <c r="P91" s="1" t="s">
        <v>896</v>
      </c>
      <c r="Q91" s="1"/>
      <c r="R91" s="110"/>
      <c r="V91" s="30"/>
      <c r="W91" s="30"/>
      <c r="AM91" s="51"/>
    </row>
    <row r="92" spans="1:41" ht="14.55" thickBot="1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10"/>
      <c r="V92" s="30"/>
      <c r="W92" s="30"/>
      <c r="AJ92" s="105"/>
      <c r="AK92" s="105"/>
      <c r="AL92" s="105"/>
      <c r="AM92" s="51"/>
    </row>
    <row r="93" spans="1:41" ht="14.55" thickBot="1">
      <c r="C93" s="27" t="s">
        <v>489</v>
      </c>
      <c r="D93" s="18">
        <v>-10324451</v>
      </c>
      <c r="E93" s="18">
        <v>-31020</v>
      </c>
      <c r="F93" s="18">
        <v>-1010851</v>
      </c>
      <c r="G93" s="18">
        <v>-86016</v>
      </c>
      <c r="H93" s="18">
        <v>0</v>
      </c>
      <c r="I93" s="18">
        <v>-3313518</v>
      </c>
      <c r="J93" s="18">
        <v>-5017104</v>
      </c>
      <c r="K93" s="18">
        <v>-1440776</v>
      </c>
      <c r="L93" s="18">
        <v>0</v>
      </c>
      <c r="M93" s="18">
        <v>-4961996</v>
      </c>
      <c r="N93" s="18">
        <v>-4599352</v>
      </c>
      <c r="O93" s="177">
        <v>-4102748</v>
      </c>
      <c r="P93" s="177">
        <v>-3048816</v>
      </c>
      <c r="Q93" s="23">
        <f>SUM(D93:P93)</f>
        <v>-37936648</v>
      </c>
      <c r="R93" s="111"/>
      <c r="S93" s="106"/>
      <c r="V93" s="30"/>
      <c r="W93" s="30"/>
      <c r="AJ93" s="119">
        <f>+AJ86+AL86</f>
        <v>-834861.6145285425</v>
      </c>
      <c r="AK93" s="105">
        <v>1184353.5</v>
      </c>
      <c r="AL93" s="119">
        <f>AK93-AJ93</f>
        <v>2019215.1145285424</v>
      </c>
      <c r="AM93" s="51"/>
    </row>
    <row r="94" spans="1:41">
      <c r="B94">
        <v>740818</v>
      </c>
      <c r="C94" s="53">
        <f>+H105</f>
        <v>0.83965739408500195</v>
      </c>
      <c r="D94" s="1">
        <f>+$C$94*D93</f>
        <v>-8669001.6220182925</v>
      </c>
      <c r="E94" s="1">
        <f>+$C$94*E93</f>
        <v>-26046.172364516762</v>
      </c>
      <c r="F94" s="1">
        <f>+$C$94*F93</f>
        <v>-848768.51646821829</v>
      </c>
      <c r="G94" s="24">
        <f>+$C$94*G93</f>
        <v>-72223.970409615533</v>
      </c>
      <c r="H94" s="24">
        <f t="shared" ref="H94" si="134">+$C$94*H93</f>
        <v>0</v>
      </c>
      <c r="I94" s="1">
        <f>+$C$94*I93</f>
        <v>-2782219.8891337477</v>
      </c>
      <c r="J94" s="24">
        <f>+$C$94*J93</f>
        <v>-4212648.4704934396</v>
      </c>
      <c r="K94" s="24">
        <f>+$C$94*K93</f>
        <v>-1209758.2216202128</v>
      </c>
      <c r="L94" s="24">
        <f>+$C$94*L93</f>
        <v>0</v>
      </c>
      <c r="M94" s="24">
        <f t="shared" ref="M94:N94" si="135">+$C$94*M93</f>
        <v>-4166376.6308202036</v>
      </c>
      <c r="N94" s="24">
        <f t="shared" si="135"/>
        <v>-3861879.9147996418</v>
      </c>
      <c r="O94" s="24">
        <f t="shared" ref="O94:P94" si="136">+$C$94*O93</f>
        <v>-3444902.6942674536</v>
      </c>
      <c r="P94" s="24">
        <f t="shared" si="136"/>
        <v>-2559960.8976046592</v>
      </c>
      <c r="Q94" s="23">
        <f>SUM(D94:P94)</f>
        <v>-31853787</v>
      </c>
      <c r="R94" s="111"/>
      <c r="S94" s="24"/>
      <c r="V94" s="30"/>
      <c r="W94" s="30"/>
      <c r="AJ94" s="105">
        <f>827838.49</f>
        <v>827838.49</v>
      </c>
      <c r="AK94" s="105">
        <f>827838.49</f>
        <v>827838.49</v>
      </c>
      <c r="AL94" s="105"/>
      <c r="AM94" s="51"/>
    </row>
    <row r="95" spans="1:41" ht="14.55" thickBot="1">
      <c r="B95">
        <v>740814</v>
      </c>
      <c r="C95" s="54">
        <f>+H107</f>
        <v>0.16034271135393935</v>
      </c>
      <c r="D95" s="25">
        <f>+$C$95*D93</f>
        <v>-1655450.4665808904</v>
      </c>
      <c r="E95" s="25">
        <f>+$C$95*E93</f>
        <v>-4973.8309061991986</v>
      </c>
      <c r="F95" s="25">
        <f>+$C$95*F93</f>
        <v>-162082.59011484095</v>
      </c>
      <c r="G95" s="26">
        <f>+$C$95*G93</f>
        <v>-13792.038659820448</v>
      </c>
      <c r="H95" s="26">
        <f t="shared" ref="H95" si="137">+$C$95*H93</f>
        <v>0</v>
      </c>
      <c r="I95" s="25">
        <f>+$C$95*I93</f>
        <v>-531298.46024008235</v>
      </c>
      <c r="J95" s="26">
        <f>+$C$95*J93</f>
        <v>-804456.05850469449</v>
      </c>
      <c r="K95" s="26">
        <f>+$C$95*K93</f>
        <v>-231017.93029368331</v>
      </c>
      <c r="L95" s="26">
        <f>+$C$95*L93</f>
        <v>0</v>
      </c>
      <c r="M95" s="26">
        <f t="shared" ref="M95:N95" si="138">+$C$95*M93</f>
        <v>-795619.89236740163</v>
      </c>
      <c r="N95" s="26">
        <f t="shared" si="138"/>
        <v>-737472.57015116361</v>
      </c>
      <c r="O95" s="26">
        <f t="shared" ref="O95:P95" si="139">+$C$95*O93</f>
        <v>-657845.73832195194</v>
      </c>
      <c r="P95" s="26">
        <f t="shared" si="139"/>
        <v>-488855.42385927198</v>
      </c>
      <c r="Q95" s="23">
        <f>SUM(D95:P95)</f>
        <v>-6082865</v>
      </c>
      <c r="R95" s="111"/>
      <c r="S95" s="26"/>
      <c r="V95" s="30"/>
      <c r="W95" s="30"/>
      <c r="AJ95" s="119">
        <f>AJ93-AJ94</f>
        <v>-1662700.1045285426</v>
      </c>
      <c r="AK95" s="105">
        <f>AK93-AK94</f>
        <v>356515.01</v>
      </c>
      <c r="AL95" s="119">
        <f>AJ95-AK95</f>
        <v>-2019215.1145285426</v>
      </c>
      <c r="AM95" s="51"/>
    </row>
    <row r="96" spans="1:41">
      <c r="R96" s="111"/>
      <c r="S96" s="105"/>
      <c r="V96" s="30"/>
      <c r="W96" s="30"/>
      <c r="AJ96" s="105"/>
      <c r="AK96" s="105"/>
      <c r="AL96" s="105"/>
      <c r="AM96" s="51"/>
    </row>
    <row r="97" spans="2:39">
      <c r="V97" s="14"/>
      <c r="W97" s="14"/>
      <c r="AJ97" s="105"/>
      <c r="AK97" s="105"/>
      <c r="AL97" s="105"/>
      <c r="AM97" s="51"/>
    </row>
    <row r="98" spans="2:39">
      <c r="B98" t="s">
        <v>490</v>
      </c>
      <c r="AM98" s="51"/>
    </row>
    <row r="99" spans="2:39">
      <c r="B99" t="s">
        <v>495</v>
      </c>
      <c r="AM99" s="51"/>
    </row>
    <row r="100" spans="2:39">
      <c r="B100" t="s">
        <v>491</v>
      </c>
      <c r="AM100" s="51"/>
    </row>
    <row r="101" spans="2:39">
      <c r="B101" t="s">
        <v>492</v>
      </c>
    </row>
    <row r="102" spans="2:39">
      <c r="AM102" s="51"/>
    </row>
    <row r="103" spans="2:39">
      <c r="E103" s="132" t="s">
        <v>745</v>
      </c>
      <c r="F103" s="3" t="s">
        <v>12</v>
      </c>
      <c r="G103" s="133">
        <v>37936648</v>
      </c>
      <c r="AM103" s="51"/>
    </row>
    <row r="104" spans="2:39">
      <c r="AM104" s="51"/>
    </row>
    <row r="105" spans="2:39" ht="40.299999999999997">
      <c r="E105">
        <v>740818</v>
      </c>
      <c r="F105" s="214" t="s">
        <v>975</v>
      </c>
      <c r="G105" s="215">
        <v>31853787</v>
      </c>
      <c r="H105">
        <f>G105/G103</f>
        <v>0.83965739408500195</v>
      </c>
      <c r="I105" s="237"/>
      <c r="J105" s="237"/>
    </row>
    <row r="107" spans="2:39" ht="53.75">
      <c r="E107">
        <v>740814</v>
      </c>
      <c r="F107" s="214" t="s">
        <v>974</v>
      </c>
      <c r="G107" s="215">
        <v>6082865</v>
      </c>
      <c r="H107">
        <f>G107/G103</f>
        <v>0.16034271135393935</v>
      </c>
      <c r="I107" s="237"/>
      <c r="J107" s="237"/>
    </row>
    <row r="108" spans="2:39">
      <c r="B108" t="s">
        <v>550</v>
      </c>
      <c r="C108">
        <v>7</v>
      </c>
      <c r="D108">
        <v>709223</v>
      </c>
    </row>
    <row r="109" spans="2:39">
      <c r="B109" t="s">
        <v>551</v>
      </c>
      <c r="C109">
        <v>7</v>
      </c>
      <c r="D109">
        <v>709228</v>
      </c>
    </row>
    <row r="110" spans="2:39">
      <c r="B110" t="s">
        <v>552</v>
      </c>
      <c r="C110">
        <v>88</v>
      </c>
      <c r="D110">
        <v>730781</v>
      </c>
    </row>
  </sheetData>
  <autoFilter ref="T21:AI91" xr:uid="{18C267B5-6692-4614-BAB1-218AACCD5D8B}"/>
  <mergeCells count="103">
    <mergeCell ref="AJ3:AJ4"/>
    <mergeCell ref="V21:V22"/>
    <mergeCell ref="X21:X22"/>
    <mergeCell ref="Y21:Y22"/>
    <mergeCell ref="AJ21:AJ22"/>
    <mergeCell ref="AB21:AB22"/>
    <mergeCell ref="AB3:AB4"/>
    <mergeCell ref="AC3:AC4"/>
    <mergeCell ref="AI3:AI4"/>
    <mergeCell ref="AI21:AI22"/>
    <mergeCell ref="AD3:AD4"/>
    <mergeCell ref="AE3:AE4"/>
    <mergeCell ref="AD21:AD22"/>
    <mergeCell ref="AE21:AE22"/>
    <mergeCell ref="AC21:AC22"/>
    <mergeCell ref="AH3:AH4"/>
    <mergeCell ref="AH21:AH22"/>
    <mergeCell ref="AG3:AG4"/>
    <mergeCell ref="AG21:AG22"/>
    <mergeCell ref="AF3:AF4"/>
    <mergeCell ref="AF21:AF22"/>
    <mergeCell ref="AF12:AF13"/>
    <mergeCell ref="AG12:AG13"/>
    <mergeCell ref="AH12:AH13"/>
    <mergeCell ref="T3:T4"/>
    <mergeCell ref="AA3:AA4"/>
    <mergeCell ref="Z3:Z4"/>
    <mergeCell ref="U3:U4"/>
    <mergeCell ref="W3:W4"/>
    <mergeCell ref="V3:V4"/>
    <mergeCell ref="X3:X4"/>
    <mergeCell ref="Y3:Y4"/>
    <mergeCell ref="V12:V13"/>
    <mergeCell ref="W12:W13"/>
    <mergeCell ref="X12:X13"/>
    <mergeCell ref="Y12:Y13"/>
    <mergeCell ref="Z12:Z13"/>
    <mergeCell ref="B88:C88"/>
    <mergeCell ref="Q3:Q4"/>
    <mergeCell ref="B9:C9"/>
    <mergeCell ref="B3:B4"/>
    <mergeCell ref="C3:C4"/>
    <mergeCell ref="D3:D4"/>
    <mergeCell ref="I3:I4"/>
    <mergeCell ref="H3:H4"/>
    <mergeCell ref="H21:H22"/>
    <mergeCell ref="E3:E4"/>
    <mergeCell ref="F3:F4"/>
    <mergeCell ref="B86:C86"/>
    <mergeCell ref="G21:G22"/>
    <mergeCell ref="O3:O4"/>
    <mergeCell ref="P3:P4"/>
    <mergeCell ref="O21:O22"/>
    <mergeCell ref="P21:P22"/>
    <mergeCell ref="N3:N4"/>
    <mergeCell ref="L3:L4"/>
    <mergeCell ref="M3:M4"/>
    <mergeCell ref="L21:L22"/>
    <mergeCell ref="L12:L13"/>
    <mergeCell ref="G3:G4"/>
    <mergeCell ref="F21:F22"/>
    <mergeCell ref="K21:K22"/>
    <mergeCell ref="J3:J4"/>
    <mergeCell ref="K3:K4"/>
    <mergeCell ref="F12:F13"/>
    <mergeCell ref="G12:G13"/>
    <mergeCell ref="H12:H13"/>
    <mergeCell ref="I12:I13"/>
    <mergeCell ref="J12:J13"/>
    <mergeCell ref="K12:K13"/>
    <mergeCell ref="Q21:Q22"/>
    <mergeCell ref="E21:E22"/>
    <mergeCell ref="N21:N22"/>
    <mergeCell ref="T21:T22"/>
    <mergeCell ref="AA21:AA22"/>
    <mergeCell ref="Z21:Z22"/>
    <mergeCell ref="U21:U22"/>
    <mergeCell ref="W21:W22"/>
    <mergeCell ref="B21:B22"/>
    <mergeCell ref="C21:C22"/>
    <mergeCell ref="D21:D22"/>
    <mergeCell ref="I21:I22"/>
    <mergeCell ref="J21:J22"/>
    <mergeCell ref="M21:M22"/>
    <mergeCell ref="AI12:AI13"/>
    <mergeCell ref="AJ12:AJ13"/>
    <mergeCell ref="B18:C18"/>
    <mergeCell ref="AA12:AA13"/>
    <mergeCell ref="AB12:AB13"/>
    <mergeCell ref="AC12:AC13"/>
    <mergeCell ref="AD12:AD13"/>
    <mergeCell ref="AE12:AE13"/>
    <mergeCell ref="O12:O13"/>
    <mergeCell ref="P12:P13"/>
    <mergeCell ref="Q12:Q13"/>
    <mergeCell ref="T12:T13"/>
    <mergeCell ref="U12:U13"/>
    <mergeCell ref="B12:B13"/>
    <mergeCell ref="C12:C13"/>
    <mergeCell ref="D12:D13"/>
    <mergeCell ref="E12:E13"/>
    <mergeCell ref="M12:M13"/>
    <mergeCell ref="N12:N13"/>
  </mergeCell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577E-238D-4D33-A212-12CD90A09E80}">
  <sheetPr>
    <tabColor rgb="FF002060"/>
  </sheetPr>
  <dimension ref="A1"/>
  <sheetViews>
    <sheetView workbookViewId="0">
      <selection activeCell="D73" sqref="D73"/>
    </sheetView>
  </sheetViews>
  <sheetFormatPr baseColWidth="10" defaultRowHeight="1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A7FB-3189-408A-A625-DE8087AD1375}">
  <dimension ref="A1:AG106"/>
  <sheetViews>
    <sheetView topLeftCell="R1" zoomScale="85" zoomScaleNormal="85" workbookViewId="0">
      <pane ySplit="10" topLeftCell="A74" activePane="bottomLeft" state="frozen"/>
      <selection pane="bottomLeft" activeCell="AA72" sqref="AA72"/>
    </sheetView>
  </sheetViews>
  <sheetFormatPr baseColWidth="10" defaultRowHeight="14" outlineLevelCol="1"/>
  <cols>
    <col min="1" max="1" width="15" customWidth="1"/>
    <col min="2" max="2" width="11.3984375" customWidth="1"/>
    <col min="3" max="3" width="28.8984375" customWidth="1"/>
    <col min="4" max="4" width="16" hidden="1" customWidth="1" outlineLevel="1"/>
    <col min="5" max="5" width="15" hidden="1" customWidth="1" outlineLevel="1"/>
    <col min="6" max="9" width="14.59765625" hidden="1" customWidth="1" outlineLevel="1"/>
    <col min="10" max="10" width="15.59765625" hidden="1" customWidth="1" outlineLevel="1"/>
    <col min="11" max="11" width="16" hidden="1" customWidth="1" outlineLevel="1"/>
    <col min="12" max="15" width="16.3984375" hidden="1" customWidth="1" outlineLevel="1"/>
    <col min="16" max="16" width="13.59765625" hidden="1" customWidth="1" outlineLevel="1"/>
    <col min="17" max="17" width="15.59765625" hidden="1" customWidth="1" outlineLevel="1"/>
    <col min="18" max="18" width="11.3984375" customWidth="1" collapsed="1"/>
    <col min="19" max="24" width="13.59765625" customWidth="1"/>
    <col min="25" max="25" width="13" customWidth="1"/>
    <col min="26" max="28" width="13.59765625" customWidth="1"/>
    <col min="29" max="29" width="15.8984375" customWidth="1"/>
    <col min="30" max="30" width="18" customWidth="1"/>
  </cols>
  <sheetData>
    <row r="1" spans="1:33" ht="21.5">
      <c r="B1" s="32"/>
      <c r="E1" s="55" t="s">
        <v>467</v>
      </c>
      <c r="F1" s="55" t="s">
        <v>469</v>
      </c>
      <c r="G1" s="55" t="s">
        <v>468</v>
      </c>
      <c r="H1" s="55" t="s">
        <v>470</v>
      </c>
      <c r="I1" s="55" t="s">
        <v>457</v>
      </c>
      <c r="J1" s="55" t="s">
        <v>466</v>
      </c>
      <c r="K1" s="55"/>
      <c r="L1" s="55" t="s">
        <v>543</v>
      </c>
      <c r="M1" s="55" t="s">
        <v>544</v>
      </c>
      <c r="N1" s="55" t="s">
        <v>545</v>
      </c>
      <c r="P1" s="55" t="s">
        <v>521</v>
      </c>
      <c r="Q1" s="55" t="s">
        <v>522</v>
      </c>
      <c r="S1" s="55" t="s">
        <v>467</v>
      </c>
      <c r="T1" s="55" t="s">
        <v>469</v>
      </c>
      <c r="U1" s="55" t="s">
        <v>468</v>
      </c>
      <c r="V1" s="55" t="s">
        <v>470</v>
      </c>
      <c r="W1" s="55" t="s">
        <v>457</v>
      </c>
      <c r="X1" s="55" t="s">
        <v>466</v>
      </c>
      <c r="Z1" s="55" t="s">
        <v>543</v>
      </c>
      <c r="AA1" s="55" t="s">
        <v>544</v>
      </c>
      <c r="AB1" s="55" t="s">
        <v>545</v>
      </c>
    </row>
    <row r="2" spans="1:33" ht="14.4" customHeight="1">
      <c r="A2" s="49" t="s">
        <v>526</v>
      </c>
      <c r="B2" s="250" t="s">
        <v>448</v>
      </c>
      <c r="C2" s="250" t="s">
        <v>449</v>
      </c>
      <c r="D2" s="250" t="s">
        <v>450</v>
      </c>
      <c r="E2" s="250" t="s">
        <v>453</v>
      </c>
      <c r="F2" s="250" t="s">
        <v>455</v>
      </c>
      <c r="G2" s="250" t="s">
        <v>454</v>
      </c>
      <c r="H2" s="250" t="s">
        <v>456</v>
      </c>
      <c r="I2" s="250" t="s">
        <v>457</v>
      </c>
      <c r="J2" s="250" t="s">
        <v>452</v>
      </c>
      <c r="K2" s="250" t="s">
        <v>451</v>
      </c>
      <c r="L2" s="250" t="s">
        <v>530</v>
      </c>
      <c r="M2" s="250" t="s">
        <v>531</v>
      </c>
      <c r="N2" s="250" t="s">
        <v>540</v>
      </c>
      <c r="O2" s="250" t="s">
        <v>458</v>
      </c>
      <c r="R2" s="250" t="s">
        <v>450</v>
      </c>
      <c r="S2" s="250" t="s">
        <v>453</v>
      </c>
      <c r="T2" s="250" t="s">
        <v>455</v>
      </c>
      <c r="U2" s="250" t="s">
        <v>454</v>
      </c>
      <c r="V2" s="250" t="s">
        <v>456</v>
      </c>
      <c r="W2" s="250" t="s">
        <v>457</v>
      </c>
      <c r="X2" s="250" t="s">
        <v>452</v>
      </c>
      <c r="Y2" s="250" t="s">
        <v>451</v>
      </c>
      <c r="Z2" s="250" t="s">
        <v>530</v>
      </c>
      <c r="AA2" s="250" t="s">
        <v>531</v>
      </c>
      <c r="AB2" s="250" t="s">
        <v>540</v>
      </c>
      <c r="AC2" s="250" t="s">
        <v>458</v>
      </c>
    </row>
    <row r="3" spans="1:33"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</row>
    <row r="4" spans="1:33">
      <c r="B4" s="31"/>
      <c r="C4" s="35" t="s">
        <v>509</v>
      </c>
      <c r="D4" s="36">
        <v>0</v>
      </c>
      <c r="E4" s="36">
        <f t="shared" ref="E4:J4" si="0">SUM(E5:E6)</f>
        <v>90012219</v>
      </c>
      <c r="F4" s="36">
        <f t="shared" si="0"/>
        <v>78182140</v>
      </c>
      <c r="G4" s="36">
        <f t="shared" si="0"/>
        <v>170857429</v>
      </c>
      <c r="H4" s="36">
        <f t="shared" si="0"/>
        <v>163083860</v>
      </c>
      <c r="I4" s="36">
        <f t="shared" si="0"/>
        <v>164044512</v>
      </c>
      <c r="J4" s="36">
        <f t="shared" si="0"/>
        <v>303243729</v>
      </c>
      <c r="K4" s="36">
        <v>0</v>
      </c>
      <c r="L4" s="36">
        <f>SUM(L5:L6)</f>
        <v>243702388</v>
      </c>
      <c r="M4" s="36">
        <f>SUM(M5:M6)</f>
        <v>97315248</v>
      </c>
      <c r="N4" s="36">
        <f>SUM(N5:N6)</f>
        <v>312262688</v>
      </c>
      <c r="O4" s="36">
        <f>SUM(O5:O6)</f>
        <v>1622704213</v>
      </c>
      <c r="P4">
        <v>1965913</v>
      </c>
      <c r="Q4" s="47">
        <f>+O4/P4</f>
        <v>825.4201549102122</v>
      </c>
      <c r="R4" s="39">
        <f>IFERROR((D4/#REF!),0)</f>
        <v>0</v>
      </c>
      <c r="S4" s="39">
        <f>+S5+S6</f>
        <v>109050.18306681811</v>
      </c>
      <c r="T4" s="39">
        <f t="shared" ref="T4:AB4" si="1">+T5+T6</f>
        <v>94717.992448954086</v>
      </c>
      <c r="U4" s="39">
        <f t="shared" si="1"/>
        <v>206994.49605587299</v>
      </c>
      <c r="V4" s="39">
        <f t="shared" si="1"/>
        <v>197576.78441682828</v>
      </c>
      <c r="W4" s="39">
        <f t="shared" si="1"/>
        <v>198740.61836767785</v>
      </c>
      <c r="X4" s="39">
        <f t="shared" si="1"/>
        <v>367381.05702420889</v>
      </c>
      <c r="Y4" s="39">
        <f t="shared" si="1"/>
        <v>0</v>
      </c>
      <c r="Z4" s="39">
        <f t="shared" si="1"/>
        <v>295246.47120654513</v>
      </c>
      <c r="AA4" s="39">
        <f t="shared" si="1"/>
        <v>117897.83351072375</v>
      </c>
      <c r="AB4" s="39">
        <f t="shared" si="1"/>
        <v>378307.56390237092</v>
      </c>
      <c r="AC4" s="34">
        <f>+AC5+AC6</f>
        <v>1965912.9999999998</v>
      </c>
      <c r="AD4" s="1">
        <f>+AC4</f>
        <v>1965912.9999999998</v>
      </c>
    </row>
    <row r="5" spans="1:33">
      <c r="A5" t="e">
        <f>SUMIF(#REF!,B5,#REF!)</f>
        <v>#REF!</v>
      </c>
      <c r="B5" s="2" t="s">
        <v>507</v>
      </c>
      <c r="C5" s="33" t="s">
        <v>505</v>
      </c>
      <c r="D5" s="10">
        <v>0</v>
      </c>
      <c r="E5" s="10">
        <v>3149322</v>
      </c>
      <c r="F5" s="10">
        <v>2191640</v>
      </c>
      <c r="G5" s="10">
        <v>4147928</v>
      </c>
      <c r="H5" s="10">
        <v>5225041</v>
      </c>
      <c r="I5" s="11">
        <v>3489379</v>
      </c>
      <c r="J5" s="10">
        <v>246260</v>
      </c>
      <c r="K5" s="10">
        <v>0</v>
      </c>
      <c r="L5" s="11">
        <v>8296175</v>
      </c>
      <c r="M5" s="11">
        <v>2681586</v>
      </c>
      <c r="N5" s="11">
        <v>0</v>
      </c>
      <c r="O5" s="12">
        <f>SUM(E5:N5)</f>
        <v>29427331</v>
      </c>
      <c r="Q5" s="16"/>
      <c r="R5" s="10">
        <f t="shared" ref="R5:Z6" si="2">IFERROR((D5/$Q$4),0)</f>
        <v>0</v>
      </c>
      <c r="S5" s="10">
        <f t="shared" si="2"/>
        <v>3815.4168895264957</v>
      </c>
      <c r="T5" s="10">
        <f t="shared" si="2"/>
        <v>2655.1811062069387</v>
      </c>
      <c r="U5" s="10">
        <f t="shared" si="2"/>
        <v>5025.232271498392</v>
      </c>
      <c r="V5" s="10">
        <f t="shared" si="2"/>
        <v>6330.1592151797786</v>
      </c>
      <c r="W5" s="10">
        <f t="shared" si="2"/>
        <v>4227.3973796769824</v>
      </c>
      <c r="X5" s="10">
        <f t="shared" si="2"/>
        <v>298.34502893473416</v>
      </c>
      <c r="Y5" s="10">
        <f t="shared" si="2"/>
        <v>0</v>
      </c>
      <c r="Z5" s="10">
        <f t="shared" si="2"/>
        <v>10050.851012842597</v>
      </c>
      <c r="AA5" s="10">
        <f>IFERROR((M5/$Q$4),0)</f>
        <v>3248.7527522170794</v>
      </c>
      <c r="AB5" s="10">
        <f>IFERROR((N5/$Q$4),0)</f>
        <v>0</v>
      </c>
      <c r="AC5" s="12">
        <f>SUM(R5:AB5)</f>
        <v>35651.335656083</v>
      </c>
      <c r="AD5" s="1"/>
    </row>
    <row r="6" spans="1:33">
      <c r="A6" t="e">
        <f>SUMIF(#REF!,B6,#REF!)</f>
        <v>#REF!</v>
      </c>
      <c r="B6" s="2" t="s">
        <v>508</v>
      </c>
      <c r="C6" s="33" t="s">
        <v>506</v>
      </c>
      <c r="D6" s="10">
        <v>0</v>
      </c>
      <c r="E6" s="10">
        <v>86862897</v>
      </c>
      <c r="F6" s="10">
        <v>75990500</v>
      </c>
      <c r="G6" s="10">
        <v>166709501</v>
      </c>
      <c r="H6" s="10">
        <v>157858819</v>
      </c>
      <c r="I6" s="11">
        <v>160555133</v>
      </c>
      <c r="J6" s="10">
        <v>302997469</v>
      </c>
      <c r="K6" s="10">
        <v>0</v>
      </c>
      <c r="L6" s="11">
        <v>235406213</v>
      </c>
      <c r="M6" s="11">
        <v>94633662</v>
      </c>
      <c r="N6" s="11">
        <v>312262688</v>
      </c>
      <c r="O6" s="12">
        <f>SUM(E6:N6)</f>
        <v>1593276882</v>
      </c>
      <c r="Q6" s="16"/>
      <c r="R6" s="10">
        <f t="shared" si="2"/>
        <v>0</v>
      </c>
      <c r="S6" s="10">
        <f t="shared" si="2"/>
        <v>105234.7661772916</v>
      </c>
      <c r="T6" s="10">
        <f t="shared" si="2"/>
        <v>92062.811342747154</v>
      </c>
      <c r="U6" s="10">
        <f t="shared" si="2"/>
        <v>201969.26378437461</v>
      </c>
      <c r="V6" s="10">
        <f t="shared" si="2"/>
        <v>191246.62520164851</v>
      </c>
      <c r="W6" s="10">
        <f t="shared" si="2"/>
        <v>194513.22098800086</v>
      </c>
      <c r="X6" s="10">
        <f t="shared" si="2"/>
        <v>367082.71199527418</v>
      </c>
      <c r="Y6" s="10">
        <f t="shared" si="2"/>
        <v>0</v>
      </c>
      <c r="Z6" s="10">
        <f t="shared" si="2"/>
        <v>285195.62019370252</v>
      </c>
      <c r="AA6" s="10">
        <f>IFERROR((M6/$Q$4),0)</f>
        <v>114649.08075850667</v>
      </c>
      <c r="AB6" s="10">
        <f>IFERROR((N6/$Q$4),0)</f>
        <v>378307.56390237092</v>
      </c>
      <c r="AC6" s="12">
        <f>SUM(R6:AB6)</f>
        <v>1930261.6643439168</v>
      </c>
      <c r="AD6" s="1"/>
    </row>
    <row r="7" spans="1:33">
      <c r="A7" t="e">
        <f>SUMIF(#REF!,B7,#REF!)</f>
        <v>#REF!</v>
      </c>
      <c r="B7" s="2" t="s">
        <v>459</v>
      </c>
      <c r="C7" s="2" t="s">
        <v>33</v>
      </c>
      <c r="D7" s="37">
        <v>0</v>
      </c>
      <c r="E7" s="37">
        <v>-41466377</v>
      </c>
      <c r="F7" s="37">
        <v>-35801636</v>
      </c>
      <c r="G7" s="37">
        <v>-77820870</v>
      </c>
      <c r="H7" s="37">
        <v>-73786688</v>
      </c>
      <c r="I7" s="38">
        <v>-72355485</v>
      </c>
      <c r="J7" s="37">
        <v>-142815023</v>
      </c>
      <c r="K7" s="37">
        <v>0</v>
      </c>
      <c r="L7" s="38">
        <v>-109503037</v>
      </c>
      <c r="M7" s="38">
        <v>-43988496</v>
      </c>
      <c r="N7" s="38">
        <v>-241355672</v>
      </c>
      <c r="O7" s="37">
        <f>SUM(D7:N7)</f>
        <v>-838893284</v>
      </c>
      <c r="P7" s="42">
        <v>-1007913</v>
      </c>
      <c r="Q7" s="47">
        <f>+O7/P7</f>
        <v>832.30723683492522</v>
      </c>
      <c r="R7" s="10">
        <f t="shared" ref="R7:Z7" si="3">IFERROR((D7/$Q$7),0)</f>
        <v>0</v>
      </c>
      <c r="S7" s="10">
        <f t="shared" si="3"/>
        <v>-49820.997781645136</v>
      </c>
      <c r="T7" s="10">
        <f t="shared" si="3"/>
        <v>-43014.928160597839</v>
      </c>
      <c r="U7" s="10">
        <f t="shared" si="3"/>
        <v>-93500.172239202235</v>
      </c>
      <c r="V7" s="10">
        <f t="shared" si="3"/>
        <v>-88653.185668064063</v>
      </c>
      <c r="W7" s="10">
        <f t="shared" si="3"/>
        <v>-86933.624745534384</v>
      </c>
      <c r="X7" s="10">
        <f t="shared" si="3"/>
        <v>-171589.30822600197</v>
      </c>
      <c r="Y7" s="10">
        <f t="shared" si="3"/>
        <v>0</v>
      </c>
      <c r="Z7" s="10">
        <f t="shared" si="3"/>
        <v>-131565.64325502576</v>
      </c>
      <c r="AA7" s="10">
        <f>IFERROR((M7/$Q$7),0)</f>
        <v>-52851.271805923767</v>
      </c>
      <c r="AB7" s="10">
        <f>IFERROR((N7/$Q$7),0)</f>
        <v>-289983.86811800487</v>
      </c>
      <c r="AC7" s="12">
        <f>SUM(R7:AB7)</f>
        <v>-1007913</v>
      </c>
      <c r="AD7" s="1">
        <f>+AC7</f>
        <v>-1007913</v>
      </c>
    </row>
    <row r="8" spans="1:33" ht="14.55" thickBot="1">
      <c r="B8" s="252" t="s">
        <v>460</v>
      </c>
      <c r="C8" s="252"/>
      <c r="D8" s="13">
        <f>SUM(D4:D7)</f>
        <v>0</v>
      </c>
      <c r="E8" s="13">
        <f t="shared" ref="E8:J8" si="4">+E4+E7</f>
        <v>48545842</v>
      </c>
      <c r="F8" s="13">
        <f t="shared" si="4"/>
        <v>42380504</v>
      </c>
      <c r="G8" s="13">
        <f t="shared" si="4"/>
        <v>93036559</v>
      </c>
      <c r="H8" s="13">
        <f t="shared" si="4"/>
        <v>89297172</v>
      </c>
      <c r="I8" s="13">
        <f t="shared" si="4"/>
        <v>91689027</v>
      </c>
      <c r="J8" s="13">
        <f t="shared" si="4"/>
        <v>160428706</v>
      </c>
      <c r="K8" s="13"/>
      <c r="L8" s="13">
        <f>+L4+L7</f>
        <v>134199351</v>
      </c>
      <c r="M8" s="13">
        <f>+M4+M7</f>
        <v>53326752</v>
      </c>
      <c r="N8" s="13">
        <f>+N4+N7</f>
        <v>70907016</v>
      </c>
      <c r="O8" s="13">
        <f>+O4+O7</f>
        <v>783810929</v>
      </c>
      <c r="P8" s="13">
        <f>+P4+P7</f>
        <v>958000</v>
      </c>
      <c r="Q8" s="16"/>
      <c r="R8" s="13">
        <f t="shared" ref="R8:X8" si="5">SUM(R5:R7)</f>
        <v>0</v>
      </c>
      <c r="S8" s="17">
        <f t="shared" si="5"/>
        <v>59229.185285172971</v>
      </c>
      <c r="T8" s="17">
        <f t="shared" si="5"/>
        <v>51703.064288356247</v>
      </c>
      <c r="U8" s="17">
        <f t="shared" si="5"/>
        <v>113494.32381667076</v>
      </c>
      <c r="V8" s="17">
        <f t="shared" si="5"/>
        <v>108923.59874876421</v>
      </c>
      <c r="W8" s="40">
        <f t="shared" si="5"/>
        <v>111806.99362214346</v>
      </c>
      <c r="X8" s="17">
        <f t="shared" si="5"/>
        <v>195791.74879820691</v>
      </c>
      <c r="Y8" s="13"/>
      <c r="Z8" s="40">
        <f>SUM(Z5:Z7)</f>
        <v>163680.82795151937</v>
      </c>
      <c r="AA8" s="40">
        <f>SUM(AA5:AA7)</f>
        <v>65046.561704799984</v>
      </c>
      <c r="AB8" s="40">
        <f>SUM(AB5:AB7)</f>
        <v>88323.695784366049</v>
      </c>
      <c r="AC8" s="17">
        <f>SUM(AC5:AC7)</f>
        <v>957999.99999999977</v>
      </c>
      <c r="AD8" s="1">
        <f>SUM(AD4:AD7)</f>
        <v>957999.99999999977</v>
      </c>
    </row>
    <row r="9" spans="1:33" ht="14.55" thickTop="1">
      <c r="B9" s="14"/>
      <c r="C9" s="14"/>
      <c r="O9" s="14"/>
      <c r="R9" s="1"/>
      <c r="AC9" s="14"/>
      <c r="AD9" s="1"/>
    </row>
    <row r="10" spans="1:33">
      <c r="B10" s="14"/>
      <c r="C10" s="14"/>
      <c r="D10" s="15" t="s">
        <v>471</v>
      </c>
      <c r="E10" s="15" t="s">
        <v>474</v>
      </c>
      <c r="F10" s="15" t="s">
        <v>476</v>
      </c>
      <c r="G10" s="15" t="s">
        <v>475</v>
      </c>
      <c r="H10" s="15" t="s">
        <v>477</v>
      </c>
      <c r="I10" s="15" t="s">
        <v>478</v>
      </c>
      <c r="J10" s="15" t="s">
        <v>473</v>
      </c>
      <c r="K10" s="15" t="s">
        <v>472</v>
      </c>
      <c r="L10" s="15"/>
      <c r="M10" s="15"/>
      <c r="N10" s="15"/>
      <c r="O10" s="14"/>
      <c r="R10" s="56" t="s">
        <v>471</v>
      </c>
      <c r="S10" s="56" t="s">
        <v>474</v>
      </c>
      <c r="T10" s="56" t="s">
        <v>476</v>
      </c>
      <c r="U10" s="56" t="s">
        <v>475</v>
      </c>
      <c r="V10" s="56" t="s">
        <v>477</v>
      </c>
      <c r="W10" s="56" t="s">
        <v>478</v>
      </c>
      <c r="X10" s="56" t="s">
        <v>473</v>
      </c>
      <c r="Y10" s="56" t="s">
        <v>472</v>
      </c>
      <c r="Z10" s="56" t="s">
        <v>546</v>
      </c>
      <c r="AA10" s="56" t="s">
        <v>547</v>
      </c>
      <c r="AB10" s="56" t="s">
        <v>548</v>
      </c>
      <c r="AC10" s="14"/>
      <c r="AD10" s="1"/>
    </row>
    <row r="11" spans="1:33" ht="15.05" customHeight="1">
      <c r="B11" s="255" t="s">
        <v>448</v>
      </c>
      <c r="C11" s="250" t="s">
        <v>449</v>
      </c>
      <c r="D11" s="250" t="s">
        <v>450</v>
      </c>
      <c r="E11" s="250" t="s">
        <v>453</v>
      </c>
      <c r="F11" s="250" t="s">
        <v>455</v>
      </c>
      <c r="G11" s="250" t="s">
        <v>454</v>
      </c>
      <c r="H11" s="250" t="s">
        <v>456</v>
      </c>
      <c r="I11" s="250" t="s">
        <v>457</v>
      </c>
      <c r="J11" s="250" t="s">
        <v>452</v>
      </c>
      <c r="K11" s="250" t="s">
        <v>451</v>
      </c>
      <c r="L11" s="250" t="s">
        <v>530</v>
      </c>
      <c r="M11" s="250" t="s">
        <v>531</v>
      </c>
      <c r="N11" s="250" t="s">
        <v>540</v>
      </c>
      <c r="O11" s="250" t="s">
        <v>458</v>
      </c>
      <c r="R11" s="250" t="s">
        <v>450</v>
      </c>
      <c r="S11" s="250" t="s">
        <v>453</v>
      </c>
      <c r="T11" s="250" t="s">
        <v>455</v>
      </c>
      <c r="U11" s="250" t="s">
        <v>454</v>
      </c>
      <c r="V11" s="250" t="s">
        <v>456</v>
      </c>
      <c r="W11" s="250" t="s">
        <v>457</v>
      </c>
      <c r="X11" s="250" t="s">
        <v>452</v>
      </c>
      <c r="Y11" s="250" t="s">
        <v>451</v>
      </c>
      <c r="Z11" s="250" t="s">
        <v>530</v>
      </c>
      <c r="AA11" s="250" t="s">
        <v>531</v>
      </c>
      <c r="AB11" s="250" t="s">
        <v>540</v>
      </c>
      <c r="AC11" s="250" t="s">
        <v>458</v>
      </c>
      <c r="AD11" s="1"/>
    </row>
    <row r="12" spans="1:33">
      <c r="B12" s="255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1">
        <f>-AD8</f>
        <v>-957999.99999999977</v>
      </c>
    </row>
    <row r="13" spans="1:33">
      <c r="A13" s="59">
        <f>SUMIF('Balanza ok'!D:D,B13,'Balanza ok'!B:B)</f>
        <v>0</v>
      </c>
      <c r="B13" s="60" t="s">
        <v>482</v>
      </c>
      <c r="C13" s="2" t="s">
        <v>541</v>
      </c>
      <c r="D13" s="18">
        <v>14750000</v>
      </c>
      <c r="E13" s="18" t="s">
        <v>594</v>
      </c>
      <c r="F13" s="18" t="s">
        <v>594</v>
      </c>
      <c r="G13" s="18" t="s">
        <v>594</v>
      </c>
      <c r="H13" s="18" t="s">
        <v>594</v>
      </c>
      <c r="I13" s="18">
        <v>7240993</v>
      </c>
      <c r="J13" s="18" t="s">
        <v>594</v>
      </c>
      <c r="K13" s="18">
        <v>0</v>
      </c>
      <c r="L13" s="18" t="s">
        <v>594</v>
      </c>
      <c r="M13" s="18" t="s">
        <v>594</v>
      </c>
      <c r="N13" s="18" t="s">
        <v>594</v>
      </c>
      <c r="O13" s="19">
        <f>SUM(D13:N13)</f>
        <v>21990993</v>
      </c>
      <c r="P13" s="45">
        <v>26805.1</v>
      </c>
      <c r="Q13" s="47">
        <f>+O13/P13</f>
        <v>820.40331877142785</v>
      </c>
      <c r="R13" s="10">
        <f t="shared" ref="R13:AB28" si="6">IFERROR((D13/$Q13),0)</f>
        <v>17978.961886805202</v>
      </c>
      <c r="S13" s="10">
        <f t="shared" si="6"/>
        <v>0</v>
      </c>
      <c r="T13" s="10">
        <f t="shared" si="6"/>
        <v>0</v>
      </c>
      <c r="U13" s="10">
        <f t="shared" si="6"/>
        <v>0</v>
      </c>
      <c r="V13" s="10">
        <f t="shared" si="6"/>
        <v>0</v>
      </c>
      <c r="W13" s="10">
        <f t="shared" si="6"/>
        <v>8826.1381131947965</v>
      </c>
      <c r="X13" s="10">
        <f t="shared" si="6"/>
        <v>0</v>
      </c>
      <c r="Y13" s="10">
        <f t="shared" si="6"/>
        <v>0</v>
      </c>
      <c r="Z13" s="10">
        <f t="shared" si="6"/>
        <v>0</v>
      </c>
      <c r="AA13" s="10">
        <f t="shared" si="6"/>
        <v>0</v>
      </c>
      <c r="AB13" s="10">
        <f t="shared" si="6"/>
        <v>0</v>
      </c>
      <c r="AC13" s="19">
        <f>SUM(R13:AB13)</f>
        <v>26805.1</v>
      </c>
      <c r="AD13" s="1">
        <f>+AC13</f>
        <v>26805.1</v>
      </c>
      <c r="AE13" s="50">
        <f>+P13-AC13</f>
        <v>0</v>
      </c>
      <c r="AF13" s="51"/>
      <c r="AG13" s="51"/>
    </row>
    <row r="14" spans="1:33">
      <c r="A14">
        <f>SUMIF('Balanza ok'!D:D,B14,'Balanza ok'!B:B)</f>
        <v>0</v>
      </c>
      <c r="B14" s="57" t="s">
        <v>553</v>
      </c>
      <c r="C14" s="2" t="s">
        <v>534</v>
      </c>
      <c r="D14" s="18" t="s">
        <v>594</v>
      </c>
      <c r="E14" s="18" t="s">
        <v>594</v>
      </c>
      <c r="F14" s="18" t="s">
        <v>594</v>
      </c>
      <c r="G14" s="18" t="s">
        <v>594</v>
      </c>
      <c r="H14" s="18" t="s">
        <v>594</v>
      </c>
      <c r="I14" s="18" t="s">
        <v>594</v>
      </c>
      <c r="J14" s="18">
        <v>50435353</v>
      </c>
      <c r="K14" s="18">
        <v>0</v>
      </c>
      <c r="L14" s="18" t="s">
        <v>594</v>
      </c>
      <c r="M14" s="18" t="s">
        <v>594</v>
      </c>
      <c r="N14" s="18" t="s">
        <v>594</v>
      </c>
      <c r="O14" s="19">
        <f t="shared" ref="O14:O81" si="7">SUM(D14:N14)</f>
        <v>50435353</v>
      </c>
      <c r="P14" s="45">
        <v>61172.259999999995</v>
      </c>
      <c r="Q14" s="47">
        <f>+O14/P14</f>
        <v>824.48078589870647</v>
      </c>
      <c r="R14" s="10">
        <f t="shared" si="6"/>
        <v>0</v>
      </c>
      <c r="S14" s="10">
        <f t="shared" si="6"/>
        <v>0</v>
      </c>
      <c r="T14" s="10">
        <f t="shared" si="6"/>
        <v>0</v>
      </c>
      <c r="U14" s="10">
        <f t="shared" si="6"/>
        <v>0</v>
      </c>
      <c r="V14" s="10">
        <f t="shared" si="6"/>
        <v>0</v>
      </c>
      <c r="W14" s="10">
        <f t="shared" si="6"/>
        <v>0</v>
      </c>
      <c r="X14" s="10">
        <f t="shared" si="6"/>
        <v>61172.259999999995</v>
      </c>
      <c r="Y14" s="10">
        <f t="shared" si="6"/>
        <v>0</v>
      </c>
      <c r="Z14" s="10">
        <f t="shared" si="6"/>
        <v>0</v>
      </c>
      <c r="AA14" s="10">
        <f t="shared" si="6"/>
        <v>0</v>
      </c>
      <c r="AB14" s="10">
        <f t="shared" si="6"/>
        <v>0</v>
      </c>
      <c r="AC14" s="19">
        <f t="shared" ref="AC14:AC80" si="8">SUM(R14:AB14)</f>
        <v>61172.259999999995</v>
      </c>
      <c r="AD14" s="1">
        <f t="shared" ref="AD14:AD81" si="9">+AC14</f>
        <v>61172.259999999995</v>
      </c>
      <c r="AE14" s="50">
        <f t="shared" ref="AE14:AE81" si="10">+P14-AC14</f>
        <v>0</v>
      </c>
      <c r="AF14" s="51"/>
      <c r="AG14" s="51"/>
    </row>
    <row r="15" spans="1:33">
      <c r="A15">
        <f>SUMIF('Balanza ok'!D:D,B15,'Balanza ok'!B:B)</f>
        <v>0</v>
      </c>
      <c r="B15" s="57" t="s">
        <v>554</v>
      </c>
      <c r="C15" s="2" t="s">
        <v>535</v>
      </c>
      <c r="D15" s="18" t="s">
        <v>594</v>
      </c>
      <c r="E15" s="18" t="s">
        <v>594</v>
      </c>
      <c r="F15" s="18" t="s">
        <v>594</v>
      </c>
      <c r="G15" s="18" t="s">
        <v>594</v>
      </c>
      <c r="H15" s="18" t="s">
        <v>594</v>
      </c>
      <c r="I15" s="18" t="s">
        <v>594</v>
      </c>
      <c r="J15" s="18">
        <v>5256100</v>
      </c>
      <c r="K15" s="18">
        <v>0</v>
      </c>
      <c r="L15" s="18" t="s">
        <v>594</v>
      </c>
      <c r="M15" s="18" t="s">
        <v>594</v>
      </c>
      <c r="N15" s="18" t="s">
        <v>594</v>
      </c>
      <c r="O15" s="19">
        <f t="shared" si="7"/>
        <v>5256100</v>
      </c>
      <c r="P15" s="45">
        <v>6200.6100000000006</v>
      </c>
      <c r="Q15" s="47">
        <f t="shared" ref="Q15:Q81" si="11">+O15/P15</f>
        <v>847.67466426690271</v>
      </c>
      <c r="R15" s="10">
        <f t="shared" si="6"/>
        <v>0</v>
      </c>
      <c r="S15" s="10">
        <f t="shared" si="6"/>
        <v>0</v>
      </c>
      <c r="T15" s="10">
        <f t="shared" si="6"/>
        <v>0</v>
      </c>
      <c r="U15" s="10">
        <f t="shared" si="6"/>
        <v>0</v>
      </c>
      <c r="V15" s="10">
        <f t="shared" si="6"/>
        <v>0</v>
      </c>
      <c r="W15" s="10">
        <f t="shared" si="6"/>
        <v>0</v>
      </c>
      <c r="X15" s="10">
        <f t="shared" si="6"/>
        <v>6200.6100000000006</v>
      </c>
      <c r="Y15" s="10">
        <f t="shared" si="6"/>
        <v>0</v>
      </c>
      <c r="Z15" s="10">
        <f t="shared" si="6"/>
        <v>0</v>
      </c>
      <c r="AA15" s="10">
        <f t="shared" si="6"/>
        <v>0</v>
      </c>
      <c r="AB15" s="10">
        <f t="shared" si="6"/>
        <v>0</v>
      </c>
      <c r="AC15" s="19">
        <f t="shared" si="8"/>
        <v>6200.6100000000006</v>
      </c>
      <c r="AD15" s="1">
        <f t="shared" si="9"/>
        <v>6200.6100000000006</v>
      </c>
      <c r="AE15" s="50">
        <f t="shared" si="10"/>
        <v>0</v>
      </c>
      <c r="AF15" s="51"/>
      <c r="AG15" s="51"/>
    </row>
    <row r="16" spans="1:33">
      <c r="A16">
        <f>SUMIF('Balanza ok'!D:D,B16,'Balanza ok'!B:B)</f>
        <v>0</v>
      </c>
      <c r="B16" s="57" t="s">
        <v>555</v>
      </c>
      <c r="C16" s="2" t="s">
        <v>537</v>
      </c>
      <c r="D16" s="18" t="s">
        <v>594</v>
      </c>
      <c r="E16" s="18" t="s">
        <v>594</v>
      </c>
      <c r="F16" s="18" t="s">
        <v>594</v>
      </c>
      <c r="G16" s="18" t="s">
        <v>594</v>
      </c>
      <c r="H16" s="18" t="s">
        <v>594</v>
      </c>
      <c r="I16" s="18" t="s">
        <v>594</v>
      </c>
      <c r="J16" s="18">
        <v>13510894</v>
      </c>
      <c r="K16" s="18">
        <v>0</v>
      </c>
      <c r="L16" s="18" t="s">
        <v>594</v>
      </c>
      <c r="M16" s="18" t="s">
        <v>594</v>
      </c>
      <c r="N16" s="18" t="s">
        <v>594</v>
      </c>
      <c r="O16" s="19">
        <f t="shared" si="7"/>
        <v>13510894</v>
      </c>
      <c r="P16" s="45">
        <v>16661.580000000002</v>
      </c>
      <c r="Q16" s="47">
        <f t="shared" si="11"/>
        <v>810.90112702396766</v>
      </c>
      <c r="R16" s="10">
        <f t="shared" si="6"/>
        <v>0</v>
      </c>
      <c r="S16" s="10">
        <f t="shared" si="6"/>
        <v>0</v>
      </c>
      <c r="T16" s="10">
        <f t="shared" si="6"/>
        <v>0</v>
      </c>
      <c r="U16" s="10">
        <f t="shared" si="6"/>
        <v>0</v>
      </c>
      <c r="V16" s="10">
        <f t="shared" si="6"/>
        <v>0</v>
      </c>
      <c r="W16" s="10">
        <f t="shared" si="6"/>
        <v>0</v>
      </c>
      <c r="X16" s="10">
        <f t="shared" si="6"/>
        <v>16661.580000000002</v>
      </c>
      <c r="Y16" s="10">
        <f t="shared" si="6"/>
        <v>0</v>
      </c>
      <c r="Z16" s="10">
        <f t="shared" si="6"/>
        <v>0</v>
      </c>
      <c r="AA16" s="10">
        <f t="shared" si="6"/>
        <v>0</v>
      </c>
      <c r="AB16" s="10">
        <f t="shared" si="6"/>
        <v>0</v>
      </c>
      <c r="AC16" s="19">
        <f t="shared" si="8"/>
        <v>16661.580000000002</v>
      </c>
      <c r="AD16" s="1">
        <f t="shared" si="9"/>
        <v>16661.580000000002</v>
      </c>
      <c r="AE16" s="50">
        <f t="shared" si="10"/>
        <v>0</v>
      </c>
      <c r="AF16" s="51"/>
      <c r="AG16" s="51"/>
    </row>
    <row r="17" spans="1:33">
      <c r="A17">
        <f>SUMIF('Balanza ok'!D:D,B17,'Balanza ok'!B:B)</f>
        <v>0</v>
      </c>
      <c r="B17" s="57" t="s">
        <v>556</v>
      </c>
      <c r="C17" s="2" t="s">
        <v>32</v>
      </c>
      <c r="D17" s="18">
        <v>45226534</v>
      </c>
      <c r="E17" s="18">
        <v>6559687</v>
      </c>
      <c r="F17" s="18">
        <v>5605358</v>
      </c>
      <c r="G17" s="18">
        <v>7085434</v>
      </c>
      <c r="H17" s="18">
        <v>8476247</v>
      </c>
      <c r="I17" s="18">
        <v>6443083</v>
      </c>
      <c r="J17" s="18">
        <v>8432865</v>
      </c>
      <c r="K17" s="18">
        <v>53095272</v>
      </c>
      <c r="L17" s="18">
        <v>10439407</v>
      </c>
      <c r="M17" s="18">
        <v>4552986</v>
      </c>
      <c r="N17" s="18" t="s">
        <v>594</v>
      </c>
      <c r="O17" s="19">
        <f t="shared" si="7"/>
        <v>155916873</v>
      </c>
      <c r="P17" s="45">
        <v>188377.53000000006</v>
      </c>
      <c r="Q17" s="47">
        <f t="shared" si="11"/>
        <v>827.68296728383666</v>
      </c>
      <c r="R17" s="10">
        <f t="shared" si="6"/>
        <v>54642.339866455775</v>
      </c>
      <c r="S17" s="10">
        <f t="shared" si="6"/>
        <v>7925.3618345277509</v>
      </c>
      <c r="T17" s="10">
        <f t="shared" si="6"/>
        <v>6772.3491017276901</v>
      </c>
      <c r="U17" s="10">
        <f t="shared" si="6"/>
        <v>8560.5651923125752</v>
      </c>
      <c r="V17" s="10">
        <f t="shared" si="6"/>
        <v>10240.934433888438</v>
      </c>
      <c r="W17" s="10">
        <f t="shared" si="6"/>
        <v>7784.4818060518073</v>
      </c>
      <c r="X17" s="10">
        <f t="shared" si="6"/>
        <v>10188.520645379094</v>
      </c>
      <c r="Y17" s="10">
        <f t="shared" si="6"/>
        <v>64149.286742289674</v>
      </c>
      <c r="Z17" s="10">
        <f t="shared" si="6"/>
        <v>12612.808783849267</v>
      </c>
      <c r="AA17" s="10">
        <f t="shared" si="6"/>
        <v>5500.8815935179782</v>
      </c>
      <c r="AB17" s="10">
        <f t="shared" si="6"/>
        <v>0</v>
      </c>
      <c r="AC17" s="19">
        <f t="shared" si="8"/>
        <v>188377.53000000006</v>
      </c>
      <c r="AD17" s="1">
        <f t="shared" si="9"/>
        <v>188377.53000000006</v>
      </c>
      <c r="AE17" s="50">
        <f t="shared" si="10"/>
        <v>0</v>
      </c>
      <c r="AF17" s="51"/>
      <c r="AG17" s="51"/>
    </row>
    <row r="18" spans="1:33">
      <c r="A18">
        <f>SUMIF('Balanza ok'!D:D,B18,'Balanza ok'!B:B)</f>
        <v>0</v>
      </c>
      <c r="B18" s="57" t="s">
        <v>557</v>
      </c>
      <c r="C18" s="2" t="s">
        <v>31</v>
      </c>
      <c r="D18" s="18" t="s">
        <v>594</v>
      </c>
      <c r="E18" s="18" t="s">
        <v>594</v>
      </c>
      <c r="F18" s="18" t="s">
        <v>594</v>
      </c>
      <c r="G18" s="18" t="s">
        <v>594</v>
      </c>
      <c r="H18" s="18" t="s">
        <v>594</v>
      </c>
      <c r="I18" s="18" t="s">
        <v>594</v>
      </c>
      <c r="J18" s="18" t="s">
        <v>594</v>
      </c>
      <c r="K18" s="18">
        <v>-1289336</v>
      </c>
      <c r="L18" s="18" t="s">
        <v>594</v>
      </c>
      <c r="M18" s="18" t="s">
        <v>594</v>
      </c>
      <c r="N18" s="18" t="s">
        <v>594</v>
      </c>
      <c r="O18" s="19">
        <f t="shared" si="7"/>
        <v>-1289336</v>
      </c>
      <c r="P18" s="45">
        <v>-1597.29</v>
      </c>
      <c r="Q18" s="47">
        <f t="shared" si="11"/>
        <v>807.20219872408893</v>
      </c>
      <c r="R18" s="10">
        <f t="shared" si="6"/>
        <v>0</v>
      </c>
      <c r="S18" s="10">
        <f t="shared" si="6"/>
        <v>0</v>
      </c>
      <c r="T18" s="10">
        <f t="shared" si="6"/>
        <v>0</v>
      </c>
      <c r="U18" s="10">
        <f t="shared" si="6"/>
        <v>0</v>
      </c>
      <c r="V18" s="10">
        <f t="shared" si="6"/>
        <v>0</v>
      </c>
      <c r="W18" s="10">
        <f t="shared" si="6"/>
        <v>0</v>
      </c>
      <c r="X18" s="10">
        <f t="shared" si="6"/>
        <v>0</v>
      </c>
      <c r="Y18" s="10">
        <f t="shared" si="6"/>
        <v>-1597.29</v>
      </c>
      <c r="Z18" s="10">
        <f t="shared" si="6"/>
        <v>0</v>
      </c>
      <c r="AA18" s="10">
        <f t="shared" si="6"/>
        <v>0</v>
      </c>
      <c r="AB18" s="10">
        <f t="shared" si="6"/>
        <v>0</v>
      </c>
      <c r="AC18" s="19">
        <f t="shared" si="8"/>
        <v>-1597.29</v>
      </c>
      <c r="AD18" s="1">
        <f t="shared" si="9"/>
        <v>-1597.29</v>
      </c>
      <c r="AE18" s="50">
        <f t="shared" si="10"/>
        <v>0</v>
      </c>
      <c r="AF18" s="51"/>
      <c r="AG18" s="51"/>
    </row>
    <row r="19" spans="1:33">
      <c r="A19">
        <f>SUMIF('Balanza ok'!D:D,B19,'Balanza ok'!B:B)</f>
        <v>0</v>
      </c>
      <c r="B19" s="57" t="s">
        <v>558</v>
      </c>
      <c r="C19" s="2" t="s">
        <v>30</v>
      </c>
      <c r="D19" s="18">
        <v>1210877</v>
      </c>
      <c r="E19" s="18">
        <v>286419</v>
      </c>
      <c r="F19" s="18">
        <v>230096</v>
      </c>
      <c r="G19" s="18">
        <v>320327</v>
      </c>
      <c r="H19" s="18">
        <v>412420</v>
      </c>
      <c r="I19" s="18">
        <v>304081</v>
      </c>
      <c r="J19" s="18">
        <v>236208</v>
      </c>
      <c r="K19" s="18">
        <v>850108</v>
      </c>
      <c r="L19" s="18">
        <v>516934</v>
      </c>
      <c r="M19" s="18">
        <v>225940</v>
      </c>
      <c r="N19" s="18" t="s">
        <v>594</v>
      </c>
      <c r="O19" s="19">
        <f t="shared" si="7"/>
        <v>4593410</v>
      </c>
      <c r="P19" s="45">
        <v>5539.72</v>
      </c>
      <c r="Q19" s="47">
        <f t="shared" si="11"/>
        <v>829.17728693869003</v>
      </c>
      <c r="R19" s="10">
        <f t="shared" si="6"/>
        <v>1460.3354663398216</v>
      </c>
      <c r="S19" s="10">
        <f t="shared" si="6"/>
        <v>345.42552541140458</v>
      </c>
      <c r="T19" s="10">
        <f t="shared" si="6"/>
        <v>277.49915925641301</v>
      </c>
      <c r="U19" s="10">
        <f t="shared" si="6"/>
        <v>386.31907198355907</v>
      </c>
      <c r="V19" s="10">
        <f t="shared" si="6"/>
        <v>497.38458408894485</v>
      </c>
      <c r="W19" s="10">
        <f t="shared" si="6"/>
        <v>366.72615710768252</v>
      </c>
      <c r="X19" s="10">
        <f t="shared" si="6"/>
        <v>284.87032112526424</v>
      </c>
      <c r="Y19" s="10">
        <f t="shared" si="6"/>
        <v>1025.2427477103067</v>
      </c>
      <c r="Z19" s="10">
        <f t="shared" si="6"/>
        <v>623.43000482865671</v>
      </c>
      <c r="AA19" s="10">
        <f t="shared" si="6"/>
        <v>272.48696214794671</v>
      </c>
      <c r="AB19" s="10">
        <f t="shared" si="6"/>
        <v>0</v>
      </c>
      <c r="AC19" s="19">
        <f t="shared" si="8"/>
        <v>5539.72</v>
      </c>
      <c r="AD19" s="1">
        <f t="shared" si="9"/>
        <v>5539.72</v>
      </c>
      <c r="AE19" s="50">
        <f t="shared" si="10"/>
        <v>0</v>
      </c>
      <c r="AF19" s="51"/>
      <c r="AG19" s="51"/>
    </row>
    <row r="20" spans="1:33">
      <c r="A20">
        <f>SUMIF('Balanza ok'!D:D,B20,'Balanza ok'!B:B)</f>
        <v>0</v>
      </c>
      <c r="B20" s="57" t="s">
        <v>559</v>
      </c>
      <c r="C20" s="2" t="s">
        <v>29</v>
      </c>
      <c r="D20" s="18">
        <v>4110402</v>
      </c>
      <c r="E20" s="18">
        <v>2095660</v>
      </c>
      <c r="F20" s="18">
        <v>1748182</v>
      </c>
      <c r="G20" s="18">
        <v>2207307</v>
      </c>
      <c r="H20" s="18">
        <v>2566056</v>
      </c>
      <c r="I20" s="18">
        <v>2242453</v>
      </c>
      <c r="J20" s="18">
        <v>1409170</v>
      </c>
      <c r="K20" s="18">
        <v>3045835</v>
      </c>
      <c r="L20" s="18">
        <v>3498772</v>
      </c>
      <c r="M20" s="18">
        <v>1621177</v>
      </c>
      <c r="N20" s="18" t="s">
        <v>594</v>
      </c>
      <c r="O20" s="19">
        <f t="shared" si="7"/>
        <v>24545014</v>
      </c>
      <c r="P20" s="45">
        <v>29618.700000000004</v>
      </c>
      <c r="Q20" s="47">
        <f t="shared" si="11"/>
        <v>828.69990917899827</v>
      </c>
      <c r="R20" s="10">
        <f t="shared" si="6"/>
        <v>4960.0608790608158</v>
      </c>
      <c r="S20" s="10">
        <f t="shared" si="6"/>
        <v>2528.8526966006216</v>
      </c>
      <c r="T20" s="10">
        <f t="shared" si="6"/>
        <v>2109.5477152060294</v>
      </c>
      <c r="U20" s="10">
        <f t="shared" si="6"/>
        <v>2663.5781849992022</v>
      </c>
      <c r="V20" s="10">
        <f t="shared" si="6"/>
        <v>3096.4839884466969</v>
      </c>
      <c r="W20" s="10">
        <f t="shared" si="6"/>
        <v>2705.9891948360678</v>
      </c>
      <c r="X20" s="10">
        <f t="shared" si="6"/>
        <v>1700.4587358964231</v>
      </c>
      <c r="Y20" s="10">
        <f t="shared" si="6"/>
        <v>3675.4378349305489</v>
      </c>
      <c r="Z20" s="10">
        <f t="shared" si="6"/>
        <v>4222.0011867338926</v>
      </c>
      <c r="AA20" s="10">
        <f t="shared" si="6"/>
        <v>1956.2895832897063</v>
      </c>
      <c r="AB20" s="10">
        <f t="shared" si="6"/>
        <v>0</v>
      </c>
      <c r="AC20" s="19">
        <f t="shared" si="8"/>
        <v>29618.700000000004</v>
      </c>
      <c r="AD20" s="1">
        <f t="shared" si="9"/>
        <v>29618.700000000004</v>
      </c>
      <c r="AE20" s="50">
        <f t="shared" si="10"/>
        <v>0</v>
      </c>
      <c r="AF20" s="51"/>
      <c r="AG20" s="51"/>
    </row>
    <row r="21" spans="1:33">
      <c r="A21">
        <f>SUMIF('Balanza ok'!D:D,B21,'Balanza ok'!B:B)</f>
        <v>0</v>
      </c>
      <c r="B21" s="57" t="s">
        <v>586</v>
      </c>
      <c r="C21" s="2" t="s">
        <v>538</v>
      </c>
      <c r="D21" s="18" t="s">
        <v>594</v>
      </c>
      <c r="E21" s="18" t="s">
        <v>594</v>
      </c>
      <c r="F21" s="18" t="s">
        <v>594</v>
      </c>
      <c r="G21" s="18" t="s">
        <v>594</v>
      </c>
      <c r="H21" s="18" t="s">
        <v>594</v>
      </c>
      <c r="I21" s="18" t="s">
        <v>594</v>
      </c>
      <c r="J21" s="18" t="s">
        <v>594</v>
      </c>
      <c r="K21" s="18">
        <v>1456695</v>
      </c>
      <c r="L21" s="18" t="s">
        <v>594</v>
      </c>
      <c r="M21" s="18" t="s">
        <v>594</v>
      </c>
      <c r="N21" s="18" t="s">
        <v>594</v>
      </c>
      <c r="O21" s="19">
        <f t="shared" si="7"/>
        <v>1456695</v>
      </c>
      <c r="P21" s="45">
        <v>1776.12</v>
      </c>
      <c r="Q21" s="47">
        <f t="shared" si="11"/>
        <v>820.15573272076222</v>
      </c>
      <c r="R21" s="10">
        <f t="shared" si="6"/>
        <v>0</v>
      </c>
      <c r="S21" s="10">
        <f t="shared" si="6"/>
        <v>0</v>
      </c>
      <c r="T21" s="10">
        <f t="shared" si="6"/>
        <v>0</v>
      </c>
      <c r="U21" s="10">
        <f t="shared" si="6"/>
        <v>0</v>
      </c>
      <c r="V21" s="10">
        <f t="shared" si="6"/>
        <v>0</v>
      </c>
      <c r="W21" s="10">
        <f t="shared" si="6"/>
        <v>0</v>
      </c>
      <c r="X21" s="10">
        <f t="shared" si="6"/>
        <v>0</v>
      </c>
      <c r="Y21" s="10">
        <f t="shared" si="6"/>
        <v>1776.1199999999997</v>
      </c>
      <c r="Z21" s="10">
        <f t="shared" si="6"/>
        <v>0</v>
      </c>
      <c r="AA21" s="10">
        <f t="shared" si="6"/>
        <v>0</v>
      </c>
      <c r="AB21" s="10">
        <f t="shared" si="6"/>
        <v>0</v>
      </c>
      <c r="AC21" s="19">
        <f t="shared" si="8"/>
        <v>1776.1199999999997</v>
      </c>
      <c r="AD21" s="1">
        <f t="shared" si="9"/>
        <v>1776.1199999999997</v>
      </c>
      <c r="AE21" s="50">
        <f t="shared" si="10"/>
        <v>0</v>
      </c>
      <c r="AF21" s="51"/>
      <c r="AG21" s="51"/>
    </row>
    <row r="22" spans="1:33">
      <c r="A22">
        <f>SUMIF('Balanza ok'!D:D,B22,'Balanza ok'!B:B)</f>
        <v>0</v>
      </c>
      <c r="B22" s="57" t="s">
        <v>560</v>
      </c>
      <c r="C22" s="2" t="s">
        <v>28</v>
      </c>
      <c r="D22" s="18">
        <v>1845001</v>
      </c>
      <c r="E22" s="18">
        <v>651733</v>
      </c>
      <c r="F22" s="18">
        <v>417000</v>
      </c>
      <c r="G22" s="18">
        <v>570500</v>
      </c>
      <c r="H22" s="18">
        <v>787000</v>
      </c>
      <c r="I22" s="18">
        <v>820667</v>
      </c>
      <c r="J22" s="18">
        <v>500000</v>
      </c>
      <c r="K22" s="18">
        <v>1208000</v>
      </c>
      <c r="L22" s="18">
        <v>1131100</v>
      </c>
      <c r="M22" s="18">
        <v>468500</v>
      </c>
      <c r="N22" s="18" t="s">
        <v>594</v>
      </c>
      <c r="O22" s="19">
        <f t="shared" si="7"/>
        <v>8399501</v>
      </c>
      <c r="P22" s="45">
        <v>10140.410000000005</v>
      </c>
      <c r="Q22" s="47">
        <f t="shared" si="11"/>
        <v>828.31966360334502</v>
      </c>
      <c r="R22" s="10">
        <f t="shared" si="6"/>
        <v>2227.4021504860834</v>
      </c>
      <c r="S22" s="10">
        <f t="shared" si="6"/>
        <v>786.81338695358249</v>
      </c>
      <c r="T22" s="10">
        <f t="shared" si="6"/>
        <v>503.42883106984596</v>
      </c>
      <c r="U22" s="10">
        <f t="shared" si="6"/>
        <v>688.74376049243915</v>
      </c>
      <c r="V22" s="10">
        <f t="shared" si="6"/>
        <v>950.11628309824641</v>
      </c>
      <c r="W22" s="10">
        <f t="shared" si="6"/>
        <v>990.76121944267925</v>
      </c>
      <c r="X22" s="10">
        <f t="shared" si="6"/>
        <v>603.6316919302709</v>
      </c>
      <c r="Y22" s="10">
        <f t="shared" si="6"/>
        <v>1458.3741677035346</v>
      </c>
      <c r="Z22" s="10">
        <f t="shared" si="6"/>
        <v>1365.5356134846588</v>
      </c>
      <c r="AA22" s="10">
        <f t="shared" si="6"/>
        <v>565.60289533866387</v>
      </c>
      <c r="AB22" s="10">
        <f t="shared" si="6"/>
        <v>0</v>
      </c>
      <c r="AC22" s="19">
        <f t="shared" si="8"/>
        <v>10140.410000000003</v>
      </c>
      <c r="AD22" s="1">
        <f t="shared" si="9"/>
        <v>10140.410000000003</v>
      </c>
      <c r="AE22" s="50">
        <f t="shared" si="10"/>
        <v>0</v>
      </c>
      <c r="AF22" s="51"/>
      <c r="AG22" s="51"/>
    </row>
    <row r="23" spans="1:33">
      <c r="A23">
        <f>SUMIF('Balanza ok'!D:D,B23,'Balanza ok'!B:B)</f>
        <v>0</v>
      </c>
      <c r="B23" s="57" t="s">
        <v>561</v>
      </c>
      <c r="C23" s="2" t="s">
        <v>27</v>
      </c>
      <c r="D23" s="18">
        <v>1845001</v>
      </c>
      <c r="E23" s="18">
        <v>651733</v>
      </c>
      <c r="F23" s="18">
        <v>417000</v>
      </c>
      <c r="G23" s="18">
        <v>570500</v>
      </c>
      <c r="H23" s="18">
        <v>787000</v>
      </c>
      <c r="I23" s="18">
        <v>820667</v>
      </c>
      <c r="J23" s="18">
        <v>500000</v>
      </c>
      <c r="K23" s="18">
        <v>1208000</v>
      </c>
      <c r="L23" s="18">
        <v>1131100</v>
      </c>
      <c r="M23" s="18">
        <v>468500</v>
      </c>
      <c r="N23" s="18" t="s">
        <v>594</v>
      </c>
      <c r="O23" s="19">
        <f t="shared" si="7"/>
        <v>8399501</v>
      </c>
      <c r="P23" s="45">
        <v>10140.410000000005</v>
      </c>
      <c r="Q23" s="47">
        <f t="shared" si="11"/>
        <v>828.31966360334502</v>
      </c>
      <c r="R23" s="10">
        <f t="shared" si="6"/>
        <v>2227.4021504860834</v>
      </c>
      <c r="S23" s="10">
        <f t="shared" si="6"/>
        <v>786.81338695358249</v>
      </c>
      <c r="T23" s="10">
        <f t="shared" si="6"/>
        <v>503.42883106984596</v>
      </c>
      <c r="U23" s="10">
        <f t="shared" si="6"/>
        <v>688.74376049243915</v>
      </c>
      <c r="V23" s="10">
        <f t="shared" si="6"/>
        <v>950.11628309824641</v>
      </c>
      <c r="W23" s="10">
        <f t="shared" si="6"/>
        <v>990.76121944267925</v>
      </c>
      <c r="X23" s="10">
        <f t="shared" si="6"/>
        <v>603.6316919302709</v>
      </c>
      <c r="Y23" s="10">
        <f t="shared" si="6"/>
        <v>1458.3741677035346</v>
      </c>
      <c r="Z23" s="10">
        <f t="shared" si="6"/>
        <v>1365.5356134846588</v>
      </c>
      <c r="AA23" s="10">
        <f t="shared" si="6"/>
        <v>565.60289533866387</v>
      </c>
      <c r="AB23" s="10">
        <f t="shared" si="6"/>
        <v>0</v>
      </c>
      <c r="AC23" s="19">
        <f t="shared" si="8"/>
        <v>10140.410000000003</v>
      </c>
      <c r="AD23" s="1">
        <f t="shared" si="9"/>
        <v>10140.410000000003</v>
      </c>
      <c r="AE23" s="50">
        <f t="shared" si="10"/>
        <v>0</v>
      </c>
      <c r="AF23" s="51"/>
      <c r="AG23" s="51"/>
    </row>
    <row r="24" spans="1:33">
      <c r="A24">
        <f>SUMIF('Balanza ok'!D:D,B24,'Balanza ok'!B:B)</f>
        <v>0</v>
      </c>
      <c r="B24" s="57" t="s">
        <v>562</v>
      </c>
      <c r="C24" s="2" t="s">
        <v>26</v>
      </c>
      <c r="D24" s="18">
        <v>409920</v>
      </c>
      <c r="E24" s="18">
        <v>102105</v>
      </c>
      <c r="F24" s="18">
        <v>82528</v>
      </c>
      <c r="G24" s="18">
        <v>117060</v>
      </c>
      <c r="H24" s="18">
        <v>137500</v>
      </c>
      <c r="I24" s="18">
        <v>115675</v>
      </c>
      <c r="J24" s="18">
        <v>91531</v>
      </c>
      <c r="K24" s="18">
        <v>253847</v>
      </c>
      <c r="L24" s="18">
        <v>196492</v>
      </c>
      <c r="M24" s="18">
        <v>78642</v>
      </c>
      <c r="N24" s="18" t="s">
        <v>594</v>
      </c>
      <c r="O24" s="19">
        <f t="shared" si="7"/>
        <v>1585300</v>
      </c>
      <c r="P24" s="45">
        <v>1910.2599999999995</v>
      </c>
      <c r="Q24" s="47">
        <f t="shared" si="11"/>
        <v>829.88703108477398</v>
      </c>
      <c r="R24" s="10">
        <f t="shared" si="6"/>
        <v>493.94674774490625</v>
      </c>
      <c r="S24" s="10">
        <f t="shared" si="6"/>
        <v>123.03481820475618</v>
      </c>
      <c r="T24" s="10">
        <f t="shared" si="6"/>
        <v>99.444860455434281</v>
      </c>
      <c r="U24" s="10">
        <f t="shared" si="6"/>
        <v>141.05534321579509</v>
      </c>
      <c r="V24" s="10">
        <f t="shared" si="6"/>
        <v>165.68520153914082</v>
      </c>
      <c r="W24" s="10">
        <f t="shared" si="6"/>
        <v>139.38644136756446</v>
      </c>
      <c r="X24" s="10">
        <f t="shared" si="6"/>
        <v>110.29332496057526</v>
      </c>
      <c r="Y24" s="10">
        <f t="shared" si="6"/>
        <v>305.88139167350022</v>
      </c>
      <c r="Z24" s="10">
        <f t="shared" si="6"/>
        <v>236.76957542420988</v>
      </c>
      <c r="AA24" s="10">
        <f t="shared" si="6"/>
        <v>94.762295414117176</v>
      </c>
      <c r="AB24" s="10">
        <f t="shared" si="6"/>
        <v>0</v>
      </c>
      <c r="AC24" s="19">
        <f t="shared" si="8"/>
        <v>1910.26</v>
      </c>
      <c r="AD24" s="1">
        <f t="shared" si="9"/>
        <v>1910.26</v>
      </c>
      <c r="AE24" s="50">
        <f t="shared" si="10"/>
        <v>0</v>
      </c>
      <c r="AF24" s="51"/>
      <c r="AG24" s="51"/>
    </row>
    <row r="25" spans="1:33">
      <c r="A25">
        <f>SUMIF('Balanza ok'!D:D,B25,'Balanza ok'!B:B)</f>
        <v>0</v>
      </c>
      <c r="B25" s="57" t="s">
        <v>563</v>
      </c>
      <c r="C25" s="2" t="s">
        <v>25</v>
      </c>
      <c r="D25" s="18">
        <v>824422</v>
      </c>
      <c r="E25" s="18">
        <v>203645</v>
      </c>
      <c r="F25" s="18">
        <v>164671</v>
      </c>
      <c r="G25" s="18">
        <v>233250</v>
      </c>
      <c r="H25" s="18">
        <v>300434</v>
      </c>
      <c r="I25" s="18">
        <v>231573</v>
      </c>
      <c r="J25" s="18">
        <v>182486</v>
      </c>
      <c r="K25" s="18">
        <v>506379</v>
      </c>
      <c r="L25" s="18">
        <v>391934</v>
      </c>
      <c r="M25" s="18">
        <v>156733</v>
      </c>
      <c r="N25" s="18" t="s">
        <v>594</v>
      </c>
      <c r="O25" s="19">
        <f t="shared" si="7"/>
        <v>3195527</v>
      </c>
      <c r="P25" s="45">
        <v>3849.150000000001</v>
      </c>
      <c r="Q25" s="47">
        <f t="shared" si="11"/>
        <v>830.19030175493265</v>
      </c>
      <c r="R25" s="10">
        <f t="shared" si="6"/>
        <v>993.05183192005609</v>
      </c>
      <c r="S25" s="10">
        <f t="shared" si="6"/>
        <v>245.29917968147359</v>
      </c>
      <c r="T25" s="10">
        <f t="shared" si="6"/>
        <v>198.3533168863853</v>
      </c>
      <c r="U25" s="10">
        <f t="shared" si="6"/>
        <v>280.95967816889055</v>
      </c>
      <c r="V25" s="10">
        <f t="shared" si="6"/>
        <v>361.88570182633424</v>
      </c>
      <c r="W25" s="10">
        <f t="shared" si="6"/>
        <v>278.9396593895155</v>
      </c>
      <c r="X25" s="10">
        <f t="shared" si="6"/>
        <v>219.81225222005642</v>
      </c>
      <c r="Y25" s="10">
        <f t="shared" si="6"/>
        <v>609.9553306387337</v>
      </c>
      <c r="Z25" s="10">
        <f t="shared" si="6"/>
        <v>472.10139551316587</v>
      </c>
      <c r="AA25" s="10">
        <f t="shared" si="6"/>
        <v>188.79165375539</v>
      </c>
      <c r="AB25" s="10">
        <f t="shared" si="6"/>
        <v>0</v>
      </c>
      <c r="AC25" s="19">
        <f t="shared" si="8"/>
        <v>3849.1500000000015</v>
      </c>
      <c r="AD25" s="1">
        <f t="shared" si="9"/>
        <v>3849.1500000000015</v>
      </c>
      <c r="AE25" s="50">
        <f t="shared" si="10"/>
        <v>0</v>
      </c>
      <c r="AF25" s="51"/>
      <c r="AG25" s="51"/>
    </row>
    <row r="26" spans="1:33">
      <c r="A26">
        <f>SUMIF('Balanza ok'!D:D,B26,'Balanza ok'!B:B)</f>
        <v>0</v>
      </c>
      <c r="B26" s="57">
        <v>3105112</v>
      </c>
      <c r="C26" s="2" t="s">
        <v>596</v>
      </c>
      <c r="D26" s="18" t="s">
        <v>594</v>
      </c>
      <c r="E26" s="18" t="s">
        <v>594</v>
      </c>
      <c r="F26" s="18" t="s">
        <v>594</v>
      </c>
      <c r="G26" s="18" t="s">
        <v>594</v>
      </c>
      <c r="H26" s="18" t="s">
        <v>594</v>
      </c>
      <c r="I26" s="18" t="s">
        <v>594</v>
      </c>
      <c r="J26" s="18" t="s">
        <v>594</v>
      </c>
      <c r="K26" s="18">
        <v>214500</v>
      </c>
      <c r="L26" s="18" t="s">
        <v>594</v>
      </c>
      <c r="M26" s="18" t="s">
        <v>594</v>
      </c>
      <c r="N26" s="18" t="s">
        <v>594</v>
      </c>
      <c r="O26" s="19">
        <f t="shared" si="7"/>
        <v>214500</v>
      </c>
      <c r="P26" s="45">
        <v>246.66</v>
      </c>
      <c r="Q26" s="47">
        <f t="shared" si="11"/>
        <v>869.61809778642669</v>
      </c>
      <c r="R26" s="10">
        <f t="shared" si="6"/>
        <v>0</v>
      </c>
      <c r="S26" s="10">
        <f t="shared" si="6"/>
        <v>0</v>
      </c>
      <c r="T26" s="10">
        <f t="shared" si="6"/>
        <v>0</v>
      </c>
      <c r="U26" s="10">
        <f t="shared" si="6"/>
        <v>0</v>
      </c>
      <c r="V26" s="10">
        <f t="shared" si="6"/>
        <v>0</v>
      </c>
      <c r="W26" s="10">
        <f t="shared" si="6"/>
        <v>0</v>
      </c>
      <c r="X26" s="10">
        <f t="shared" si="6"/>
        <v>0</v>
      </c>
      <c r="Y26" s="10">
        <f t="shared" si="6"/>
        <v>246.66</v>
      </c>
      <c r="Z26" s="10">
        <f t="shared" si="6"/>
        <v>0</v>
      </c>
      <c r="AA26" s="10">
        <f t="shared" si="6"/>
        <v>0</v>
      </c>
      <c r="AB26" s="10">
        <f t="shared" si="6"/>
        <v>0</v>
      </c>
      <c r="AC26" s="19">
        <f t="shared" si="8"/>
        <v>246.66</v>
      </c>
      <c r="AD26" s="1">
        <f t="shared" si="9"/>
        <v>246.66</v>
      </c>
      <c r="AE26" s="50">
        <f t="shared" si="10"/>
        <v>0</v>
      </c>
      <c r="AF26" s="51"/>
      <c r="AG26" s="51"/>
    </row>
    <row r="27" spans="1:33">
      <c r="A27">
        <f>SUMIF('Balanza ok'!D:D,B27,'Balanza ok'!B:B)</f>
        <v>0</v>
      </c>
      <c r="B27" s="57" t="s">
        <v>564</v>
      </c>
      <c r="C27" s="2" t="s">
        <v>24</v>
      </c>
      <c r="D27" s="18" t="s">
        <v>594</v>
      </c>
      <c r="E27" s="18">
        <v>511077</v>
      </c>
      <c r="F27" s="18">
        <v>500160</v>
      </c>
      <c r="G27" s="18">
        <v>584984</v>
      </c>
      <c r="H27" s="18">
        <v>543832</v>
      </c>
      <c r="I27" s="18">
        <v>469076</v>
      </c>
      <c r="J27" s="18" t="s">
        <v>594</v>
      </c>
      <c r="K27" s="18">
        <v>0</v>
      </c>
      <c r="L27" s="18">
        <v>584161</v>
      </c>
      <c r="M27" s="18">
        <v>501816</v>
      </c>
      <c r="N27" s="18" t="s">
        <v>594</v>
      </c>
      <c r="O27" s="19">
        <f t="shared" si="7"/>
        <v>3695106</v>
      </c>
      <c r="P27" s="45">
        <v>4401.5300000000007</v>
      </c>
      <c r="Q27" s="47">
        <f t="shared" si="11"/>
        <v>839.50489943269713</v>
      </c>
      <c r="R27" s="10">
        <f t="shared" si="6"/>
        <v>0</v>
      </c>
      <c r="S27" s="10">
        <f t="shared" si="6"/>
        <v>608.78382049391826</v>
      </c>
      <c r="T27" s="10">
        <f t="shared" si="6"/>
        <v>595.77972723921869</v>
      </c>
      <c r="U27" s="10">
        <f t="shared" si="6"/>
        <v>696.82023344391212</v>
      </c>
      <c r="V27" s="10">
        <f t="shared" si="6"/>
        <v>647.80086497112677</v>
      </c>
      <c r="W27" s="10">
        <f t="shared" si="6"/>
        <v>558.7531416635951</v>
      </c>
      <c r="X27" s="10">
        <f t="shared" si="6"/>
        <v>0</v>
      </c>
      <c r="Y27" s="10">
        <f t="shared" si="6"/>
        <v>0</v>
      </c>
      <c r="Z27" s="10">
        <f t="shared" si="6"/>
        <v>695.83989372158749</v>
      </c>
      <c r="AA27" s="10">
        <f t="shared" si="6"/>
        <v>597.75231846664224</v>
      </c>
      <c r="AB27" s="10">
        <f t="shared" si="6"/>
        <v>0</v>
      </c>
      <c r="AC27" s="19">
        <f t="shared" si="8"/>
        <v>4401.5300000000007</v>
      </c>
      <c r="AD27" s="1">
        <f t="shared" si="9"/>
        <v>4401.5300000000007</v>
      </c>
      <c r="AE27" s="50">
        <f t="shared" si="10"/>
        <v>0</v>
      </c>
      <c r="AF27" s="51"/>
      <c r="AG27" s="51"/>
    </row>
    <row r="28" spans="1:33">
      <c r="A28">
        <f>SUMIF('Balanza ok'!D:D,B28,'Balanza ok'!B:B)</f>
        <v>0</v>
      </c>
      <c r="B28" s="57" t="s">
        <v>523</v>
      </c>
      <c r="C28" s="2" t="s">
        <v>524</v>
      </c>
      <c r="D28" s="18" t="s">
        <v>594</v>
      </c>
      <c r="E28" s="18" t="s">
        <v>594</v>
      </c>
      <c r="F28" s="18" t="s">
        <v>594</v>
      </c>
      <c r="G28" s="18" t="s">
        <v>594</v>
      </c>
      <c r="H28" s="18" t="s">
        <v>594</v>
      </c>
      <c r="I28" s="18" t="s">
        <v>594</v>
      </c>
      <c r="J28" s="18" t="s">
        <v>594</v>
      </c>
      <c r="K28" s="18">
        <v>0</v>
      </c>
      <c r="L28" s="18" t="s">
        <v>594</v>
      </c>
      <c r="M28" s="18" t="s">
        <v>594</v>
      </c>
      <c r="N28" s="18" t="s">
        <v>594</v>
      </c>
      <c r="O28" s="19">
        <f t="shared" si="7"/>
        <v>0</v>
      </c>
      <c r="P28" s="45">
        <v>0</v>
      </c>
      <c r="Q28" s="47">
        <v>0</v>
      </c>
      <c r="R28" s="10">
        <f t="shared" si="6"/>
        <v>0</v>
      </c>
      <c r="S28" s="10">
        <f t="shared" si="6"/>
        <v>0</v>
      </c>
      <c r="T28" s="10">
        <f t="shared" si="6"/>
        <v>0</v>
      </c>
      <c r="U28" s="10">
        <f t="shared" si="6"/>
        <v>0</v>
      </c>
      <c r="V28" s="10">
        <f t="shared" si="6"/>
        <v>0</v>
      </c>
      <c r="W28" s="10">
        <f t="shared" si="6"/>
        <v>0</v>
      </c>
      <c r="X28" s="10">
        <f t="shared" si="6"/>
        <v>0</v>
      </c>
      <c r="Y28" s="10">
        <f t="shared" si="6"/>
        <v>0</v>
      </c>
      <c r="Z28" s="10">
        <f t="shared" si="6"/>
        <v>0</v>
      </c>
      <c r="AA28" s="10">
        <f t="shared" si="6"/>
        <v>0</v>
      </c>
      <c r="AB28" s="10">
        <f t="shared" si="6"/>
        <v>0</v>
      </c>
      <c r="AC28" s="19">
        <f t="shared" si="8"/>
        <v>0</v>
      </c>
      <c r="AD28" s="1">
        <f t="shared" si="9"/>
        <v>0</v>
      </c>
      <c r="AE28" s="50">
        <f t="shared" si="10"/>
        <v>0</v>
      </c>
      <c r="AF28" s="51"/>
      <c r="AG28" s="51"/>
    </row>
    <row r="29" spans="1:33">
      <c r="A29">
        <f>SUMIF('Balanza ok'!D:D,B29,'Balanza ok'!B:B)</f>
        <v>0</v>
      </c>
      <c r="B29" s="57" t="s">
        <v>510</v>
      </c>
      <c r="C29" s="2" t="s">
        <v>294</v>
      </c>
      <c r="D29" s="18" t="s">
        <v>594</v>
      </c>
      <c r="E29" s="18">
        <v>187276</v>
      </c>
      <c r="F29" s="18" t="s">
        <v>594</v>
      </c>
      <c r="G29" s="18">
        <v>13260</v>
      </c>
      <c r="H29" s="18">
        <v>172696</v>
      </c>
      <c r="I29" s="18">
        <v>262119</v>
      </c>
      <c r="J29" s="18" t="s">
        <v>594</v>
      </c>
      <c r="K29" s="18">
        <v>5189</v>
      </c>
      <c r="L29" s="18">
        <v>564092</v>
      </c>
      <c r="M29" s="18" t="s">
        <v>594</v>
      </c>
      <c r="N29" s="18" t="s">
        <v>594</v>
      </c>
      <c r="O29" s="19">
        <f t="shared" si="7"/>
        <v>1204632</v>
      </c>
      <c r="P29" s="45">
        <v>1495.67</v>
      </c>
      <c r="Q29" s="47">
        <f t="shared" si="11"/>
        <v>805.41295874089872</v>
      </c>
      <c r="R29" s="10">
        <f t="shared" ref="R29:AB52" si="12">IFERROR((D29/$Q29),0)</f>
        <v>0</v>
      </c>
      <c r="S29" s="10">
        <f t="shared" si="12"/>
        <v>232.52171195850684</v>
      </c>
      <c r="T29" s="10">
        <f t="shared" si="12"/>
        <v>0</v>
      </c>
      <c r="U29" s="10">
        <f t="shared" si="12"/>
        <v>16.463603988603989</v>
      </c>
      <c r="V29" s="10">
        <f t="shared" si="12"/>
        <v>214.41919716560741</v>
      </c>
      <c r="W29" s="10">
        <f t="shared" si="12"/>
        <v>325.44671296296298</v>
      </c>
      <c r="X29" s="10">
        <f t="shared" si="12"/>
        <v>0</v>
      </c>
      <c r="Y29" s="10">
        <f t="shared" si="12"/>
        <v>6.4426576996128277</v>
      </c>
      <c r="Z29" s="10">
        <f t="shared" si="12"/>
        <v>700.37611622470592</v>
      </c>
      <c r="AA29" s="10">
        <f t="shared" si="12"/>
        <v>0</v>
      </c>
      <c r="AB29" s="10">
        <f t="shared" si="12"/>
        <v>0</v>
      </c>
      <c r="AC29" s="19">
        <f t="shared" si="8"/>
        <v>1495.67</v>
      </c>
      <c r="AD29" s="1">
        <f t="shared" si="9"/>
        <v>1495.67</v>
      </c>
      <c r="AE29" s="50">
        <f t="shared" si="10"/>
        <v>0</v>
      </c>
      <c r="AF29" s="51"/>
      <c r="AG29" s="51"/>
    </row>
    <row r="30" spans="1:33">
      <c r="A30">
        <f>SUMIF('Balanza ok'!D:D,B30,'Balanza ok'!B:B)</f>
        <v>0</v>
      </c>
      <c r="B30" s="57" t="s">
        <v>565</v>
      </c>
      <c r="C30" s="2" t="s">
        <v>22</v>
      </c>
      <c r="D30" s="18" t="s">
        <v>594</v>
      </c>
      <c r="E30" s="18">
        <v>400887</v>
      </c>
      <c r="F30" s="18">
        <v>279954</v>
      </c>
      <c r="G30" s="18">
        <v>605263</v>
      </c>
      <c r="H30" s="18">
        <v>691743</v>
      </c>
      <c r="I30" s="18">
        <v>649220</v>
      </c>
      <c r="J30" s="18" t="s">
        <v>594</v>
      </c>
      <c r="K30" s="18">
        <v>0</v>
      </c>
      <c r="L30" s="18">
        <v>1258935</v>
      </c>
      <c r="M30" s="18">
        <v>420069</v>
      </c>
      <c r="N30" s="18" t="s">
        <v>594</v>
      </c>
      <c r="O30" s="19">
        <f t="shared" si="7"/>
        <v>4306071</v>
      </c>
      <c r="P30" s="46">
        <v>5155.5599999999995</v>
      </c>
      <c r="Q30" s="47">
        <f t="shared" si="11"/>
        <v>835.22856876847527</v>
      </c>
      <c r="R30" s="10">
        <f t="shared" si="12"/>
        <v>0</v>
      </c>
      <c r="S30" s="10">
        <f t="shared" si="12"/>
        <v>479.97280623566121</v>
      </c>
      <c r="T30" s="10">
        <f t="shared" si="12"/>
        <v>335.1825002978353</v>
      </c>
      <c r="U30" s="10">
        <f t="shared" si="12"/>
        <v>724.66750136725557</v>
      </c>
      <c r="V30" s="10">
        <f t="shared" si="12"/>
        <v>828.20802097317937</v>
      </c>
      <c r="W30" s="10">
        <f t="shared" si="12"/>
        <v>777.29620881773656</v>
      </c>
      <c r="X30" s="10">
        <f t="shared" si="12"/>
        <v>0</v>
      </c>
      <c r="Y30" s="10">
        <f t="shared" si="12"/>
        <v>0</v>
      </c>
      <c r="Z30" s="10">
        <f t="shared" si="12"/>
        <v>1507.2939876281648</v>
      </c>
      <c r="AA30" s="10">
        <f t="shared" si="12"/>
        <v>502.93897468016661</v>
      </c>
      <c r="AB30" s="10">
        <f t="shared" si="12"/>
        <v>0</v>
      </c>
      <c r="AC30" s="19">
        <f t="shared" si="8"/>
        <v>5155.5599999999995</v>
      </c>
      <c r="AD30" s="1">
        <f t="shared" si="9"/>
        <v>5155.5599999999995</v>
      </c>
      <c r="AE30" s="50">
        <f t="shared" si="10"/>
        <v>0</v>
      </c>
      <c r="AF30" s="51"/>
      <c r="AG30" s="51"/>
    </row>
    <row r="31" spans="1:33">
      <c r="A31">
        <f>SUMIF('Balanza ok'!D:D,B31,'Balanza ok'!B:B)</f>
        <v>0</v>
      </c>
      <c r="B31" s="57" t="s">
        <v>566</v>
      </c>
      <c r="C31" s="2" t="s">
        <v>21</v>
      </c>
      <c r="D31" s="18" t="s">
        <v>594</v>
      </c>
      <c r="E31" s="18">
        <v>1735539</v>
      </c>
      <c r="F31" s="18">
        <v>1240049</v>
      </c>
      <c r="G31" s="18">
        <v>2675854</v>
      </c>
      <c r="H31" s="18">
        <v>2955810</v>
      </c>
      <c r="I31" s="18">
        <v>2839497</v>
      </c>
      <c r="J31" s="18" t="s">
        <v>594</v>
      </c>
      <c r="K31" s="18">
        <v>0</v>
      </c>
      <c r="L31" s="18">
        <v>5366997</v>
      </c>
      <c r="M31" s="18">
        <v>1862028</v>
      </c>
      <c r="N31" s="18" t="s">
        <v>594</v>
      </c>
      <c r="O31" s="19">
        <f t="shared" si="7"/>
        <v>18675774</v>
      </c>
      <c r="P31" s="46">
        <v>22508.300000000003</v>
      </c>
      <c r="Q31" s="47">
        <f t="shared" si="11"/>
        <v>829.72832244105496</v>
      </c>
      <c r="R31" s="10">
        <f t="shared" si="12"/>
        <v>0</v>
      </c>
      <c r="S31" s="10">
        <f t="shared" si="12"/>
        <v>2091.6955020820023</v>
      </c>
      <c r="T31" s="10">
        <f t="shared" si="12"/>
        <v>1494.5241309249086</v>
      </c>
      <c r="U31" s="10">
        <f t="shared" si="12"/>
        <v>3224.9760887125753</v>
      </c>
      <c r="V31" s="10">
        <f t="shared" si="12"/>
        <v>3562.3829150534812</v>
      </c>
      <c r="W31" s="10">
        <f t="shared" si="12"/>
        <v>3422.200885762486</v>
      </c>
      <c r="X31" s="10">
        <f t="shared" si="12"/>
        <v>0</v>
      </c>
      <c r="Y31" s="10">
        <f t="shared" si="12"/>
        <v>0</v>
      </c>
      <c r="Z31" s="10">
        <f t="shared" si="12"/>
        <v>6468.3786907626973</v>
      </c>
      <c r="AA31" s="10">
        <f t="shared" si="12"/>
        <v>2244.1417867018527</v>
      </c>
      <c r="AB31" s="10">
        <f t="shared" si="12"/>
        <v>0</v>
      </c>
      <c r="AC31" s="19">
        <f t="shared" si="8"/>
        <v>22508.300000000003</v>
      </c>
      <c r="AD31" s="1">
        <f t="shared" si="9"/>
        <v>22508.300000000003</v>
      </c>
      <c r="AE31" s="50">
        <f t="shared" si="10"/>
        <v>0</v>
      </c>
      <c r="AF31" s="51"/>
      <c r="AG31" s="51"/>
    </row>
    <row r="32" spans="1:33">
      <c r="A32">
        <f>SUMIF('Balanza ok'!D:D,B32,'Balanza ok'!B:B)</f>
        <v>0</v>
      </c>
      <c r="B32" s="57" t="s">
        <v>567</v>
      </c>
      <c r="C32" s="2" t="s">
        <v>542</v>
      </c>
      <c r="D32" s="18" t="s">
        <v>594</v>
      </c>
      <c r="E32" s="18" t="s">
        <v>594</v>
      </c>
      <c r="F32" s="18" t="s">
        <v>594</v>
      </c>
      <c r="G32" s="18" t="s">
        <v>594</v>
      </c>
      <c r="H32" s="18" t="s">
        <v>594</v>
      </c>
      <c r="I32" s="18" t="s">
        <v>594</v>
      </c>
      <c r="J32" s="18" t="s">
        <v>594</v>
      </c>
      <c r="K32" s="18">
        <v>0</v>
      </c>
      <c r="L32" s="18" t="s">
        <v>594</v>
      </c>
      <c r="M32" s="18" t="s">
        <v>594</v>
      </c>
      <c r="N32" s="18">
        <v>1291619</v>
      </c>
      <c r="O32" s="19">
        <f t="shared" si="7"/>
        <v>1291619</v>
      </c>
      <c r="P32" s="46">
        <v>1594.36</v>
      </c>
      <c r="Q32" s="47">
        <f t="shared" si="11"/>
        <v>810.11753932612464</v>
      </c>
      <c r="R32" s="10">
        <f t="shared" si="12"/>
        <v>0</v>
      </c>
      <c r="S32" s="10">
        <f t="shared" si="12"/>
        <v>0</v>
      </c>
      <c r="T32" s="10">
        <f t="shared" si="12"/>
        <v>0</v>
      </c>
      <c r="U32" s="10">
        <f t="shared" si="12"/>
        <v>0</v>
      </c>
      <c r="V32" s="10">
        <f t="shared" si="12"/>
        <v>0</v>
      </c>
      <c r="W32" s="10">
        <f t="shared" si="12"/>
        <v>0</v>
      </c>
      <c r="X32" s="10">
        <f t="shared" si="12"/>
        <v>0</v>
      </c>
      <c r="Y32" s="10">
        <f t="shared" si="12"/>
        <v>0</v>
      </c>
      <c r="Z32" s="10">
        <f t="shared" si="12"/>
        <v>0</v>
      </c>
      <c r="AA32" s="10">
        <f t="shared" si="12"/>
        <v>0</v>
      </c>
      <c r="AB32" s="10">
        <f t="shared" si="12"/>
        <v>1594.36</v>
      </c>
      <c r="AC32" s="19">
        <f t="shared" si="8"/>
        <v>1594.36</v>
      </c>
      <c r="AD32" s="1">
        <f t="shared" si="9"/>
        <v>1594.36</v>
      </c>
      <c r="AE32" s="50">
        <f t="shared" si="10"/>
        <v>0</v>
      </c>
      <c r="AF32" s="51"/>
      <c r="AG32" s="51"/>
    </row>
    <row r="33" spans="1:33">
      <c r="A33">
        <f>SUMIF('Balanza ok'!D:D,B33,'Balanza ok'!B:B)</f>
        <v>0</v>
      </c>
      <c r="B33" s="57" t="s">
        <v>587</v>
      </c>
      <c r="C33" s="2" t="s">
        <v>588</v>
      </c>
      <c r="D33" s="18" t="s">
        <v>594</v>
      </c>
      <c r="E33" s="18">
        <v>4851630</v>
      </c>
      <c r="F33" s="18">
        <v>10993789</v>
      </c>
      <c r="G33" s="18">
        <v>8001453</v>
      </c>
      <c r="H33" s="18">
        <v>6584515</v>
      </c>
      <c r="I33" s="18">
        <v>6857751</v>
      </c>
      <c r="J33" s="18" t="s">
        <v>594</v>
      </c>
      <c r="K33" s="18">
        <v>3516911</v>
      </c>
      <c r="L33" s="18">
        <v>2741442</v>
      </c>
      <c r="M33" s="18">
        <v>4460916</v>
      </c>
      <c r="N33" s="18" t="s">
        <v>594</v>
      </c>
      <c r="O33" s="19">
        <f t="shared" si="7"/>
        <v>48008407</v>
      </c>
      <c r="P33" s="46">
        <v>57254.490000000005</v>
      </c>
      <c r="Q33" s="47">
        <f t="shared" si="11"/>
        <v>838.50903221738588</v>
      </c>
      <c r="R33" s="10">
        <f t="shared" si="12"/>
        <v>0</v>
      </c>
      <c r="S33" s="10">
        <f t="shared" si="12"/>
        <v>5786.019963518057</v>
      </c>
      <c r="T33" s="10">
        <f t="shared" si="12"/>
        <v>13111.115775255988</v>
      </c>
      <c r="U33" s="10">
        <f t="shared" si="12"/>
        <v>9542.4768160703607</v>
      </c>
      <c r="V33" s="10">
        <f t="shared" si="12"/>
        <v>7852.646479654074</v>
      </c>
      <c r="W33" s="10">
        <f t="shared" si="12"/>
        <v>8178.5058198658835</v>
      </c>
      <c r="X33" s="10">
        <f t="shared" si="12"/>
        <v>0</v>
      </c>
      <c r="Y33" s="10">
        <f t="shared" si="12"/>
        <v>4194.243430747244</v>
      </c>
      <c r="Z33" s="10">
        <f t="shared" si="12"/>
        <v>3269.4245317196219</v>
      </c>
      <c r="AA33" s="10">
        <f t="shared" si="12"/>
        <v>5320.057183168773</v>
      </c>
      <c r="AB33" s="10">
        <f t="shared" si="12"/>
        <v>0</v>
      </c>
      <c r="AC33" s="19">
        <f t="shared" si="8"/>
        <v>57254.489999999991</v>
      </c>
      <c r="AD33" s="1">
        <f t="shared" si="9"/>
        <v>57254.489999999991</v>
      </c>
      <c r="AE33" s="50">
        <f t="shared" si="10"/>
        <v>0</v>
      </c>
      <c r="AF33" s="51"/>
      <c r="AG33" s="51"/>
    </row>
    <row r="34" spans="1:33">
      <c r="A34">
        <f>SUMIF('Balanza ok'!D:D,B34,'Balanza ok'!B:B)</f>
        <v>0</v>
      </c>
      <c r="B34" s="57">
        <v>3105125</v>
      </c>
      <c r="C34" s="58" t="s">
        <v>597</v>
      </c>
      <c r="D34" s="18" t="s">
        <v>594</v>
      </c>
      <c r="E34" s="18">
        <v>238528</v>
      </c>
      <c r="F34" s="18">
        <v>626507</v>
      </c>
      <c r="G34" s="18">
        <v>423194</v>
      </c>
      <c r="H34" s="18">
        <v>298819</v>
      </c>
      <c r="I34" s="18">
        <v>369942</v>
      </c>
      <c r="J34" s="18" t="s">
        <v>594</v>
      </c>
      <c r="K34" s="18">
        <v>160203</v>
      </c>
      <c r="L34" s="18">
        <v>131827</v>
      </c>
      <c r="M34" s="18">
        <v>260340</v>
      </c>
      <c r="N34" s="18" t="s">
        <v>594</v>
      </c>
      <c r="O34" s="19">
        <f t="shared" si="7"/>
        <v>2509360</v>
      </c>
      <c r="P34" s="46">
        <v>2727.6499999999996</v>
      </c>
      <c r="Q34" s="47">
        <f t="shared" si="11"/>
        <v>919.97140395578629</v>
      </c>
      <c r="R34" s="10">
        <f t="shared" si="12"/>
        <v>0</v>
      </c>
      <c r="S34" s="10">
        <f t="shared" si="12"/>
        <v>259.27762425479</v>
      </c>
      <c r="T34" s="10">
        <f t="shared" si="12"/>
        <v>681.00703707319781</v>
      </c>
      <c r="U34" s="10">
        <f t="shared" si="12"/>
        <v>460.00777652469145</v>
      </c>
      <c r="V34" s="10">
        <f t="shared" si="12"/>
        <v>324.81335693164783</v>
      </c>
      <c r="W34" s="10">
        <f t="shared" si="12"/>
        <v>402.12336862785725</v>
      </c>
      <c r="X34" s="10">
        <f t="shared" si="12"/>
        <v>0</v>
      </c>
      <c r="Y34" s="10">
        <f t="shared" si="12"/>
        <v>174.13910835830646</v>
      </c>
      <c r="Z34" s="10">
        <f t="shared" si="12"/>
        <v>143.29467137038924</v>
      </c>
      <c r="AA34" s="10">
        <f t="shared" si="12"/>
        <v>282.98705685911938</v>
      </c>
      <c r="AB34" s="10">
        <f t="shared" si="12"/>
        <v>0</v>
      </c>
      <c r="AC34" s="19">
        <f t="shared" si="8"/>
        <v>2727.6499999999996</v>
      </c>
      <c r="AD34" s="1">
        <f t="shared" si="9"/>
        <v>2727.6499999999996</v>
      </c>
      <c r="AE34" s="50">
        <f t="shared" si="10"/>
        <v>0</v>
      </c>
      <c r="AF34" s="51"/>
      <c r="AG34" s="51"/>
    </row>
    <row r="35" spans="1:33">
      <c r="A35">
        <f>SUMIF('Balanza ok'!D:D,B35,'Balanza ok'!B:B)</f>
        <v>0</v>
      </c>
      <c r="B35" s="57">
        <v>3105126</v>
      </c>
      <c r="C35" s="58" t="s">
        <v>598</v>
      </c>
      <c r="D35" s="18" t="s">
        <v>594</v>
      </c>
      <c r="E35" s="18">
        <v>53200</v>
      </c>
      <c r="F35" s="18" t="s">
        <v>594</v>
      </c>
      <c r="G35" s="18" t="s">
        <v>594</v>
      </c>
      <c r="H35" s="18" t="s">
        <v>594</v>
      </c>
      <c r="I35" s="18" t="s">
        <v>594</v>
      </c>
      <c r="J35" s="18" t="s">
        <v>594</v>
      </c>
      <c r="K35" s="18">
        <v>0</v>
      </c>
      <c r="L35" s="18" t="s">
        <v>594</v>
      </c>
      <c r="M35" s="18" t="s">
        <v>594</v>
      </c>
      <c r="N35" s="18" t="s">
        <v>594</v>
      </c>
      <c r="O35" s="19">
        <f t="shared" si="7"/>
        <v>53200</v>
      </c>
      <c r="P35" s="46">
        <v>57.83</v>
      </c>
      <c r="Q35" s="47">
        <f t="shared" si="11"/>
        <v>919.93774857340486</v>
      </c>
      <c r="R35" s="10">
        <f t="shared" si="12"/>
        <v>0</v>
      </c>
      <c r="S35" s="10">
        <f t="shared" si="12"/>
        <v>57.83</v>
      </c>
      <c r="T35" s="10">
        <f t="shared" si="12"/>
        <v>0</v>
      </c>
      <c r="U35" s="10">
        <f t="shared" si="12"/>
        <v>0</v>
      </c>
      <c r="V35" s="10">
        <f t="shared" si="12"/>
        <v>0</v>
      </c>
      <c r="W35" s="10">
        <f t="shared" si="12"/>
        <v>0</v>
      </c>
      <c r="X35" s="10">
        <f t="shared" si="12"/>
        <v>0</v>
      </c>
      <c r="Y35" s="10">
        <f t="shared" si="12"/>
        <v>0</v>
      </c>
      <c r="Z35" s="10">
        <f t="shared" si="12"/>
        <v>0</v>
      </c>
      <c r="AA35" s="10">
        <f t="shared" si="12"/>
        <v>0</v>
      </c>
      <c r="AB35" s="10">
        <f t="shared" si="12"/>
        <v>0</v>
      </c>
      <c r="AC35" s="19">
        <f t="shared" si="8"/>
        <v>57.83</v>
      </c>
      <c r="AD35" s="1">
        <f t="shared" si="9"/>
        <v>57.83</v>
      </c>
      <c r="AE35" s="50">
        <f t="shared" si="10"/>
        <v>0</v>
      </c>
      <c r="AF35" s="51"/>
      <c r="AG35" s="51"/>
    </row>
    <row r="36" spans="1:33">
      <c r="A36">
        <f>SUMIF('Balanza ok'!D:D,B36,'Balanza ok'!B:B)</f>
        <v>0</v>
      </c>
      <c r="B36" s="57">
        <v>3105127</v>
      </c>
      <c r="C36" s="58" t="s">
        <v>599</v>
      </c>
      <c r="D36" s="18" t="s">
        <v>594</v>
      </c>
      <c r="E36" s="18">
        <v>111328</v>
      </c>
      <c r="F36" s="18">
        <v>306654</v>
      </c>
      <c r="G36" s="18">
        <v>427697</v>
      </c>
      <c r="H36" s="18">
        <v>220693</v>
      </c>
      <c r="I36" s="18">
        <v>276508</v>
      </c>
      <c r="J36" s="18" t="s">
        <v>594</v>
      </c>
      <c r="K36" s="18">
        <v>0</v>
      </c>
      <c r="L36" s="18">
        <v>165746</v>
      </c>
      <c r="M36" s="18">
        <v>151308</v>
      </c>
      <c r="N36" s="18" t="s">
        <v>594</v>
      </c>
      <c r="O36" s="19">
        <f t="shared" si="7"/>
        <v>1659934</v>
      </c>
      <c r="P36" s="46">
        <v>1804.3200000000002</v>
      </c>
      <c r="Q36" s="47">
        <f t="shared" si="11"/>
        <v>919.9776092932517</v>
      </c>
      <c r="R36" s="10">
        <f t="shared" si="12"/>
        <v>0</v>
      </c>
      <c r="S36" s="10">
        <f t="shared" si="12"/>
        <v>121.01164080017639</v>
      </c>
      <c r="T36" s="10">
        <f t="shared" si="12"/>
        <v>333.32767765465377</v>
      </c>
      <c r="U36" s="10">
        <f t="shared" si="12"/>
        <v>464.89935807086306</v>
      </c>
      <c r="V36" s="10">
        <f t="shared" si="12"/>
        <v>239.88953401761759</v>
      </c>
      <c r="W36" s="10">
        <f t="shared" si="12"/>
        <v>300.55948884714695</v>
      </c>
      <c r="X36" s="10">
        <f t="shared" si="12"/>
        <v>0</v>
      </c>
      <c r="Y36" s="10">
        <f t="shared" si="12"/>
        <v>0</v>
      </c>
      <c r="Z36" s="10">
        <f t="shared" si="12"/>
        <v>180.16308041163083</v>
      </c>
      <c r="AA36" s="10">
        <f t="shared" si="12"/>
        <v>164.46922019791148</v>
      </c>
      <c r="AB36" s="10">
        <f t="shared" si="12"/>
        <v>0</v>
      </c>
      <c r="AC36" s="19">
        <f t="shared" si="8"/>
        <v>1804.32</v>
      </c>
      <c r="AD36" s="1">
        <f t="shared" si="9"/>
        <v>1804.32</v>
      </c>
      <c r="AE36" s="50">
        <f t="shared" si="10"/>
        <v>0</v>
      </c>
      <c r="AF36" s="51"/>
      <c r="AG36" s="51"/>
    </row>
    <row r="37" spans="1:33">
      <c r="A37">
        <f>SUMIF('Balanza ok'!D:D,B37,'Balanza ok'!B:B)</f>
        <v>0</v>
      </c>
      <c r="B37" s="57">
        <v>3105128</v>
      </c>
      <c r="C37" s="58" t="s">
        <v>600</v>
      </c>
      <c r="D37" s="18" t="s">
        <v>594</v>
      </c>
      <c r="E37" s="18" t="s">
        <v>594</v>
      </c>
      <c r="F37" s="18">
        <v>37500</v>
      </c>
      <c r="G37" s="18">
        <v>184473</v>
      </c>
      <c r="H37" s="18">
        <v>48603</v>
      </c>
      <c r="I37" s="18">
        <v>75000</v>
      </c>
      <c r="J37" s="18" t="s">
        <v>594</v>
      </c>
      <c r="K37" s="18">
        <v>0</v>
      </c>
      <c r="L37" s="18">
        <v>15255</v>
      </c>
      <c r="M37" s="18" t="s">
        <v>594</v>
      </c>
      <c r="N37" s="18" t="s">
        <v>594</v>
      </c>
      <c r="O37" s="19">
        <f t="shared" si="7"/>
        <v>360831</v>
      </c>
      <c r="P37" s="46">
        <v>392.21</v>
      </c>
      <c r="Q37" s="47">
        <f t="shared" si="11"/>
        <v>919.99439076005206</v>
      </c>
      <c r="R37" s="10">
        <f t="shared" si="12"/>
        <v>0</v>
      </c>
      <c r="S37" s="10">
        <f t="shared" si="12"/>
        <v>0</v>
      </c>
      <c r="T37" s="10">
        <f t="shared" si="12"/>
        <v>40.761118085752052</v>
      </c>
      <c r="U37" s="10">
        <f t="shared" si="12"/>
        <v>200.51535297687838</v>
      </c>
      <c r="V37" s="10">
        <f t="shared" si="12"/>
        <v>52.829669928581524</v>
      </c>
      <c r="W37" s="10">
        <f t="shared" si="12"/>
        <v>81.522236171504105</v>
      </c>
      <c r="X37" s="10">
        <f t="shared" si="12"/>
        <v>0</v>
      </c>
      <c r="Y37" s="10">
        <f t="shared" si="12"/>
        <v>0</v>
      </c>
      <c r="Z37" s="10">
        <f t="shared" si="12"/>
        <v>16.581622837283934</v>
      </c>
      <c r="AA37" s="10">
        <f t="shared" si="12"/>
        <v>0</v>
      </c>
      <c r="AB37" s="10">
        <f t="shared" si="12"/>
        <v>0</v>
      </c>
      <c r="AC37" s="19">
        <f t="shared" si="8"/>
        <v>392.21000000000004</v>
      </c>
      <c r="AD37" s="1">
        <f t="shared" si="9"/>
        <v>392.21000000000004</v>
      </c>
      <c r="AE37" s="50">
        <f t="shared" si="10"/>
        <v>0</v>
      </c>
      <c r="AF37" s="51"/>
      <c r="AG37" s="51"/>
    </row>
    <row r="38" spans="1:33">
      <c r="A38">
        <f>SUMIF('Balanza ok'!D:D,B38,'Balanza ok'!B:B)</f>
        <v>0</v>
      </c>
      <c r="B38" s="57">
        <v>3105129</v>
      </c>
      <c r="C38" s="58" t="s">
        <v>601</v>
      </c>
      <c r="D38" s="18" t="s">
        <v>594</v>
      </c>
      <c r="E38" s="18">
        <v>35290</v>
      </c>
      <c r="F38" s="18">
        <v>91998</v>
      </c>
      <c r="G38" s="18">
        <v>114610</v>
      </c>
      <c r="H38" s="18">
        <v>66208</v>
      </c>
      <c r="I38" s="18">
        <v>82953</v>
      </c>
      <c r="J38" s="18" t="s">
        <v>594</v>
      </c>
      <c r="K38" s="18">
        <v>0</v>
      </c>
      <c r="L38" s="18">
        <v>26217</v>
      </c>
      <c r="M38" s="18">
        <v>45392</v>
      </c>
      <c r="N38" s="18" t="s">
        <v>594</v>
      </c>
      <c r="O38" s="19">
        <f t="shared" si="7"/>
        <v>462668</v>
      </c>
      <c r="P38" s="46">
        <v>502.91999999999996</v>
      </c>
      <c r="Q38" s="47">
        <f t="shared" si="11"/>
        <v>919.96341366420108</v>
      </c>
      <c r="R38" s="10">
        <f t="shared" si="12"/>
        <v>0</v>
      </c>
      <c r="S38" s="10">
        <f t="shared" si="12"/>
        <v>38.360221152100422</v>
      </c>
      <c r="T38" s="10">
        <f t="shared" si="12"/>
        <v>100.00180293428549</v>
      </c>
      <c r="U38" s="10">
        <f t="shared" si="12"/>
        <v>124.58104126501077</v>
      </c>
      <c r="V38" s="10">
        <f t="shared" si="12"/>
        <v>71.968079400347548</v>
      </c>
      <c r="W38" s="10">
        <f t="shared" si="12"/>
        <v>90.169890202045522</v>
      </c>
      <c r="X38" s="10">
        <f t="shared" si="12"/>
        <v>0</v>
      </c>
      <c r="Y38" s="10">
        <f t="shared" si="12"/>
        <v>0</v>
      </c>
      <c r="Z38" s="10">
        <f t="shared" si="12"/>
        <v>28.497872426880612</v>
      </c>
      <c r="AA38" s="10">
        <f t="shared" si="12"/>
        <v>49.341092619329629</v>
      </c>
      <c r="AB38" s="10">
        <f t="shared" si="12"/>
        <v>0</v>
      </c>
      <c r="AC38" s="19">
        <f t="shared" si="8"/>
        <v>502.92</v>
      </c>
      <c r="AD38" s="1">
        <f t="shared" si="9"/>
        <v>502.92</v>
      </c>
      <c r="AE38" s="50">
        <f t="shared" si="10"/>
        <v>0</v>
      </c>
      <c r="AF38" s="51"/>
      <c r="AG38" s="51"/>
    </row>
    <row r="39" spans="1:33">
      <c r="A39">
        <f>SUMIF('Balanza ok'!D:D,B39,'Balanza ok'!B:B)</f>
        <v>0</v>
      </c>
      <c r="B39" s="57">
        <v>3105130</v>
      </c>
      <c r="C39" s="58" t="s">
        <v>602</v>
      </c>
      <c r="D39" s="18" t="s">
        <v>594</v>
      </c>
      <c r="E39" s="18">
        <v>51000</v>
      </c>
      <c r="F39" s="18">
        <v>96700</v>
      </c>
      <c r="G39" s="18">
        <v>73500</v>
      </c>
      <c r="H39" s="18">
        <v>51000</v>
      </c>
      <c r="I39" s="18">
        <v>124000</v>
      </c>
      <c r="J39" s="18" t="s">
        <v>594</v>
      </c>
      <c r="K39" s="18">
        <v>54667</v>
      </c>
      <c r="L39" s="18">
        <v>17100</v>
      </c>
      <c r="M39" s="18">
        <v>30000</v>
      </c>
      <c r="N39" s="18" t="s">
        <v>594</v>
      </c>
      <c r="O39" s="19">
        <f t="shared" si="7"/>
        <v>497967</v>
      </c>
      <c r="P39" s="46">
        <v>541.29</v>
      </c>
      <c r="Q39" s="47">
        <f t="shared" si="11"/>
        <v>919.96342071717572</v>
      </c>
      <c r="R39" s="10">
        <f t="shared" si="12"/>
        <v>0</v>
      </c>
      <c r="S39" s="10">
        <f t="shared" si="12"/>
        <v>55.436986788281146</v>
      </c>
      <c r="T39" s="10">
        <f t="shared" si="12"/>
        <v>105.11287494954485</v>
      </c>
      <c r="U39" s="10">
        <f t="shared" si="12"/>
        <v>79.894480959581657</v>
      </c>
      <c r="V39" s="10">
        <f t="shared" si="12"/>
        <v>55.436986788281146</v>
      </c>
      <c r="W39" s="10">
        <f t="shared" si="12"/>
        <v>134.78796787738946</v>
      </c>
      <c r="X39" s="10">
        <f t="shared" si="12"/>
        <v>0</v>
      </c>
      <c r="Y39" s="10">
        <f t="shared" si="12"/>
        <v>59.423014838332655</v>
      </c>
      <c r="Z39" s="10">
        <f t="shared" si="12"/>
        <v>18.587695570188384</v>
      </c>
      <c r="AA39" s="10">
        <f t="shared" si="12"/>
        <v>32.609992228400671</v>
      </c>
      <c r="AB39" s="10">
        <f t="shared" si="12"/>
        <v>0</v>
      </c>
      <c r="AC39" s="19">
        <f t="shared" si="8"/>
        <v>541.29</v>
      </c>
      <c r="AD39" s="1">
        <f t="shared" si="9"/>
        <v>541.29</v>
      </c>
      <c r="AE39" s="50">
        <f t="shared" si="10"/>
        <v>0</v>
      </c>
      <c r="AF39" s="51"/>
      <c r="AG39" s="51"/>
    </row>
    <row r="40" spans="1:33">
      <c r="A40">
        <f>SUMIF('Balanza ok'!D:D,B40,'Balanza ok'!B:B)</f>
        <v>0</v>
      </c>
      <c r="B40" s="57">
        <v>3105131</v>
      </c>
      <c r="C40" s="58" t="s">
        <v>603</v>
      </c>
      <c r="D40" s="18" t="s">
        <v>594</v>
      </c>
      <c r="E40" s="18">
        <v>51000</v>
      </c>
      <c r="F40" s="18">
        <v>96700</v>
      </c>
      <c r="G40" s="18">
        <v>73500</v>
      </c>
      <c r="H40" s="18">
        <v>51000</v>
      </c>
      <c r="I40" s="18">
        <v>124000</v>
      </c>
      <c r="J40" s="18" t="s">
        <v>594</v>
      </c>
      <c r="K40" s="18">
        <v>54667</v>
      </c>
      <c r="L40" s="18">
        <v>17100</v>
      </c>
      <c r="M40" s="18">
        <v>30000</v>
      </c>
      <c r="N40" s="18" t="s">
        <v>594</v>
      </c>
      <c r="O40" s="19">
        <f t="shared" si="7"/>
        <v>497967</v>
      </c>
      <c r="P40" s="46">
        <v>541.29</v>
      </c>
      <c r="Q40" s="47">
        <f t="shared" si="11"/>
        <v>919.96342071717572</v>
      </c>
      <c r="R40" s="10">
        <f t="shared" si="12"/>
        <v>0</v>
      </c>
      <c r="S40" s="10">
        <f t="shared" si="12"/>
        <v>55.436986788281146</v>
      </c>
      <c r="T40" s="10">
        <f t="shared" si="12"/>
        <v>105.11287494954485</v>
      </c>
      <c r="U40" s="10">
        <f t="shared" si="12"/>
        <v>79.894480959581657</v>
      </c>
      <c r="V40" s="10">
        <f t="shared" si="12"/>
        <v>55.436986788281146</v>
      </c>
      <c r="W40" s="10">
        <f t="shared" si="12"/>
        <v>134.78796787738946</v>
      </c>
      <c r="X40" s="10">
        <f t="shared" si="12"/>
        <v>0</v>
      </c>
      <c r="Y40" s="10">
        <f t="shared" si="12"/>
        <v>59.423014838332655</v>
      </c>
      <c r="Z40" s="10">
        <f t="shared" si="12"/>
        <v>18.587695570188384</v>
      </c>
      <c r="AA40" s="10">
        <f t="shared" si="12"/>
        <v>32.609992228400671</v>
      </c>
      <c r="AB40" s="10">
        <f t="shared" si="12"/>
        <v>0</v>
      </c>
      <c r="AC40" s="19">
        <f t="shared" si="8"/>
        <v>541.29</v>
      </c>
      <c r="AD40" s="1">
        <f t="shared" si="9"/>
        <v>541.29</v>
      </c>
      <c r="AE40" s="50">
        <f t="shared" si="10"/>
        <v>0</v>
      </c>
      <c r="AF40" s="51"/>
      <c r="AG40" s="51"/>
    </row>
    <row r="41" spans="1:33">
      <c r="A41">
        <f>SUMIF('Balanza ok'!D:D,B41,'Balanza ok'!B:B)</f>
        <v>0</v>
      </c>
      <c r="B41" s="57">
        <v>3105132</v>
      </c>
      <c r="C41" s="58" t="s">
        <v>604</v>
      </c>
      <c r="D41" s="18" t="s">
        <v>594</v>
      </c>
      <c r="E41" s="18">
        <v>36980</v>
      </c>
      <c r="F41" s="18">
        <v>84561</v>
      </c>
      <c r="G41" s="18">
        <v>72054</v>
      </c>
      <c r="H41" s="18">
        <v>40318</v>
      </c>
      <c r="I41" s="18">
        <v>45281</v>
      </c>
      <c r="J41" s="18" t="s">
        <v>594</v>
      </c>
      <c r="K41" s="18">
        <v>19225</v>
      </c>
      <c r="L41" s="18">
        <v>19774</v>
      </c>
      <c r="M41" s="18">
        <v>39052</v>
      </c>
      <c r="N41" s="18" t="s">
        <v>594</v>
      </c>
      <c r="O41" s="19">
        <f t="shared" si="7"/>
        <v>357245</v>
      </c>
      <c r="P41" s="46">
        <v>388.33</v>
      </c>
      <c r="Q41" s="47">
        <f t="shared" si="11"/>
        <v>919.95210259315536</v>
      </c>
      <c r="R41" s="10">
        <f t="shared" si="12"/>
        <v>0</v>
      </c>
      <c r="S41" s="10">
        <f t="shared" si="12"/>
        <v>40.197744964940021</v>
      </c>
      <c r="T41" s="10">
        <f t="shared" si="12"/>
        <v>91.918915954037146</v>
      </c>
      <c r="U41" s="10">
        <f t="shared" si="12"/>
        <v>78.323642934120841</v>
      </c>
      <c r="V41" s="10">
        <f t="shared" si="12"/>
        <v>43.826194740304274</v>
      </c>
      <c r="W41" s="10">
        <f t="shared" si="12"/>
        <v>49.221040826323666</v>
      </c>
      <c r="X41" s="10">
        <f t="shared" si="12"/>
        <v>0</v>
      </c>
      <c r="Y41" s="10">
        <f t="shared" si="12"/>
        <v>20.897827121443267</v>
      </c>
      <c r="Z41" s="10">
        <f t="shared" si="12"/>
        <v>21.494597321166147</v>
      </c>
      <c r="AA41" s="10">
        <f t="shared" si="12"/>
        <v>42.450036137664625</v>
      </c>
      <c r="AB41" s="10">
        <f t="shared" si="12"/>
        <v>0</v>
      </c>
      <c r="AC41" s="19">
        <f t="shared" si="8"/>
        <v>388.32999999999993</v>
      </c>
      <c r="AD41" s="1">
        <f t="shared" si="9"/>
        <v>388.32999999999993</v>
      </c>
      <c r="AE41" s="50">
        <f t="shared" si="10"/>
        <v>0</v>
      </c>
      <c r="AF41" s="51"/>
      <c r="AG41" s="51"/>
    </row>
    <row r="42" spans="1:33">
      <c r="A42">
        <f>SUMIF('Balanza ok'!D:D,B42,'Balanza ok'!B:B)</f>
        <v>0</v>
      </c>
      <c r="B42" s="57">
        <v>3105133</v>
      </c>
      <c r="C42" s="58" t="s">
        <v>605</v>
      </c>
      <c r="D42" s="18" t="s">
        <v>594</v>
      </c>
      <c r="E42" s="18">
        <v>11735</v>
      </c>
      <c r="F42" s="18">
        <v>29132</v>
      </c>
      <c r="G42" s="18">
        <v>21247</v>
      </c>
      <c r="H42" s="18">
        <v>13895</v>
      </c>
      <c r="I42" s="18">
        <v>17546</v>
      </c>
      <c r="J42" s="18" t="s">
        <v>594</v>
      </c>
      <c r="K42" s="18">
        <v>7449</v>
      </c>
      <c r="L42" s="18">
        <v>6130</v>
      </c>
      <c r="M42" s="18">
        <v>12105</v>
      </c>
      <c r="N42" s="18" t="s">
        <v>594</v>
      </c>
      <c r="O42" s="19">
        <f t="shared" si="7"/>
        <v>119239</v>
      </c>
      <c r="P42" s="46">
        <v>129.61999999999998</v>
      </c>
      <c r="Q42" s="47">
        <f t="shared" si="11"/>
        <v>919.91205060947402</v>
      </c>
      <c r="R42" s="10">
        <f t="shared" si="12"/>
        <v>0</v>
      </c>
      <c r="S42" s="10">
        <f t="shared" si="12"/>
        <v>12.75665428257533</v>
      </c>
      <c r="T42" s="10">
        <f t="shared" si="12"/>
        <v>31.668244785682532</v>
      </c>
      <c r="U42" s="10">
        <f t="shared" si="12"/>
        <v>23.096773203398211</v>
      </c>
      <c r="V42" s="10">
        <f t="shared" si="12"/>
        <v>15.104704836504832</v>
      </c>
      <c r="W42" s="10">
        <f t="shared" si="12"/>
        <v>19.073562508910673</v>
      </c>
      <c r="X42" s="10">
        <f t="shared" si="12"/>
        <v>0</v>
      </c>
      <c r="Y42" s="10">
        <f t="shared" si="12"/>
        <v>8.0975132297318808</v>
      </c>
      <c r="Z42" s="10">
        <f t="shared" si="12"/>
        <v>6.663680507216597</v>
      </c>
      <c r="AA42" s="10">
        <f t="shared" si="12"/>
        <v>13.15886664597992</v>
      </c>
      <c r="AB42" s="10">
        <f t="shared" si="12"/>
        <v>0</v>
      </c>
      <c r="AC42" s="19">
        <f t="shared" si="8"/>
        <v>129.61999999999998</v>
      </c>
      <c r="AD42" s="1">
        <f t="shared" si="9"/>
        <v>129.61999999999998</v>
      </c>
      <c r="AE42" s="50">
        <f t="shared" si="10"/>
        <v>0</v>
      </c>
      <c r="AF42" s="51"/>
      <c r="AG42" s="51"/>
    </row>
    <row r="43" spans="1:33">
      <c r="A43">
        <f>SUMIF('Balanza ok'!D:D,B43,'Balanza ok'!B:B)</f>
        <v>0</v>
      </c>
      <c r="B43" s="57">
        <v>3105134</v>
      </c>
      <c r="C43" s="58" t="s">
        <v>606</v>
      </c>
      <c r="D43" s="18" t="s">
        <v>594</v>
      </c>
      <c r="E43" s="18">
        <v>23472</v>
      </c>
      <c r="F43" s="18">
        <v>58266</v>
      </c>
      <c r="G43" s="18">
        <v>52686</v>
      </c>
      <c r="H43" s="18">
        <v>27790</v>
      </c>
      <c r="I43" s="18">
        <v>35093</v>
      </c>
      <c r="J43" s="18" t="s">
        <v>594</v>
      </c>
      <c r="K43" s="18">
        <v>14899</v>
      </c>
      <c r="L43" s="18">
        <v>12260</v>
      </c>
      <c r="M43" s="18">
        <v>24212</v>
      </c>
      <c r="N43" s="18" t="s">
        <v>594</v>
      </c>
      <c r="O43" s="19">
        <f t="shared" si="7"/>
        <v>248678</v>
      </c>
      <c r="P43" s="46">
        <v>270.32000000000005</v>
      </c>
      <c r="Q43" s="47">
        <f t="shared" si="11"/>
        <v>919.93933116306584</v>
      </c>
      <c r="R43" s="10">
        <f t="shared" si="12"/>
        <v>0</v>
      </c>
      <c r="S43" s="10">
        <f t="shared" si="12"/>
        <v>25.514726031253272</v>
      </c>
      <c r="T43" s="10">
        <f t="shared" si="12"/>
        <v>63.336785401201567</v>
      </c>
      <c r="U43" s="10">
        <f t="shared" si="12"/>
        <v>57.271168016471108</v>
      </c>
      <c r="V43" s="10">
        <f t="shared" si="12"/>
        <v>30.208513821085909</v>
      </c>
      <c r="W43" s="10">
        <f t="shared" si="12"/>
        <v>38.147080803287793</v>
      </c>
      <c r="X43" s="10">
        <f t="shared" si="12"/>
        <v>0</v>
      </c>
      <c r="Y43" s="10">
        <f t="shared" si="12"/>
        <v>16.195633228512378</v>
      </c>
      <c r="Z43" s="10">
        <f t="shared" si="12"/>
        <v>13.326965795124622</v>
      </c>
      <c r="AA43" s="10">
        <f t="shared" si="12"/>
        <v>26.319126903063403</v>
      </c>
      <c r="AB43" s="10">
        <f t="shared" si="12"/>
        <v>0</v>
      </c>
      <c r="AC43" s="19">
        <f t="shared" si="8"/>
        <v>270.32000000000011</v>
      </c>
      <c r="AD43" s="1">
        <f t="shared" si="9"/>
        <v>270.32000000000011</v>
      </c>
      <c r="AE43" s="50">
        <f t="shared" si="10"/>
        <v>0</v>
      </c>
      <c r="AF43" s="51"/>
      <c r="AG43" s="51"/>
    </row>
    <row r="44" spans="1:33">
      <c r="A44">
        <f>SUMIF('Balanza ok'!D:D,B44,'Balanza ok'!B:B)</f>
        <v>0</v>
      </c>
      <c r="B44" s="57" t="s">
        <v>568</v>
      </c>
      <c r="C44" s="2" t="s">
        <v>20</v>
      </c>
      <c r="D44" s="18">
        <v>5208284</v>
      </c>
      <c r="E44" s="18">
        <v>35556</v>
      </c>
      <c r="F44" s="18">
        <v>35556</v>
      </c>
      <c r="G44" s="18">
        <v>35556</v>
      </c>
      <c r="H44" s="18">
        <v>35556</v>
      </c>
      <c r="I44" s="18">
        <v>35556</v>
      </c>
      <c r="J44" s="18">
        <v>35556</v>
      </c>
      <c r="K44" s="18">
        <v>1038710</v>
      </c>
      <c r="L44" s="18">
        <v>35556</v>
      </c>
      <c r="M44" s="18">
        <v>35552</v>
      </c>
      <c r="N44" s="18" t="s">
        <v>594</v>
      </c>
      <c r="O44" s="19">
        <f t="shared" si="7"/>
        <v>6531438</v>
      </c>
      <c r="P44" s="46">
        <v>7895.9299999999976</v>
      </c>
      <c r="Q44" s="47">
        <f t="shared" si="11"/>
        <v>827.19046394788222</v>
      </c>
      <c r="R44" s="10">
        <f t="shared" si="12"/>
        <v>6296.3540163927128</v>
      </c>
      <c r="S44" s="10">
        <f t="shared" si="12"/>
        <v>42.98405451908139</v>
      </c>
      <c r="T44" s="10">
        <f t="shared" si="12"/>
        <v>42.98405451908139</v>
      </c>
      <c r="U44" s="10">
        <f t="shared" si="12"/>
        <v>42.98405451908139</v>
      </c>
      <c r="V44" s="10">
        <f t="shared" si="12"/>
        <v>42.98405451908139</v>
      </c>
      <c r="W44" s="10">
        <f t="shared" si="12"/>
        <v>42.98405451908139</v>
      </c>
      <c r="X44" s="10">
        <f t="shared" si="12"/>
        <v>42.98405451908139</v>
      </c>
      <c r="Y44" s="10">
        <f t="shared" si="12"/>
        <v>1255.7083831003215</v>
      </c>
      <c r="Z44" s="10">
        <f t="shared" si="12"/>
        <v>42.98405451908139</v>
      </c>
      <c r="AA44" s="10">
        <f t="shared" si="12"/>
        <v>42.979218873393563</v>
      </c>
      <c r="AB44" s="10">
        <f t="shared" si="12"/>
        <v>0</v>
      </c>
      <c r="AC44" s="19">
        <f t="shared" si="8"/>
        <v>7895.93</v>
      </c>
      <c r="AD44" s="1">
        <f t="shared" si="9"/>
        <v>7895.93</v>
      </c>
      <c r="AE44" s="50">
        <f t="shared" si="10"/>
        <v>0</v>
      </c>
      <c r="AF44" s="51"/>
      <c r="AG44" s="51"/>
    </row>
    <row r="45" spans="1:33">
      <c r="A45">
        <f>SUMIF('Balanza ok'!D:D,B45,'Balanza ok'!B:B)</f>
        <v>0</v>
      </c>
      <c r="B45" s="57" t="s">
        <v>484</v>
      </c>
      <c r="C45" s="2" t="s">
        <v>485</v>
      </c>
      <c r="D45" s="18" t="s">
        <v>594</v>
      </c>
      <c r="E45" s="18" t="s">
        <v>594</v>
      </c>
      <c r="F45" s="18" t="s">
        <v>594</v>
      </c>
      <c r="G45" s="18" t="s">
        <v>594</v>
      </c>
      <c r="H45" s="18" t="s">
        <v>594</v>
      </c>
      <c r="I45" s="18" t="s">
        <v>594</v>
      </c>
      <c r="J45" s="18" t="s">
        <v>594</v>
      </c>
      <c r="K45" s="18">
        <v>947056</v>
      </c>
      <c r="L45" s="18" t="s">
        <v>594</v>
      </c>
      <c r="M45" s="18" t="s">
        <v>594</v>
      </c>
      <c r="N45" s="18" t="s">
        <v>594</v>
      </c>
      <c r="O45" s="19">
        <f t="shared" si="7"/>
        <v>947056</v>
      </c>
      <c r="P45" s="46">
        <v>1158.8400000000001</v>
      </c>
      <c r="Q45" s="47">
        <f t="shared" si="11"/>
        <v>817.24483103793443</v>
      </c>
      <c r="R45" s="10">
        <f t="shared" si="12"/>
        <v>0</v>
      </c>
      <c r="S45" s="10">
        <f t="shared" si="12"/>
        <v>0</v>
      </c>
      <c r="T45" s="10">
        <f t="shared" si="12"/>
        <v>0</v>
      </c>
      <c r="U45" s="10">
        <f t="shared" si="12"/>
        <v>0</v>
      </c>
      <c r="V45" s="10">
        <f t="shared" si="12"/>
        <v>0</v>
      </c>
      <c r="W45" s="10">
        <f t="shared" si="12"/>
        <v>0</v>
      </c>
      <c r="X45" s="10">
        <f t="shared" si="12"/>
        <v>0</v>
      </c>
      <c r="Y45" s="10">
        <f t="shared" si="12"/>
        <v>1158.8400000000001</v>
      </c>
      <c r="Z45" s="10">
        <f t="shared" si="12"/>
        <v>0</v>
      </c>
      <c r="AA45" s="10">
        <f t="shared" si="12"/>
        <v>0</v>
      </c>
      <c r="AB45" s="10">
        <f t="shared" si="12"/>
        <v>0</v>
      </c>
      <c r="AC45" s="19">
        <f t="shared" si="8"/>
        <v>1158.8400000000001</v>
      </c>
      <c r="AD45" s="1">
        <f t="shared" si="9"/>
        <v>1158.8400000000001</v>
      </c>
      <c r="AE45" s="50">
        <f t="shared" si="10"/>
        <v>0</v>
      </c>
      <c r="AF45" s="51"/>
      <c r="AG45" s="51"/>
    </row>
    <row r="46" spans="1:33">
      <c r="A46">
        <f>SUMIF('Balanza ok'!D:D,B46,'Balanza ok'!B:B)</f>
        <v>0</v>
      </c>
      <c r="B46" s="57" t="s">
        <v>569</v>
      </c>
      <c r="C46" s="2" t="s">
        <v>19</v>
      </c>
      <c r="D46" s="18" t="s">
        <v>594</v>
      </c>
      <c r="E46" s="18" t="s">
        <v>594</v>
      </c>
      <c r="F46" s="18" t="s">
        <v>594</v>
      </c>
      <c r="G46" s="18" t="s">
        <v>594</v>
      </c>
      <c r="H46" s="18" t="s">
        <v>594</v>
      </c>
      <c r="I46" s="18" t="s">
        <v>594</v>
      </c>
      <c r="J46" s="18" t="s">
        <v>594</v>
      </c>
      <c r="K46" s="18">
        <v>8998137</v>
      </c>
      <c r="L46" s="18" t="s">
        <v>594</v>
      </c>
      <c r="M46" s="18" t="s">
        <v>594</v>
      </c>
      <c r="N46" s="18" t="s">
        <v>594</v>
      </c>
      <c r="O46" s="19">
        <f t="shared" si="7"/>
        <v>8998137</v>
      </c>
      <c r="P46" s="46">
        <v>10699.710000000001</v>
      </c>
      <c r="Q46" s="47">
        <f t="shared" si="11"/>
        <v>840.97017582719525</v>
      </c>
      <c r="R46" s="10">
        <f t="shared" si="12"/>
        <v>0</v>
      </c>
      <c r="S46" s="10">
        <f t="shared" si="12"/>
        <v>0</v>
      </c>
      <c r="T46" s="10">
        <f t="shared" si="12"/>
        <v>0</v>
      </c>
      <c r="U46" s="10">
        <f t="shared" si="12"/>
        <v>0</v>
      </c>
      <c r="V46" s="10">
        <f t="shared" si="12"/>
        <v>0</v>
      </c>
      <c r="W46" s="10">
        <f t="shared" si="12"/>
        <v>0</v>
      </c>
      <c r="X46" s="10">
        <f t="shared" si="12"/>
        <v>0</v>
      </c>
      <c r="Y46" s="10">
        <f t="shared" si="12"/>
        <v>10699.710000000001</v>
      </c>
      <c r="Z46" s="10">
        <f t="shared" si="12"/>
        <v>0</v>
      </c>
      <c r="AA46" s="10">
        <f t="shared" si="12"/>
        <v>0</v>
      </c>
      <c r="AB46" s="10">
        <f t="shared" si="12"/>
        <v>0</v>
      </c>
      <c r="AC46" s="19">
        <f t="shared" si="8"/>
        <v>10699.710000000001</v>
      </c>
      <c r="AD46" s="1">
        <f t="shared" si="9"/>
        <v>10699.710000000001</v>
      </c>
      <c r="AE46" s="50">
        <f t="shared" si="10"/>
        <v>0</v>
      </c>
      <c r="AF46" s="51"/>
      <c r="AG46" s="51"/>
    </row>
    <row r="47" spans="1:33">
      <c r="A47">
        <f>SUMIF('Balanza ok'!D:D,B47,'Balanza ok'!B:B)</f>
        <v>0</v>
      </c>
      <c r="B47" s="57" t="s">
        <v>486</v>
      </c>
      <c r="C47" s="2" t="s">
        <v>487</v>
      </c>
      <c r="D47" s="18">
        <v>14377</v>
      </c>
      <c r="E47" s="18">
        <v>14377</v>
      </c>
      <c r="F47" s="18">
        <v>14377</v>
      </c>
      <c r="G47" s="18">
        <v>14377</v>
      </c>
      <c r="H47" s="18">
        <v>14377</v>
      </c>
      <c r="I47" s="18">
        <v>14377</v>
      </c>
      <c r="J47" s="18">
        <v>442932</v>
      </c>
      <c r="K47" s="18">
        <v>2938921</v>
      </c>
      <c r="L47" s="18">
        <v>14377</v>
      </c>
      <c r="M47" s="18">
        <v>14375</v>
      </c>
      <c r="N47" s="18" t="s">
        <v>594</v>
      </c>
      <c r="O47" s="19">
        <f t="shared" si="7"/>
        <v>3496867</v>
      </c>
      <c r="P47" s="46">
        <v>4401.4799999999996</v>
      </c>
      <c r="Q47" s="47">
        <f t="shared" si="11"/>
        <v>794.47526741005311</v>
      </c>
      <c r="R47" s="10">
        <f t="shared" si="12"/>
        <v>18.096220977234761</v>
      </c>
      <c r="S47" s="10">
        <f t="shared" si="12"/>
        <v>18.096220977234761</v>
      </c>
      <c r="T47" s="10">
        <f t="shared" si="12"/>
        <v>18.096220977234761</v>
      </c>
      <c r="U47" s="10">
        <f t="shared" si="12"/>
        <v>18.096220977234761</v>
      </c>
      <c r="V47" s="10">
        <f t="shared" si="12"/>
        <v>18.096220977234761</v>
      </c>
      <c r="W47" s="10">
        <f t="shared" si="12"/>
        <v>18.096220977234761</v>
      </c>
      <c r="X47" s="10">
        <f t="shared" si="12"/>
        <v>557.51515266665842</v>
      </c>
      <c r="Y47" s="10">
        <f t="shared" si="12"/>
        <v>3699.1975969003106</v>
      </c>
      <c r="Z47" s="10">
        <f t="shared" si="12"/>
        <v>18.096220977234761</v>
      </c>
      <c r="AA47" s="10">
        <f t="shared" si="12"/>
        <v>18.093703592387126</v>
      </c>
      <c r="AB47" s="10">
        <f t="shared" si="12"/>
        <v>0</v>
      </c>
      <c r="AC47" s="19">
        <f t="shared" si="8"/>
        <v>4401.4799999999996</v>
      </c>
      <c r="AD47" s="1">
        <f t="shared" si="9"/>
        <v>4401.4799999999996</v>
      </c>
      <c r="AE47" s="50">
        <f t="shared" si="10"/>
        <v>0</v>
      </c>
      <c r="AF47" s="51"/>
      <c r="AG47" s="51"/>
    </row>
    <row r="48" spans="1:33">
      <c r="A48">
        <f>SUMIF('Balanza ok'!D:D,B48,'Balanza ok'!B:B)</f>
        <v>0</v>
      </c>
      <c r="B48" s="57" t="s">
        <v>589</v>
      </c>
      <c r="C48" s="2" t="s">
        <v>590</v>
      </c>
      <c r="D48" s="18" t="s">
        <v>594</v>
      </c>
      <c r="E48" s="18">
        <v>996778</v>
      </c>
      <c r="F48" s="18">
        <v>996778</v>
      </c>
      <c r="G48" s="18">
        <v>996778</v>
      </c>
      <c r="H48" s="18">
        <v>996778</v>
      </c>
      <c r="I48" s="18">
        <v>996777</v>
      </c>
      <c r="J48" s="18" t="s">
        <v>594</v>
      </c>
      <c r="K48" s="18">
        <v>1494976</v>
      </c>
      <c r="L48" s="18">
        <v>996777</v>
      </c>
      <c r="M48" s="18">
        <v>996780</v>
      </c>
      <c r="N48" s="18" t="s">
        <v>594</v>
      </c>
      <c r="O48" s="19">
        <f t="shared" si="7"/>
        <v>8472422</v>
      </c>
      <c r="P48" s="46">
        <v>9934.7200000000012</v>
      </c>
      <c r="Q48" s="47">
        <f t="shared" si="11"/>
        <v>852.80933936739018</v>
      </c>
      <c r="R48" s="10">
        <f t="shared" si="12"/>
        <v>0</v>
      </c>
      <c r="S48" s="10">
        <f t="shared" si="12"/>
        <v>1168.8169371355677</v>
      </c>
      <c r="T48" s="10">
        <f t="shared" si="12"/>
        <v>1168.8169371355677</v>
      </c>
      <c r="U48" s="10">
        <f t="shared" si="12"/>
        <v>1168.8169371355677</v>
      </c>
      <c r="V48" s="10">
        <f t="shared" si="12"/>
        <v>1168.8169371355677</v>
      </c>
      <c r="W48" s="10">
        <f t="shared" si="12"/>
        <v>1168.8157645405295</v>
      </c>
      <c r="X48" s="10">
        <f t="shared" si="12"/>
        <v>0</v>
      </c>
      <c r="Y48" s="10">
        <f t="shared" si="12"/>
        <v>1753.001440051027</v>
      </c>
      <c r="Z48" s="10">
        <f t="shared" si="12"/>
        <v>1168.8157645405295</v>
      </c>
      <c r="AA48" s="10">
        <f t="shared" si="12"/>
        <v>1168.8192823256445</v>
      </c>
      <c r="AB48" s="10">
        <f t="shared" si="12"/>
        <v>0</v>
      </c>
      <c r="AC48" s="19">
        <f t="shared" si="8"/>
        <v>9934.7200000000012</v>
      </c>
      <c r="AD48" s="1">
        <f t="shared" si="9"/>
        <v>9934.7200000000012</v>
      </c>
      <c r="AE48" s="50">
        <f t="shared" si="10"/>
        <v>0</v>
      </c>
      <c r="AF48" s="51"/>
      <c r="AG48" s="51"/>
    </row>
    <row r="49" spans="1:33">
      <c r="A49">
        <f>SUMIF('Balanza ok'!D:D,B49,'Balanza ok'!B:B)</f>
        <v>0</v>
      </c>
      <c r="B49" s="57" t="s">
        <v>570</v>
      </c>
      <c r="C49" s="2" t="s">
        <v>18</v>
      </c>
      <c r="D49" s="18" t="s">
        <v>594</v>
      </c>
      <c r="E49" s="18">
        <v>19978031</v>
      </c>
      <c r="F49" s="18">
        <v>21281249</v>
      </c>
      <c r="G49" s="18">
        <v>38353727</v>
      </c>
      <c r="H49" s="18">
        <v>29385401</v>
      </c>
      <c r="I49" s="18">
        <v>33732311</v>
      </c>
      <c r="J49" s="18" t="s">
        <v>594</v>
      </c>
      <c r="K49" s="18">
        <v>0</v>
      </c>
      <c r="L49" s="18">
        <v>57317047</v>
      </c>
      <c r="M49" s="18">
        <v>27733178</v>
      </c>
      <c r="N49" s="18" t="s">
        <v>594</v>
      </c>
      <c r="O49" s="19">
        <f t="shared" si="7"/>
        <v>227780944</v>
      </c>
      <c r="P49" s="46">
        <v>275767.09999999992</v>
      </c>
      <c r="Q49" s="47">
        <f t="shared" si="11"/>
        <v>825.99027947858929</v>
      </c>
      <c r="R49" s="10">
        <f t="shared" si="12"/>
        <v>0</v>
      </c>
      <c r="S49" s="10">
        <f t="shared" si="12"/>
        <v>24186.762842549717</v>
      </c>
      <c r="T49" s="10">
        <f t="shared" si="12"/>
        <v>25764.527172685252</v>
      </c>
      <c r="U49" s="10">
        <f t="shared" si="12"/>
        <v>46433.629974690492</v>
      </c>
      <c r="V49" s="10">
        <f t="shared" si="12"/>
        <v>35575.964669402274</v>
      </c>
      <c r="W49" s="10">
        <f t="shared" si="12"/>
        <v>40838.629506988509</v>
      </c>
      <c r="X49" s="10">
        <f t="shared" si="12"/>
        <v>0</v>
      </c>
      <c r="Y49" s="10">
        <f t="shared" si="12"/>
        <v>0</v>
      </c>
      <c r="Z49" s="10">
        <f t="shared" si="12"/>
        <v>69391.914679893918</v>
      </c>
      <c r="AA49" s="10">
        <f t="shared" si="12"/>
        <v>33575.671153789743</v>
      </c>
      <c r="AB49" s="10">
        <f t="shared" si="12"/>
        <v>0</v>
      </c>
      <c r="AC49" s="19">
        <f t="shared" si="8"/>
        <v>275767.09999999992</v>
      </c>
      <c r="AD49" s="1">
        <f t="shared" si="9"/>
        <v>275767.09999999992</v>
      </c>
      <c r="AE49" s="50">
        <f t="shared" si="10"/>
        <v>0</v>
      </c>
      <c r="AF49" s="51"/>
      <c r="AG49" s="51"/>
    </row>
    <row r="50" spans="1:33">
      <c r="A50">
        <f>SUMIF('Balanza ok'!D:D,B50,'Balanza ok'!B:B)</f>
        <v>0</v>
      </c>
      <c r="B50" s="57" t="s">
        <v>571</v>
      </c>
      <c r="C50" s="2" t="s">
        <v>17</v>
      </c>
      <c r="D50" s="18">
        <v>11217210</v>
      </c>
      <c r="E50" s="18" t="s">
        <v>594</v>
      </c>
      <c r="F50" s="18" t="s">
        <v>594</v>
      </c>
      <c r="G50" s="18" t="s">
        <v>594</v>
      </c>
      <c r="H50" s="18" t="s">
        <v>594</v>
      </c>
      <c r="I50" s="18" t="s">
        <v>594</v>
      </c>
      <c r="J50" s="18" t="s">
        <v>594</v>
      </c>
      <c r="K50" s="18">
        <v>0</v>
      </c>
      <c r="L50" s="18" t="s">
        <v>594</v>
      </c>
      <c r="M50" s="18" t="s">
        <v>594</v>
      </c>
      <c r="N50" s="18" t="s">
        <v>594</v>
      </c>
      <c r="O50" s="19">
        <f t="shared" si="7"/>
        <v>11217210</v>
      </c>
      <c r="P50" s="46">
        <v>13702.249999999996</v>
      </c>
      <c r="Q50" s="47">
        <f t="shared" si="11"/>
        <v>818.64000437884306</v>
      </c>
      <c r="R50" s="10">
        <f t="shared" si="12"/>
        <v>13702.249999999996</v>
      </c>
      <c r="S50" s="10">
        <f t="shared" si="12"/>
        <v>0</v>
      </c>
      <c r="T50" s="10">
        <f t="shared" si="12"/>
        <v>0</v>
      </c>
      <c r="U50" s="10">
        <f t="shared" si="12"/>
        <v>0</v>
      </c>
      <c r="V50" s="10">
        <f t="shared" si="12"/>
        <v>0</v>
      </c>
      <c r="W50" s="10">
        <f t="shared" si="12"/>
        <v>0</v>
      </c>
      <c r="X50" s="10">
        <f t="shared" si="12"/>
        <v>0</v>
      </c>
      <c r="Y50" s="10">
        <f t="shared" si="12"/>
        <v>0</v>
      </c>
      <c r="Z50" s="10">
        <f t="shared" si="12"/>
        <v>0</v>
      </c>
      <c r="AA50" s="10">
        <f t="shared" si="12"/>
        <v>0</v>
      </c>
      <c r="AB50" s="10">
        <f t="shared" si="12"/>
        <v>0</v>
      </c>
      <c r="AC50" s="19">
        <f t="shared" si="8"/>
        <v>13702.249999999996</v>
      </c>
      <c r="AD50" s="1">
        <f t="shared" si="9"/>
        <v>13702.249999999996</v>
      </c>
      <c r="AE50" s="50">
        <f t="shared" si="10"/>
        <v>0</v>
      </c>
      <c r="AF50" s="51"/>
      <c r="AG50" s="51"/>
    </row>
    <row r="51" spans="1:33">
      <c r="A51">
        <f>SUMIF('Balanza ok'!D:D,B51,'Balanza ok'!B:B)</f>
        <v>0</v>
      </c>
      <c r="B51" s="57" t="s">
        <v>572</v>
      </c>
      <c r="C51" s="2" t="s">
        <v>443</v>
      </c>
      <c r="D51" s="18">
        <v>920189</v>
      </c>
      <c r="E51" s="18" t="s">
        <v>594</v>
      </c>
      <c r="F51" s="18" t="s">
        <v>594</v>
      </c>
      <c r="G51" s="18" t="s">
        <v>594</v>
      </c>
      <c r="H51" s="18" t="s">
        <v>594</v>
      </c>
      <c r="I51" s="18" t="s">
        <v>594</v>
      </c>
      <c r="J51" s="18" t="s">
        <v>594</v>
      </c>
      <c r="K51" s="18">
        <v>142951</v>
      </c>
      <c r="L51" s="18" t="s">
        <v>594</v>
      </c>
      <c r="M51" s="18" t="s">
        <v>594</v>
      </c>
      <c r="N51" s="18" t="s">
        <v>594</v>
      </c>
      <c r="O51" s="19">
        <f t="shared" si="7"/>
        <v>1063140</v>
      </c>
      <c r="P51" s="46">
        <v>1349.53</v>
      </c>
      <c r="Q51" s="47">
        <f t="shared" si="11"/>
        <v>787.78537713129754</v>
      </c>
      <c r="R51" s="10">
        <f t="shared" si="12"/>
        <v>1168.0706785277575</v>
      </c>
      <c r="S51" s="10">
        <f t="shared" si="12"/>
        <v>0</v>
      </c>
      <c r="T51" s="10">
        <f t="shared" si="12"/>
        <v>0</v>
      </c>
      <c r="U51" s="10">
        <f t="shared" si="12"/>
        <v>0</v>
      </c>
      <c r="V51" s="10">
        <f t="shared" si="12"/>
        <v>0</v>
      </c>
      <c r="W51" s="10">
        <f t="shared" si="12"/>
        <v>0</v>
      </c>
      <c r="X51" s="10">
        <f t="shared" si="12"/>
        <v>0</v>
      </c>
      <c r="Y51" s="10">
        <f t="shared" si="12"/>
        <v>181.45932147224261</v>
      </c>
      <c r="Z51" s="10">
        <f t="shared" si="12"/>
        <v>0</v>
      </c>
      <c r="AA51" s="10">
        <f t="shared" si="12"/>
        <v>0</v>
      </c>
      <c r="AB51" s="10">
        <f t="shared" si="12"/>
        <v>0</v>
      </c>
      <c r="AC51" s="19">
        <f t="shared" si="8"/>
        <v>1349.5300000000002</v>
      </c>
      <c r="AD51" s="1">
        <f t="shared" si="9"/>
        <v>1349.5300000000002</v>
      </c>
      <c r="AE51" s="50">
        <f t="shared" si="10"/>
        <v>0</v>
      </c>
      <c r="AF51" s="51"/>
      <c r="AG51" s="51"/>
    </row>
    <row r="52" spans="1:33">
      <c r="A52">
        <f>SUMIF('Balanza ok'!D:D,B52,'Balanza ok'!B:B)</f>
        <v>0</v>
      </c>
      <c r="B52" s="57" t="s">
        <v>446</v>
      </c>
      <c r="C52" s="2" t="s">
        <v>447</v>
      </c>
      <c r="D52" s="18">
        <v>1037151</v>
      </c>
      <c r="E52" s="18">
        <v>1037152</v>
      </c>
      <c r="F52" s="18">
        <v>1037152</v>
      </c>
      <c r="G52" s="18">
        <v>1037152</v>
      </c>
      <c r="H52" s="18">
        <v>1037152</v>
      </c>
      <c r="I52" s="18">
        <v>1037152</v>
      </c>
      <c r="J52" s="18">
        <v>1037152</v>
      </c>
      <c r="K52" s="18">
        <v>928906</v>
      </c>
      <c r="L52" s="18">
        <v>1037151</v>
      </c>
      <c r="M52" s="18">
        <v>1037153</v>
      </c>
      <c r="N52" s="18" t="s">
        <v>594</v>
      </c>
      <c r="O52" s="19">
        <f t="shared" si="7"/>
        <v>10263273</v>
      </c>
      <c r="P52" s="46">
        <v>12580.990000000018</v>
      </c>
      <c r="Q52" s="47">
        <f t="shared" si="11"/>
        <v>815.77626244039504</v>
      </c>
      <c r="R52" s="10">
        <f t="shared" si="12"/>
        <v>1271.3669761576077</v>
      </c>
      <c r="S52" s="10">
        <f t="shared" si="12"/>
        <v>1271.3682019839109</v>
      </c>
      <c r="T52" s="10">
        <f t="shared" ref="T52:AB58" si="13">IFERROR((F52/$Q52),0)</f>
        <v>1271.3682019839109</v>
      </c>
      <c r="U52" s="10">
        <f t="shared" si="13"/>
        <v>1271.3682019839109</v>
      </c>
      <c r="V52" s="10">
        <f t="shared" si="13"/>
        <v>1271.3682019839109</v>
      </c>
      <c r="W52" s="10">
        <f t="shared" si="13"/>
        <v>1271.3682019839109</v>
      </c>
      <c r="X52" s="10">
        <f t="shared" si="13"/>
        <v>1271.3682019839109</v>
      </c>
      <c r="Y52" s="10">
        <f t="shared" si="13"/>
        <v>1138.6774079711236</v>
      </c>
      <c r="Z52" s="10">
        <f t="shared" si="13"/>
        <v>1271.3669761576077</v>
      </c>
      <c r="AA52" s="10">
        <f t="shared" si="13"/>
        <v>1271.3694278102139</v>
      </c>
      <c r="AB52" s="10">
        <f t="shared" si="13"/>
        <v>0</v>
      </c>
      <c r="AC52" s="19">
        <f t="shared" si="8"/>
        <v>12580.990000000018</v>
      </c>
      <c r="AD52" s="1">
        <f t="shared" si="9"/>
        <v>12580.990000000018</v>
      </c>
      <c r="AE52" s="50">
        <f t="shared" si="10"/>
        <v>0</v>
      </c>
      <c r="AF52" s="51"/>
      <c r="AG52" s="51"/>
    </row>
    <row r="53" spans="1:33">
      <c r="A53">
        <f>SUMIF('Balanza ok'!D:D,B53,'Balanza ok'!B:B)</f>
        <v>0</v>
      </c>
      <c r="B53" s="57" t="s">
        <v>573</v>
      </c>
      <c r="C53" s="2" t="s">
        <v>16</v>
      </c>
      <c r="D53" s="18">
        <v>116047</v>
      </c>
      <c r="E53" s="18">
        <v>505985</v>
      </c>
      <c r="F53" s="18">
        <v>505985</v>
      </c>
      <c r="G53" s="18">
        <v>505985</v>
      </c>
      <c r="H53" s="18">
        <v>505985</v>
      </c>
      <c r="I53" s="18">
        <v>505984</v>
      </c>
      <c r="J53" s="18">
        <v>116047</v>
      </c>
      <c r="K53" s="18">
        <v>518713</v>
      </c>
      <c r="L53" s="18">
        <v>505984</v>
      </c>
      <c r="M53" s="18">
        <v>505972</v>
      </c>
      <c r="N53" s="18" t="s">
        <v>594</v>
      </c>
      <c r="O53" s="19">
        <f t="shared" si="7"/>
        <v>4292687</v>
      </c>
      <c r="P53" s="46">
        <v>5231.8500000000031</v>
      </c>
      <c r="Q53" s="47">
        <f t="shared" si="11"/>
        <v>820.49122203427032</v>
      </c>
      <c r="R53" s="10">
        <f t="shared" ref="R53:S58" si="14">IFERROR((D53/$Q53),0)</f>
        <v>141.43600429055283</v>
      </c>
      <c r="S53" s="10">
        <f t="shared" si="14"/>
        <v>616.6854518510205</v>
      </c>
      <c r="T53" s="10">
        <f t="shared" si="13"/>
        <v>616.6854518510205</v>
      </c>
      <c r="U53" s="10">
        <f t="shared" si="13"/>
        <v>616.6854518510205</v>
      </c>
      <c r="V53" s="10">
        <f t="shared" si="13"/>
        <v>616.6854518510205</v>
      </c>
      <c r="W53" s="10">
        <f t="shared" si="13"/>
        <v>616.6842330689384</v>
      </c>
      <c r="X53" s="10">
        <f t="shared" si="13"/>
        <v>141.43600429055283</v>
      </c>
      <c r="Y53" s="10">
        <f t="shared" si="13"/>
        <v>632.19811019298675</v>
      </c>
      <c r="Z53" s="10">
        <f t="shared" si="13"/>
        <v>616.6842330689384</v>
      </c>
      <c r="AA53" s="10">
        <f t="shared" si="13"/>
        <v>616.66960768395222</v>
      </c>
      <c r="AB53" s="10">
        <f t="shared" si="13"/>
        <v>0</v>
      </c>
      <c r="AC53" s="19">
        <f t="shared" si="8"/>
        <v>5231.850000000004</v>
      </c>
      <c r="AD53" s="1">
        <f t="shared" si="9"/>
        <v>5231.850000000004</v>
      </c>
      <c r="AE53" s="50">
        <f t="shared" si="10"/>
        <v>0</v>
      </c>
      <c r="AF53" s="51"/>
      <c r="AG53" s="51"/>
    </row>
    <row r="54" spans="1:33">
      <c r="A54">
        <f>SUMIF('Balanza ok'!D:D,B54,'Balanza ok'!B:B)</f>
        <v>0</v>
      </c>
      <c r="B54" s="57" t="s">
        <v>574</v>
      </c>
      <c r="C54" s="2" t="s">
        <v>15</v>
      </c>
      <c r="D54" s="18" t="s">
        <v>594</v>
      </c>
      <c r="E54" s="18" t="s">
        <v>594</v>
      </c>
      <c r="F54" s="18" t="s">
        <v>594</v>
      </c>
      <c r="G54" s="18">
        <v>66588</v>
      </c>
      <c r="H54" s="18">
        <v>53286</v>
      </c>
      <c r="I54" s="18" t="s">
        <v>594</v>
      </c>
      <c r="J54" s="18" t="s">
        <v>594</v>
      </c>
      <c r="K54" s="18">
        <v>62179</v>
      </c>
      <c r="L54" s="18" t="s">
        <v>594</v>
      </c>
      <c r="M54" s="18">
        <v>53286</v>
      </c>
      <c r="N54" s="18" t="s">
        <v>594</v>
      </c>
      <c r="O54" s="19">
        <f t="shared" si="7"/>
        <v>235339</v>
      </c>
      <c r="P54" s="46">
        <v>288.02999999999997</v>
      </c>
      <c r="Q54" s="47">
        <f t="shared" si="11"/>
        <v>817.06419470194089</v>
      </c>
      <c r="R54" s="10">
        <f t="shared" si="14"/>
        <v>0</v>
      </c>
      <c r="S54" s="10">
        <f t="shared" si="14"/>
        <v>0</v>
      </c>
      <c r="T54" s="10">
        <f t="shared" si="13"/>
        <v>0</v>
      </c>
      <c r="U54" s="10">
        <f t="shared" si="13"/>
        <v>81.496656482775904</v>
      </c>
      <c r="V54" s="10">
        <f t="shared" si="13"/>
        <v>65.216417933279217</v>
      </c>
      <c r="W54" s="10">
        <f t="shared" si="13"/>
        <v>0</v>
      </c>
      <c r="X54" s="10">
        <f t="shared" si="13"/>
        <v>0</v>
      </c>
      <c r="Y54" s="10">
        <f t="shared" si="13"/>
        <v>76.10050765066562</v>
      </c>
      <c r="Z54" s="10">
        <f t="shared" si="13"/>
        <v>0</v>
      </c>
      <c r="AA54" s="10">
        <f t="shared" si="13"/>
        <v>65.216417933279217</v>
      </c>
      <c r="AB54" s="10">
        <f t="shared" si="13"/>
        <v>0</v>
      </c>
      <c r="AC54" s="19">
        <f t="shared" si="8"/>
        <v>288.02999999999997</v>
      </c>
      <c r="AD54" s="1">
        <f t="shared" si="9"/>
        <v>288.02999999999997</v>
      </c>
      <c r="AE54" s="50">
        <f t="shared" si="10"/>
        <v>0</v>
      </c>
      <c r="AF54" s="51"/>
      <c r="AG54" s="51"/>
    </row>
    <row r="55" spans="1:33">
      <c r="A55">
        <f>SUMIF('Balanza ok'!D:D,B55,'Balanza ok'!B:B)</f>
        <v>0</v>
      </c>
      <c r="B55" s="57" t="s">
        <v>591</v>
      </c>
      <c r="C55" s="2" t="s">
        <v>592</v>
      </c>
      <c r="D55" s="18" t="s">
        <v>594</v>
      </c>
      <c r="E55" s="18" t="s">
        <v>594</v>
      </c>
      <c r="F55" s="18" t="s">
        <v>594</v>
      </c>
      <c r="G55" s="18" t="s">
        <v>594</v>
      </c>
      <c r="H55" s="18" t="s">
        <v>594</v>
      </c>
      <c r="I55" s="18" t="s">
        <v>594</v>
      </c>
      <c r="J55" s="18" t="s">
        <v>594</v>
      </c>
      <c r="K55" s="18">
        <v>213139</v>
      </c>
      <c r="L55" s="18" t="s">
        <v>594</v>
      </c>
      <c r="M55" s="18" t="s">
        <v>594</v>
      </c>
      <c r="N55" s="18" t="s">
        <v>594</v>
      </c>
      <c r="O55" s="19">
        <f t="shared" si="7"/>
        <v>213139</v>
      </c>
      <c r="P55" s="46">
        <v>270.77</v>
      </c>
      <c r="Q55" s="47">
        <f t="shared" si="11"/>
        <v>787.15884329874063</v>
      </c>
      <c r="R55" s="10">
        <f t="shared" si="14"/>
        <v>0</v>
      </c>
      <c r="S55" s="10">
        <f t="shared" si="14"/>
        <v>0</v>
      </c>
      <c r="T55" s="10">
        <f t="shared" si="13"/>
        <v>0</v>
      </c>
      <c r="U55" s="10">
        <f t="shared" si="13"/>
        <v>0</v>
      </c>
      <c r="V55" s="10">
        <f t="shared" si="13"/>
        <v>0</v>
      </c>
      <c r="W55" s="10">
        <f t="shared" si="13"/>
        <v>0</v>
      </c>
      <c r="X55" s="10">
        <f t="shared" si="13"/>
        <v>0</v>
      </c>
      <c r="Y55" s="10">
        <f t="shared" si="13"/>
        <v>270.77</v>
      </c>
      <c r="Z55" s="10">
        <f t="shared" si="13"/>
        <v>0</v>
      </c>
      <c r="AA55" s="10">
        <f t="shared" si="13"/>
        <v>0</v>
      </c>
      <c r="AB55" s="10">
        <f t="shared" si="13"/>
        <v>0</v>
      </c>
      <c r="AC55" s="19">
        <f t="shared" si="8"/>
        <v>270.77</v>
      </c>
      <c r="AD55" s="1">
        <f t="shared" si="9"/>
        <v>270.77</v>
      </c>
      <c r="AE55" s="50">
        <f t="shared" si="10"/>
        <v>0</v>
      </c>
      <c r="AF55" s="51"/>
      <c r="AG55" s="51"/>
    </row>
    <row r="56" spans="1:33">
      <c r="A56">
        <f>SUMIF('Balanza ok'!D:D,B56,'Balanza ok'!B:B)</f>
        <v>0</v>
      </c>
      <c r="B56" s="57" t="s">
        <v>462</v>
      </c>
      <c r="C56" s="2" t="s">
        <v>363</v>
      </c>
      <c r="D56" s="18" t="s">
        <v>594</v>
      </c>
      <c r="E56" s="18">
        <v>436753</v>
      </c>
      <c r="F56" s="18">
        <v>436753</v>
      </c>
      <c r="G56" s="18">
        <v>436753</v>
      </c>
      <c r="H56" s="18">
        <v>436754</v>
      </c>
      <c r="I56" s="18">
        <v>436754</v>
      </c>
      <c r="J56" s="18" t="s">
        <v>594</v>
      </c>
      <c r="K56" s="18">
        <v>138088</v>
      </c>
      <c r="L56" s="18">
        <v>436754</v>
      </c>
      <c r="M56" s="18">
        <v>436753</v>
      </c>
      <c r="N56" s="18" t="s">
        <v>594</v>
      </c>
      <c r="O56" s="19">
        <f t="shared" si="7"/>
        <v>3195362</v>
      </c>
      <c r="P56" s="46">
        <v>3925.97</v>
      </c>
      <c r="Q56" s="47">
        <f t="shared" si="11"/>
        <v>813.90382504196418</v>
      </c>
      <c r="R56" s="10">
        <f t="shared" si="14"/>
        <v>0</v>
      </c>
      <c r="S56" s="10">
        <f t="shared" si="14"/>
        <v>536.61499867933583</v>
      </c>
      <c r="T56" s="10">
        <f t="shared" si="13"/>
        <v>536.61499867933583</v>
      </c>
      <c r="U56" s="10">
        <f t="shared" si="13"/>
        <v>536.61499867933583</v>
      </c>
      <c r="V56" s="10">
        <f t="shared" si="13"/>
        <v>536.61622732573016</v>
      </c>
      <c r="W56" s="10">
        <f t="shared" si="13"/>
        <v>536.61622732573016</v>
      </c>
      <c r="X56" s="10">
        <f t="shared" si="13"/>
        <v>0</v>
      </c>
      <c r="Y56" s="10">
        <f t="shared" si="13"/>
        <v>169.66132330546586</v>
      </c>
      <c r="Z56" s="10">
        <f t="shared" si="13"/>
        <v>536.61622732573016</v>
      </c>
      <c r="AA56" s="10">
        <f t="shared" si="13"/>
        <v>536.61499867933583</v>
      </c>
      <c r="AB56" s="10">
        <f t="shared" si="13"/>
        <v>0</v>
      </c>
      <c r="AC56" s="19">
        <f t="shared" si="8"/>
        <v>3925.9699999999993</v>
      </c>
      <c r="AD56" s="1">
        <f t="shared" si="9"/>
        <v>3925.9699999999993</v>
      </c>
      <c r="AE56" s="50">
        <f t="shared" si="10"/>
        <v>0</v>
      </c>
      <c r="AF56" s="51"/>
      <c r="AG56" s="51"/>
    </row>
    <row r="57" spans="1:33">
      <c r="A57">
        <f>SUMIF('Balanza ok'!D:D,B57,'Balanza ok'!B:B)</f>
        <v>0</v>
      </c>
      <c r="B57" s="57" t="s">
        <v>575</v>
      </c>
      <c r="C57" s="2" t="s">
        <v>13</v>
      </c>
      <c r="D57" s="18">
        <v>-118015</v>
      </c>
      <c r="E57" s="18">
        <v>140258</v>
      </c>
      <c r="F57" s="18">
        <v>178608</v>
      </c>
      <c r="G57" s="18">
        <v>149108</v>
      </c>
      <c r="H57" s="18">
        <v>1477387</v>
      </c>
      <c r="I57" s="18">
        <v>60613</v>
      </c>
      <c r="J57" s="18">
        <v>57613</v>
      </c>
      <c r="K57" s="18">
        <v>292174</v>
      </c>
      <c r="L57" s="18">
        <v>146083</v>
      </c>
      <c r="M57" s="18">
        <v>146078</v>
      </c>
      <c r="N57" s="18" t="s">
        <v>594</v>
      </c>
      <c r="O57" s="19">
        <f t="shared" si="7"/>
        <v>2529907</v>
      </c>
      <c r="P57" s="46">
        <v>3014.9200000000005</v>
      </c>
      <c r="Q57" s="47">
        <f t="shared" si="11"/>
        <v>839.12906478447178</v>
      </c>
      <c r="R57" s="10">
        <f t="shared" si="14"/>
        <v>-140.63986692000933</v>
      </c>
      <c r="S57" s="10">
        <f t="shared" si="14"/>
        <v>167.14711226934432</v>
      </c>
      <c r="T57" s="10">
        <f t="shared" si="13"/>
        <v>212.84925942337014</v>
      </c>
      <c r="U57" s="10">
        <f t="shared" si="13"/>
        <v>177.69376161258103</v>
      </c>
      <c r="V57" s="10">
        <f t="shared" si="13"/>
        <v>1760.6195065826532</v>
      </c>
      <c r="W57" s="10">
        <f t="shared" si="13"/>
        <v>72.233226739164735</v>
      </c>
      <c r="X57" s="10">
        <f t="shared" si="13"/>
        <v>68.658091368576009</v>
      </c>
      <c r="Y57" s="10">
        <f t="shared" si="13"/>
        <v>348.18720058879637</v>
      </c>
      <c r="Z57" s="10">
        <f t="shared" si="13"/>
        <v>174.08883344723742</v>
      </c>
      <c r="AA57" s="10">
        <f t="shared" si="13"/>
        <v>174.08287488828643</v>
      </c>
      <c r="AB57" s="10">
        <f t="shared" si="13"/>
        <v>0</v>
      </c>
      <c r="AC57" s="19">
        <f t="shared" si="8"/>
        <v>3014.9200000000005</v>
      </c>
      <c r="AD57" s="1">
        <f t="shared" si="9"/>
        <v>3014.9200000000005</v>
      </c>
      <c r="AE57" s="50">
        <f t="shared" si="10"/>
        <v>0</v>
      </c>
      <c r="AF57" s="51"/>
      <c r="AG57" s="51"/>
    </row>
    <row r="58" spans="1:33">
      <c r="A58">
        <v>740814</v>
      </c>
      <c r="B58" s="57" t="s">
        <v>593</v>
      </c>
      <c r="C58" s="2" t="s">
        <v>12</v>
      </c>
      <c r="D58" s="18">
        <v>311087.43900000001</v>
      </c>
      <c r="E58" s="18">
        <v>34308.9</v>
      </c>
      <c r="F58" s="18">
        <v>32114.178</v>
      </c>
      <c r="G58" s="18">
        <v>34502.705999999998</v>
      </c>
      <c r="H58" s="18">
        <v>38216.447999999997</v>
      </c>
      <c r="I58" s="18">
        <v>60766.038</v>
      </c>
      <c r="J58" s="18"/>
      <c r="K58" s="18">
        <v>1499119.0919999999</v>
      </c>
      <c r="L58" s="18">
        <v>6391193.7149999999</v>
      </c>
      <c r="M58" s="18" t="s">
        <v>594</v>
      </c>
      <c r="N58" s="18" t="s">
        <v>594</v>
      </c>
      <c r="O58" s="19">
        <f t="shared" si="7"/>
        <v>8401308.5159999989</v>
      </c>
      <c r="P58" s="46">
        <f>11542.15*0.873</f>
        <v>10076.29695</v>
      </c>
      <c r="Q58" s="47">
        <f t="shared" si="11"/>
        <v>833.76944503407071</v>
      </c>
      <c r="R58" s="10">
        <f t="shared" si="14"/>
        <v>373.10966581089798</v>
      </c>
      <c r="S58" s="10">
        <f t="shared" si="14"/>
        <v>41.149145251536559</v>
      </c>
      <c r="T58" s="10">
        <f t="shared" si="13"/>
        <v>38.516856417888647</v>
      </c>
      <c r="U58" s="10">
        <f t="shared" si="13"/>
        <v>41.381590804865844</v>
      </c>
      <c r="V58" s="10">
        <f t="shared" si="13"/>
        <v>45.835750191635221</v>
      </c>
      <c r="W58" s="10">
        <f t="shared" si="13"/>
        <v>72.881104437110778</v>
      </c>
      <c r="X58" s="10">
        <f t="shared" si="13"/>
        <v>0</v>
      </c>
      <c r="Y58" s="10">
        <f t="shared" si="13"/>
        <v>1798.0019547714905</v>
      </c>
      <c r="Z58" s="10">
        <f t="shared" si="13"/>
        <v>7665.4208823145746</v>
      </c>
      <c r="AA58" s="10">
        <f t="shared" si="13"/>
        <v>0</v>
      </c>
      <c r="AB58" s="10">
        <f t="shared" si="13"/>
        <v>0</v>
      </c>
      <c r="AC58" s="19">
        <f t="shared" si="8"/>
        <v>10076.29695</v>
      </c>
      <c r="AD58" s="1">
        <f t="shared" si="9"/>
        <v>10076.29695</v>
      </c>
      <c r="AE58" s="50">
        <f t="shared" si="10"/>
        <v>0</v>
      </c>
      <c r="AF58" s="51"/>
      <c r="AG58" s="51"/>
    </row>
    <row r="59" spans="1:33">
      <c r="A59">
        <v>740818</v>
      </c>
      <c r="B59" s="57"/>
      <c r="C59" s="2"/>
      <c r="D59" s="18">
        <v>45255.561000000002</v>
      </c>
      <c r="E59" s="18">
        <v>4991.1000000000004</v>
      </c>
      <c r="F59" s="18">
        <v>4671.8220000000001</v>
      </c>
      <c r="G59" s="18">
        <v>5019.2939999999999</v>
      </c>
      <c r="H59" s="18">
        <v>5559.5519999999997</v>
      </c>
      <c r="I59" s="18">
        <v>8839.9619999999995</v>
      </c>
      <c r="J59" s="18"/>
      <c r="K59" s="18">
        <v>218084.908</v>
      </c>
      <c r="L59" s="18">
        <v>929761.28500000003</v>
      </c>
      <c r="M59" s="18"/>
      <c r="N59" s="18"/>
      <c r="O59" s="19">
        <f t="shared" si="7"/>
        <v>1222183.4840000002</v>
      </c>
      <c r="P59" s="46">
        <f>11542.15*0.127</f>
        <v>1465.8530499999999</v>
      </c>
      <c r="Q59" s="47">
        <f t="shared" si="11"/>
        <v>833.76944503407094</v>
      </c>
      <c r="R59" s="10">
        <f>IFERROR((D59/$Q58),0)</f>
        <v>54.278267534918726</v>
      </c>
      <c r="S59" s="10">
        <f t="shared" ref="S59:AB59" si="15">IFERROR((E59/$Q58),0)</f>
        <v>5.9861872244503358</v>
      </c>
      <c r="T59" s="10">
        <f t="shared" si="15"/>
        <v>5.6032540264282451</v>
      </c>
      <c r="U59" s="10">
        <f t="shared" si="15"/>
        <v>6.0200023278556269</v>
      </c>
      <c r="V59" s="10">
        <f t="shared" si="15"/>
        <v>6.667972822838113</v>
      </c>
      <c r="W59" s="10">
        <f t="shared" si="15"/>
        <v>10.602405800129517</v>
      </c>
      <c r="X59" s="10">
        <f t="shared" si="15"/>
        <v>0</v>
      </c>
      <c r="Y59" s="10">
        <f t="shared" si="15"/>
        <v>261.5650037296441</v>
      </c>
      <c r="Z59" s="10">
        <f t="shared" si="15"/>
        <v>1115.1299565337356</v>
      </c>
      <c r="AA59" s="10">
        <f t="shared" si="15"/>
        <v>0</v>
      </c>
      <c r="AB59" s="10">
        <f t="shared" si="15"/>
        <v>0</v>
      </c>
      <c r="AC59" s="19">
        <f t="shared" si="8"/>
        <v>1465.8530500000002</v>
      </c>
      <c r="AD59" s="1">
        <f t="shared" si="9"/>
        <v>1465.8530500000002</v>
      </c>
      <c r="AE59" s="50">
        <f t="shared" si="10"/>
        <v>0</v>
      </c>
      <c r="AF59" s="51"/>
      <c r="AG59" s="51"/>
    </row>
    <row r="60" spans="1:33">
      <c r="A60">
        <f>SUMIF('Balanza ok'!D:D,B60,'Balanza ok'!B:B)</f>
        <v>0</v>
      </c>
      <c r="B60" s="57" t="s">
        <v>576</v>
      </c>
      <c r="C60" s="2" t="s">
        <v>11</v>
      </c>
      <c r="D60" s="18">
        <v>2891474</v>
      </c>
      <c r="E60" s="18">
        <v>2307466</v>
      </c>
      <c r="F60" s="18">
        <v>1152397</v>
      </c>
      <c r="G60" s="18">
        <v>1251697</v>
      </c>
      <c r="H60" s="18">
        <v>1886027</v>
      </c>
      <c r="I60" s="18">
        <v>1420770</v>
      </c>
      <c r="J60" s="18">
        <v>46146</v>
      </c>
      <c r="K60" s="18">
        <v>3121789</v>
      </c>
      <c r="L60" s="18">
        <v>1419274</v>
      </c>
      <c r="M60" s="18">
        <v>1854167</v>
      </c>
      <c r="N60" s="18">
        <v>0</v>
      </c>
      <c r="O60" s="19">
        <f t="shared" si="7"/>
        <v>17351207</v>
      </c>
      <c r="P60" s="46">
        <v>22152.739999999947</v>
      </c>
      <c r="Q60" s="47">
        <f t="shared" si="11"/>
        <v>783.25331313417848</v>
      </c>
      <c r="R60" s="10">
        <f t="shared" ref="R60:AA78" si="16">IFERROR((D60/$Q60),0)</f>
        <v>3691.6205160113559</v>
      </c>
      <c r="S60" s="10">
        <f t="shared" si="16"/>
        <v>2946.0022208737341</v>
      </c>
      <c r="T60" s="10">
        <f t="shared" si="16"/>
        <v>1471.2954042782119</v>
      </c>
      <c r="U60" s="10">
        <f t="shared" si="16"/>
        <v>1598.0743126273542</v>
      </c>
      <c r="V60" s="10">
        <f t="shared" si="16"/>
        <v>2407.9400219235413</v>
      </c>
      <c r="W60" s="10">
        <f t="shared" si="16"/>
        <v>1813.9342358027268</v>
      </c>
      <c r="X60" s="10">
        <f t="shared" si="16"/>
        <v>58.915805686601374</v>
      </c>
      <c r="Y60" s="10">
        <f t="shared" si="16"/>
        <v>3985.6697030851997</v>
      </c>
      <c r="Z60" s="10">
        <f t="shared" si="16"/>
        <v>1812.0242534574065</v>
      </c>
      <c r="AA60" s="10">
        <f t="shared" si="16"/>
        <v>2367.2635262538165</v>
      </c>
      <c r="AB60" s="10">
        <f t="shared" ref="AB60:AB68" si="17">IFERROR((N60/$Q60),0)</f>
        <v>0</v>
      </c>
      <c r="AC60" s="19">
        <f t="shared" si="8"/>
        <v>22152.739999999951</v>
      </c>
      <c r="AD60" s="1">
        <f t="shared" si="9"/>
        <v>22152.739999999951</v>
      </c>
      <c r="AE60" s="50">
        <f t="shared" si="10"/>
        <v>0</v>
      </c>
      <c r="AF60" s="51"/>
      <c r="AG60" s="51"/>
    </row>
    <row r="61" spans="1:33">
      <c r="A61">
        <f>SUMIF('Balanza ok'!D:D,B61,'Balanza ok'!B:B)</f>
        <v>0</v>
      </c>
      <c r="B61" s="57" t="s">
        <v>503</v>
      </c>
      <c r="C61" s="2" t="s">
        <v>504</v>
      </c>
      <c r="D61" s="18">
        <v>980424</v>
      </c>
      <c r="E61" s="18" t="s">
        <v>594</v>
      </c>
      <c r="F61" s="18" t="s">
        <v>594</v>
      </c>
      <c r="G61" s="18" t="s">
        <v>594</v>
      </c>
      <c r="H61" s="18" t="s">
        <v>594</v>
      </c>
      <c r="I61" s="18" t="s">
        <v>594</v>
      </c>
      <c r="J61" s="18" t="s">
        <v>594</v>
      </c>
      <c r="K61" s="18">
        <v>219900</v>
      </c>
      <c r="L61" s="18" t="s">
        <v>594</v>
      </c>
      <c r="M61" s="18" t="s">
        <v>594</v>
      </c>
      <c r="N61" s="18">
        <v>0</v>
      </c>
      <c r="O61" s="19">
        <f t="shared" si="7"/>
        <v>1200324</v>
      </c>
      <c r="P61" s="46">
        <v>1497.2699999999998</v>
      </c>
      <c r="Q61" s="47">
        <f t="shared" si="11"/>
        <v>801.67504858843108</v>
      </c>
      <c r="R61" s="10">
        <f t="shared" si="16"/>
        <v>1222.9693336799062</v>
      </c>
      <c r="S61" s="10">
        <f t="shared" si="16"/>
        <v>0</v>
      </c>
      <c r="T61" s="10">
        <f t="shared" si="16"/>
        <v>0</v>
      </c>
      <c r="U61" s="10">
        <f t="shared" si="16"/>
        <v>0</v>
      </c>
      <c r="V61" s="10">
        <f t="shared" si="16"/>
        <v>0</v>
      </c>
      <c r="W61" s="10">
        <f t="shared" si="16"/>
        <v>0</v>
      </c>
      <c r="X61" s="10">
        <f t="shared" si="16"/>
        <v>0</v>
      </c>
      <c r="Y61" s="10">
        <f t="shared" si="16"/>
        <v>274.30066632009351</v>
      </c>
      <c r="Z61" s="10">
        <f t="shared" si="16"/>
        <v>0</v>
      </c>
      <c r="AA61" s="10">
        <f t="shared" si="16"/>
        <v>0</v>
      </c>
      <c r="AB61" s="10">
        <f t="shared" si="17"/>
        <v>0</v>
      </c>
      <c r="AC61" s="19">
        <f t="shared" si="8"/>
        <v>1497.2699999999998</v>
      </c>
      <c r="AD61" s="1">
        <f t="shared" si="9"/>
        <v>1497.2699999999998</v>
      </c>
      <c r="AE61" s="50">
        <f t="shared" si="10"/>
        <v>0</v>
      </c>
      <c r="AF61" s="51"/>
      <c r="AG61" s="51"/>
    </row>
    <row r="62" spans="1:33">
      <c r="A62">
        <f>SUMIF('Balanza ok'!D:D,B62,'Balanza ok'!B:B)</f>
        <v>0</v>
      </c>
      <c r="B62" s="57" t="s">
        <v>577</v>
      </c>
      <c r="C62" s="2" t="s">
        <v>10</v>
      </c>
      <c r="D62" s="18">
        <v>716285</v>
      </c>
      <c r="E62" s="18">
        <v>24499</v>
      </c>
      <c r="F62" s="18">
        <v>24499</v>
      </c>
      <c r="G62" s="18">
        <v>24499</v>
      </c>
      <c r="H62" s="18">
        <v>24499</v>
      </c>
      <c r="I62" s="18">
        <v>24499</v>
      </c>
      <c r="J62" s="18">
        <v>24499</v>
      </c>
      <c r="K62" s="18">
        <v>0</v>
      </c>
      <c r="L62" s="18">
        <v>72499</v>
      </c>
      <c r="M62" s="18">
        <v>24501</v>
      </c>
      <c r="N62" s="18">
        <v>0</v>
      </c>
      <c r="O62" s="19">
        <f t="shared" si="7"/>
        <v>960279</v>
      </c>
      <c r="P62" s="46">
        <v>1156.72</v>
      </c>
      <c r="Q62" s="47">
        <f t="shared" si="11"/>
        <v>830.17411300919844</v>
      </c>
      <c r="R62" s="10">
        <f t="shared" si="16"/>
        <v>862.81297956114838</v>
      </c>
      <c r="S62" s="10">
        <f t="shared" si="16"/>
        <v>29.510676876199522</v>
      </c>
      <c r="T62" s="10">
        <f t="shared" si="16"/>
        <v>29.510676876199522</v>
      </c>
      <c r="U62" s="10">
        <f t="shared" si="16"/>
        <v>29.510676876199522</v>
      </c>
      <c r="V62" s="10">
        <f t="shared" si="16"/>
        <v>29.510676876199522</v>
      </c>
      <c r="W62" s="10">
        <f t="shared" si="16"/>
        <v>29.510676876199522</v>
      </c>
      <c r="X62" s="10">
        <f t="shared" si="16"/>
        <v>29.510676876199522</v>
      </c>
      <c r="Y62" s="10">
        <f t="shared" si="16"/>
        <v>0</v>
      </c>
      <c r="Z62" s="10">
        <f t="shared" si="16"/>
        <v>87.329873172275967</v>
      </c>
      <c r="AA62" s="10">
        <f t="shared" si="16"/>
        <v>29.513086009378522</v>
      </c>
      <c r="AB62" s="10">
        <f t="shared" si="17"/>
        <v>0</v>
      </c>
      <c r="AC62" s="19">
        <f t="shared" si="8"/>
        <v>1156.72</v>
      </c>
      <c r="AD62" s="1">
        <f t="shared" si="9"/>
        <v>1156.72</v>
      </c>
      <c r="AE62" s="50">
        <f t="shared" si="10"/>
        <v>0</v>
      </c>
      <c r="AF62" s="51"/>
      <c r="AG62" s="51"/>
    </row>
    <row r="63" spans="1:33">
      <c r="A63">
        <f>SUMIF('Balanza ok'!D:D,B63,'Balanza ok'!B:B)</f>
        <v>0</v>
      </c>
      <c r="B63" s="57">
        <v>3105805</v>
      </c>
      <c r="C63" s="2" t="s">
        <v>488</v>
      </c>
      <c r="D63" s="18" t="s">
        <v>594</v>
      </c>
      <c r="E63" s="18" t="s">
        <v>594</v>
      </c>
      <c r="F63" s="18" t="s">
        <v>594</v>
      </c>
      <c r="G63" s="18" t="s">
        <v>594</v>
      </c>
      <c r="H63" s="18" t="s">
        <v>594</v>
      </c>
      <c r="I63" s="18" t="s">
        <v>594</v>
      </c>
      <c r="J63" s="18" t="s">
        <v>594</v>
      </c>
      <c r="K63" s="18">
        <v>390690</v>
      </c>
      <c r="L63" s="18">
        <v>306748</v>
      </c>
      <c r="M63" s="18" t="s">
        <v>594</v>
      </c>
      <c r="N63" s="18">
        <v>0</v>
      </c>
      <c r="O63" s="19">
        <f t="shared" si="7"/>
        <v>697438</v>
      </c>
      <c r="P63" s="46">
        <v>864.96</v>
      </c>
      <c r="Q63" s="47">
        <f t="shared" si="11"/>
        <v>806.32399186089526</v>
      </c>
      <c r="R63" s="10">
        <f t="shared" si="16"/>
        <v>0</v>
      </c>
      <c r="S63" s="10">
        <f t="shared" si="16"/>
        <v>0</v>
      </c>
      <c r="T63" s="10">
        <f t="shared" si="16"/>
        <v>0</v>
      </c>
      <c r="U63" s="10">
        <f t="shared" si="16"/>
        <v>0</v>
      </c>
      <c r="V63" s="10">
        <f t="shared" si="16"/>
        <v>0</v>
      </c>
      <c r="W63" s="10">
        <f t="shared" si="16"/>
        <v>0</v>
      </c>
      <c r="X63" s="10">
        <f t="shared" si="16"/>
        <v>0</v>
      </c>
      <c r="Y63" s="10">
        <f t="shared" si="16"/>
        <v>484.53227727769354</v>
      </c>
      <c r="Z63" s="10">
        <f t="shared" si="16"/>
        <v>380.4277227223065</v>
      </c>
      <c r="AA63" s="10">
        <f t="shared" si="16"/>
        <v>0</v>
      </c>
      <c r="AB63" s="10">
        <f t="shared" si="17"/>
        <v>0</v>
      </c>
      <c r="AC63" s="19">
        <f t="shared" si="8"/>
        <v>864.96</v>
      </c>
      <c r="AD63" s="1">
        <f t="shared" si="9"/>
        <v>864.96</v>
      </c>
      <c r="AE63" s="50">
        <f t="shared" si="10"/>
        <v>0</v>
      </c>
      <c r="AF63" s="51"/>
      <c r="AG63" s="51"/>
    </row>
    <row r="64" spans="1:33">
      <c r="A64">
        <f>SUMIF('Balanza ok'!D:D,B64,'Balanza ok'!B:B)</f>
        <v>0</v>
      </c>
      <c r="B64" s="57" t="s">
        <v>578</v>
      </c>
      <c r="C64" s="2" t="s">
        <v>8</v>
      </c>
      <c r="D64" s="18" t="s">
        <v>594</v>
      </c>
      <c r="E64" s="18" t="s">
        <v>594</v>
      </c>
      <c r="F64" s="18" t="s">
        <v>594</v>
      </c>
      <c r="G64" s="18" t="s">
        <v>594</v>
      </c>
      <c r="H64" s="18" t="s">
        <v>594</v>
      </c>
      <c r="I64" s="18" t="s">
        <v>594</v>
      </c>
      <c r="J64" s="18" t="s">
        <v>594</v>
      </c>
      <c r="K64" s="18">
        <v>3384386.1899999976</v>
      </c>
      <c r="L64" s="18" t="s">
        <v>594</v>
      </c>
      <c r="M64" s="18" t="s">
        <v>594</v>
      </c>
      <c r="N64" s="18">
        <v>0</v>
      </c>
      <c r="O64" s="19">
        <f t="shared" si="7"/>
        <v>3384386.1899999976</v>
      </c>
      <c r="P64" s="46">
        <v>12232.17</v>
      </c>
      <c r="Q64" s="47">
        <f t="shared" si="11"/>
        <v>276.67913297477043</v>
      </c>
      <c r="R64" s="10">
        <f t="shared" si="16"/>
        <v>0</v>
      </c>
      <c r="S64" s="10">
        <f t="shared" si="16"/>
        <v>0</v>
      </c>
      <c r="T64" s="10">
        <f t="shared" si="16"/>
        <v>0</v>
      </c>
      <c r="U64" s="10">
        <f t="shared" si="16"/>
        <v>0</v>
      </c>
      <c r="V64" s="10">
        <f t="shared" si="16"/>
        <v>0</v>
      </c>
      <c r="W64" s="10">
        <f t="shared" si="16"/>
        <v>0</v>
      </c>
      <c r="X64" s="10">
        <f t="shared" si="16"/>
        <v>0</v>
      </c>
      <c r="Y64" s="10">
        <f t="shared" si="16"/>
        <v>12232.17</v>
      </c>
      <c r="Z64" s="10">
        <f t="shared" si="16"/>
        <v>0</v>
      </c>
      <c r="AA64" s="10">
        <f t="shared" si="16"/>
        <v>0</v>
      </c>
      <c r="AB64" s="10">
        <f t="shared" si="17"/>
        <v>0</v>
      </c>
      <c r="AC64" s="19">
        <f t="shared" si="8"/>
        <v>12232.17</v>
      </c>
      <c r="AD64" s="1">
        <f t="shared" si="9"/>
        <v>12232.17</v>
      </c>
      <c r="AE64" s="50">
        <f t="shared" si="10"/>
        <v>0</v>
      </c>
      <c r="AF64" s="51"/>
      <c r="AG64" s="51"/>
    </row>
    <row r="65" spans="1:33">
      <c r="A65">
        <f>SUMIF('Balanza ok'!D:D,B65,'Balanza ok'!B:B)</f>
        <v>0</v>
      </c>
      <c r="B65" s="57" t="s">
        <v>579</v>
      </c>
      <c r="C65" s="2" t="s">
        <v>7</v>
      </c>
      <c r="D65" s="18" t="s">
        <v>594</v>
      </c>
      <c r="E65" s="18">
        <v>1870698</v>
      </c>
      <c r="F65" s="18">
        <v>1412435</v>
      </c>
      <c r="G65" s="18">
        <v>3177533</v>
      </c>
      <c r="H65" s="18">
        <v>2665885</v>
      </c>
      <c r="I65" s="18">
        <v>2752602</v>
      </c>
      <c r="J65" s="18">
        <v>1604612</v>
      </c>
      <c r="K65" s="18">
        <v>0</v>
      </c>
      <c r="L65" s="18">
        <v>3859583</v>
      </c>
      <c r="M65" s="18">
        <v>1375714</v>
      </c>
      <c r="N65" s="18">
        <v>0</v>
      </c>
      <c r="O65" s="19">
        <f t="shared" si="7"/>
        <v>18719062</v>
      </c>
      <c r="P65" s="46">
        <v>22719.710000000014</v>
      </c>
      <c r="Q65" s="47">
        <f t="shared" si="11"/>
        <v>823.91289325435878</v>
      </c>
      <c r="R65" s="10">
        <f t="shared" si="16"/>
        <v>0</v>
      </c>
      <c r="S65" s="10">
        <f t="shared" si="16"/>
        <v>2270.5045828460866</v>
      </c>
      <c r="T65" s="10">
        <f t="shared" si="16"/>
        <v>1714.3013679772</v>
      </c>
      <c r="U65" s="10">
        <f t="shared" si="16"/>
        <v>3856.6370620189223</v>
      </c>
      <c r="V65" s="10">
        <f t="shared" si="16"/>
        <v>3235.6393762331704</v>
      </c>
      <c r="W65" s="10">
        <f t="shared" si="16"/>
        <v>3340.8895801199892</v>
      </c>
      <c r="X65" s="10">
        <f t="shared" si="16"/>
        <v>1947.5505397930742</v>
      </c>
      <c r="Y65" s="10">
        <f t="shared" si="16"/>
        <v>0</v>
      </c>
      <c r="Z65" s="10">
        <f t="shared" si="16"/>
        <v>4684.4551549073376</v>
      </c>
      <c r="AA65" s="10">
        <f t="shared" si="16"/>
        <v>1669.7323361042354</v>
      </c>
      <c r="AB65" s="10">
        <f t="shared" si="17"/>
        <v>0</v>
      </c>
      <c r="AC65" s="19">
        <f t="shared" si="8"/>
        <v>22719.710000000014</v>
      </c>
      <c r="AD65" s="1">
        <f t="shared" si="9"/>
        <v>22719.710000000014</v>
      </c>
      <c r="AE65" s="50">
        <f t="shared" si="10"/>
        <v>0</v>
      </c>
      <c r="AF65" s="51"/>
      <c r="AG65" s="51"/>
    </row>
    <row r="66" spans="1:33">
      <c r="A66">
        <f>SUMIF('Balanza ok'!D:D,B66,'Balanza ok'!B:B)</f>
        <v>0</v>
      </c>
      <c r="B66" s="57" t="s">
        <v>444</v>
      </c>
      <c r="C66" s="2" t="s">
        <v>445</v>
      </c>
      <c r="D66" s="18" t="s">
        <v>594</v>
      </c>
      <c r="E66" s="18" t="s">
        <v>594</v>
      </c>
      <c r="F66" s="18" t="s">
        <v>594</v>
      </c>
      <c r="G66" s="18" t="s">
        <v>594</v>
      </c>
      <c r="H66" s="18" t="s">
        <v>594</v>
      </c>
      <c r="I66" s="18" t="s">
        <v>594</v>
      </c>
      <c r="J66" s="18" t="s">
        <v>594</v>
      </c>
      <c r="K66" s="18">
        <v>30042</v>
      </c>
      <c r="L66" s="18" t="s">
        <v>594</v>
      </c>
      <c r="M66" s="18" t="s">
        <v>594</v>
      </c>
      <c r="N66" s="18">
        <v>0</v>
      </c>
      <c r="O66" s="19">
        <f t="shared" si="7"/>
        <v>30042</v>
      </c>
      <c r="P66" s="46">
        <v>36.44</v>
      </c>
      <c r="Q66" s="47">
        <f t="shared" si="11"/>
        <v>824.42371020856206</v>
      </c>
      <c r="R66" s="10">
        <f t="shared" si="16"/>
        <v>0</v>
      </c>
      <c r="S66" s="10">
        <f t="shared" si="16"/>
        <v>0</v>
      </c>
      <c r="T66" s="10">
        <f t="shared" si="16"/>
        <v>0</v>
      </c>
      <c r="U66" s="10">
        <f t="shared" si="16"/>
        <v>0</v>
      </c>
      <c r="V66" s="10">
        <f t="shared" si="16"/>
        <v>0</v>
      </c>
      <c r="W66" s="10">
        <f t="shared" si="16"/>
        <v>0</v>
      </c>
      <c r="X66" s="10">
        <f t="shared" si="16"/>
        <v>0</v>
      </c>
      <c r="Y66" s="10">
        <f t="shared" si="16"/>
        <v>36.44</v>
      </c>
      <c r="Z66" s="10">
        <f t="shared" si="16"/>
        <v>0</v>
      </c>
      <c r="AA66" s="10">
        <f t="shared" si="16"/>
        <v>0</v>
      </c>
      <c r="AB66" s="10">
        <f t="shared" si="17"/>
        <v>0</v>
      </c>
      <c r="AC66" s="19">
        <f t="shared" si="8"/>
        <v>36.44</v>
      </c>
      <c r="AD66" s="1">
        <f t="shared" si="9"/>
        <v>36.44</v>
      </c>
      <c r="AE66" s="50">
        <f t="shared" si="10"/>
        <v>0</v>
      </c>
      <c r="AF66" s="51"/>
      <c r="AG66" s="51"/>
    </row>
    <row r="67" spans="1:33" ht="14.55" thickBot="1">
      <c r="A67">
        <f>SUMIF('Balanza ok'!D:D,B67,'Balanza ok'!B:B)</f>
        <v>0</v>
      </c>
      <c r="B67" s="57">
        <v>3105819</v>
      </c>
      <c r="C67" s="2" t="s">
        <v>595</v>
      </c>
      <c r="D67" s="18" t="s">
        <v>594</v>
      </c>
      <c r="E67" s="18" t="s">
        <v>594</v>
      </c>
      <c r="F67" s="18" t="s">
        <v>594</v>
      </c>
      <c r="G67" s="18" t="s">
        <v>594</v>
      </c>
      <c r="H67" s="18" t="s">
        <v>594</v>
      </c>
      <c r="I67" s="18" t="s">
        <v>594</v>
      </c>
      <c r="J67" s="18" t="s">
        <v>594</v>
      </c>
      <c r="K67" s="18">
        <v>94000</v>
      </c>
      <c r="L67" s="18" t="s">
        <v>594</v>
      </c>
      <c r="M67" s="18" t="s">
        <v>594</v>
      </c>
      <c r="N67" s="18">
        <v>0</v>
      </c>
      <c r="O67" s="19">
        <f t="shared" si="7"/>
        <v>94000</v>
      </c>
      <c r="P67" s="46">
        <v>108.91</v>
      </c>
      <c r="Q67" s="47">
        <f t="shared" si="11"/>
        <v>863.09797080157932</v>
      </c>
      <c r="R67" s="92">
        <f t="shared" si="16"/>
        <v>0</v>
      </c>
      <c r="S67" s="92">
        <f t="shared" si="16"/>
        <v>0</v>
      </c>
      <c r="T67" s="92">
        <f t="shared" si="16"/>
        <v>0</v>
      </c>
      <c r="U67" s="92">
        <f t="shared" si="16"/>
        <v>0</v>
      </c>
      <c r="V67" s="92">
        <f t="shared" si="16"/>
        <v>0</v>
      </c>
      <c r="W67" s="92">
        <f t="shared" si="16"/>
        <v>0</v>
      </c>
      <c r="X67" s="92">
        <f t="shared" si="16"/>
        <v>0</v>
      </c>
      <c r="Y67" s="92">
        <f t="shared" si="16"/>
        <v>108.91</v>
      </c>
      <c r="Z67" s="92">
        <f t="shared" si="16"/>
        <v>0</v>
      </c>
      <c r="AA67" s="92">
        <f t="shared" si="16"/>
        <v>0</v>
      </c>
      <c r="AB67" s="92">
        <f t="shared" si="17"/>
        <v>0</v>
      </c>
      <c r="AC67" s="19">
        <f t="shared" si="8"/>
        <v>108.91</v>
      </c>
      <c r="AD67" s="1">
        <f t="shared" si="9"/>
        <v>108.91</v>
      </c>
      <c r="AE67" s="50">
        <f t="shared" si="10"/>
        <v>0</v>
      </c>
      <c r="AF67" s="51"/>
      <c r="AG67" s="51"/>
    </row>
    <row r="68" spans="1:33" s="59" customFormat="1">
      <c r="A68" s="59">
        <f>SUMIF('Balanza ok'!D:D,B68,'Balanza ok'!B:B)</f>
        <v>0</v>
      </c>
      <c r="B68" s="60" t="s">
        <v>580</v>
      </c>
      <c r="C68" s="58" t="s">
        <v>6</v>
      </c>
      <c r="D68" s="74">
        <v>7529962</v>
      </c>
      <c r="E68" s="74">
        <v>7860328</v>
      </c>
      <c r="F68" s="74">
        <v>7860328</v>
      </c>
      <c r="G68" s="74">
        <v>7860328</v>
      </c>
      <c r="H68" s="74">
        <v>7860328</v>
      </c>
      <c r="I68" s="74">
        <v>7860328</v>
      </c>
      <c r="J68" s="74">
        <v>10655078</v>
      </c>
      <c r="K68" s="74">
        <v>21434219</v>
      </c>
      <c r="L68" s="74">
        <v>7860329</v>
      </c>
      <c r="M68" s="74">
        <v>8293373</v>
      </c>
      <c r="N68" s="74">
        <v>0</v>
      </c>
      <c r="O68" s="75">
        <f t="shared" si="7"/>
        <v>95074601</v>
      </c>
      <c r="P68" s="76">
        <v>116006.81999999995</v>
      </c>
      <c r="Q68" s="77">
        <f t="shared" si="11"/>
        <v>819.56044480833145</v>
      </c>
      <c r="R68" s="94">
        <f t="shared" si="16"/>
        <v>9187.8055458874824</v>
      </c>
      <c r="S68" s="95">
        <f t="shared" si="16"/>
        <v>9590.9069914157153</v>
      </c>
      <c r="T68" s="95">
        <f t="shared" si="16"/>
        <v>9590.9069914157153</v>
      </c>
      <c r="U68" s="95">
        <f t="shared" si="16"/>
        <v>9590.9069914157153</v>
      </c>
      <c r="V68" s="95">
        <f t="shared" si="16"/>
        <v>9590.9069914157153</v>
      </c>
      <c r="W68" s="95">
        <f t="shared" si="16"/>
        <v>9590.9069914157153</v>
      </c>
      <c r="X68" s="95">
        <f t="shared" si="16"/>
        <v>13000.966637051251</v>
      </c>
      <c r="Y68" s="96">
        <f t="shared" si="16"/>
        <v>26153.310760395187</v>
      </c>
      <c r="Z68" s="95">
        <f t="shared" si="16"/>
        <v>9590.9082115819729</v>
      </c>
      <c r="AA68" s="95">
        <f t="shared" si="16"/>
        <v>10119.293888005479</v>
      </c>
      <c r="AB68" s="97">
        <f t="shared" si="17"/>
        <v>0</v>
      </c>
      <c r="AC68" s="91">
        <f t="shared" si="8"/>
        <v>116006.81999999995</v>
      </c>
      <c r="AD68" s="78">
        <f t="shared" si="9"/>
        <v>116006.81999999995</v>
      </c>
      <c r="AE68" s="79">
        <f t="shared" si="10"/>
        <v>0</v>
      </c>
      <c r="AF68" s="80"/>
      <c r="AG68" s="80"/>
    </row>
    <row r="69" spans="1:33" s="59" customFormat="1" ht="14.55" thickBot="1">
      <c r="A69" s="59">
        <f>SUMIF('Balanza ok'!D:D,B69,'Balanza ok'!B:B)</f>
        <v>0</v>
      </c>
      <c r="B69" s="60">
        <v>3105833</v>
      </c>
      <c r="C69" s="58" t="s">
        <v>607</v>
      </c>
      <c r="D69" s="74" t="s">
        <v>594</v>
      </c>
      <c r="E69" s="74">
        <v>1366579</v>
      </c>
      <c r="F69" s="74">
        <v>1366579</v>
      </c>
      <c r="G69" s="74">
        <v>1366579</v>
      </c>
      <c r="H69" s="74">
        <v>1366579</v>
      </c>
      <c r="I69" s="74">
        <v>1366580</v>
      </c>
      <c r="J69" s="74" t="s">
        <v>594</v>
      </c>
      <c r="K69" s="74">
        <v>30700</v>
      </c>
      <c r="L69" s="74">
        <v>1446180</v>
      </c>
      <c r="M69" s="74">
        <v>1366572</v>
      </c>
      <c r="N69" s="74"/>
      <c r="O69" s="75">
        <f>SUM(D69:N69)</f>
        <v>9676348</v>
      </c>
      <c r="P69" s="76">
        <v>10518.11</v>
      </c>
      <c r="Q69" s="77">
        <f>+O69/P69</f>
        <v>919.97022278717373</v>
      </c>
      <c r="R69" s="98">
        <f t="shared" ref="R69:AB69" si="18">IFERROR((D69/$Q69),0)</f>
        <v>0</v>
      </c>
      <c r="S69" s="99">
        <f t="shared" si="18"/>
        <v>1485.4600357169875</v>
      </c>
      <c r="T69" s="99">
        <f t="shared" si="18"/>
        <v>1485.4600357169875</v>
      </c>
      <c r="U69" s="99">
        <f t="shared" si="18"/>
        <v>1485.4600357169875</v>
      </c>
      <c r="V69" s="99">
        <f t="shared" si="18"/>
        <v>1485.4600357169875</v>
      </c>
      <c r="W69" s="99">
        <f t="shared" si="18"/>
        <v>1485.4611227086914</v>
      </c>
      <c r="X69" s="99">
        <f t="shared" si="18"/>
        <v>0</v>
      </c>
      <c r="Y69" s="100">
        <f t="shared" si="18"/>
        <v>33.370645309573405</v>
      </c>
      <c r="Z69" s="99">
        <f t="shared" si="18"/>
        <v>1571.9856623387254</v>
      </c>
      <c r="AA69" s="99">
        <f t="shared" si="18"/>
        <v>1485.4524267750603</v>
      </c>
      <c r="AB69" s="101">
        <f t="shared" si="18"/>
        <v>0</v>
      </c>
      <c r="AC69" s="91">
        <f>SUM(R69:AB69)</f>
        <v>10518.11</v>
      </c>
      <c r="AD69" s="78">
        <f>+AC69</f>
        <v>10518.11</v>
      </c>
      <c r="AE69" s="79">
        <f>+P69-AC69</f>
        <v>0</v>
      </c>
      <c r="AF69" s="80"/>
      <c r="AG69" s="80"/>
    </row>
    <row r="70" spans="1:33" s="59" customFormat="1">
      <c r="B70" s="60"/>
      <c r="C70" s="58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/>
      <c r="P70" s="76"/>
      <c r="Q70" s="77"/>
      <c r="R70" s="102"/>
      <c r="S70" s="103">
        <f t="shared" ref="S70:AA70" si="19">+S68+S69</f>
        <v>11076.367027132703</v>
      </c>
      <c r="T70" s="103">
        <f t="shared" si="19"/>
        <v>11076.367027132703</v>
      </c>
      <c r="U70" s="103">
        <f t="shared" si="19"/>
        <v>11076.367027132703</v>
      </c>
      <c r="V70" s="103">
        <f t="shared" si="19"/>
        <v>11076.367027132703</v>
      </c>
      <c r="W70" s="103">
        <f t="shared" si="19"/>
        <v>11076.368114124407</v>
      </c>
      <c r="X70" s="103">
        <f t="shared" si="19"/>
        <v>13000.966637051251</v>
      </c>
      <c r="Y70" s="103">
        <f t="shared" si="19"/>
        <v>26186.68140570476</v>
      </c>
      <c r="Z70" s="103">
        <f t="shared" si="19"/>
        <v>11162.893873920699</v>
      </c>
      <c r="AA70" s="103">
        <f t="shared" si="19"/>
        <v>11604.746314780539</v>
      </c>
      <c r="AB70" s="104"/>
      <c r="AC70" s="91"/>
      <c r="AD70" s="78"/>
      <c r="AE70" s="79"/>
      <c r="AF70" s="80"/>
      <c r="AG70" s="80"/>
    </row>
    <row r="71" spans="1:33" s="82" customFormat="1">
      <c r="B71" s="83"/>
      <c r="C71" s="84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5"/>
      <c r="P71" s="86"/>
      <c r="Q71" s="87"/>
      <c r="R71" s="93"/>
      <c r="S71" s="93">
        <v>12779.93</v>
      </c>
      <c r="T71" s="93">
        <v>12691.3</v>
      </c>
      <c r="U71" s="93">
        <v>13800.599999999999</v>
      </c>
      <c r="V71" s="93">
        <v>13846.51</v>
      </c>
      <c r="W71" s="93">
        <v>13864.95</v>
      </c>
      <c r="X71" s="93">
        <v>24759.08</v>
      </c>
      <c r="Y71" s="93"/>
      <c r="Z71" s="93">
        <v>13990.189999999999</v>
      </c>
      <c r="AA71" s="93">
        <v>13432.58</v>
      </c>
      <c r="AB71" s="93">
        <v>7359.81</v>
      </c>
      <c r="AC71" s="85"/>
      <c r="AD71" s="88"/>
      <c r="AE71" s="89"/>
      <c r="AF71" s="90"/>
      <c r="AG71" s="90"/>
    </row>
    <row r="72" spans="1:33" s="82" customFormat="1">
      <c r="B72" s="83"/>
      <c r="C72" s="84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5"/>
      <c r="P72" s="86"/>
      <c r="Q72" s="87"/>
      <c r="R72" s="81"/>
      <c r="S72" s="81">
        <f>+S71-S70</f>
        <v>1703.5629728672975</v>
      </c>
      <c r="T72" s="81">
        <f t="shared" ref="T72:AB72" si="20">+T71-T70</f>
        <v>1614.9329728672965</v>
      </c>
      <c r="U72" s="81">
        <f t="shared" si="20"/>
        <v>2724.2329728672958</v>
      </c>
      <c r="V72" s="81">
        <f t="shared" si="20"/>
        <v>2770.1429728672974</v>
      </c>
      <c r="W72" s="81">
        <f t="shared" si="20"/>
        <v>2788.5818858755938</v>
      </c>
      <c r="X72" s="81">
        <f t="shared" si="20"/>
        <v>11758.11336294875</v>
      </c>
      <c r="Y72" s="81">
        <f t="shared" si="20"/>
        <v>-26186.68140570476</v>
      </c>
      <c r="Z72" s="81">
        <f t="shared" si="20"/>
        <v>2827.2961260792999</v>
      </c>
      <c r="AA72" s="81">
        <f t="shared" si="20"/>
        <v>1827.8336852194607</v>
      </c>
      <c r="AB72" s="81">
        <f t="shared" si="20"/>
        <v>7359.81</v>
      </c>
      <c r="AC72" s="85"/>
      <c r="AD72" s="88"/>
      <c r="AE72" s="89"/>
      <c r="AF72" s="90"/>
      <c r="AG72" s="90"/>
    </row>
    <row r="73" spans="1:33">
      <c r="A73">
        <f>SUMIF('Balanza ok'!D:D,B73,'Balanza ok'!B:B)</f>
        <v>0</v>
      </c>
      <c r="B73" s="57" t="s">
        <v>581</v>
      </c>
      <c r="C73" s="2" t="s">
        <v>5</v>
      </c>
      <c r="D73" s="18" t="s">
        <v>594</v>
      </c>
      <c r="E73" s="18">
        <v>343</v>
      </c>
      <c r="F73" s="18">
        <v>330</v>
      </c>
      <c r="G73" s="18">
        <v>804</v>
      </c>
      <c r="H73" s="18">
        <v>724</v>
      </c>
      <c r="I73" s="18">
        <v>774</v>
      </c>
      <c r="J73" s="18">
        <v>607</v>
      </c>
      <c r="K73" s="18">
        <v>-939.64</v>
      </c>
      <c r="L73" s="18">
        <v>830</v>
      </c>
      <c r="M73" s="18">
        <v>388</v>
      </c>
      <c r="N73" s="18">
        <v>0</v>
      </c>
      <c r="O73" s="19">
        <f t="shared" si="7"/>
        <v>3860.36</v>
      </c>
      <c r="P73" s="46">
        <v>4.0299999999999834</v>
      </c>
      <c r="Q73" s="47">
        <f t="shared" si="11"/>
        <v>957.90570719603375</v>
      </c>
      <c r="R73" s="10">
        <f t="shared" si="16"/>
        <v>0</v>
      </c>
      <c r="S73" s="10">
        <f t="shared" si="16"/>
        <v>0.35807282222383258</v>
      </c>
      <c r="T73" s="10">
        <f t="shared" si="16"/>
        <v>0.34450154907832287</v>
      </c>
      <c r="U73" s="10">
        <f t="shared" si="16"/>
        <v>0.83933104684536841</v>
      </c>
      <c r="V73" s="10">
        <f t="shared" si="16"/>
        <v>0.75581551979607808</v>
      </c>
      <c r="W73" s="10">
        <f t="shared" si="16"/>
        <v>0.80801272420188452</v>
      </c>
      <c r="X73" s="10">
        <f t="shared" si="16"/>
        <v>0.63367406148649086</v>
      </c>
      <c r="Y73" s="10">
        <f t="shared" si="16"/>
        <v>-0.9809316229574403</v>
      </c>
      <c r="Z73" s="10">
        <f t="shared" si="16"/>
        <v>0.86647359313638783</v>
      </c>
      <c r="AA73" s="10">
        <f t="shared" si="16"/>
        <v>0.40505030618905841</v>
      </c>
      <c r="AB73" s="10">
        <f t="shared" ref="AB73:AB81" si="21">IFERROR((N73/$Q73),0)</f>
        <v>0</v>
      </c>
      <c r="AC73" s="19">
        <f t="shared" si="8"/>
        <v>4.0299999999999834</v>
      </c>
      <c r="AD73" s="1">
        <f t="shared" si="9"/>
        <v>4.0299999999999834</v>
      </c>
      <c r="AE73" s="50">
        <f t="shared" si="10"/>
        <v>0</v>
      </c>
      <c r="AF73" s="51"/>
      <c r="AG73" s="51"/>
    </row>
    <row r="74" spans="1:33">
      <c r="A74">
        <f>SUMIF('Balanza ok'!D:D,B74,'Balanza ok'!B:B)</f>
        <v>0</v>
      </c>
      <c r="B74" s="57" t="s">
        <v>496</v>
      </c>
      <c r="C74" s="2" t="s">
        <v>497</v>
      </c>
      <c r="D74" s="18" t="s">
        <v>594</v>
      </c>
      <c r="E74" s="18" t="s">
        <v>594</v>
      </c>
      <c r="F74" s="18" t="s">
        <v>594</v>
      </c>
      <c r="G74" s="18" t="s">
        <v>594</v>
      </c>
      <c r="H74" s="18" t="s">
        <v>594</v>
      </c>
      <c r="I74" s="18" t="s">
        <v>594</v>
      </c>
      <c r="J74" s="18" t="s">
        <v>594</v>
      </c>
      <c r="K74" s="18">
        <v>189482</v>
      </c>
      <c r="L74" s="18" t="s">
        <v>594</v>
      </c>
      <c r="M74" s="18" t="s">
        <v>594</v>
      </c>
      <c r="N74" s="18">
        <v>0</v>
      </c>
      <c r="O74" s="19">
        <f t="shared" si="7"/>
        <v>189482</v>
      </c>
      <c r="P74" s="46">
        <v>227.86</v>
      </c>
      <c r="Q74" s="47">
        <f t="shared" si="11"/>
        <v>831.57201790573151</v>
      </c>
      <c r="R74" s="10">
        <f t="shared" si="16"/>
        <v>0</v>
      </c>
      <c r="S74" s="10">
        <f t="shared" si="16"/>
        <v>0</v>
      </c>
      <c r="T74" s="10">
        <f t="shared" si="16"/>
        <v>0</v>
      </c>
      <c r="U74" s="10">
        <f t="shared" si="16"/>
        <v>0</v>
      </c>
      <c r="V74" s="10">
        <f t="shared" si="16"/>
        <v>0</v>
      </c>
      <c r="W74" s="10">
        <f t="shared" si="16"/>
        <v>0</v>
      </c>
      <c r="X74" s="10">
        <f t="shared" si="16"/>
        <v>0</v>
      </c>
      <c r="Y74" s="10">
        <f t="shared" si="16"/>
        <v>227.86</v>
      </c>
      <c r="Z74" s="10">
        <f t="shared" si="16"/>
        <v>0</v>
      </c>
      <c r="AA74" s="10">
        <f t="shared" si="16"/>
        <v>0</v>
      </c>
      <c r="AB74" s="10">
        <f t="shared" si="21"/>
        <v>0</v>
      </c>
      <c r="AC74" s="19">
        <f t="shared" si="8"/>
        <v>227.86</v>
      </c>
      <c r="AD74" s="1">
        <f t="shared" si="9"/>
        <v>227.86</v>
      </c>
      <c r="AE74" s="50">
        <f t="shared" si="10"/>
        <v>0</v>
      </c>
      <c r="AF74" s="51"/>
      <c r="AG74" s="51"/>
    </row>
    <row r="75" spans="1:33">
      <c r="A75">
        <f>SUMIF('Balanza ok'!D:D,B75,'Balanza ok'!B:B)</f>
        <v>0</v>
      </c>
      <c r="B75" s="57" t="s">
        <v>463</v>
      </c>
      <c r="C75" s="2" t="s">
        <v>464</v>
      </c>
      <c r="D75" s="18" t="s">
        <v>594</v>
      </c>
      <c r="E75" s="18" t="s">
        <v>594</v>
      </c>
      <c r="F75" s="18" t="s">
        <v>594</v>
      </c>
      <c r="G75" s="18" t="s">
        <v>594</v>
      </c>
      <c r="H75" s="18" t="s">
        <v>594</v>
      </c>
      <c r="I75" s="18" t="s">
        <v>594</v>
      </c>
      <c r="J75" s="18" t="s">
        <v>594</v>
      </c>
      <c r="K75" s="18">
        <v>-97458</v>
      </c>
      <c r="L75" s="18" t="s">
        <v>594</v>
      </c>
      <c r="M75" s="18" t="s">
        <v>594</v>
      </c>
      <c r="N75" s="18">
        <v>0</v>
      </c>
      <c r="O75" s="19">
        <f t="shared" si="7"/>
        <v>-97458</v>
      </c>
      <c r="P75" s="46">
        <v>-118.69999999999999</v>
      </c>
      <c r="Q75" s="47">
        <f t="shared" si="11"/>
        <v>821.04465037910711</v>
      </c>
      <c r="R75" s="10">
        <f t="shared" si="16"/>
        <v>0</v>
      </c>
      <c r="S75" s="10">
        <f t="shared" si="16"/>
        <v>0</v>
      </c>
      <c r="T75" s="10">
        <f t="shared" si="16"/>
        <v>0</v>
      </c>
      <c r="U75" s="10">
        <f t="shared" si="16"/>
        <v>0</v>
      </c>
      <c r="V75" s="10">
        <f t="shared" si="16"/>
        <v>0</v>
      </c>
      <c r="W75" s="10">
        <f t="shared" si="16"/>
        <v>0</v>
      </c>
      <c r="X75" s="10">
        <f t="shared" si="16"/>
        <v>0</v>
      </c>
      <c r="Y75" s="10">
        <f t="shared" si="16"/>
        <v>-118.69999999999999</v>
      </c>
      <c r="Z75" s="10">
        <f t="shared" si="16"/>
        <v>0</v>
      </c>
      <c r="AA75" s="10">
        <f t="shared" si="16"/>
        <v>0</v>
      </c>
      <c r="AB75" s="10">
        <f t="shared" si="21"/>
        <v>0</v>
      </c>
      <c r="AC75" s="19">
        <f t="shared" si="8"/>
        <v>-118.69999999999999</v>
      </c>
      <c r="AD75" s="1">
        <f t="shared" si="9"/>
        <v>-118.69999999999999</v>
      </c>
      <c r="AE75" s="50">
        <f t="shared" si="10"/>
        <v>0</v>
      </c>
      <c r="AF75" s="51"/>
      <c r="AG75" s="51"/>
    </row>
    <row r="76" spans="1:33" s="64" customFormat="1">
      <c r="A76" s="64">
        <f>SUMIF('Balanza ok'!D:D,B76,'Balanza ok'!B:B)</f>
        <v>0</v>
      </c>
      <c r="B76" s="65" t="s">
        <v>498</v>
      </c>
      <c r="C76" s="66" t="s">
        <v>499</v>
      </c>
      <c r="D76" s="67" t="s">
        <v>594</v>
      </c>
      <c r="E76" s="67" t="s">
        <v>594</v>
      </c>
      <c r="F76" s="67" t="s">
        <v>594</v>
      </c>
      <c r="G76" s="67" t="s">
        <v>594</v>
      </c>
      <c r="H76" s="67" t="s">
        <v>594</v>
      </c>
      <c r="I76" s="67" t="s">
        <v>594</v>
      </c>
      <c r="J76" s="67" t="s">
        <v>594</v>
      </c>
      <c r="K76" s="67">
        <v>19662542.59</v>
      </c>
      <c r="L76" s="67" t="s">
        <v>594</v>
      </c>
      <c r="M76" s="67" t="s">
        <v>594</v>
      </c>
      <c r="N76" s="67">
        <v>0</v>
      </c>
      <c r="O76" s="68">
        <f t="shared" si="7"/>
        <v>19662542.59</v>
      </c>
      <c r="P76" s="69">
        <v>23914.54</v>
      </c>
      <c r="Q76" s="70">
        <f t="shared" si="11"/>
        <v>822.20032624503745</v>
      </c>
      <c r="R76" s="67">
        <f t="shared" si="16"/>
        <v>0</v>
      </c>
      <c r="S76" s="67">
        <f t="shared" si="16"/>
        <v>0</v>
      </c>
      <c r="T76" s="67">
        <f t="shared" si="16"/>
        <v>0</v>
      </c>
      <c r="U76" s="67">
        <f t="shared" si="16"/>
        <v>0</v>
      </c>
      <c r="V76" s="67">
        <f t="shared" si="16"/>
        <v>0</v>
      </c>
      <c r="W76" s="67">
        <f t="shared" si="16"/>
        <v>0</v>
      </c>
      <c r="X76" s="67">
        <f t="shared" si="16"/>
        <v>0</v>
      </c>
      <c r="Y76" s="67">
        <f t="shared" si="16"/>
        <v>23914.54</v>
      </c>
      <c r="Z76" s="67">
        <f t="shared" si="16"/>
        <v>0</v>
      </c>
      <c r="AA76" s="67">
        <f t="shared" si="16"/>
        <v>0</v>
      </c>
      <c r="AB76" s="67">
        <f t="shared" si="21"/>
        <v>0</v>
      </c>
      <c r="AC76" s="68">
        <f t="shared" si="8"/>
        <v>23914.54</v>
      </c>
      <c r="AD76" s="71">
        <f t="shared" si="9"/>
        <v>23914.54</v>
      </c>
      <c r="AE76" s="72">
        <f t="shared" si="10"/>
        <v>0</v>
      </c>
      <c r="AF76" s="73"/>
      <c r="AG76" s="73"/>
    </row>
    <row r="77" spans="1:33">
      <c r="A77">
        <f>SUMIF('Balanza ok'!D:D,B77,'Balanza ok'!B:B)</f>
        <v>0</v>
      </c>
      <c r="B77" s="57" t="s">
        <v>511</v>
      </c>
      <c r="C77" s="2" t="s">
        <v>512</v>
      </c>
      <c r="D77" s="18" t="s">
        <v>594</v>
      </c>
      <c r="E77" s="18" t="s">
        <v>594</v>
      </c>
      <c r="F77" s="18" t="s">
        <v>594</v>
      </c>
      <c r="G77" s="18" t="s">
        <v>594</v>
      </c>
      <c r="H77" s="18" t="s">
        <v>594</v>
      </c>
      <c r="I77" s="18" t="s">
        <v>594</v>
      </c>
      <c r="J77" s="18" t="s">
        <v>594</v>
      </c>
      <c r="K77" s="18">
        <v>-10073138.24</v>
      </c>
      <c r="L77" s="18" t="s">
        <v>594</v>
      </c>
      <c r="M77" s="18" t="s">
        <v>594</v>
      </c>
      <c r="N77" s="18">
        <v>0</v>
      </c>
      <c r="O77" s="19">
        <f t="shared" si="7"/>
        <v>-10073138.24</v>
      </c>
      <c r="P77" s="46">
        <v>0</v>
      </c>
      <c r="Q77" s="47">
        <v>0</v>
      </c>
      <c r="R77" s="10">
        <f t="shared" si="16"/>
        <v>0</v>
      </c>
      <c r="S77" s="10">
        <f t="shared" si="16"/>
        <v>0</v>
      </c>
      <c r="T77" s="10">
        <f t="shared" si="16"/>
        <v>0</v>
      </c>
      <c r="U77" s="10">
        <f t="shared" si="16"/>
        <v>0</v>
      </c>
      <c r="V77" s="10">
        <f t="shared" si="16"/>
        <v>0</v>
      </c>
      <c r="W77" s="10">
        <f t="shared" si="16"/>
        <v>0</v>
      </c>
      <c r="X77" s="10">
        <f t="shared" si="16"/>
        <v>0</v>
      </c>
      <c r="Y77" s="10">
        <f t="shared" si="16"/>
        <v>0</v>
      </c>
      <c r="Z77" s="10">
        <f t="shared" si="16"/>
        <v>0</v>
      </c>
      <c r="AA77" s="10">
        <f t="shared" si="16"/>
        <v>0</v>
      </c>
      <c r="AB77" s="10">
        <f t="shared" si="21"/>
        <v>0</v>
      </c>
      <c r="AC77" s="19">
        <f t="shared" si="8"/>
        <v>0</v>
      </c>
      <c r="AD77" s="1">
        <f t="shared" si="9"/>
        <v>0</v>
      </c>
      <c r="AE77" s="50">
        <f t="shared" si="10"/>
        <v>0</v>
      </c>
      <c r="AF77" s="51"/>
      <c r="AG77" s="51"/>
    </row>
    <row r="78" spans="1:33">
      <c r="A78">
        <f>SUMIF('Balanza ok'!D:D,B78,'Balanza ok'!B:B)</f>
        <v>0</v>
      </c>
      <c r="B78" s="57" t="s">
        <v>582</v>
      </c>
      <c r="C78" s="2" t="s">
        <v>3</v>
      </c>
      <c r="D78" s="18" t="s">
        <v>594</v>
      </c>
      <c r="E78" s="18" t="s">
        <v>594</v>
      </c>
      <c r="F78" s="18" t="s">
        <v>594</v>
      </c>
      <c r="G78" s="18" t="s">
        <v>594</v>
      </c>
      <c r="H78" s="18" t="s">
        <v>594</v>
      </c>
      <c r="I78" s="18" t="s">
        <v>594</v>
      </c>
      <c r="J78" s="18" t="s">
        <v>594</v>
      </c>
      <c r="K78" s="18">
        <v>49379686.469999999</v>
      </c>
      <c r="L78" s="18" t="s">
        <v>594</v>
      </c>
      <c r="M78" s="18" t="s">
        <v>594</v>
      </c>
      <c r="N78" s="18">
        <v>0</v>
      </c>
      <c r="O78" s="19">
        <f t="shared" si="7"/>
        <v>49379686.469999999</v>
      </c>
      <c r="P78" s="46">
        <v>0</v>
      </c>
      <c r="Q78" s="47">
        <v>0</v>
      </c>
      <c r="R78" s="10">
        <f t="shared" si="16"/>
        <v>0</v>
      </c>
      <c r="S78" s="10">
        <f t="shared" si="16"/>
        <v>0</v>
      </c>
      <c r="T78" s="10">
        <f t="shared" si="16"/>
        <v>0</v>
      </c>
      <c r="U78" s="10">
        <f t="shared" si="16"/>
        <v>0</v>
      </c>
      <c r="V78" s="10">
        <f t="shared" si="16"/>
        <v>0</v>
      </c>
      <c r="W78" s="10">
        <f t="shared" si="16"/>
        <v>0</v>
      </c>
      <c r="X78" s="10">
        <f t="shared" si="16"/>
        <v>0</v>
      </c>
      <c r="Y78" s="10">
        <f t="shared" si="16"/>
        <v>0</v>
      </c>
      <c r="Z78" s="10">
        <f t="shared" si="16"/>
        <v>0</v>
      </c>
      <c r="AA78" s="10">
        <f t="shared" si="16"/>
        <v>0</v>
      </c>
      <c r="AB78" s="10">
        <f t="shared" si="21"/>
        <v>0</v>
      </c>
      <c r="AC78" s="19">
        <f t="shared" si="8"/>
        <v>0</v>
      </c>
      <c r="AD78" s="1">
        <f t="shared" si="9"/>
        <v>0</v>
      </c>
      <c r="AE78" s="50">
        <f t="shared" si="10"/>
        <v>0</v>
      </c>
      <c r="AF78" s="51"/>
      <c r="AG78" s="51"/>
    </row>
    <row r="79" spans="1:33">
      <c r="A79">
        <f>SUMIF('Balanza ok'!D:D,B79,'Balanza ok'!B:B)</f>
        <v>0</v>
      </c>
      <c r="B79" s="57" t="s">
        <v>583</v>
      </c>
      <c r="C79" s="2" t="s">
        <v>2</v>
      </c>
      <c r="D79" s="18" t="s">
        <v>594</v>
      </c>
      <c r="E79" s="18" t="s">
        <v>594</v>
      </c>
      <c r="F79" s="18" t="s">
        <v>594</v>
      </c>
      <c r="G79" s="18" t="s">
        <v>594</v>
      </c>
      <c r="H79" s="18" t="s">
        <v>594</v>
      </c>
      <c r="I79" s="18" t="s">
        <v>594</v>
      </c>
      <c r="J79" s="18" t="s">
        <v>594</v>
      </c>
      <c r="K79" s="18">
        <v>175743164.13</v>
      </c>
      <c r="L79" s="18" t="s">
        <v>594</v>
      </c>
      <c r="M79" s="18" t="s">
        <v>594</v>
      </c>
      <c r="N79" s="18">
        <v>0</v>
      </c>
      <c r="O79" s="19">
        <f t="shared" si="7"/>
        <v>175743164.13</v>
      </c>
      <c r="P79" s="46">
        <v>127420.91</v>
      </c>
      <c r="Q79" s="47">
        <f t="shared" si="11"/>
        <v>1379.2333152384485</v>
      </c>
      <c r="R79" s="10">
        <f t="shared" ref="R79:AA81" si="22">IFERROR((D79/$Q79),0)</f>
        <v>0</v>
      </c>
      <c r="S79" s="10">
        <f t="shared" si="22"/>
        <v>0</v>
      </c>
      <c r="T79" s="10">
        <f t="shared" si="22"/>
        <v>0</v>
      </c>
      <c r="U79" s="10">
        <f t="shared" si="22"/>
        <v>0</v>
      </c>
      <c r="V79" s="10">
        <f t="shared" si="22"/>
        <v>0</v>
      </c>
      <c r="W79" s="10">
        <f t="shared" si="22"/>
        <v>0</v>
      </c>
      <c r="X79" s="10">
        <f t="shared" si="22"/>
        <v>0</v>
      </c>
      <c r="Y79" s="10">
        <f t="shared" si="22"/>
        <v>127420.91000000002</v>
      </c>
      <c r="Z79" s="10">
        <f t="shared" si="22"/>
        <v>0</v>
      </c>
      <c r="AA79" s="10">
        <f t="shared" si="22"/>
        <v>0</v>
      </c>
      <c r="AB79" s="10">
        <f t="shared" si="21"/>
        <v>0</v>
      </c>
      <c r="AC79" s="19">
        <f t="shared" si="8"/>
        <v>127420.91000000002</v>
      </c>
      <c r="AD79" s="1">
        <f t="shared" si="9"/>
        <v>127420.91000000002</v>
      </c>
      <c r="AE79" s="50">
        <f t="shared" si="10"/>
        <v>0</v>
      </c>
      <c r="AF79" s="51"/>
      <c r="AG79" s="51"/>
    </row>
    <row r="80" spans="1:33">
      <c r="A80">
        <f>SUMIF('Balanza ok'!D:D,B80,'Balanza ok'!B:B)</f>
        <v>0</v>
      </c>
      <c r="B80" s="57" t="s">
        <v>584</v>
      </c>
      <c r="C80" s="2" t="s">
        <v>0</v>
      </c>
      <c r="D80" s="18" t="s">
        <v>594</v>
      </c>
      <c r="E80" s="18" t="s">
        <v>594</v>
      </c>
      <c r="F80" s="18" t="s">
        <v>594</v>
      </c>
      <c r="G80" s="18" t="s">
        <v>594</v>
      </c>
      <c r="H80" s="18" t="s">
        <v>594</v>
      </c>
      <c r="I80" s="18" t="s">
        <v>594</v>
      </c>
      <c r="J80" s="18" t="s">
        <v>594</v>
      </c>
      <c r="K80" s="18">
        <v>-5751487</v>
      </c>
      <c r="L80" s="18" t="s">
        <v>594</v>
      </c>
      <c r="M80" s="18" t="s">
        <v>594</v>
      </c>
      <c r="N80" s="18">
        <v>0</v>
      </c>
      <c r="O80" s="19">
        <f t="shared" si="7"/>
        <v>-5751487</v>
      </c>
      <c r="P80" s="46">
        <v>-6811.9500000000007</v>
      </c>
      <c r="Q80" s="47">
        <f t="shared" si="11"/>
        <v>844.32313801481212</v>
      </c>
      <c r="R80" s="10">
        <f t="shared" si="22"/>
        <v>0</v>
      </c>
      <c r="S80" s="10">
        <f t="shared" si="22"/>
        <v>0</v>
      </c>
      <c r="T80" s="10">
        <f t="shared" si="22"/>
        <v>0</v>
      </c>
      <c r="U80" s="10">
        <f t="shared" si="22"/>
        <v>0</v>
      </c>
      <c r="V80" s="10">
        <f t="shared" si="22"/>
        <v>0</v>
      </c>
      <c r="W80" s="10">
        <f t="shared" si="22"/>
        <v>0</v>
      </c>
      <c r="X80" s="10">
        <f t="shared" si="22"/>
        <v>0</v>
      </c>
      <c r="Y80" s="10">
        <f t="shared" si="22"/>
        <v>-6811.9500000000007</v>
      </c>
      <c r="Z80" s="10">
        <f t="shared" si="22"/>
        <v>0</v>
      </c>
      <c r="AA80" s="10">
        <f t="shared" si="22"/>
        <v>0</v>
      </c>
      <c r="AB80" s="10">
        <f t="shared" si="21"/>
        <v>0</v>
      </c>
      <c r="AC80" s="19">
        <f t="shared" si="8"/>
        <v>-6811.9500000000007</v>
      </c>
      <c r="AD80" s="1">
        <f t="shared" si="9"/>
        <v>-6811.9500000000007</v>
      </c>
      <c r="AE80" s="50">
        <f t="shared" si="10"/>
        <v>0</v>
      </c>
      <c r="AF80" s="51"/>
      <c r="AG80" s="51"/>
    </row>
    <row r="81" spans="1:33">
      <c r="A81">
        <f>SUMIF('Balanza ok'!D:D,B81,'Balanza ok'!B:B)</f>
        <v>0</v>
      </c>
      <c r="B81" s="57" t="s">
        <v>585</v>
      </c>
      <c r="C81" s="2" t="s">
        <v>418</v>
      </c>
      <c r="D81" s="18" t="s">
        <v>594</v>
      </c>
      <c r="E81" s="18" t="s">
        <v>594</v>
      </c>
      <c r="F81" s="18" t="s">
        <v>594</v>
      </c>
      <c r="G81" s="18" t="s">
        <v>594</v>
      </c>
      <c r="H81" s="18" t="s">
        <v>594</v>
      </c>
      <c r="I81" s="18" t="s">
        <v>594</v>
      </c>
      <c r="J81" s="18" t="s">
        <v>594</v>
      </c>
      <c r="K81" s="18">
        <v>-1256.6500000000001</v>
      </c>
      <c r="L81" s="18" t="s">
        <v>594</v>
      </c>
      <c r="M81" s="18" t="s">
        <v>594</v>
      </c>
      <c r="N81" s="18">
        <v>0</v>
      </c>
      <c r="O81" s="19">
        <f t="shared" si="7"/>
        <v>-1256.6500000000001</v>
      </c>
      <c r="P81" s="46">
        <v>-1.0500000000000005</v>
      </c>
      <c r="Q81" s="47">
        <f t="shared" si="11"/>
        <v>1196.8095238095234</v>
      </c>
      <c r="R81" s="10">
        <f t="shared" si="22"/>
        <v>0</v>
      </c>
      <c r="S81" s="10">
        <f t="shared" si="22"/>
        <v>0</v>
      </c>
      <c r="T81" s="10">
        <f t="shared" si="22"/>
        <v>0</v>
      </c>
      <c r="U81" s="10">
        <f t="shared" si="22"/>
        <v>0</v>
      </c>
      <c r="V81" s="10">
        <f t="shared" si="22"/>
        <v>0</v>
      </c>
      <c r="W81" s="10">
        <f t="shared" si="22"/>
        <v>0</v>
      </c>
      <c r="X81" s="10">
        <f t="shared" si="22"/>
        <v>0</v>
      </c>
      <c r="Y81" s="10">
        <f t="shared" si="22"/>
        <v>-1.0500000000000005</v>
      </c>
      <c r="Z81" s="10">
        <f t="shared" si="22"/>
        <v>0</v>
      </c>
      <c r="AA81" s="10">
        <f t="shared" si="22"/>
        <v>0</v>
      </c>
      <c r="AB81" s="10">
        <f t="shared" si="21"/>
        <v>0</v>
      </c>
      <c r="AC81" s="19">
        <f>SUM(R81:AB81)</f>
        <v>-1.0500000000000005</v>
      </c>
      <c r="AD81" s="1">
        <f t="shared" si="9"/>
        <v>-1.0500000000000005</v>
      </c>
      <c r="AE81" s="50">
        <f t="shared" si="10"/>
        <v>0</v>
      </c>
      <c r="AF81" s="51"/>
      <c r="AG81" s="51"/>
    </row>
    <row r="82" spans="1:33" ht="14.55" thickBot="1">
      <c r="B82" s="258" t="s">
        <v>465</v>
      </c>
      <c r="C82" s="259"/>
      <c r="D82" s="13">
        <f t="shared" ref="D82:N82" si="23">SUM(D13:D81)</f>
        <v>101091888</v>
      </c>
      <c r="E82" s="13">
        <f t="shared" si="23"/>
        <v>55464027</v>
      </c>
      <c r="F82" s="13">
        <f t="shared" si="23"/>
        <v>59446617</v>
      </c>
      <c r="G82" s="13">
        <f t="shared" si="23"/>
        <v>79745139</v>
      </c>
      <c r="H82" s="13">
        <f t="shared" si="23"/>
        <v>73024073</v>
      </c>
      <c r="I82" s="13">
        <f t="shared" si="23"/>
        <v>80761861</v>
      </c>
      <c r="J82" s="13">
        <f t="shared" si="23"/>
        <v>94574849</v>
      </c>
      <c r="K82" s="13">
        <f t="shared" si="23"/>
        <v>341569985.85000002</v>
      </c>
      <c r="L82" s="13">
        <f t="shared" si="23"/>
        <v>111008902</v>
      </c>
      <c r="M82" s="13">
        <f t="shared" si="23"/>
        <v>59283558</v>
      </c>
      <c r="N82" s="13">
        <f t="shared" si="23"/>
        <v>1291619</v>
      </c>
      <c r="O82" s="13">
        <f>SUM(D82:N82)</f>
        <v>1057262518.85</v>
      </c>
      <c r="P82" s="13">
        <f>SUM(P13:P81)</f>
        <v>1154300.6400000001</v>
      </c>
      <c r="Q82" s="21"/>
      <c r="R82" s="41">
        <f t="shared" ref="R82:AC82" si="24">SUM(R13:R81)</f>
        <v>122833.03131721031</v>
      </c>
      <c r="S82" s="41">
        <f t="shared" si="24"/>
        <v>92544.63095067587</v>
      </c>
      <c r="T82" s="41">
        <f t="shared" si="24"/>
        <v>96903.382666689969</v>
      </c>
      <c r="U82" s="41">
        <f t="shared" si="24"/>
        <v>123741.26957092497</v>
      </c>
      <c r="V82" s="41">
        <f t="shared" si="24"/>
        <v>115809.68230946679</v>
      </c>
      <c r="W82" s="41">
        <f t="shared" si="24"/>
        <v>125236.10074967517</v>
      </c>
      <c r="X82" s="41">
        <f t="shared" si="24"/>
        <v>164383.36750173935</v>
      </c>
      <c r="Y82" s="41">
        <f t="shared" si="24"/>
        <v>289029.31595321023</v>
      </c>
      <c r="Z82" s="41">
        <f t="shared" si="24"/>
        <v>162096.18845573711</v>
      </c>
      <c r="AA82" s="41">
        <f t="shared" si="24"/>
        <v>98459.590524670159</v>
      </c>
      <c r="AB82" s="41">
        <f t="shared" si="24"/>
        <v>16313.98</v>
      </c>
      <c r="AC82" s="62">
        <f t="shared" si="24"/>
        <v>1154300.6400000001</v>
      </c>
      <c r="AD82" s="1"/>
    </row>
    <row r="83" spans="1:33" ht="14.55" thickTop="1">
      <c r="B83" s="14"/>
      <c r="C83" s="14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9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1:33" ht="14.55" thickBot="1">
      <c r="B84" s="256" t="s">
        <v>465</v>
      </c>
      <c r="C84" s="257"/>
      <c r="D84" s="20">
        <f t="shared" ref="D84:P84" si="25">+D8-D82</f>
        <v>-101091888</v>
      </c>
      <c r="E84" s="20">
        <f t="shared" si="25"/>
        <v>-6918185</v>
      </c>
      <c r="F84" s="20">
        <f t="shared" si="25"/>
        <v>-17066113</v>
      </c>
      <c r="G84" s="20">
        <f t="shared" si="25"/>
        <v>13291420</v>
      </c>
      <c r="H84" s="20">
        <f t="shared" si="25"/>
        <v>16273099</v>
      </c>
      <c r="I84" s="20">
        <f t="shared" si="25"/>
        <v>10927166</v>
      </c>
      <c r="J84" s="20">
        <f t="shared" si="25"/>
        <v>65853857</v>
      </c>
      <c r="K84" s="20">
        <f t="shared" si="25"/>
        <v>-341569985.85000002</v>
      </c>
      <c r="L84" s="20">
        <f t="shared" si="25"/>
        <v>23190449</v>
      </c>
      <c r="M84" s="20">
        <f t="shared" si="25"/>
        <v>-5956806</v>
      </c>
      <c r="N84" s="20">
        <f t="shared" si="25"/>
        <v>69615397</v>
      </c>
      <c r="O84" s="20">
        <f t="shared" si="25"/>
        <v>-273451589.85000002</v>
      </c>
      <c r="P84" s="43">
        <f t="shared" si="25"/>
        <v>-196300.64000000013</v>
      </c>
      <c r="Q84" s="21"/>
      <c r="R84" s="20">
        <f t="shared" ref="R84:AC84" si="26">+R8-R82</f>
        <v>-122833.03131721031</v>
      </c>
      <c r="S84" s="20">
        <f t="shared" si="26"/>
        <v>-33315.445665502899</v>
      </c>
      <c r="T84" s="20">
        <f t="shared" si="26"/>
        <v>-45200.318378333723</v>
      </c>
      <c r="U84" s="20">
        <f t="shared" si="26"/>
        <v>-10246.945754254208</v>
      </c>
      <c r="V84" s="20">
        <f t="shared" si="26"/>
        <v>-6886.0835607025801</v>
      </c>
      <c r="W84" s="20">
        <f t="shared" si="26"/>
        <v>-13429.107127531708</v>
      </c>
      <c r="X84" s="20">
        <f t="shared" si="26"/>
        <v>31408.38129646756</v>
      </c>
      <c r="Y84" s="20">
        <f t="shared" si="26"/>
        <v>-289029.31595321023</v>
      </c>
      <c r="Z84" s="20">
        <f t="shared" si="26"/>
        <v>1584.6394957822631</v>
      </c>
      <c r="AA84" s="20">
        <f t="shared" si="26"/>
        <v>-33413.028819870175</v>
      </c>
      <c r="AB84" s="20">
        <f t="shared" si="26"/>
        <v>72009.715784366053</v>
      </c>
      <c r="AC84" s="63">
        <f t="shared" si="26"/>
        <v>-196300.64000000036</v>
      </c>
    </row>
    <row r="85" spans="1:33" ht="14.55" thickTop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T85" s="30"/>
      <c r="U85" s="30"/>
      <c r="AC85" s="22"/>
    </row>
    <row r="86" spans="1:33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T86" s="30"/>
      <c r="U86" s="30"/>
    </row>
    <row r="87" spans="1:33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T87" s="30"/>
      <c r="U87" s="30"/>
    </row>
    <row r="88" spans="1:33" ht="14.55" thickBo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T88" s="30"/>
      <c r="U88" s="30"/>
    </row>
    <row r="89" spans="1:33" ht="14.55" thickBot="1">
      <c r="C89" s="27" t="s">
        <v>489</v>
      </c>
      <c r="D89" s="18">
        <v>356343</v>
      </c>
      <c r="E89" s="18">
        <v>39300</v>
      </c>
      <c r="F89" s="18">
        <v>36786</v>
      </c>
      <c r="G89" s="18">
        <v>39522</v>
      </c>
      <c r="H89" s="18">
        <v>43776</v>
      </c>
      <c r="I89" s="18">
        <v>69606</v>
      </c>
      <c r="J89" s="18" t="s">
        <v>594</v>
      </c>
      <c r="K89" s="18">
        <v>1717204</v>
      </c>
      <c r="L89" s="18">
        <v>7320955</v>
      </c>
      <c r="M89" s="18" t="s">
        <v>594</v>
      </c>
      <c r="N89" s="18" t="s">
        <v>594</v>
      </c>
      <c r="O89" s="23">
        <f>SUM(D89:L89)</f>
        <v>9623492</v>
      </c>
      <c r="P89" s="44"/>
      <c r="T89" s="30"/>
      <c r="U89" s="30"/>
    </row>
    <row r="90" spans="1:33">
      <c r="B90">
        <v>740814</v>
      </c>
      <c r="C90" s="53">
        <v>0.873</v>
      </c>
      <c r="D90" s="1">
        <f t="shared" ref="D90:I90" si="27">+$C$90*D89</f>
        <v>311087.43900000001</v>
      </c>
      <c r="E90" s="1">
        <f t="shared" si="27"/>
        <v>34308.9</v>
      </c>
      <c r="F90" s="1">
        <f t="shared" si="27"/>
        <v>32114.178</v>
      </c>
      <c r="G90" s="1">
        <f t="shared" si="27"/>
        <v>34502.705999999998</v>
      </c>
      <c r="H90" s="1">
        <f t="shared" si="27"/>
        <v>38216.447999999997</v>
      </c>
      <c r="I90" s="24">
        <f t="shared" si="27"/>
        <v>60766.038</v>
      </c>
      <c r="J90" s="1"/>
      <c r="K90" s="1">
        <f>+$C$90*K89</f>
        <v>1499119.0919999999</v>
      </c>
      <c r="L90" s="24">
        <f>+$C$90*L89</f>
        <v>6391193.7149999999</v>
      </c>
      <c r="M90" s="1"/>
      <c r="N90" s="1"/>
      <c r="O90" s="23">
        <f>SUM(D90:L90)</f>
        <v>8401308.5159999989</v>
      </c>
      <c r="P90" s="44"/>
      <c r="Q90" s="22"/>
      <c r="T90" s="30"/>
      <c r="U90" s="30"/>
    </row>
    <row r="91" spans="1:33" ht="14.55" thickBot="1">
      <c r="B91">
        <v>740818</v>
      </c>
      <c r="C91" s="54">
        <f>1-C90</f>
        <v>0.127</v>
      </c>
      <c r="D91" s="25">
        <f t="shared" ref="D91:I91" si="28">+$C$91*D89</f>
        <v>45255.561000000002</v>
      </c>
      <c r="E91" s="25">
        <f t="shared" si="28"/>
        <v>4991.1000000000004</v>
      </c>
      <c r="F91" s="25">
        <f t="shared" si="28"/>
        <v>4671.8220000000001</v>
      </c>
      <c r="G91" s="25">
        <f t="shared" si="28"/>
        <v>5019.2939999999999</v>
      </c>
      <c r="H91" s="25">
        <f t="shared" si="28"/>
        <v>5559.5519999999997</v>
      </c>
      <c r="I91" s="26">
        <f t="shared" si="28"/>
        <v>8839.9619999999995</v>
      </c>
      <c r="J91" s="25"/>
      <c r="K91" s="25">
        <f>+$C$91*K89</f>
        <v>218084.908</v>
      </c>
      <c r="L91" s="26">
        <f>+$C$91*L89</f>
        <v>929761.28500000003</v>
      </c>
      <c r="M91" s="1"/>
      <c r="N91" s="1"/>
      <c r="O91" s="23">
        <f>SUM(D91:L91)</f>
        <v>1222183.4840000002</v>
      </c>
      <c r="P91" s="44"/>
      <c r="T91" s="30"/>
      <c r="U91" s="30"/>
    </row>
    <row r="92" spans="1:33">
      <c r="T92" s="30"/>
      <c r="U92" s="30"/>
    </row>
    <row r="93" spans="1:33">
      <c r="T93" s="14"/>
      <c r="U93" s="14"/>
    </row>
    <row r="94" spans="1:33">
      <c r="B94" t="s">
        <v>490</v>
      </c>
    </row>
    <row r="95" spans="1:33">
      <c r="B95" t="s">
        <v>495</v>
      </c>
    </row>
    <row r="96" spans="1:33">
      <c r="B96" t="s">
        <v>491</v>
      </c>
    </row>
    <row r="97" spans="2:5">
      <c r="B97" t="s">
        <v>492</v>
      </c>
    </row>
    <row r="103" spans="2:5">
      <c r="C103" t="s">
        <v>549</v>
      </c>
      <c r="D103">
        <v>7</v>
      </c>
      <c r="E103">
        <v>709229</v>
      </c>
    </row>
    <row r="104" spans="2:5">
      <c r="C104" t="s">
        <v>550</v>
      </c>
      <c r="D104">
        <v>7</v>
      </c>
      <c r="E104">
        <v>709223</v>
      </c>
    </row>
    <row r="105" spans="2:5">
      <c r="C105" t="s">
        <v>551</v>
      </c>
      <c r="D105">
        <v>7</v>
      </c>
      <c r="E105">
        <v>709228</v>
      </c>
    </row>
    <row r="106" spans="2:5">
      <c r="C106" t="s">
        <v>552</v>
      </c>
      <c r="D106">
        <v>88</v>
      </c>
      <c r="E106">
        <v>730781</v>
      </c>
    </row>
  </sheetData>
  <autoFilter ref="R11:AB82" xr:uid="{18C267B5-6692-4614-BAB1-218AACCD5D8B}"/>
  <mergeCells count="55">
    <mergeCell ref="AC11:AC12"/>
    <mergeCell ref="B82:C82"/>
    <mergeCell ref="B84:C84"/>
    <mergeCell ref="W11:W12"/>
    <mergeCell ref="X11:X12"/>
    <mergeCell ref="Y11:Y12"/>
    <mergeCell ref="Z11:Z12"/>
    <mergeCell ref="AA11:AA12"/>
    <mergeCell ref="AB11:AB12"/>
    <mergeCell ref="O11:O12"/>
    <mergeCell ref="R11:R12"/>
    <mergeCell ref="S11:S12"/>
    <mergeCell ref="T11:T12"/>
    <mergeCell ref="U11:U12"/>
    <mergeCell ref="V11:V12"/>
    <mergeCell ref="I11:I12"/>
    <mergeCell ref="J11:J12"/>
    <mergeCell ref="K11:K12"/>
    <mergeCell ref="L11:L12"/>
    <mergeCell ref="M11:M12"/>
    <mergeCell ref="N11:N12"/>
    <mergeCell ref="AB2:AB3"/>
    <mergeCell ref="AC2:AC3"/>
    <mergeCell ref="B8:C8"/>
    <mergeCell ref="B11:B12"/>
    <mergeCell ref="C11:C12"/>
    <mergeCell ref="D11:D12"/>
    <mergeCell ref="E11:E12"/>
    <mergeCell ref="F11:F12"/>
    <mergeCell ref="G11:G12"/>
    <mergeCell ref="H11:H12"/>
    <mergeCell ref="V2:V3"/>
    <mergeCell ref="W2:W3"/>
    <mergeCell ref="X2:X3"/>
    <mergeCell ref="Y2:Y3"/>
    <mergeCell ref="Z2:Z3"/>
    <mergeCell ref="AA2:AA3"/>
    <mergeCell ref="U2:U3"/>
    <mergeCell ref="H2:H3"/>
    <mergeCell ref="I2:I3"/>
    <mergeCell ref="J2:J3"/>
    <mergeCell ref="K2:K3"/>
    <mergeCell ref="L2:L3"/>
    <mergeCell ref="M2:M3"/>
    <mergeCell ref="N2:N3"/>
    <mergeCell ref="O2:O3"/>
    <mergeCell ref="R2:R3"/>
    <mergeCell ref="S2:S3"/>
    <mergeCell ref="T2:T3"/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verticalDpi="0" r:id="rId1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D280AE4F-BB73-4E7E-8081-039FD5C71D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2E419E-EFFE-44F8-A5CD-2A6882A1E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403C00-E8B8-4461-82A8-93037C3F8C83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Balanza ok</vt:lpstr>
      <vt:lpstr>BCE</vt:lpstr>
      <vt:lpstr>Balance</vt:lpstr>
      <vt:lpstr>Resultados</vt:lpstr>
      <vt:lpstr>errores advicom</vt:lpstr>
      <vt:lpstr>Resultados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 de los Angeles Sanchez</dc:creator>
  <cp:lastModifiedBy>Carolina Cabrera</cp:lastModifiedBy>
  <dcterms:created xsi:type="dcterms:W3CDTF">2021-04-08T18:22:58Z</dcterms:created>
  <dcterms:modified xsi:type="dcterms:W3CDTF">2026-05-14T21:07:19Z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