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10" documentId="8_{224407A9-E675-48B4-A705-2FDA838427F5}" xr6:coauthVersionLast="47" xr6:coauthVersionMax="47" xr10:uidLastSave="{B04AE06F-8309-406E-BE14-FCB9FECBBF0A}"/>
  <bookViews>
    <workbookView xWindow="20525" yWindow="-107" windowWidth="20848" windowHeight="11111" xr2:uid="{AC09710A-678A-4A74-9F63-B77351BBEB60}"/>
  </bookViews>
  <sheets>
    <sheet name="DETALLE" sheetId="1" r:id="rId1"/>
    <sheet name="EERR COMPACTO" sheetId="15" r:id="rId2"/>
    <sheet name="EERR" sheetId="10" r:id="rId3"/>
  </sheets>
  <definedNames>
    <definedName name="_xlnm._FilterDatabase" localSheetId="1" hidden="1">'EERR COMPACTO'!$A$1:$E$29888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D59" i="1"/>
  <c r="D29" i="1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47" i="15"/>
  <c r="K48" i="15"/>
  <c r="K49" i="15"/>
  <c r="K44" i="15"/>
  <c r="K45" i="15"/>
  <c r="K46" i="15"/>
  <c r="K39" i="15"/>
  <c r="K40" i="15"/>
  <c r="K41" i="15"/>
  <c r="K42" i="15"/>
  <c r="K43" i="15"/>
  <c r="K34" i="15"/>
  <c r="K35" i="15"/>
  <c r="K36" i="15"/>
  <c r="K37" i="15"/>
  <c r="K38" i="15"/>
  <c r="K30" i="15"/>
  <c r="K31" i="15"/>
  <c r="K32" i="15"/>
  <c r="K33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14" i="15"/>
  <c r="K15" i="15"/>
  <c r="K16" i="15"/>
  <c r="K17" i="15"/>
  <c r="K5" i="15"/>
  <c r="K6" i="15"/>
  <c r="K7" i="15"/>
  <c r="K8" i="15"/>
  <c r="K9" i="15"/>
  <c r="K10" i="15"/>
  <c r="K11" i="15"/>
  <c r="K12" i="15"/>
  <c r="K13" i="15"/>
  <c r="K3" i="15"/>
  <c r="K4" i="15"/>
  <c r="K2" i="15"/>
  <c r="D32" i="1" l="1"/>
  <c r="E32" i="1" s="1"/>
  <c r="D37" i="1" l="1"/>
  <c r="E37" i="1" s="1"/>
  <c r="D55" i="1" l="1"/>
  <c r="D41" i="1"/>
  <c r="E41" i="1" s="1"/>
  <c r="D33" i="1"/>
  <c r="D53" i="1"/>
  <c r="E53" i="1" s="1"/>
  <c r="D7" i="1"/>
  <c r="D8" i="1"/>
  <c r="D9" i="1"/>
  <c r="D10" i="1"/>
  <c r="D28" i="1"/>
  <c r="D30" i="1"/>
  <c r="D31" i="1"/>
  <c r="D34" i="1"/>
  <c r="D35" i="1"/>
  <c r="D36" i="1"/>
  <c r="D38" i="1"/>
  <c r="D39" i="1"/>
  <c r="D40" i="1"/>
  <c r="E40" i="1" s="1"/>
  <c r="D42" i="1"/>
  <c r="E42" i="1" s="1"/>
  <c r="D43" i="1"/>
  <c r="D44" i="1"/>
  <c r="D45" i="1"/>
  <c r="D46" i="1"/>
  <c r="D47" i="1"/>
  <c r="D48" i="1"/>
  <c r="D49" i="1"/>
  <c r="D50" i="1"/>
  <c r="E50" i="1" s="1"/>
  <c r="D51" i="1"/>
  <c r="D52" i="1"/>
  <c r="D54" i="1"/>
  <c r="D56" i="1"/>
  <c r="D57" i="1"/>
  <c r="D58" i="1"/>
  <c r="E51" i="1" l="1"/>
  <c r="E44" i="1" l="1"/>
  <c r="E45" i="1"/>
  <c r="E46" i="1"/>
  <c r="E47" i="1"/>
  <c r="E48" i="1"/>
  <c r="E49" i="1"/>
  <c r="E52" i="1"/>
  <c r="E54" i="1"/>
  <c r="E55" i="1"/>
  <c r="E56" i="1"/>
  <c r="E57" i="1"/>
  <c r="E58" i="1"/>
  <c r="E59" i="1"/>
  <c r="E43" i="1"/>
  <c r="E34" i="1"/>
  <c r="E38" i="1"/>
  <c r="E29" i="1"/>
  <c r="E30" i="1"/>
  <c r="E31" i="1"/>
  <c r="E33" i="1"/>
  <c r="E35" i="1"/>
  <c r="E36" i="1"/>
  <c r="E39" i="1"/>
  <c r="E28" i="1"/>
  <c r="E7" i="1" l="1"/>
  <c r="E8" i="1"/>
  <c r="E9" i="1"/>
  <c r="E10" i="1"/>
</calcChain>
</file>

<file path=xl/sharedStrings.xml><?xml version="1.0" encoding="utf-8"?>
<sst xmlns="http://schemas.openxmlformats.org/spreadsheetml/2006/main" count="965" uniqueCount="369">
  <si>
    <t>CUENTA</t>
  </si>
  <si>
    <t>DESCRIPCION</t>
  </si>
  <si>
    <t>Totales</t>
  </si>
  <si>
    <t>3.1.01.101</t>
  </si>
  <si>
    <t>VENTAS CON BOLETA</t>
  </si>
  <si>
    <t>3.1.01.102</t>
  </si>
  <si>
    <t>VENTAS CON FACTURA</t>
  </si>
  <si>
    <t>3.1.01.103</t>
  </si>
  <si>
    <t>VENTAS CON BOLETA (RPA)</t>
  </si>
  <si>
    <t>DESCUENTOS GIFTCARD</t>
  </si>
  <si>
    <t>3.1.01.300</t>
  </si>
  <si>
    <t>OTROS INGRESOS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</si>
  <si>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</si>
  <si>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</si>
  <si>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</si>
  <si>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</si>
  <si>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</si>
  <si>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</si>
  <si>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</si>
  <si>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</si>
  <si>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</si>
  <si>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</si>
  <si>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</si>
  <si>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</si>
  <si>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</si>
  <si>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</si>
  <si>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</si>
  <si>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</si>
  <si>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</si>
  <si>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</si>
  <si>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</si>
  <si>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</si>
  <si>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</si>
  <si>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</si>
  <si>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</si>
  <si>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</si>
  <si>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</si>
  <si>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</si>
  <si>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</si>
  <si>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</si>
  <si>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</si>
  <si>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</si>
  <si>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</si>
  <si>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</si>
  <si>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</si>
  <si>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</si>
  <si>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</si>
  <si>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</si>
  <si>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</si>
  <si>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</si>
  <si>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</si>
  <si>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</si>
  <si>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</si>
  <si>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</si>
  <si>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</si>
  <si>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</si>
  <si>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</si>
  <si>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</si>
  <si>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</si>
  <si>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</si>
  <si>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</si>
  <si>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</si>
  <si>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</si>
  <si>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</si>
  <si>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</si>
  <si>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</si>
  <si>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</si>
  <si>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</si>
  <si>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</si>
  <si>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</si>
  <si>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</si>
  <si>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</si>
  <si>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</si>
  <si>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</si>
  <si>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</si>
  <si>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</si>
  <si>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</si>
  <si>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</si>
  <si>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</si>
  <si>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</si>
  <si>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</si>
  <si>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</si>
  <si>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</si>
  <si>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</si>
  <si>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</si>
  <si>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</si>
  <si>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</si>
  <si>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</si>
  <si>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</si>
  <si>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</si>
  <si>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</si>
  <si>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</si>
  <si>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</si>
  <si>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</si>
  <si>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</si>
  <si>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</si>
  <si>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</si>
  <si>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</si>
  <si>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</si>
  <si>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</si>
  <si>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</si>
  <si>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</si>
  <si>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</si>
  <si>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</si>
  <si>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</si>
  <si>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</si>
  <si>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</si>
  <si>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</si>
  <si>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</si>
  <si>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</si>
  <si>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</si>
  <si>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</si>
  <si>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</si>
  <si>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3.1.07.822</t>
  </si>
  <si>
    <t>GASTOS DE PUBLICIDAD Y MARKETING</t>
  </si>
  <si>
    <t>3.1.07.833</t>
  </si>
  <si>
    <t xml:space="preserve">SUMINISTROS VISUAL </t>
  </si>
  <si>
    <t>3.2.13.101</t>
  </si>
  <si>
    <t>CORRECCION MONETARIA ACTIVOS</t>
  </si>
  <si>
    <t>Proveedor</t>
  </si>
  <si>
    <t>monto</t>
  </si>
  <si>
    <t>cto cto</t>
  </si>
  <si>
    <t>Comercial Eccsa S.A.</t>
  </si>
  <si>
    <t>Falabella.com SpA</t>
  </si>
  <si>
    <t>MercadoLibre Chile Ltda.</t>
  </si>
  <si>
    <t>SOCIEDAD OPERADORA DE TARJETAS DE PAGO SANTANDER GETNET CHILE S.A.</t>
  </si>
  <si>
    <t>ENVIAME LATAM SPA</t>
  </si>
  <si>
    <t>Migratoria Servicios InformÃ¡ticos Limitada</t>
  </si>
  <si>
    <t>RSM CHILE ACCOUNTING TAX AND CONSULTING SERVICES LIMITADA</t>
  </si>
  <si>
    <t>ADM_C.C._CENCOSUD_SPA.</t>
  </si>
  <si>
    <t>Comercializadora_Costanera_Center_SPA</t>
  </si>
  <si>
    <t>PLAZA MAULE S.A.</t>
  </si>
  <si>
    <t>Banco de Chile</t>
  </si>
  <si>
    <t>Plaza Oeste SpA</t>
  </si>
  <si>
    <t>Plaza del TrÃ©bol SpA</t>
  </si>
  <si>
    <t>BODEGAS SAN FRANCISCO LIMITADA</t>
  </si>
  <si>
    <t>Telefonica Chile S.A</t>
  </si>
  <si>
    <t>TELEFONICA</t>
  </si>
  <si>
    <t>Entel PCS Telecomunicaciones S.A.</t>
  </si>
  <si>
    <t>DIVIDIR 14</t>
  </si>
  <si>
    <t>VERISURE CHILE SPA</t>
  </si>
  <si>
    <t>PROVEEDORES INTEGRALES PRISA S A</t>
  </si>
  <si>
    <t>Santander - Chile</t>
  </si>
  <si>
    <t>TRANSBANK</t>
  </si>
  <si>
    <t>Jach Technology SpA</t>
  </si>
  <si>
    <t>3.1.06.805</t>
  </si>
  <si>
    <t>GASTOS LEGALES Y NOTARIALES DIRECTOS</t>
  </si>
  <si>
    <t>TODAS LAS TIENDAS</t>
  </si>
  <si>
    <t>VS CARGO SPA</t>
  </si>
  <si>
    <t>HELLO CONTENT SPA</t>
  </si>
  <si>
    <t>ARTE IMPRESO LIMITADA</t>
  </si>
  <si>
    <t>Item</t>
  </si>
  <si>
    <t>Cuenta</t>
  </si>
  <si>
    <t>Descripción</t>
  </si>
  <si>
    <t>3.1.05.112</t>
  </si>
  <si>
    <t>CAPITALIZACION INDIVIDUAL AFP</t>
  </si>
  <si>
    <t>3.1.05.113</t>
  </si>
  <si>
    <t>EXPECTATIVA DE VIDA</t>
  </si>
  <si>
    <t>3.1.06.813</t>
  </si>
  <si>
    <t>COMISIONES GETNET</t>
  </si>
  <si>
    <t>3.2.08.105</t>
  </si>
  <si>
    <t>AMORTIZACIÓN PATENTE CUOT</t>
  </si>
  <si>
    <t>AMORTIZACIÓN SEGURO CUOTA</t>
  </si>
  <si>
    <t>AMORTIZACIÓN BOLSA IMPRES</t>
  </si>
  <si>
    <t xml:space="preserve">INTERESES POR PRESTAMO </t>
  </si>
  <si>
    <t>TRANSBANK S.A.</t>
  </si>
  <si>
    <t>FINTOC SPA</t>
  </si>
  <si>
    <t>DIVIDIR 10</t>
  </si>
  <si>
    <t>ANGELO LUIS MEDINA TORRES</t>
  </si>
  <si>
    <t>JUAN ANTONIO MELO SAAVEDRA</t>
  </si>
  <si>
    <t>JUAN JESUS ARRIAGADA GONZALEZ</t>
  </si>
  <si>
    <t>FERNANDO ANTONIO OLGUEA CARREN</t>
  </si>
  <si>
    <t>DESPACHALO  SPA</t>
  </si>
  <si>
    <t>DIVIDIR 11</t>
  </si>
  <si>
    <t>Manantial S.A</t>
  </si>
  <si>
    <t>DIVIDIR 12</t>
  </si>
  <si>
    <t>3.1.06.504</t>
  </si>
  <si>
    <t>IVA IRRECUPERABLE</t>
  </si>
  <si>
    <t>Transbank S.A</t>
  </si>
  <si>
    <t>OSCAR GERARDO HIDALGO GALVEZ</t>
  </si>
  <si>
    <t>CETRIK SPA</t>
  </si>
  <si>
    <t>ADVICOM COMPUTACION LIMITADA</t>
  </si>
  <si>
    <t>MULTIVENDE SPA</t>
  </si>
  <si>
    <t>OMAR JOSE OVALLES BETANCOURT</t>
  </si>
  <si>
    <t>TOT</t>
  </si>
  <si>
    <t>Total Ing. de Explotación</t>
  </si>
  <si>
    <t>Total Costo de Explotación</t>
  </si>
  <si>
    <t>PORCENTAJE MARGEN/VENTA</t>
  </si>
  <si>
    <t>MARGEN DE EXPLOTACION</t>
  </si>
  <si>
    <t>Total Gasto Administ. y Venta</t>
  </si>
  <si>
    <t>RESULTADO OPERACIONAL</t>
  </si>
  <si>
    <t>Total Ing. no Operacionales</t>
  </si>
  <si>
    <t>Total Egr. de Explotación</t>
  </si>
  <si>
    <t>RESULTADO NO OPERACIONAL</t>
  </si>
  <si>
    <t>Total Otros Gastos Fuera de Explot.</t>
  </si>
  <si>
    <t>RESULTADO ANTES DEL IMPUESTO A LA RENTA</t>
  </si>
  <si>
    <t>UTILIDAD O PERDIDA DEL EJERCICIO</t>
  </si>
  <si>
    <t>RENTOKIL INITIAL CHILE SPA</t>
  </si>
  <si>
    <t>Getty Images Chile SPA</t>
  </si>
  <si>
    <t>HADIS BELEN ARELLANO VASQUEZ</t>
  </si>
  <si>
    <t>3.1.06.307</t>
  </si>
  <si>
    <t>GASTOS FUERA DE PLANIFICACION</t>
  </si>
  <si>
    <t>PROVISION WOM</t>
  </si>
  <si>
    <t>PROVISION TRANSBANK S.A</t>
  </si>
  <si>
    <t>PROVISION VTEX CHILE SPA</t>
  </si>
  <si>
    <t>MARIA ISABEL SANTANA MOLINA</t>
  </si>
  <si>
    <t>CENCOSUD RETAIL S.A.</t>
  </si>
  <si>
    <t>FALABELLA RETAIL S.A.</t>
  </si>
  <si>
    <t>ZARA CHILE, S.A.</t>
  </si>
  <si>
    <t>PAMELA FRANCISCA BARRA QUINTANA</t>
  </si>
  <si>
    <t>EQUIPOS Y SOLUCIONES LOGISTICAS SPA</t>
  </si>
  <si>
    <t>EMPRESA DE SERVICIOS TRANSITORIOS TRUP SPA</t>
  </si>
  <si>
    <t>3.1.06.210</t>
  </si>
  <si>
    <t>HONORARIOS ADMINISTRACIÓN DE PERSONAL</t>
  </si>
  <si>
    <t>Cencosud_Shopping_S.A.</t>
  </si>
  <si>
    <t>Plaza Vespucio SpA</t>
  </si>
  <si>
    <t>COCO DISEÃ‘O SPA</t>
  </si>
  <si>
    <t>COMERCIAL RODRIGUEZ E HIJAS LIMITADA</t>
  </si>
  <si>
    <t>COMERCIALIZADORA Y VENTA AL POR MAYOR DE ARTICULOS DE OFICINA SPA</t>
  </si>
  <si>
    <t>ASOCIACION GREMIAL DEL RETAIL COMERCIAL A.G.</t>
  </si>
  <si>
    <t>LA VITRINERIA DISENO LIMITADA</t>
  </si>
  <si>
    <t>CONSERVADOR DE BIENES RAICES D</t>
  </si>
  <si>
    <t>MARIA SOLEDAD LASCAR MERINO</t>
  </si>
  <si>
    <t>FRANCISCA IGNACIA CIFUENTES RAMIREZ</t>
  </si>
  <si>
    <t>MARIA FERNANDA PEREZ PEREZ</t>
  </si>
  <si>
    <t>JORGE ORLANDO VENEGAS GOMEZ</t>
  </si>
  <si>
    <t>INGRESO DE EXPLOTACION</t>
  </si>
  <si>
    <t>3.1.01.104</t>
  </si>
  <si>
    <t>VENTAS CON FACTURA (RPA)</t>
  </si>
  <si>
    <t>3.1.01.105</t>
  </si>
  <si>
    <t>COSTO DE EXPLOTACION</t>
  </si>
  <si>
    <t>3.1.02.103</t>
  </si>
  <si>
    <t>CANAL DIGITAL</t>
  </si>
  <si>
    <t>GASTO ADMINISTRACION Y VENTA</t>
  </si>
  <si>
    <t>3.1.02.106</t>
  </si>
  <si>
    <t>PUBLICIDAD - CANAL DIGITAL</t>
  </si>
  <si>
    <t>3.1.05.105</t>
  </si>
  <si>
    <t>AGUINALDO</t>
  </si>
  <si>
    <t>3.1.05.115</t>
  </si>
  <si>
    <t>HORAS EXTRAS DOMINICAL</t>
  </si>
  <si>
    <t>3.1.05.116</t>
  </si>
  <si>
    <t>3.1.05.119</t>
  </si>
  <si>
    <t>VACACIONES</t>
  </si>
  <si>
    <t>3.1.05.124</t>
  </si>
  <si>
    <t>REMUNERACIONES EXTERNAS</t>
  </si>
  <si>
    <t>3.1.05.125</t>
  </si>
  <si>
    <t>RE GRATIFICACION</t>
  </si>
  <si>
    <t>3.1.05.126</t>
  </si>
  <si>
    <t>RE HORAS EXTRAS</t>
  </si>
  <si>
    <t>3.1.05.127</t>
  </si>
  <si>
    <t>RE COMISION POR VENTA</t>
  </si>
  <si>
    <t>3.1.05.128</t>
  </si>
  <si>
    <t>RE BONOS</t>
  </si>
  <si>
    <t>3.1.05.129</t>
  </si>
  <si>
    <t>RE SEMANA CORRIDA</t>
  </si>
  <si>
    <t>3.1.05.130</t>
  </si>
  <si>
    <t>RE HORAS EXTRAS DOMINICAL</t>
  </si>
  <si>
    <t>3.1.05.131</t>
  </si>
  <si>
    <t>RE DOMINGOS Y FESTIVOS</t>
  </si>
  <si>
    <t>3.1.05.132</t>
  </si>
  <si>
    <t>RE SEGURO DE CESANTIA</t>
  </si>
  <si>
    <t>3.1.05.133</t>
  </si>
  <si>
    <t>RE MUTUAL DE SEGURIDAD</t>
  </si>
  <si>
    <t>3.1.05.134</t>
  </si>
  <si>
    <t>RE SEGURO INVALIDEZ (AFP)</t>
  </si>
  <si>
    <t>3.1.05.406</t>
  </si>
  <si>
    <t>NO GASTOS DE TELEFONIA MOVIL</t>
  </si>
  <si>
    <t>3.1.05.818</t>
  </si>
  <si>
    <t>NO LICENCIAS SOTWARE RENTAS</t>
  </si>
  <si>
    <t>3.1.05.834</t>
  </si>
  <si>
    <t>NO GASTO VENTA CANAL MAYORISTA</t>
  </si>
  <si>
    <t>3.1.05.835</t>
  </si>
  <si>
    <t>NO GASTOS CEDIS</t>
  </si>
  <si>
    <t>3.1.06.112</t>
  </si>
  <si>
    <t>GASTOS DE CAPACITACION</t>
  </si>
  <si>
    <t>3.1.06.118</t>
  </si>
  <si>
    <t>ATENCIONES AL PERSONAL</t>
  </si>
  <si>
    <t>3.1.06.123</t>
  </si>
  <si>
    <t>PROMOTORES</t>
  </si>
  <si>
    <t>3.1.06.130</t>
  </si>
  <si>
    <t>RE ASIGNACION COLACION</t>
  </si>
  <si>
    <t>3.1.06.131</t>
  </si>
  <si>
    <t>RE ASIGNACION MOVILIZACION</t>
  </si>
  <si>
    <t>3.1.06.202</t>
  </si>
  <si>
    <t>HONORARIOS PROFESIONALES LEGALES</t>
  </si>
  <si>
    <t>3.1.06.303</t>
  </si>
  <si>
    <t>OTROS ARRIENDOS</t>
  </si>
  <si>
    <t>3.1.06.304</t>
  </si>
  <si>
    <t>GASTOS COMUNES</t>
  </si>
  <si>
    <t>3.1.06.308</t>
  </si>
  <si>
    <t>FACTURA DE TERCEROS</t>
  </si>
  <si>
    <t>3.1.06.403</t>
  </si>
  <si>
    <t>GASTOS FACTURACION ELECTRONICA</t>
  </si>
  <si>
    <t>3.1.06.801</t>
  </si>
  <si>
    <t>SUMINISTROS Y MATERIALES DE TIENDAS</t>
  </si>
  <si>
    <t>3.1.06.807</t>
  </si>
  <si>
    <t>GASTOS GENERALES</t>
  </si>
  <si>
    <t>3.1.06.809</t>
  </si>
  <si>
    <t>VIATICOS VISUAL MERCHANDISE</t>
  </si>
  <si>
    <t>3.1.06.815</t>
  </si>
  <si>
    <t>GASTOS DE PASAJES,ESTADIA Y TRASLADO NACIONAL</t>
  </si>
  <si>
    <t>3.1.06.816</t>
  </si>
  <si>
    <t>GASTOS DE PASAJES Y TRASLADO I</t>
  </si>
  <si>
    <t>3.1.06.819</t>
  </si>
  <si>
    <t>GASTOS DE HOSPEDAJE NACIONAL</t>
  </si>
  <si>
    <t>3.1.06.820</t>
  </si>
  <si>
    <t>FOMENTO AL ESPARCIMIENTO</t>
  </si>
  <si>
    <t>3.1.06.830</t>
  </si>
  <si>
    <t>AJUSTE SENCILLO LEY DE REDONDEO</t>
  </si>
  <si>
    <t>3.1.06.834</t>
  </si>
  <si>
    <t>GASTO VENTA CANAL MAYORISTA</t>
  </si>
  <si>
    <t>3.1.06.835</t>
  </si>
  <si>
    <t>GASTOS CEDIS</t>
  </si>
  <si>
    <t>3.1.06.836</t>
  </si>
  <si>
    <t>MANTENIMIENTO EQUIPO CEDIS</t>
  </si>
  <si>
    <t>INGRESOS NO OPERACIONALES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</si>
  <si>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</si>
  <si>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</si>
  <si>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</si>
  <si>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</si>
  <si>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</si>
  <si>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</si>
  <si>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</si>
  <si>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</si>
  <si>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EGRESOS NO OPERACIONALES</t>
  </si>
  <si>
    <t>3.1.02.113</t>
  </si>
  <si>
    <t>COSTOS OPERATIVOS - INTERNACIO</t>
  </si>
  <si>
    <t>OTROS GASTOS FUERA DE EXPLOT.</t>
  </si>
  <si>
    <t>3.1.09.001</t>
  </si>
  <si>
    <t>SINIESTROS</t>
  </si>
  <si>
    <t>IMPUESTO A LA RENTA</t>
  </si>
  <si>
    <t>PROVISION CENCOSUD_RETAIL</t>
  </si>
  <si>
    <t>PROVISION DESPACHALO  SPA</t>
  </si>
  <si>
    <t>BOLETA PANTALON</t>
  </si>
  <si>
    <t>RENDICION UNIFROMES FLO20</t>
  </si>
  <si>
    <t>RENDICION UNI COSTA26</t>
  </si>
  <si>
    <t>UNIFORME TALCA 2026</t>
  </si>
  <si>
    <t>UNIFORME ABR26 VISUAL</t>
  </si>
  <si>
    <t>PROVISION FALABELLA RETAI</t>
  </si>
  <si>
    <t>PROVISION HAMPM HENNES AM</t>
  </si>
  <si>
    <t>PROVISION ME CONECTO SPA</t>
  </si>
  <si>
    <t>GGCC ESTADO</t>
  </si>
  <si>
    <t>AMORTIZACIÓN VMN COSTANER</t>
  </si>
  <si>
    <t>AMORTIZACIÓN VMN FLORIDA</t>
  </si>
  <si>
    <t>FONDO F VESPUCIO ABR26</t>
  </si>
  <si>
    <t>FONDO F ESTADO ABR26</t>
  </si>
  <si>
    <t>FONDO F TREBOL ABR26</t>
  </si>
  <si>
    <t>FONDO F TALCA ABR26</t>
  </si>
  <si>
    <t>FONDO F OESTE ABR2026</t>
  </si>
  <si>
    <t>FONDO F EGAÑA ABR26</t>
  </si>
  <si>
    <t>FONDO F NORTE ABR26</t>
  </si>
  <si>
    <t>FONDO F FLORIDA ABR26</t>
  </si>
  <si>
    <t>FONDO F COSTANERA ABR26</t>
  </si>
  <si>
    <t>FXR ANDREA ABRIL26</t>
  </si>
  <si>
    <t>PROVISION LATAMFIT CHILE</t>
  </si>
  <si>
    <t>PROVISION MANANTIAL S.A</t>
  </si>
  <si>
    <t>RECLASIF. LATAM FIT AL CI</t>
  </si>
  <si>
    <t>PROVISION IMACOF SPA</t>
  </si>
  <si>
    <t>TABLET OESTE</t>
  </si>
  <si>
    <t xml:space="preserve">TDC ABRIL </t>
  </si>
  <si>
    <t>FXR RAUL ABRIL 2026</t>
  </si>
  <si>
    <t>PROVISION GASTOS ABR EN T</t>
  </si>
  <si>
    <t>TDC ABRIL</t>
  </si>
  <si>
    <t>FXR VISAUL (1) ABR26</t>
  </si>
  <si>
    <t>FXR VISUAL (2) ABR26</t>
  </si>
  <si>
    <t>FXR VISUAL (3) ABR 26</t>
  </si>
  <si>
    <t>FXR VISUAL (4) ABRI26</t>
  </si>
  <si>
    <t>FXR VISUAL (6) ABR26</t>
  </si>
  <si>
    <t>LA VITRINA RECLASIF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</si>
</sst>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-* #,##0\ _€_-;\-* #,##0\ _€_-;_-* &quot;-&quot;??\ _€_-;_-@_-"/>
    <numFmt numFmtId="168" formatCode="dd/mm/yyyy;@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Book Antiqua"/>
      <family val="1"/>
    </font>
    <font>
      <b/>
      <sz val="10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10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0" fillId="0" borderId="0"/>
    <xf numFmtId="0" fontId="19" fillId="0" borderId="0" applyNumberFormat="0" applyFill="0" applyBorder="0">
      <alignment vertical="center"/>
    </xf>
    <xf numFmtId="0" fontId="21" fillId="0" borderId="0"/>
    <xf numFmtId="0" fontId="1" fillId="0" borderId="0"/>
    <xf numFmtId="0" fontId="19" fillId="0" borderId="0" applyNumberFormat="0" applyFill="0" applyBorder="0">
      <alignment vertical="center"/>
    </xf>
    <xf numFmtId="0" fontId="25" fillId="0" borderId="0"/>
    <xf numFmtId="165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4" fillId="4" borderId="0" applyNumberFormat="0" applyBorder="0" applyAlignment="0" applyProtection="0"/>
    <xf numFmtId="165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4" borderId="0" applyNumberFormat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9" fontId="22" fillId="34" borderId="10" xfId="1" applyFont="1" applyFill="1" applyBorder="1"/>
    <xf numFmtId="167" fontId="23" fillId="0" borderId="10" xfId="47" applyNumberFormat="1" applyFont="1" applyFill="1" applyBorder="1" applyAlignment="1">
      <alignment horizontal="center" wrapText="1"/>
    </xf>
    <xf numFmtId="0" fontId="22" fillId="34" borderId="10" xfId="0" applyFont="1" applyFill="1" applyBorder="1"/>
    <xf numFmtId="0" fontId="26" fillId="35" borderId="16" xfId="0" applyFont="1" applyFill="1" applyBorder="1"/>
    <xf numFmtId="0" fontId="26" fillId="35" borderId="14" xfId="0" applyFont="1" applyFill="1" applyBorder="1"/>
    <xf numFmtId="41" fontId="26" fillId="35" borderId="13" xfId="61" applyFont="1" applyFill="1" applyBorder="1"/>
    <xf numFmtId="0" fontId="15" fillId="0" borderId="17" xfId="0" applyFont="1" applyBorder="1"/>
    <xf numFmtId="0" fontId="15" fillId="0" borderId="18" xfId="0" applyFont="1" applyBorder="1"/>
    <xf numFmtId="0" fontId="15" fillId="0" borderId="19" xfId="0" applyFont="1" applyBorder="1"/>
    <xf numFmtId="0" fontId="0" fillId="36" borderId="20" xfId="0" applyFill="1" applyBorder="1"/>
    <xf numFmtId="0" fontId="0" fillId="36" borderId="0" xfId="0" applyFill="1"/>
    <xf numFmtId="0" fontId="0" fillId="36" borderId="21" xfId="0" applyFill="1" applyBorder="1"/>
    <xf numFmtId="0" fontId="0" fillId="0" borderId="21" xfId="0" applyBorder="1"/>
    <xf numFmtId="0" fontId="0" fillId="36" borderId="22" xfId="0" applyFill="1" applyBorder="1"/>
    <xf numFmtId="0" fontId="0" fillId="36" borderId="23" xfId="0" applyFill="1" applyBorder="1"/>
    <xf numFmtId="0" fontId="0" fillId="36" borderId="24" xfId="0" applyFill="1" applyBorder="1"/>
    <xf numFmtId="168" fontId="23" fillId="0" borderId="0" xfId="47" applyNumberFormat="1" applyFont="1" applyFill="1" applyBorder="1" applyAlignment="1">
      <alignment horizontal="center" vertical="center" wrapText="1"/>
    </xf>
    <xf numFmtId="167" fontId="23" fillId="0" borderId="17" xfId="47" applyNumberFormat="1" applyFont="1" applyFill="1" applyBorder="1" applyAlignment="1">
      <alignment horizontal="center" wrapText="1"/>
    </xf>
    <xf numFmtId="41" fontId="22" fillId="34" borderId="20" xfId="61" applyFont="1" applyFill="1" applyBorder="1"/>
    <xf numFmtId="41" fontId="22" fillId="34" borderId="0" xfId="61" applyFont="1" applyFill="1" applyBorder="1"/>
    <xf numFmtId="41" fontId="26" fillId="35" borderId="0" xfId="61" applyFont="1" applyFill="1" applyBorder="1"/>
    <xf numFmtId="0" fontId="0" fillId="0" borderId="20" xfId="0" applyBorder="1"/>
    <xf numFmtId="41" fontId="22" fillId="0" borderId="10" xfId="61" applyFont="1" applyFill="1" applyBorder="1"/>
    <xf numFmtId="0" fontId="0" fillId="0" borderId="0" xfId="0" applyAlignment="1">
      <alignment horizontal="right"/>
    </xf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27" fillId="0" borderId="0" xfId="0" applyFont="1"/>
    <xf numFmtId="41" fontId="22" fillId="37" borderId="10" xfId="61" applyFont="1" applyFill="1" applyBorder="1"/>
    <xf numFmtId="41" fontId="22" fillId="37" borderId="20" xfId="61" applyFont="1" applyFill="1" applyBorder="1"/>
    <xf numFmtId="41" fontId="22" fillId="37" borderId="0" xfId="61" applyFont="1" applyFill="1" applyBorder="1"/>
    <xf numFmtId="0" fontId="22" fillId="0" borderId="10" xfId="0" applyFont="1" applyBorder="1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10" fontId="0" fillId="0" borderId="0" xfId="0" applyNumberFormat="1" applyAlignment="1">
      <alignment horizontal="right"/>
    </xf>
    <xf numFmtId="167" fontId="23" fillId="0" borderId="11" xfId="47" applyNumberFormat="1" applyFont="1" applyFill="1" applyBorder="1" applyAlignment="1">
      <alignment horizontal="center" vertical="center" wrapText="1"/>
    </xf>
    <xf numFmtId="167" fontId="23" fillId="0" borderId="15" xfId="47" applyNumberFormat="1" applyFont="1" applyFill="1" applyBorder="1" applyAlignment="1">
      <alignment horizontal="center" vertical="center" wrapText="1"/>
    </xf>
    <xf numFmtId="167" fontId="23" fillId="0" borderId="12" xfId="47" applyNumberFormat="1" applyFont="1" applyFill="1" applyBorder="1" applyAlignment="1">
      <alignment horizontal="center" vertical="center" wrapText="1"/>
    </xf>
    <xf numFmtId="168" fontId="23" fillId="0" borderId="11" xfId="47" applyNumberFormat="1" applyFont="1" applyFill="1" applyBorder="1" applyAlignment="1">
      <alignment horizontal="center" vertical="center" wrapText="1"/>
    </xf>
    <xf numFmtId="168" fontId="23" fillId="0" borderId="12" xfId="47" applyNumberFormat="1" applyFont="1" applyFill="1" applyBorder="1" applyAlignment="1">
      <alignment horizontal="center" vertical="center" wrapText="1"/>
    </xf>
    <xf numFmtId="0" fontId="0" fillId="34" borderId="20" xfId="0" applyFill="1" applyBorder="1"/>
    <xf numFmtId="0" fontId="0" fillId="34" borderId="0" xfId="0" applyFill="1"/>
  </cellXfs>
  <cellStyles count="4105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akcent 1" xfId="36" xr:uid="{DF77C510-306B-47A0-BC52-4900E511D3C7}"/>
    <cellStyle name="60% - Énfasis1 10" xfId="771" xr:uid="{BF7EDF25-D569-4DE4-BFB5-9D3B79AAEB0F}"/>
    <cellStyle name="60% - Énfasis1 2" xfId="65" xr:uid="{87282C55-8D6C-4DCE-9AEE-58C3D6176EC5}"/>
    <cellStyle name="60% - Énfasis1 3" xfId="83" xr:uid="{A2B69B36-9EDB-46B9-83B1-E00494DDE240}"/>
    <cellStyle name="60% - Énfasis1 4" xfId="112" xr:uid="{A0DF033D-7459-4C93-B9FD-AB430F84BB73}"/>
    <cellStyle name="60% - Énfasis1 5" xfId="162" xr:uid="{2DB35FFC-2CB0-4202-B1CB-9DED65ECF305}"/>
    <cellStyle name="60% - Énfasis1 6" xfId="251" xr:uid="{DA3D90A0-05F3-40B3-8FDB-C27AA484662A}"/>
    <cellStyle name="60% - Énfasis1 7" xfId="266" xr:uid="{A2D2D188-74AF-4249-BF0B-49D80F245D6B}"/>
    <cellStyle name="60% - Énfasis1 8" xfId="37" xr:uid="{A6420D39-C5BD-46CB-A50C-034C97FEA043}"/>
    <cellStyle name="60% - Énfasis1 9" xfId="1442" xr:uid="{85F795F1-AC58-40AF-881E-5C91EB92CE82}"/>
    <cellStyle name="60% - Énfasis2 10" xfId="772" xr:uid="{1E19FE4A-ED9E-4E3D-ACBD-9A8802B77F38}"/>
    <cellStyle name="60% - Énfasis2 2" xfId="66" xr:uid="{8C01822D-A365-476A-AF9B-35F380A1A0C2}"/>
    <cellStyle name="60% - Énfasis2 3" xfId="84" xr:uid="{DBFB90C2-4A83-490A-A8F7-20FDC51BEAC8}"/>
    <cellStyle name="60% - Énfasis2 4" xfId="113" xr:uid="{E53E71CD-EB5B-4288-9B9A-FD0AD5D18B73}"/>
    <cellStyle name="60% - Énfasis2 5" xfId="163" xr:uid="{FA9080C3-6DBE-47AD-A603-3E028AE96891}"/>
    <cellStyle name="60% - Énfasis2 6" xfId="252" xr:uid="{22C2DADB-8367-4FD5-AC9F-31C405BE1F14}"/>
    <cellStyle name="60% - Énfasis2 7" xfId="267" xr:uid="{C95C1E28-BCDB-4967-9802-4E7F45E39986}"/>
    <cellStyle name="60% - Énfasis2 8" xfId="38" xr:uid="{FFA5D40E-7156-4846-8457-08EA7D3ECF02}"/>
    <cellStyle name="60% - Énfasis2 9" xfId="1443" xr:uid="{BBEA0958-9EFC-4240-8B10-797658500BD7}"/>
    <cellStyle name="60% - Énfasis3 10" xfId="773" xr:uid="{7FF19B42-C7A8-4D58-8AC7-DC4E0A486058}"/>
    <cellStyle name="60% - Énfasis3 2" xfId="67" xr:uid="{0F3F02CA-9DD8-40F5-A2A6-4D2844F4359D}"/>
    <cellStyle name="60% - Énfasis3 3" xfId="85" xr:uid="{C27BBD88-6A17-4BCB-9720-979C53E4A6D3}"/>
    <cellStyle name="60% - Énfasis3 4" xfId="114" xr:uid="{AA1F007A-BCA6-4BC1-B708-575D25DF54C8}"/>
    <cellStyle name="60% - Énfasis3 5" xfId="164" xr:uid="{38594455-B347-4163-95B1-5E33F8792E72}"/>
    <cellStyle name="60% - Énfasis3 6" xfId="253" xr:uid="{649886CD-F0B4-402B-B33B-ABECF750932E}"/>
    <cellStyle name="60% - Énfasis3 7" xfId="268" xr:uid="{23B4DB44-AC5B-435F-979A-B9A0AF39B212}"/>
    <cellStyle name="60% - Énfasis3 8" xfId="39" xr:uid="{F4A189DA-137F-4233-804B-BAD5D59598BF}"/>
    <cellStyle name="60% - Énfasis3 9" xfId="1444" xr:uid="{CFCDA4A0-0187-4F05-8172-9DE7A5E9F7FB}"/>
    <cellStyle name="60% - Énfasis4 10" xfId="774" xr:uid="{BEF92D46-C632-407F-A449-6F4CAFA0CF50}"/>
    <cellStyle name="60% - Énfasis4 2" xfId="68" xr:uid="{B085C428-8CAB-403A-8D96-B77E44A2F65F}"/>
    <cellStyle name="60% - Énfasis4 3" xfId="86" xr:uid="{13E6FB0C-23F2-431C-9C6A-A91A99D39E7B}"/>
    <cellStyle name="60% - Énfasis4 4" xfId="115" xr:uid="{FABD8C27-186D-463D-866A-D11DBDA4838E}"/>
    <cellStyle name="60% - Énfasis4 5" xfId="165" xr:uid="{2DF63431-592E-4974-8FC8-42D02FAB79EB}"/>
    <cellStyle name="60% - Énfasis4 6" xfId="254" xr:uid="{204D5282-E39F-435A-A337-76518026642C}"/>
    <cellStyle name="60% - Énfasis4 7" xfId="269" xr:uid="{AF608303-755B-4244-9DF3-A9DBAC831173}"/>
    <cellStyle name="60% - Énfasis4 8" xfId="40" xr:uid="{2EDAD99C-EF80-4372-9184-3C03A3B9C3D7}"/>
    <cellStyle name="60% - Énfasis4 9" xfId="1445" xr:uid="{6DFC861B-D376-4F40-9275-13E468E77759}"/>
    <cellStyle name="60% - Énfasis5 10" xfId="775" xr:uid="{9A52C381-7236-46A5-B728-DF287F4E2445}"/>
    <cellStyle name="60% - Énfasis5 2" xfId="69" xr:uid="{9AA5F3DE-BD02-4601-802A-3DEC369F6DF1}"/>
    <cellStyle name="60% - Énfasis5 3" xfId="87" xr:uid="{A9573716-7219-4A3B-BFB7-D3B33EC51019}"/>
    <cellStyle name="60% - Énfasis5 4" xfId="116" xr:uid="{8D35F1AF-84C0-4CDE-9273-B222587A10B6}"/>
    <cellStyle name="60% - Énfasis5 5" xfId="166" xr:uid="{7B382E1D-0C9E-4776-9D7B-C52777164148}"/>
    <cellStyle name="60% - Énfasis5 6" xfId="255" xr:uid="{410151D6-6377-459D-AB67-50A88E784679}"/>
    <cellStyle name="60% - Énfasis5 7" xfId="270" xr:uid="{FF178252-5B32-40E4-9B6E-81B54FA3F35A}"/>
    <cellStyle name="60% - Énfasis5 8" xfId="41" xr:uid="{BAB6BFB0-C7FD-413C-B534-D977F3671E44}"/>
    <cellStyle name="60% - Énfasis5 9" xfId="1446" xr:uid="{258558F6-9502-44E7-916A-89889107276F}"/>
    <cellStyle name="60% - Énfasis6 10" xfId="776" xr:uid="{FBAF3E5F-52AF-45AF-9A33-0366896D5033}"/>
    <cellStyle name="60% - Énfasis6 2" xfId="70" xr:uid="{37CD63D8-9506-4998-89C8-9F93BA3799AE}"/>
    <cellStyle name="60% - Énfasis6 3" xfId="88" xr:uid="{7A883A92-1ED5-45D2-8018-FD09AB957044}"/>
    <cellStyle name="60% - Énfasis6 4" xfId="117" xr:uid="{09EA98A9-BAC1-4F47-93BD-AC2C0588DD70}"/>
    <cellStyle name="60% - Énfasis6 5" xfId="167" xr:uid="{2DD02EDF-513A-4015-8735-FD5BCE37839F}"/>
    <cellStyle name="60% - Énfasis6 6" xfId="256" xr:uid="{7E2AFA67-C75D-4162-BFF2-91A986BAE71C}"/>
    <cellStyle name="60% - Énfasis6 7" xfId="271" xr:uid="{7458AB8A-76C5-4423-8198-1AC5BA735ECB}"/>
    <cellStyle name="60% - Énfasis6 8" xfId="42" xr:uid="{B566D2E1-EB9C-4CCB-8D33-AA744D7BCE5E}"/>
    <cellStyle name="60% - Énfasis6 9" xfId="1447" xr:uid="{1045F0F1-8100-4D5B-8ECE-0288E8678BA6}"/>
    <cellStyle name="Bueno" xfId="7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9" builtinId="20" customBuiltin="1"/>
    <cellStyle name="Incorrecto" xfId="8" builtinId="27" customBuiltin="1"/>
    <cellStyle name="Millares [0] 10" xfId="175" xr:uid="{D3283CA1-71F9-4290-8265-EF64EB9CFB4D}"/>
    <cellStyle name="Millares [0] 10 2" xfId="361" xr:uid="{9E7D6788-E0F1-4842-A84B-7C9BB5ABD9F0}"/>
    <cellStyle name="Millares [0] 10 2 2" xfId="693" xr:uid="{390B317C-0C19-4C36-A131-2F6927821C79}"/>
    <cellStyle name="Millares [0] 10 2 2 2" xfId="2035" xr:uid="{AB81D5BE-9148-4FA3-9F04-B675F58529A7}"/>
    <cellStyle name="Millares [0] 10 2 2 2 2" xfId="4027" xr:uid="{A9CADEB1-3E85-4EDF-9670-B93B64AADC41}"/>
    <cellStyle name="Millares [0] 10 2 2 3" xfId="1364" xr:uid="{43DD5740-4F61-443B-AE11-56F784A884AE}"/>
    <cellStyle name="Millares [0] 10 2 2 3 2" xfId="3363" xr:uid="{C6150073-8CD2-4D8E-865F-123CB06E0FBF}"/>
    <cellStyle name="Millares [0] 10 2 2 4" xfId="2699" xr:uid="{85307C04-EDF6-4EDE-B56C-5A8F29ECA895}"/>
    <cellStyle name="Millares [0] 10 2 3" xfId="1703" xr:uid="{C52973FA-AEFD-4C69-83AB-A7EF8C3CAB3C}"/>
    <cellStyle name="Millares [0] 10 2 3 2" xfId="3695" xr:uid="{87581081-0ACF-4511-BA91-0466AE78D3D8}"/>
    <cellStyle name="Millares [0] 10 2 4" xfId="1032" xr:uid="{BF68865F-A901-4DA3-88C8-9666D5A5602F}"/>
    <cellStyle name="Millares [0] 10 2 4 2" xfId="3031" xr:uid="{9646AF6E-43BB-4BB9-9AA9-BE20299C44EB}"/>
    <cellStyle name="Millares [0] 10 2 5" xfId="2367" xr:uid="{82CA4634-31F7-4684-979F-CE7CE9F4026F}"/>
    <cellStyle name="Millares [0] 10 3" xfId="527" xr:uid="{6140C374-0E19-4249-B690-278D5C569B5E}"/>
    <cellStyle name="Millares [0] 10 3 2" xfId="1869" xr:uid="{75951A49-B1B7-4614-A56F-592EF8C63664}"/>
    <cellStyle name="Millares [0] 10 3 2 2" xfId="3861" xr:uid="{E04837BD-137C-444E-A288-B024D8EEFA90}"/>
    <cellStyle name="Millares [0] 10 3 3" xfId="1198" xr:uid="{2C8A0CE8-B6F4-45EA-A2F8-80B624265B70}"/>
    <cellStyle name="Millares [0] 10 3 3 2" xfId="3197" xr:uid="{863B610B-47C4-4E3E-B77B-023CF358EC3A}"/>
    <cellStyle name="Millares [0] 10 3 4" xfId="2533" xr:uid="{63422B16-BC7B-46CC-A5C1-7C6DF1594BF4}"/>
    <cellStyle name="Millares [0] 10 4" xfId="1537" xr:uid="{47B88BA0-743E-4B26-B2EA-6E675511C5FA}"/>
    <cellStyle name="Millares [0] 10 4 2" xfId="3529" xr:uid="{D8DA92B9-877C-4B12-B9F5-49FA1AF35CA5}"/>
    <cellStyle name="Millares [0] 10 5" xfId="866" xr:uid="{B40E12A5-76E7-452A-90E4-73642F005A56}"/>
    <cellStyle name="Millares [0] 10 5 2" xfId="2865" xr:uid="{15AA391E-2AFE-4A3B-9F02-DE7198D9868D}"/>
    <cellStyle name="Millares [0] 10 6" xfId="2201" xr:uid="{534079A3-14E2-46CE-8AE1-BBF3227BC417}"/>
    <cellStyle name="Millares [0] 11" xfId="265" xr:uid="{9DE05974-37E6-401B-B2FE-BBAA59ED2486}"/>
    <cellStyle name="Millares [0] 11 2" xfId="438" xr:uid="{B1E0F87D-D022-4B6A-B476-B73C86ABC44A}"/>
    <cellStyle name="Millares [0] 11 2 2" xfId="770" xr:uid="{73980919-E60E-4D49-8F25-5F18C52C3BFC}"/>
    <cellStyle name="Millares [0] 11 2 2 2" xfId="2112" xr:uid="{2657F568-8DCB-4374-9EEA-44051D3538EF}"/>
    <cellStyle name="Millares [0] 11 2 2 2 2" xfId="4104" xr:uid="{2408D1CA-E9B3-4EF0-8AA6-2F30EB1C624E}"/>
    <cellStyle name="Millares [0] 11 2 2 3" xfId="1441" xr:uid="{BFFFD035-E4A7-4FC8-B23A-F9A739CA01DE}"/>
    <cellStyle name="Millares [0] 11 2 2 3 2" xfId="3440" xr:uid="{575CC00A-170A-45B6-9C65-2AB2865ABD30}"/>
    <cellStyle name="Millares [0] 11 2 2 4" xfId="2776" xr:uid="{A025CD51-58B3-4A0F-A6ED-ADAA3324B5E2}"/>
    <cellStyle name="Millares [0] 11 2 3" xfId="1780" xr:uid="{6AD70F2E-2CDB-4EBF-A361-81841DF8335F}"/>
    <cellStyle name="Millares [0] 11 2 3 2" xfId="3772" xr:uid="{D3808376-A935-46DC-AB0C-D9C84E363920}"/>
    <cellStyle name="Millares [0] 11 2 4" xfId="1109" xr:uid="{D5EB2DB9-35B6-421D-A0C8-B56B4E35AF22}"/>
    <cellStyle name="Millares [0] 11 2 4 2" xfId="3108" xr:uid="{DB4CCF72-31F4-49F8-B339-5D6F300795B8}"/>
    <cellStyle name="Millares [0] 11 2 5" xfId="2444" xr:uid="{D49E855F-9880-4134-9B16-BD06EDAF7868}"/>
    <cellStyle name="Millares [0] 11 3" xfId="604" xr:uid="{0983DC58-8A51-4E7E-8189-8C1A95B54798}"/>
    <cellStyle name="Millares [0] 11 3 2" xfId="1946" xr:uid="{FD588FF4-27EE-48CE-A456-5B71B8CECB02}"/>
    <cellStyle name="Millares [0] 11 3 2 2" xfId="3938" xr:uid="{24CBFB04-2E53-4A99-87B3-1BFBF1F281AB}"/>
    <cellStyle name="Millares [0] 11 3 3" xfId="1275" xr:uid="{7E1A5836-DBFC-439D-90C0-32885CC1B4A0}"/>
    <cellStyle name="Millares [0] 11 3 3 2" xfId="3274" xr:uid="{F68C39E7-AEA6-4442-9C70-572A7C8CEDC4}"/>
    <cellStyle name="Millares [0] 11 3 4" xfId="2610" xr:uid="{021DE820-77EC-44A5-95B3-3B49672A7F29}"/>
    <cellStyle name="Millares [0] 11 4" xfId="1614" xr:uid="{2BDC44B1-8A37-47EB-913F-E84FC6F60723}"/>
    <cellStyle name="Millares [0] 11 4 2" xfId="3606" xr:uid="{40CA185D-F9AE-4DBE-89BE-6A1E0D15599D}"/>
    <cellStyle name="Millares [0] 11 5" xfId="943" xr:uid="{EFB9CC97-A1E5-45D8-AD23-2944F5DF671A}"/>
    <cellStyle name="Millares [0] 11 5 2" xfId="2942" xr:uid="{C85E03D0-AA30-4588-95DF-F46EBB4A33DC}"/>
    <cellStyle name="Millares [0] 11 6" xfId="2278" xr:uid="{D8A1DB2C-B0AA-4A78-BCD7-1D934B527577}"/>
    <cellStyle name="Millares [0] 12" xfId="279" xr:uid="{91374221-099F-46F4-B703-D70BD1BFBA7F}"/>
    <cellStyle name="Millares [0] 12 2" xfId="611" xr:uid="{46D62F2E-450E-4E18-AFF9-ACFAAE442D99}"/>
    <cellStyle name="Millares [0] 12 2 2" xfId="1953" xr:uid="{4F1EB978-5D94-46E5-9E54-D224FCFD2691}"/>
    <cellStyle name="Millares [0] 12 2 2 2" xfId="3945" xr:uid="{D0518C69-5762-4F6F-A085-E97AC1518E04}"/>
    <cellStyle name="Millares [0] 12 2 3" xfId="1282" xr:uid="{19CA2BB9-ABAC-4EE4-8775-C74717AF4084}"/>
    <cellStyle name="Millares [0] 12 2 3 2" xfId="3281" xr:uid="{8FDB9B4D-9D5B-482F-98CA-F0823C7B390E}"/>
    <cellStyle name="Millares [0] 12 2 4" xfId="2617" xr:uid="{B3E5B58F-2A59-4E27-BC49-94D8D26EFCA8}"/>
    <cellStyle name="Millares [0] 12 3" xfId="1621" xr:uid="{10766345-5427-4E04-B34A-1EE2E82F249E}"/>
    <cellStyle name="Millares [0] 12 3 2" xfId="3613" xr:uid="{F8734F74-129F-4F7E-8B78-8908C6474B93}"/>
    <cellStyle name="Millares [0] 12 4" xfId="950" xr:uid="{14BE3A1C-7896-4124-9892-D3836B1F16C3}"/>
    <cellStyle name="Millares [0] 12 4 2" xfId="2949" xr:uid="{5ACF62A4-7078-4FF1-9CD7-1ABE23DF323A}"/>
    <cellStyle name="Millares [0] 12 5" xfId="2285" xr:uid="{E330EFE4-13B7-43D7-A104-9AE5C92E8C81}"/>
    <cellStyle name="Millares [0] 13" xfId="61" xr:uid="{34ED463C-6D6E-4EED-98AF-A723E51B668C}"/>
    <cellStyle name="Millares [0] 13 2" xfId="445" xr:uid="{53FE0A25-D709-4E1B-8604-83375111E0B4}"/>
    <cellStyle name="Millares [0] 13 2 2" xfId="1787" xr:uid="{B74E5180-D227-4DB0-903F-9E710108CC87}"/>
    <cellStyle name="Millares [0] 13 2 2 2" xfId="3779" xr:uid="{7411793C-1BF8-4F59-A604-03686E0C8943}"/>
    <cellStyle name="Millares [0] 13 2 3" xfId="2451" xr:uid="{977D4F84-F1A0-4DDC-9688-813FAFB09FF3}"/>
    <cellStyle name="Millares [0] 13 3" xfId="1116" xr:uid="{7CD56C3D-28FC-419F-9EAF-9147B3254D66}"/>
    <cellStyle name="Millares [0] 13 3 2" xfId="3115" xr:uid="{073FE911-F031-4098-82E1-EBEC91B1EB4D}"/>
    <cellStyle name="Millares [0] 13 4" xfId="2119" xr:uid="{9DBA6B38-EDF4-4149-9F51-86FD73984AB0}"/>
    <cellStyle name="Millares [0] 14" xfId="1455" xr:uid="{AD4CA027-1C5C-410C-9F61-046292A9D024}"/>
    <cellStyle name="Millares [0] 14 2" xfId="3447" xr:uid="{CA9C1194-FEEA-4157-86CE-EAE63DB5C1ED}"/>
    <cellStyle name="Millares [0] 15" xfId="784" xr:uid="{BFD69894-6A28-4BF9-A2CC-4C61E674F163}"/>
    <cellStyle name="Millares [0] 15 2" xfId="2783" xr:uid="{75A6438B-0F73-4F06-840A-9E465EC4C7BC}"/>
    <cellStyle name="Millares [0] 2" xfId="44" xr:uid="{C16B24FA-266B-41DF-A3FB-E21850F7A60B}"/>
    <cellStyle name="Millares [0] 2 2" xfId="258" xr:uid="{1736B5E4-66FA-41AB-A842-AB88E67D80D8}"/>
    <cellStyle name="Millares [0] 3" xfId="45" xr:uid="{61847087-1AC0-47A2-A3A0-09EA1359D33F}"/>
    <cellStyle name="Millares [0] 3 10" xfId="2114" xr:uid="{0C4747B0-87A5-47F2-A323-0862DD083333}"/>
    <cellStyle name="Millares [0] 3 2" xfId="72" xr:uid="{A67EA4D3-3A6F-4A67-BC06-2FA1BA06D5C4}"/>
    <cellStyle name="Millares [0] 3 2 2" xfId="101" xr:uid="{9F6AF0CD-4598-413E-B4AF-BE602CB8F1DC}"/>
    <cellStyle name="Millares [0] 3 2 2 2" xfId="149" xr:uid="{6F5C5D1A-55AF-444D-860F-D523D9E2FA97}"/>
    <cellStyle name="Millares [0] 3 2 2 2 2" xfId="238" xr:uid="{F5E2614D-DFFC-4DF3-ADEF-8D82C78C8B8F}"/>
    <cellStyle name="Millares [0] 3 2 2 2 2 2" xfId="424" xr:uid="{F6801F08-8711-4554-8410-C3F573BB3A5D}"/>
    <cellStyle name="Millares [0] 3 2 2 2 2 2 2" xfId="756" xr:uid="{63B4443E-0142-402A-B883-1F4CEE4BB7E2}"/>
    <cellStyle name="Millares [0] 3 2 2 2 2 2 2 2" xfId="2098" xr:uid="{5B6533C7-0D8C-45F3-A696-53B0971AB9EA}"/>
    <cellStyle name="Millares [0] 3 2 2 2 2 2 2 2 2" xfId="4090" xr:uid="{B117A9F8-D813-4AF0-B898-DD0404F4EA47}"/>
    <cellStyle name="Millares [0] 3 2 2 2 2 2 2 3" xfId="1427" xr:uid="{40058577-99E3-4EFE-A2DC-58FE313429F2}"/>
    <cellStyle name="Millares [0] 3 2 2 2 2 2 2 3 2" xfId="3426" xr:uid="{B6C8352D-7736-4EB5-8943-752903640ED6}"/>
    <cellStyle name="Millares [0] 3 2 2 2 2 2 2 4" xfId="2762" xr:uid="{39A449E6-4124-49BF-BAC3-414BC2784494}"/>
    <cellStyle name="Millares [0] 3 2 2 2 2 2 3" xfId="1766" xr:uid="{AA3AB137-DAA1-4078-AF15-5A65CA09B4C5}"/>
    <cellStyle name="Millares [0] 3 2 2 2 2 2 3 2" xfId="3758" xr:uid="{E17F8B97-06ED-4410-8EF9-6FF09CF0A20F}"/>
    <cellStyle name="Millares [0] 3 2 2 2 2 2 4" xfId="1095" xr:uid="{9FD77CC2-17AC-4EC4-8E6C-C14FF0D4DA82}"/>
    <cellStyle name="Millares [0] 3 2 2 2 2 2 4 2" xfId="3094" xr:uid="{E50CD367-051F-4B04-9813-A927E6397735}"/>
    <cellStyle name="Millares [0] 3 2 2 2 2 2 5" xfId="2430" xr:uid="{16479B1F-17E0-44B3-975B-73FA30D3BC57}"/>
    <cellStyle name="Millares [0] 3 2 2 2 2 3" xfId="590" xr:uid="{C6CBD43E-670B-410D-ACCC-2334E0052BF7}"/>
    <cellStyle name="Millares [0] 3 2 2 2 2 3 2" xfId="1932" xr:uid="{2BF075C2-F173-4FD5-9B37-611D82911D59}"/>
    <cellStyle name="Millares [0] 3 2 2 2 2 3 2 2" xfId="3924" xr:uid="{3F1732BA-067A-4649-944E-64E290037CF1}"/>
    <cellStyle name="Millares [0] 3 2 2 2 2 3 3" xfId="1261" xr:uid="{059CCD7F-0A33-4AC7-9BB3-9D7E032B7F7D}"/>
    <cellStyle name="Millares [0] 3 2 2 2 2 3 3 2" xfId="3260" xr:uid="{5C77BCEE-FE5A-4501-9274-4A8FF9CACFA2}"/>
    <cellStyle name="Millares [0] 3 2 2 2 2 3 4" xfId="2596" xr:uid="{D74F11B6-F7AA-40A5-8AC7-71F15449176F}"/>
    <cellStyle name="Millares [0] 3 2 2 2 2 4" xfId="1600" xr:uid="{9653C148-6A47-4200-9B75-807968A2E1C6}"/>
    <cellStyle name="Millares [0] 3 2 2 2 2 4 2" xfId="3592" xr:uid="{71AD97B1-2AAE-4DC6-AB45-FE64D22D40DF}"/>
    <cellStyle name="Millares [0] 3 2 2 2 2 5" xfId="929" xr:uid="{FE5A5FFB-6E52-4B2E-AEC0-4C12C28AAE00}"/>
    <cellStyle name="Millares [0] 3 2 2 2 2 5 2" xfId="2928" xr:uid="{9B8C1627-201E-4F95-AC5B-A78C1069CDD7}"/>
    <cellStyle name="Millares [0] 3 2 2 2 2 6" xfId="2264" xr:uid="{5C9DC6AF-70FC-498E-8275-688C548349FA}"/>
    <cellStyle name="Millares [0] 3 2 2 2 3" xfId="342" xr:uid="{5A6869EE-8770-42E1-A1A3-600ED4D487BB}"/>
    <cellStyle name="Millares [0] 3 2 2 2 3 2" xfId="674" xr:uid="{32D0564F-DDD5-4F3E-8413-402CA1CFEEFB}"/>
    <cellStyle name="Millares [0] 3 2 2 2 3 2 2" xfId="2016" xr:uid="{DFC5C67F-9677-4CA8-A228-2B799A6DB2CA}"/>
    <cellStyle name="Millares [0] 3 2 2 2 3 2 2 2" xfId="4008" xr:uid="{6D1CD67F-DF43-4C29-9B08-3E105D24AB5A}"/>
    <cellStyle name="Millares [0] 3 2 2 2 3 2 3" xfId="1345" xr:uid="{E1FCCF98-FCDC-41C4-880D-52055F04083E}"/>
    <cellStyle name="Millares [0] 3 2 2 2 3 2 3 2" xfId="3344" xr:uid="{C2282CD8-D09F-49F8-9E62-D41E4EBEC827}"/>
    <cellStyle name="Millares [0] 3 2 2 2 3 2 4" xfId="2680" xr:uid="{4CAC8D90-DC5C-4500-A010-22A4468951F9}"/>
    <cellStyle name="Millares [0] 3 2 2 2 3 3" xfId="1684" xr:uid="{DB2E6491-37E6-4120-9ED9-6ED8183FDFEB}"/>
    <cellStyle name="Millares [0] 3 2 2 2 3 3 2" xfId="3676" xr:uid="{3AC5163E-51BE-4D5D-9D11-81CEE857817A}"/>
    <cellStyle name="Millares [0] 3 2 2 2 3 4" xfId="1013" xr:uid="{072B46FA-1A8E-4503-9FC7-ACC60C114D58}"/>
    <cellStyle name="Millares [0] 3 2 2 2 3 4 2" xfId="3012" xr:uid="{5F3A5763-21A5-4CDB-94D3-680D6673432A}"/>
    <cellStyle name="Millares [0] 3 2 2 2 3 5" xfId="2348" xr:uid="{B1366694-8013-4C6A-9D72-F8977D41E607}"/>
    <cellStyle name="Millares [0] 3 2 2 2 4" xfId="508" xr:uid="{36314E48-102C-4DF5-9F69-8B9467B270E1}"/>
    <cellStyle name="Millares [0] 3 2 2 2 4 2" xfId="1850" xr:uid="{0351EC92-B69F-44B2-8C57-DC498C4FE48A}"/>
    <cellStyle name="Millares [0] 3 2 2 2 4 2 2" xfId="3842" xr:uid="{0DEF1AA0-AF40-4662-ABC7-4AFC16B762FA}"/>
    <cellStyle name="Millares [0] 3 2 2 2 4 3" xfId="1179" xr:uid="{DFB880A3-81FC-4DD7-AFE3-94695C5408A4}"/>
    <cellStyle name="Millares [0] 3 2 2 2 4 3 2" xfId="3178" xr:uid="{843A0D51-BEB7-407A-AB3D-553DD4A4F5F7}"/>
    <cellStyle name="Millares [0] 3 2 2 2 4 4" xfId="2514" xr:uid="{17833BCA-3283-4AFA-B848-39AAC1CD074F}"/>
    <cellStyle name="Millares [0] 3 2 2 2 5" xfId="1518" xr:uid="{820D51F7-3C73-4032-B57E-9A2C5D8D633D}"/>
    <cellStyle name="Millares [0] 3 2 2 2 5 2" xfId="3510" xr:uid="{68510703-6B05-47E7-B83A-392C7FAC9267}"/>
    <cellStyle name="Millares [0] 3 2 2 2 6" xfId="847" xr:uid="{6309747F-6D55-4B39-8E41-37C04928C6D3}"/>
    <cellStyle name="Millares [0] 3 2 2 2 6 2" xfId="2846" xr:uid="{738458DC-D48B-4647-8599-3226DAC3F4C2}"/>
    <cellStyle name="Millares [0] 3 2 2 2 7" xfId="2182" xr:uid="{97C76B37-4CF4-4283-89AF-F6FBC957F1C4}"/>
    <cellStyle name="Millares [0] 3 2 2 3" xfId="198" xr:uid="{D6EF2AD5-819B-4EDE-87A4-48E77E92A6B4}"/>
    <cellStyle name="Millares [0] 3 2 2 3 2" xfId="384" xr:uid="{1349E116-7776-4A84-BAC8-00B8A2A78F57}"/>
    <cellStyle name="Millares [0] 3 2 2 3 2 2" xfId="716" xr:uid="{B9A0BC36-7F45-439A-B56D-0397CAC31983}"/>
    <cellStyle name="Millares [0] 3 2 2 3 2 2 2" xfId="2058" xr:uid="{EC1162B6-C7DB-440A-BA7D-D8D99178860D}"/>
    <cellStyle name="Millares [0] 3 2 2 3 2 2 2 2" xfId="4050" xr:uid="{81474996-DFD6-4AB6-ABD2-B2291461AFF0}"/>
    <cellStyle name="Millares [0] 3 2 2 3 2 2 3" xfId="1387" xr:uid="{611A588B-820F-40D8-AD61-27B78AE3F34B}"/>
    <cellStyle name="Millares [0] 3 2 2 3 2 2 3 2" xfId="3386" xr:uid="{D91CD9E8-5BA8-4663-82FD-B3F5BC6E5919}"/>
    <cellStyle name="Millares [0] 3 2 2 3 2 2 4" xfId="2722" xr:uid="{99F83374-AE85-4911-872D-14C6E724194F}"/>
    <cellStyle name="Millares [0] 3 2 2 3 2 3" xfId="1726" xr:uid="{3874C459-2ED0-439F-9C41-552EECFFF6C2}"/>
    <cellStyle name="Millares [0] 3 2 2 3 2 3 2" xfId="3718" xr:uid="{F9D4A700-087B-489F-94CA-3A20E02BE97A}"/>
    <cellStyle name="Millares [0] 3 2 2 3 2 4" xfId="1055" xr:uid="{978E20BA-C972-4E9B-872C-BDF289FD6783}"/>
    <cellStyle name="Millares [0] 3 2 2 3 2 4 2" xfId="3054" xr:uid="{DF4C0A81-2862-4A0F-8EED-7BD43D40BACF}"/>
    <cellStyle name="Millares [0] 3 2 2 3 2 5" xfId="2390" xr:uid="{32D35250-8E59-4880-A39F-B759577B3D7B}"/>
    <cellStyle name="Millares [0] 3 2 2 3 3" xfId="550" xr:uid="{A6599D9D-010B-43C7-BDD9-DE52F60F1EA4}"/>
    <cellStyle name="Millares [0] 3 2 2 3 3 2" xfId="1892" xr:uid="{EDD69667-FD42-4703-8772-B2FABA67293E}"/>
    <cellStyle name="Millares [0] 3 2 2 3 3 2 2" xfId="3884" xr:uid="{15742F4D-CB64-4194-B379-44017E9094BE}"/>
    <cellStyle name="Millares [0] 3 2 2 3 3 3" xfId="1221" xr:uid="{FC209687-BDE3-4BFE-93EA-10FABB6A3217}"/>
    <cellStyle name="Millares [0] 3 2 2 3 3 3 2" xfId="3220" xr:uid="{6D44293E-06BB-4131-8314-2E069E14F2E5}"/>
    <cellStyle name="Millares [0] 3 2 2 3 3 4" xfId="2556" xr:uid="{9AC0C637-EA5A-4FDD-BFA5-D5859635E70F}"/>
    <cellStyle name="Millares [0] 3 2 2 3 4" xfId="1560" xr:uid="{D4101EA1-6FB8-4AD6-A148-B86FE9C742D4}"/>
    <cellStyle name="Millares [0] 3 2 2 3 4 2" xfId="3552" xr:uid="{BA8A8F46-C1FE-4698-8A6C-58B11143AABF}"/>
    <cellStyle name="Millares [0] 3 2 2 3 5" xfId="889" xr:uid="{77177BBE-C930-4A67-AA77-C87B7FC4C47B}"/>
    <cellStyle name="Millares [0] 3 2 2 3 5 2" xfId="2888" xr:uid="{8BE35189-D4A6-413C-80F8-0D907EFFC70A}"/>
    <cellStyle name="Millares [0] 3 2 2 3 6" xfId="2224" xr:uid="{04F0E1AC-B746-422B-9B18-2DB161182662}"/>
    <cellStyle name="Millares [0] 3 2 2 4" xfId="302" xr:uid="{A9AE334F-4409-4B49-9428-D54EC50BB4AC}"/>
    <cellStyle name="Millares [0] 3 2 2 4 2" xfId="634" xr:uid="{64C14258-1943-4333-9B78-41D9CF71FF61}"/>
    <cellStyle name="Millares [0] 3 2 2 4 2 2" xfId="1976" xr:uid="{5C890835-99AA-4C64-B2A8-D5C45ACF69EC}"/>
    <cellStyle name="Millares [0] 3 2 2 4 2 2 2" xfId="3968" xr:uid="{4EBF339E-38E2-4D00-9B66-D40746D54FB0}"/>
    <cellStyle name="Millares [0] 3 2 2 4 2 3" xfId="1305" xr:uid="{2CA28037-AFA6-4E37-862D-E0AF726E057D}"/>
    <cellStyle name="Millares [0] 3 2 2 4 2 3 2" xfId="3304" xr:uid="{C0B5939D-78C3-437C-9348-C2C000BA7595}"/>
    <cellStyle name="Millares [0] 3 2 2 4 2 4" xfId="2640" xr:uid="{423BCCAB-AE67-4D84-B315-D6F72B2A9D85}"/>
    <cellStyle name="Millares [0] 3 2 2 4 3" xfId="1644" xr:uid="{54D9E85A-A6A1-4D68-80FC-5618DEFB112A}"/>
    <cellStyle name="Millares [0] 3 2 2 4 3 2" xfId="3636" xr:uid="{A55D77FC-EE40-4190-8606-E287EA442502}"/>
    <cellStyle name="Millares [0] 3 2 2 4 4" xfId="973" xr:uid="{4B185154-012B-41E4-AB7B-A2DEC6A8499A}"/>
    <cellStyle name="Millares [0] 3 2 2 4 4 2" xfId="2972" xr:uid="{3ADFF4AC-83D8-44A2-BA1C-381EC5C245B8}"/>
    <cellStyle name="Millares [0] 3 2 2 4 5" xfId="2308" xr:uid="{50F71614-D5C9-4045-AA1C-593013ECB1DE}"/>
    <cellStyle name="Millares [0] 3 2 2 5" xfId="468" xr:uid="{F0876F25-753D-47AD-AFFF-90F3CCFB1074}"/>
    <cellStyle name="Millares [0] 3 2 2 5 2" xfId="1810" xr:uid="{65E1736F-A09F-4164-BCA2-18102E13B8BA}"/>
    <cellStyle name="Millares [0] 3 2 2 5 2 2" xfId="3802" xr:uid="{77301BB3-6DC5-4A5D-AF19-1405FBD8A669}"/>
    <cellStyle name="Millares [0] 3 2 2 5 3" xfId="1139" xr:uid="{046B3FA1-ECF1-4F63-93D2-C4104E850C26}"/>
    <cellStyle name="Millares [0] 3 2 2 5 3 2" xfId="3138" xr:uid="{A85E9DB6-61BD-40B0-81F5-5F94C794648E}"/>
    <cellStyle name="Millares [0] 3 2 2 5 4" xfId="2474" xr:uid="{EF43BD6D-A81F-44B6-81B2-FCA629BC6AB3}"/>
    <cellStyle name="Millares [0] 3 2 2 6" xfId="1478" xr:uid="{E410C0B3-8EFC-4349-A6EA-E523192621BD}"/>
    <cellStyle name="Millares [0] 3 2 2 6 2" xfId="3470" xr:uid="{732C3BAC-8F11-41C6-A57A-AE010E94F806}"/>
    <cellStyle name="Millares [0] 3 2 2 7" xfId="807" xr:uid="{92BECED8-F771-45E4-90EF-77DE6A8F8FD7}"/>
    <cellStyle name="Millares [0] 3 2 2 7 2" xfId="2806" xr:uid="{7182364D-5E9C-42C0-9552-D5D35288551A}"/>
    <cellStyle name="Millares [0] 3 2 2 8" xfId="2142" xr:uid="{A7432D04-C0D6-4E4C-B264-BC8BC9019DE3}"/>
    <cellStyle name="Millares [0] 3 2 3" xfId="130" xr:uid="{9D95394D-0FFB-4F7A-9301-EA8FDEE8AC10}"/>
    <cellStyle name="Millares [0] 3 2 3 2" xfId="219" xr:uid="{E78066F3-818E-4CBD-AC96-D135FECECFF0}"/>
    <cellStyle name="Millares [0] 3 2 3 2 2" xfId="405" xr:uid="{D8F28F87-997C-4153-A720-DC0B0E641534}"/>
    <cellStyle name="Millares [0] 3 2 3 2 2 2" xfId="737" xr:uid="{F0A9292E-E4BD-43A1-8418-E7A0D33D034D}"/>
    <cellStyle name="Millares [0] 3 2 3 2 2 2 2" xfId="2079" xr:uid="{50B32915-599F-4556-B42F-901B4A6DE14C}"/>
    <cellStyle name="Millares [0] 3 2 3 2 2 2 2 2" xfId="4071" xr:uid="{48AB8333-FFE1-43C2-83F4-FD68DC219ED1}"/>
    <cellStyle name="Millares [0] 3 2 3 2 2 2 3" xfId="1408" xr:uid="{8F53B988-95CF-469C-9A17-98ADA5AC6BA8}"/>
    <cellStyle name="Millares [0] 3 2 3 2 2 2 3 2" xfId="3407" xr:uid="{D037754E-E047-4E16-8494-7A8BE374064C}"/>
    <cellStyle name="Millares [0] 3 2 3 2 2 2 4" xfId="2743" xr:uid="{95EADDF9-03C1-44FF-9C8B-34436CA1663F}"/>
    <cellStyle name="Millares [0] 3 2 3 2 2 3" xfId="1747" xr:uid="{31FD8EAF-837C-4EFA-9904-4AA835174388}"/>
    <cellStyle name="Millares [0] 3 2 3 2 2 3 2" xfId="3739" xr:uid="{01406664-5344-43B8-8814-0D520F37ECFC}"/>
    <cellStyle name="Millares [0] 3 2 3 2 2 4" xfId="1076" xr:uid="{2D7D418A-7DC0-4CF8-8E87-F39B0D1375AE}"/>
    <cellStyle name="Millares [0] 3 2 3 2 2 4 2" xfId="3075" xr:uid="{E52020F0-B6E9-4BED-92EF-87913E20FD8C}"/>
    <cellStyle name="Millares [0] 3 2 3 2 2 5" xfId="2411" xr:uid="{A6CCED5B-C981-4E6C-BDA0-BF140201DAC9}"/>
    <cellStyle name="Millares [0] 3 2 3 2 3" xfId="571" xr:uid="{FAF5B440-7FCD-4659-B3D9-B00E07F7CC9B}"/>
    <cellStyle name="Millares [0] 3 2 3 2 3 2" xfId="1913" xr:uid="{CF50B81D-31D1-455C-A95E-FAD34841FA9D}"/>
    <cellStyle name="Millares [0] 3 2 3 2 3 2 2" xfId="3905" xr:uid="{E0181D2F-246E-4648-9303-EEFE08E6A44C}"/>
    <cellStyle name="Millares [0] 3 2 3 2 3 3" xfId="1242" xr:uid="{1692740C-FE93-45C1-A031-0023A7154024}"/>
    <cellStyle name="Millares [0] 3 2 3 2 3 3 2" xfId="3241" xr:uid="{B7BAFBDF-5EAC-4611-9F47-66DDB3279A73}"/>
    <cellStyle name="Millares [0] 3 2 3 2 3 4" xfId="2577" xr:uid="{E14A58E4-EAA7-4BB9-B4A1-5D9CEFF00CE3}"/>
    <cellStyle name="Millares [0] 3 2 3 2 4" xfId="1581" xr:uid="{492ACC4F-EA8B-41F0-9F4A-7B2FA83DCE2B}"/>
    <cellStyle name="Millares [0] 3 2 3 2 4 2" xfId="3573" xr:uid="{662B667A-79D8-43AA-9334-47F466DAA4F2}"/>
    <cellStyle name="Millares [0] 3 2 3 2 5" xfId="910" xr:uid="{620DE324-1168-4DBE-8C50-5A16EFA7F1A9}"/>
    <cellStyle name="Millares [0] 3 2 3 2 5 2" xfId="2909" xr:uid="{D0FF72BE-A586-4F52-80F9-3AA8A8DD0258}"/>
    <cellStyle name="Millares [0] 3 2 3 2 6" xfId="2245" xr:uid="{22C4280F-13D4-49C8-9534-078556AD60D0}"/>
    <cellStyle name="Millares [0] 3 2 3 3" xfId="323" xr:uid="{A6F082C6-1012-439B-8A5E-99F1D120B0BD}"/>
    <cellStyle name="Millares [0] 3 2 3 3 2" xfId="655" xr:uid="{7406BB67-F455-4974-B5FB-3C624AEA6DDE}"/>
    <cellStyle name="Millares [0] 3 2 3 3 2 2" xfId="1997" xr:uid="{911A9305-6693-4DCB-960A-DC5AC8A71AA2}"/>
    <cellStyle name="Millares [0] 3 2 3 3 2 2 2" xfId="3989" xr:uid="{C1298670-BF67-4135-802B-5D0611566F81}"/>
    <cellStyle name="Millares [0] 3 2 3 3 2 3" xfId="1326" xr:uid="{2B0E0AD7-9A44-4E28-BC15-26BE4003CB22}"/>
    <cellStyle name="Millares [0] 3 2 3 3 2 3 2" xfId="3325" xr:uid="{F9C7F1BA-04A4-4216-9428-D98793424563}"/>
    <cellStyle name="Millares [0] 3 2 3 3 2 4" xfId="2661" xr:uid="{95B3BC09-C8DB-4050-AB10-34416BB65A2E}"/>
    <cellStyle name="Millares [0] 3 2 3 3 3" xfId="1665" xr:uid="{95C19AD4-5987-4E93-9D19-C24D144A3AB1}"/>
    <cellStyle name="Millares [0] 3 2 3 3 3 2" xfId="3657" xr:uid="{3FC777E5-749C-4CB9-A659-B49560AEBF4B}"/>
    <cellStyle name="Millares [0] 3 2 3 3 4" xfId="994" xr:uid="{797185D2-339D-43AA-B83C-467485635B39}"/>
    <cellStyle name="Millares [0] 3 2 3 3 4 2" xfId="2993" xr:uid="{05816462-BBF8-499E-8DBA-5B872578B17E}"/>
    <cellStyle name="Millares [0] 3 2 3 3 5" xfId="2329" xr:uid="{B7BB34AD-9993-47EC-A2B5-9FACBB4855EE}"/>
    <cellStyle name="Millares [0] 3 2 3 4" xfId="489" xr:uid="{90B64488-D6E3-4824-BB68-49E1340673EF}"/>
    <cellStyle name="Millares [0] 3 2 3 4 2" xfId="1831" xr:uid="{F7345E1F-386B-4245-9B25-4E796350860B}"/>
    <cellStyle name="Millares [0] 3 2 3 4 2 2" xfId="3823" xr:uid="{E8066BE5-C40D-45DB-8ED5-BDF0669BCA9E}"/>
    <cellStyle name="Millares [0] 3 2 3 4 3" xfId="1160" xr:uid="{1179A9D6-0851-4D3C-90C6-DFD7EF62968D}"/>
    <cellStyle name="Millares [0] 3 2 3 4 3 2" xfId="3159" xr:uid="{B98EF373-9FD8-4807-A4B2-F91F11E83EF2}"/>
    <cellStyle name="Millares [0] 3 2 3 4 4" xfId="2495" xr:uid="{3BA59506-A6BA-4A84-B7CF-83FDBAF9048A}"/>
    <cellStyle name="Millares [0] 3 2 3 5" xfId="1499" xr:uid="{BC808919-BF82-451C-9961-120C449C9B93}"/>
    <cellStyle name="Millares [0] 3 2 3 5 2" xfId="3491" xr:uid="{D8A3C45E-B151-408C-B79B-6AD19DCB9426}"/>
    <cellStyle name="Millares [0] 3 2 3 6" xfId="828" xr:uid="{6FB70649-B296-450B-97EE-0C75263E58BE}"/>
    <cellStyle name="Millares [0] 3 2 3 6 2" xfId="2827" xr:uid="{AEDF98BB-4B25-401F-882E-3F8C9F999410}"/>
    <cellStyle name="Millares [0] 3 2 3 7" xfId="2163" xr:uid="{9CA9F43D-9CFD-4799-93DE-41E205F37FB8}"/>
    <cellStyle name="Millares [0] 3 2 4" xfId="179" xr:uid="{8BEEB5D2-CFD9-406C-81BC-9F639F41E7F4}"/>
    <cellStyle name="Millares [0] 3 2 4 2" xfId="365" xr:uid="{A25D973C-BE15-4DE3-AEA8-0A01D0168B9D}"/>
    <cellStyle name="Millares [0] 3 2 4 2 2" xfId="697" xr:uid="{01D50892-FE31-4474-8BA0-B84D631EA491}"/>
    <cellStyle name="Millares [0] 3 2 4 2 2 2" xfId="2039" xr:uid="{09911E1E-2E04-4F3C-80EB-597470F5D65E}"/>
    <cellStyle name="Millares [0] 3 2 4 2 2 2 2" xfId="4031" xr:uid="{4FF45A6E-30D4-4F71-8B32-30C5A1DA2637}"/>
    <cellStyle name="Millares [0] 3 2 4 2 2 3" xfId="1368" xr:uid="{CF511BBF-4D20-462A-AAD9-C1FBF6C8AA48}"/>
    <cellStyle name="Millares [0] 3 2 4 2 2 3 2" xfId="3367" xr:uid="{7A2753E6-B2A2-47C2-8D4C-036420E04A60}"/>
    <cellStyle name="Millares [0] 3 2 4 2 2 4" xfId="2703" xr:uid="{95BCE136-B076-4318-AA6B-670928CFCE87}"/>
    <cellStyle name="Millares [0] 3 2 4 2 3" xfId="1707" xr:uid="{69B91EB7-9E99-4B96-A0E5-503ADA74A475}"/>
    <cellStyle name="Millares [0] 3 2 4 2 3 2" xfId="3699" xr:uid="{47556A8F-66C5-498D-B86A-02DA5F7333FD}"/>
    <cellStyle name="Millares [0] 3 2 4 2 4" xfId="1036" xr:uid="{B14FFD85-BAF3-4342-8B6D-BD8C233947B7}"/>
    <cellStyle name="Millares [0] 3 2 4 2 4 2" xfId="3035" xr:uid="{2FE87458-B900-43AA-BAD1-70D451B4C8CC}"/>
    <cellStyle name="Millares [0] 3 2 4 2 5" xfId="2371" xr:uid="{6D754C59-8703-49BB-AC1D-014F8E182CB0}"/>
    <cellStyle name="Millares [0] 3 2 4 3" xfId="531" xr:uid="{BED7849D-93AD-4707-AA4F-1BAEAA939651}"/>
    <cellStyle name="Millares [0] 3 2 4 3 2" xfId="1873" xr:uid="{352C33C5-F8CF-45A6-9146-3F4539A4CA88}"/>
    <cellStyle name="Millares [0] 3 2 4 3 2 2" xfId="3865" xr:uid="{D3A26310-C700-4FBA-96C0-676F49DADCC0}"/>
    <cellStyle name="Millares [0] 3 2 4 3 3" xfId="1202" xr:uid="{ECEADAED-8046-4713-A708-9072B502D10D}"/>
    <cellStyle name="Millares [0] 3 2 4 3 3 2" xfId="3201" xr:uid="{1D3CF9C2-F9E6-4FC6-A504-2F48F4D98158}"/>
    <cellStyle name="Millares [0] 3 2 4 3 4" xfId="2537" xr:uid="{ACBBAA81-8BF7-4E9A-8BC8-BA923DEC82D8}"/>
    <cellStyle name="Millares [0] 3 2 4 4" xfId="1541" xr:uid="{23ACF109-7F3F-4D6F-A6E7-B17F40AF80D8}"/>
    <cellStyle name="Millares [0] 3 2 4 4 2" xfId="3533" xr:uid="{CAC5FD1C-DFE8-427A-A13A-478E2C185B4B}"/>
    <cellStyle name="Millares [0] 3 2 4 5" xfId="870" xr:uid="{8FD3CDBF-950D-4BE4-B721-84476037B925}"/>
    <cellStyle name="Millares [0] 3 2 4 5 2" xfId="2869" xr:uid="{52163087-6335-45A6-B7D2-3D12E7C82AF9}"/>
    <cellStyle name="Millares [0] 3 2 4 6" xfId="2205" xr:uid="{83D50DA4-2FEC-491C-8EAE-B06A833BF879}"/>
    <cellStyle name="Millares [0] 3 2 5" xfId="283" xr:uid="{23547A41-50FF-4864-A13B-01F0B71477B3}"/>
    <cellStyle name="Millares [0] 3 2 5 2" xfId="615" xr:uid="{2A18C1C5-87D7-4735-825F-85EECAF407FF}"/>
    <cellStyle name="Millares [0] 3 2 5 2 2" xfId="1957" xr:uid="{638F5714-1DA2-4240-A239-5C7633036FA9}"/>
    <cellStyle name="Millares [0] 3 2 5 2 2 2" xfId="3949" xr:uid="{9D4BFF39-E0BE-4831-A116-5FD1A8885FD2}"/>
    <cellStyle name="Millares [0] 3 2 5 2 3" xfId="1286" xr:uid="{EDE7CDEF-B151-4A47-A97A-45D9598806F1}"/>
    <cellStyle name="Millares [0] 3 2 5 2 3 2" xfId="3285" xr:uid="{320412CF-F9A6-4E91-90FC-3FF6309754BA}"/>
    <cellStyle name="Millares [0] 3 2 5 2 4" xfId="2621" xr:uid="{C16F5BED-1384-45CC-83FA-C8BCC45C3C50}"/>
    <cellStyle name="Millares [0] 3 2 5 3" xfId="1625" xr:uid="{687B59AB-795C-4AD1-A722-ECA5F8FD6BBF}"/>
    <cellStyle name="Millares [0] 3 2 5 3 2" xfId="3617" xr:uid="{4C9F2BB2-8389-4EBB-B9EA-7067B2E2C09E}"/>
    <cellStyle name="Millares [0] 3 2 5 4" xfId="954" xr:uid="{94B1CD61-EDAE-48B1-B640-72B41A154D9A}"/>
    <cellStyle name="Millares [0] 3 2 5 4 2" xfId="2953" xr:uid="{B6F85A2B-E897-4250-8676-8155BE56D414}"/>
    <cellStyle name="Millares [0] 3 2 5 5" xfId="2289" xr:uid="{038F46DB-BE16-42C3-BBF3-72F086021D0F}"/>
    <cellStyle name="Millares [0] 3 2 6" xfId="449" xr:uid="{2B334924-3C70-4D72-9494-2A3AB73069BB}"/>
    <cellStyle name="Millares [0] 3 2 6 2" xfId="1791" xr:uid="{E41EC784-579B-4853-93D5-390F8E2A7918}"/>
    <cellStyle name="Millares [0] 3 2 6 2 2" xfId="3783" xr:uid="{2FB6060A-A7C8-439F-BB96-5D79AC845264}"/>
    <cellStyle name="Millares [0] 3 2 6 3" xfId="1120" xr:uid="{49EEF650-34DC-4EF6-BF06-CCE8AFA0FF3D}"/>
    <cellStyle name="Millares [0] 3 2 6 3 2" xfId="3119" xr:uid="{87593421-CC35-4F5A-A068-9819AB590AA8}"/>
    <cellStyle name="Millares [0] 3 2 6 4" xfId="2455" xr:uid="{5A3ED836-F596-438F-9E5B-3DCA704311CE}"/>
    <cellStyle name="Millares [0] 3 2 7" xfId="1459" xr:uid="{3510542C-EF33-46A8-AFEB-F92508A7533F}"/>
    <cellStyle name="Millares [0] 3 2 7 2" xfId="3451" xr:uid="{C0FAAFB9-6B26-4ED6-BEA1-3A0FFD34A5A5}"/>
    <cellStyle name="Millares [0] 3 2 8" xfId="788" xr:uid="{82785D41-AFBA-494C-A26A-9F24AEAE6B4A}"/>
    <cellStyle name="Millares [0] 3 2 8 2" xfId="2787" xr:uid="{093DE6A2-D431-4E13-927D-623CE839EE90}"/>
    <cellStyle name="Millares [0] 3 2 9" xfId="2123" xr:uid="{C88D2A62-3B0B-4A89-B60B-23A9839D9372}"/>
    <cellStyle name="Millares [0] 3 3" xfId="90" xr:uid="{466ED9F6-9CA2-4F04-87A0-1727251ECCB0}"/>
    <cellStyle name="Millares [0] 3 3 2" xfId="140" xr:uid="{FB83FD32-D874-40D5-A49B-2723F910BA72}"/>
    <cellStyle name="Millares [0] 3 3 2 2" xfId="229" xr:uid="{DDF2D793-DF57-432D-BEAE-D6C501FA96C2}"/>
    <cellStyle name="Millares [0] 3 3 2 2 2" xfId="415" xr:uid="{3EDF99C8-7DAC-405A-89DC-7CD6BA9EA58B}"/>
    <cellStyle name="Millares [0] 3 3 2 2 2 2" xfId="747" xr:uid="{CC415F9A-5570-45B8-BEF9-EEBA87ABA5B6}"/>
    <cellStyle name="Millares [0] 3 3 2 2 2 2 2" xfId="2089" xr:uid="{840C965A-8A94-46EC-A931-1D67E59B7A5A}"/>
    <cellStyle name="Millares [0] 3 3 2 2 2 2 2 2" xfId="4081" xr:uid="{5BCD2850-E59B-47A3-BEDE-8F4216F2FC9B}"/>
    <cellStyle name="Millares [0] 3 3 2 2 2 2 3" xfId="1418" xr:uid="{C33B8867-600B-45E1-9B5D-DD060A0D0E45}"/>
    <cellStyle name="Millares [0] 3 3 2 2 2 2 3 2" xfId="3417" xr:uid="{DB2778FE-A5A6-4130-9D10-829B3DDEE486}"/>
    <cellStyle name="Millares [0] 3 3 2 2 2 2 4" xfId="2753" xr:uid="{157CD66F-3FFC-4042-892F-EF14424AE356}"/>
    <cellStyle name="Millares [0] 3 3 2 2 2 3" xfId="1757" xr:uid="{B4156257-FBE1-46CB-A9AE-3B18F01BA76E}"/>
    <cellStyle name="Millares [0] 3 3 2 2 2 3 2" xfId="3749" xr:uid="{D055DC2E-C6EC-4F1B-BBA8-28C330CFE861}"/>
    <cellStyle name="Millares [0] 3 3 2 2 2 4" xfId="1086" xr:uid="{B5696C69-449F-43E0-9EBD-D6AC4CD68632}"/>
    <cellStyle name="Millares [0] 3 3 2 2 2 4 2" xfId="3085" xr:uid="{78C03F78-E730-4DA3-88C1-9BCE794A0D41}"/>
    <cellStyle name="Millares [0] 3 3 2 2 2 5" xfId="2421" xr:uid="{CCBC80D5-A1B8-4F76-9B92-A61A9B64A9D4}"/>
    <cellStyle name="Millares [0] 3 3 2 2 3" xfId="581" xr:uid="{60DA07F5-4EF2-4CE1-AF12-FB167B22EB41}"/>
    <cellStyle name="Millares [0] 3 3 2 2 3 2" xfId="1923" xr:uid="{52E33F17-958F-4E58-B450-F6C8C9E7F5C0}"/>
    <cellStyle name="Millares [0] 3 3 2 2 3 2 2" xfId="3915" xr:uid="{2F6C6616-A695-428E-AB12-006DD91CF38A}"/>
    <cellStyle name="Millares [0] 3 3 2 2 3 3" xfId="1252" xr:uid="{C5893364-7CC4-4EC5-970E-C59600266DF5}"/>
    <cellStyle name="Millares [0] 3 3 2 2 3 3 2" xfId="3251" xr:uid="{DE122D5E-8033-41E2-BA94-9340AC88033A}"/>
    <cellStyle name="Millares [0] 3 3 2 2 3 4" xfId="2587" xr:uid="{B8B88443-0E26-4143-B95A-924CDACFAA71}"/>
    <cellStyle name="Millares [0] 3 3 2 2 4" xfId="1591" xr:uid="{BF397E4C-D865-4CC8-A236-371C5E11B07E}"/>
    <cellStyle name="Millares [0] 3 3 2 2 4 2" xfId="3583" xr:uid="{D3A00D03-BEB1-4D3A-B5EF-9CE3C7273195}"/>
    <cellStyle name="Millares [0] 3 3 2 2 5" xfId="920" xr:uid="{ABE0566F-C059-42B9-AE4B-ADD952FB7F2E}"/>
    <cellStyle name="Millares [0] 3 3 2 2 5 2" xfId="2919" xr:uid="{36C4404E-AE98-4530-8E70-3E58157CC2B9}"/>
    <cellStyle name="Millares [0] 3 3 2 2 6" xfId="2255" xr:uid="{B32B0081-73C3-4E89-B4BA-AAC393527DEF}"/>
    <cellStyle name="Millares [0] 3 3 2 3" xfId="333" xr:uid="{54A152B2-FA13-417A-902E-A93A638D97DC}"/>
    <cellStyle name="Millares [0] 3 3 2 3 2" xfId="665" xr:uid="{6146B25F-56F1-442B-8D95-F9519BE9A356}"/>
    <cellStyle name="Millares [0] 3 3 2 3 2 2" xfId="2007" xr:uid="{750832DA-2117-4028-9F45-394999221029}"/>
    <cellStyle name="Millares [0] 3 3 2 3 2 2 2" xfId="3999" xr:uid="{181EA0EA-574C-461F-8480-2681C97B3B40}"/>
    <cellStyle name="Millares [0] 3 3 2 3 2 3" xfId="1336" xr:uid="{847F7C52-52F6-444A-9B4D-91FE1A8BFA06}"/>
    <cellStyle name="Millares [0] 3 3 2 3 2 3 2" xfId="3335" xr:uid="{593FE857-C5A1-485E-8D1E-0BCFEDF16A89}"/>
    <cellStyle name="Millares [0] 3 3 2 3 2 4" xfId="2671" xr:uid="{3BC6B271-8308-49FF-86AC-C10944FC61CF}"/>
    <cellStyle name="Millares [0] 3 3 2 3 3" xfId="1675" xr:uid="{27E63D27-9673-4C75-91BA-ADA019CE8072}"/>
    <cellStyle name="Millares [0] 3 3 2 3 3 2" xfId="3667" xr:uid="{0C5548A4-7B30-4C66-AF1E-1417ABDDCE2A}"/>
    <cellStyle name="Millares [0] 3 3 2 3 4" xfId="1004" xr:uid="{91B4F6C3-1D07-47AC-8D12-6AC1580A9342}"/>
    <cellStyle name="Millares [0] 3 3 2 3 4 2" xfId="3003" xr:uid="{8F6FBA94-08CD-44DB-BBE8-ED3A226852BE}"/>
    <cellStyle name="Millares [0] 3 3 2 3 5" xfId="2339" xr:uid="{763C3354-B781-496A-A685-93118D6898F0}"/>
    <cellStyle name="Millares [0] 3 3 2 4" xfId="499" xr:uid="{2FD9741B-7E53-43F7-B000-AF18F6271E1F}"/>
    <cellStyle name="Millares [0] 3 3 2 4 2" xfId="1841" xr:uid="{61965EE8-BE33-4FAB-AAF2-32AAECF55638}"/>
    <cellStyle name="Millares [0] 3 3 2 4 2 2" xfId="3833" xr:uid="{EDC04850-6906-45E7-9835-B87D6D7016D6}"/>
    <cellStyle name="Millares [0] 3 3 2 4 3" xfId="1170" xr:uid="{77682DEF-83C7-4214-8E1E-53A922434F16}"/>
    <cellStyle name="Millares [0] 3 3 2 4 3 2" xfId="3169" xr:uid="{9AB7B82B-4462-48AF-80F5-063B5B977A8D}"/>
    <cellStyle name="Millares [0] 3 3 2 4 4" xfId="2505" xr:uid="{E40FF897-DF84-4073-A073-13240AE5DBB4}"/>
    <cellStyle name="Millares [0] 3 3 2 5" xfId="1509" xr:uid="{E7661A3F-F2D3-419E-B6DA-A510C35F9E35}"/>
    <cellStyle name="Millares [0] 3 3 2 5 2" xfId="3501" xr:uid="{2EFFA52C-C6D1-4050-A260-B54D3CC9414D}"/>
    <cellStyle name="Millares [0] 3 3 2 6" xfId="838" xr:uid="{C126B5A1-2D9D-4975-89E6-3C7D43BA6F31}"/>
    <cellStyle name="Millares [0] 3 3 2 6 2" xfId="2837" xr:uid="{0F582DAB-5130-435B-A7A7-B8B9E502D24E}"/>
    <cellStyle name="Millares [0] 3 3 2 7" xfId="2173" xr:uid="{D49FD57C-4DB2-4C90-AC88-0C4268F61404}"/>
    <cellStyle name="Millares [0] 3 3 3" xfId="189" xr:uid="{E5E2D9A5-14C0-4371-A37E-C08815C763DD}"/>
    <cellStyle name="Millares [0] 3 3 3 2" xfId="375" xr:uid="{344EAF77-86AE-487C-A722-7FFEA3850DD7}"/>
    <cellStyle name="Millares [0] 3 3 3 2 2" xfId="707" xr:uid="{B91DBA4D-D46A-47C3-99DF-E72AF1383F07}"/>
    <cellStyle name="Millares [0] 3 3 3 2 2 2" xfId="2049" xr:uid="{DE2C317A-ABC1-407D-97FF-2F78679242B1}"/>
    <cellStyle name="Millares [0] 3 3 3 2 2 2 2" xfId="4041" xr:uid="{511D1AE5-5B72-4254-9545-9975CF5F196D}"/>
    <cellStyle name="Millares [0] 3 3 3 2 2 3" xfId="1378" xr:uid="{3A7EF23C-3A50-42D6-8DFD-D04663B678E9}"/>
    <cellStyle name="Millares [0] 3 3 3 2 2 3 2" xfId="3377" xr:uid="{21E57FBE-D7EE-44C8-8117-54039DB8B763}"/>
    <cellStyle name="Millares [0] 3 3 3 2 2 4" xfId="2713" xr:uid="{7CCBD2FA-8C5D-4F64-B35F-FAE6C6D122C6}"/>
    <cellStyle name="Millares [0] 3 3 3 2 3" xfId="1717" xr:uid="{3826F1D9-6FDC-4ADB-8784-D2E62378AC7E}"/>
    <cellStyle name="Millares [0] 3 3 3 2 3 2" xfId="3709" xr:uid="{5282122E-9300-4CB6-9853-AE0E7B5577FE}"/>
    <cellStyle name="Millares [0] 3 3 3 2 4" xfId="1046" xr:uid="{FFA553CE-A94E-4057-A559-953265D0BDFA}"/>
    <cellStyle name="Millares [0] 3 3 3 2 4 2" xfId="3045" xr:uid="{B576E245-71A5-45ED-A588-6279F44DC5F2}"/>
    <cellStyle name="Millares [0] 3 3 3 2 5" xfId="2381" xr:uid="{834CE04C-3603-4975-8281-F610713A5055}"/>
    <cellStyle name="Millares [0] 3 3 3 3" xfId="541" xr:uid="{B8AD46A3-8166-4A9E-82A0-C293B6D334E8}"/>
    <cellStyle name="Millares [0] 3 3 3 3 2" xfId="1883" xr:uid="{C2F3F384-CF3D-4B87-8A00-BCB1FFA4FB49}"/>
    <cellStyle name="Millares [0] 3 3 3 3 2 2" xfId="3875" xr:uid="{E07D2E2F-89CC-41B7-8CD7-880071DEA994}"/>
    <cellStyle name="Millares [0] 3 3 3 3 3" xfId="1212" xr:uid="{320ACFAA-40CA-4330-B993-0C7ED1A195EB}"/>
    <cellStyle name="Millares [0] 3 3 3 3 3 2" xfId="3211" xr:uid="{3E756DFC-D3C5-4AE1-89AA-7FE82C2F7D09}"/>
    <cellStyle name="Millares [0] 3 3 3 3 4" xfId="2547" xr:uid="{6EDBA30E-ABD1-490E-A35E-51EB95C5EC48}"/>
    <cellStyle name="Millares [0] 3 3 3 4" xfId="1551" xr:uid="{6A42CF2D-DB78-465E-B64D-B1FC186B6979}"/>
    <cellStyle name="Millares [0] 3 3 3 4 2" xfId="3543" xr:uid="{BA7DE354-203E-4D7C-B331-D3A23CF9EE41}"/>
    <cellStyle name="Millares [0] 3 3 3 5" xfId="880" xr:uid="{13A05023-DB15-4B6C-8DEB-4EE2C3931EA1}"/>
    <cellStyle name="Millares [0] 3 3 3 5 2" xfId="2879" xr:uid="{60903F47-7C40-49CA-8F62-E219C6F271F6}"/>
    <cellStyle name="Millares [0] 3 3 3 6" xfId="2215" xr:uid="{E3E185FE-853E-44A2-BAEB-360363105ED3}"/>
    <cellStyle name="Millares [0] 3 3 4" xfId="293" xr:uid="{05721000-D2ED-4B29-8C1C-AEEEA01D1FBC}"/>
    <cellStyle name="Millares [0] 3 3 4 2" xfId="625" xr:uid="{E7DC7026-7B41-4A5B-9F7E-647919F33618}"/>
    <cellStyle name="Millares [0] 3 3 4 2 2" xfId="1967" xr:uid="{80986763-102D-4985-A2E4-871E35927894}"/>
    <cellStyle name="Millares [0] 3 3 4 2 2 2" xfId="3959" xr:uid="{9242B52E-A4C8-4025-9A80-AD5C62E7E847}"/>
    <cellStyle name="Millares [0] 3 3 4 2 3" xfId="1296" xr:uid="{5B72FD12-BC3B-4746-993B-C57419F2E749}"/>
    <cellStyle name="Millares [0] 3 3 4 2 3 2" xfId="3295" xr:uid="{18AD3AEE-D561-4CCE-B127-F22B897F6357}"/>
    <cellStyle name="Millares [0] 3 3 4 2 4" xfId="2631" xr:uid="{04581835-7790-457B-BD68-940BFFF6288F}"/>
    <cellStyle name="Millares [0] 3 3 4 3" xfId="1635" xr:uid="{147E1216-A9F3-4921-A47C-0229FCF493C8}"/>
    <cellStyle name="Millares [0] 3 3 4 3 2" xfId="3627" xr:uid="{50C96862-93C2-4DFE-84C5-5B038659BE75}"/>
    <cellStyle name="Millares [0] 3 3 4 4" xfId="964" xr:uid="{41A0C370-C04E-4A0B-B16E-3354F6B28BB1}"/>
    <cellStyle name="Millares [0] 3 3 4 4 2" xfId="2963" xr:uid="{8EACF805-CE3C-4CA0-AD0C-ACDA718DF048}"/>
    <cellStyle name="Millares [0] 3 3 4 5" xfId="2299" xr:uid="{A9DD8553-5657-4F43-803A-57ECE6D71EFE}"/>
    <cellStyle name="Millares [0] 3 3 5" xfId="459" xr:uid="{668C92DE-0F91-4456-ABAA-4D632295BB4C}"/>
    <cellStyle name="Millares [0] 3 3 5 2" xfId="1801" xr:uid="{A39F7B1B-09E2-452B-8A78-FB43CEA0B5D4}"/>
    <cellStyle name="Millares [0] 3 3 5 2 2" xfId="3793" xr:uid="{19907200-C770-4ADB-8A71-1312D5D3E52A}"/>
    <cellStyle name="Millares [0] 3 3 5 3" xfId="1130" xr:uid="{D774AD77-766D-4532-BD38-2528B933C8DF}"/>
    <cellStyle name="Millares [0] 3 3 5 3 2" xfId="3129" xr:uid="{2038F7BA-5F38-47CA-997B-889DE52DEFD8}"/>
    <cellStyle name="Millares [0] 3 3 5 4" xfId="2465" xr:uid="{61DCDC16-05C0-4488-AAD9-89B365802B44}"/>
    <cellStyle name="Millares [0] 3 3 6" xfId="1469" xr:uid="{CD6824F2-3A3C-4A9A-9267-39AF804C6B74}"/>
    <cellStyle name="Millares [0] 3 3 6 2" xfId="3461" xr:uid="{0898F7B2-4251-4884-B17C-A6ECF7DCC00E}"/>
    <cellStyle name="Millares [0] 3 3 7" xfId="798" xr:uid="{4FB8DE8B-B6CB-44DC-AC88-5C7620357EB0}"/>
    <cellStyle name="Millares [0] 3 3 7 2" xfId="2797" xr:uid="{D20E2C7A-F7FD-438C-8C3B-D5A001E3A54A}"/>
    <cellStyle name="Millares [0] 3 3 8" xfId="2133" xr:uid="{8D83772A-992A-4EFC-93B8-F3E9C8362CD7}"/>
    <cellStyle name="Millares [0] 3 4" xfId="119" xr:uid="{390C8145-98B5-44C5-8EB1-2454BBFC1620}"/>
    <cellStyle name="Millares [0] 3 4 2" xfId="210" xr:uid="{E540D9C6-C3D6-452C-AD1F-8B233D1C180D}"/>
    <cellStyle name="Millares [0] 3 4 2 2" xfId="396" xr:uid="{3BD86A01-44F3-42B5-ADD1-19F004975D16}"/>
    <cellStyle name="Millares [0] 3 4 2 2 2" xfId="728" xr:uid="{1BE7E205-0DC1-4806-9030-9237EB7981B9}"/>
    <cellStyle name="Millares [0] 3 4 2 2 2 2" xfId="2070" xr:uid="{7E50312C-D3E7-4EC8-ABCF-0B58312738A2}"/>
    <cellStyle name="Millares [0] 3 4 2 2 2 2 2" xfId="4062" xr:uid="{6D944A74-C55F-4C6C-B0C1-C2458DDB5963}"/>
    <cellStyle name="Millares [0] 3 4 2 2 2 3" xfId="1399" xr:uid="{3B48044D-9911-4F4E-BE12-DB909055FCE4}"/>
    <cellStyle name="Millares [0] 3 4 2 2 2 3 2" xfId="3398" xr:uid="{FC948957-DC24-4EBC-82F8-21F5AD360236}"/>
    <cellStyle name="Millares [0] 3 4 2 2 2 4" xfId="2734" xr:uid="{45AF4265-D2CF-4A7A-B60A-D17AA1F29847}"/>
    <cellStyle name="Millares [0] 3 4 2 2 3" xfId="1738" xr:uid="{D1D193CE-4E4F-4365-8C32-43993592A4DC}"/>
    <cellStyle name="Millares [0] 3 4 2 2 3 2" xfId="3730" xr:uid="{4A249991-1EFC-4FF4-B6EA-26CDED01E1E0}"/>
    <cellStyle name="Millares [0] 3 4 2 2 4" xfId="1067" xr:uid="{A57F3C1F-C55B-4FC4-8295-B871B3860B3F}"/>
    <cellStyle name="Millares [0] 3 4 2 2 4 2" xfId="3066" xr:uid="{67F1BCA2-7A2F-4E06-B3AE-5826022E6CA0}"/>
    <cellStyle name="Millares [0] 3 4 2 2 5" xfId="2402" xr:uid="{BC7C1EBC-E483-405D-8BCF-A8617AFC5F85}"/>
    <cellStyle name="Millares [0] 3 4 2 3" xfId="562" xr:uid="{5C3FC4B5-62C0-4135-AF7B-FB8CA10A02A5}"/>
    <cellStyle name="Millares [0] 3 4 2 3 2" xfId="1904" xr:uid="{F8E2D621-1039-4817-AE58-1C8B638FA5B8}"/>
    <cellStyle name="Millares [0] 3 4 2 3 2 2" xfId="3896" xr:uid="{375D7772-A7E0-4E7E-A1FB-118D1FCA2D15}"/>
    <cellStyle name="Millares [0] 3 4 2 3 3" xfId="1233" xr:uid="{341260C2-5DDA-4D6F-B533-CB05269F8CDA}"/>
    <cellStyle name="Millares [0] 3 4 2 3 3 2" xfId="3232" xr:uid="{607F463D-FFB2-4D45-8278-695E102E6DAF}"/>
    <cellStyle name="Millares [0] 3 4 2 3 4" xfId="2568" xr:uid="{A1E36BB1-3363-4ECF-B851-629FB5979500}"/>
    <cellStyle name="Millares [0] 3 4 2 4" xfId="1572" xr:uid="{EA85A724-542D-4651-A88E-F5FEF966016B}"/>
    <cellStyle name="Millares [0] 3 4 2 4 2" xfId="3564" xr:uid="{FBF279EB-699C-484F-A3EA-1D2FA1AB8D4C}"/>
    <cellStyle name="Millares [0] 3 4 2 5" xfId="901" xr:uid="{07037EAF-A322-40BB-A435-F5A99BF3427E}"/>
    <cellStyle name="Millares [0] 3 4 2 5 2" xfId="2900" xr:uid="{B1142202-4215-4F64-AE13-ED5A9FB924A4}"/>
    <cellStyle name="Millares [0] 3 4 2 6" xfId="2236" xr:uid="{2FFF377F-D480-4B4F-9735-895E350E4DFE}"/>
    <cellStyle name="Millares [0] 3 4 3" xfId="314" xr:uid="{2430EAF7-F73E-4A92-9EC6-5DBD5EC92695}"/>
    <cellStyle name="Millares [0] 3 4 3 2" xfId="646" xr:uid="{63FABAFE-F591-4655-8E3F-E3AAB3386813}"/>
    <cellStyle name="Millares [0] 3 4 3 2 2" xfId="1988" xr:uid="{BA09C6AF-1D3E-4740-BD13-02C315795071}"/>
    <cellStyle name="Millares [0] 3 4 3 2 2 2" xfId="3980" xr:uid="{832BFFE0-FE0A-43D1-B472-EB22A37C7886}"/>
    <cellStyle name="Millares [0] 3 4 3 2 3" xfId="1317" xr:uid="{2954CB79-1D20-4F0C-BD0F-F6E596063033}"/>
    <cellStyle name="Millares [0] 3 4 3 2 3 2" xfId="3316" xr:uid="{66157481-8365-431D-9600-2EFEB60CFD73}"/>
    <cellStyle name="Millares [0] 3 4 3 2 4" xfId="2652" xr:uid="{F53BA576-4862-4C25-936E-7899A9EAF07B}"/>
    <cellStyle name="Millares [0] 3 4 3 3" xfId="1656" xr:uid="{935E6E23-5888-40E7-AB8D-4059F64DA5DD}"/>
    <cellStyle name="Millares [0] 3 4 3 3 2" xfId="3648" xr:uid="{FDE3458C-EDBD-473F-8028-FD344E690796}"/>
    <cellStyle name="Millares [0] 3 4 3 4" xfId="985" xr:uid="{ECC6BB41-7BF3-4165-AE81-3DD50AE14714}"/>
    <cellStyle name="Millares [0] 3 4 3 4 2" xfId="2984" xr:uid="{E836F528-851F-4C51-BA5B-4E7E357B51FF}"/>
    <cellStyle name="Millares [0] 3 4 3 5" xfId="2320" xr:uid="{B4431249-FA43-43E9-8DB7-1E4DC70C20DD}"/>
    <cellStyle name="Millares [0] 3 4 4" xfId="480" xr:uid="{551705DA-C75B-4644-A98B-F2FAAB4B75E6}"/>
    <cellStyle name="Millares [0] 3 4 4 2" xfId="1822" xr:uid="{BAD3A017-DEB3-4F7E-8F07-9C36188B454A}"/>
    <cellStyle name="Millares [0] 3 4 4 2 2" xfId="3814" xr:uid="{3B9E691A-944E-4E26-8E69-26EE4129B1FA}"/>
    <cellStyle name="Millares [0] 3 4 4 3" xfId="1151" xr:uid="{26D57616-55B1-4FAF-A485-F0A8B838734E}"/>
    <cellStyle name="Millares [0] 3 4 4 3 2" xfId="3150" xr:uid="{93EBBD4A-A60B-4470-B222-49F14B1D364E}"/>
    <cellStyle name="Millares [0] 3 4 4 4" xfId="2486" xr:uid="{5507AF13-A926-45B7-B3FA-FFBD43294D6B}"/>
    <cellStyle name="Millares [0] 3 4 5" xfId="1490" xr:uid="{F30DFF19-579C-448D-9F6F-7B07FCD5D97B}"/>
    <cellStyle name="Millares [0] 3 4 5 2" xfId="3482" xr:uid="{CB6D878B-4524-4781-872F-7D6CB18ED508}"/>
    <cellStyle name="Millares [0] 3 4 6" xfId="819" xr:uid="{019694AB-D7C1-4A32-AAAA-551601D19057}"/>
    <cellStyle name="Millares [0] 3 4 6 2" xfId="2818" xr:uid="{6B371680-21F9-4056-8BAB-54829BFB556A}"/>
    <cellStyle name="Millares [0] 3 4 7" xfId="2154" xr:uid="{FFDCD722-6469-4C79-9CBE-11CD206AA3D7}"/>
    <cellStyle name="Millares [0] 3 5" xfId="169" xr:uid="{118C9678-9DD3-44A4-81BB-6B77225B5B2F}"/>
    <cellStyle name="Millares [0] 3 5 2" xfId="356" xr:uid="{F24C0DCA-6BD1-4A14-94D9-DF2F399ABB5D}"/>
    <cellStyle name="Millares [0] 3 5 2 2" xfId="688" xr:uid="{E2536C0B-A5DB-4857-AA0A-F38ED31F94B8}"/>
    <cellStyle name="Millares [0] 3 5 2 2 2" xfId="2030" xr:uid="{DC943D84-7794-44BF-A8B3-75B6E93BFC7F}"/>
    <cellStyle name="Millares [0] 3 5 2 2 2 2" xfId="4022" xr:uid="{E2062774-5F09-4220-8A71-ECA5E77C2BE3}"/>
    <cellStyle name="Millares [0] 3 5 2 2 3" xfId="1359" xr:uid="{14911602-59C9-4227-B53E-28C001233163}"/>
    <cellStyle name="Millares [0] 3 5 2 2 3 2" xfId="3358" xr:uid="{C81D72F7-3B54-4A20-ABB1-195FC82A43F3}"/>
    <cellStyle name="Millares [0] 3 5 2 2 4" xfId="2694" xr:uid="{AF3BABD9-E961-4088-ACE2-8A5833B24179}"/>
    <cellStyle name="Millares [0] 3 5 2 3" xfId="1698" xr:uid="{53C95E8F-6D22-47DA-8FD0-D429F49996ED}"/>
    <cellStyle name="Millares [0] 3 5 2 3 2" xfId="3690" xr:uid="{F1EC0875-4A12-460A-91C3-C5A15DAAD352}"/>
    <cellStyle name="Millares [0] 3 5 2 4" xfId="1027" xr:uid="{52CD5C10-05A8-4B1A-8375-B9C5F3CFF75F}"/>
    <cellStyle name="Millares [0] 3 5 2 4 2" xfId="3026" xr:uid="{9F64A770-83DE-457F-83C2-7A593CE3D0B6}"/>
    <cellStyle name="Millares [0] 3 5 2 5" xfId="2362" xr:uid="{33125FAA-8A33-41F9-ABFD-45D6D27F1229}"/>
    <cellStyle name="Millares [0] 3 5 3" xfId="522" xr:uid="{61C4D303-20CD-48F6-AFDE-42245110C694}"/>
    <cellStyle name="Millares [0] 3 5 3 2" xfId="1864" xr:uid="{4593C8FB-2CFB-4205-87F4-1BF84E5D9ACC}"/>
    <cellStyle name="Millares [0] 3 5 3 2 2" xfId="3856" xr:uid="{22C55364-AAFE-462E-A2B4-718E72D38210}"/>
    <cellStyle name="Millares [0] 3 5 3 3" xfId="1193" xr:uid="{89D84ADB-60F3-4637-8E1F-30BA3047537B}"/>
    <cellStyle name="Millares [0] 3 5 3 3 2" xfId="3192" xr:uid="{EF885BC4-C630-4398-8AAF-56A9A2CFF95F}"/>
    <cellStyle name="Millares [0] 3 5 3 4" xfId="2528" xr:uid="{7CC2D0BD-BFCA-46F0-BE2B-948D8AA75E0F}"/>
    <cellStyle name="Millares [0] 3 5 4" xfId="1532" xr:uid="{00EBDCE9-BB41-49EB-8C66-0DF56F4AF9E0}"/>
    <cellStyle name="Millares [0] 3 5 4 2" xfId="3524" xr:uid="{41AEC3E2-2E3C-475C-8208-DF06D789BDB9}"/>
    <cellStyle name="Millares [0] 3 5 5" xfId="861" xr:uid="{AC292893-A04F-4B7B-A1D1-86BA22CA310F}"/>
    <cellStyle name="Millares [0] 3 5 5 2" xfId="2860" xr:uid="{EB83F58F-240C-4E73-8660-67AFF42ED683}"/>
    <cellStyle name="Millares [0] 3 5 6" xfId="2196" xr:uid="{CE032154-43AB-46EF-8105-D45B098DCBED}"/>
    <cellStyle name="Millares [0] 3 6" xfId="273" xr:uid="{317A6657-6E6B-4A7D-BCD7-4B7F1414DF74}"/>
    <cellStyle name="Millares [0] 3 6 2" xfId="606" xr:uid="{C06841B3-AE5C-426C-900F-858B93E68CF9}"/>
    <cellStyle name="Millares [0] 3 6 2 2" xfId="1948" xr:uid="{30CC5F50-9698-4883-81B0-232501CD6D64}"/>
    <cellStyle name="Millares [0] 3 6 2 2 2" xfId="3940" xr:uid="{C6789924-B92A-4C34-8980-B469556D980C}"/>
    <cellStyle name="Millares [0] 3 6 2 3" xfId="1277" xr:uid="{0D7D3B8E-32AE-4A50-BCCE-AD0316D41EAE}"/>
    <cellStyle name="Millares [0] 3 6 2 3 2" xfId="3276" xr:uid="{65A1BB2B-A396-4F65-B618-2CA2B8863E77}"/>
    <cellStyle name="Millares [0] 3 6 2 4" xfId="2612" xr:uid="{051F3CB9-D3DA-4BC9-8C2A-3152EBED8539}"/>
    <cellStyle name="Millares [0] 3 6 3" xfId="1616" xr:uid="{09E929AC-3A62-4A15-A01A-E9A165764DA0}"/>
    <cellStyle name="Millares [0] 3 6 3 2" xfId="3608" xr:uid="{93AF2DD8-AED9-44DC-8F60-CA0E5569D3CE}"/>
    <cellStyle name="Millares [0] 3 6 4" xfId="945" xr:uid="{98E9B92F-3467-4F68-ABCF-ECE352EDA71D}"/>
    <cellStyle name="Millares [0] 3 6 4 2" xfId="2944" xr:uid="{036B29A9-7DF1-4F5E-A854-50FA06BB9CFF}"/>
    <cellStyle name="Millares [0] 3 6 5" xfId="2280" xr:uid="{512786BE-2511-41AC-9A75-9937BB2001F2}"/>
    <cellStyle name="Millares [0] 3 7" xfId="440" xr:uid="{23914C70-6B7C-486C-8FE9-5D59CCBA8D03}"/>
    <cellStyle name="Millares [0] 3 7 2" xfId="1782" xr:uid="{2CC49317-38AF-43EF-91D6-8F945AA05321}"/>
    <cellStyle name="Millares [0] 3 7 2 2" xfId="3774" xr:uid="{90189E39-932B-4912-BEA1-86F4065BF876}"/>
    <cellStyle name="Millares [0] 3 7 3" xfId="1111" xr:uid="{D6DE9ACF-4274-4B38-AD47-38BAF48B8ECC}"/>
    <cellStyle name="Millares [0] 3 7 3 2" xfId="3110" xr:uid="{7F15CB61-D744-4EB8-A026-447B538FBA9A}"/>
    <cellStyle name="Millares [0] 3 7 4" xfId="2446" xr:uid="{D30E4C76-50B7-4013-80AD-FC429219F0CF}"/>
    <cellStyle name="Millares [0] 3 8" xfId="1449" xr:uid="{F506B475-9274-48A0-A3A0-B1229909AB3A}"/>
    <cellStyle name="Millares [0] 3 8 2" xfId="3442" xr:uid="{973C5437-F35A-46A9-8B3C-07EBDA529B8B}"/>
    <cellStyle name="Millares [0] 3 9" xfId="778" xr:uid="{33E2A2EC-34CD-4C17-9D2E-6E5ED5B96ACB}"/>
    <cellStyle name="Millares [0] 3 9 2" xfId="2778" xr:uid="{FD161AD9-2E8E-4ACF-B216-D65DC3913157}"/>
    <cellStyle name="Millares [0] 34" xfId="46" xr:uid="{254CBAC9-299A-43CC-A467-44D80BD591A2}"/>
    <cellStyle name="Millares [0] 34 10" xfId="2115" xr:uid="{BC33FEF7-168F-4D3D-997C-8F6C26E2146B}"/>
    <cellStyle name="Millares [0] 34 2" xfId="73" xr:uid="{7224F983-0BE8-45C5-8CC6-09E483650977}"/>
    <cellStyle name="Millares [0] 34 2 2" xfId="102" xr:uid="{AE460640-EDE2-4EAB-AEE0-5346A5752478}"/>
    <cellStyle name="Millares [0] 34 2 2 2" xfId="150" xr:uid="{607BD757-8509-442D-94FC-A359983597F3}"/>
    <cellStyle name="Millares [0] 34 2 2 2 2" xfId="239" xr:uid="{22D7817F-DB8E-48DB-812A-0E6D67B09323}"/>
    <cellStyle name="Millares [0] 34 2 2 2 2 2" xfId="425" xr:uid="{4EA20EC6-046E-4ADC-9F50-7918A43A4384}"/>
    <cellStyle name="Millares [0] 34 2 2 2 2 2 2" xfId="757" xr:uid="{9FC78452-A5AD-43A6-A3FF-B38F5AB854C1}"/>
    <cellStyle name="Millares [0] 34 2 2 2 2 2 2 2" xfId="2099" xr:uid="{AC602442-50D5-4106-B0E6-140DDCE6111C}"/>
    <cellStyle name="Millares [0] 34 2 2 2 2 2 2 2 2" xfId="4091" xr:uid="{DCAAAC4C-EB86-46F2-9062-9C6A524F4701}"/>
    <cellStyle name="Millares [0] 34 2 2 2 2 2 2 3" xfId="1428" xr:uid="{85F24608-6A7B-4770-B791-3B6A358B2C6C}"/>
    <cellStyle name="Millares [0] 34 2 2 2 2 2 2 3 2" xfId="3427" xr:uid="{D251AAEE-28F7-4F20-AA29-7E0B0A2255FD}"/>
    <cellStyle name="Millares [0] 34 2 2 2 2 2 2 4" xfId="2763" xr:uid="{C917B732-FD33-4586-A9BB-A2A7E4A145DA}"/>
    <cellStyle name="Millares [0] 34 2 2 2 2 2 3" xfId="1767" xr:uid="{79EC94BB-CAA0-4B10-A88F-67C273337F16}"/>
    <cellStyle name="Millares [0] 34 2 2 2 2 2 3 2" xfId="3759" xr:uid="{C96D2C8A-102C-4DEF-8134-C2BBAD0891DA}"/>
    <cellStyle name="Millares [0] 34 2 2 2 2 2 4" xfId="1096" xr:uid="{329B7A1D-3C5F-478D-867A-C3A06F9441CD}"/>
    <cellStyle name="Millares [0] 34 2 2 2 2 2 4 2" xfId="3095" xr:uid="{7A1E946E-64F9-4221-A8EA-5089AC8D36A9}"/>
    <cellStyle name="Millares [0] 34 2 2 2 2 2 5" xfId="2431" xr:uid="{D1D33FF8-72AD-484C-9A34-823A6C664AF0}"/>
    <cellStyle name="Millares [0] 34 2 2 2 2 3" xfId="591" xr:uid="{CCA12261-8AB6-4DB8-B7E0-1C89228D23DF}"/>
    <cellStyle name="Millares [0] 34 2 2 2 2 3 2" xfId="1933" xr:uid="{BAAFFEEF-547D-4764-BBC3-91CDE7E89C6B}"/>
    <cellStyle name="Millares [0] 34 2 2 2 2 3 2 2" xfId="3925" xr:uid="{354BFB71-9283-4BA1-812D-5FA33BF3FFB4}"/>
    <cellStyle name="Millares [0] 34 2 2 2 2 3 3" xfId="1262" xr:uid="{11E55995-11B7-4FE1-B453-D1D851BB5029}"/>
    <cellStyle name="Millares [0] 34 2 2 2 2 3 3 2" xfId="3261" xr:uid="{D40C9096-9170-45A4-AD8D-5F775D186761}"/>
    <cellStyle name="Millares [0] 34 2 2 2 2 3 4" xfId="2597" xr:uid="{54A1CD84-B66C-4B91-82F9-DF89C727D50F}"/>
    <cellStyle name="Millares [0] 34 2 2 2 2 4" xfId="1601" xr:uid="{0102E81D-590F-4458-A58D-DCCE2C492247}"/>
    <cellStyle name="Millares [0] 34 2 2 2 2 4 2" xfId="3593" xr:uid="{10DA93C0-F627-4B43-ADDC-0B04DED88569}"/>
    <cellStyle name="Millares [0] 34 2 2 2 2 5" xfId="930" xr:uid="{8CF4484C-E8E5-4B25-B063-04FD4100AE3B}"/>
    <cellStyle name="Millares [0] 34 2 2 2 2 5 2" xfId="2929" xr:uid="{65B78E44-71B7-4C05-A14D-3545F315D0F8}"/>
    <cellStyle name="Millares [0] 34 2 2 2 2 6" xfId="2265" xr:uid="{3043876F-2E46-48A5-9B2B-9550D6E0F709}"/>
    <cellStyle name="Millares [0] 34 2 2 2 3" xfId="343" xr:uid="{D16FDEF0-360E-4D7D-A21F-EA5B362704A4}"/>
    <cellStyle name="Millares [0] 34 2 2 2 3 2" xfId="675" xr:uid="{68FFCF55-9BA7-4236-A65A-FB9A0B58C10A}"/>
    <cellStyle name="Millares [0] 34 2 2 2 3 2 2" xfId="2017" xr:uid="{3EE6E20B-71EF-4DCE-9CB8-E9714D2897F6}"/>
    <cellStyle name="Millares [0] 34 2 2 2 3 2 2 2" xfId="4009" xr:uid="{ABE4FC33-177E-4F69-968B-C360405A9ACD}"/>
    <cellStyle name="Millares [0] 34 2 2 2 3 2 3" xfId="1346" xr:uid="{F2E3A681-00AA-4D12-99F3-BA86F66149C1}"/>
    <cellStyle name="Millares [0] 34 2 2 2 3 2 3 2" xfId="3345" xr:uid="{573CF3ED-3CE4-4110-97E6-44585C166E52}"/>
    <cellStyle name="Millares [0] 34 2 2 2 3 2 4" xfId="2681" xr:uid="{886FADB8-39F2-46AC-87A8-5EA06D27D81F}"/>
    <cellStyle name="Millares [0] 34 2 2 2 3 3" xfId="1685" xr:uid="{D4256D42-9C4B-43CD-9182-4CF9C20B24E6}"/>
    <cellStyle name="Millares [0] 34 2 2 2 3 3 2" xfId="3677" xr:uid="{7BA99036-F747-4D51-B27D-FE634FF82641}"/>
    <cellStyle name="Millares [0] 34 2 2 2 3 4" xfId="1014" xr:uid="{EA002FFE-A706-4672-BDF5-A3A851CA4479}"/>
    <cellStyle name="Millares [0] 34 2 2 2 3 4 2" xfId="3013" xr:uid="{E93F1938-BA11-414E-892C-68ACA08E4639}"/>
    <cellStyle name="Millares [0] 34 2 2 2 3 5" xfId="2349" xr:uid="{B30A3232-B541-4F83-A66A-255D2CD2786C}"/>
    <cellStyle name="Millares [0] 34 2 2 2 4" xfId="509" xr:uid="{C2D3E829-B08E-426E-8297-669DED34018B}"/>
    <cellStyle name="Millares [0] 34 2 2 2 4 2" xfId="1851" xr:uid="{E4998FC7-387F-4D25-9BD8-A59022B9CC76}"/>
    <cellStyle name="Millares [0] 34 2 2 2 4 2 2" xfId="3843" xr:uid="{2CAD80B2-640D-4303-812E-3CADFE17B356}"/>
    <cellStyle name="Millares [0] 34 2 2 2 4 3" xfId="1180" xr:uid="{27896F04-ED26-4631-9252-42C913B45FF5}"/>
    <cellStyle name="Millares [0] 34 2 2 2 4 3 2" xfId="3179" xr:uid="{D54C4208-82B1-4FB7-BA55-4D655B14EE90}"/>
    <cellStyle name="Millares [0] 34 2 2 2 4 4" xfId="2515" xr:uid="{1B1B083D-1C3B-4CE7-BF23-D2C02830E5AE}"/>
    <cellStyle name="Millares [0] 34 2 2 2 5" xfId="1519" xr:uid="{30404C3F-37E0-4795-BCCE-168F8561357C}"/>
    <cellStyle name="Millares [0] 34 2 2 2 5 2" xfId="3511" xr:uid="{C8D0DF8B-8D34-4652-91AE-EF7CAE69B10C}"/>
    <cellStyle name="Millares [0] 34 2 2 2 6" xfId="848" xr:uid="{142E7478-A9CE-47D0-B66B-3FD6E45A741A}"/>
    <cellStyle name="Millares [0] 34 2 2 2 6 2" xfId="2847" xr:uid="{99B703C6-8B89-4312-A36C-EEB02DD47CF1}"/>
    <cellStyle name="Millares [0] 34 2 2 2 7" xfId="2183" xr:uid="{10410F10-7E7F-4FF0-AAF3-3EE7351DE26A}"/>
    <cellStyle name="Millares [0] 34 2 2 3" xfId="199" xr:uid="{990C6A1D-6511-47A4-94A5-9B9B41034406}"/>
    <cellStyle name="Millares [0] 34 2 2 3 2" xfId="385" xr:uid="{170CB4CC-B056-4DDC-BD55-0E19D2BB7338}"/>
    <cellStyle name="Millares [0] 34 2 2 3 2 2" xfId="717" xr:uid="{B9D4EEDA-D9C7-4D15-8365-4D12BC2BB875}"/>
    <cellStyle name="Millares [0] 34 2 2 3 2 2 2" xfId="2059" xr:uid="{ABFAB2A0-5B4F-488D-B9A4-C4E37753F056}"/>
    <cellStyle name="Millares [0] 34 2 2 3 2 2 2 2" xfId="4051" xr:uid="{9C71749E-AF45-437C-BD97-2EAAD233EB92}"/>
    <cellStyle name="Millares [0] 34 2 2 3 2 2 3" xfId="1388" xr:uid="{8A9710D5-7E4D-40CF-8B8E-F2CDDE1358C2}"/>
    <cellStyle name="Millares [0] 34 2 2 3 2 2 3 2" xfId="3387" xr:uid="{F98E4E34-7713-4602-ACE8-D2C31B0E38D4}"/>
    <cellStyle name="Millares [0] 34 2 2 3 2 2 4" xfId="2723" xr:uid="{0715C665-B65A-4B35-A71B-78A1975E9EB8}"/>
    <cellStyle name="Millares [0] 34 2 2 3 2 3" xfId="1727" xr:uid="{9964FF95-EBFF-4C19-9CE4-B7657A3D7C53}"/>
    <cellStyle name="Millares [0] 34 2 2 3 2 3 2" xfId="3719" xr:uid="{C5249BEF-3D99-4CE7-9D42-A302E0C8F529}"/>
    <cellStyle name="Millares [0] 34 2 2 3 2 4" xfId="1056" xr:uid="{A3341A8B-FB91-4B59-B168-4EF1E1721C01}"/>
    <cellStyle name="Millares [0] 34 2 2 3 2 4 2" xfId="3055" xr:uid="{CD1B925B-1DB7-4E45-A69C-A50311188C74}"/>
    <cellStyle name="Millares [0] 34 2 2 3 2 5" xfId="2391" xr:uid="{7B1AA9CB-5248-40B9-957F-99EEDBB6969A}"/>
    <cellStyle name="Millares [0] 34 2 2 3 3" xfId="551" xr:uid="{078092AE-B99D-49F4-82D1-692967390E5D}"/>
    <cellStyle name="Millares [0] 34 2 2 3 3 2" xfId="1893" xr:uid="{45181D42-3C71-4B4C-9F50-47E68A749E56}"/>
    <cellStyle name="Millares [0] 34 2 2 3 3 2 2" xfId="3885" xr:uid="{32DCED9C-F98C-4030-95E5-7923123CAF93}"/>
    <cellStyle name="Millares [0] 34 2 2 3 3 3" xfId="1222" xr:uid="{4DD2D7B8-A152-4783-979C-D7B384B7E00C}"/>
    <cellStyle name="Millares [0] 34 2 2 3 3 3 2" xfId="3221" xr:uid="{2372B32D-ED69-4304-A475-879B8CF8FC7C}"/>
    <cellStyle name="Millares [0] 34 2 2 3 3 4" xfId="2557" xr:uid="{79B727DB-E9E1-401C-B117-7FD2821A8E74}"/>
    <cellStyle name="Millares [0] 34 2 2 3 4" xfId="1561" xr:uid="{39942B5F-9857-44A2-B489-67FBE95D283C}"/>
    <cellStyle name="Millares [0] 34 2 2 3 4 2" xfId="3553" xr:uid="{D290D336-917C-458F-B7B5-FD0C1F381BB7}"/>
    <cellStyle name="Millares [0] 34 2 2 3 5" xfId="890" xr:uid="{0E4324F5-9B7D-4882-BB13-B902641C6499}"/>
    <cellStyle name="Millares [0] 34 2 2 3 5 2" xfId="2889" xr:uid="{535A5636-20C2-46DC-94BD-1EFB5FB29F9A}"/>
    <cellStyle name="Millares [0] 34 2 2 3 6" xfId="2225" xr:uid="{C6BC9BF4-86D1-49C4-A356-DD31DE687A89}"/>
    <cellStyle name="Millares [0] 34 2 2 4" xfId="303" xr:uid="{86B6D70C-4090-4816-938F-5DF88B0C664A}"/>
    <cellStyle name="Millares [0] 34 2 2 4 2" xfId="635" xr:uid="{4A9876D4-A3AC-4F60-BF32-52F129468D00}"/>
    <cellStyle name="Millares [0] 34 2 2 4 2 2" xfId="1977" xr:uid="{017FB87F-0D78-4B57-8CE2-9C8A96C837C4}"/>
    <cellStyle name="Millares [0] 34 2 2 4 2 2 2" xfId="3969" xr:uid="{3A20DD6D-3FA5-4581-8EBE-098EDC3B9332}"/>
    <cellStyle name="Millares [0] 34 2 2 4 2 3" xfId="1306" xr:uid="{46EE3592-FBEA-485E-B3DF-7B87A76C2718}"/>
    <cellStyle name="Millares [0] 34 2 2 4 2 3 2" xfId="3305" xr:uid="{4AFC674C-C0C1-4A02-8B6F-0FA966FCD06E}"/>
    <cellStyle name="Millares [0] 34 2 2 4 2 4" xfId="2641" xr:uid="{DE3C0EB5-6347-46DA-93A3-884B69A27626}"/>
    <cellStyle name="Millares [0] 34 2 2 4 3" xfId="1645" xr:uid="{3690A180-5D40-498C-89F2-64F67CC0EE80}"/>
    <cellStyle name="Millares [0] 34 2 2 4 3 2" xfId="3637" xr:uid="{69CAB663-9C86-4975-BEDA-23440DFA6D30}"/>
    <cellStyle name="Millares [0] 34 2 2 4 4" xfId="974" xr:uid="{D06D108F-970A-42AB-80F5-BE8C474A4B23}"/>
    <cellStyle name="Millares [0] 34 2 2 4 4 2" xfId="2973" xr:uid="{B9BBDC5D-5558-4EAE-9030-7E196FFCD8DE}"/>
    <cellStyle name="Millares [0] 34 2 2 4 5" xfId="2309" xr:uid="{7089B9D7-EEBF-44D3-9680-1595A15AE8AC}"/>
    <cellStyle name="Millares [0] 34 2 2 5" xfId="469" xr:uid="{67553182-6A05-4517-9434-3B77D0C2CC05}"/>
    <cellStyle name="Millares [0] 34 2 2 5 2" xfId="1811" xr:uid="{4B5DFD10-A9AB-410D-8DB7-67A40E77144C}"/>
    <cellStyle name="Millares [0] 34 2 2 5 2 2" xfId="3803" xr:uid="{E5CC849F-8CCE-427F-BB57-6C3C63367E13}"/>
    <cellStyle name="Millares [0] 34 2 2 5 3" xfId="1140" xr:uid="{4749691B-964F-4120-AA9E-315F824990D1}"/>
    <cellStyle name="Millares [0] 34 2 2 5 3 2" xfId="3139" xr:uid="{ADC0FC21-54B6-4E39-B113-196A5A3DE2B8}"/>
    <cellStyle name="Millares [0] 34 2 2 5 4" xfId="2475" xr:uid="{7A98CD46-6C2B-4341-BCFB-FBA97762F61A}"/>
    <cellStyle name="Millares [0] 34 2 2 6" xfId="1479" xr:uid="{DA22942D-44E4-4741-A375-679D2EE9547E}"/>
    <cellStyle name="Millares [0] 34 2 2 6 2" xfId="3471" xr:uid="{83B65D6D-A5F3-43AD-8DD5-530B8A8068DD}"/>
    <cellStyle name="Millares [0] 34 2 2 7" xfId="808" xr:uid="{7DA865ED-FCF6-4D76-9535-447E967C5A54}"/>
    <cellStyle name="Millares [0] 34 2 2 7 2" xfId="2807" xr:uid="{E0FBDECA-169A-4D5C-91CB-DE7A90892E52}"/>
    <cellStyle name="Millares [0] 34 2 2 8" xfId="2143" xr:uid="{B9BF33B4-49D2-4341-979C-025419D76FA2}"/>
    <cellStyle name="Millares [0] 34 2 3" xfId="131" xr:uid="{B530D4D8-3B4E-47DD-9B63-E2A4BBCEDB8D}"/>
    <cellStyle name="Millares [0] 34 2 3 2" xfId="220" xr:uid="{9CB13092-49D9-4619-944A-80E92016481D}"/>
    <cellStyle name="Millares [0] 34 2 3 2 2" xfId="406" xr:uid="{7F91238C-C0A9-412B-A650-DB009ED094BD}"/>
    <cellStyle name="Millares [0] 34 2 3 2 2 2" xfId="738" xr:uid="{FFC0ED18-5C18-48EB-9AA7-965F67527D0D}"/>
    <cellStyle name="Millares [0] 34 2 3 2 2 2 2" xfId="2080" xr:uid="{CF2BD05F-643D-48CC-867F-2D9B124867B6}"/>
    <cellStyle name="Millares [0] 34 2 3 2 2 2 2 2" xfId="4072" xr:uid="{BDD87E8A-FDA5-4F7F-8B25-5CFDD6B84848}"/>
    <cellStyle name="Millares [0] 34 2 3 2 2 2 3" xfId="1409" xr:uid="{8397F285-4DD6-42E7-B923-9C2E7B427DAF}"/>
    <cellStyle name="Millares [0] 34 2 3 2 2 2 3 2" xfId="3408" xr:uid="{F33AFA83-F124-4EBD-8E3C-4CB5204D3DEA}"/>
    <cellStyle name="Millares [0] 34 2 3 2 2 2 4" xfId="2744" xr:uid="{FBBEA62C-DB41-4242-87D5-7FC7C41F90FD}"/>
    <cellStyle name="Millares [0] 34 2 3 2 2 3" xfId="1748" xr:uid="{080635AD-EF36-4D80-994F-5A2359B105A6}"/>
    <cellStyle name="Millares [0] 34 2 3 2 2 3 2" xfId="3740" xr:uid="{B1BC396F-E5DA-4361-B432-7FA8626D2F7C}"/>
    <cellStyle name="Millares [0] 34 2 3 2 2 4" xfId="1077" xr:uid="{1F4ADC7B-59E1-4B6F-805E-9C0079986609}"/>
    <cellStyle name="Millares [0] 34 2 3 2 2 4 2" xfId="3076" xr:uid="{3AA5D7B6-6E44-4542-BF9E-FB845D7318A6}"/>
    <cellStyle name="Millares [0] 34 2 3 2 2 5" xfId="2412" xr:uid="{04AD3F8D-A437-4420-A40D-FAC4C6D7A7DA}"/>
    <cellStyle name="Millares [0] 34 2 3 2 3" xfId="572" xr:uid="{B5A5BEC6-A586-48C3-878A-67646B854D0D}"/>
    <cellStyle name="Millares [0] 34 2 3 2 3 2" xfId="1914" xr:uid="{DAD56F22-0B7D-4987-B1BE-16661E8429B8}"/>
    <cellStyle name="Millares [0] 34 2 3 2 3 2 2" xfId="3906" xr:uid="{6D683F73-CFC4-4CA6-8105-1AB758EA26FE}"/>
    <cellStyle name="Millares [0] 34 2 3 2 3 3" xfId="1243" xr:uid="{A37AD2DD-67FC-4E79-A164-23EF4A8C1917}"/>
    <cellStyle name="Millares [0] 34 2 3 2 3 3 2" xfId="3242" xr:uid="{F92FF201-CA9A-4CAC-A258-204257BDBE89}"/>
    <cellStyle name="Millares [0] 34 2 3 2 3 4" xfId="2578" xr:uid="{B1A8F7D3-F9CC-4E13-9085-EAE5EBB2F58E}"/>
    <cellStyle name="Millares [0] 34 2 3 2 4" xfId="1582" xr:uid="{F3292DFD-F824-4755-B465-AABC3135A6F6}"/>
    <cellStyle name="Millares [0] 34 2 3 2 4 2" xfId="3574" xr:uid="{9D371240-F7A6-4051-93C8-A4F4C7243C9B}"/>
    <cellStyle name="Millares [0] 34 2 3 2 5" xfId="911" xr:uid="{17CEFA12-3281-42AB-B808-C1E9732D9F1B}"/>
    <cellStyle name="Millares [0] 34 2 3 2 5 2" xfId="2910" xr:uid="{4F02FD30-24B2-4EF8-95DA-A3207FB5A3DD}"/>
    <cellStyle name="Millares [0] 34 2 3 2 6" xfId="2246" xr:uid="{8CABDE76-638D-422D-AD17-4F8B490145F4}"/>
    <cellStyle name="Millares [0] 34 2 3 3" xfId="324" xr:uid="{1511263E-9E08-4E97-B884-AB1D6B723D38}"/>
    <cellStyle name="Millares [0] 34 2 3 3 2" xfId="656" xr:uid="{CBA9462E-940E-4851-A2F6-4CF6C1946DA5}"/>
    <cellStyle name="Millares [0] 34 2 3 3 2 2" xfId="1998" xr:uid="{ABCAB0E3-B61D-4EDF-A316-17C7C0A4374F}"/>
    <cellStyle name="Millares [0] 34 2 3 3 2 2 2" xfId="3990" xr:uid="{477F4810-4648-4DF2-B696-4D4A568D86EA}"/>
    <cellStyle name="Millares [0] 34 2 3 3 2 3" xfId="1327" xr:uid="{DF4941C6-15EF-4C77-A47D-8ADA5325F783}"/>
    <cellStyle name="Millares [0] 34 2 3 3 2 3 2" xfId="3326" xr:uid="{FD2577FB-78B6-4273-B9E0-D037FD128E4C}"/>
    <cellStyle name="Millares [0] 34 2 3 3 2 4" xfId="2662" xr:uid="{1EC3960E-D2C3-4D50-B1E5-D3D2F9C9F7CD}"/>
    <cellStyle name="Millares [0] 34 2 3 3 3" xfId="1666" xr:uid="{8BF5E8AD-C1C2-4879-A258-78A6773A06CB}"/>
    <cellStyle name="Millares [0] 34 2 3 3 3 2" xfId="3658" xr:uid="{27FD3D1E-564C-40FA-8C0E-A9A573CB40FA}"/>
    <cellStyle name="Millares [0] 34 2 3 3 4" xfId="995" xr:uid="{C9795F87-EE36-466A-AD2E-6F33A5C199E6}"/>
    <cellStyle name="Millares [0] 34 2 3 3 4 2" xfId="2994" xr:uid="{6AF0F920-22A9-4A77-A3C3-3813BF8AD8E4}"/>
    <cellStyle name="Millares [0] 34 2 3 3 5" xfId="2330" xr:uid="{EB9C915E-4D54-402F-94AF-5275790DA389}"/>
    <cellStyle name="Millares [0] 34 2 3 4" xfId="490" xr:uid="{C7B86221-04E8-4187-8040-5B40F07530FD}"/>
    <cellStyle name="Millares [0] 34 2 3 4 2" xfId="1832" xr:uid="{0539B98E-D3C5-4A74-AE70-9557C9B64D0A}"/>
    <cellStyle name="Millares [0] 34 2 3 4 2 2" xfId="3824" xr:uid="{8F8BDDEA-3459-49E1-82C3-815DE9D0483B}"/>
    <cellStyle name="Millares [0] 34 2 3 4 3" xfId="1161" xr:uid="{B5664150-9C39-4F75-96DF-83F73C609DF3}"/>
    <cellStyle name="Millares [0] 34 2 3 4 3 2" xfId="3160" xr:uid="{F6D3C694-5A8E-456A-B693-2B2AFE8ADCAE}"/>
    <cellStyle name="Millares [0] 34 2 3 4 4" xfId="2496" xr:uid="{4D45583B-5ACD-4832-A020-7EDE6E88CAB4}"/>
    <cellStyle name="Millares [0] 34 2 3 5" xfId="1500" xr:uid="{8313FB2F-139D-4FD5-B29A-D3C3401B5C39}"/>
    <cellStyle name="Millares [0] 34 2 3 5 2" xfId="3492" xr:uid="{F5663AA4-717F-46CD-BDBF-363B384523D9}"/>
    <cellStyle name="Millares [0] 34 2 3 6" xfId="829" xr:uid="{30479053-722B-4B7B-B749-65F941A3E56B}"/>
    <cellStyle name="Millares [0] 34 2 3 6 2" xfId="2828" xr:uid="{A980F781-84DA-4C13-B4D8-59E2F2DE0F29}"/>
    <cellStyle name="Millares [0] 34 2 3 7" xfId="2164" xr:uid="{A53A7E67-0D54-40E8-AEA8-663A9737E5DF}"/>
    <cellStyle name="Millares [0] 34 2 4" xfId="180" xr:uid="{59DFF1F6-89DB-4630-AF22-BC98377E6A6F}"/>
    <cellStyle name="Millares [0] 34 2 4 2" xfId="366" xr:uid="{78C6DFB9-58BB-48FE-9BAD-FD5DB317280F}"/>
    <cellStyle name="Millares [0] 34 2 4 2 2" xfId="698" xr:uid="{428B386C-72DB-40BD-87C5-E75C1DD0C0A2}"/>
    <cellStyle name="Millares [0] 34 2 4 2 2 2" xfId="2040" xr:uid="{39F304B4-D73A-4243-BFE8-673295434D1C}"/>
    <cellStyle name="Millares [0] 34 2 4 2 2 2 2" xfId="4032" xr:uid="{AAF76101-0E23-4EB2-A294-A36D763168A4}"/>
    <cellStyle name="Millares [0] 34 2 4 2 2 3" xfId="1369" xr:uid="{46297397-A5E9-44A4-86F4-E0EF562C0E94}"/>
    <cellStyle name="Millares [0] 34 2 4 2 2 3 2" xfId="3368" xr:uid="{381E219C-ADAD-49FB-BC9A-0B15A8CA5094}"/>
    <cellStyle name="Millares [0] 34 2 4 2 2 4" xfId="2704" xr:uid="{65DFBB5E-31DC-4B80-B49D-781D468E88F5}"/>
    <cellStyle name="Millares [0] 34 2 4 2 3" xfId="1708" xr:uid="{39904AB6-5B31-4FAC-9F13-C8CD66C21EE8}"/>
    <cellStyle name="Millares [0] 34 2 4 2 3 2" xfId="3700" xr:uid="{C33F0F4C-20ED-4567-A59D-D6605D7B94F6}"/>
    <cellStyle name="Millares [0] 34 2 4 2 4" xfId="1037" xr:uid="{3FBBDF5B-751B-4B51-B9BA-CB69061592F4}"/>
    <cellStyle name="Millares [0] 34 2 4 2 4 2" xfId="3036" xr:uid="{416D9CD6-DD60-46B8-90C3-FCE708F78AB6}"/>
    <cellStyle name="Millares [0] 34 2 4 2 5" xfId="2372" xr:uid="{798B870D-C069-4268-BD4D-4A2818B5E6FF}"/>
    <cellStyle name="Millares [0] 34 2 4 3" xfId="532" xr:uid="{D3687E7D-8FD3-4076-AC90-6417EDA36B48}"/>
    <cellStyle name="Millares [0] 34 2 4 3 2" xfId="1874" xr:uid="{E3A78657-1243-413A-80E3-B7364A970E8C}"/>
    <cellStyle name="Millares [0] 34 2 4 3 2 2" xfId="3866" xr:uid="{9B4AE04D-6D6F-4826-A982-ED29346CAED2}"/>
    <cellStyle name="Millares [0] 34 2 4 3 3" xfId="1203" xr:uid="{A7B9C34E-5853-4070-80D1-BA54F5B38D1A}"/>
    <cellStyle name="Millares [0] 34 2 4 3 3 2" xfId="3202" xr:uid="{DAA5397F-4AB3-42A4-A41F-A41F5B9EB744}"/>
    <cellStyle name="Millares [0] 34 2 4 3 4" xfId="2538" xr:uid="{73F89D76-87D2-4DE3-B3F8-B71DE836996B}"/>
    <cellStyle name="Millares [0] 34 2 4 4" xfId="1542" xr:uid="{1A0E26AA-0B45-4B78-A06F-F94E9F9420FC}"/>
    <cellStyle name="Millares [0] 34 2 4 4 2" xfId="3534" xr:uid="{2CC842F2-9DAB-47F8-B2C9-A47AC00F43D9}"/>
    <cellStyle name="Millares [0] 34 2 4 5" xfId="871" xr:uid="{37B5A0D7-CB7E-4B29-9F8C-8DBD6B4F5A50}"/>
    <cellStyle name="Millares [0] 34 2 4 5 2" xfId="2870" xr:uid="{2284657F-FF1E-42A7-A196-D11A8EB49318}"/>
    <cellStyle name="Millares [0] 34 2 4 6" xfId="2206" xr:uid="{E1EBB651-67CE-49BF-90ED-308ABC51FF14}"/>
    <cellStyle name="Millares [0] 34 2 5" xfId="284" xr:uid="{615E03B1-B193-4735-8DAA-78E9AB8C4F2D}"/>
    <cellStyle name="Millares [0] 34 2 5 2" xfId="616" xr:uid="{5C063FE8-68B1-49EA-AD2B-CFBFAE451293}"/>
    <cellStyle name="Millares [0] 34 2 5 2 2" xfId="1958" xr:uid="{24B975F5-D2F0-4415-BA61-673A65EF24A7}"/>
    <cellStyle name="Millares [0] 34 2 5 2 2 2" xfId="3950" xr:uid="{15F2AADD-EC81-4F61-B971-D9F843F0EE8A}"/>
    <cellStyle name="Millares [0] 34 2 5 2 3" xfId="1287" xr:uid="{6834D50A-2650-48D2-B678-19C5C07BC549}"/>
    <cellStyle name="Millares [0] 34 2 5 2 3 2" xfId="3286" xr:uid="{15197AA1-2A4D-4857-9031-2F2059B79080}"/>
    <cellStyle name="Millares [0] 34 2 5 2 4" xfId="2622" xr:uid="{370C14FA-72CB-45D3-9283-2A05E01B56D7}"/>
    <cellStyle name="Millares [0] 34 2 5 3" xfId="1626" xr:uid="{1C8990EA-9DE8-4805-BC97-C4A698A83AC3}"/>
    <cellStyle name="Millares [0] 34 2 5 3 2" xfId="3618" xr:uid="{1391CDFC-5479-437D-AA2F-614F48FEB430}"/>
    <cellStyle name="Millares [0] 34 2 5 4" xfId="955" xr:uid="{7928190A-6719-42F9-B7ED-20AB93EDE344}"/>
    <cellStyle name="Millares [0] 34 2 5 4 2" xfId="2954" xr:uid="{ACB4D7B5-90DE-4184-AEFC-DC6629C1F5F4}"/>
    <cellStyle name="Millares [0] 34 2 5 5" xfId="2290" xr:uid="{4EFF87CF-61EF-44DB-9A3F-859C694D6C5D}"/>
    <cellStyle name="Millares [0] 34 2 6" xfId="450" xr:uid="{931CF11A-358F-47BC-949A-A522B6EFB5E6}"/>
    <cellStyle name="Millares [0] 34 2 6 2" xfId="1792" xr:uid="{E36AC153-AFD1-4AAD-B5D8-32D30D5CECEE}"/>
    <cellStyle name="Millares [0] 34 2 6 2 2" xfId="3784" xr:uid="{51DD04E5-EBD1-4F10-BB5F-08B9DF499748}"/>
    <cellStyle name="Millares [0] 34 2 6 3" xfId="1121" xr:uid="{626C8E96-BDD1-4242-B3D2-5576AFFAA9E6}"/>
    <cellStyle name="Millares [0] 34 2 6 3 2" xfId="3120" xr:uid="{F37C7727-9E31-4ABD-9951-4834F1CE8C31}"/>
    <cellStyle name="Millares [0] 34 2 6 4" xfId="2456" xr:uid="{5D83E7A2-3453-4936-9705-380922DB0A69}"/>
    <cellStyle name="Millares [0] 34 2 7" xfId="1460" xr:uid="{BF78D471-7CCE-4E7F-8ACC-79D5B0865B71}"/>
    <cellStyle name="Millares [0] 34 2 7 2" xfId="3452" xr:uid="{03E09A44-65AD-4E42-A627-F643590BA985}"/>
    <cellStyle name="Millares [0] 34 2 8" xfId="789" xr:uid="{E806089D-6F61-4084-8299-5396BCC6CDD3}"/>
    <cellStyle name="Millares [0] 34 2 8 2" xfId="2788" xr:uid="{FE9C26A9-77AB-456F-A43A-FFB35D0F7244}"/>
    <cellStyle name="Millares [0] 34 2 9" xfId="2124" xr:uid="{48100D85-DA3E-4511-A27C-9133056E11DE}"/>
    <cellStyle name="Millares [0] 34 3" xfId="91" xr:uid="{F228B4E4-A322-4222-B43F-1EB20CFE8834}"/>
    <cellStyle name="Millares [0] 34 3 2" xfId="141" xr:uid="{5BDA680C-4480-49D6-9DA5-AAE1624B9696}"/>
    <cellStyle name="Millares [0] 34 3 2 2" xfId="230" xr:uid="{80DFF3C4-4741-4408-8B83-8714C9FE590F}"/>
    <cellStyle name="Millares [0] 34 3 2 2 2" xfId="416" xr:uid="{3596F3BF-BD8E-43FC-B6B8-AFA0164B095A}"/>
    <cellStyle name="Millares [0] 34 3 2 2 2 2" xfId="748" xr:uid="{203F9A36-3CFB-40B9-97B8-256069CF13A7}"/>
    <cellStyle name="Millares [0] 34 3 2 2 2 2 2" xfId="2090" xr:uid="{42CA3E7E-3A4E-4A3C-8DF8-67FE8438E67C}"/>
    <cellStyle name="Millares [0] 34 3 2 2 2 2 2 2" xfId="4082" xr:uid="{5C1A817A-63AC-4E37-A8EC-5B3FA533080C}"/>
    <cellStyle name="Millares [0] 34 3 2 2 2 2 3" xfId="1419" xr:uid="{B619C3D1-80C9-4B1C-8E84-1F323142A443}"/>
    <cellStyle name="Millares [0] 34 3 2 2 2 2 3 2" xfId="3418" xr:uid="{C0F53B30-3CC9-4493-9EAC-CD1A30D65489}"/>
    <cellStyle name="Millares [0] 34 3 2 2 2 2 4" xfId="2754" xr:uid="{7A0646A2-8ABF-4B9B-97B0-3ABE2215DB88}"/>
    <cellStyle name="Millares [0] 34 3 2 2 2 3" xfId="1758" xr:uid="{B3CE8A13-77C9-405D-9118-C4EEAD00F3EC}"/>
    <cellStyle name="Millares [0] 34 3 2 2 2 3 2" xfId="3750" xr:uid="{86C91A5D-CABD-4ED7-93A3-3CB1FB01F1AB}"/>
    <cellStyle name="Millares [0] 34 3 2 2 2 4" xfId="1087" xr:uid="{9C682903-E9C9-4D00-921D-18A9262225EA}"/>
    <cellStyle name="Millares [0] 34 3 2 2 2 4 2" xfId="3086" xr:uid="{020C9D82-15E3-4224-B1DB-4FC9F082AB98}"/>
    <cellStyle name="Millares [0] 34 3 2 2 2 5" xfId="2422" xr:uid="{25C1DCE4-3D30-4B94-9BC9-CF9ACF7C0D73}"/>
    <cellStyle name="Millares [0] 34 3 2 2 3" xfId="582" xr:uid="{0B747AF7-C7B9-48F6-9913-018E92224342}"/>
    <cellStyle name="Millares [0] 34 3 2 2 3 2" xfId="1924" xr:uid="{02689794-AF75-43C5-8808-62C8E3DA345C}"/>
    <cellStyle name="Millares [0] 34 3 2 2 3 2 2" xfId="3916" xr:uid="{8D49D796-3E93-4871-BEC8-2E8396633892}"/>
    <cellStyle name="Millares [0] 34 3 2 2 3 3" xfId="1253" xr:uid="{9A88C91E-0F6E-4F6C-B2EB-C0AB835AF8F2}"/>
    <cellStyle name="Millares [0] 34 3 2 2 3 3 2" xfId="3252" xr:uid="{FEE2E051-1877-4F31-94D9-81ECB3154D1B}"/>
    <cellStyle name="Millares [0] 34 3 2 2 3 4" xfId="2588" xr:uid="{BEB338DB-A3ED-4E92-8762-8F723C99E3BF}"/>
    <cellStyle name="Millares [0] 34 3 2 2 4" xfId="1592" xr:uid="{34947911-E228-4803-8ED5-44AF181214EC}"/>
    <cellStyle name="Millares [0] 34 3 2 2 4 2" xfId="3584" xr:uid="{8DB8DD09-171C-4749-BFED-628A6BA66B9B}"/>
    <cellStyle name="Millares [0] 34 3 2 2 5" xfId="921" xr:uid="{DAD1B2CB-1703-4034-88D4-BB4206928856}"/>
    <cellStyle name="Millares [0] 34 3 2 2 5 2" xfId="2920" xr:uid="{19A6B15A-5B3C-46EA-BAF5-48C54208BFF3}"/>
    <cellStyle name="Millares [0] 34 3 2 2 6" xfId="2256" xr:uid="{A6114CDC-F6E4-4430-AF87-6F6F250B35EB}"/>
    <cellStyle name="Millares [0] 34 3 2 3" xfId="334" xr:uid="{E5281029-F585-4D60-BBCF-98A6D697EABB}"/>
    <cellStyle name="Millares [0] 34 3 2 3 2" xfId="666" xr:uid="{7F29B9F1-336C-43B5-9762-D287B8947358}"/>
    <cellStyle name="Millares [0] 34 3 2 3 2 2" xfId="2008" xr:uid="{9BC520A3-5006-4108-A220-ED244202080B}"/>
    <cellStyle name="Millares [0] 34 3 2 3 2 2 2" xfId="4000" xr:uid="{3CE59455-5329-49C8-B6FE-9F9BA5571081}"/>
    <cellStyle name="Millares [0] 34 3 2 3 2 3" xfId="1337" xr:uid="{D2C611AD-960C-45EC-84A2-69082F63132E}"/>
    <cellStyle name="Millares [0] 34 3 2 3 2 3 2" xfId="3336" xr:uid="{3F42539B-6A30-4972-A785-B6A4E1B1F398}"/>
    <cellStyle name="Millares [0] 34 3 2 3 2 4" xfId="2672" xr:uid="{C75898A0-15D4-4B69-BA49-FA04D2B1E514}"/>
    <cellStyle name="Millares [0] 34 3 2 3 3" xfId="1676" xr:uid="{C5EE349C-E140-42C4-AAD5-C5CCC9B0764D}"/>
    <cellStyle name="Millares [0] 34 3 2 3 3 2" xfId="3668" xr:uid="{EDD6F681-B28F-4A71-B21D-80A6BE338361}"/>
    <cellStyle name="Millares [0] 34 3 2 3 4" xfId="1005" xr:uid="{D56F9EEA-F968-45CB-A687-5045AE229A15}"/>
    <cellStyle name="Millares [0] 34 3 2 3 4 2" xfId="3004" xr:uid="{702E6207-3922-42A5-949B-381E3F704967}"/>
    <cellStyle name="Millares [0] 34 3 2 3 5" xfId="2340" xr:uid="{9080B22C-A48B-4FF3-AFC2-4C70B9AE8900}"/>
    <cellStyle name="Millares [0] 34 3 2 4" xfId="500" xr:uid="{1E95275B-5050-4CB6-A75A-2A08CF36C94C}"/>
    <cellStyle name="Millares [0] 34 3 2 4 2" xfId="1842" xr:uid="{E6EDCD4D-C9DD-4435-B74E-5427B60541E3}"/>
    <cellStyle name="Millares [0] 34 3 2 4 2 2" xfId="3834" xr:uid="{560BF892-D8AD-46F2-84F6-464AAA755C48}"/>
    <cellStyle name="Millares [0] 34 3 2 4 3" xfId="1171" xr:uid="{2C9BA9F2-5FB6-4CA8-B461-28C6AFC0AEBD}"/>
    <cellStyle name="Millares [0] 34 3 2 4 3 2" xfId="3170" xr:uid="{C430FE6B-7C3E-406F-95E4-28F1F7D9F203}"/>
    <cellStyle name="Millares [0] 34 3 2 4 4" xfId="2506" xr:uid="{5EB6CCF3-26D6-4546-95FD-1ABFD39E5ED3}"/>
    <cellStyle name="Millares [0] 34 3 2 5" xfId="1510" xr:uid="{14DED7F5-5637-426E-9E19-01A399F86B68}"/>
    <cellStyle name="Millares [0] 34 3 2 5 2" xfId="3502" xr:uid="{0F548E4A-31B5-4314-9060-25D30B2F9290}"/>
    <cellStyle name="Millares [0] 34 3 2 6" xfId="839" xr:uid="{3B93B2D0-1E1B-4DD0-B968-C72868708ED2}"/>
    <cellStyle name="Millares [0] 34 3 2 6 2" xfId="2838" xr:uid="{7C8D3646-EF3C-4595-885F-D744D385114E}"/>
    <cellStyle name="Millares [0] 34 3 2 7" xfId="2174" xr:uid="{5D530002-0631-4131-AFDB-5C437AC236A3}"/>
    <cellStyle name="Millares [0] 34 3 3" xfId="190" xr:uid="{8081498B-A5E5-40C4-9E09-636D8F0D3CDB}"/>
    <cellStyle name="Millares [0] 34 3 3 2" xfId="376" xr:uid="{DB346574-49C1-40AE-8408-93EA7E3A3EB1}"/>
    <cellStyle name="Millares [0] 34 3 3 2 2" xfId="708" xr:uid="{178A58D8-FDAC-4ECD-9A17-3DCB5BDE950A}"/>
    <cellStyle name="Millares [0] 34 3 3 2 2 2" xfId="2050" xr:uid="{2047CCB5-CFA0-422A-B614-ABED082274AD}"/>
    <cellStyle name="Millares [0] 34 3 3 2 2 2 2" xfId="4042" xr:uid="{0B52E5EC-41EA-4C3F-AC4E-90A105A9DDEC}"/>
    <cellStyle name="Millares [0] 34 3 3 2 2 3" xfId="1379" xr:uid="{8008089F-E7DD-4428-91D0-A84542968DAF}"/>
    <cellStyle name="Millares [0] 34 3 3 2 2 3 2" xfId="3378" xr:uid="{01DBC392-BB29-4120-97C1-FB8A416DE159}"/>
    <cellStyle name="Millares [0] 34 3 3 2 2 4" xfId="2714" xr:uid="{B92D1DA8-2A45-4023-AD88-56368EEF5384}"/>
    <cellStyle name="Millares [0] 34 3 3 2 3" xfId="1718" xr:uid="{B115A517-8B31-4F18-B85B-B6FD9A70956B}"/>
    <cellStyle name="Millares [0] 34 3 3 2 3 2" xfId="3710" xr:uid="{E50D434F-C0D4-4828-A7E7-6A3BDF5A591B}"/>
    <cellStyle name="Millares [0] 34 3 3 2 4" xfId="1047" xr:uid="{A16BF71E-E7A1-411E-BB62-C07A2A1D221B}"/>
    <cellStyle name="Millares [0] 34 3 3 2 4 2" xfId="3046" xr:uid="{67E15484-6E01-497B-B413-5B0AAA7738BC}"/>
    <cellStyle name="Millares [0] 34 3 3 2 5" xfId="2382" xr:uid="{E8A5D1D2-8D9B-47E9-B864-C6E900B225B9}"/>
    <cellStyle name="Millares [0] 34 3 3 3" xfId="542" xr:uid="{39CA178A-1732-4EB0-98C5-B105B06D563A}"/>
    <cellStyle name="Millares [0] 34 3 3 3 2" xfId="1884" xr:uid="{70D92763-BAC9-4941-83D6-2AA33F379360}"/>
    <cellStyle name="Millares [0] 34 3 3 3 2 2" xfId="3876" xr:uid="{9CBE4BB2-286E-43CB-8007-A3D72D50B9F3}"/>
    <cellStyle name="Millares [0] 34 3 3 3 3" xfId="1213" xr:uid="{2550DA8F-62F3-4521-B552-EF0B94694527}"/>
    <cellStyle name="Millares [0] 34 3 3 3 3 2" xfId="3212" xr:uid="{DD54CEC8-BFB2-40D7-88E8-88D2E5A9B6E6}"/>
    <cellStyle name="Millares [0] 34 3 3 3 4" xfId="2548" xr:uid="{C842F912-7CCF-4C82-93C8-FB68E4E6F7FE}"/>
    <cellStyle name="Millares [0] 34 3 3 4" xfId="1552" xr:uid="{3418D6A4-AAC2-4FD2-97A6-89E9CABC5330}"/>
    <cellStyle name="Millares [0] 34 3 3 4 2" xfId="3544" xr:uid="{E0633E8F-0309-4ACF-A99F-9E270D24B20F}"/>
    <cellStyle name="Millares [0] 34 3 3 5" xfId="881" xr:uid="{E63B2FF4-F41D-4206-BC52-893B8393181B}"/>
    <cellStyle name="Millares [0] 34 3 3 5 2" xfId="2880" xr:uid="{987860B7-7397-4CE5-A7EB-B953F794C4B6}"/>
    <cellStyle name="Millares [0] 34 3 3 6" xfId="2216" xr:uid="{57609E1A-1879-43AF-BD68-294EE1484CFE}"/>
    <cellStyle name="Millares [0] 34 3 4" xfId="294" xr:uid="{243596BF-5C54-44D9-9745-1E462F064695}"/>
    <cellStyle name="Millares [0] 34 3 4 2" xfId="626" xr:uid="{BFF2FE64-A298-4BAC-8816-C39F904677C9}"/>
    <cellStyle name="Millares [0] 34 3 4 2 2" xfId="1968" xr:uid="{2355D3CC-50A7-43AE-95D4-B0A5812F9650}"/>
    <cellStyle name="Millares [0] 34 3 4 2 2 2" xfId="3960" xr:uid="{DB67E488-6966-4433-A0CE-C602F658E123}"/>
    <cellStyle name="Millares [0] 34 3 4 2 3" xfId="1297" xr:uid="{D50C4E4A-F468-49A4-A6B0-60E52A035EE4}"/>
    <cellStyle name="Millares [0] 34 3 4 2 3 2" xfId="3296" xr:uid="{899E5E17-B9E8-4ABA-8069-26D605473975}"/>
    <cellStyle name="Millares [0] 34 3 4 2 4" xfId="2632" xr:uid="{6133769A-3CB2-4463-986C-E49A9F3E5776}"/>
    <cellStyle name="Millares [0] 34 3 4 3" xfId="1636" xr:uid="{A77B917A-E990-4AC2-A882-3ADDA70F8A48}"/>
    <cellStyle name="Millares [0] 34 3 4 3 2" xfId="3628" xr:uid="{D1B40420-D032-46A6-BA0C-6A419281F159}"/>
    <cellStyle name="Millares [0] 34 3 4 4" xfId="965" xr:uid="{4FECAA8E-30A2-4D11-B9BC-FE85A033DD0E}"/>
    <cellStyle name="Millares [0] 34 3 4 4 2" xfId="2964" xr:uid="{12C05759-14D7-4070-81E3-B005620BED04}"/>
    <cellStyle name="Millares [0] 34 3 4 5" xfId="2300" xr:uid="{299C6C75-F78F-4C0E-838C-FE385D23BB58}"/>
    <cellStyle name="Millares [0] 34 3 5" xfId="460" xr:uid="{C629AAFF-03C5-48AB-9552-57D2C36737EE}"/>
    <cellStyle name="Millares [0] 34 3 5 2" xfId="1802" xr:uid="{71617C6D-3E3C-46EE-BCF1-C563BB09A898}"/>
    <cellStyle name="Millares [0] 34 3 5 2 2" xfId="3794" xr:uid="{86DE6D5A-14A8-4FF2-9FC1-4000BD8A9025}"/>
    <cellStyle name="Millares [0] 34 3 5 3" xfId="1131" xr:uid="{16A8AD91-B0D6-41F0-A4C1-C1AC1CF422C4}"/>
    <cellStyle name="Millares [0] 34 3 5 3 2" xfId="3130" xr:uid="{D28AF3D4-161E-42E1-BABD-EFA9CCB56763}"/>
    <cellStyle name="Millares [0] 34 3 5 4" xfId="2466" xr:uid="{B2DAA414-ABE2-41D3-AEA6-5E510812ED94}"/>
    <cellStyle name="Millares [0] 34 3 6" xfId="1470" xr:uid="{647AC976-B632-4265-A0B0-1FE0C2C1C786}"/>
    <cellStyle name="Millares [0] 34 3 6 2" xfId="3462" xr:uid="{73624A4E-81FE-4386-9C30-867FB67F959D}"/>
    <cellStyle name="Millares [0] 34 3 7" xfId="799" xr:uid="{C25AB0AD-A57A-4868-AA17-1FFBF73FF68D}"/>
    <cellStyle name="Millares [0] 34 3 7 2" xfId="2798" xr:uid="{004BDC1C-8A52-40D8-9EA5-BA34E9EB50E9}"/>
    <cellStyle name="Millares [0] 34 3 8" xfId="2134" xr:uid="{CA199966-28D0-4049-B62D-F5015231289D}"/>
    <cellStyle name="Millares [0] 34 4" xfId="120" xr:uid="{CE3A3DD4-8B66-417E-A107-9B1DE5257A56}"/>
    <cellStyle name="Millares [0] 34 4 2" xfId="211" xr:uid="{F5D8BCA3-CDAA-4640-810E-87027D81CA67}"/>
    <cellStyle name="Millares [0] 34 4 2 2" xfId="397" xr:uid="{398AB253-AB29-4950-99B7-338E9FFBE9CF}"/>
    <cellStyle name="Millares [0] 34 4 2 2 2" xfId="729" xr:uid="{76143617-EEEC-44BC-AD15-454406DBADBD}"/>
    <cellStyle name="Millares [0] 34 4 2 2 2 2" xfId="2071" xr:uid="{3FB11072-522A-4394-88BB-B63D311CD5E1}"/>
    <cellStyle name="Millares [0] 34 4 2 2 2 2 2" xfId="4063" xr:uid="{E9BBB945-95DA-44B4-A414-2CF270DB9102}"/>
    <cellStyle name="Millares [0] 34 4 2 2 2 3" xfId="1400" xr:uid="{7D4410DC-E82E-4E21-9398-9095630EAE90}"/>
    <cellStyle name="Millares [0] 34 4 2 2 2 3 2" xfId="3399" xr:uid="{12FCC484-D24B-4909-B40F-BE3CB50DF900}"/>
    <cellStyle name="Millares [0] 34 4 2 2 2 4" xfId="2735" xr:uid="{BBD79089-79DE-4832-B1E8-7C98F76F1176}"/>
    <cellStyle name="Millares [0] 34 4 2 2 3" xfId="1739" xr:uid="{7A10F431-B3AE-42BA-AC4E-2C140300F240}"/>
    <cellStyle name="Millares [0] 34 4 2 2 3 2" xfId="3731" xr:uid="{C7D7F754-DBC2-43E5-B121-6A0A7BA3F50F}"/>
    <cellStyle name="Millares [0] 34 4 2 2 4" xfId="1068" xr:uid="{57A5B91C-3BEE-4310-B644-FFD064F7942C}"/>
    <cellStyle name="Millares [0] 34 4 2 2 4 2" xfId="3067" xr:uid="{0E895F49-0647-4B55-87B1-8EEED9DD31C5}"/>
    <cellStyle name="Millares [0] 34 4 2 2 5" xfId="2403" xr:uid="{58AECA41-8DB4-41F5-AD10-13090F4E6617}"/>
    <cellStyle name="Millares [0] 34 4 2 3" xfId="563" xr:uid="{CEB4E4B6-B7DB-4064-AAAD-6E48D14A9BD7}"/>
    <cellStyle name="Millares [0] 34 4 2 3 2" xfId="1905" xr:uid="{91428F44-8712-4F26-9DC6-565112AFB7D8}"/>
    <cellStyle name="Millares [0] 34 4 2 3 2 2" xfId="3897" xr:uid="{B0C655AB-6A4D-4923-ADAE-CCFA3D17F67C}"/>
    <cellStyle name="Millares [0] 34 4 2 3 3" xfId="1234" xr:uid="{CAF69A66-FD70-4E99-9539-BCD7B4DCEC5A}"/>
    <cellStyle name="Millares [0] 34 4 2 3 3 2" xfId="3233" xr:uid="{7A3CD3F1-3943-4DBC-B687-F623D0D25C85}"/>
    <cellStyle name="Millares [0] 34 4 2 3 4" xfId="2569" xr:uid="{7413AEB0-7F77-4261-9336-B8BDA174D64D}"/>
    <cellStyle name="Millares [0] 34 4 2 4" xfId="1573" xr:uid="{8E677D03-2722-4151-B11E-6979230E0587}"/>
    <cellStyle name="Millares [0] 34 4 2 4 2" xfId="3565" xr:uid="{E1725883-B94F-4B56-83B7-B5CEAA5DAF84}"/>
    <cellStyle name="Millares [0] 34 4 2 5" xfId="902" xr:uid="{1C0163A5-943C-4220-8492-FBE1B151836C}"/>
    <cellStyle name="Millares [0] 34 4 2 5 2" xfId="2901" xr:uid="{A3817E3D-C1BB-440A-B1A3-EACFD181C721}"/>
    <cellStyle name="Millares [0] 34 4 2 6" xfId="2237" xr:uid="{07B37DD3-7BA4-4586-85A8-09179B05BF35}"/>
    <cellStyle name="Millares [0] 34 4 3" xfId="315" xr:uid="{E41EABC9-63A6-448B-84C3-1C6196245F21}"/>
    <cellStyle name="Millares [0] 34 4 3 2" xfId="647" xr:uid="{A205F9BF-3C3C-4465-8624-BA7922558F3D}"/>
    <cellStyle name="Millares [0] 34 4 3 2 2" xfId="1989" xr:uid="{B8FC6118-E7CE-4F8F-A75B-06B9D732B551}"/>
    <cellStyle name="Millares [0] 34 4 3 2 2 2" xfId="3981" xr:uid="{02449250-CAA4-4CAA-912A-47B6A10C3BC6}"/>
    <cellStyle name="Millares [0] 34 4 3 2 3" xfId="1318" xr:uid="{AA684B5A-B1DE-4EDA-B3E4-AF38BB2DA073}"/>
    <cellStyle name="Millares [0] 34 4 3 2 3 2" xfId="3317" xr:uid="{DAD81722-08E2-4E8E-940C-8F4C1C930E20}"/>
    <cellStyle name="Millares [0] 34 4 3 2 4" xfId="2653" xr:uid="{19F79A13-A9C2-456E-991A-EB7B6050E0D1}"/>
    <cellStyle name="Millares [0] 34 4 3 3" xfId="1657" xr:uid="{B631C830-A340-4C96-81B1-EE3D9668D0B4}"/>
    <cellStyle name="Millares [0] 34 4 3 3 2" xfId="3649" xr:uid="{24592C33-5B8E-4528-97B5-AEBEA5A44ABC}"/>
    <cellStyle name="Millares [0] 34 4 3 4" xfId="986" xr:uid="{47DC2B8C-DC3B-46B0-8763-F57D434905B3}"/>
    <cellStyle name="Millares [0] 34 4 3 4 2" xfId="2985" xr:uid="{95CD1BB2-634B-473A-B4A0-841354AC0D8F}"/>
    <cellStyle name="Millares [0] 34 4 3 5" xfId="2321" xr:uid="{B6F86698-47B0-4BF8-8AE1-6FBBDFB9D3B5}"/>
    <cellStyle name="Millares [0] 34 4 4" xfId="481" xr:uid="{6813F634-F616-403C-9581-52C25FDD0802}"/>
    <cellStyle name="Millares [0] 34 4 4 2" xfId="1823" xr:uid="{CC7C8BEF-BB19-484D-97BF-D78CCE5AA15D}"/>
    <cellStyle name="Millares [0] 34 4 4 2 2" xfId="3815" xr:uid="{1C494C1D-9245-4624-810F-D63C23578FE6}"/>
    <cellStyle name="Millares [0] 34 4 4 3" xfId="1152" xr:uid="{171780BD-05A3-4C21-A1C9-6F62EB071712}"/>
    <cellStyle name="Millares [0] 34 4 4 3 2" xfId="3151" xr:uid="{57D67C52-14FF-401E-B33B-A435E8161968}"/>
    <cellStyle name="Millares [0] 34 4 4 4" xfId="2487" xr:uid="{7F2D0CFC-97E4-4B5E-9504-D458A9DE17CF}"/>
    <cellStyle name="Millares [0] 34 4 5" xfId="1491" xr:uid="{7F4EF4FD-43CB-4F0F-89E6-DCA6D4E42F3C}"/>
    <cellStyle name="Millares [0] 34 4 5 2" xfId="3483" xr:uid="{E465A672-B253-4330-91F3-40698EDFC689}"/>
    <cellStyle name="Millares [0] 34 4 6" xfId="820" xr:uid="{EA870245-CA55-4668-A512-338AFF5276B5}"/>
    <cellStyle name="Millares [0] 34 4 6 2" xfId="2819" xr:uid="{A530A57C-98BA-42B2-AE42-5EDAF6B9283C}"/>
    <cellStyle name="Millares [0] 34 4 7" xfId="2155" xr:uid="{871BE136-1659-45F9-A7E4-856593989831}"/>
    <cellStyle name="Millares [0] 34 5" xfId="170" xr:uid="{EDC76787-76B6-4E62-AA0F-A5DD5C91C32D}"/>
    <cellStyle name="Millares [0] 34 5 2" xfId="357" xr:uid="{1E0D8628-25D7-4F71-88C9-02AB3A833AC8}"/>
    <cellStyle name="Millares [0] 34 5 2 2" xfId="689" xr:uid="{EBBEC5E6-A626-4005-A1C0-872843271C7F}"/>
    <cellStyle name="Millares [0] 34 5 2 2 2" xfId="2031" xr:uid="{111F35FE-A4DA-4F31-AE5C-3B090F8C1B45}"/>
    <cellStyle name="Millares [0] 34 5 2 2 2 2" xfId="4023" xr:uid="{9B853002-C3D4-4D46-A88D-D760DC998B22}"/>
    <cellStyle name="Millares [0] 34 5 2 2 3" xfId="1360" xr:uid="{AE3305B2-5382-42CB-9A48-119F647DA6DA}"/>
    <cellStyle name="Millares [0] 34 5 2 2 3 2" xfId="3359" xr:uid="{AA100553-7374-4BE9-9762-3C6DE325177F}"/>
    <cellStyle name="Millares [0] 34 5 2 2 4" xfId="2695" xr:uid="{C99D5DC7-8557-4F60-8B78-2EABA7030B83}"/>
    <cellStyle name="Millares [0] 34 5 2 3" xfId="1699" xr:uid="{C3AF354D-2D5A-427C-8A08-EBB14C590A02}"/>
    <cellStyle name="Millares [0] 34 5 2 3 2" xfId="3691" xr:uid="{ABCFE798-4D6B-42D1-815D-01EC675A32AA}"/>
    <cellStyle name="Millares [0] 34 5 2 4" xfId="1028" xr:uid="{7082FB53-7793-4A56-A726-C9C6ACC0417D}"/>
    <cellStyle name="Millares [0] 34 5 2 4 2" xfId="3027" xr:uid="{9043F41E-FCA8-4FA2-9018-D4E80A21AA25}"/>
    <cellStyle name="Millares [0] 34 5 2 5" xfId="2363" xr:uid="{FC8D56A4-DCBB-4839-9709-DF8EA597532A}"/>
    <cellStyle name="Millares [0] 34 5 3" xfId="523" xr:uid="{CFF7B666-4FD6-4865-BC80-7DD1C80471D0}"/>
    <cellStyle name="Millares [0] 34 5 3 2" xfId="1865" xr:uid="{3146EEB7-FD9A-483C-81BA-A10761238507}"/>
    <cellStyle name="Millares [0] 34 5 3 2 2" xfId="3857" xr:uid="{2876C585-343F-4049-890C-7FC17ED00225}"/>
    <cellStyle name="Millares [0] 34 5 3 3" xfId="1194" xr:uid="{E9F6B893-1B95-4C45-AB9A-FC74D1DE47D7}"/>
    <cellStyle name="Millares [0] 34 5 3 3 2" xfId="3193" xr:uid="{A1BDFC46-563A-4BD4-8AE1-17C7A76D7FD2}"/>
    <cellStyle name="Millares [0] 34 5 3 4" xfId="2529" xr:uid="{E64028B7-6429-4DB0-B0FE-582FCC4D30C1}"/>
    <cellStyle name="Millares [0] 34 5 4" xfId="1533" xr:uid="{E81C193C-5A0D-44EA-861F-005EFE17AC89}"/>
    <cellStyle name="Millares [0] 34 5 4 2" xfId="3525" xr:uid="{3392EA1C-629A-46F8-BC7D-70A045B3B0B1}"/>
    <cellStyle name="Millares [0] 34 5 5" xfId="862" xr:uid="{3BC41454-BCC9-4E3D-80E8-B8D04B3BD02C}"/>
    <cellStyle name="Millares [0] 34 5 5 2" xfId="2861" xr:uid="{5AA5FA26-9720-463E-8EC4-1D039F31E489}"/>
    <cellStyle name="Millares [0] 34 5 6" xfId="2197" xr:uid="{342E99F3-CC0B-41A2-B4BF-BBEBDF9D8838}"/>
    <cellStyle name="Millares [0] 34 6" xfId="274" xr:uid="{1CB2CA48-8376-44BD-9682-783C0C048BB9}"/>
    <cellStyle name="Millares [0] 34 6 2" xfId="607" xr:uid="{48BCBFCB-E7B7-4714-AE00-0C6AA674D7B6}"/>
    <cellStyle name="Millares [0] 34 6 2 2" xfId="1949" xr:uid="{B077EEBD-40C8-4E53-B2CE-3CFFE13D1650}"/>
    <cellStyle name="Millares [0] 34 6 2 2 2" xfId="3941" xr:uid="{3D83C83F-3756-4EB2-8085-8594429E32E2}"/>
    <cellStyle name="Millares [0] 34 6 2 3" xfId="1278" xr:uid="{4B6A9B0A-2D39-4904-A3B7-75E5A342C358}"/>
    <cellStyle name="Millares [0] 34 6 2 3 2" xfId="3277" xr:uid="{9AC839A2-7BD7-49DC-A354-508ED065933D}"/>
    <cellStyle name="Millares [0] 34 6 2 4" xfId="2613" xr:uid="{4A733F8D-2BBB-41F8-ADF8-4E42ADE6FECD}"/>
    <cellStyle name="Millares [0] 34 6 3" xfId="1617" xr:uid="{622F4C64-5067-4796-90BF-C233AA46EBA0}"/>
    <cellStyle name="Millares [0] 34 6 3 2" xfId="3609" xr:uid="{A1C0A4B2-11E3-420C-B7DF-CDADF625B386}"/>
    <cellStyle name="Millares [0] 34 6 4" xfId="946" xr:uid="{BFC0CB4A-9F6E-4FF5-B3BA-0D79D482D523}"/>
    <cellStyle name="Millares [0] 34 6 4 2" xfId="2945" xr:uid="{22AC4698-9FC8-4E51-A3E5-06A1AECDCEA4}"/>
    <cellStyle name="Millares [0] 34 6 5" xfId="2281" xr:uid="{3F0955A6-0C9B-47FB-8216-5BA9B12BD40F}"/>
    <cellStyle name="Millares [0] 34 7" xfId="441" xr:uid="{D3023D7E-7EBB-407D-990A-FC703031DEAE}"/>
    <cellStyle name="Millares [0] 34 7 2" xfId="1783" xr:uid="{150C075F-D8F5-4B18-83B2-22591A96399E}"/>
    <cellStyle name="Millares [0] 34 7 2 2" xfId="3775" xr:uid="{A35FEAA9-E837-4B99-9081-9D64FC7766BD}"/>
    <cellStyle name="Millares [0] 34 7 3" xfId="1112" xr:uid="{8BE5C509-2EB4-4AF1-9BB6-0E190887CFF5}"/>
    <cellStyle name="Millares [0] 34 7 3 2" xfId="3111" xr:uid="{BDACE5F3-4588-46CE-B04A-B8CD9E5957C9}"/>
    <cellStyle name="Millares [0] 34 7 4" xfId="2447" xr:uid="{56A31248-C6B7-42A2-8B91-40AC5A11FA2B}"/>
    <cellStyle name="Millares [0] 34 8" xfId="1450" xr:uid="{6FBA1954-19F5-4D80-BA6B-97836DC4B5BC}"/>
    <cellStyle name="Millares [0] 34 8 2" xfId="3443" xr:uid="{3ADFE04C-C284-4983-80EE-4B0FCAB551A3}"/>
    <cellStyle name="Millares [0] 34 9" xfId="779" xr:uid="{F3E2E186-4753-4961-8BBE-E4050EA878EB}"/>
    <cellStyle name="Millares [0] 34 9 2" xfId="2779" xr:uid="{488DBE9D-D744-428B-816E-91A2B1A791D6}"/>
    <cellStyle name="Millares [0] 4" xfId="78" xr:uid="{21508BAD-6226-4541-8ED6-96F0BB9CBDF9}"/>
    <cellStyle name="Millares [0] 4 2" xfId="106" xr:uid="{B5964881-5CFC-4641-9B52-697E3FAA541A}"/>
    <cellStyle name="Millares [0] 4 2 2" xfId="154" xr:uid="{FF358891-B500-4038-BA26-A70680034721}"/>
    <cellStyle name="Millares [0] 4 2 2 2" xfId="243" xr:uid="{9C7986DC-9EB6-4F5F-8975-2E91755863C8}"/>
    <cellStyle name="Millares [0] 4 2 2 2 2" xfId="429" xr:uid="{6D95FAEC-A71A-4DE0-9717-EA78F9257B4F}"/>
    <cellStyle name="Millares [0] 4 2 2 2 2 2" xfId="761" xr:uid="{DD48D6D7-AF2F-43E2-89F3-E45A40C6E4F0}"/>
    <cellStyle name="Millares [0] 4 2 2 2 2 2 2" xfId="2103" xr:uid="{29B8C4FC-091F-47CD-8E07-899E005445DC}"/>
    <cellStyle name="Millares [0] 4 2 2 2 2 2 2 2" xfId="4095" xr:uid="{0015B7DB-4334-4CBD-9A71-43F93B729D55}"/>
    <cellStyle name="Millares [0] 4 2 2 2 2 2 3" xfId="1432" xr:uid="{BBCDB9D5-7D9E-431A-9C57-74F74063BEAA}"/>
    <cellStyle name="Millares [0] 4 2 2 2 2 2 3 2" xfId="3431" xr:uid="{729BB3B8-ED0B-437E-9E0A-9140C5E161A7}"/>
    <cellStyle name="Millares [0] 4 2 2 2 2 2 4" xfId="2767" xr:uid="{C7465E77-97F5-4DEA-BAB2-B24C86DFBB33}"/>
    <cellStyle name="Millares [0] 4 2 2 2 2 3" xfId="1771" xr:uid="{08ED3F5D-0CCE-4213-9B00-F866838EF4E8}"/>
    <cellStyle name="Millares [0] 4 2 2 2 2 3 2" xfId="3763" xr:uid="{D4C4DCE9-8219-4C42-835F-7C997C117D56}"/>
    <cellStyle name="Millares [0] 4 2 2 2 2 4" xfId="1100" xr:uid="{CC34671E-207C-46F5-A3D7-E2DC73C421D2}"/>
    <cellStyle name="Millares [0] 4 2 2 2 2 4 2" xfId="3099" xr:uid="{ACE730E3-A8B2-4B47-9D6F-5396BB882E6D}"/>
    <cellStyle name="Millares [0] 4 2 2 2 2 5" xfId="2435" xr:uid="{6A9D0B13-883A-496A-A764-69F241B5EA6C}"/>
    <cellStyle name="Millares [0] 4 2 2 2 3" xfId="595" xr:uid="{AA5EAE2E-68AE-42A1-BA35-72C22F8E87E9}"/>
    <cellStyle name="Millares [0] 4 2 2 2 3 2" xfId="1937" xr:uid="{62E2EC60-BA1C-4E02-9F95-135E2A52FBF5}"/>
    <cellStyle name="Millares [0] 4 2 2 2 3 2 2" xfId="3929" xr:uid="{8CEECB9A-A8AE-4EC7-86D3-D94DA1CD3DAD}"/>
    <cellStyle name="Millares [0] 4 2 2 2 3 3" xfId="1266" xr:uid="{9EBCBC53-90E6-4770-9B7C-68D7958DC6BD}"/>
    <cellStyle name="Millares [0] 4 2 2 2 3 3 2" xfId="3265" xr:uid="{DE2A730E-0767-4950-A444-621186413572}"/>
    <cellStyle name="Millares [0] 4 2 2 2 3 4" xfId="2601" xr:uid="{687E0B92-7F97-4694-A201-354907D6E34F}"/>
    <cellStyle name="Millares [0] 4 2 2 2 4" xfId="1605" xr:uid="{4BABBC33-3BA4-4FB3-9124-84C614D430B0}"/>
    <cellStyle name="Millares [0] 4 2 2 2 4 2" xfId="3597" xr:uid="{AF3FE40E-B181-4CEF-B16F-848D1F023B2C}"/>
    <cellStyle name="Millares [0] 4 2 2 2 5" xfId="934" xr:uid="{FDD48235-4B46-406E-8995-5455E98F5724}"/>
    <cellStyle name="Millares [0] 4 2 2 2 5 2" xfId="2933" xr:uid="{7ACFF6C1-DA3E-4504-BAEE-E0E922FDE3E2}"/>
    <cellStyle name="Millares [0] 4 2 2 2 6" xfId="2269" xr:uid="{B9D5CF5C-3F03-4A36-B0A4-A34145C90D2A}"/>
    <cellStyle name="Millares [0] 4 2 2 3" xfId="347" xr:uid="{3B70FC43-4C0F-438C-84F7-1DB07028F5FF}"/>
    <cellStyle name="Millares [0] 4 2 2 3 2" xfId="679" xr:uid="{6506EA42-9E61-415C-95F1-6A7E5E5055F9}"/>
    <cellStyle name="Millares [0] 4 2 2 3 2 2" xfId="2021" xr:uid="{69FBD5EF-01CA-4193-8291-DE1B301E3FA2}"/>
    <cellStyle name="Millares [0] 4 2 2 3 2 2 2" xfId="4013" xr:uid="{8EF52483-8DE4-4862-83C7-E2656A78CC5D}"/>
    <cellStyle name="Millares [0] 4 2 2 3 2 3" xfId="1350" xr:uid="{BAFE5D47-5EDE-4129-A858-73BC08C47A29}"/>
    <cellStyle name="Millares [0] 4 2 2 3 2 3 2" xfId="3349" xr:uid="{A1A1ECF6-6E33-4F01-A6B2-CC040152BC2D}"/>
    <cellStyle name="Millares [0] 4 2 2 3 2 4" xfId="2685" xr:uid="{1F7663D5-67A9-4FF4-AF28-2A68B54E37CC}"/>
    <cellStyle name="Millares [0] 4 2 2 3 3" xfId="1689" xr:uid="{9B8F54AD-F918-43B3-9394-CEC7A15E1C8B}"/>
    <cellStyle name="Millares [0] 4 2 2 3 3 2" xfId="3681" xr:uid="{935B5309-80CE-476B-94AA-488D9F02C2C0}"/>
    <cellStyle name="Millares [0] 4 2 2 3 4" xfId="1018" xr:uid="{0DF7FD2D-C891-4398-9308-F8DCF4AEE2EB}"/>
    <cellStyle name="Millares [0] 4 2 2 3 4 2" xfId="3017" xr:uid="{8D29DBF6-B2CE-401C-B8A2-E3D0F01CAD2F}"/>
    <cellStyle name="Millares [0] 4 2 2 3 5" xfId="2353" xr:uid="{E09E5E05-6980-4A64-B501-7CB544AF8F1A}"/>
    <cellStyle name="Millares [0] 4 2 2 4" xfId="513" xr:uid="{3CB8859D-2F82-450E-B47B-CB23885CF5C1}"/>
    <cellStyle name="Millares [0] 4 2 2 4 2" xfId="1855" xr:uid="{A48059A0-ABA5-4FDE-AF2E-A2A7567CF704}"/>
    <cellStyle name="Millares [0] 4 2 2 4 2 2" xfId="3847" xr:uid="{6F841E1E-628D-436F-8D44-F8DD5B8A9795}"/>
    <cellStyle name="Millares [0] 4 2 2 4 3" xfId="1184" xr:uid="{722741C2-E79F-41C2-8C39-BFF6056B3906}"/>
    <cellStyle name="Millares [0] 4 2 2 4 3 2" xfId="3183" xr:uid="{97AEDB83-F2D2-45F8-9BD1-BB8DA0735286}"/>
    <cellStyle name="Millares [0] 4 2 2 4 4" xfId="2519" xr:uid="{56D8025F-6597-44D6-84F9-B4CC89BB451F}"/>
    <cellStyle name="Millares [0] 4 2 2 5" xfId="1523" xr:uid="{F2FB7ECF-2756-4519-868A-7D8300530464}"/>
    <cellStyle name="Millares [0] 4 2 2 5 2" xfId="3515" xr:uid="{1D22D426-FD21-4440-9454-77422FFF68E8}"/>
    <cellStyle name="Millares [0] 4 2 2 6" xfId="852" xr:uid="{FB0C2314-D2EF-453F-B4FA-438A94FAD6A7}"/>
    <cellStyle name="Millares [0] 4 2 2 6 2" xfId="2851" xr:uid="{935B1D4E-7BEB-48A6-8AD7-76F55BD06821}"/>
    <cellStyle name="Millares [0] 4 2 2 7" xfId="2187" xr:uid="{9434CA80-1105-44AE-9379-47971F989259}"/>
    <cellStyle name="Millares [0] 4 2 3" xfId="203" xr:uid="{55C6008E-54D8-4655-B0CC-88A8C4ED05E9}"/>
    <cellStyle name="Millares [0] 4 2 3 2" xfId="389" xr:uid="{0F17B7F0-D1BB-4DF0-81B0-DEACBAFC4489}"/>
    <cellStyle name="Millares [0] 4 2 3 2 2" xfId="721" xr:uid="{FA1EB39D-3783-495B-BF54-44A3C4E9D69D}"/>
    <cellStyle name="Millares [0] 4 2 3 2 2 2" xfId="2063" xr:uid="{F7D3E3D0-280E-4422-8BBD-40036A479F96}"/>
    <cellStyle name="Millares [0] 4 2 3 2 2 2 2" xfId="4055" xr:uid="{B4E6556D-BB7D-4198-8501-9DF6E3243F93}"/>
    <cellStyle name="Millares [0] 4 2 3 2 2 3" xfId="1392" xr:uid="{1DA1280A-7320-45F3-9A6C-A018A1C4F867}"/>
    <cellStyle name="Millares [0] 4 2 3 2 2 3 2" xfId="3391" xr:uid="{A62BC19B-9D0A-4216-8F7A-6BD7D9A269D4}"/>
    <cellStyle name="Millares [0] 4 2 3 2 2 4" xfId="2727" xr:uid="{3238CF7B-560B-433A-8227-364D1E91E2CD}"/>
    <cellStyle name="Millares [0] 4 2 3 2 3" xfId="1731" xr:uid="{0A6EC1EA-560E-4506-9F4E-8CE41413D19D}"/>
    <cellStyle name="Millares [0] 4 2 3 2 3 2" xfId="3723" xr:uid="{97D014BA-CB1D-4075-B11B-6470B94CCBC5}"/>
    <cellStyle name="Millares [0] 4 2 3 2 4" xfId="1060" xr:uid="{716DE028-B328-4C5B-9EF3-23F044A6E292}"/>
    <cellStyle name="Millares [0] 4 2 3 2 4 2" xfId="3059" xr:uid="{C4757AD8-7472-4EBA-BBE8-7DC76D8A3A3D}"/>
    <cellStyle name="Millares [0] 4 2 3 2 5" xfId="2395" xr:uid="{A3F0EEAC-D4E8-4718-BB6F-A7944515D841}"/>
    <cellStyle name="Millares [0] 4 2 3 3" xfId="555" xr:uid="{F838F6D5-5EDD-4B2A-AF3F-A2BA499A5BA3}"/>
    <cellStyle name="Millares [0] 4 2 3 3 2" xfId="1897" xr:uid="{4CA725D3-C079-471E-A155-EC7846D21B23}"/>
    <cellStyle name="Millares [0] 4 2 3 3 2 2" xfId="3889" xr:uid="{FD24BCB0-52A5-497D-9584-F91E9D144789}"/>
    <cellStyle name="Millares [0] 4 2 3 3 3" xfId="1226" xr:uid="{00C0B509-16E0-4BFD-BC14-3447A7D162E1}"/>
    <cellStyle name="Millares [0] 4 2 3 3 3 2" xfId="3225" xr:uid="{0EEA3C9D-D66F-4FDB-B45C-C7D411519224}"/>
    <cellStyle name="Millares [0] 4 2 3 3 4" xfId="2561" xr:uid="{003D5679-B005-4A43-A598-47F6F1E89ACB}"/>
    <cellStyle name="Millares [0] 4 2 3 4" xfId="1565" xr:uid="{35A7E9B5-4725-4A7F-A4A6-B1306B25EB14}"/>
    <cellStyle name="Millares [0] 4 2 3 4 2" xfId="3557" xr:uid="{D9407768-935A-4059-9689-28CD6B6DDB45}"/>
    <cellStyle name="Millares [0] 4 2 3 5" xfId="894" xr:uid="{31708D8B-3BFD-4B21-95FF-27FE816EFD1A}"/>
    <cellStyle name="Millares [0] 4 2 3 5 2" xfId="2893" xr:uid="{2A4C459D-72C1-43AE-8717-F0133A6A2923}"/>
    <cellStyle name="Millares [0] 4 2 3 6" xfId="2229" xr:uid="{656B99F6-E8C9-43F5-9E62-E5DC102898BD}"/>
    <cellStyle name="Millares [0] 4 2 4" xfId="307" xr:uid="{FAD025B8-247B-40AC-8E23-98E625C266AC}"/>
    <cellStyle name="Millares [0] 4 2 4 2" xfId="639" xr:uid="{47220BE4-209F-4600-9571-F634BC2B9329}"/>
    <cellStyle name="Millares [0] 4 2 4 2 2" xfId="1981" xr:uid="{8ED4CA76-68F9-4F05-8339-92481035770C}"/>
    <cellStyle name="Millares [0] 4 2 4 2 2 2" xfId="3973" xr:uid="{427942D9-D936-4E44-868D-51EAA969A552}"/>
    <cellStyle name="Millares [0] 4 2 4 2 3" xfId="1310" xr:uid="{E89A3AA1-2AE2-4343-B907-E9173E427C33}"/>
    <cellStyle name="Millares [0] 4 2 4 2 3 2" xfId="3309" xr:uid="{03D6F2BD-2D90-4E6F-B91A-E94F124DFAB8}"/>
    <cellStyle name="Millares [0] 4 2 4 2 4" xfId="2645" xr:uid="{B7D244CD-38F9-474D-ACB7-ED7A9FA751FB}"/>
    <cellStyle name="Millares [0] 4 2 4 3" xfId="1649" xr:uid="{64A95ABB-EA88-4FAC-B19A-E9FB1FC6371B}"/>
    <cellStyle name="Millares [0] 4 2 4 3 2" xfId="3641" xr:uid="{E2088206-2555-48B2-93EE-346BF27B9681}"/>
    <cellStyle name="Millares [0] 4 2 4 4" xfId="978" xr:uid="{02466C69-8716-4544-9CEE-7C80C43A78F9}"/>
    <cellStyle name="Millares [0] 4 2 4 4 2" xfId="2977" xr:uid="{5EAC1C66-A0BB-4E97-8E32-018E467D8E5E}"/>
    <cellStyle name="Millares [0] 4 2 4 5" xfId="2313" xr:uid="{023B488F-1974-4E26-8087-B29F317E6C5F}"/>
    <cellStyle name="Millares [0] 4 2 5" xfId="473" xr:uid="{B7D199A9-5B47-4EB4-8F94-70BC92C4061F}"/>
    <cellStyle name="Millares [0] 4 2 5 2" xfId="1815" xr:uid="{5E942F73-6D4A-4088-93F4-69868D3AF6A6}"/>
    <cellStyle name="Millares [0] 4 2 5 2 2" xfId="3807" xr:uid="{73243BE1-B1F4-4F85-8C58-58E20672C2D8}"/>
    <cellStyle name="Millares [0] 4 2 5 3" xfId="1144" xr:uid="{DABD0F29-22E9-4521-89A9-72FBB56A4361}"/>
    <cellStyle name="Millares [0] 4 2 5 3 2" xfId="3143" xr:uid="{3114ED8D-4AB6-4B92-84A6-D963B2F074F0}"/>
    <cellStyle name="Millares [0] 4 2 5 4" xfId="2479" xr:uid="{FE2164A8-8D2C-4468-899E-51EF0D6B6D6A}"/>
    <cellStyle name="Millares [0] 4 2 6" xfId="1483" xr:uid="{6D283662-41F1-4F2E-9738-399E974E4B9F}"/>
    <cellStyle name="Millares [0] 4 2 6 2" xfId="3475" xr:uid="{3F01CE64-53AC-4EA1-B283-D139736AB285}"/>
    <cellStyle name="Millares [0] 4 2 7" xfId="812" xr:uid="{92C9D998-5589-4EF9-AED3-778405939B3C}"/>
    <cellStyle name="Millares [0] 4 2 7 2" xfId="2811" xr:uid="{CCA4884B-5A28-461D-8405-FEFA8A98690B}"/>
    <cellStyle name="Millares [0] 4 2 8" xfId="2147" xr:uid="{D77AC437-C07E-4893-844E-8DEEC50C0B1D}"/>
    <cellStyle name="Millares [0] 4 3" xfId="135" xr:uid="{9FD5C28C-FD80-4843-BA65-1A13DDDD5333}"/>
    <cellStyle name="Millares [0] 4 3 2" xfId="224" xr:uid="{29DE9832-E2C0-4372-AC60-92BC5B365C23}"/>
    <cellStyle name="Millares [0] 4 3 2 2" xfId="410" xr:uid="{05184DB1-84A0-4BD9-8A5F-C1C7F57D88A7}"/>
    <cellStyle name="Millares [0] 4 3 2 2 2" xfId="742" xr:uid="{BDA8176A-1345-4A22-BA98-646302DD18DC}"/>
    <cellStyle name="Millares [0] 4 3 2 2 2 2" xfId="2084" xr:uid="{C7B1D8F3-1228-4801-9949-9C9843C41B13}"/>
    <cellStyle name="Millares [0] 4 3 2 2 2 2 2" xfId="4076" xr:uid="{8EF9C0B5-D1EC-489F-831C-2C1ED59D9EE1}"/>
    <cellStyle name="Millares [0] 4 3 2 2 2 3" xfId="1413" xr:uid="{F6B1E9D2-6AAE-433B-958D-753D30B04560}"/>
    <cellStyle name="Millares [0] 4 3 2 2 2 3 2" xfId="3412" xr:uid="{66791198-0BF5-4396-8028-78AB9F2DC995}"/>
    <cellStyle name="Millares [0] 4 3 2 2 2 4" xfId="2748" xr:uid="{266EEB53-3CC0-4A0B-8930-4BD991BF6D2F}"/>
    <cellStyle name="Millares [0] 4 3 2 2 3" xfId="1752" xr:uid="{F6E6F0AB-0846-47D4-AEFE-78B75D72EED2}"/>
    <cellStyle name="Millares [0] 4 3 2 2 3 2" xfId="3744" xr:uid="{9759A097-0A4E-4BD4-9B6E-326C9A9A1910}"/>
    <cellStyle name="Millares [0] 4 3 2 2 4" xfId="1081" xr:uid="{A22A9474-4964-46C1-995E-4521C5A8BA05}"/>
    <cellStyle name="Millares [0] 4 3 2 2 4 2" xfId="3080" xr:uid="{14639CF8-43ED-44C1-BBB7-90B11E9FAEFE}"/>
    <cellStyle name="Millares [0] 4 3 2 2 5" xfId="2416" xr:uid="{02A9FBA1-F3C4-4F73-87AB-0CB0C2A0D678}"/>
    <cellStyle name="Millares [0] 4 3 2 3" xfId="576" xr:uid="{CE91A805-DEC9-4DE3-A1F7-9A4BBBCE9A67}"/>
    <cellStyle name="Millares [0] 4 3 2 3 2" xfId="1918" xr:uid="{76FA439D-1E55-4880-988F-7D8419602E89}"/>
    <cellStyle name="Millares [0] 4 3 2 3 2 2" xfId="3910" xr:uid="{1B722490-3D33-44AF-AA27-C2B915F6E16B}"/>
    <cellStyle name="Millares [0] 4 3 2 3 3" xfId="1247" xr:uid="{F3C612D3-9A88-45C4-893A-1ABF3098CABD}"/>
    <cellStyle name="Millares [0] 4 3 2 3 3 2" xfId="3246" xr:uid="{BC462098-4A86-4821-8E17-94666C5643B6}"/>
    <cellStyle name="Millares [0] 4 3 2 3 4" xfId="2582" xr:uid="{81D0EDC9-B849-466A-80EE-17AE4EB6B848}"/>
    <cellStyle name="Millares [0] 4 3 2 4" xfId="1586" xr:uid="{FE276548-0DA6-4B9F-B835-9A475D63B4A7}"/>
    <cellStyle name="Millares [0] 4 3 2 4 2" xfId="3578" xr:uid="{873A8FB1-E289-4875-A6C9-4C19C3DCEF43}"/>
    <cellStyle name="Millares [0] 4 3 2 5" xfId="915" xr:uid="{F9559577-F733-424D-BD6E-15293267FDA8}"/>
    <cellStyle name="Millares [0] 4 3 2 5 2" xfId="2914" xr:uid="{7DF73D9B-08CB-4BF5-B639-A3796765AA8E}"/>
    <cellStyle name="Millares [0] 4 3 2 6" xfId="2250" xr:uid="{42805CA9-1029-481C-BAD2-32BC58091EAC}"/>
    <cellStyle name="Millares [0] 4 3 3" xfId="328" xr:uid="{79542F11-F0F1-42C0-B2C1-99C380A3CFAF}"/>
    <cellStyle name="Millares [0] 4 3 3 2" xfId="660" xr:uid="{598BCC50-F06D-4411-BF93-FA967FFDF7D4}"/>
    <cellStyle name="Millares [0] 4 3 3 2 2" xfId="2002" xr:uid="{6AD86736-99D1-461C-B079-E9A5C3541CAF}"/>
    <cellStyle name="Millares [0] 4 3 3 2 2 2" xfId="3994" xr:uid="{491C570B-273F-41F7-8258-0F1199F0A626}"/>
    <cellStyle name="Millares [0] 4 3 3 2 3" xfId="1331" xr:uid="{4E40E96E-1400-445C-B486-B2AD48A643C5}"/>
    <cellStyle name="Millares [0] 4 3 3 2 3 2" xfId="3330" xr:uid="{7374A164-6AF6-482E-AF67-9F9D7D9B7083}"/>
    <cellStyle name="Millares [0] 4 3 3 2 4" xfId="2666" xr:uid="{92F47D59-96E4-4FC2-BCD2-42143E35D6F1}"/>
    <cellStyle name="Millares [0] 4 3 3 3" xfId="1670" xr:uid="{4426075D-BF93-4F4D-9E32-BC05EA083331}"/>
    <cellStyle name="Millares [0] 4 3 3 3 2" xfId="3662" xr:uid="{A3FE6389-075D-473C-8B64-E28A9FA4FCC8}"/>
    <cellStyle name="Millares [0] 4 3 3 4" xfId="999" xr:uid="{1A9CFCC4-F129-4FCE-84C7-712309540614}"/>
    <cellStyle name="Millares [0] 4 3 3 4 2" xfId="2998" xr:uid="{D16B64D9-4CEF-4B55-9CA6-F0CD0B34A31A}"/>
    <cellStyle name="Millares [0] 4 3 3 5" xfId="2334" xr:uid="{C96C6165-91A7-4F83-9BE2-D24858494A63}"/>
    <cellStyle name="Millares [0] 4 3 4" xfId="494" xr:uid="{661D9E10-B9ED-41E3-98DE-AA1286BAE0C3}"/>
    <cellStyle name="Millares [0] 4 3 4 2" xfId="1836" xr:uid="{428AC8E8-43A5-43C0-928F-60C3D8744917}"/>
    <cellStyle name="Millares [0] 4 3 4 2 2" xfId="3828" xr:uid="{C1C6BEC2-BE1C-46A5-980F-FA7479E3E375}"/>
    <cellStyle name="Millares [0] 4 3 4 3" xfId="1165" xr:uid="{D818B360-FBA8-4F3E-A47D-DDB8CC30CBD1}"/>
    <cellStyle name="Millares [0] 4 3 4 3 2" xfId="3164" xr:uid="{F2C28B31-5537-4328-98CC-9F804622D04C}"/>
    <cellStyle name="Millares [0] 4 3 4 4" xfId="2500" xr:uid="{72C94EE2-81CE-42B7-B9B1-0AC993392729}"/>
    <cellStyle name="Millares [0] 4 3 5" xfId="1504" xr:uid="{CAEB396B-350E-4277-B900-ACDC738428C5}"/>
    <cellStyle name="Millares [0] 4 3 5 2" xfId="3496" xr:uid="{DAD1CAD9-A0A4-4C17-BFA9-6929D802FC9F}"/>
    <cellStyle name="Millares [0] 4 3 6" xfId="833" xr:uid="{4F7B7341-2232-471D-9F17-9E253DE5B1C8}"/>
    <cellStyle name="Millares [0] 4 3 6 2" xfId="2832" xr:uid="{C938556D-EFA3-4A42-8A6A-084C3D389A4E}"/>
    <cellStyle name="Millares [0] 4 3 7" xfId="2168" xr:uid="{A2594D32-D698-4611-99AE-8B2DCC2EB043}"/>
    <cellStyle name="Millares [0] 4 4" xfId="184" xr:uid="{FC03160C-DD98-4269-9B0E-53A4D6A9F6A0}"/>
    <cellStyle name="Millares [0] 4 4 2" xfId="370" xr:uid="{35C85485-563F-4363-8732-996CF93FE108}"/>
    <cellStyle name="Millares [0] 4 4 2 2" xfId="702" xr:uid="{CE07D0B4-8608-41DC-8171-602E0F460499}"/>
    <cellStyle name="Millares [0] 4 4 2 2 2" xfId="2044" xr:uid="{9B3E7C00-DEA5-4D1E-B418-48016B1CCCF2}"/>
    <cellStyle name="Millares [0] 4 4 2 2 2 2" xfId="4036" xr:uid="{73B5F50F-6224-4E62-BFEF-FA4F7C865C6C}"/>
    <cellStyle name="Millares [0] 4 4 2 2 3" xfId="1373" xr:uid="{DE7AE361-32E9-47A5-AB50-6A102CD7AD1E}"/>
    <cellStyle name="Millares [0] 4 4 2 2 3 2" xfId="3372" xr:uid="{861E6387-5814-40A9-A92A-7330AB2DE2BE}"/>
    <cellStyle name="Millares [0] 4 4 2 2 4" xfId="2708" xr:uid="{52334B41-FD04-4672-928A-7AE282719A8D}"/>
    <cellStyle name="Millares [0] 4 4 2 3" xfId="1712" xr:uid="{A62C0C6D-3C4A-4CCB-B7FD-CE2704FBBFA8}"/>
    <cellStyle name="Millares [0] 4 4 2 3 2" xfId="3704" xr:uid="{07F6BFF1-16A3-4D93-83FF-0709860C8EDA}"/>
    <cellStyle name="Millares [0] 4 4 2 4" xfId="1041" xr:uid="{F9CB9262-BA92-4F29-87A5-690AE015122C}"/>
    <cellStyle name="Millares [0] 4 4 2 4 2" xfId="3040" xr:uid="{2F9E781B-A011-4614-ADE9-6DDCF9B7CA1E}"/>
    <cellStyle name="Millares [0] 4 4 2 5" xfId="2376" xr:uid="{988C6AD3-0943-4DF7-B839-DA1C5240012E}"/>
    <cellStyle name="Millares [0] 4 4 3" xfId="536" xr:uid="{8B91E2F0-12C7-4E45-891A-B540C4A57449}"/>
    <cellStyle name="Millares [0] 4 4 3 2" xfId="1878" xr:uid="{7CE4EA1A-1DF4-470A-9AF0-EE6337B54AE3}"/>
    <cellStyle name="Millares [0] 4 4 3 2 2" xfId="3870" xr:uid="{289FC0FB-4494-4111-9E12-F563A036F083}"/>
    <cellStyle name="Millares [0] 4 4 3 3" xfId="1207" xr:uid="{1CE975BC-674C-4605-9CAF-061ED9DC1032}"/>
    <cellStyle name="Millares [0] 4 4 3 3 2" xfId="3206" xr:uid="{D05A3260-72A3-4D6C-A1A2-34BDF36B5F66}"/>
    <cellStyle name="Millares [0] 4 4 3 4" xfId="2542" xr:uid="{3A6AFCFB-A1C6-409D-968C-35FA91A0C943}"/>
    <cellStyle name="Millares [0] 4 4 4" xfId="1546" xr:uid="{BFB22D29-955E-4359-9B7E-B972C7C52B43}"/>
    <cellStyle name="Millares [0] 4 4 4 2" xfId="3538" xr:uid="{E060E0A0-2EAA-4DD8-BCEF-1B9BDDDD69D8}"/>
    <cellStyle name="Millares [0] 4 4 5" xfId="875" xr:uid="{C752F390-8438-4D42-8497-8A92773FE5C2}"/>
    <cellStyle name="Millares [0] 4 4 5 2" xfId="2874" xr:uid="{D563F959-03FF-4B29-8420-6A03ED17329C}"/>
    <cellStyle name="Millares [0] 4 4 6" xfId="2210" xr:uid="{7413A9D6-E80E-4B1C-B787-64CF9D0578CC}"/>
    <cellStyle name="Millares [0] 4 5" xfId="288" xr:uid="{01E77BD0-E654-46D5-8526-CDBDF088F28F}"/>
    <cellStyle name="Millares [0] 4 5 2" xfId="620" xr:uid="{69E132D8-5170-4319-A6B2-9A86C0916F4B}"/>
    <cellStyle name="Millares [0] 4 5 2 2" xfId="1962" xr:uid="{D9FB191C-235B-42BD-ACD4-28A1AF557CFA}"/>
    <cellStyle name="Millares [0] 4 5 2 2 2" xfId="3954" xr:uid="{CBA040A2-27A2-457C-A7EF-696FA5A9E396}"/>
    <cellStyle name="Millares [0] 4 5 2 3" xfId="1291" xr:uid="{4FCA6941-827E-439A-95B3-99CBEEC229D5}"/>
    <cellStyle name="Millares [0] 4 5 2 3 2" xfId="3290" xr:uid="{A462AE94-47CF-401A-93A1-20A7D71B7DCF}"/>
    <cellStyle name="Millares [0] 4 5 2 4" xfId="2626" xr:uid="{AB2EE5C3-B24B-4702-B395-E75100580716}"/>
    <cellStyle name="Millares [0] 4 5 3" xfId="1630" xr:uid="{D0BB6DF9-C67B-42F6-A4FF-819C46C2CC15}"/>
    <cellStyle name="Millares [0] 4 5 3 2" xfId="3622" xr:uid="{70CCFA2E-543A-4FB5-85F2-6BAADC8BAF45}"/>
    <cellStyle name="Millares [0] 4 5 4" xfId="959" xr:uid="{E6B4202A-8EED-4D48-A490-EF3B062379C4}"/>
    <cellStyle name="Millares [0] 4 5 4 2" xfId="2958" xr:uid="{F9F3680C-9F43-482B-8E5F-BC3F4129B8B0}"/>
    <cellStyle name="Millares [0] 4 5 5" xfId="2294" xr:uid="{FD180F10-BE98-4DBF-9728-E675ECBF47CC}"/>
    <cellStyle name="Millares [0] 4 6" xfId="454" xr:uid="{E4690CE6-BD36-4D90-B40E-8A419D61A34C}"/>
    <cellStyle name="Millares [0] 4 6 2" xfId="1796" xr:uid="{DE5217DE-8A52-4043-AA4B-17A6688ABF97}"/>
    <cellStyle name="Millares [0] 4 6 2 2" xfId="3788" xr:uid="{3EFC672C-4A48-49B0-B22E-AA80784DFC09}"/>
    <cellStyle name="Millares [0] 4 6 3" xfId="1125" xr:uid="{DEAA1937-CF36-4BE0-ABA5-2D556EFB93D4}"/>
    <cellStyle name="Millares [0] 4 6 3 2" xfId="3124" xr:uid="{22EB750F-2547-4AFB-AC48-474226228FBD}"/>
    <cellStyle name="Millares [0] 4 6 4" xfId="2460" xr:uid="{1273703F-79CD-4EEF-8980-F49CC683D380}"/>
    <cellStyle name="Millares [0] 4 7" xfId="1464" xr:uid="{2A891949-92AE-4B34-A2C8-64EE445B2164}"/>
    <cellStyle name="Millares [0] 4 7 2" xfId="3456" xr:uid="{ADE48AC5-E049-4922-8A0E-9C6EC0FAE28E}"/>
    <cellStyle name="Millares [0] 4 8" xfId="793" xr:uid="{BEE727C4-7645-4F40-A2C9-68C74E70C7D0}"/>
    <cellStyle name="Millares [0] 4 8 2" xfId="2792" xr:uid="{88B486AA-8EFA-43C7-AA2D-063316A43B9A}"/>
    <cellStyle name="Millares [0] 4 9" xfId="2128" xr:uid="{A14DF5B8-01F2-47BC-AE11-83A760780DFC}"/>
    <cellStyle name="Millares [0] 5" xfId="63" xr:uid="{F9BEAC04-0A3C-4395-B94C-C7DFD15CEF51}"/>
    <cellStyle name="Millares [0] 5 2" xfId="98" xr:uid="{DFE527DE-3FB5-4221-A793-9E21E9EDAA33}"/>
    <cellStyle name="Millares [0] 5 2 2" xfId="146" xr:uid="{01CD052A-407B-48BD-B5E1-FA0412830331}"/>
    <cellStyle name="Millares [0] 5 2 2 2" xfId="235" xr:uid="{DDC45D1D-DBF3-4AEA-9E74-06AC0FF30949}"/>
    <cellStyle name="Millares [0] 5 2 2 2 2" xfId="421" xr:uid="{9D9256CC-C168-4F2C-8CFE-09F39493450E}"/>
    <cellStyle name="Millares [0] 5 2 2 2 2 2" xfId="753" xr:uid="{F5A9A567-4A47-4BA3-B27F-D9C0B5393C73}"/>
    <cellStyle name="Millares [0] 5 2 2 2 2 2 2" xfId="2095" xr:uid="{C0094C44-F4B6-4419-8723-EA5BB24F6532}"/>
    <cellStyle name="Millares [0] 5 2 2 2 2 2 2 2" xfId="4087" xr:uid="{BF9831E6-16E6-47F3-80DA-135D5BD6B540}"/>
    <cellStyle name="Millares [0] 5 2 2 2 2 2 3" xfId="1424" xr:uid="{51940722-1A20-47E1-AD2C-00F6E525B227}"/>
    <cellStyle name="Millares [0] 5 2 2 2 2 2 3 2" xfId="3423" xr:uid="{AEB93373-BA76-48EF-91EF-7295410E8BAE}"/>
    <cellStyle name="Millares [0] 5 2 2 2 2 2 4" xfId="2759" xr:uid="{9BBE232F-6E2B-4F4B-B5A7-F6928A7214FE}"/>
    <cellStyle name="Millares [0] 5 2 2 2 2 3" xfId="1763" xr:uid="{7BB80BAB-D35E-4826-AB9A-F8C936B614B6}"/>
    <cellStyle name="Millares [0] 5 2 2 2 2 3 2" xfId="3755" xr:uid="{8857E34D-CF32-45E0-91DB-5D10E699EA81}"/>
    <cellStyle name="Millares [0] 5 2 2 2 2 4" xfId="1092" xr:uid="{5C3C7A37-626B-46E0-9726-B8A5B71A9815}"/>
    <cellStyle name="Millares [0] 5 2 2 2 2 4 2" xfId="3091" xr:uid="{A0F8BEB7-E214-4D0B-B062-3CBAA2B83128}"/>
    <cellStyle name="Millares [0] 5 2 2 2 2 5" xfId="2427" xr:uid="{9933B112-BD43-44A7-8195-EA572CC2131D}"/>
    <cellStyle name="Millares [0] 5 2 2 2 3" xfId="587" xr:uid="{53B401A3-D36C-4FD4-9822-D4462B9F2736}"/>
    <cellStyle name="Millares [0] 5 2 2 2 3 2" xfId="1929" xr:uid="{F4D5CD94-5E45-48AD-A709-CBD04BD5AB0E}"/>
    <cellStyle name="Millares [0] 5 2 2 2 3 2 2" xfId="3921" xr:uid="{979A89FF-61DE-4316-8749-67D62A904C4B}"/>
    <cellStyle name="Millares [0] 5 2 2 2 3 3" xfId="1258" xr:uid="{973CDBDB-2BBC-449A-B6C2-6CFDD67A7E57}"/>
    <cellStyle name="Millares [0] 5 2 2 2 3 3 2" xfId="3257" xr:uid="{F0DE6485-0B66-4011-A5FA-1D2AD985EDA1}"/>
    <cellStyle name="Millares [0] 5 2 2 2 3 4" xfId="2593" xr:uid="{19A828B4-D5A7-4587-B595-414D54FF86F8}"/>
    <cellStyle name="Millares [0] 5 2 2 2 4" xfId="1597" xr:uid="{11B1D44B-C8A2-424B-9E44-2E2EFDCAA4D5}"/>
    <cellStyle name="Millares [0] 5 2 2 2 4 2" xfId="3589" xr:uid="{92D61C9B-FDC4-4FF8-86F0-947B0F2F5092}"/>
    <cellStyle name="Millares [0] 5 2 2 2 5" xfId="926" xr:uid="{ABE5811E-904B-4758-9561-F7BF1CD929F0}"/>
    <cellStyle name="Millares [0] 5 2 2 2 5 2" xfId="2925" xr:uid="{3A5AD62A-E484-4699-BB97-5ECB588A42D9}"/>
    <cellStyle name="Millares [0] 5 2 2 2 6" xfId="2261" xr:uid="{3803215E-4430-4793-94AF-1369079DF8B4}"/>
    <cellStyle name="Millares [0] 5 2 2 3" xfId="339" xr:uid="{E606827D-E9A3-4128-B6A6-93B95B1DC2A9}"/>
    <cellStyle name="Millares [0] 5 2 2 3 2" xfId="671" xr:uid="{7EC24370-266C-4416-B455-3AADE0C32C69}"/>
    <cellStyle name="Millares [0] 5 2 2 3 2 2" xfId="2013" xr:uid="{8EDB92B5-6A75-47CA-BDD1-FA2FEEAF98B9}"/>
    <cellStyle name="Millares [0] 5 2 2 3 2 2 2" xfId="4005" xr:uid="{625576A7-D9D6-4A5C-A390-581FB036F991}"/>
    <cellStyle name="Millares [0] 5 2 2 3 2 3" xfId="1342" xr:uid="{9DA08CDD-64F6-43CF-AA49-0A6DCA531FA8}"/>
    <cellStyle name="Millares [0] 5 2 2 3 2 3 2" xfId="3341" xr:uid="{5A92977F-14A2-4C4C-9686-B153E3BD7EB2}"/>
    <cellStyle name="Millares [0] 5 2 2 3 2 4" xfId="2677" xr:uid="{6E69389C-4949-4935-84DF-998286EFF844}"/>
    <cellStyle name="Millares [0] 5 2 2 3 3" xfId="1681" xr:uid="{F6559272-D823-4EE6-96D0-B32C7B544DDC}"/>
    <cellStyle name="Millares [0] 5 2 2 3 3 2" xfId="3673" xr:uid="{9BF9373F-4E81-47AA-8DB1-A14A86B98A4D}"/>
    <cellStyle name="Millares [0] 5 2 2 3 4" xfId="1010" xr:uid="{47A1A20B-4D21-4144-8664-64BDB185B526}"/>
    <cellStyle name="Millares [0] 5 2 2 3 4 2" xfId="3009" xr:uid="{03BC142F-9F91-402E-9AB7-F8DB33B74E42}"/>
    <cellStyle name="Millares [0] 5 2 2 3 5" xfId="2345" xr:uid="{AFB83609-F643-4F01-8375-21A567361698}"/>
    <cellStyle name="Millares [0] 5 2 2 4" xfId="505" xr:uid="{2D847E42-B33B-406A-8D33-7A66EE336F07}"/>
    <cellStyle name="Millares [0] 5 2 2 4 2" xfId="1847" xr:uid="{66E8789E-499D-40C6-946C-FED47D55555C}"/>
    <cellStyle name="Millares [0] 5 2 2 4 2 2" xfId="3839" xr:uid="{44018BA2-2170-493D-986D-94DE8EDBA3FE}"/>
    <cellStyle name="Millares [0] 5 2 2 4 3" xfId="1176" xr:uid="{B0133675-EB41-4F81-9B8B-6B5CDD3FF608}"/>
    <cellStyle name="Millares [0] 5 2 2 4 3 2" xfId="3175" xr:uid="{FF7E24B0-8763-4B45-B2E7-05D5F82BA968}"/>
    <cellStyle name="Millares [0] 5 2 2 4 4" xfId="2511" xr:uid="{A89E1946-65EA-46C5-B44C-B564277F63A5}"/>
    <cellStyle name="Millares [0] 5 2 2 5" xfId="1515" xr:uid="{1352BAAB-2D03-4BEA-B4BF-B4C47AC811DE}"/>
    <cellStyle name="Millares [0] 5 2 2 5 2" xfId="3507" xr:uid="{B3E5A668-D1DF-43A1-A32F-167D84E69409}"/>
    <cellStyle name="Millares [0] 5 2 2 6" xfId="844" xr:uid="{681DC05E-CFD0-4A38-AFE0-3833EEA8FD29}"/>
    <cellStyle name="Millares [0] 5 2 2 6 2" xfId="2843" xr:uid="{4A9ED99F-20D5-41CC-AA75-76909E903B77}"/>
    <cellStyle name="Millares [0] 5 2 2 7" xfId="2179" xr:uid="{6B8FD714-56C7-42AA-895F-48B3041B9A2D}"/>
    <cellStyle name="Millares [0] 5 2 3" xfId="195" xr:uid="{81A72464-3EB7-42E2-B197-920C6E00F864}"/>
    <cellStyle name="Millares [0] 5 2 3 2" xfId="381" xr:uid="{E292F255-1C83-44E8-9E25-F530A7C85F85}"/>
    <cellStyle name="Millares [0] 5 2 3 2 2" xfId="713" xr:uid="{2D898854-FFE5-4749-A466-0DEC4595CFD3}"/>
    <cellStyle name="Millares [0] 5 2 3 2 2 2" xfId="2055" xr:uid="{8003AF8D-8A17-4068-8710-59D85DDCFB56}"/>
    <cellStyle name="Millares [0] 5 2 3 2 2 2 2" xfId="4047" xr:uid="{3B258899-64B7-4C2E-A5AD-B488B2929489}"/>
    <cellStyle name="Millares [0] 5 2 3 2 2 3" xfId="1384" xr:uid="{BBC73E33-03F6-49B0-A40D-6DB236A5D6F3}"/>
    <cellStyle name="Millares [0] 5 2 3 2 2 3 2" xfId="3383" xr:uid="{B295E15E-B558-4C5A-8C29-53CE95BB6D4D}"/>
    <cellStyle name="Millares [0] 5 2 3 2 2 4" xfId="2719" xr:uid="{313E6500-7897-485C-9E25-A067C1F4075E}"/>
    <cellStyle name="Millares [0] 5 2 3 2 3" xfId="1723" xr:uid="{E2691834-519D-4131-AF18-62D79B9138A7}"/>
    <cellStyle name="Millares [0] 5 2 3 2 3 2" xfId="3715" xr:uid="{2DAF70EB-C940-406E-8013-E20741903763}"/>
    <cellStyle name="Millares [0] 5 2 3 2 4" xfId="1052" xr:uid="{D1E27B76-DD80-4923-8BBF-2AF78683AE79}"/>
    <cellStyle name="Millares [0] 5 2 3 2 4 2" xfId="3051" xr:uid="{177C5182-3711-436D-A028-13B0E8367CE2}"/>
    <cellStyle name="Millares [0] 5 2 3 2 5" xfId="2387" xr:uid="{75F5C1DD-99B4-4166-80CB-76EBAE4DD759}"/>
    <cellStyle name="Millares [0] 5 2 3 3" xfId="547" xr:uid="{DC14AEEC-BC53-4E7C-8E4B-B67D757C9E8D}"/>
    <cellStyle name="Millares [0] 5 2 3 3 2" xfId="1889" xr:uid="{7857A1CA-DFB5-4FC9-BC0B-F5CFB5C7A427}"/>
    <cellStyle name="Millares [0] 5 2 3 3 2 2" xfId="3881" xr:uid="{E3F0EFF4-CC6E-4B52-8F2C-16CB70FEA60B}"/>
    <cellStyle name="Millares [0] 5 2 3 3 3" xfId="1218" xr:uid="{D5ED9955-1CA0-4AE7-AE7E-7F62E7855CB1}"/>
    <cellStyle name="Millares [0] 5 2 3 3 3 2" xfId="3217" xr:uid="{F35A7B0F-6E2E-4C55-90F0-F779A64AC5C0}"/>
    <cellStyle name="Millares [0] 5 2 3 3 4" xfId="2553" xr:uid="{D2C24ACA-3437-49E4-AF3D-129C97787BA3}"/>
    <cellStyle name="Millares [0] 5 2 3 4" xfId="1557" xr:uid="{AABB6394-316D-4ADA-9A17-0E92239BE9BC}"/>
    <cellStyle name="Millares [0] 5 2 3 4 2" xfId="3549" xr:uid="{97C15D1D-FD3B-4C45-A90F-FF3B7E2B4940}"/>
    <cellStyle name="Millares [0] 5 2 3 5" xfId="886" xr:uid="{1B596277-E499-4B37-85ED-D5EB20F06AE6}"/>
    <cellStyle name="Millares [0] 5 2 3 5 2" xfId="2885" xr:uid="{02A15D65-B109-4178-BA25-1D21A32024D7}"/>
    <cellStyle name="Millares [0] 5 2 3 6" xfId="2221" xr:uid="{9927FF69-8345-4F2D-A324-69CF4C7052EA}"/>
    <cellStyle name="Millares [0] 5 2 4" xfId="299" xr:uid="{7465C28B-5D3F-44E6-B4BB-A9E147467A84}"/>
    <cellStyle name="Millares [0] 5 2 4 2" xfId="631" xr:uid="{4DBDF72E-26C6-49CF-9580-6E894127AC8E}"/>
    <cellStyle name="Millares [0] 5 2 4 2 2" xfId="1973" xr:uid="{04632D12-3F0E-4404-8189-578D406F943B}"/>
    <cellStyle name="Millares [0] 5 2 4 2 2 2" xfId="3965" xr:uid="{7333DF19-83C2-40F5-94B7-3E7495BCFF1E}"/>
    <cellStyle name="Millares [0] 5 2 4 2 3" xfId="1302" xr:uid="{F4C76591-721A-4960-AE7D-B40E035FFDEC}"/>
    <cellStyle name="Millares [0] 5 2 4 2 3 2" xfId="3301" xr:uid="{1B1A6670-2E04-4DEA-ABEC-064149BA263D}"/>
    <cellStyle name="Millares [0] 5 2 4 2 4" xfId="2637" xr:uid="{2C015BDC-DBBD-42DC-9E00-EDD02767663B}"/>
    <cellStyle name="Millares [0] 5 2 4 3" xfId="1641" xr:uid="{98301A8E-41A7-4099-9023-EE59EFADDCC5}"/>
    <cellStyle name="Millares [0] 5 2 4 3 2" xfId="3633" xr:uid="{AF049406-AAC0-43DC-8257-DB43CA410512}"/>
    <cellStyle name="Millares [0] 5 2 4 4" xfId="970" xr:uid="{E76FFD4F-2904-46C5-B19D-70ED8E4CCC95}"/>
    <cellStyle name="Millares [0] 5 2 4 4 2" xfId="2969" xr:uid="{D7BDDF6D-604B-4B99-9632-95FB0EA07840}"/>
    <cellStyle name="Millares [0] 5 2 4 5" xfId="2305" xr:uid="{07FCF8D8-6C34-479B-A075-60D7CDE5A228}"/>
    <cellStyle name="Millares [0] 5 2 5" xfId="465" xr:uid="{DDF43D33-EF4F-4D25-8849-722CE73187B6}"/>
    <cellStyle name="Millares [0] 5 2 5 2" xfId="1807" xr:uid="{95630B67-80C1-47BB-823D-317482E8FAAE}"/>
    <cellStyle name="Millares [0] 5 2 5 2 2" xfId="3799" xr:uid="{5BC6B171-EF8C-437E-B8B0-D479D96194DD}"/>
    <cellStyle name="Millares [0] 5 2 5 3" xfId="1136" xr:uid="{F3192A3A-33E7-4AC0-8349-602011D4FE35}"/>
    <cellStyle name="Millares [0] 5 2 5 3 2" xfId="3135" xr:uid="{665A3299-FCCB-46CE-AF67-4787B84C0B0E}"/>
    <cellStyle name="Millares [0] 5 2 5 4" xfId="2471" xr:uid="{7D242C28-2D05-48A4-8214-CDEE31B49624}"/>
    <cellStyle name="Millares [0] 5 2 6" xfId="1475" xr:uid="{3B6B22BF-23DF-4ABE-92C3-A909B1D4DAFE}"/>
    <cellStyle name="Millares [0] 5 2 6 2" xfId="3467" xr:uid="{42468D71-6BDE-442B-987E-C7F6D525B074}"/>
    <cellStyle name="Millares [0] 5 2 7" xfId="804" xr:uid="{7F3DB500-D394-4190-B94F-06A6CC6840C7}"/>
    <cellStyle name="Millares [0] 5 2 7 2" xfId="2803" xr:uid="{66100CD7-8881-46EC-BF58-5DC91FE33312}"/>
    <cellStyle name="Millares [0] 5 2 8" xfId="2139" xr:uid="{5A123BC5-0A83-48B8-B60B-587D2933C992}"/>
    <cellStyle name="Millares [0] 5 3" xfId="127" xr:uid="{0AC828D4-2640-4201-BF37-33D968BA8D4F}"/>
    <cellStyle name="Millares [0] 5 3 2" xfId="216" xr:uid="{3E94041D-B2C4-41B7-B5DB-93A657EABA86}"/>
    <cellStyle name="Millares [0] 5 3 2 2" xfId="402" xr:uid="{6B125424-C2B9-41F5-8307-9E7E77A71B43}"/>
    <cellStyle name="Millares [0] 5 3 2 2 2" xfId="734" xr:uid="{10815FE3-1DDC-49B6-B0F7-2D81B723F03D}"/>
    <cellStyle name="Millares [0] 5 3 2 2 2 2" xfId="2076" xr:uid="{CEAE7E2F-D982-470D-BE33-3216C51459EF}"/>
    <cellStyle name="Millares [0] 5 3 2 2 2 2 2" xfId="4068" xr:uid="{F8FC7C93-C326-4EB8-9636-BA091869A977}"/>
    <cellStyle name="Millares [0] 5 3 2 2 2 3" xfId="1405" xr:uid="{CCE9E739-DFF3-4795-A462-6BFE279334BC}"/>
    <cellStyle name="Millares [0] 5 3 2 2 2 3 2" xfId="3404" xr:uid="{E0D71E55-CA11-4083-A5F9-3E5B1F1D782D}"/>
    <cellStyle name="Millares [0] 5 3 2 2 2 4" xfId="2740" xr:uid="{EEA065E1-72E1-4503-9E77-8849DF53EC21}"/>
    <cellStyle name="Millares [0] 5 3 2 2 3" xfId="1744" xr:uid="{866ECC34-3C3B-4423-B128-EDF4AB63735E}"/>
    <cellStyle name="Millares [0] 5 3 2 2 3 2" xfId="3736" xr:uid="{AC73E3AF-FA6F-4D51-9F8A-E7FF175C4CA5}"/>
    <cellStyle name="Millares [0] 5 3 2 2 4" xfId="1073" xr:uid="{1EF908AE-6E76-42AC-B873-E74A7E593B9F}"/>
    <cellStyle name="Millares [0] 5 3 2 2 4 2" xfId="3072" xr:uid="{68202FA4-BC85-41CA-8401-9E21CBF58851}"/>
    <cellStyle name="Millares [0] 5 3 2 2 5" xfId="2408" xr:uid="{AFF684DA-9A25-4BE1-885F-E7850DC1AABB}"/>
    <cellStyle name="Millares [0] 5 3 2 3" xfId="568" xr:uid="{C2B85C25-C6B7-43C9-9530-158D527FC6A4}"/>
    <cellStyle name="Millares [0] 5 3 2 3 2" xfId="1910" xr:uid="{BDC75905-ACBF-4AE3-A543-990298CCF54C}"/>
    <cellStyle name="Millares [0] 5 3 2 3 2 2" xfId="3902" xr:uid="{017E6F3D-C3AC-4127-9249-9D8B3810F246}"/>
    <cellStyle name="Millares [0] 5 3 2 3 3" xfId="1239" xr:uid="{69FC3F81-65C0-4233-AD8B-7179F5FF70F3}"/>
    <cellStyle name="Millares [0] 5 3 2 3 3 2" xfId="3238" xr:uid="{2F70D59A-76B9-423B-A749-5EA3801E0E84}"/>
    <cellStyle name="Millares [0] 5 3 2 3 4" xfId="2574" xr:uid="{40C2F7F6-5431-4BC6-8019-4FDB01465C00}"/>
    <cellStyle name="Millares [0] 5 3 2 4" xfId="1578" xr:uid="{A89D6DF5-D442-474F-8837-C261BA16E532}"/>
    <cellStyle name="Millares [0] 5 3 2 4 2" xfId="3570" xr:uid="{1A2EE039-A6D2-49CD-9BD6-0FBC3C2C5813}"/>
    <cellStyle name="Millares [0] 5 3 2 5" xfId="907" xr:uid="{72D38561-F20B-486D-A685-BA6FA51367F7}"/>
    <cellStyle name="Millares [0] 5 3 2 5 2" xfId="2906" xr:uid="{28FEE929-FD69-49B2-AB87-6E0F4A79D7C5}"/>
    <cellStyle name="Millares [0] 5 3 2 6" xfId="2242" xr:uid="{84012379-4129-4999-914A-CBCBE0BEC7CB}"/>
    <cellStyle name="Millares [0] 5 3 3" xfId="320" xr:uid="{C2402AAF-7630-4C2A-9858-EE64B4DAAD36}"/>
    <cellStyle name="Millares [0] 5 3 3 2" xfId="652" xr:uid="{EE68587E-7F16-43A1-BBBD-B878E512EBAC}"/>
    <cellStyle name="Millares [0] 5 3 3 2 2" xfId="1994" xr:uid="{84C02A7E-2B3F-4CD5-8FBA-220D8E55611F}"/>
    <cellStyle name="Millares [0] 5 3 3 2 2 2" xfId="3986" xr:uid="{C7593486-23B4-4862-9EA2-1BDCDF1D5C2D}"/>
    <cellStyle name="Millares [0] 5 3 3 2 3" xfId="1323" xr:uid="{26C41840-0B38-49EF-897E-9AF5C888F0C5}"/>
    <cellStyle name="Millares [0] 5 3 3 2 3 2" xfId="3322" xr:uid="{DC4ADEEB-19AE-4712-91E1-D8746A2A0C34}"/>
    <cellStyle name="Millares [0] 5 3 3 2 4" xfId="2658" xr:uid="{4954E2EB-8BCC-4C82-81EF-F1BC7C711C73}"/>
    <cellStyle name="Millares [0] 5 3 3 3" xfId="1662" xr:uid="{5847D265-FB17-4ABA-96BB-47A2D44327EB}"/>
    <cellStyle name="Millares [0] 5 3 3 3 2" xfId="3654" xr:uid="{6EDC3893-3A2C-475B-A2E6-8AE15BB54BFF}"/>
    <cellStyle name="Millares [0] 5 3 3 4" xfId="991" xr:uid="{D64F52C9-AFED-4E2F-8A25-AC0877DA9B3C}"/>
    <cellStyle name="Millares [0] 5 3 3 4 2" xfId="2990" xr:uid="{D5AE1B7E-D33D-4B41-A1ED-90E5958CFC75}"/>
    <cellStyle name="Millares [0] 5 3 3 5" xfId="2326" xr:uid="{919D4083-3358-4153-AE65-589DD83E6EBC}"/>
    <cellStyle name="Millares [0] 5 3 4" xfId="486" xr:uid="{8E8B3F86-04F6-4B4E-ADF1-29E217C096F8}"/>
    <cellStyle name="Millares [0] 5 3 4 2" xfId="1828" xr:uid="{F7106B66-3EB6-4531-B7B1-5AA8B262F0B1}"/>
    <cellStyle name="Millares [0] 5 3 4 2 2" xfId="3820" xr:uid="{5ED89320-5769-4BB3-B678-264B51D40481}"/>
    <cellStyle name="Millares [0] 5 3 4 3" xfId="1157" xr:uid="{41A3F95A-BF92-41AC-9B34-097094A4B68E}"/>
    <cellStyle name="Millares [0] 5 3 4 3 2" xfId="3156" xr:uid="{094AADFD-4FA2-440E-822D-D863DA2C1E94}"/>
    <cellStyle name="Millares [0] 5 3 4 4" xfId="2492" xr:uid="{E2665AAD-083C-4053-9535-E962FE9E7C90}"/>
    <cellStyle name="Millares [0] 5 3 5" xfId="1496" xr:uid="{8FB954E1-19CB-4230-918B-9E0AA8FBE5C7}"/>
    <cellStyle name="Millares [0] 5 3 5 2" xfId="3488" xr:uid="{418B290A-9506-43D3-8069-AACFA3CCCFAF}"/>
    <cellStyle name="Millares [0] 5 3 6" xfId="825" xr:uid="{01959788-C006-4B65-8EE6-87C8CC2851C8}"/>
    <cellStyle name="Millares [0] 5 3 6 2" xfId="2824" xr:uid="{D25F9546-798B-4BCD-B641-ED294EACB76E}"/>
    <cellStyle name="Millares [0] 5 3 7" xfId="2160" xr:uid="{2FD0F66E-AEC0-49D0-B5B4-67C7C187BF86}"/>
    <cellStyle name="Millares [0] 5 4" xfId="176" xr:uid="{FDEEC763-0696-4402-912D-8C165BE60CB5}"/>
    <cellStyle name="Millares [0] 5 4 2" xfId="362" xr:uid="{50A645AC-06AB-41AF-A4F9-E1795BAB17EE}"/>
    <cellStyle name="Millares [0] 5 4 2 2" xfId="694" xr:uid="{4C840BF9-99CE-4BE2-8EF6-C0668588C959}"/>
    <cellStyle name="Millares [0] 5 4 2 2 2" xfId="2036" xr:uid="{DBD929A8-A3FA-48CC-9166-2640C351AA0D}"/>
    <cellStyle name="Millares [0] 5 4 2 2 2 2" xfId="4028" xr:uid="{02DC04F8-708B-49A9-83FD-95A2BAF4D6C8}"/>
    <cellStyle name="Millares [0] 5 4 2 2 3" xfId="1365" xr:uid="{3F0D7BF9-2C7F-473A-B160-BE7360CC12DF}"/>
    <cellStyle name="Millares [0] 5 4 2 2 3 2" xfId="3364" xr:uid="{C44E1375-A3F8-436C-A16F-1FAF3351594B}"/>
    <cellStyle name="Millares [0] 5 4 2 2 4" xfId="2700" xr:uid="{A55C7967-50F4-4BF7-B624-6C981FA4E1CE}"/>
    <cellStyle name="Millares [0] 5 4 2 3" xfId="1704" xr:uid="{8D717CC6-0E31-4FB8-B92A-E2725A7E49D3}"/>
    <cellStyle name="Millares [0] 5 4 2 3 2" xfId="3696" xr:uid="{57856C98-AAE6-4667-ADC9-62542D486345}"/>
    <cellStyle name="Millares [0] 5 4 2 4" xfId="1033" xr:uid="{7A00BDEE-4AC7-4F54-9086-63FC8FD62074}"/>
    <cellStyle name="Millares [0] 5 4 2 4 2" xfId="3032" xr:uid="{BC3F9817-F000-40FA-A1A4-98B3A42232DD}"/>
    <cellStyle name="Millares [0] 5 4 2 5" xfId="2368" xr:uid="{45AA211D-2B6B-43FD-8A7C-8759D68B70F4}"/>
    <cellStyle name="Millares [0] 5 4 3" xfId="528" xr:uid="{2D32348C-67C9-4416-802F-52CAE8A35695}"/>
    <cellStyle name="Millares [0] 5 4 3 2" xfId="1870" xr:uid="{815B5633-5FDC-4F49-AD40-8359EF7CE868}"/>
    <cellStyle name="Millares [0] 5 4 3 2 2" xfId="3862" xr:uid="{EF89FC0B-4621-44FF-BC79-6A1C6D8E882D}"/>
    <cellStyle name="Millares [0] 5 4 3 3" xfId="1199" xr:uid="{E869EDE6-D3B4-4447-A9EC-6750A6B9361D}"/>
    <cellStyle name="Millares [0] 5 4 3 3 2" xfId="3198" xr:uid="{0E85C379-0281-463F-8EFC-24602D64EDEB}"/>
    <cellStyle name="Millares [0] 5 4 3 4" xfId="2534" xr:uid="{E05BFDBA-5E05-4505-B6C2-897CD58FADC6}"/>
    <cellStyle name="Millares [0] 5 4 4" xfId="1538" xr:uid="{D8A2985A-0C30-4108-BD86-E4B92488BA92}"/>
    <cellStyle name="Millares [0] 5 4 4 2" xfId="3530" xr:uid="{3478AF2A-84A7-49E7-86E7-1E2C2BE9B4C6}"/>
    <cellStyle name="Millares [0] 5 4 5" xfId="867" xr:uid="{8346120F-5FF9-4CA9-8FB0-3257CD018312}"/>
    <cellStyle name="Millares [0] 5 4 5 2" xfId="2866" xr:uid="{0AEF3246-D2D0-4A7C-9D7B-CE70A151FE71}"/>
    <cellStyle name="Millares [0] 5 4 6" xfId="2202" xr:uid="{95BACD8D-D40E-4AF7-AE5F-5DFB5A4553BF}"/>
    <cellStyle name="Millares [0] 5 5" xfId="280" xr:uid="{D924E8E3-C80E-49CC-89CB-23EAE63BF5F0}"/>
    <cellStyle name="Millares [0] 5 5 2" xfId="612" xr:uid="{F6EC76E6-2A97-4539-9FEF-33DAC869C740}"/>
    <cellStyle name="Millares [0] 5 5 2 2" xfId="1954" xr:uid="{CA40B4EE-FC35-4E1D-B1C1-F1CA3DDF92EA}"/>
    <cellStyle name="Millares [0] 5 5 2 2 2" xfId="3946" xr:uid="{39E778CC-7220-4A31-880F-C6CC48333E72}"/>
    <cellStyle name="Millares [0] 5 5 2 3" xfId="1283" xr:uid="{D634693A-7E1B-40DB-B9DF-C5FB756C2709}"/>
    <cellStyle name="Millares [0] 5 5 2 3 2" xfId="3282" xr:uid="{FFFD3AFB-18A1-4070-9487-A714BEA58D64}"/>
    <cellStyle name="Millares [0] 5 5 2 4" xfId="2618" xr:uid="{4A1FB2F6-B07B-441F-8E96-15FC7E474A85}"/>
    <cellStyle name="Millares [0] 5 5 3" xfId="1622" xr:uid="{532343DB-2626-407A-92FE-C92EAC1EEE08}"/>
    <cellStyle name="Millares [0] 5 5 3 2" xfId="3614" xr:uid="{59C81FC7-5D00-4359-8368-1725592193DF}"/>
    <cellStyle name="Millares [0] 5 5 4" xfId="951" xr:uid="{38E2D014-8DC2-4BEC-946E-9CABE9E7B1BD}"/>
    <cellStyle name="Millares [0] 5 5 4 2" xfId="2950" xr:uid="{21783360-2906-4465-9A80-713A586528CB}"/>
    <cellStyle name="Millares [0] 5 5 5" xfId="2286" xr:uid="{CF6A7E8A-9B11-4036-AC1D-EE8CB0BC7A4F}"/>
    <cellStyle name="Millares [0] 5 6" xfId="446" xr:uid="{B403A1F8-E1A3-47F0-9FE7-0DF3DB2E0CA2}"/>
    <cellStyle name="Millares [0] 5 6 2" xfId="1788" xr:uid="{41142F50-9D42-4FEF-B1AD-22F91A269A63}"/>
    <cellStyle name="Millares [0] 5 6 2 2" xfId="3780" xr:uid="{1E6B77DF-0FB5-4DC6-885A-4125BA6AC47D}"/>
    <cellStyle name="Millares [0] 5 6 3" xfId="1117" xr:uid="{49A48E54-AEA9-4D73-B0DE-692E2BAA9787}"/>
    <cellStyle name="Millares [0] 5 6 3 2" xfId="3116" xr:uid="{064A37A3-597B-4C3B-8837-BC934E8C1255}"/>
    <cellStyle name="Millares [0] 5 6 4" xfId="2452" xr:uid="{B94CB73A-A0E3-46EC-9082-9EF2D00097A8}"/>
    <cellStyle name="Millares [0] 5 7" xfId="1456" xr:uid="{E8A99AFA-1966-4070-8235-5F4C07DE87B0}"/>
    <cellStyle name="Millares [0] 5 7 2" xfId="3448" xr:uid="{02EC47D3-73D0-4D1E-9A26-D5B4C1C7A67D}"/>
    <cellStyle name="Millares [0] 5 8" xfId="785" xr:uid="{3437B630-C3BB-4C29-B5BA-92BFCA3D2620}"/>
    <cellStyle name="Millares [0] 5 8 2" xfId="2784" xr:uid="{489AC5AE-E752-4229-9300-83EE8DCF93B6}"/>
    <cellStyle name="Millares [0] 5 9" xfId="2120" xr:uid="{04AA2D1E-2B00-4989-8134-6FC6CCB705D2}"/>
    <cellStyle name="Millares [0] 6" xfId="96" xr:uid="{2132CA7B-02D7-4350-8550-2A3FA9D0D434}"/>
    <cellStyle name="Millares [0] 6 2" xfId="145" xr:uid="{66245954-3C23-46A5-AA68-4C972A7B2668}"/>
    <cellStyle name="Millares [0] 6 2 2" xfId="234" xr:uid="{D5EEF9A0-9B9F-4522-9E1B-DA6A0606560B}"/>
    <cellStyle name="Millares [0] 6 2 2 2" xfId="420" xr:uid="{6083B960-649A-4BA2-AC61-CEE3C36F02D9}"/>
    <cellStyle name="Millares [0] 6 2 2 2 2" xfId="752" xr:uid="{979ABADA-11A7-492F-B8A8-5C14288DAF9A}"/>
    <cellStyle name="Millares [0] 6 2 2 2 2 2" xfId="2094" xr:uid="{2F01BEB2-1DC9-420E-83F8-E6018B3DD7D2}"/>
    <cellStyle name="Millares [0] 6 2 2 2 2 2 2" xfId="4086" xr:uid="{F10EAE9D-C5B4-4CE4-93E5-4C749FE134F5}"/>
    <cellStyle name="Millares [0] 6 2 2 2 2 3" xfId="1423" xr:uid="{2A709289-2046-427F-B0D2-7DBE5254F3C2}"/>
    <cellStyle name="Millares [0] 6 2 2 2 2 3 2" xfId="3422" xr:uid="{63A932E3-B7B4-4417-A6BD-7AD130B97ABE}"/>
    <cellStyle name="Millares [0] 6 2 2 2 2 4" xfId="2758" xr:uid="{846C4A13-B69D-41DA-9EFB-657FC2A81829}"/>
    <cellStyle name="Millares [0] 6 2 2 2 3" xfId="1762" xr:uid="{49726D5C-E08B-4F6A-BD7E-61B35650490D}"/>
    <cellStyle name="Millares [0] 6 2 2 2 3 2" xfId="3754" xr:uid="{76F9E873-AAA3-4AC4-B589-3F3EBB8C9148}"/>
    <cellStyle name="Millares [0] 6 2 2 2 4" xfId="1091" xr:uid="{2AC6C8E5-2DD1-4566-A608-1F02A4A6CA8D}"/>
    <cellStyle name="Millares [0] 6 2 2 2 4 2" xfId="3090" xr:uid="{2613F747-3B32-4AFC-BA1E-7E70F7DF28A7}"/>
    <cellStyle name="Millares [0] 6 2 2 2 5" xfId="2426" xr:uid="{A8575C67-B471-4F9A-9ED6-B226A96B0840}"/>
    <cellStyle name="Millares [0] 6 2 2 3" xfId="586" xr:uid="{2725D84B-2A21-405B-84B8-EB28EC2CB5A7}"/>
    <cellStyle name="Millares [0] 6 2 2 3 2" xfId="1928" xr:uid="{BDDBC094-9CEC-4A59-A707-02B0D02E569A}"/>
    <cellStyle name="Millares [0] 6 2 2 3 2 2" xfId="3920" xr:uid="{F03EBD9B-A380-490B-8B59-81C8DF289D2E}"/>
    <cellStyle name="Millares [0] 6 2 2 3 3" xfId="1257" xr:uid="{219DE7F8-AF64-46BD-BE3B-5D0A316AA36B}"/>
    <cellStyle name="Millares [0] 6 2 2 3 3 2" xfId="3256" xr:uid="{5C268DFC-E150-4950-9A9A-6A86FBCCFB1E}"/>
    <cellStyle name="Millares [0] 6 2 2 3 4" xfId="2592" xr:uid="{D43BDFD9-7136-436B-97A2-A83E913FD6E6}"/>
    <cellStyle name="Millares [0] 6 2 2 4" xfId="1596" xr:uid="{337D871D-44E5-43AC-AFDE-37AEB9EB9B5A}"/>
    <cellStyle name="Millares [0] 6 2 2 4 2" xfId="3588" xr:uid="{4AE77CCF-3D47-4591-A203-6F99106D9F5E}"/>
    <cellStyle name="Millares [0] 6 2 2 5" xfId="925" xr:uid="{97645731-F0AD-417A-98AE-89C48450542B}"/>
    <cellStyle name="Millares [0] 6 2 2 5 2" xfId="2924" xr:uid="{AE7FB883-F9DC-4FD5-A7D8-3FF8DD8BE8AD}"/>
    <cellStyle name="Millares [0] 6 2 2 6" xfId="2260" xr:uid="{9770C3DE-B33C-4F6D-8F91-05A51CBBB37B}"/>
    <cellStyle name="Millares [0] 6 2 3" xfId="338" xr:uid="{891EA89C-0D76-4A9C-8B70-1870A3CAEC6F}"/>
    <cellStyle name="Millares [0] 6 2 3 2" xfId="670" xr:uid="{2004CECA-8B3F-4CD4-B8FF-E216DED2E44A}"/>
    <cellStyle name="Millares [0] 6 2 3 2 2" xfId="2012" xr:uid="{D067F845-E8FA-4829-9915-DCB8CCCF8424}"/>
    <cellStyle name="Millares [0] 6 2 3 2 2 2" xfId="4004" xr:uid="{234F3636-C82B-4863-8718-FE2DC5DBFDE9}"/>
    <cellStyle name="Millares [0] 6 2 3 2 3" xfId="1341" xr:uid="{42C73BEA-D5B0-42D9-9FD8-CD7E12D6B9EC}"/>
    <cellStyle name="Millares [0] 6 2 3 2 3 2" xfId="3340" xr:uid="{92F42394-FC93-4778-BE45-A448C26739DC}"/>
    <cellStyle name="Millares [0] 6 2 3 2 4" xfId="2676" xr:uid="{F19DD643-4541-4FEA-A106-7957B84FA97B}"/>
    <cellStyle name="Millares [0] 6 2 3 3" xfId="1680" xr:uid="{FC4C3B66-A48D-45D6-99F1-99C7311CDD34}"/>
    <cellStyle name="Millares [0] 6 2 3 3 2" xfId="3672" xr:uid="{674E9955-DB67-4EA3-BD4C-51AEACCEC6A1}"/>
    <cellStyle name="Millares [0] 6 2 3 4" xfId="1009" xr:uid="{B242F9A0-6B85-4143-8378-D808B094801B}"/>
    <cellStyle name="Millares [0] 6 2 3 4 2" xfId="3008" xr:uid="{6D604BF8-EC44-4C95-99DB-0EBCF8B127DA}"/>
    <cellStyle name="Millares [0] 6 2 3 5" xfId="2344" xr:uid="{53A73A83-1989-4D89-B875-C44CC3DC828D}"/>
    <cellStyle name="Millares [0] 6 2 4" xfId="504" xr:uid="{20562AAB-428E-42C3-9ADB-B3EA18BDD9D2}"/>
    <cellStyle name="Millares [0] 6 2 4 2" xfId="1846" xr:uid="{88731621-91E0-4B97-8286-25E6D351B2E1}"/>
    <cellStyle name="Millares [0] 6 2 4 2 2" xfId="3838" xr:uid="{02754E3B-B3D6-4EBE-B0E1-3927BEB09203}"/>
    <cellStyle name="Millares [0] 6 2 4 3" xfId="1175" xr:uid="{F1A71A09-6070-42AD-B581-460179AC1C9B}"/>
    <cellStyle name="Millares [0] 6 2 4 3 2" xfId="3174" xr:uid="{9EF5B41E-3668-4F5B-B42C-D14E544B3B47}"/>
    <cellStyle name="Millares [0] 6 2 4 4" xfId="2510" xr:uid="{9388FC84-F104-49F9-84BD-43BD85A25BC4}"/>
    <cellStyle name="Millares [0] 6 2 5" xfId="1514" xr:uid="{ADB2B1CB-A4D6-4C33-878E-84979172B805}"/>
    <cellStyle name="Millares [0] 6 2 5 2" xfId="3506" xr:uid="{E54BA0EE-8BE8-4B21-B5C2-E59EDBFCE329}"/>
    <cellStyle name="Millares [0] 6 2 6" xfId="843" xr:uid="{9D220C3A-674A-459F-B970-6FBB8D5B54B2}"/>
    <cellStyle name="Millares [0] 6 2 6 2" xfId="2842" xr:uid="{E914AC77-5D8D-4B94-95A6-488CB74E5F17}"/>
    <cellStyle name="Millares [0] 6 2 7" xfId="2178" xr:uid="{355B4D75-600D-46C9-9B6A-74DD53EF9689}"/>
    <cellStyle name="Millares [0] 6 3" xfId="194" xr:uid="{FA9A7AFB-1E3F-4A18-9CB3-34E94A55F4A4}"/>
    <cellStyle name="Millares [0] 6 3 2" xfId="380" xr:uid="{EDBFD447-97F4-4052-8BE6-78B10FEDA9FE}"/>
    <cellStyle name="Millares [0] 6 3 2 2" xfId="712" xr:uid="{B92135E5-78DB-4455-B8A8-A2E43AB199A8}"/>
    <cellStyle name="Millares [0] 6 3 2 2 2" xfId="2054" xr:uid="{2B83F623-860D-4EF6-A3C4-C39676D0E62E}"/>
    <cellStyle name="Millares [0] 6 3 2 2 2 2" xfId="4046" xr:uid="{CEB44DAB-74D4-4F7D-B4E8-4F97A799B200}"/>
    <cellStyle name="Millares [0] 6 3 2 2 3" xfId="1383" xr:uid="{FE4E1BB1-3AF2-461E-8BCB-81244B0544D6}"/>
    <cellStyle name="Millares [0] 6 3 2 2 3 2" xfId="3382" xr:uid="{F5F5B280-2F1A-4A03-AF90-4D2693292BB2}"/>
    <cellStyle name="Millares [0] 6 3 2 2 4" xfId="2718" xr:uid="{83273423-45DA-4C16-8CEE-746CE898D022}"/>
    <cellStyle name="Millares [0] 6 3 2 3" xfId="1722" xr:uid="{4EC9EC9F-2D9B-4580-80D8-FC124522EB1E}"/>
    <cellStyle name="Millares [0] 6 3 2 3 2" xfId="3714" xr:uid="{DC97741A-68ED-4490-8F9B-D2D34AD8E561}"/>
    <cellStyle name="Millares [0] 6 3 2 4" xfId="1051" xr:uid="{015FD193-A171-4E35-9444-2ED1046E0012}"/>
    <cellStyle name="Millares [0] 6 3 2 4 2" xfId="3050" xr:uid="{BC6AE648-A377-4585-8717-E8D3791CDF22}"/>
    <cellStyle name="Millares [0] 6 3 2 5" xfId="2386" xr:uid="{34BFEA97-60DC-440D-A85A-B80BC57BC749}"/>
    <cellStyle name="Millares [0] 6 3 3" xfId="546" xr:uid="{09FE4952-56DD-4DD7-8C6F-05CA10CE2AF2}"/>
    <cellStyle name="Millares [0] 6 3 3 2" xfId="1888" xr:uid="{B5C7C586-CD15-42A5-AE19-B12415C8C5AB}"/>
    <cellStyle name="Millares [0] 6 3 3 2 2" xfId="3880" xr:uid="{838FDC9B-6B1F-420C-B067-6A3C937696C7}"/>
    <cellStyle name="Millares [0] 6 3 3 3" xfId="1217" xr:uid="{B63B58A5-D235-4FB6-99CD-F60652F93E4D}"/>
    <cellStyle name="Millares [0] 6 3 3 3 2" xfId="3216" xr:uid="{01A5F034-C547-4C13-95FC-6E02684E010B}"/>
    <cellStyle name="Millares [0] 6 3 3 4" xfId="2552" xr:uid="{B1C9796C-850C-445F-8F95-C50BAFDFB314}"/>
    <cellStyle name="Millares [0] 6 3 4" xfId="1556" xr:uid="{28FF8989-4139-44DA-8F54-5CEEF45478EC}"/>
    <cellStyle name="Millares [0] 6 3 4 2" xfId="3548" xr:uid="{E7C6488E-EF90-43EF-AF8F-4645613D8B45}"/>
    <cellStyle name="Millares [0] 6 3 5" xfId="885" xr:uid="{4DA36B3C-F046-4FBF-8688-96C48E67DA63}"/>
    <cellStyle name="Millares [0] 6 3 5 2" xfId="2884" xr:uid="{3345E0ED-9164-4394-A0C7-43FFA4039318}"/>
    <cellStyle name="Millares [0] 6 3 6" xfId="2220" xr:uid="{ED407F1A-3385-4D92-9BC5-81D6E9D822FF}"/>
    <cellStyle name="Millares [0] 6 4" xfId="298" xr:uid="{D83BC179-9C11-4A95-BE54-D85B57CB3884}"/>
    <cellStyle name="Millares [0] 6 4 2" xfId="630" xr:uid="{93989321-029D-458D-8C5F-597C8BBD8AB1}"/>
    <cellStyle name="Millares [0] 6 4 2 2" xfId="1972" xr:uid="{8C11A91E-CBAA-4FAC-8900-935F5D3F5E47}"/>
    <cellStyle name="Millares [0] 6 4 2 2 2" xfId="3964" xr:uid="{1732A85E-E16F-4134-A521-82A8D43BC86D}"/>
    <cellStyle name="Millares [0] 6 4 2 3" xfId="1301" xr:uid="{7F5C9A8A-6DF5-4F4F-826B-C672F5E9093A}"/>
    <cellStyle name="Millares [0] 6 4 2 3 2" xfId="3300" xr:uid="{A8D2B42F-570E-4BFA-BA7F-B3AB5D768896}"/>
    <cellStyle name="Millares [0] 6 4 2 4" xfId="2636" xr:uid="{A9A3D000-CC70-43F6-8A1D-FD1826B24CDF}"/>
    <cellStyle name="Millares [0] 6 4 3" xfId="1640" xr:uid="{F1BEF870-D37A-4930-9592-70A8E006561E}"/>
    <cellStyle name="Millares [0] 6 4 3 2" xfId="3632" xr:uid="{400CC8C2-6C45-480F-8AD8-41F6B7DCB784}"/>
    <cellStyle name="Millares [0] 6 4 4" xfId="969" xr:uid="{23E3AE4C-EF24-4A3C-83A6-AC53833B5F26}"/>
    <cellStyle name="Millares [0] 6 4 4 2" xfId="2968" xr:uid="{02A66E23-AFA6-4063-AC40-B02FA19AF1E7}"/>
    <cellStyle name="Millares [0] 6 4 5" xfId="2304" xr:uid="{52A17B61-D19E-4F33-A939-ED5D9F5DAF11}"/>
    <cellStyle name="Millares [0] 6 5" xfId="464" xr:uid="{A24A70FE-B21D-4156-80A5-EAB8B14D7E84}"/>
    <cellStyle name="Millares [0] 6 5 2" xfId="1806" xr:uid="{C5D79077-67D2-45B9-A26F-2763C6098AFC}"/>
    <cellStyle name="Millares [0] 6 5 2 2" xfId="3798" xr:uid="{485F5FC4-2C2F-460A-9930-DBC491E2ACD3}"/>
    <cellStyle name="Millares [0] 6 5 3" xfId="1135" xr:uid="{8350E265-D28F-4325-919F-2E0CABB05284}"/>
    <cellStyle name="Millares [0] 6 5 3 2" xfId="3134" xr:uid="{78BDDE1A-0C3A-451F-A64F-D977F9891AD9}"/>
    <cellStyle name="Millares [0] 6 5 4" xfId="2470" xr:uid="{6AC389BC-BB07-4283-ABF3-0B1477A55B03}"/>
    <cellStyle name="Millares [0] 6 6" xfId="1474" xr:uid="{62FD43A0-6DA7-4BA6-A483-17DC7BAC6A49}"/>
    <cellStyle name="Millares [0] 6 6 2" xfId="3466" xr:uid="{03268517-F89A-4B2C-936C-2F76FAC8B7AE}"/>
    <cellStyle name="Millares [0] 6 7" xfId="803" xr:uid="{9BB9C050-2F34-4738-9D59-30CCA9897DA3}"/>
    <cellStyle name="Millares [0] 6 7 2" xfId="2802" xr:uid="{E24C2805-CAA9-4762-B6E0-CD158CB91234}"/>
    <cellStyle name="Millares [0] 6 8" xfId="2138" xr:uid="{D9F42D42-582D-4AF2-BE0A-83B44ECD013C}"/>
    <cellStyle name="Millares [0] 7" xfId="125" xr:uid="{9CBF76DA-D809-4DC5-85B9-C4066E953D8E}"/>
    <cellStyle name="Millares [0] 7 2" xfId="215" xr:uid="{60F00321-4136-4288-88BF-D16284025E3F}"/>
    <cellStyle name="Millares [0] 7 2 2" xfId="401" xr:uid="{EB5A77D4-5754-4F21-8D51-888C9F627793}"/>
    <cellStyle name="Millares [0] 7 2 2 2" xfId="733" xr:uid="{CF92758E-E4C6-4E24-86CD-EC243F0BA459}"/>
    <cellStyle name="Millares [0] 7 2 2 2 2" xfId="2075" xr:uid="{B54381A6-3600-4903-AD07-8466C650FD77}"/>
    <cellStyle name="Millares [0] 7 2 2 2 2 2" xfId="4067" xr:uid="{B16BFCE5-1A8A-49C0-8E00-2CD8C5A933BC}"/>
    <cellStyle name="Millares [0] 7 2 2 2 3" xfId="1404" xr:uid="{0A8F59C1-56F7-4AB8-A255-D962E4D48DC8}"/>
    <cellStyle name="Millares [0] 7 2 2 2 3 2" xfId="3403" xr:uid="{95300C86-BB38-4193-94F8-A734E8110503}"/>
    <cellStyle name="Millares [0] 7 2 2 2 4" xfId="2739" xr:uid="{E8511BB0-796E-4EA4-96F4-1C8876531F40}"/>
    <cellStyle name="Millares [0] 7 2 2 3" xfId="1743" xr:uid="{B4374E1C-0D66-47E7-AB26-1A9094EC1ACD}"/>
    <cellStyle name="Millares [0] 7 2 2 3 2" xfId="3735" xr:uid="{5F75C237-B96D-422B-9C0E-649F9ECFBC6D}"/>
    <cellStyle name="Millares [0] 7 2 2 4" xfId="1072" xr:uid="{1E8E6C85-D093-4031-8A84-2D5BAF47396E}"/>
    <cellStyle name="Millares [0] 7 2 2 4 2" xfId="3071" xr:uid="{40BAA5F4-C966-43E0-B21E-F8D2BA8CD704}"/>
    <cellStyle name="Millares [0] 7 2 2 5" xfId="2407" xr:uid="{8806C9F9-2D46-4DEE-B495-97B0CDF9070A}"/>
    <cellStyle name="Millares [0] 7 2 3" xfId="567" xr:uid="{C8BB68BB-765B-421C-9DA4-389CD86E6A98}"/>
    <cellStyle name="Millares [0] 7 2 3 2" xfId="1909" xr:uid="{A49AE4CB-AC0A-4633-915C-C3D8A1077CD4}"/>
    <cellStyle name="Millares [0] 7 2 3 2 2" xfId="3901" xr:uid="{91300672-9120-44EF-A33D-7232AFA75846}"/>
    <cellStyle name="Millares [0] 7 2 3 3" xfId="1238" xr:uid="{AFEE2E54-8AB8-4FF1-9236-ED69C1D4017B}"/>
    <cellStyle name="Millares [0] 7 2 3 3 2" xfId="3237" xr:uid="{0A37C673-C2C5-4D27-9777-EDE3C48E369B}"/>
    <cellStyle name="Millares [0] 7 2 3 4" xfId="2573" xr:uid="{810A7E24-31E4-49A4-9EB3-07703C0F6402}"/>
    <cellStyle name="Millares [0] 7 2 4" xfId="1577" xr:uid="{92AD7E5A-23A1-475C-8EA0-5AC3F0D24FBD}"/>
    <cellStyle name="Millares [0] 7 2 4 2" xfId="3569" xr:uid="{E49EDB86-F1BC-4EF4-B137-85E25C04F339}"/>
    <cellStyle name="Millares [0] 7 2 5" xfId="906" xr:uid="{8E0DD23F-7453-4062-8BA5-6C8C36A1EB01}"/>
    <cellStyle name="Millares [0] 7 2 5 2" xfId="2905" xr:uid="{CD696311-B864-4916-A81F-DF71BB95B89D}"/>
    <cellStyle name="Millares [0] 7 2 6" xfId="2241" xr:uid="{65841FF8-416B-48A7-B7CA-D78D6228AF74}"/>
    <cellStyle name="Millares [0] 7 3" xfId="319" xr:uid="{BD263653-8F72-4D2D-942C-A8087DA4B9AF}"/>
    <cellStyle name="Millares [0] 7 3 2" xfId="651" xr:uid="{8206D886-1BAC-490E-A35F-AAEFED4567CD}"/>
    <cellStyle name="Millares [0] 7 3 2 2" xfId="1993" xr:uid="{2DB98124-CDDD-4B9F-9553-5F8EC1A73027}"/>
    <cellStyle name="Millares [0] 7 3 2 2 2" xfId="3985" xr:uid="{34E8625D-98B0-4058-AC63-440A19DE10A6}"/>
    <cellStyle name="Millares [0] 7 3 2 3" xfId="1322" xr:uid="{45084CCC-B966-4CEE-B790-71FA3C2FE3F9}"/>
    <cellStyle name="Millares [0] 7 3 2 3 2" xfId="3321" xr:uid="{822A892B-2336-47E4-B2E6-A26FFEB45AE3}"/>
    <cellStyle name="Millares [0] 7 3 2 4" xfId="2657" xr:uid="{82B9196C-CF0D-461E-A9E1-D7A1D346B234}"/>
    <cellStyle name="Millares [0] 7 3 3" xfId="1661" xr:uid="{770E6D7E-7286-4E55-854B-D96127B5DE9E}"/>
    <cellStyle name="Millares [0] 7 3 3 2" xfId="3653" xr:uid="{F4A9B6DE-F705-410A-A1EB-F0310C2D0475}"/>
    <cellStyle name="Millares [0] 7 3 4" xfId="990" xr:uid="{DE07A029-D706-4913-8F0F-19F504B6EB6A}"/>
    <cellStyle name="Millares [0] 7 3 4 2" xfId="2989" xr:uid="{A5F7047E-8874-4F6F-81AB-45F283880B6D}"/>
    <cellStyle name="Millares [0] 7 3 5" xfId="2325" xr:uid="{45066CE0-8DEB-4558-A368-ECCD5370EBE4}"/>
    <cellStyle name="Millares [0] 7 4" xfId="485" xr:uid="{AF36631C-9357-4C24-88B1-593A141A8411}"/>
    <cellStyle name="Millares [0] 7 4 2" xfId="1827" xr:uid="{867F4222-81FF-40C1-9D0C-2EDD5AC7D181}"/>
    <cellStyle name="Millares [0] 7 4 2 2" xfId="3819" xr:uid="{358CA600-F575-4A93-BF0D-1427912E1E4F}"/>
    <cellStyle name="Millares [0] 7 4 3" xfId="1156" xr:uid="{23EAF094-EC84-4622-8AB8-B6A5D9B4B61F}"/>
    <cellStyle name="Millares [0] 7 4 3 2" xfId="3155" xr:uid="{F7A8A055-7E5B-4F84-ABF7-FF182F948E39}"/>
    <cellStyle name="Millares [0] 7 4 4" xfId="2491" xr:uid="{0FCD22F0-D04D-4BFE-8B8A-60F745180C08}"/>
    <cellStyle name="Millares [0] 7 5" xfId="1495" xr:uid="{263A6546-6948-43D4-BC77-49D74181F1AE}"/>
    <cellStyle name="Millares [0] 7 5 2" xfId="3487" xr:uid="{2C0D0C78-97FB-4AC4-A1AA-D83D6CC94EF2}"/>
    <cellStyle name="Millares [0] 7 6" xfId="824" xr:uid="{74A2C42F-C2AC-460B-A148-48F4EBA07EDA}"/>
    <cellStyle name="Millares [0] 7 6 2" xfId="2823" xr:uid="{96F5A153-5B94-400A-82DD-EA25CD882FF7}"/>
    <cellStyle name="Millares [0] 7 7" xfId="2159" xr:uid="{90E56CA4-E3A8-43D8-B89D-D1C18C6A104E}"/>
    <cellStyle name="Millares [0] 8" xfId="111" xr:uid="{98B1E7FF-735D-46E7-9D2E-F58CEDF4D022}"/>
    <cellStyle name="Millares [0] 8 2" xfId="208" xr:uid="{E1D8758F-303A-4DAF-B2FC-71BB24538258}"/>
    <cellStyle name="Millares [0] 8 2 2" xfId="394" xr:uid="{AF753E86-B5E4-4A58-92BF-9D94958355DF}"/>
    <cellStyle name="Millares [0] 8 2 2 2" xfId="726" xr:uid="{5B811826-C0EE-4D34-8286-4A526C300163}"/>
    <cellStyle name="Millares [0] 8 2 2 2 2" xfId="2068" xr:uid="{F5A93CA5-F9D6-4C59-87CD-FBB5CE7B49DA}"/>
    <cellStyle name="Millares [0] 8 2 2 2 2 2" xfId="4060" xr:uid="{9B14D305-3D7F-401B-9C68-6C214CFD32F3}"/>
    <cellStyle name="Millares [0] 8 2 2 2 3" xfId="1397" xr:uid="{85A7C997-1740-417A-98C8-47DA8B61C549}"/>
    <cellStyle name="Millares [0] 8 2 2 2 3 2" xfId="3396" xr:uid="{E38B0823-9FFE-47AA-99E2-3C3AD65CB722}"/>
    <cellStyle name="Millares [0] 8 2 2 2 4" xfId="2732" xr:uid="{EAA1B956-51C3-4EB9-8651-B35BB1BB104F}"/>
    <cellStyle name="Millares [0] 8 2 2 3" xfId="1736" xr:uid="{86132196-3BED-49D4-BB29-09F74881F84B}"/>
    <cellStyle name="Millares [0] 8 2 2 3 2" xfId="3728" xr:uid="{6CF81821-402C-4A01-829A-7510132B67B3}"/>
    <cellStyle name="Millares [0] 8 2 2 4" xfId="1065" xr:uid="{BBBE55A8-87DF-4BF6-83F8-2338BD628A72}"/>
    <cellStyle name="Millares [0] 8 2 2 4 2" xfId="3064" xr:uid="{6FDA30BD-DEFF-4487-A2CE-A003A01E7FBE}"/>
    <cellStyle name="Millares [0] 8 2 2 5" xfId="2400" xr:uid="{E837BF07-2590-4DED-A2BC-1E28770236B8}"/>
    <cellStyle name="Millares [0] 8 2 3" xfId="560" xr:uid="{24090DB1-E5E6-424E-AFE2-67862624DAFB}"/>
    <cellStyle name="Millares [0] 8 2 3 2" xfId="1902" xr:uid="{3B9C42F4-829A-48CC-BE40-60D77EEF01CD}"/>
    <cellStyle name="Millares [0] 8 2 3 2 2" xfId="3894" xr:uid="{907CA4D8-9518-46E1-80DA-432A0E29BC22}"/>
    <cellStyle name="Millares [0] 8 2 3 3" xfId="1231" xr:uid="{222AD270-09EC-433F-A42E-B37C814A5482}"/>
    <cellStyle name="Millares [0] 8 2 3 3 2" xfId="3230" xr:uid="{BFC9CC86-BC42-486A-A727-D9BEAE774B05}"/>
    <cellStyle name="Millares [0] 8 2 3 4" xfId="2566" xr:uid="{989C9A5F-906C-435F-9DB0-14815261DF82}"/>
    <cellStyle name="Millares [0] 8 2 4" xfId="1570" xr:uid="{858A5F42-F1C3-4E7F-9DCF-27CD2795A6A5}"/>
    <cellStyle name="Millares [0] 8 2 4 2" xfId="3562" xr:uid="{5A9DD7DF-270D-4E17-B253-2B6C97BD3F17}"/>
    <cellStyle name="Millares [0] 8 2 5" xfId="899" xr:uid="{111A8A41-6B8F-4C26-9AAE-A27F18F993AA}"/>
    <cellStyle name="Millares [0] 8 2 5 2" xfId="2898" xr:uid="{27E0C17A-7759-4133-B08D-26333B80F8EC}"/>
    <cellStyle name="Millares [0] 8 2 6" xfId="2234" xr:uid="{37F2240E-20A2-4AB5-A8CD-D8D4C1EDA715}"/>
    <cellStyle name="Millares [0] 8 3" xfId="312" xr:uid="{41E60113-DF02-435D-B523-5A9311C5FC46}"/>
    <cellStyle name="Millares [0] 8 3 2" xfId="644" xr:uid="{047B5DB3-5E90-445A-97C4-9F92C2819C4C}"/>
    <cellStyle name="Millares [0] 8 3 2 2" xfId="1986" xr:uid="{DEF3B95C-6209-443E-A5D3-80EC0ABC1F9D}"/>
    <cellStyle name="Millares [0] 8 3 2 2 2" xfId="3978" xr:uid="{A0B16447-9016-4981-8488-BAD11E932CBE}"/>
    <cellStyle name="Millares [0] 8 3 2 3" xfId="1315" xr:uid="{A411D71F-6557-41DF-8631-0DDDDAE586F1}"/>
    <cellStyle name="Millares [0] 8 3 2 3 2" xfId="3314" xr:uid="{AE1393DF-F72D-4704-A4B4-244FD9F550B8}"/>
    <cellStyle name="Millares [0] 8 3 2 4" xfId="2650" xr:uid="{87A2ECF8-D212-4A22-8A44-42F09220791D}"/>
    <cellStyle name="Millares [0] 8 3 3" xfId="1654" xr:uid="{95F5796C-D9D8-4132-B7D5-A7268E1A3FE8}"/>
    <cellStyle name="Millares [0] 8 3 3 2" xfId="3646" xr:uid="{FCF424BD-CEA5-47B9-9B69-2BCC1353E60C}"/>
    <cellStyle name="Millares [0] 8 3 4" xfId="983" xr:uid="{36855043-EE28-4555-BA38-2F9D2005806D}"/>
    <cellStyle name="Millares [0] 8 3 4 2" xfId="2982" xr:uid="{A6B469E3-B2F2-44C7-91CD-A2FF10FBC649}"/>
    <cellStyle name="Millares [0] 8 3 5" xfId="2318" xr:uid="{EDFA3E48-388C-4A57-BB9D-A9A152B1B136}"/>
    <cellStyle name="Millares [0] 8 4" xfId="478" xr:uid="{04B1E6E3-2175-44E8-986B-ACB42647BFCE}"/>
    <cellStyle name="Millares [0] 8 4 2" xfId="1820" xr:uid="{D17A0479-D950-4777-AC5B-FA3B58EC8CFA}"/>
    <cellStyle name="Millares [0] 8 4 2 2" xfId="3812" xr:uid="{47568BB2-BF88-477D-B5C1-9A90221CBA95}"/>
    <cellStyle name="Millares [0] 8 4 3" xfId="1149" xr:uid="{C1137F39-DC1D-4EBF-8D01-9BBAB6D27A1C}"/>
    <cellStyle name="Millares [0] 8 4 3 2" xfId="3148" xr:uid="{EE9C2E51-A23E-4829-8BA3-456843DC5520}"/>
    <cellStyle name="Millares [0] 8 4 4" xfId="2484" xr:uid="{7B3A5DAD-6167-46BD-A356-771C1328AC48}"/>
    <cellStyle name="Millares [0] 8 5" xfId="1488" xr:uid="{4A4F21A0-67D5-4A41-9894-4D7029CD9239}"/>
    <cellStyle name="Millares [0] 8 5 2" xfId="3480" xr:uid="{194414D4-4305-4660-AB52-76B67FCC2485}"/>
    <cellStyle name="Millares [0] 8 6" xfId="817" xr:uid="{2A376A87-59A6-4AB2-BA22-63A9FAADFE1E}"/>
    <cellStyle name="Millares [0] 8 6 2" xfId="2816" xr:uid="{924C8A5B-3F85-49BB-9D55-E51F99E0AA11}"/>
    <cellStyle name="Millares [0] 8 7" xfId="2152" xr:uid="{0C6BFC7F-A711-4963-BD59-469738C2BB8A}"/>
    <cellStyle name="Millares [0] 9" xfId="161" xr:uid="{4B6B7262-B7CC-40CD-8C79-584FD52FA71A}"/>
    <cellStyle name="Millares [0] 9 2" xfId="250" xr:uid="{3E875233-600C-47A0-B3B6-910C80ACFD33}"/>
    <cellStyle name="Millares [0] 9 2 2" xfId="436" xr:uid="{674808C4-627F-4282-9D4E-BAFAEB085984}"/>
    <cellStyle name="Millares [0] 9 2 2 2" xfId="768" xr:uid="{26305ABF-56B8-497F-AD28-DABB87404101}"/>
    <cellStyle name="Millares [0] 9 2 2 2 2" xfId="2110" xr:uid="{0C2627BC-5FF9-429C-8B22-60DC71B0A452}"/>
    <cellStyle name="Millares [0] 9 2 2 2 2 2" xfId="4102" xr:uid="{DF8FD47E-E745-46E7-957A-A262E74C73D9}"/>
    <cellStyle name="Millares [0] 9 2 2 2 3" xfId="1439" xr:uid="{0BF9A4AF-C060-4D84-83A4-04E22E020EBD}"/>
    <cellStyle name="Millares [0] 9 2 2 2 3 2" xfId="3438" xr:uid="{BBDF59DE-F5B7-42AA-AB77-32CEBC1CD5A0}"/>
    <cellStyle name="Millares [0] 9 2 2 2 4" xfId="2774" xr:uid="{9ED806BA-C01B-4A9B-9E05-F2B035415AB7}"/>
    <cellStyle name="Millares [0] 9 2 2 3" xfId="1778" xr:uid="{A1D1150C-8155-44F5-893C-37C6D8E364F4}"/>
    <cellStyle name="Millares [0] 9 2 2 3 2" xfId="3770" xr:uid="{3304046D-BB44-436A-9AEA-81495D963D47}"/>
    <cellStyle name="Millares [0] 9 2 2 4" xfId="1107" xr:uid="{123B72FE-D330-4421-B030-E8DF6ECB6B26}"/>
    <cellStyle name="Millares [0] 9 2 2 4 2" xfId="3106" xr:uid="{7E40FD2D-6E06-431B-B87E-2E2186BBC739}"/>
    <cellStyle name="Millares [0] 9 2 2 5" xfId="2442" xr:uid="{57BAAEDB-C40F-494B-A97E-7DBE001D0FAC}"/>
    <cellStyle name="Millares [0] 9 2 3" xfId="602" xr:uid="{CB1C023C-958B-4BA4-B949-C8E5D456C827}"/>
    <cellStyle name="Millares [0] 9 2 3 2" xfId="1944" xr:uid="{951BFD42-4B17-4F00-A3A5-248D5224544B}"/>
    <cellStyle name="Millares [0] 9 2 3 2 2" xfId="3936" xr:uid="{824F9A6B-4F33-406A-B8CA-BC8DE2A306C7}"/>
    <cellStyle name="Millares [0] 9 2 3 3" xfId="1273" xr:uid="{2A7FC997-88F9-42BC-AA35-5A7F6CD33004}"/>
    <cellStyle name="Millares [0] 9 2 3 3 2" xfId="3272" xr:uid="{0F7712EA-4566-40DE-9DCD-D573F6685AB0}"/>
    <cellStyle name="Millares [0] 9 2 3 4" xfId="2608" xr:uid="{CF8A2AA4-99ED-49E6-926D-DACACCB307C0}"/>
    <cellStyle name="Millares [0] 9 2 4" xfId="1612" xr:uid="{DA1469AE-066F-434D-A9E9-174B8C832650}"/>
    <cellStyle name="Millares [0] 9 2 4 2" xfId="3604" xr:uid="{8A2D8B1F-CE27-4B76-9DC5-E9AE21653B5D}"/>
    <cellStyle name="Millares [0] 9 2 5" xfId="941" xr:uid="{41F0E3EF-35A8-47FD-A074-40FFC366C68F}"/>
    <cellStyle name="Millares [0] 9 2 5 2" xfId="2940" xr:uid="{5717D23A-CBAA-4883-9901-7012015426A5}"/>
    <cellStyle name="Millares [0] 9 2 6" xfId="2276" xr:uid="{B4B627AB-4E27-4CCC-8666-F7B6FF9BBC68}"/>
    <cellStyle name="Millares [0] 9 3" xfId="354" xr:uid="{D17977AD-F393-4B40-9A2E-3BE456766DD3}"/>
    <cellStyle name="Millares [0] 9 3 2" xfId="686" xr:uid="{1ECAFC1A-649E-41C3-B4BB-98F5FAE0DD26}"/>
    <cellStyle name="Millares [0] 9 3 2 2" xfId="2028" xr:uid="{9D91F9EE-DB0F-4C16-8355-4952CC90ED96}"/>
    <cellStyle name="Millares [0] 9 3 2 2 2" xfId="4020" xr:uid="{ECDE6E9A-1879-4236-98EE-DE9390A15EFD}"/>
    <cellStyle name="Millares [0] 9 3 2 3" xfId="1357" xr:uid="{2E28588B-97F6-474B-A69F-7264394530BD}"/>
    <cellStyle name="Millares [0] 9 3 2 3 2" xfId="3356" xr:uid="{FC3F77A9-0D12-48A6-ACE2-E0578D62760A}"/>
    <cellStyle name="Millares [0] 9 3 2 4" xfId="2692" xr:uid="{554D28E2-14AC-4A90-8232-C3FA9C0F3DE1}"/>
    <cellStyle name="Millares [0] 9 3 3" xfId="1696" xr:uid="{48B4A8BF-6279-4667-922B-266C2CDA02BA}"/>
    <cellStyle name="Millares [0] 9 3 3 2" xfId="3688" xr:uid="{F19C5FBE-671B-4A26-8619-15A04F47B1CE}"/>
    <cellStyle name="Millares [0] 9 3 4" xfId="1025" xr:uid="{D97CC173-BF10-4BF9-9C04-98046A0F4F3D}"/>
    <cellStyle name="Millares [0] 9 3 4 2" xfId="3024" xr:uid="{91FB9917-3CFE-45C2-AC22-6F6F3B9D29FD}"/>
    <cellStyle name="Millares [0] 9 3 5" xfId="2360" xr:uid="{02331790-CC1A-4AFB-989E-F2C8158E041F}"/>
    <cellStyle name="Millares [0] 9 4" xfId="520" xr:uid="{F89CE940-1249-43F5-9D20-E801FF96579E}"/>
    <cellStyle name="Millares [0] 9 4 2" xfId="1862" xr:uid="{49674AB6-8AAF-4E3F-9B7D-C970DA0B8900}"/>
    <cellStyle name="Millares [0] 9 4 2 2" xfId="3854" xr:uid="{20FDDBF9-285B-4D91-98AE-7A838B6A254E}"/>
    <cellStyle name="Millares [0] 9 4 3" xfId="1191" xr:uid="{FEEA4751-71C9-47F5-9549-F33AB85FD88D}"/>
    <cellStyle name="Millares [0] 9 4 3 2" xfId="3190" xr:uid="{A67C4342-2248-4EFE-B266-602E498FA7F9}"/>
    <cellStyle name="Millares [0] 9 4 4" xfId="2526" xr:uid="{7C430F7C-E938-476B-BA7B-621D8AF6197A}"/>
    <cellStyle name="Millares [0] 9 5" xfId="1530" xr:uid="{2E5EC943-A1BE-462F-863E-E69C13CDF8BF}"/>
    <cellStyle name="Millares [0] 9 5 2" xfId="3522" xr:uid="{98944EC1-B159-42AE-8376-AEC8A87C4813}"/>
    <cellStyle name="Millares [0] 9 6" xfId="859" xr:uid="{89D574AC-F916-4D0B-9DB7-B87ED955E06D}"/>
    <cellStyle name="Millares [0] 9 6 2" xfId="2858" xr:uid="{256D88F7-815D-4B1B-9220-07F162753603}"/>
    <cellStyle name="Millares [0] 9 7" xfId="2194" xr:uid="{AAB28A31-C304-42AA-8498-D64147D630C4}"/>
    <cellStyle name="Millares 10" xfId="118" xr:uid="{00B33D68-87D4-4D80-8441-56D680AD6081}"/>
    <cellStyle name="Millares 10 2" xfId="209" xr:uid="{7DD81FF6-0C8C-4C2B-9696-6DFC659FA70A}"/>
    <cellStyle name="Millares 10 2 2" xfId="395" xr:uid="{4DF4544B-3999-4DC9-B303-223B3B20712D}"/>
    <cellStyle name="Millares 10 2 2 2" xfId="727" xr:uid="{A11BF5F7-6981-4458-A83F-8DAEC3CBA092}"/>
    <cellStyle name="Millares 10 2 2 2 2" xfId="2069" xr:uid="{AF670E51-4E42-4A2C-9EB0-355015608C32}"/>
    <cellStyle name="Millares 10 2 2 2 2 2" xfId="4061" xr:uid="{2FA61284-5910-477B-9BBA-E91B9F50FE55}"/>
    <cellStyle name="Millares 10 2 2 2 3" xfId="1398" xr:uid="{4D1EBD17-2DA6-4824-8B81-F1F74D186427}"/>
    <cellStyle name="Millares 10 2 2 2 3 2" xfId="3397" xr:uid="{8E43A68D-6F0B-4D74-8E56-59409EE20712}"/>
    <cellStyle name="Millares 10 2 2 2 4" xfId="2733" xr:uid="{6E317115-B0D7-4EE6-8064-B6A260345E93}"/>
    <cellStyle name="Millares 10 2 2 3" xfId="1737" xr:uid="{EF110770-2773-4769-B5E1-9032B16B009F}"/>
    <cellStyle name="Millares 10 2 2 3 2" xfId="3729" xr:uid="{68FFED37-CC14-4F4D-B3B7-BAF1478E0546}"/>
    <cellStyle name="Millares 10 2 2 4" xfId="1066" xr:uid="{F3FA7B77-B454-4B22-A8D2-CF6396217FE5}"/>
    <cellStyle name="Millares 10 2 2 4 2" xfId="3065" xr:uid="{325D025C-D8ED-4102-8CAE-D953E2FA7C4C}"/>
    <cellStyle name="Millares 10 2 2 5" xfId="2401" xr:uid="{E431411B-DBCC-4B8A-B220-F3181FAA26C2}"/>
    <cellStyle name="Millares 10 2 3" xfId="561" xr:uid="{46A0A3E8-100A-42B2-A476-31F681C21394}"/>
    <cellStyle name="Millares 10 2 3 2" xfId="1903" xr:uid="{BE73F009-59A5-4AA6-8B82-D05A9A4D4928}"/>
    <cellStyle name="Millares 10 2 3 2 2" xfId="3895" xr:uid="{76A6B80E-B2CF-4F92-ABAB-EFFEC3260D8E}"/>
    <cellStyle name="Millares 10 2 3 3" xfId="1232" xr:uid="{AEC300D5-B2DB-42FF-B186-F3C0DC886E07}"/>
    <cellStyle name="Millares 10 2 3 3 2" xfId="3231" xr:uid="{2EAF5932-32D4-4665-B2D6-E6FA193B966F}"/>
    <cellStyle name="Millares 10 2 3 4" xfId="2567" xr:uid="{8B6295DA-714B-44A7-B4C2-BB99169AE18A}"/>
    <cellStyle name="Millares 10 2 4" xfId="1571" xr:uid="{62A5505C-1339-4924-92F8-F1C5DAE9A5E9}"/>
    <cellStyle name="Millares 10 2 4 2" xfId="3563" xr:uid="{D6E2E2B9-037B-4051-98FB-B94B22F22D0C}"/>
    <cellStyle name="Millares 10 2 5" xfId="900" xr:uid="{3BD1BF52-6BEE-43D6-95A1-73014823CA0B}"/>
    <cellStyle name="Millares 10 2 5 2" xfId="2899" xr:uid="{23B4ABB7-3E75-4FB9-B6C5-63060A83E4DC}"/>
    <cellStyle name="Millares 10 2 6" xfId="2235" xr:uid="{FD52DFDD-1CF5-4038-84C8-CB05118E8B80}"/>
    <cellStyle name="Millares 10 3" xfId="313" xr:uid="{33D6B6A7-B79F-46C1-B26D-135F11697A60}"/>
    <cellStyle name="Millares 10 3 2" xfId="645" xr:uid="{1497FCF1-3699-4060-B67B-9AEBE166CF92}"/>
    <cellStyle name="Millares 10 3 2 2" xfId="1987" xr:uid="{761B9D99-9877-42B4-A00B-933748488F56}"/>
    <cellStyle name="Millares 10 3 2 2 2" xfId="3979" xr:uid="{FD379B75-8EB4-45AA-A092-11E519CFC6B0}"/>
    <cellStyle name="Millares 10 3 2 3" xfId="1316" xr:uid="{C233B4FF-0712-4E94-9B90-6901DB26AECD}"/>
    <cellStyle name="Millares 10 3 2 3 2" xfId="3315" xr:uid="{84A5785B-4C16-4030-BD71-03F6D79CDE67}"/>
    <cellStyle name="Millares 10 3 2 4" xfId="2651" xr:uid="{F098988C-CA61-414C-920F-3E953791C669}"/>
    <cellStyle name="Millares 10 3 3" xfId="1655" xr:uid="{C38C09F4-DFF5-4BE5-85FF-DD7ABF04B061}"/>
    <cellStyle name="Millares 10 3 3 2" xfId="3647" xr:uid="{FFAAA57F-6A4C-4900-BD79-EAA9F8F99E3A}"/>
    <cellStyle name="Millares 10 3 4" xfId="984" xr:uid="{DFB9DE28-53A3-4745-B9A4-DF89925F4A49}"/>
    <cellStyle name="Millares 10 3 4 2" xfId="2983" xr:uid="{B72D12CA-40F6-4527-B329-B615CB08EF3C}"/>
    <cellStyle name="Millares 10 3 5" xfId="2319" xr:uid="{704E6843-55C4-48DD-B82C-F0E81FB5BE99}"/>
    <cellStyle name="Millares 10 4" xfId="479" xr:uid="{F0D5C387-B8E3-4B09-9639-D2878D051C04}"/>
    <cellStyle name="Millares 10 4 2" xfId="1821" xr:uid="{F0B15E47-8796-425D-AECB-E3C28B4C7101}"/>
    <cellStyle name="Millares 10 4 2 2" xfId="3813" xr:uid="{8D6FD3E2-4C74-427D-8D6C-6CB5C646C031}"/>
    <cellStyle name="Millares 10 4 3" xfId="1150" xr:uid="{5CF08840-0D51-4EED-9E83-3DDCAA18A72E}"/>
    <cellStyle name="Millares 10 4 3 2" xfId="3149" xr:uid="{31C52A63-9EF1-4C81-BCEA-78B0A6DDCF17}"/>
    <cellStyle name="Millares 10 4 4" xfId="2485" xr:uid="{9DCA0006-64B4-4B5B-B05C-D2DE1A2BBF54}"/>
    <cellStyle name="Millares 10 5" xfId="1489" xr:uid="{FD2AC235-47F2-4B67-BBCE-6DCC88469F7F}"/>
    <cellStyle name="Millares 10 5 2" xfId="3481" xr:uid="{41FBC79D-FFCA-4726-A960-666620892BEC}"/>
    <cellStyle name="Millares 10 6" xfId="818" xr:uid="{15D8B247-7228-4292-8958-77D3D6687F76}"/>
    <cellStyle name="Millares 10 6 2" xfId="2817" xr:uid="{629C4388-96F5-421E-B714-88874179AEEF}"/>
    <cellStyle name="Millares 10 7" xfId="2153" xr:uid="{61E9BB08-C7F8-4184-A3C1-796CF8F4B542}"/>
    <cellStyle name="Millares 100 2" xfId="57" xr:uid="{B8853949-DFD2-47E9-8A7C-C637FAE4E830}"/>
    <cellStyle name="Millares 100 2 2" xfId="262" xr:uid="{699FEA96-5D81-4B3E-9835-C023C22D2376}"/>
    <cellStyle name="Millares 11" xfId="159" xr:uid="{55C5307C-89BE-4037-BC49-08648BDF17E3}"/>
    <cellStyle name="Millares 11 2" xfId="248" xr:uid="{4EB67282-7E9E-47BA-B1E9-95AF378F7F8B}"/>
    <cellStyle name="Millares 11 2 2" xfId="434" xr:uid="{B02139F8-8E9F-499D-B7B8-DBD4C40EF74B}"/>
    <cellStyle name="Millares 11 2 2 2" xfId="766" xr:uid="{836197E2-054F-4DCA-B01E-D7BB8F6C0B01}"/>
    <cellStyle name="Millares 11 2 2 2 2" xfId="2108" xr:uid="{0015A317-9E2C-4A3A-A74D-33B83BC316E8}"/>
    <cellStyle name="Millares 11 2 2 2 2 2" xfId="4100" xr:uid="{1690EABD-DEBD-4803-BD3C-7BD9479B818F}"/>
    <cellStyle name="Millares 11 2 2 2 3" xfId="1437" xr:uid="{7810821A-50B1-45B8-B398-A943852ACD96}"/>
    <cellStyle name="Millares 11 2 2 2 3 2" xfId="3436" xr:uid="{53716B81-5AE6-4AD7-BBFE-5B53ADE9CF63}"/>
    <cellStyle name="Millares 11 2 2 2 4" xfId="2772" xr:uid="{21386301-747A-48DF-81A4-4DE110B80633}"/>
    <cellStyle name="Millares 11 2 2 3" xfId="1776" xr:uid="{B847A415-0A50-4472-A1BF-3E96EC143ECC}"/>
    <cellStyle name="Millares 11 2 2 3 2" xfId="3768" xr:uid="{3C622AFF-E118-4DAC-A198-CAE62058BDF2}"/>
    <cellStyle name="Millares 11 2 2 4" xfId="1105" xr:uid="{17A4EF0F-719C-4F8F-B979-F72BA0BA645D}"/>
    <cellStyle name="Millares 11 2 2 4 2" xfId="3104" xr:uid="{C1CF5D99-3038-4E05-AFAF-416D4C8FCC55}"/>
    <cellStyle name="Millares 11 2 2 5" xfId="2440" xr:uid="{6C251E9C-D4B8-4757-94A1-2B4F479DFDFB}"/>
    <cellStyle name="Millares 11 2 3" xfId="600" xr:uid="{FFFB9104-42CD-4926-A460-19F201BE4462}"/>
    <cellStyle name="Millares 11 2 3 2" xfId="1942" xr:uid="{EB3CE690-A075-4F74-80EF-8B832AC5E4F1}"/>
    <cellStyle name="Millares 11 2 3 2 2" xfId="3934" xr:uid="{34376830-5F9B-4A79-AAED-5D83674B3A0A}"/>
    <cellStyle name="Millares 11 2 3 3" xfId="1271" xr:uid="{99449096-02AD-45F7-8301-8230C50B7E14}"/>
    <cellStyle name="Millares 11 2 3 3 2" xfId="3270" xr:uid="{6D5D9C2A-EFB8-43B4-B83E-798579652BEE}"/>
    <cellStyle name="Millares 11 2 3 4" xfId="2606" xr:uid="{DCCF18C5-D534-4C10-9E6B-83445144D2B6}"/>
    <cellStyle name="Millares 11 2 4" xfId="1610" xr:uid="{637C0794-7649-4F19-8B32-B4C9D54BE5C8}"/>
    <cellStyle name="Millares 11 2 4 2" xfId="3602" xr:uid="{32791AFE-C204-48CD-8049-B553AC463EEE}"/>
    <cellStyle name="Millares 11 2 5" xfId="939" xr:uid="{3D01FD07-7574-4D1A-974A-4F3FAB9F97DD}"/>
    <cellStyle name="Millares 11 2 5 2" xfId="2938" xr:uid="{5E37CB1C-8E6C-448D-9FA1-ED732B6C6596}"/>
    <cellStyle name="Millares 11 2 6" xfId="2274" xr:uid="{E1CA55D6-3B01-41C8-B1F8-1E1783D2B6A1}"/>
    <cellStyle name="Millares 11 3" xfId="352" xr:uid="{3F1251F7-35C6-4356-9FB5-A1561DA2CC52}"/>
    <cellStyle name="Millares 11 3 2" xfId="684" xr:uid="{AEA85923-DD06-4338-A75C-65F51832F19A}"/>
    <cellStyle name="Millares 11 3 2 2" xfId="2026" xr:uid="{64BCB1AB-04A5-43A5-BE2E-92F95480803E}"/>
    <cellStyle name="Millares 11 3 2 2 2" xfId="4018" xr:uid="{B208205B-DEB1-4837-97D8-540F50E44886}"/>
    <cellStyle name="Millares 11 3 2 3" xfId="1355" xr:uid="{51CEC02C-0187-4A0F-802D-D1C82584F20C}"/>
    <cellStyle name="Millares 11 3 2 3 2" xfId="3354" xr:uid="{0A8E4523-B095-422A-9516-F3E9C52121EA}"/>
    <cellStyle name="Millares 11 3 2 4" xfId="2690" xr:uid="{D0AFCEF8-B248-4142-AEC5-A850E2E35B6B}"/>
    <cellStyle name="Millares 11 3 3" xfId="1694" xr:uid="{96380D0B-4544-4F37-9726-AED9CF5A4E80}"/>
    <cellStyle name="Millares 11 3 3 2" xfId="3686" xr:uid="{3AB91441-971D-4FF7-801B-A407D21116BB}"/>
    <cellStyle name="Millares 11 3 4" xfId="1023" xr:uid="{C4D9047D-F6A1-462B-AE64-15198F070FC5}"/>
    <cellStyle name="Millares 11 3 4 2" xfId="3022" xr:uid="{81C17422-449A-485D-A096-C9FECBF505EF}"/>
    <cellStyle name="Millares 11 3 5" xfId="2358" xr:uid="{E16DC7C7-D822-4AA9-901C-F705918E5B9E}"/>
    <cellStyle name="Millares 11 4" xfId="518" xr:uid="{553C1965-C443-4FE3-A281-BF8696F7FCBC}"/>
    <cellStyle name="Millares 11 4 2" xfId="1860" xr:uid="{D7D11CA1-31C5-48E2-8F30-5CD721DA4707}"/>
    <cellStyle name="Millares 11 4 2 2" xfId="3852" xr:uid="{D9AB8F11-619F-4979-A65B-69E872B606C7}"/>
    <cellStyle name="Millares 11 4 3" xfId="1189" xr:uid="{7B3994C6-4BB0-4B8D-979A-EC8458B8A41C}"/>
    <cellStyle name="Millares 11 4 3 2" xfId="3188" xr:uid="{26C01480-AF40-4AA3-8665-A6B0337D199C}"/>
    <cellStyle name="Millares 11 4 4" xfId="2524" xr:uid="{992CB0BA-224C-4D34-A112-D5480BF8ED9D}"/>
    <cellStyle name="Millares 11 5" xfId="1528" xr:uid="{084A491C-BE99-4DBF-9DAA-F258EED2EA17}"/>
    <cellStyle name="Millares 11 5 2" xfId="3520" xr:uid="{84A4DFC3-FB85-4031-A4E8-2D8E4CBA2D68}"/>
    <cellStyle name="Millares 11 6" xfId="857" xr:uid="{C7E8B49B-D596-44EF-870B-39E15BEFDE67}"/>
    <cellStyle name="Millares 11 6 2" xfId="2856" xr:uid="{08203679-4E2B-4F2C-821B-9C7B62C75C5D}"/>
    <cellStyle name="Millares 11 7" xfId="2192" xr:uid="{4A59A954-CB1A-4A29-8F30-C32F61EC360F}"/>
    <cellStyle name="Millares 12" xfId="160" xr:uid="{A3E33C83-CFAE-4A99-B92C-A079513016C5}"/>
    <cellStyle name="Millares 12 2" xfId="249" xr:uid="{45474022-BE16-4575-A659-482381C8C0EF}"/>
    <cellStyle name="Millares 12 2 2" xfId="435" xr:uid="{8DD8AAD9-5E24-47FF-80CF-05DED7ADF172}"/>
    <cellStyle name="Millares 12 2 2 2" xfId="767" xr:uid="{680D50DB-F2DA-4EC0-818E-B0391FA0239D}"/>
    <cellStyle name="Millares 12 2 2 2 2" xfId="2109" xr:uid="{91C6EF28-A075-40C3-BACA-17936F0774E1}"/>
    <cellStyle name="Millares 12 2 2 2 2 2" xfId="4101" xr:uid="{EDB6ED18-DEBC-4901-AAF0-762399A3EB59}"/>
    <cellStyle name="Millares 12 2 2 2 3" xfId="1438" xr:uid="{BB9170EA-C3A7-4BF7-AD17-9B64F099E43B}"/>
    <cellStyle name="Millares 12 2 2 2 3 2" xfId="3437" xr:uid="{FA402367-70F0-4701-B7C1-555696076661}"/>
    <cellStyle name="Millares 12 2 2 2 4" xfId="2773" xr:uid="{74C2078F-CE61-44B2-86B4-F8C75CAD871C}"/>
    <cellStyle name="Millares 12 2 2 3" xfId="1777" xr:uid="{4A943956-23E9-4E4D-BF01-E20BF196ED8D}"/>
    <cellStyle name="Millares 12 2 2 3 2" xfId="3769" xr:uid="{BBCA2D8A-F417-4ED4-ABAF-F391F2D0074E}"/>
    <cellStyle name="Millares 12 2 2 4" xfId="1106" xr:uid="{25818E39-8218-42DC-ACB6-EF340C93DC30}"/>
    <cellStyle name="Millares 12 2 2 4 2" xfId="3105" xr:uid="{E6A5EAC8-1CB5-48A4-BB31-CBEEC8710C62}"/>
    <cellStyle name="Millares 12 2 2 5" xfId="2441" xr:uid="{DF459BE2-7C6B-449D-B30D-15E9E3D00731}"/>
    <cellStyle name="Millares 12 2 3" xfId="601" xr:uid="{07149A64-449F-482A-8895-ECD43A8E21BE}"/>
    <cellStyle name="Millares 12 2 3 2" xfId="1943" xr:uid="{41A74C0C-711B-400A-B300-25FEFF4D2B03}"/>
    <cellStyle name="Millares 12 2 3 2 2" xfId="3935" xr:uid="{CCF2E924-B273-4FE9-865B-672B47BB4E9B}"/>
    <cellStyle name="Millares 12 2 3 3" xfId="1272" xr:uid="{FEDD5656-4518-43E3-BD2A-5B4AABF12CD3}"/>
    <cellStyle name="Millares 12 2 3 3 2" xfId="3271" xr:uid="{17A99F29-5664-4361-94B2-1C7C8CF3E846}"/>
    <cellStyle name="Millares 12 2 3 4" xfId="2607" xr:uid="{A93F37EC-AA31-4265-BF1E-29FC8B5F817E}"/>
    <cellStyle name="Millares 12 2 4" xfId="1611" xr:uid="{D074A92C-C897-4FB9-8599-C8BF0977CBB6}"/>
    <cellStyle name="Millares 12 2 4 2" xfId="3603" xr:uid="{33E4B1AB-34EB-44F8-9945-D40F01E10B78}"/>
    <cellStyle name="Millares 12 2 5" xfId="940" xr:uid="{00A80E30-DD9E-46A7-8DDF-ADAF7BC085AF}"/>
    <cellStyle name="Millares 12 2 5 2" xfId="2939" xr:uid="{EC37A824-DBEB-4278-AA21-6B4637338438}"/>
    <cellStyle name="Millares 12 2 6" xfId="2275" xr:uid="{C789E4CE-2FAE-4559-B5ED-DE37297B546B}"/>
    <cellStyle name="Millares 12 3" xfId="353" xr:uid="{ED2252E7-1339-4AB8-A69D-DE693DFC874E}"/>
    <cellStyle name="Millares 12 3 2" xfId="685" xr:uid="{A35780CE-A4BB-4EE3-B222-13D2DB2A492A}"/>
    <cellStyle name="Millares 12 3 2 2" xfId="2027" xr:uid="{91117E3D-B768-4437-85D0-FEAF08D03AE5}"/>
    <cellStyle name="Millares 12 3 2 2 2" xfId="4019" xr:uid="{023CEB3A-AD50-44FB-B595-0DE25537E70A}"/>
    <cellStyle name="Millares 12 3 2 3" xfId="1356" xr:uid="{0CB260CC-A945-44BE-BE9A-A727733BDC6C}"/>
    <cellStyle name="Millares 12 3 2 3 2" xfId="3355" xr:uid="{091818DF-105A-4480-820B-02927888627D}"/>
    <cellStyle name="Millares 12 3 2 4" xfId="2691" xr:uid="{F47131EC-CFDF-4262-98DA-1FAFFE34CC65}"/>
    <cellStyle name="Millares 12 3 3" xfId="1695" xr:uid="{A1CF9851-3CE8-4860-A352-F228090839B9}"/>
    <cellStyle name="Millares 12 3 3 2" xfId="3687" xr:uid="{1818AB95-752F-4A5C-B545-FAAB1F5FDD0E}"/>
    <cellStyle name="Millares 12 3 4" xfId="1024" xr:uid="{EB0DAE0E-4F1D-4509-8D5D-B1E25712852D}"/>
    <cellStyle name="Millares 12 3 4 2" xfId="3023" xr:uid="{C9852EE9-5A17-44AC-9611-F2934E93813B}"/>
    <cellStyle name="Millares 12 3 5" xfId="2359" xr:uid="{52AE3C6E-B201-496D-9C66-C2EA95D0FDB1}"/>
    <cellStyle name="Millares 12 4" xfId="519" xr:uid="{94AB1DE1-BBA6-4C0C-B6AB-3633006862C4}"/>
    <cellStyle name="Millares 12 4 2" xfId="1861" xr:uid="{BD397B67-D260-4668-B463-B4C94CCB308E}"/>
    <cellStyle name="Millares 12 4 2 2" xfId="3853" xr:uid="{F181EFE7-E6D4-43D1-B393-FFF0E10500BE}"/>
    <cellStyle name="Millares 12 4 3" xfId="1190" xr:uid="{083618A0-CA2C-4C69-AB01-6B5800463C15}"/>
    <cellStyle name="Millares 12 4 3 2" xfId="3189" xr:uid="{AE2A5663-3EE6-428E-B55A-CBD838A8FCF8}"/>
    <cellStyle name="Millares 12 4 4" xfId="2525" xr:uid="{27D9C43F-5139-4F1D-8183-D94417DEEAC9}"/>
    <cellStyle name="Millares 12 5" xfId="1529" xr:uid="{373999E4-E5C9-44FB-846A-0D40A30FFB36}"/>
    <cellStyle name="Millares 12 5 2" xfId="3521" xr:uid="{3311636A-6584-4A89-A888-90B5A5B1C98A}"/>
    <cellStyle name="Millares 12 6" xfId="858" xr:uid="{F8B2C782-C1AF-4889-8059-452E6C715708}"/>
    <cellStyle name="Millares 12 6 2" xfId="2857" xr:uid="{8D0D5ABC-E55A-4AF4-95B8-8888AA9FBEA5}"/>
    <cellStyle name="Millares 12 7" xfId="2193" xr:uid="{FACF00CA-6217-42BF-86B5-2E3C29348BDC}"/>
    <cellStyle name="Millares 13" xfId="168" xr:uid="{4956D4D4-4B79-4B74-B1C3-BB607492F083}"/>
    <cellStyle name="Millares 13 2" xfId="355" xr:uid="{1365DA90-C3C0-4B12-9715-39D6E50EF49C}"/>
    <cellStyle name="Millares 13 2 2" xfId="687" xr:uid="{45C576FD-0197-4886-8F25-57CAB59046AB}"/>
    <cellStyle name="Millares 13 2 2 2" xfId="2029" xr:uid="{2EA2F174-FE71-497B-936C-B954910666B2}"/>
    <cellStyle name="Millares 13 2 2 2 2" xfId="4021" xr:uid="{B00A4C10-C80C-4B87-8592-BE25B65C2AD4}"/>
    <cellStyle name="Millares 13 2 2 3" xfId="1358" xr:uid="{2DFD65B9-225E-4FCF-87F2-E517059294F5}"/>
    <cellStyle name="Millares 13 2 2 3 2" xfId="3357" xr:uid="{22E2479B-4EDB-4048-9E3D-79179C06771C}"/>
    <cellStyle name="Millares 13 2 2 4" xfId="2693" xr:uid="{7330BDB2-8B5E-47FE-87B3-EC76CAF9AD85}"/>
    <cellStyle name="Millares 13 2 3" xfId="1697" xr:uid="{19F4DB3E-753B-47E3-BC2D-B2AF2625A571}"/>
    <cellStyle name="Millares 13 2 3 2" xfId="3689" xr:uid="{2624B2CC-8534-41B0-AB79-67CB25ED1E01}"/>
    <cellStyle name="Millares 13 2 4" xfId="1026" xr:uid="{8CCC03B2-E1A1-4E87-906D-46419CC4E36A}"/>
    <cellStyle name="Millares 13 2 4 2" xfId="3025" xr:uid="{21FE42E0-91FC-45EE-B5BD-667DE90B428F}"/>
    <cellStyle name="Millares 13 2 5" xfId="2361" xr:uid="{22A3E228-2714-4D0B-9E61-311E434FB644}"/>
    <cellStyle name="Millares 13 3" xfId="521" xr:uid="{BE3849DC-E436-47CD-9C51-833ACCE2F60B}"/>
    <cellStyle name="Millares 13 3 2" xfId="1863" xr:uid="{85FA952E-16EA-4512-A58D-FE3B505165F0}"/>
    <cellStyle name="Millares 13 3 2 2" xfId="3855" xr:uid="{47A90C6F-66D2-4884-B7DC-511F26BF223D}"/>
    <cellStyle name="Millares 13 3 3" xfId="1192" xr:uid="{A81A4610-2CB4-4392-B6EE-F469EDCB007D}"/>
    <cellStyle name="Millares 13 3 3 2" xfId="3191" xr:uid="{E6612784-F2D9-44B0-B4A3-2B2D96922A17}"/>
    <cellStyle name="Millares 13 3 4" xfId="2527" xr:uid="{029FFBE6-6443-4EE0-8A05-64C9769ECF43}"/>
    <cellStyle name="Millares 13 4" xfId="1531" xr:uid="{524F1220-CE58-48F2-8936-64AE5281C608}"/>
    <cellStyle name="Millares 13 4 2" xfId="3523" xr:uid="{20909464-9361-4BB1-B713-61505B65EB91}"/>
    <cellStyle name="Millares 13 5" xfId="860" xr:uid="{73675095-97C2-4918-ADA4-4109BEEEAF53}"/>
    <cellStyle name="Millares 13 5 2" xfId="2859" xr:uid="{123DA676-B3C3-44BC-8DB9-39EAE06DEC9D}"/>
    <cellStyle name="Millares 13 6" xfId="2195" xr:uid="{28C7D9F2-92C2-4195-B570-4F59B81DB431}"/>
    <cellStyle name="Millares 14" xfId="257" xr:uid="{D6E1A84E-FE82-48DF-9A50-BB90403B827C}"/>
    <cellStyle name="Millares 14 2" xfId="437" xr:uid="{F4BF9400-5E3A-42F5-92F7-D21B438AFF1B}"/>
    <cellStyle name="Millares 14 2 2" xfId="769" xr:uid="{C8C4E90B-4F44-4AC2-B2A3-F5611BDD2770}"/>
    <cellStyle name="Millares 14 2 2 2" xfId="2111" xr:uid="{B1AAAB88-242A-49A6-AB93-5CF82C18FDB9}"/>
    <cellStyle name="Millares 14 2 2 2 2" xfId="4103" xr:uid="{7C55BBF3-C5C1-4D2A-87CC-CD769116D234}"/>
    <cellStyle name="Millares 14 2 2 3" xfId="1440" xr:uid="{F7161622-62F2-4917-9D19-4BB93697D0F9}"/>
    <cellStyle name="Millares 14 2 2 3 2" xfId="3439" xr:uid="{4AE35362-F81B-43F0-871D-8437EF37A6C5}"/>
    <cellStyle name="Millares 14 2 2 4" xfId="2775" xr:uid="{27FF9DFA-FA0A-4AFD-8F61-61BBBC3F84A0}"/>
    <cellStyle name="Millares 14 2 3" xfId="1779" xr:uid="{A611D83D-BA30-477E-87B7-3381A10B7874}"/>
    <cellStyle name="Millares 14 2 3 2" xfId="3771" xr:uid="{F8778073-7836-40CC-BCB7-F45A00726CDD}"/>
    <cellStyle name="Millares 14 2 4" xfId="1108" xr:uid="{9BFF4BCB-18D6-4FCE-ABF4-034077FEE036}"/>
    <cellStyle name="Millares 14 2 4 2" xfId="3107" xr:uid="{3948EF30-8CCD-4B35-89DC-90E893469E2D}"/>
    <cellStyle name="Millares 14 2 5" xfId="2443" xr:uid="{5CCB3786-06D3-417D-B636-6A713EEDA080}"/>
    <cellStyle name="Millares 14 3" xfId="603" xr:uid="{20D6517C-C7B3-4F3D-85F5-43B5E5819158}"/>
    <cellStyle name="Millares 14 3 2" xfId="1945" xr:uid="{3A40155B-A71D-4848-BDFF-EC62138C3F9B}"/>
    <cellStyle name="Millares 14 3 2 2" xfId="3937" xr:uid="{EE05C753-2B25-4532-B46C-288CEC09E0A8}"/>
    <cellStyle name="Millares 14 3 3" xfId="1274" xr:uid="{5145256A-2602-423F-88B6-5A06ECECCC69}"/>
    <cellStyle name="Millares 14 3 3 2" xfId="3273" xr:uid="{8A7F607B-1016-4530-BC93-F511C1090A61}"/>
    <cellStyle name="Millares 14 3 4" xfId="2609" xr:uid="{7E52A391-2698-4267-A58E-31E2F335177C}"/>
    <cellStyle name="Millares 14 4" xfId="1613" xr:uid="{95D64BD7-7FBD-4ACD-8D36-660D92441E80}"/>
    <cellStyle name="Millares 14 4 2" xfId="3605" xr:uid="{E2576AEC-7235-4AF6-BC3F-0F61C13ECC2B}"/>
    <cellStyle name="Millares 14 5" xfId="942" xr:uid="{0830B6C2-C2D1-4A29-A562-FDC61EABF784}"/>
    <cellStyle name="Millares 14 5 2" xfId="2941" xr:uid="{81A77962-7D7B-41C7-A393-0CD8C5C532EC}"/>
    <cellStyle name="Millares 14 6" xfId="2277" xr:uid="{437A759A-7F5C-4011-BCD5-4BF6BC3EDD6B}"/>
    <cellStyle name="Millares 15" xfId="272" xr:uid="{4AE3DBC3-8737-4723-B0ED-B32F88D79553}"/>
    <cellStyle name="Millares 15 2" xfId="605" xr:uid="{B79BDA32-F27A-42A7-A6E3-942145AFA611}"/>
    <cellStyle name="Millares 15 2 2" xfId="1947" xr:uid="{31369AC5-EA9C-4124-B680-B098F2331165}"/>
    <cellStyle name="Millares 15 2 2 2" xfId="3939" xr:uid="{C0AE810D-A126-4FC6-8D98-C2FE07E54DBC}"/>
    <cellStyle name="Millares 15 2 3" xfId="1276" xr:uid="{FAE71B7F-4A02-4766-9878-1191B8B4DFA4}"/>
    <cellStyle name="Millares 15 2 3 2" xfId="3275" xr:uid="{15B7121A-8922-4A9F-9997-AEF9517B8A30}"/>
    <cellStyle name="Millares 15 2 4" xfId="2611" xr:uid="{2B115CCC-6535-43F8-99B9-AE63FBA93A04}"/>
    <cellStyle name="Millares 15 3" xfId="1615" xr:uid="{DAC4E260-9547-4B57-A528-9213281F8D78}"/>
    <cellStyle name="Millares 15 3 2" xfId="3607" xr:uid="{92ED9D35-6B75-4D85-8217-14557E610222}"/>
    <cellStyle name="Millares 15 4" xfId="944" xr:uid="{A4DF7FB6-EFD0-4F5B-A39E-440E331E0900}"/>
    <cellStyle name="Millares 15 4 2" xfId="2943" xr:uid="{DFE3C158-3EC5-460E-8A3A-D9F762F3346A}"/>
    <cellStyle name="Millares 15 5" xfId="2279" xr:uid="{88FA8F36-2845-492E-AEF0-0B71AD40E80A}"/>
    <cellStyle name="Millares 16" xfId="43" xr:uid="{3EDBC7E3-3563-42E5-9373-ED8C136B8FF0}"/>
    <cellStyle name="Millares 16 2" xfId="439" xr:uid="{526B2903-B749-4409-91D4-552B7812B6DB}"/>
    <cellStyle name="Millares 16 2 2" xfId="1781" xr:uid="{D0E59910-7A5C-4AF6-9B1E-C83D360F493C}"/>
    <cellStyle name="Millares 16 2 2 2" xfId="3773" xr:uid="{18D6CD8B-1F64-4C3F-93A7-007CE3172F8A}"/>
    <cellStyle name="Millares 16 2 3" xfId="2445" xr:uid="{5EAC269B-5390-474F-88DF-ACA93FCBA472}"/>
    <cellStyle name="Millares 16 3" xfId="1110" xr:uid="{39E31BCE-4B39-4C00-A4FC-22861F826887}"/>
    <cellStyle name="Millares 16 3 2" xfId="3109" xr:uid="{A1AFD904-FEB6-42D3-B91A-5AAB0E73D192}"/>
    <cellStyle name="Millares 16 4" xfId="2113" xr:uid="{93D1BDF2-4863-43BC-8D3A-1948951A2F69}"/>
    <cellStyle name="Millares 17" xfId="1448" xr:uid="{0C764833-7C39-4759-86C5-A1D22019E48D}"/>
    <cellStyle name="Millares 17 2" xfId="3441" xr:uid="{71C597C7-B4BA-47BD-9025-0AE8227C579B}"/>
    <cellStyle name="Millares 18" xfId="59" xr:uid="{48A82991-1687-47E3-9737-31D367D7C210}"/>
    <cellStyle name="Millares 19" xfId="777" xr:uid="{C7319357-B8F7-4BA2-A387-8CEFE2F73CA7}"/>
    <cellStyle name="Millares 19 2" xfId="2777" xr:uid="{79710E59-25B8-4F97-BBAC-B299EBD26FC9}"/>
    <cellStyle name="Millares 2" xfId="47" xr:uid="{4FB2C2A3-C514-4173-BA98-6BC44FE41D1D}"/>
    <cellStyle name="Millares 2 10" xfId="780" xr:uid="{BFA3A77E-432A-4F55-BA7B-657DA4571106}"/>
    <cellStyle name="Millares 2 10 2" xfId="2780" xr:uid="{A0CA74DE-FC10-4318-AA91-3B069CA92FC6}"/>
    <cellStyle name="Millares 2 11" xfId="2116" xr:uid="{75A68799-BE7D-433A-A77B-5591240103F9}"/>
    <cellStyle name="Millares 2 2" xfId="74" xr:uid="{87599F7E-B542-4F1B-A706-4D5D52B3B86E}"/>
    <cellStyle name="Millares 2 2 2" xfId="103" xr:uid="{DFFDFAE6-986A-4F2B-A4B0-55264E821D97}"/>
    <cellStyle name="Millares 2 2 2 2" xfId="151" xr:uid="{2EE9B724-A0B0-44B7-B98E-E57898890E14}"/>
    <cellStyle name="Millares 2 2 2 2 2" xfId="240" xr:uid="{237BFDA7-76DB-43EA-80A6-2ED35664DA35}"/>
    <cellStyle name="Millares 2 2 2 2 2 2" xfId="426" xr:uid="{BAC32BA9-FFAD-4A1B-9B19-50619D358653}"/>
    <cellStyle name="Millares 2 2 2 2 2 2 2" xfId="758" xr:uid="{EA5CD5F1-85BE-4354-B726-F08D713B225B}"/>
    <cellStyle name="Millares 2 2 2 2 2 2 2 2" xfId="2100" xr:uid="{8DDDFC93-7B3A-4D5E-B8EC-FE52B11753E7}"/>
    <cellStyle name="Millares 2 2 2 2 2 2 2 2 2" xfId="4092" xr:uid="{BBB702F9-BAF9-43AF-91A0-F82167B60543}"/>
    <cellStyle name="Millares 2 2 2 2 2 2 2 3" xfId="1429" xr:uid="{17147CA7-FA24-45A2-A6F5-33DAF153ECF5}"/>
    <cellStyle name="Millares 2 2 2 2 2 2 2 3 2" xfId="3428" xr:uid="{B2DAC3A4-790D-4C2A-B239-77ED7C24435A}"/>
    <cellStyle name="Millares 2 2 2 2 2 2 2 4" xfId="2764" xr:uid="{78F3CB3A-5FB8-4862-B044-B6B27C5628FA}"/>
    <cellStyle name="Millares 2 2 2 2 2 2 3" xfId="1768" xr:uid="{79628DD0-8031-4084-AB26-5324C2895408}"/>
    <cellStyle name="Millares 2 2 2 2 2 2 3 2" xfId="3760" xr:uid="{367749FF-5DCE-462A-AB61-23E53E420DF5}"/>
    <cellStyle name="Millares 2 2 2 2 2 2 4" xfId="1097" xr:uid="{41C327A1-1815-4ADD-8FAA-275BDABC9CA9}"/>
    <cellStyle name="Millares 2 2 2 2 2 2 4 2" xfId="3096" xr:uid="{7EFFE8A6-91B5-4E29-9132-ADC018427F7C}"/>
    <cellStyle name="Millares 2 2 2 2 2 2 5" xfId="2432" xr:uid="{032C6B71-57D3-4EE2-9449-33B624AAF714}"/>
    <cellStyle name="Millares 2 2 2 2 2 3" xfId="592" xr:uid="{3CCD23CD-A3EB-48F8-B114-0F5252D02CE2}"/>
    <cellStyle name="Millares 2 2 2 2 2 3 2" xfId="1934" xr:uid="{8D6EF660-42DC-42F4-B642-3575EF17CB35}"/>
    <cellStyle name="Millares 2 2 2 2 2 3 2 2" xfId="3926" xr:uid="{DF33EBBE-21B4-443E-8789-8D7BF506ABC0}"/>
    <cellStyle name="Millares 2 2 2 2 2 3 3" xfId="1263" xr:uid="{25F75B14-BDCE-4DA0-8023-47C8581DB3F1}"/>
    <cellStyle name="Millares 2 2 2 2 2 3 3 2" xfId="3262" xr:uid="{DC5612B0-6D63-435C-928D-D2E83DDC6B7A}"/>
    <cellStyle name="Millares 2 2 2 2 2 3 4" xfId="2598" xr:uid="{282F0E96-1498-4CB0-A028-F279A19A69F7}"/>
    <cellStyle name="Millares 2 2 2 2 2 4" xfId="1602" xr:uid="{BD2D19DC-60AB-4AE7-B652-9CC13E79A1E7}"/>
    <cellStyle name="Millares 2 2 2 2 2 4 2" xfId="3594" xr:uid="{F3E79ACD-48E5-4FAF-8818-C563720A300D}"/>
    <cellStyle name="Millares 2 2 2 2 2 5" xfId="931" xr:uid="{734CA0EC-3C0F-46CF-9DB9-200557030788}"/>
    <cellStyle name="Millares 2 2 2 2 2 5 2" xfId="2930" xr:uid="{E3A5D8ED-5799-4DD0-895B-5AE825D1FB78}"/>
    <cellStyle name="Millares 2 2 2 2 2 6" xfId="2266" xr:uid="{D40214C5-4BD8-4A9F-B9C2-76234A483F4A}"/>
    <cellStyle name="Millares 2 2 2 2 3" xfId="344" xr:uid="{8F1569A6-A5B5-47BC-9E1F-51165F209E4D}"/>
    <cellStyle name="Millares 2 2 2 2 3 2" xfId="676" xr:uid="{F54B7872-FFED-4805-9224-25A72070068A}"/>
    <cellStyle name="Millares 2 2 2 2 3 2 2" xfId="2018" xr:uid="{30DFA099-52DF-46F4-AB93-0D73B5D4DC80}"/>
    <cellStyle name="Millares 2 2 2 2 3 2 2 2" xfId="4010" xr:uid="{ADB428DF-F170-455D-A179-B99647581EDA}"/>
    <cellStyle name="Millares 2 2 2 2 3 2 3" xfId="1347" xr:uid="{6C2DF6E0-7DFD-49BF-B196-DFC42FC2B044}"/>
    <cellStyle name="Millares 2 2 2 2 3 2 3 2" xfId="3346" xr:uid="{F816171F-6926-408F-84E6-F8BEFA528009}"/>
    <cellStyle name="Millares 2 2 2 2 3 2 4" xfId="2682" xr:uid="{DD264B56-EA40-4B23-8B7E-B19A94CC878D}"/>
    <cellStyle name="Millares 2 2 2 2 3 3" xfId="1686" xr:uid="{3181D9FC-FF7B-414C-9795-2202E09D79FF}"/>
    <cellStyle name="Millares 2 2 2 2 3 3 2" xfId="3678" xr:uid="{F5C17EEB-5ED2-4FFF-B22B-608167BA81DE}"/>
    <cellStyle name="Millares 2 2 2 2 3 4" xfId="1015" xr:uid="{5D2DF3C9-B1C9-4F89-BFA4-BB7095018C43}"/>
    <cellStyle name="Millares 2 2 2 2 3 4 2" xfId="3014" xr:uid="{F076235D-F640-4534-BFCB-62100356F044}"/>
    <cellStyle name="Millares 2 2 2 2 3 5" xfId="2350" xr:uid="{E9EB1F93-9158-4B33-9074-7F619CA6BF77}"/>
    <cellStyle name="Millares 2 2 2 2 4" xfId="510" xr:uid="{2CA3B9A7-E07C-445E-B8E8-3309B79984BA}"/>
    <cellStyle name="Millares 2 2 2 2 4 2" xfId="1852" xr:uid="{B4EB9024-3A73-4AD0-A702-19AC62ADE6EF}"/>
    <cellStyle name="Millares 2 2 2 2 4 2 2" xfId="3844" xr:uid="{FD5503E6-CA73-453F-99AD-6B69CCE3C264}"/>
    <cellStyle name="Millares 2 2 2 2 4 3" xfId="1181" xr:uid="{FF0E783E-01A0-4188-84CC-FC28CE2A5022}"/>
    <cellStyle name="Millares 2 2 2 2 4 3 2" xfId="3180" xr:uid="{8FF1D290-DE37-42A7-8A2D-1AD179EAC7A3}"/>
    <cellStyle name="Millares 2 2 2 2 4 4" xfId="2516" xr:uid="{1F992C4C-3420-4235-B929-E034324EAB8F}"/>
    <cellStyle name="Millares 2 2 2 2 5" xfId="1520" xr:uid="{7AC02AEB-E431-4A82-A4A9-04CD5C8480D9}"/>
    <cellStyle name="Millares 2 2 2 2 5 2" xfId="3512" xr:uid="{952B9524-8424-4883-80E1-739894B37980}"/>
    <cellStyle name="Millares 2 2 2 2 6" xfId="849" xr:uid="{3246407C-3B2A-40C8-BE9D-C76B0F5EDEAB}"/>
    <cellStyle name="Millares 2 2 2 2 6 2" xfId="2848" xr:uid="{42E9821F-5F06-496B-908F-6E7E9F3AA79C}"/>
    <cellStyle name="Millares 2 2 2 2 7" xfId="2184" xr:uid="{E583D999-9BB3-4E96-9F66-7B79FC8768E5}"/>
    <cellStyle name="Millares 2 2 2 3" xfId="200" xr:uid="{019B6BC3-C2E4-4700-BD1D-E74AA28DCA56}"/>
    <cellStyle name="Millares 2 2 2 3 2" xfId="386" xr:uid="{0137FF4D-1C2C-4839-9BC5-0D0B3952B562}"/>
    <cellStyle name="Millares 2 2 2 3 2 2" xfId="718" xr:uid="{736266D7-478B-4C19-82FA-BC07186C9622}"/>
    <cellStyle name="Millares 2 2 2 3 2 2 2" xfId="2060" xr:uid="{3AE50914-C161-4DBB-92AD-F09485601174}"/>
    <cellStyle name="Millares 2 2 2 3 2 2 2 2" xfId="4052" xr:uid="{3E31D2FE-E969-43CB-8EEF-2E98D7B48DAC}"/>
    <cellStyle name="Millares 2 2 2 3 2 2 3" xfId="1389" xr:uid="{21BAE5FA-10FB-41B6-AB97-7C0A434E8E18}"/>
    <cellStyle name="Millares 2 2 2 3 2 2 3 2" xfId="3388" xr:uid="{4C7276C0-C0D8-4B0B-9A98-572A770BFA07}"/>
    <cellStyle name="Millares 2 2 2 3 2 2 4" xfId="2724" xr:uid="{4FB0B388-E15D-4265-B69E-DDE4F2315596}"/>
    <cellStyle name="Millares 2 2 2 3 2 3" xfId="1728" xr:uid="{8E22AB7A-3317-4878-9DFF-B29A1EE88196}"/>
    <cellStyle name="Millares 2 2 2 3 2 3 2" xfId="3720" xr:uid="{59EF9B77-417A-4CF6-8D2E-E9BC8EAD294C}"/>
    <cellStyle name="Millares 2 2 2 3 2 4" xfId="1057" xr:uid="{451C0B32-C48C-4854-A907-FC10E11C723B}"/>
    <cellStyle name="Millares 2 2 2 3 2 4 2" xfId="3056" xr:uid="{7BA481F3-7641-4B60-9091-EC926EA5EB43}"/>
    <cellStyle name="Millares 2 2 2 3 2 5" xfId="2392" xr:uid="{F1FC615E-A9EC-4055-99B4-66C65B185DBF}"/>
    <cellStyle name="Millares 2 2 2 3 3" xfId="552" xr:uid="{50330736-C9BA-48BE-991D-C9FAE8CB3BB5}"/>
    <cellStyle name="Millares 2 2 2 3 3 2" xfId="1894" xr:uid="{325B107D-E31C-4A4F-8BD1-24B9E2712EAE}"/>
    <cellStyle name="Millares 2 2 2 3 3 2 2" xfId="3886" xr:uid="{BC3F011E-DE19-45C2-AAAA-9A6C2A840974}"/>
    <cellStyle name="Millares 2 2 2 3 3 3" xfId="1223" xr:uid="{BFF845EE-0DD5-47F9-A2B7-DC612B98D6E7}"/>
    <cellStyle name="Millares 2 2 2 3 3 3 2" xfId="3222" xr:uid="{48FA384E-3787-4413-9577-D8A4AD485399}"/>
    <cellStyle name="Millares 2 2 2 3 3 4" xfId="2558" xr:uid="{B90454A9-9717-489B-A3B1-8E93E5CE1539}"/>
    <cellStyle name="Millares 2 2 2 3 4" xfId="1562" xr:uid="{CA3E9C3B-FD3D-41E0-AA5A-868730B83C0B}"/>
    <cellStyle name="Millares 2 2 2 3 4 2" xfId="3554" xr:uid="{1AA15FB4-84B5-41CF-B686-1E04CE492871}"/>
    <cellStyle name="Millares 2 2 2 3 5" xfId="891" xr:uid="{C476CCC9-897C-47D0-91FF-143F7F8196AA}"/>
    <cellStyle name="Millares 2 2 2 3 5 2" xfId="2890" xr:uid="{0E92DBB9-1866-4584-B0DF-F5E282C33173}"/>
    <cellStyle name="Millares 2 2 2 3 6" xfId="2226" xr:uid="{83111174-D341-4A51-8E1F-2E83799BCC0C}"/>
    <cellStyle name="Millares 2 2 2 4" xfId="304" xr:uid="{60A4AE7C-A14C-49DB-9EE9-02E2E9507CFF}"/>
    <cellStyle name="Millares 2 2 2 4 2" xfId="636" xr:uid="{A3CC3A02-EDE4-4B1D-8761-326EB226D336}"/>
    <cellStyle name="Millares 2 2 2 4 2 2" xfId="1978" xr:uid="{25FC63C4-3586-4C3D-A7AF-D2C0DFF7488F}"/>
    <cellStyle name="Millares 2 2 2 4 2 2 2" xfId="3970" xr:uid="{D89FD7F3-42FA-49DE-9A67-859F6BCCE59F}"/>
    <cellStyle name="Millares 2 2 2 4 2 3" xfId="1307" xr:uid="{52766766-A2FB-4AC0-8A14-8F3833BE181B}"/>
    <cellStyle name="Millares 2 2 2 4 2 3 2" xfId="3306" xr:uid="{E686C66D-1BED-4EDA-B641-31366B8C9800}"/>
    <cellStyle name="Millares 2 2 2 4 2 4" xfId="2642" xr:uid="{F0D9881C-D6C5-488A-A93F-3FE8909F759A}"/>
    <cellStyle name="Millares 2 2 2 4 3" xfId="1646" xr:uid="{CE3084A8-EEAD-4A27-A5C5-1A040B769C03}"/>
    <cellStyle name="Millares 2 2 2 4 3 2" xfId="3638" xr:uid="{BBE6903E-BAEB-452F-9A8B-1335EB20544B}"/>
    <cellStyle name="Millares 2 2 2 4 4" xfId="975" xr:uid="{2E5A9AD4-5ED0-4E34-A7B0-D78DED132E71}"/>
    <cellStyle name="Millares 2 2 2 4 4 2" xfId="2974" xr:uid="{F180FB68-DA8C-4885-8E41-43462F8D9891}"/>
    <cellStyle name="Millares 2 2 2 4 5" xfId="2310" xr:uid="{BDE036AB-B1C2-45D4-97D6-1C90EBC64A0E}"/>
    <cellStyle name="Millares 2 2 2 5" xfId="470" xr:uid="{2FB3B7F4-413A-4ECC-960D-1ECEFC0E381E}"/>
    <cellStyle name="Millares 2 2 2 5 2" xfId="1812" xr:uid="{7C4476D0-1BE3-4B88-8261-C88119138277}"/>
    <cellStyle name="Millares 2 2 2 5 2 2" xfId="3804" xr:uid="{AA322379-95EC-4579-8B8D-E264B0744927}"/>
    <cellStyle name="Millares 2 2 2 5 3" xfId="1141" xr:uid="{E41BDED8-B45F-42E9-ACB9-451326EE9B6D}"/>
    <cellStyle name="Millares 2 2 2 5 3 2" xfId="3140" xr:uid="{1C504058-E03D-4D6E-A579-EA4EF6667765}"/>
    <cellStyle name="Millares 2 2 2 5 4" xfId="2476" xr:uid="{4212E4E8-87ED-4DC9-A1A5-FF2F849814CB}"/>
    <cellStyle name="Millares 2 2 2 6" xfId="1480" xr:uid="{4416B135-D69F-43B2-B9E7-5A154018AED3}"/>
    <cellStyle name="Millares 2 2 2 6 2" xfId="3472" xr:uid="{146615BA-7E54-4021-A497-BEF6F714D563}"/>
    <cellStyle name="Millares 2 2 2 7" xfId="809" xr:uid="{91DB4249-D51C-4944-9B1A-1C53223CE9CD}"/>
    <cellStyle name="Millares 2 2 2 7 2" xfId="2808" xr:uid="{E3116C75-EDFB-43D5-AB27-825838725CCF}"/>
    <cellStyle name="Millares 2 2 2 8" xfId="2144" xr:uid="{92EA734A-03E1-4D23-9675-F9A64D4D356A}"/>
    <cellStyle name="Millares 2 2 3" xfId="132" xr:uid="{F5DD9F17-57C7-434E-9282-8AFEE9C4F913}"/>
    <cellStyle name="Millares 2 2 3 2" xfId="221" xr:uid="{0AE29C19-D61E-4F20-845D-0803C3A09667}"/>
    <cellStyle name="Millares 2 2 3 2 2" xfId="407" xr:uid="{E631B663-A6F1-40AE-B362-A61052B569DF}"/>
    <cellStyle name="Millares 2 2 3 2 2 2" xfId="739" xr:uid="{127D208D-CB41-4258-8627-51E4B3ED564E}"/>
    <cellStyle name="Millares 2 2 3 2 2 2 2" xfId="2081" xr:uid="{DCDBC404-835B-4273-859F-E4093D04777E}"/>
    <cellStyle name="Millares 2 2 3 2 2 2 2 2" xfId="4073" xr:uid="{7BBFAE71-1FA0-41C5-8703-EE7DFC71F974}"/>
    <cellStyle name="Millares 2 2 3 2 2 2 3" xfId="1410" xr:uid="{00E6F679-0E02-4B6E-8C7A-18DC1A113E00}"/>
    <cellStyle name="Millares 2 2 3 2 2 2 3 2" xfId="3409" xr:uid="{687A0D66-4F15-42F1-A4BC-98FCB276A07F}"/>
    <cellStyle name="Millares 2 2 3 2 2 2 4" xfId="2745" xr:uid="{25BA9CC4-DFC0-40AE-B527-5DD97EA7BCF9}"/>
    <cellStyle name="Millares 2 2 3 2 2 3" xfId="1749" xr:uid="{D6E076E9-013A-4468-84A4-02C9574E5F12}"/>
    <cellStyle name="Millares 2 2 3 2 2 3 2" xfId="3741" xr:uid="{1D464622-B0D1-4D08-B1D9-05125503B214}"/>
    <cellStyle name="Millares 2 2 3 2 2 4" xfId="1078" xr:uid="{7124AE3B-7FD1-4A8A-B7A6-F83642E55113}"/>
    <cellStyle name="Millares 2 2 3 2 2 4 2" xfId="3077" xr:uid="{BB00793D-8676-459D-A5FE-4B0A6C5B0B03}"/>
    <cellStyle name="Millares 2 2 3 2 2 5" xfId="2413" xr:uid="{4B7BE7DB-3363-4D0C-AFFC-C0C01717F28A}"/>
    <cellStyle name="Millares 2 2 3 2 3" xfId="573" xr:uid="{4FB59F19-1970-4F8D-A7FD-385B40B2257F}"/>
    <cellStyle name="Millares 2 2 3 2 3 2" xfId="1915" xr:uid="{E7BAE9AB-709A-46EB-A56E-6B3B56E4D12E}"/>
    <cellStyle name="Millares 2 2 3 2 3 2 2" xfId="3907" xr:uid="{13919377-F4A1-4A19-AAAF-080ABF983F41}"/>
    <cellStyle name="Millares 2 2 3 2 3 3" xfId="1244" xr:uid="{715CB7D8-149B-478B-8251-0DA2E3946BE8}"/>
    <cellStyle name="Millares 2 2 3 2 3 3 2" xfId="3243" xr:uid="{ED9A4484-330B-4CAD-B039-F112F9E3C9D0}"/>
    <cellStyle name="Millares 2 2 3 2 3 4" xfId="2579" xr:uid="{FDDC0C8A-3C1E-4F14-B688-20D98CC96DAD}"/>
    <cellStyle name="Millares 2 2 3 2 4" xfId="1583" xr:uid="{8FFF806F-61E3-404B-8408-9332B975FC2C}"/>
    <cellStyle name="Millares 2 2 3 2 4 2" xfId="3575" xr:uid="{18799F3E-51A7-4E0F-A013-CB0BBA157486}"/>
    <cellStyle name="Millares 2 2 3 2 5" xfId="912" xr:uid="{94237B58-9802-4B47-8232-2D1B31F0EF81}"/>
    <cellStyle name="Millares 2 2 3 2 5 2" xfId="2911" xr:uid="{E7E140B6-1546-4003-91B9-C3E830308FB5}"/>
    <cellStyle name="Millares 2 2 3 2 6" xfId="2247" xr:uid="{8986B560-FF5A-44D3-AC41-729B55104D22}"/>
    <cellStyle name="Millares 2 2 3 3" xfId="325" xr:uid="{FF9DC333-5C7C-48AC-A8C4-56BCB9D03F56}"/>
    <cellStyle name="Millares 2 2 3 3 2" xfId="657" xr:uid="{950A6A89-061A-48EB-ACAC-F5717D05D15D}"/>
    <cellStyle name="Millares 2 2 3 3 2 2" xfId="1999" xr:uid="{3DB16F03-0FA3-47A6-A290-FECAA3AD3CA8}"/>
    <cellStyle name="Millares 2 2 3 3 2 2 2" xfId="3991" xr:uid="{066808A4-04EF-4C7A-9D34-C59AF4D8EEB8}"/>
    <cellStyle name="Millares 2 2 3 3 2 3" xfId="1328" xr:uid="{F40C0C60-9739-4293-8870-4897EA147473}"/>
    <cellStyle name="Millares 2 2 3 3 2 3 2" xfId="3327" xr:uid="{1792E36B-0AEE-4BB0-BDE3-280A2A531445}"/>
    <cellStyle name="Millares 2 2 3 3 2 4" xfId="2663" xr:uid="{3E1684D6-395D-478A-B6D4-F2D68FD5F85D}"/>
    <cellStyle name="Millares 2 2 3 3 3" xfId="1667" xr:uid="{8006B96C-E49C-41DE-8ACB-F3407E64BD63}"/>
    <cellStyle name="Millares 2 2 3 3 3 2" xfId="3659" xr:uid="{A2EBE79D-532F-4D62-8051-4EA3A63D1891}"/>
    <cellStyle name="Millares 2 2 3 3 4" xfId="996" xr:uid="{60432280-9727-40B2-AA02-354F731F2C8F}"/>
    <cellStyle name="Millares 2 2 3 3 4 2" xfId="2995" xr:uid="{12603746-6DB3-47DA-B58C-575C14848322}"/>
    <cellStyle name="Millares 2 2 3 3 5" xfId="2331" xr:uid="{36962A42-5CC1-4A4F-9572-D848EB389773}"/>
    <cellStyle name="Millares 2 2 3 4" xfId="491" xr:uid="{7BD5F9EB-190B-4332-AD2C-5727044CAB0D}"/>
    <cellStyle name="Millares 2 2 3 4 2" xfId="1833" xr:uid="{4D80F225-82F8-480C-8CC4-FFDD2ECA9E7C}"/>
    <cellStyle name="Millares 2 2 3 4 2 2" xfId="3825" xr:uid="{72F5CFC4-4E9A-42E5-868D-84BA95BC480E}"/>
    <cellStyle name="Millares 2 2 3 4 3" xfId="1162" xr:uid="{52752DE7-3682-4BF3-969D-17C834AB08C0}"/>
    <cellStyle name="Millares 2 2 3 4 3 2" xfId="3161" xr:uid="{C8BF9D79-D6D1-4EF9-AF40-585A3251FBA2}"/>
    <cellStyle name="Millares 2 2 3 4 4" xfId="2497" xr:uid="{764ED68C-E5A2-407A-A136-E500B6DBCEC5}"/>
    <cellStyle name="Millares 2 2 3 5" xfId="1501" xr:uid="{841A5DDB-ED9C-405B-BB66-4F5FDBE1F677}"/>
    <cellStyle name="Millares 2 2 3 5 2" xfId="3493" xr:uid="{681AD544-5556-4D8A-A0A3-CDC8C3F41518}"/>
    <cellStyle name="Millares 2 2 3 6" xfId="830" xr:uid="{E947A63E-278F-48F0-80E3-DA72F782FCED}"/>
    <cellStyle name="Millares 2 2 3 6 2" xfId="2829" xr:uid="{E337F52C-E12A-4B37-BEFE-C5A4F136FD11}"/>
    <cellStyle name="Millares 2 2 3 7" xfId="2165" xr:uid="{561C6637-9004-497E-9F98-A00911927853}"/>
    <cellStyle name="Millares 2 2 4" xfId="181" xr:uid="{BAD2B697-D553-4454-8C1B-068316E8A665}"/>
    <cellStyle name="Millares 2 2 4 2" xfId="367" xr:uid="{8713BC4C-8E25-407E-AA15-7E9225CBFE12}"/>
    <cellStyle name="Millares 2 2 4 2 2" xfId="699" xr:uid="{230D8158-F923-4CDA-B259-A98E6BBFAEC5}"/>
    <cellStyle name="Millares 2 2 4 2 2 2" xfId="2041" xr:uid="{5DF060A7-929B-454A-A337-E014EDB3551B}"/>
    <cellStyle name="Millares 2 2 4 2 2 2 2" xfId="4033" xr:uid="{309FCF05-5E56-4C8E-822C-11BA8BF05223}"/>
    <cellStyle name="Millares 2 2 4 2 2 3" xfId="1370" xr:uid="{73C8AEB6-DD0C-454C-BEA3-8387F322AB44}"/>
    <cellStyle name="Millares 2 2 4 2 2 3 2" xfId="3369" xr:uid="{75776CB2-AC3B-492F-8478-865B36DC8D0D}"/>
    <cellStyle name="Millares 2 2 4 2 2 4" xfId="2705" xr:uid="{C670276B-72DB-4FCB-8164-ED49AF94820E}"/>
    <cellStyle name="Millares 2 2 4 2 3" xfId="1709" xr:uid="{E47A7A3A-3DC3-4DAC-822E-5BB05E1388CE}"/>
    <cellStyle name="Millares 2 2 4 2 3 2" xfId="3701" xr:uid="{79677B76-47A0-4446-AD1E-FD26ED23682D}"/>
    <cellStyle name="Millares 2 2 4 2 4" xfId="1038" xr:uid="{AB7EBB93-2DBE-4A22-A9C3-202973CA6B14}"/>
    <cellStyle name="Millares 2 2 4 2 4 2" xfId="3037" xr:uid="{D70CD70A-DFA7-42A3-B860-FFB4B5C6BA25}"/>
    <cellStyle name="Millares 2 2 4 2 5" xfId="2373" xr:uid="{775C2E14-503E-484E-A62E-87A40EC2DA37}"/>
    <cellStyle name="Millares 2 2 4 3" xfId="533" xr:uid="{BCEA9867-EB5A-46C6-9DFC-1CD1C441E353}"/>
    <cellStyle name="Millares 2 2 4 3 2" xfId="1875" xr:uid="{601C1D16-66E9-4C97-838E-7C2C187E9A3C}"/>
    <cellStyle name="Millares 2 2 4 3 2 2" xfId="3867" xr:uid="{2BFED975-E3C7-4C5E-B069-6BA8E1A3DDA3}"/>
    <cellStyle name="Millares 2 2 4 3 3" xfId="1204" xr:uid="{D48F33DB-33FE-4A97-A3D7-DE045DFE340C}"/>
    <cellStyle name="Millares 2 2 4 3 3 2" xfId="3203" xr:uid="{B2E74BA3-E312-4E6C-BB03-AF862B4DEDDD}"/>
    <cellStyle name="Millares 2 2 4 3 4" xfId="2539" xr:uid="{DE5B67B4-8431-49ED-B264-4A040873B4A9}"/>
    <cellStyle name="Millares 2 2 4 4" xfId="1543" xr:uid="{111884C0-7669-4E32-BCCD-50CE25067C00}"/>
    <cellStyle name="Millares 2 2 4 4 2" xfId="3535" xr:uid="{3B8E0375-CF68-42C0-8250-ECF106FAB8E1}"/>
    <cellStyle name="Millares 2 2 4 5" xfId="872" xr:uid="{2AA47F23-BD13-41F8-A64B-73EE3A46B4F3}"/>
    <cellStyle name="Millares 2 2 4 5 2" xfId="2871" xr:uid="{349BC777-EF27-4520-9A1A-1BC42FD7061A}"/>
    <cellStyle name="Millares 2 2 4 6" xfId="2207" xr:uid="{BA154407-D796-41CC-9F5A-6BBC08F7EBED}"/>
    <cellStyle name="Millares 2 2 5" xfId="285" xr:uid="{359DF7D4-8556-4209-873E-9CE69B70B5A2}"/>
    <cellStyle name="Millares 2 2 5 2" xfId="617" xr:uid="{07FF9D44-3E75-49CD-B0B3-71FF24BB2404}"/>
    <cellStyle name="Millares 2 2 5 2 2" xfId="1959" xr:uid="{7E058BEB-60EA-4DED-89B4-224F20604E13}"/>
    <cellStyle name="Millares 2 2 5 2 2 2" xfId="3951" xr:uid="{01948DA9-AD3A-48C5-B2B8-F0A9AFDA4284}"/>
    <cellStyle name="Millares 2 2 5 2 3" xfId="1288" xr:uid="{268773EB-F359-463D-9612-96D68D483C40}"/>
    <cellStyle name="Millares 2 2 5 2 3 2" xfId="3287" xr:uid="{92EEE333-20F0-443E-9A70-C6BEED42083B}"/>
    <cellStyle name="Millares 2 2 5 2 4" xfId="2623" xr:uid="{059A9542-5377-45D9-8E25-496D376ADAE2}"/>
    <cellStyle name="Millares 2 2 5 3" xfId="1627" xr:uid="{21AFBF47-F787-42DE-8A9D-4E74B982F357}"/>
    <cellStyle name="Millares 2 2 5 3 2" xfId="3619" xr:uid="{15014D85-2D8B-40CC-BDAB-9F33C9D9DD31}"/>
    <cellStyle name="Millares 2 2 5 4" xfId="956" xr:uid="{05A1EC1D-4075-4FC5-A106-249DE87BADEA}"/>
    <cellStyle name="Millares 2 2 5 4 2" xfId="2955" xr:uid="{20DF99A2-56F4-49A9-AD33-D0F183CAF119}"/>
    <cellStyle name="Millares 2 2 5 5" xfId="2291" xr:uid="{30B6E91B-01D3-4AF2-9E14-32405124767E}"/>
    <cellStyle name="Millares 2 2 6" xfId="451" xr:uid="{FF023283-DC2F-4BEA-8527-AC858EAF3ED9}"/>
    <cellStyle name="Millares 2 2 6 2" xfId="1793" xr:uid="{E18DAC71-A92F-4CC4-9951-AC457B830341}"/>
    <cellStyle name="Millares 2 2 6 2 2" xfId="3785" xr:uid="{9516D4DD-68FC-43B4-A8AE-ED59DF85716D}"/>
    <cellStyle name="Millares 2 2 6 3" xfId="1122" xr:uid="{8E648DEE-CCB5-4E80-9B0A-B430C800B559}"/>
    <cellStyle name="Millares 2 2 6 3 2" xfId="3121" xr:uid="{A651E899-7666-473F-B05C-4D540E110256}"/>
    <cellStyle name="Millares 2 2 6 4" xfId="2457" xr:uid="{812B6329-FEAC-4609-9085-B8ADD7839941}"/>
    <cellStyle name="Millares 2 2 7" xfId="1461" xr:uid="{FE5299C7-8EDD-44F2-873C-CF1456A1297F}"/>
    <cellStyle name="Millares 2 2 7 2" xfId="3453" xr:uid="{4BFC6F0F-067D-43B8-B25C-9287E3A8B077}"/>
    <cellStyle name="Millares 2 2 8" xfId="790" xr:uid="{B4D71702-DF6C-41D5-BF06-9E5B466E6768}"/>
    <cellStyle name="Millares 2 2 8 2" xfId="2789" xr:uid="{7FB72685-7CA6-4867-8DF8-6115D8BAF10C}"/>
    <cellStyle name="Millares 2 2 9" xfId="2125" xr:uid="{9DD8D587-2FD2-45A8-8407-ED0335909D2A}"/>
    <cellStyle name="Millares 2 3" xfId="92" xr:uid="{DE7E839F-6230-4B3B-B3DD-C8E635253E0A}"/>
    <cellStyle name="Millares 2 3 2" xfId="142" xr:uid="{4BAA283F-1E60-440F-A64D-237A59DA1A8C}"/>
    <cellStyle name="Millares 2 3 2 2" xfId="231" xr:uid="{74D54C36-A6D2-4AF5-B94B-9FDC2CD8F3CA}"/>
    <cellStyle name="Millares 2 3 2 2 2" xfId="417" xr:uid="{9E2B76B0-37DE-4B72-8780-74B06DA21BAB}"/>
    <cellStyle name="Millares 2 3 2 2 2 2" xfId="749" xr:uid="{D6505A15-6DFA-4B9F-91E8-29CB95984C6B}"/>
    <cellStyle name="Millares 2 3 2 2 2 2 2" xfId="2091" xr:uid="{8F69811D-0C06-40B3-856A-0A2DD7F47986}"/>
    <cellStyle name="Millares 2 3 2 2 2 2 2 2" xfId="4083" xr:uid="{3C380C4A-A7C5-4034-9976-E6262D403E10}"/>
    <cellStyle name="Millares 2 3 2 2 2 2 3" xfId="1420" xr:uid="{A498706A-4E1D-4B4D-94E1-52F02E6B7649}"/>
    <cellStyle name="Millares 2 3 2 2 2 2 3 2" xfId="3419" xr:uid="{6BA6928A-2F99-4A4D-8765-5E1221CD7608}"/>
    <cellStyle name="Millares 2 3 2 2 2 2 4" xfId="2755" xr:uid="{26585D21-4E04-456B-A5EC-4E676E30561D}"/>
    <cellStyle name="Millares 2 3 2 2 2 3" xfId="1759" xr:uid="{7CD625AC-6B6D-4104-8209-7D06E4040C64}"/>
    <cellStyle name="Millares 2 3 2 2 2 3 2" xfId="3751" xr:uid="{4ED257CA-6CA9-48AB-8FAB-66CB9DA5AB8D}"/>
    <cellStyle name="Millares 2 3 2 2 2 4" xfId="1088" xr:uid="{8B5C1660-8FEE-4570-BAB0-D882A28072E0}"/>
    <cellStyle name="Millares 2 3 2 2 2 4 2" xfId="3087" xr:uid="{5FC47F7B-961C-41CB-9418-753023527A63}"/>
    <cellStyle name="Millares 2 3 2 2 2 5" xfId="2423" xr:uid="{E5CD0D5F-EC00-4F5B-8B81-3EB4EAF2454C}"/>
    <cellStyle name="Millares 2 3 2 2 3" xfId="583" xr:uid="{71AFCD2C-D07B-43E4-B199-7543CEFD421D}"/>
    <cellStyle name="Millares 2 3 2 2 3 2" xfId="1925" xr:uid="{F7DA647E-A77E-4800-9EBF-9560D5510A3B}"/>
    <cellStyle name="Millares 2 3 2 2 3 2 2" xfId="3917" xr:uid="{1A764F86-61CB-472C-B161-B891796F73E7}"/>
    <cellStyle name="Millares 2 3 2 2 3 3" xfId="1254" xr:uid="{1D5807B9-E9D8-4BA3-9A3E-DE9A696AF86F}"/>
    <cellStyle name="Millares 2 3 2 2 3 3 2" xfId="3253" xr:uid="{0726A7A4-B66F-41F4-8532-F609785738D6}"/>
    <cellStyle name="Millares 2 3 2 2 3 4" xfId="2589" xr:uid="{F836D99C-71FF-4BCD-BDF9-278487B22C93}"/>
    <cellStyle name="Millares 2 3 2 2 4" xfId="1593" xr:uid="{776728B0-548D-4D1D-8188-D0F3B4D98611}"/>
    <cellStyle name="Millares 2 3 2 2 4 2" xfId="3585" xr:uid="{D162D64E-2B15-4837-97BA-10F597578EEF}"/>
    <cellStyle name="Millares 2 3 2 2 5" xfId="922" xr:uid="{9A7C779F-06E3-48EF-A6E3-063854198560}"/>
    <cellStyle name="Millares 2 3 2 2 5 2" xfId="2921" xr:uid="{EFBBCA1A-EA73-4B7D-BCEA-336F1F144D0C}"/>
    <cellStyle name="Millares 2 3 2 2 6" xfId="2257" xr:uid="{5B2DB644-B069-4303-A1D7-4C78B5FCAC7B}"/>
    <cellStyle name="Millares 2 3 2 3" xfId="335" xr:uid="{D3FB583D-349B-40AF-B66F-C2221DAC5B0F}"/>
    <cellStyle name="Millares 2 3 2 3 2" xfId="667" xr:uid="{9A5F8229-D05D-47C7-B328-08BA1B6FCB16}"/>
    <cellStyle name="Millares 2 3 2 3 2 2" xfId="2009" xr:uid="{94D16C43-3CD4-4B4C-971A-FECDAEB712B1}"/>
    <cellStyle name="Millares 2 3 2 3 2 2 2" xfId="4001" xr:uid="{C10A8A31-72DF-4403-9EF5-75D007800E9B}"/>
    <cellStyle name="Millares 2 3 2 3 2 3" xfId="1338" xr:uid="{F01179F6-7ABA-4334-8BCB-EACF72B4EB17}"/>
    <cellStyle name="Millares 2 3 2 3 2 3 2" xfId="3337" xr:uid="{B7B42683-73C4-46DA-8D97-884AF348A513}"/>
    <cellStyle name="Millares 2 3 2 3 2 4" xfId="2673" xr:uid="{75A4BB1A-D8FA-4BB6-A588-168863B199BF}"/>
    <cellStyle name="Millares 2 3 2 3 3" xfId="1677" xr:uid="{69A9B24D-48A3-438D-8956-55245E51BB3A}"/>
    <cellStyle name="Millares 2 3 2 3 3 2" xfId="3669" xr:uid="{CA3009BE-FD03-47C8-AC26-60BF0F681E42}"/>
    <cellStyle name="Millares 2 3 2 3 4" xfId="1006" xr:uid="{F6E9E170-5567-4544-BAD9-5E83B63B69EF}"/>
    <cellStyle name="Millares 2 3 2 3 4 2" xfId="3005" xr:uid="{E4E97EA4-E678-4A6B-906A-7695D1BB3BD9}"/>
    <cellStyle name="Millares 2 3 2 3 5" xfId="2341" xr:uid="{B00E6F37-EB16-4855-8DA9-8D8D9CBAD9CD}"/>
    <cellStyle name="Millares 2 3 2 4" xfId="501" xr:uid="{3E5035AE-DAA2-4C2F-9F8A-2D873772C827}"/>
    <cellStyle name="Millares 2 3 2 4 2" xfId="1843" xr:uid="{6EFA8F30-1DDA-4065-88E9-9B50B23AD032}"/>
    <cellStyle name="Millares 2 3 2 4 2 2" xfId="3835" xr:uid="{82FEEFEB-0A09-410A-8568-C4F1CD44D7C6}"/>
    <cellStyle name="Millares 2 3 2 4 3" xfId="1172" xr:uid="{3DC2F15E-0854-4B1F-A026-DD0587C70A87}"/>
    <cellStyle name="Millares 2 3 2 4 3 2" xfId="3171" xr:uid="{6211CB63-883C-4648-AC40-7349943CA445}"/>
    <cellStyle name="Millares 2 3 2 4 4" xfId="2507" xr:uid="{2CED7073-F376-4465-AB11-E9242289D607}"/>
    <cellStyle name="Millares 2 3 2 5" xfId="1511" xr:uid="{42A4382B-4706-4E5E-951D-172C14FDCBD0}"/>
    <cellStyle name="Millares 2 3 2 5 2" xfId="3503" xr:uid="{3F287D47-71EE-4D8A-9BA0-4E4471A0A0A9}"/>
    <cellStyle name="Millares 2 3 2 6" xfId="840" xr:uid="{EB2A76E8-3E05-4D26-998B-C7AD568B418E}"/>
    <cellStyle name="Millares 2 3 2 6 2" xfId="2839" xr:uid="{4FD171CF-FC61-41E6-B9AC-D98876A4FE6B}"/>
    <cellStyle name="Millares 2 3 2 7" xfId="2175" xr:uid="{4D272661-0DF7-4261-93AD-207D1CD3F200}"/>
    <cellStyle name="Millares 2 3 3" xfId="191" xr:uid="{0EC3F970-C108-485C-95A0-96D905C8EE48}"/>
    <cellStyle name="Millares 2 3 3 2" xfId="377" xr:uid="{8B9AEA6A-9E5C-4FE6-B279-66305D061483}"/>
    <cellStyle name="Millares 2 3 3 2 2" xfId="709" xr:uid="{390F993F-88E5-4C59-B89D-D55705BDE508}"/>
    <cellStyle name="Millares 2 3 3 2 2 2" xfId="2051" xr:uid="{A2ABBE20-0226-46BB-A6C7-080A8089F804}"/>
    <cellStyle name="Millares 2 3 3 2 2 2 2" xfId="4043" xr:uid="{EEF9011A-5381-4D65-A6C5-9F59808E04BA}"/>
    <cellStyle name="Millares 2 3 3 2 2 3" xfId="1380" xr:uid="{578E83F3-F911-42EA-8057-DCB3B164B834}"/>
    <cellStyle name="Millares 2 3 3 2 2 3 2" xfId="3379" xr:uid="{5970623F-C5CC-4CC5-8FE9-E2CABE794D35}"/>
    <cellStyle name="Millares 2 3 3 2 2 4" xfId="2715" xr:uid="{DFC64AF6-5475-4F40-BF47-36A171C59FE7}"/>
    <cellStyle name="Millares 2 3 3 2 3" xfId="1719" xr:uid="{3AB62F08-293C-4A29-A6D4-057C948040D5}"/>
    <cellStyle name="Millares 2 3 3 2 3 2" xfId="3711" xr:uid="{0E66E3C4-7A26-4DC1-9EBB-70065C93A38D}"/>
    <cellStyle name="Millares 2 3 3 2 4" xfId="1048" xr:uid="{F13A590B-09B1-4E86-867C-0D2555291DE4}"/>
    <cellStyle name="Millares 2 3 3 2 4 2" xfId="3047" xr:uid="{EB1AA89D-B124-4945-9046-3784F618C89D}"/>
    <cellStyle name="Millares 2 3 3 2 5" xfId="2383" xr:uid="{4542ABDD-0438-41FC-BB1D-62B0066BC00F}"/>
    <cellStyle name="Millares 2 3 3 3" xfId="543" xr:uid="{19F93201-0D41-4675-A40A-99576789BD34}"/>
    <cellStyle name="Millares 2 3 3 3 2" xfId="1885" xr:uid="{091A7EE6-8E24-47EF-A29D-9034D3028365}"/>
    <cellStyle name="Millares 2 3 3 3 2 2" xfId="3877" xr:uid="{414FD2BE-081E-422F-BB6E-A00D2770CFF1}"/>
    <cellStyle name="Millares 2 3 3 3 3" xfId="1214" xr:uid="{84C808E9-1735-4F40-9046-2B364D89560D}"/>
    <cellStyle name="Millares 2 3 3 3 3 2" xfId="3213" xr:uid="{1C7D6895-4E1B-4A8B-817E-CC7EDEA7CC00}"/>
    <cellStyle name="Millares 2 3 3 3 4" xfId="2549" xr:uid="{7C36DF68-E803-4AF7-9F31-54D6A497F562}"/>
    <cellStyle name="Millares 2 3 3 4" xfId="1553" xr:uid="{934FE74C-7347-42D6-BFC4-3EA0833EFFE1}"/>
    <cellStyle name="Millares 2 3 3 4 2" xfId="3545" xr:uid="{A1E774B9-A755-4C66-9512-5240E3030D87}"/>
    <cellStyle name="Millares 2 3 3 5" xfId="882" xr:uid="{5FCB5023-3389-4CCA-89A5-2DEE7E67B481}"/>
    <cellStyle name="Millares 2 3 3 5 2" xfId="2881" xr:uid="{D9C9EADE-4498-478D-B2AC-96C869D84C28}"/>
    <cellStyle name="Millares 2 3 3 6" xfId="2217" xr:uid="{583F9DFC-1791-49AB-B3C4-61B19E6F6897}"/>
    <cellStyle name="Millares 2 3 4" xfId="295" xr:uid="{FAAC4C55-A66D-430C-90A2-0F0843DF3D26}"/>
    <cellStyle name="Millares 2 3 4 2" xfId="627" xr:uid="{473B3B4F-FE8E-4D4A-963C-D8F481645675}"/>
    <cellStyle name="Millares 2 3 4 2 2" xfId="1969" xr:uid="{68309DEA-A2AA-49FA-911E-C1D9088F7324}"/>
    <cellStyle name="Millares 2 3 4 2 2 2" xfId="3961" xr:uid="{337066E6-3E8E-45E6-9498-6F12E3B9603D}"/>
    <cellStyle name="Millares 2 3 4 2 3" xfId="1298" xr:uid="{74FE7070-F0D8-4D43-A51D-7BEEE5F80B16}"/>
    <cellStyle name="Millares 2 3 4 2 3 2" xfId="3297" xr:uid="{D5442103-B002-4A03-97E3-0F7A6C595FD1}"/>
    <cellStyle name="Millares 2 3 4 2 4" xfId="2633" xr:uid="{7FD49568-367F-4455-87B1-47FE3A5A8898}"/>
    <cellStyle name="Millares 2 3 4 3" xfId="1637" xr:uid="{C99FD496-E0E0-4F00-8582-2F77B06F360F}"/>
    <cellStyle name="Millares 2 3 4 3 2" xfId="3629" xr:uid="{7BC09356-BB4E-4811-B5CA-CC1C50641538}"/>
    <cellStyle name="Millares 2 3 4 4" xfId="966" xr:uid="{1BF4DCCE-F109-4241-B54C-6589F142CC65}"/>
    <cellStyle name="Millares 2 3 4 4 2" xfId="2965" xr:uid="{65420850-DB5A-4204-8BC5-22CC132B98CC}"/>
    <cellStyle name="Millares 2 3 4 5" xfId="2301" xr:uid="{6E8FB9AF-8467-4549-AEA2-F4129836ADD0}"/>
    <cellStyle name="Millares 2 3 5" xfId="461" xr:uid="{0940D836-F1A3-482C-B1B9-5F5BA598A39E}"/>
    <cellStyle name="Millares 2 3 5 2" xfId="1803" xr:uid="{0B0D1BF7-01DF-4EF0-923B-C386A9A2F30F}"/>
    <cellStyle name="Millares 2 3 5 2 2" xfId="3795" xr:uid="{AE60B5DE-45EE-4A9E-B5AB-BE3A7616C6E7}"/>
    <cellStyle name="Millares 2 3 5 3" xfId="1132" xr:uid="{FAD134C4-1374-4CDF-86AF-9542E0FAE626}"/>
    <cellStyle name="Millares 2 3 5 3 2" xfId="3131" xr:uid="{1DEFFCA6-B322-4C05-A546-9BE966089450}"/>
    <cellStyle name="Millares 2 3 5 4" xfId="2467" xr:uid="{92FC46F3-7662-4B78-AFCB-3BA72753A16C}"/>
    <cellStyle name="Millares 2 3 6" xfId="1471" xr:uid="{921AB873-1672-42F8-AD8F-639B7C00B495}"/>
    <cellStyle name="Millares 2 3 6 2" xfId="3463" xr:uid="{960D6A09-AC2C-494F-BBAC-106F351398B0}"/>
    <cellStyle name="Millares 2 3 7" xfId="800" xr:uid="{895D97E2-8DDA-426B-ADE3-6B9C70FA4A73}"/>
    <cellStyle name="Millares 2 3 7 2" xfId="2799" xr:uid="{7D0CEE78-EBF7-482A-8665-9C850A3B9B17}"/>
    <cellStyle name="Millares 2 3 8" xfId="2135" xr:uid="{D146CDA0-3FBA-4140-93F7-C24BA6381107}"/>
    <cellStyle name="Millares 2 4" xfId="121" xr:uid="{DFC29CB7-A79F-40F3-9780-6B74148E6FF3}"/>
    <cellStyle name="Millares 2 4 2" xfId="212" xr:uid="{F1C5DC5D-F066-4678-A1DB-7407900EEABB}"/>
    <cellStyle name="Millares 2 4 2 2" xfId="398" xr:uid="{38A3FB9D-5201-4A89-A63C-890E9FF55F16}"/>
    <cellStyle name="Millares 2 4 2 2 2" xfId="730" xr:uid="{73F86422-1298-4974-93FA-59133FCE0633}"/>
    <cellStyle name="Millares 2 4 2 2 2 2" xfId="2072" xr:uid="{9630CD4B-58A4-405B-A99B-97F5EB385466}"/>
    <cellStyle name="Millares 2 4 2 2 2 2 2" xfId="4064" xr:uid="{6AC38306-B3AB-4C2E-BD0D-D86488F8F835}"/>
    <cellStyle name="Millares 2 4 2 2 2 3" xfId="1401" xr:uid="{83943F88-0053-429D-BD48-F3E5B10631B7}"/>
    <cellStyle name="Millares 2 4 2 2 2 3 2" xfId="3400" xr:uid="{431BDB75-69CA-479B-A5C5-7162417EDD30}"/>
    <cellStyle name="Millares 2 4 2 2 2 4" xfId="2736" xr:uid="{577A3556-0484-4F28-8A48-82ACF8FCF89F}"/>
    <cellStyle name="Millares 2 4 2 2 3" xfId="1740" xr:uid="{B999EFBB-B5E7-4FB2-92C7-B8E68BEFCB34}"/>
    <cellStyle name="Millares 2 4 2 2 3 2" xfId="3732" xr:uid="{F8DCB0F9-9989-47CD-84D3-7EFBD60B6491}"/>
    <cellStyle name="Millares 2 4 2 2 4" xfId="1069" xr:uid="{5E79936C-07B8-4B19-88DE-F3B2CA679DA2}"/>
    <cellStyle name="Millares 2 4 2 2 4 2" xfId="3068" xr:uid="{48B14BDF-4177-466D-B1D9-51B85F5476BF}"/>
    <cellStyle name="Millares 2 4 2 2 5" xfId="2404" xr:uid="{021EE27B-DD52-4333-A89A-7991DDCEB43F}"/>
    <cellStyle name="Millares 2 4 2 3" xfId="564" xr:uid="{D908B8D9-F3D5-4670-9EEB-31FE54EA5BD1}"/>
    <cellStyle name="Millares 2 4 2 3 2" xfId="1906" xr:uid="{AAD04A58-B257-4B93-B5C1-130F5182FE49}"/>
    <cellStyle name="Millares 2 4 2 3 2 2" xfId="3898" xr:uid="{5D3A34B6-1B45-44B7-A26B-0DBB43E44B5A}"/>
    <cellStyle name="Millares 2 4 2 3 3" xfId="1235" xr:uid="{F3739181-F2D7-4A30-84A0-E37479629782}"/>
    <cellStyle name="Millares 2 4 2 3 3 2" xfId="3234" xr:uid="{3E411740-E759-4794-9ABC-6E8E2ED80D57}"/>
    <cellStyle name="Millares 2 4 2 3 4" xfId="2570" xr:uid="{3310BF94-B9C4-4796-ABBD-BCDB9DA35160}"/>
    <cellStyle name="Millares 2 4 2 4" xfId="1574" xr:uid="{E4928B8A-6913-4C38-9B42-4123F37C585F}"/>
    <cellStyle name="Millares 2 4 2 4 2" xfId="3566" xr:uid="{9A810686-FBA1-4964-92A7-F49E61005623}"/>
    <cellStyle name="Millares 2 4 2 5" xfId="903" xr:uid="{2E7C39C0-44FD-4389-8FBB-3AB2485CAE24}"/>
    <cellStyle name="Millares 2 4 2 5 2" xfId="2902" xr:uid="{8AF1441E-B0B1-4DEC-8CC9-B6C83ADA6480}"/>
    <cellStyle name="Millares 2 4 2 6" xfId="2238" xr:uid="{6EC8858C-808A-4367-84EC-569971D40F96}"/>
    <cellStyle name="Millares 2 4 3" xfId="316" xr:uid="{EF68580F-4A26-4D24-B54E-937D76C7FF8E}"/>
    <cellStyle name="Millares 2 4 3 2" xfId="648" xr:uid="{D5562928-AA8B-4068-8ABA-70155682BD99}"/>
    <cellStyle name="Millares 2 4 3 2 2" xfId="1990" xr:uid="{E23BDFEE-1499-48B4-83BE-388BFF35DE4F}"/>
    <cellStyle name="Millares 2 4 3 2 2 2" xfId="3982" xr:uid="{04884FF4-6C4D-4620-94E1-D973DF547414}"/>
    <cellStyle name="Millares 2 4 3 2 3" xfId="1319" xr:uid="{253AAF4C-063D-4C09-BEFE-BA3294B8BB48}"/>
    <cellStyle name="Millares 2 4 3 2 3 2" xfId="3318" xr:uid="{D682445B-3C18-4B2F-A23B-3EE4B53E69E8}"/>
    <cellStyle name="Millares 2 4 3 2 4" xfId="2654" xr:uid="{47FC70A9-7635-4368-A65D-A4FEF3B95166}"/>
    <cellStyle name="Millares 2 4 3 3" xfId="1658" xr:uid="{39A752EF-BCE1-4EAD-8087-221973EBD5D2}"/>
    <cellStyle name="Millares 2 4 3 3 2" xfId="3650" xr:uid="{7AD0DA5F-E03D-463E-AE7C-48FDD174BC45}"/>
    <cellStyle name="Millares 2 4 3 4" xfId="987" xr:uid="{3151D4BF-3D2A-4011-9A4D-CABFBDE71714}"/>
    <cellStyle name="Millares 2 4 3 4 2" xfId="2986" xr:uid="{9ADA31F7-719B-40FF-A63C-320539F4CA55}"/>
    <cellStyle name="Millares 2 4 3 5" xfId="2322" xr:uid="{FA4EDC41-5816-4568-AD3F-E8B5D3848CA5}"/>
    <cellStyle name="Millares 2 4 4" xfId="482" xr:uid="{0270A92A-4D9D-4C0A-BCEB-D43BC4879D79}"/>
    <cellStyle name="Millares 2 4 4 2" xfId="1824" xr:uid="{5747F13D-CA0D-43D5-8EB2-B64794CFF45E}"/>
    <cellStyle name="Millares 2 4 4 2 2" xfId="3816" xr:uid="{238FA03C-3990-4C5F-B0B6-03516A99454A}"/>
    <cellStyle name="Millares 2 4 4 3" xfId="1153" xr:uid="{431C7B16-289A-4B23-A4FB-83DD2FE13D34}"/>
    <cellStyle name="Millares 2 4 4 3 2" xfId="3152" xr:uid="{F6C6E41B-6A8A-494D-8D5F-7E6A0A7D8F6B}"/>
    <cellStyle name="Millares 2 4 4 4" xfId="2488" xr:uid="{80BB8B6E-2E21-4EB9-958F-FCC061EA1434}"/>
    <cellStyle name="Millares 2 4 5" xfId="1492" xr:uid="{B4E48D6D-8D2D-4CD1-BC28-12BE2060BD56}"/>
    <cellStyle name="Millares 2 4 5 2" xfId="3484" xr:uid="{24D0A94C-B133-4768-ABCE-EA793AB590CC}"/>
    <cellStyle name="Millares 2 4 6" xfId="821" xr:uid="{2B220447-F823-44BD-B0EA-30D1B74DB68D}"/>
    <cellStyle name="Millares 2 4 6 2" xfId="2820" xr:uid="{DE3D426B-3CD9-4C57-A7B2-B6AC8CBEAB5B}"/>
    <cellStyle name="Millares 2 4 7" xfId="2156" xr:uid="{71AAA94C-BC5A-4876-B38A-C38C116F231D}"/>
    <cellStyle name="Millares 2 5" xfId="171" xr:uid="{D77EC93A-D4B9-4D8E-94CE-24D44856353E}"/>
    <cellStyle name="Millares 2 5 2" xfId="358" xr:uid="{837C836F-7120-4990-8262-F17B6604801B}"/>
    <cellStyle name="Millares 2 5 2 2" xfId="690" xr:uid="{343B2F3E-0C9F-4A85-AF61-E5C71802D29C}"/>
    <cellStyle name="Millares 2 5 2 2 2" xfId="2032" xr:uid="{A6CF5D4C-BBEB-448D-B904-686A4156ED11}"/>
    <cellStyle name="Millares 2 5 2 2 2 2" xfId="4024" xr:uid="{36A75E92-4925-48EF-A617-CD2C32F1C6E8}"/>
    <cellStyle name="Millares 2 5 2 2 3" xfId="1361" xr:uid="{23400688-F7C1-4211-9741-F29E6BB5F5DC}"/>
    <cellStyle name="Millares 2 5 2 2 3 2" xfId="3360" xr:uid="{423190EB-E125-49B1-8E24-8941EC77CA10}"/>
    <cellStyle name="Millares 2 5 2 2 4" xfId="2696" xr:uid="{19866FC4-1425-4048-A849-5A9A10B351C6}"/>
    <cellStyle name="Millares 2 5 2 3" xfId="1700" xr:uid="{2785F821-D12A-47C9-88D7-A829F2E5A644}"/>
    <cellStyle name="Millares 2 5 2 3 2" xfId="3692" xr:uid="{66AA4462-783C-4936-816F-4923CE17ABC0}"/>
    <cellStyle name="Millares 2 5 2 4" xfId="1029" xr:uid="{33EE4489-296C-4275-8ED7-FB23BED9D643}"/>
    <cellStyle name="Millares 2 5 2 4 2" xfId="3028" xr:uid="{FC3ADF9E-6C42-43EA-8B68-A14E55DD9991}"/>
    <cellStyle name="Millares 2 5 2 5" xfId="2364" xr:uid="{DE90A47C-47E2-426F-A973-590D8AF507C3}"/>
    <cellStyle name="Millares 2 5 3" xfId="524" xr:uid="{CF6DBF71-C4F7-4DEB-BA11-49A4A7CA507E}"/>
    <cellStyle name="Millares 2 5 3 2" xfId="1866" xr:uid="{ED620D4C-BF40-4501-AB5C-7CC5BD7DB926}"/>
    <cellStyle name="Millares 2 5 3 2 2" xfId="3858" xr:uid="{1DCB29E9-A0F6-411B-94F4-735BEA7A0108}"/>
    <cellStyle name="Millares 2 5 3 3" xfId="1195" xr:uid="{E6D0A2C6-196E-4BBE-BC0D-5CB4A4CC15C6}"/>
    <cellStyle name="Millares 2 5 3 3 2" xfId="3194" xr:uid="{0181D78F-3E28-491A-AD7B-C429C4182493}"/>
    <cellStyle name="Millares 2 5 3 4" xfId="2530" xr:uid="{DE53D9D7-68DE-4CE2-AFF9-E1DE35944071}"/>
    <cellStyle name="Millares 2 5 4" xfId="1534" xr:uid="{08CBBAC1-3FBF-4879-BB65-566DCC71F184}"/>
    <cellStyle name="Millares 2 5 4 2" xfId="3526" xr:uid="{C7CC8A94-6878-4AC6-8F94-B07BA3D22AA2}"/>
    <cellStyle name="Millares 2 5 5" xfId="863" xr:uid="{A920E45E-DA89-4E48-8AD5-9CFE06D0DDF9}"/>
    <cellStyle name="Millares 2 5 5 2" xfId="2862" xr:uid="{0A546289-2A77-44B3-B394-8E1E7EE2E242}"/>
    <cellStyle name="Millares 2 5 6" xfId="2198" xr:uid="{BD476DAA-A35D-4E72-B226-5E4885BEA6FE}"/>
    <cellStyle name="Millares 2 6" xfId="259" xr:uid="{3969C348-70D8-4966-8B78-F5CB7E097F2E}"/>
    <cellStyle name="Millares 2 7" xfId="275" xr:uid="{143C3797-7B25-4817-8E25-28D81B807D60}"/>
    <cellStyle name="Millares 2 7 2" xfId="608" xr:uid="{B3380756-CACF-41FB-A69E-D524A8638283}"/>
    <cellStyle name="Millares 2 7 2 2" xfId="1950" xr:uid="{9064F1B8-D827-4D70-A021-B32D7102998C}"/>
    <cellStyle name="Millares 2 7 2 2 2" xfId="3942" xr:uid="{B737FCEE-F9AE-440B-AD93-C9BCA747742E}"/>
    <cellStyle name="Millares 2 7 2 3" xfId="1279" xr:uid="{6BD652EA-24C1-4CB3-9DC3-8B3BEC898C56}"/>
    <cellStyle name="Millares 2 7 2 3 2" xfId="3278" xr:uid="{AF81B7BA-48A6-49CB-886F-1794510B5970}"/>
    <cellStyle name="Millares 2 7 2 4" xfId="2614" xr:uid="{0D51EF5D-C178-45FB-82E2-1A09BF5D51DC}"/>
    <cellStyle name="Millares 2 7 3" xfId="1618" xr:uid="{529F10D2-5050-4AD7-94AE-DA43978F70D5}"/>
    <cellStyle name="Millares 2 7 3 2" xfId="3610" xr:uid="{92937D61-A0E0-4860-A194-7A1F5064E902}"/>
    <cellStyle name="Millares 2 7 4" xfId="947" xr:uid="{F2D1C2B5-A474-4EC9-93C0-5B27C7735750}"/>
    <cellStyle name="Millares 2 7 4 2" xfId="2946" xr:uid="{5DC6EE16-D0BE-4806-B9EA-4B1133C20C57}"/>
    <cellStyle name="Millares 2 7 5" xfId="2282" xr:uid="{13188A8F-56C9-4CAA-ACF7-EE80153AEF76}"/>
    <cellStyle name="Millares 2 8" xfId="442" xr:uid="{F89D788F-7C0E-4835-8B46-568F45709CA4}"/>
    <cellStyle name="Millares 2 8 2" xfId="1784" xr:uid="{21B1FE21-D984-41B5-89AC-48BD6567B4A0}"/>
    <cellStyle name="Millares 2 8 2 2" xfId="3776" xr:uid="{A98C086F-6FF4-4FD1-A0DD-F070FE8CB995}"/>
    <cellStyle name="Millares 2 8 3" xfId="1113" xr:uid="{B6FA2AB4-4BA6-4BCC-A83E-458FF1373A55}"/>
    <cellStyle name="Millares 2 8 3 2" xfId="3112" xr:uid="{5069E954-B625-49BA-A688-8174399F75FD}"/>
    <cellStyle name="Millares 2 8 4" xfId="2448" xr:uid="{5B697070-4243-4898-88C4-DAD54491C0F9}"/>
    <cellStyle name="Millares 2 9" xfId="1451" xr:uid="{268EEEA1-708C-48FF-9198-B7C136FED39C}"/>
    <cellStyle name="Millares 2 9 2" xfId="3444" xr:uid="{B46C6FCF-6E24-43A3-9289-7DB4554170AD}"/>
    <cellStyle name="Millares 3" xfId="71" xr:uid="{AA7A7949-FE99-4176-A30A-22ED79743A4D}"/>
    <cellStyle name="Millares 3 2" xfId="100" xr:uid="{56690694-E588-4030-8C0E-2A2747FD2B07}"/>
    <cellStyle name="Millares 3 2 2" xfId="60" xr:uid="{2FC356D0-D245-4A89-8847-90726354D328}"/>
    <cellStyle name="Millares 3 2 2 2" xfId="264" xr:uid="{D7F9BFD0-E053-4C1C-A034-3798D3E645EB}"/>
    <cellStyle name="Millares 3 2 3" xfId="148" xr:uid="{9138FFB2-75D7-4E1B-AA9C-E1B8CC9B3820}"/>
    <cellStyle name="Millares 3 2 3 2" xfId="237" xr:uid="{F1F50AA8-EB6C-4D39-9D06-6C3D93D61137}"/>
    <cellStyle name="Millares 3 2 3 2 2" xfId="423" xr:uid="{6D2369E0-F0E8-4787-9A31-E0C0E66CF8DC}"/>
    <cellStyle name="Millares 3 2 3 2 2 2" xfId="755" xr:uid="{4B019027-E0BE-46EE-9B34-34B27592D69A}"/>
    <cellStyle name="Millares 3 2 3 2 2 2 2" xfId="2097" xr:uid="{F0641F31-229D-4E81-8A87-1E22A0E32953}"/>
    <cellStyle name="Millares 3 2 3 2 2 2 2 2" xfId="4089" xr:uid="{F02C34A6-BDBD-45B2-8CF9-BE594C660DCF}"/>
    <cellStyle name="Millares 3 2 3 2 2 2 3" xfId="1426" xr:uid="{D3D1E599-CEE5-4CE2-9C42-C490A36745D0}"/>
    <cellStyle name="Millares 3 2 3 2 2 2 3 2" xfId="3425" xr:uid="{36C16302-83CE-44B6-A6A2-59765D83BE6B}"/>
    <cellStyle name="Millares 3 2 3 2 2 2 4" xfId="2761" xr:uid="{A5BA576C-E6FF-44D3-924E-7CA3F6D9C7AB}"/>
    <cellStyle name="Millares 3 2 3 2 2 3" xfId="1765" xr:uid="{9FC8B6D7-2321-4413-823C-26CC23352F81}"/>
    <cellStyle name="Millares 3 2 3 2 2 3 2" xfId="3757" xr:uid="{C54B3FFE-6942-4915-96A4-1FD7C571C24B}"/>
    <cellStyle name="Millares 3 2 3 2 2 4" xfId="1094" xr:uid="{AA1DCD33-9F6C-4AF9-AC65-1009840B6A21}"/>
    <cellStyle name="Millares 3 2 3 2 2 4 2" xfId="3093" xr:uid="{FDA8A3D4-A980-4A6E-841B-D199F8365EE9}"/>
    <cellStyle name="Millares 3 2 3 2 2 5" xfId="2429" xr:uid="{51B8E230-BEC5-47C9-93D2-A872434348E9}"/>
    <cellStyle name="Millares 3 2 3 2 3" xfId="589" xr:uid="{ED3595D0-5F9F-4942-8E1D-9C198D0F55DE}"/>
    <cellStyle name="Millares 3 2 3 2 3 2" xfId="1931" xr:uid="{D1D83B60-1A1A-4F07-AB0C-CDE4735E230B}"/>
    <cellStyle name="Millares 3 2 3 2 3 2 2" xfId="3923" xr:uid="{E6F0AD0C-7E70-4EAF-9B5A-9E42C3E0AE8C}"/>
    <cellStyle name="Millares 3 2 3 2 3 3" xfId="1260" xr:uid="{CB057B68-0185-47F8-B5BC-90BAF2BC5146}"/>
    <cellStyle name="Millares 3 2 3 2 3 3 2" xfId="3259" xr:uid="{36D27AA2-26A5-41DD-A61B-BB5CF531116C}"/>
    <cellStyle name="Millares 3 2 3 2 3 4" xfId="2595" xr:uid="{758E7110-15F8-46E7-AE71-FB447A5C6154}"/>
    <cellStyle name="Millares 3 2 3 2 4" xfId="1599" xr:uid="{9BBBDFE5-A179-4EA2-ADFB-31C0A50763C9}"/>
    <cellStyle name="Millares 3 2 3 2 4 2" xfId="3591" xr:uid="{7FDDABF4-9937-4B69-8FA5-CA2E70FF6358}"/>
    <cellStyle name="Millares 3 2 3 2 5" xfId="928" xr:uid="{83130C0A-40EA-48F5-9C86-A1D9550A5EA3}"/>
    <cellStyle name="Millares 3 2 3 2 5 2" xfId="2927" xr:uid="{8DE7C091-143D-4FBC-8CB5-EB6AFADCDADD}"/>
    <cellStyle name="Millares 3 2 3 2 6" xfId="2263" xr:uid="{8DF057A5-A874-485D-8885-A6CD119F7EB6}"/>
    <cellStyle name="Millares 3 2 3 3" xfId="341" xr:uid="{39F0F5C3-F515-4BB2-BC95-4F350878D376}"/>
    <cellStyle name="Millares 3 2 3 3 2" xfId="673" xr:uid="{5101645B-7667-4708-8473-5A68280D57FF}"/>
    <cellStyle name="Millares 3 2 3 3 2 2" xfId="2015" xr:uid="{DB9F5D91-9254-4202-AF96-B00662A4BF0D}"/>
    <cellStyle name="Millares 3 2 3 3 2 2 2" xfId="4007" xr:uid="{16AFC8DC-B421-487F-9ADC-13BA8AAD5070}"/>
    <cellStyle name="Millares 3 2 3 3 2 3" xfId="1344" xr:uid="{2DB4ADB6-53E9-4724-8843-8C385F98B477}"/>
    <cellStyle name="Millares 3 2 3 3 2 3 2" xfId="3343" xr:uid="{74E5442F-38C0-40AF-98FE-FAC7DA5DC2EE}"/>
    <cellStyle name="Millares 3 2 3 3 2 4" xfId="2679" xr:uid="{B710F3C0-B6EF-4532-84BC-5BFD79C0DB5B}"/>
    <cellStyle name="Millares 3 2 3 3 3" xfId="1683" xr:uid="{5398EF66-8CEB-46AB-B2FB-B26D155DED9B}"/>
    <cellStyle name="Millares 3 2 3 3 3 2" xfId="3675" xr:uid="{D6C97CCB-E6D0-48A8-9B93-737FA373B29B}"/>
    <cellStyle name="Millares 3 2 3 3 4" xfId="1012" xr:uid="{20573B8C-D811-4D42-A91A-712B3A8448ED}"/>
    <cellStyle name="Millares 3 2 3 3 4 2" xfId="3011" xr:uid="{16D1F086-9C39-4B5E-A2DD-856A667515F6}"/>
    <cellStyle name="Millares 3 2 3 3 5" xfId="2347" xr:uid="{D0AD0CB3-475F-4C69-9754-AE319946DCB4}"/>
    <cellStyle name="Millares 3 2 3 4" xfId="507" xr:uid="{7A8B7CED-767F-41BB-9E31-7A707E397156}"/>
    <cellStyle name="Millares 3 2 3 4 2" xfId="1849" xr:uid="{89B19E4A-33DC-42AF-9FE4-BB89C5C04F7D}"/>
    <cellStyle name="Millares 3 2 3 4 2 2" xfId="3841" xr:uid="{41D36C6F-FE33-4F2D-831C-CEE1911A8F6C}"/>
    <cellStyle name="Millares 3 2 3 4 3" xfId="1178" xr:uid="{BDA51874-9C4E-4AF8-97E6-44C838AD7C64}"/>
    <cellStyle name="Millares 3 2 3 4 3 2" xfId="3177" xr:uid="{BEFEDC28-F300-4202-9917-65A7CA6FEDDE}"/>
    <cellStyle name="Millares 3 2 3 4 4" xfId="2513" xr:uid="{82FB4610-4116-4406-A1DB-6CDD4C60C758}"/>
    <cellStyle name="Millares 3 2 3 5" xfId="1517" xr:uid="{76635E02-DC36-4ABF-8DC3-2DFBD5E023D3}"/>
    <cellStyle name="Millares 3 2 3 5 2" xfId="3509" xr:uid="{452FDC69-A27C-41C9-BE6C-21BF9E90FA16}"/>
    <cellStyle name="Millares 3 2 3 6" xfId="846" xr:uid="{EC1F2FCD-6E80-4F64-8AB5-F5148737CBFF}"/>
    <cellStyle name="Millares 3 2 3 6 2" xfId="2845" xr:uid="{B21834C8-10EA-4095-85B5-D77B5E923484}"/>
    <cellStyle name="Millares 3 2 3 7" xfId="2181" xr:uid="{723F02BE-E8F4-421C-9AE9-F53D78B5AEFA}"/>
    <cellStyle name="Millares 3 2 4" xfId="197" xr:uid="{B4E98BB2-6A28-4A83-9C4A-952BBAEFB124}"/>
    <cellStyle name="Millares 3 2 4 2" xfId="383" xr:uid="{5842D6D5-1E8B-4D4B-97B2-4C2BFB798C5D}"/>
    <cellStyle name="Millares 3 2 4 2 2" xfId="715" xr:uid="{C8931AAD-3C2F-49ED-9AC4-4303E1471A05}"/>
    <cellStyle name="Millares 3 2 4 2 2 2" xfId="2057" xr:uid="{51F33EB4-63C6-48FF-94D2-BB54BC11B5EB}"/>
    <cellStyle name="Millares 3 2 4 2 2 2 2" xfId="4049" xr:uid="{5FC819D3-CF14-45AF-99C1-4000EF399E55}"/>
    <cellStyle name="Millares 3 2 4 2 2 3" xfId="1386" xr:uid="{3C330F1F-4489-4BD1-8292-7161FF4842BD}"/>
    <cellStyle name="Millares 3 2 4 2 2 3 2" xfId="3385" xr:uid="{E9E6769B-E6D6-4E76-A708-B01E0C2A5B2F}"/>
    <cellStyle name="Millares 3 2 4 2 2 4" xfId="2721" xr:uid="{E6777F76-B713-47BE-977E-B1C366642BBA}"/>
    <cellStyle name="Millares 3 2 4 2 3" xfId="1725" xr:uid="{F5AC0BD1-F4E5-4DB9-9E51-81CE59D89E78}"/>
    <cellStyle name="Millares 3 2 4 2 3 2" xfId="3717" xr:uid="{CA996A8A-2B9D-4A3B-8A3E-05104876BBD1}"/>
    <cellStyle name="Millares 3 2 4 2 4" xfId="1054" xr:uid="{CE5ED487-25D4-4F4F-8C60-807AD6193692}"/>
    <cellStyle name="Millares 3 2 4 2 4 2" xfId="3053" xr:uid="{584EF030-741F-4BC3-AFB0-64D3FFC1C298}"/>
    <cellStyle name="Millares 3 2 4 2 5" xfId="2389" xr:uid="{BDE315A9-A63D-4E20-9392-C372C0BD0C09}"/>
    <cellStyle name="Millares 3 2 4 3" xfId="549" xr:uid="{E9E537E6-70F9-4507-BAED-37735A8789C9}"/>
    <cellStyle name="Millares 3 2 4 3 2" xfId="1891" xr:uid="{45ABC2EC-C2CE-4E02-94E3-338D382A92D9}"/>
    <cellStyle name="Millares 3 2 4 3 2 2" xfId="3883" xr:uid="{CEA7FB69-6179-48C7-916F-1227DA18ABD0}"/>
    <cellStyle name="Millares 3 2 4 3 3" xfId="1220" xr:uid="{90138B9B-ABE5-4A9D-B22D-B8AEA7C5BC21}"/>
    <cellStyle name="Millares 3 2 4 3 3 2" xfId="3219" xr:uid="{3DEA0B04-F9A0-40A0-80CF-18C0CAD40457}"/>
    <cellStyle name="Millares 3 2 4 3 4" xfId="2555" xr:uid="{710DD12F-06A1-4D34-8051-1A01CFF86BEE}"/>
    <cellStyle name="Millares 3 2 4 4" xfId="1559" xr:uid="{E62379DD-48F7-49BD-AF5E-763D4CC5F0BC}"/>
    <cellStyle name="Millares 3 2 4 4 2" xfId="3551" xr:uid="{04087009-8C2F-4899-9ADF-4887E2E6EDAE}"/>
    <cellStyle name="Millares 3 2 4 5" xfId="888" xr:uid="{157185D6-9FDA-4465-A970-646B40F19724}"/>
    <cellStyle name="Millares 3 2 4 5 2" xfId="2887" xr:uid="{9788EE8E-3B46-43A3-AD1E-0287EEF8E327}"/>
    <cellStyle name="Millares 3 2 4 6" xfId="2223" xr:uid="{23B775F9-E1AB-4AE7-BDB6-1C9B73567002}"/>
    <cellStyle name="Millares 3 2 5" xfId="301" xr:uid="{06E6EB75-9753-4DFF-AE34-2D810EDAE92A}"/>
    <cellStyle name="Millares 3 2 5 2" xfId="633" xr:uid="{CB1C3514-5216-4D04-B526-C8ED390E6F04}"/>
    <cellStyle name="Millares 3 2 5 2 2" xfId="1975" xr:uid="{2F4EDE91-E408-45B8-8D56-4977216FA084}"/>
    <cellStyle name="Millares 3 2 5 2 2 2" xfId="3967" xr:uid="{FBD1C446-0DB7-45C3-B6A0-96C3B9615689}"/>
    <cellStyle name="Millares 3 2 5 2 3" xfId="1304" xr:uid="{080DADA9-5322-4A64-9476-407CB8344FE9}"/>
    <cellStyle name="Millares 3 2 5 2 3 2" xfId="3303" xr:uid="{77B5C949-7119-45B2-925A-034A969A733A}"/>
    <cellStyle name="Millares 3 2 5 2 4" xfId="2639" xr:uid="{EB6E8AFA-DEA8-4208-9AED-C1C574A42DD1}"/>
    <cellStyle name="Millares 3 2 5 3" xfId="1643" xr:uid="{1BCD95E8-A8DF-46FC-81BA-AA33B667EA51}"/>
    <cellStyle name="Millares 3 2 5 3 2" xfId="3635" xr:uid="{FAFDCF10-7410-47C7-A150-CCA889C2E779}"/>
    <cellStyle name="Millares 3 2 5 4" xfId="972" xr:uid="{E4CE2295-B738-4837-886C-E14525215744}"/>
    <cellStyle name="Millares 3 2 5 4 2" xfId="2971" xr:uid="{30AD557F-DC06-42B8-8C9C-09A43813E0C4}"/>
    <cellStyle name="Millares 3 2 5 5" xfId="2307" xr:uid="{7690F0D6-2BCA-43DB-AE4F-C5F48934CACE}"/>
    <cellStyle name="Millares 3 2 6" xfId="467" xr:uid="{D1445F0F-D0BA-41EA-9C88-8261EE8903B2}"/>
    <cellStyle name="Millares 3 2 6 2" xfId="1809" xr:uid="{6D7E05E7-518C-4C52-B4B1-1056919EC519}"/>
    <cellStyle name="Millares 3 2 6 2 2" xfId="3801" xr:uid="{B8CD09F7-9C47-467B-A521-14D777CA5B94}"/>
    <cellStyle name="Millares 3 2 6 3" xfId="1138" xr:uid="{67087BA8-73D1-4BB6-B651-A302A429DD24}"/>
    <cellStyle name="Millares 3 2 6 3 2" xfId="3137" xr:uid="{1D8DDDDE-CF82-4F4B-8489-E5CBCA821379}"/>
    <cellStyle name="Millares 3 2 6 4" xfId="2473" xr:uid="{7E828D0F-5B45-4C64-84E8-8A96110AEBC5}"/>
    <cellStyle name="Millares 3 2 7" xfId="1477" xr:uid="{898FC0DA-5DC4-4126-A5A1-EE80A95E5A9C}"/>
    <cellStyle name="Millares 3 2 7 2" xfId="3469" xr:uid="{8DE41DC4-18F6-47C2-A54A-DF06754DFA8D}"/>
    <cellStyle name="Millares 3 2 8" xfId="806" xr:uid="{5A3D2477-27CB-4B28-B814-B446FA0A057E}"/>
    <cellStyle name="Millares 3 2 8 2" xfId="2805" xr:uid="{508A0520-F44D-4D9E-9BE9-40114288F693}"/>
    <cellStyle name="Millares 3 2 9" xfId="2141" xr:uid="{AA010261-5C1B-4653-9C93-5849BF4751C9}"/>
    <cellStyle name="Millares 3 3" xfId="129" xr:uid="{5F883CA1-2AE2-4B68-8040-6024E3EA058F}"/>
    <cellStyle name="Millares 3 3 2" xfId="218" xr:uid="{B80CF685-9DB1-47B9-ABC9-8E338E2A143D}"/>
    <cellStyle name="Millares 3 3 2 2" xfId="404" xr:uid="{C70AD254-D8D5-40DB-B69A-4CE5A7CDAC7D}"/>
    <cellStyle name="Millares 3 3 2 2 2" xfId="736" xr:uid="{89533637-90B2-435F-89DE-A019E2881FCD}"/>
    <cellStyle name="Millares 3 3 2 2 2 2" xfId="2078" xr:uid="{53170F28-BA8C-475B-A9AD-6ADFDBB922AA}"/>
    <cellStyle name="Millares 3 3 2 2 2 2 2" xfId="4070" xr:uid="{F956A4F9-6DBD-4101-9E82-B07DC72F01B6}"/>
    <cellStyle name="Millares 3 3 2 2 2 3" xfId="1407" xr:uid="{AB134846-2E2C-4F87-A4DA-EC5AEF9B8D45}"/>
    <cellStyle name="Millares 3 3 2 2 2 3 2" xfId="3406" xr:uid="{DE8DBD55-516F-4F57-88B1-EB2E87281FF8}"/>
    <cellStyle name="Millares 3 3 2 2 2 4" xfId="2742" xr:uid="{C81EBFE9-8A43-41D5-9E31-AF1501D87D8E}"/>
    <cellStyle name="Millares 3 3 2 2 3" xfId="1746" xr:uid="{D24E7CEC-A60A-41A6-860D-B9262ED1810E}"/>
    <cellStyle name="Millares 3 3 2 2 3 2" xfId="3738" xr:uid="{58575CD3-56CE-40FC-ACCA-87B4F3605AE9}"/>
    <cellStyle name="Millares 3 3 2 2 4" xfId="1075" xr:uid="{1C2E1EA3-F866-48E5-BC37-D6B17E84BBB2}"/>
    <cellStyle name="Millares 3 3 2 2 4 2" xfId="3074" xr:uid="{7704B1DE-8AC4-4646-B8A6-8FAD79985E58}"/>
    <cellStyle name="Millares 3 3 2 2 5" xfId="2410" xr:uid="{B8402CA1-82B2-4C76-AF9B-D8AB601F0771}"/>
    <cellStyle name="Millares 3 3 2 3" xfId="570" xr:uid="{A4545359-A824-42EC-BBD6-A7FE15CDE4CC}"/>
    <cellStyle name="Millares 3 3 2 3 2" xfId="1912" xr:uid="{6B32AF88-6896-4313-BDB5-A0A2DB008286}"/>
    <cellStyle name="Millares 3 3 2 3 2 2" xfId="3904" xr:uid="{06A6D5A9-7BDD-4659-834E-7917B7369E7D}"/>
    <cellStyle name="Millares 3 3 2 3 3" xfId="1241" xr:uid="{82C634FC-A7E3-4387-BF75-2A648E36E559}"/>
    <cellStyle name="Millares 3 3 2 3 3 2" xfId="3240" xr:uid="{D4639815-A6B0-4B22-8761-ABAA4F3A0EA4}"/>
    <cellStyle name="Millares 3 3 2 3 4" xfId="2576" xr:uid="{A415F282-C8EA-40D0-9F30-39FA792DD5F1}"/>
    <cellStyle name="Millares 3 3 2 4" xfId="1580" xr:uid="{9189FAFE-0FE0-4EAE-ADC3-557A9D4ADBF1}"/>
    <cellStyle name="Millares 3 3 2 4 2" xfId="3572" xr:uid="{C6B902DD-4FEE-48D6-9779-1D2BA68F4AFA}"/>
    <cellStyle name="Millares 3 3 2 5" xfId="909" xr:uid="{B2DFB946-78BF-4F75-9E47-B8896B517E70}"/>
    <cellStyle name="Millares 3 3 2 5 2" xfId="2908" xr:uid="{1C6C88B7-0F2E-431E-9F7F-050EA5A5881F}"/>
    <cellStyle name="Millares 3 3 2 6" xfId="2244" xr:uid="{8014C42C-7102-4E77-985E-A5C7DA983EDA}"/>
    <cellStyle name="Millares 3 3 3" xfId="322" xr:uid="{E72192A2-9E6A-40F5-B162-A00AE00EEF15}"/>
    <cellStyle name="Millares 3 3 3 2" xfId="654" xr:uid="{8BB9B269-5EFC-4FA7-9ED1-61AAAA6C3A78}"/>
    <cellStyle name="Millares 3 3 3 2 2" xfId="1996" xr:uid="{5D86B7E3-1034-4486-9B87-BA86A18DA139}"/>
    <cellStyle name="Millares 3 3 3 2 2 2" xfId="3988" xr:uid="{3FAC61B5-E453-45A5-94D7-DE5859F939B8}"/>
    <cellStyle name="Millares 3 3 3 2 3" xfId="1325" xr:uid="{3894DAD3-3EE3-4C81-8388-53362901817D}"/>
    <cellStyle name="Millares 3 3 3 2 3 2" xfId="3324" xr:uid="{0EBD51D4-2743-485B-B48E-EB92D08D7D0C}"/>
    <cellStyle name="Millares 3 3 3 2 4" xfId="2660" xr:uid="{F9A1F04D-94E9-4064-9571-E77246DA7069}"/>
    <cellStyle name="Millares 3 3 3 3" xfId="1664" xr:uid="{251BF5EC-0484-4330-BBD6-8BFD54622A17}"/>
    <cellStyle name="Millares 3 3 3 3 2" xfId="3656" xr:uid="{00D2FD55-25A6-4329-AB5D-B59858DB06B1}"/>
    <cellStyle name="Millares 3 3 3 4" xfId="993" xr:uid="{FA46C85C-B990-4E57-BBBC-C31FC9BC8892}"/>
    <cellStyle name="Millares 3 3 3 4 2" xfId="2992" xr:uid="{7C589068-C9F0-4D05-8D5D-3541C0E7A40A}"/>
    <cellStyle name="Millares 3 3 3 5" xfId="2328" xr:uid="{A8731C4F-DBFE-4D5E-968C-74139954D1EC}"/>
    <cellStyle name="Millares 3 3 4" xfId="488" xr:uid="{7C5D5D7D-57BE-4FCF-8DBD-881E7C36224E}"/>
    <cellStyle name="Millares 3 3 4 2" xfId="1830" xr:uid="{D8DFFE26-3070-4FAD-8738-F3E3DC4BCDD8}"/>
    <cellStyle name="Millares 3 3 4 2 2" xfId="3822" xr:uid="{CF79CCB2-7032-4300-B056-A018F6B7FB12}"/>
    <cellStyle name="Millares 3 3 4 3" xfId="1159" xr:uid="{94E8BE75-5BD1-4C53-B966-7153B2BBAC9A}"/>
    <cellStyle name="Millares 3 3 4 3 2" xfId="3158" xr:uid="{FEA97F31-ED9F-4AEB-9C38-6E2FAD594CE0}"/>
    <cellStyle name="Millares 3 3 4 4" xfId="2494" xr:uid="{9C89A6DA-B768-4A80-917B-9EE9BFC60982}"/>
    <cellStyle name="Millares 3 3 5" xfId="1498" xr:uid="{184B4A58-7328-4C1F-BA07-794A164516EB}"/>
    <cellStyle name="Millares 3 3 5 2" xfId="3490" xr:uid="{DDE3F80C-004F-4B6A-BDFD-75C26BE7673D}"/>
    <cellStyle name="Millares 3 3 6" xfId="827" xr:uid="{66A4AF7A-68AB-417F-92A1-626771CC155B}"/>
    <cellStyle name="Millares 3 3 6 2" xfId="2826" xr:uid="{41117190-454E-42AD-BA40-E5E8D6D2AB92}"/>
    <cellStyle name="Millares 3 3 7" xfId="2162" xr:uid="{A7400DD2-69D5-4465-9CB6-16E23771CE92}"/>
    <cellStyle name="Millares 3 4" xfId="178" xr:uid="{C3EE13E2-BF1C-4EBF-8E87-BFE3A209627E}"/>
    <cellStyle name="Millares 3 4 2" xfId="364" xr:uid="{E62D3C20-273E-4515-9C2A-2216329C9006}"/>
    <cellStyle name="Millares 3 4 2 2" xfId="696" xr:uid="{7A97DB6B-017B-4231-A7AA-1E19EB293184}"/>
    <cellStyle name="Millares 3 4 2 2 2" xfId="2038" xr:uid="{7A9543D9-09C4-4316-89F5-612859562763}"/>
    <cellStyle name="Millares 3 4 2 2 2 2" xfId="4030" xr:uid="{ED606606-B47C-42BA-915E-D0ABE727E14E}"/>
    <cellStyle name="Millares 3 4 2 2 3" xfId="1367" xr:uid="{5B0F9C88-A3E3-40FC-BB51-867C82A5235A}"/>
    <cellStyle name="Millares 3 4 2 2 3 2" xfId="3366" xr:uid="{76193605-58BD-4517-81EA-D720F4A06CC6}"/>
    <cellStyle name="Millares 3 4 2 2 4" xfId="2702" xr:uid="{DDD0B0E2-3FCD-4B30-AC64-281743AD5512}"/>
    <cellStyle name="Millares 3 4 2 3" xfId="1706" xr:uid="{FE951109-0643-437A-90AB-5B1CBFB70950}"/>
    <cellStyle name="Millares 3 4 2 3 2" xfId="3698" xr:uid="{E6C43A2C-1804-45B0-A559-F1E0B46539DA}"/>
    <cellStyle name="Millares 3 4 2 4" xfId="1035" xr:uid="{99956542-8CF1-48FD-B421-D437227F4301}"/>
    <cellStyle name="Millares 3 4 2 4 2" xfId="3034" xr:uid="{6DF9600C-88A6-48C7-8A4A-829611912115}"/>
    <cellStyle name="Millares 3 4 2 5" xfId="2370" xr:uid="{DD6B53CF-5373-4308-9C9D-7EA206919283}"/>
    <cellStyle name="Millares 3 4 3" xfId="530" xr:uid="{C673361C-8E1A-4A06-8C5F-84656D9CA4EC}"/>
    <cellStyle name="Millares 3 4 3 2" xfId="1872" xr:uid="{D74C59C0-FD4C-4065-8091-9F6F67243C39}"/>
    <cellStyle name="Millares 3 4 3 2 2" xfId="3864" xr:uid="{CEC6355E-57E7-4150-9B8A-BE90D798D051}"/>
    <cellStyle name="Millares 3 4 3 3" xfId="1201" xr:uid="{1FAF2FA5-81C4-49F4-9041-1FA3E6B0A9D9}"/>
    <cellStyle name="Millares 3 4 3 3 2" xfId="3200" xr:uid="{CADDC224-2583-4B2D-A03E-BC855D13FDD1}"/>
    <cellStyle name="Millares 3 4 3 4" xfId="2536" xr:uid="{C6A9F2B6-B6EE-423C-8E1A-80EC08567BE7}"/>
    <cellStyle name="Millares 3 4 4" xfId="1540" xr:uid="{C836D291-29B2-478B-95E9-15624F4B5B1F}"/>
    <cellStyle name="Millares 3 4 4 2" xfId="3532" xr:uid="{B58439E5-6C55-4AB9-A784-616CE951C538}"/>
    <cellStyle name="Millares 3 4 5" xfId="869" xr:uid="{139CF4FF-82D1-4F47-B356-95F98AC9A026}"/>
    <cellStyle name="Millares 3 4 5 2" xfId="2868" xr:uid="{9C27388A-040A-443D-B14B-07C6BC4F2D05}"/>
    <cellStyle name="Millares 3 4 6" xfId="2204" xr:uid="{A181C06D-43AC-4438-B488-E3FBAA8AA8DF}"/>
    <cellStyle name="Millares 3 5" xfId="282" xr:uid="{24C577DF-D734-4315-AC66-600996CE04D3}"/>
    <cellStyle name="Millares 3 5 2" xfId="614" xr:uid="{640F525A-720B-4EF9-B8D5-5B082FB89BFA}"/>
    <cellStyle name="Millares 3 5 2 2" xfId="1956" xr:uid="{21C88C81-8A6C-4E83-A291-3D1AB4D61AE0}"/>
    <cellStyle name="Millares 3 5 2 2 2" xfId="3948" xr:uid="{51304BAA-08FC-442C-9549-421B7C7D9E13}"/>
    <cellStyle name="Millares 3 5 2 3" xfId="1285" xr:uid="{CF0FBE53-D4D6-4FB5-A124-CB8E95B83316}"/>
    <cellStyle name="Millares 3 5 2 3 2" xfId="3284" xr:uid="{C09A8A15-C5A1-4377-82F6-17705BEACFCB}"/>
    <cellStyle name="Millares 3 5 2 4" xfId="2620" xr:uid="{2853D1D4-D5EB-4018-9EE6-3E4A75BEA266}"/>
    <cellStyle name="Millares 3 5 3" xfId="1624" xr:uid="{B30127BD-7F98-48F4-AE09-2600A7AD748E}"/>
    <cellStyle name="Millares 3 5 3 2" xfId="3616" xr:uid="{EFBD03B8-CC89-469A-8B74-97F27F435F71}"/>
    <cellStyle name="Millares 3 5 4" xfId="953" xr:uid="{79F41AFA-C566-4DEB-9362-53151BDFA12F}"/>
    <cellStyle name="Millares 3 5 4 2" xfId="2952" xr:uid="{D91EE2E9-AF25-4D8B-8BAB-527A36DAE717}"/>
    <cellStyle name="Millares 3 5 5" xfId="2288" xr:uid="{790CA590-9FE2-4609-A47B-4944BCF8156A}"/>
    <cellStyle name="Millares 3 6" xfId="448" xr:uid="{E8208F9B-AA57-49BC-A571-9006A3F6FC11}"/>
    <cellStyle name="Millares 3 6 2" xfId="1790" xr:uid="{B802FCC4-8C8F-4939-984F-BB24CA1DCF47}"/>
    <cellStyle name="Millares 3 6 2 2" xfId="3782" xr:uid="{ED975503-64CE-4BEB-A01F-054B1A352316}"/>
    <cellStyle name="Millares 3 6 3" xfId="1119" xr:uid="{EC39954B-723C-4396-BAB7-99E58CCE7AAF}"/>
    <cellStyle name="Millares 3 6 3 2" xfId="3118" xr:uid="{23552886-BB54-4B73-B0A8-90349880AEE0}"/>
    <cellStyle name="Millares 3 6 4" xfId="2454" xr:uid="{3F8AEDEE-9F7C-4AAD-8A16-D8990EB99D4E}"/>
    <cellStyle name="Millares 3 7" xfId="1458" xr:uid="{FEEE6804-5A18-42D1-8147-2C885ECCCD9A}"/>
    <cellStyle name="Millares 3 7 2" xfId="3450" xr:uid="{AE121931-37A1-4771-B910-C9907D6A2823}"/>
    <cellStyle name="Millares 3 8" xfId="787" xr:uid="{B4492E0C-5226-4DE7-9C1C-0E0CECDE4DCF}"/>
    <cellStyle name="Millares 3 8 2" xfId="2786" xr:uid="{DD919218-9DEA-405B-9FA5-7F95D888D1BC}"/>
    <cellStyle name="Millares 3 9" xfId="2122" xr:uid="{90334C52-BE49-4D0E-B89C-8DB073DF2B0A}"/>
    <cellStyle name="Millares 30 2 2" xfId="58" xr:uid="{AF336DF1-392F-4DE0-9494-904DDFCCF2B7}"/>
    <cellStyle name="Millares 30 2 2 10" xfId="783" xr:uid="{7C95580E-6B14-42BE-B529-913A9D0ED299}"/>
    <cellStyle name="Millares 30 2 2 10 2" xfId="2782" xr:uid="{E7D0D373-7FC0-4DC2-94E9-2CD0DC60631C}"/>
    <cellStyle name="Millares 30 2 2 11" xfId="2118" xr:uid="{577C67A8-6083-4B97-8288-377DA8EC48D5}"/>
    <cellStyle name="Millares 30 2 2 2" xfId="77" xr:uid="{067DFC6F-D107-41B1-9A96-B2B701AD65F9}"/>
    <cellStyle name="Millares 30 2 2 2 2" xfId="105" xr:uid="{57385DB8-EA66-468E-9853-51C018B088EE}"/>
    <cellStyle name="Millares 30 2 2 2 2 2" xfId="153" xr:uid="{A6D77D94-64CE-4A55-A059-AE97BB7AD6A7}"/>
    <cellStyle name="Millares 30 2 2 2 2 2 2" xfId="242" xr:uid="{7419B6B9-5066-46C9-A181-88E8157E97B0}"/>
    <cellStyle name="Millares 30 2 2 2 2 2 2 2" xfId="428" xr:uid="{E24072C8-0882-412E-B9DA-6A8A885A4278}"/>
    <cellStyle name="Millares 30 2 2 2 2 2 2 2 2" xfId="760" xr:uid="{C111F2D2-1B23-4664-A5C5-809CEBE9B536}"/>
    <cellStyle name="Millares 30 2 2 2 2 2 2 2 2 2" xfId="2102" xr:uid="{5D81A432-AAC9-4F52-B8B2-657B2F79C7D5}"/>
    <cellStyle name="Millares 30 2 2 2 2 2 2 2 2 2 2" xfId="4094" xr:uid="{48DD8CA7-B88C-463B-9D1D-6E6BBCACE07E}"/>
    <cellStyle name="Millares 30 2 2 2 2 2 2 2 2 3" xfId="1431" xr:uid="{8D771847-A21A-4F4C-B155-A05B5C37A98B}"/>
    <cellStyle name="Millares 30 2 2 2 2 2 2 2 2 3 2" xfId="3430" xr:uid="{931822CE-63A2-47A8-90AE-1D4E582DA930}"/>
    <cellStyle name="Millares 30 2 2 2 2 2 2 2 2 4" xfId="2766" xr:uid="{6FF04507-1F75-4108-B837-026065747F00}"/>
    <cellStyle name="Millares 30 2 2 2 2 2 2 2 3" xfId="1770" xr:uid="{CCC539FF-DFCF-4A61-8164-2D5049D996F7}"/>
    <cellStyle name="Millares 30 2 2 2 2 2 2 2 3 2" xfId="3762" xr:uid="{FC00046D-2361-4666-B796-B615257C0633}"/>
    <cellStyle name="Millares 30 2 2 2 2 2 2 2 4" xfId="1099" xr:uid="{8BB2A4E0-8AB6-474B-83A9-675FA10294DA}"/>
    <cellStyle name="Millares 30 2 2 2 2 2 2 2 4 2" xfId="3098" xr:uid="{5DC86C94-10C0-4A03-9B3E-154284631723}"/>
    <cellStyle name="Millares 30 2 2 2 2 2 2 2 5" xfId="2434" xr:uid="{4147D847-97A0-4F06-99A8-24FA890FD405}"/>
    <cellStyle name="Millares 30 2 2 2 2 2 2 3" xfId="594" xr:uid="{64DE967D-DDA6-4BDE-BD5C-01CBAA408DBA}"/>
    <cellStyle name="Millares 30 2 2 2 2 2 2 3 2" xfId="1936" xr:uid="{6025AF22-0898-4E32-9C55-540C7D3D55CB}"/>
    <cellStyle name="Millares 30 2 2 2 2 2 2 3 2 2" xfId="3928" xr:uid="{A6F36A08-C8C0-4E73-8AC5-CFECED24E97D}"/>
    <cellStyle name="Millares 30 2 2 2 2 2 2 3 3" xfId="1265" xr:uid="{4D25C7C8-50EF-465D-83B7-F3DA3A7AC0BB}"/>
    <cellStyle name="Millares 30 2 2 2 2 2 2 3 3 2" xfId="3264" xr:uid="{361516C8-958C-4F08-B199-6D89AF11234F}"/>
    <cellStyle name="Millares 30 2 2 2 2 2 2 3 4" xfId="2600" xr:uid="{770DD64F-8810-4F04-B09B-32609CA22A6D}"/>
    <cellStyle name="Millares 30 2 2 2 2 2 2 4" xfId="1604" xr:uid="{BE4501C5-4A57-470D-AAE1-2AF8F507597B}"/>
    <cellStyle name="Millares 30 2 2 2 2 2 2 4 2" xfId="3596" xr:uid="{2434297F-BD18-4F34-9577-0A7971E20932}"/>
    <cellStyle name="Millares 30 2 2 2 2 2 2 5" xfId="933" xr:uid="{3AB32AE8-0E0D-4670-B6A8-3DDAC40C88A8}"/>
    <cellStyle name="Millares 30 2 2 2 2 2 2 5 2" xfId="2932" xr:uid="{C1F5440A-AA72-4C3F-A332-665AC2785FB3}"/>
    <cellStyle name="Millares 30 2 2 2 2 2 2 6" xfId="2268" xr:uid="{9B30F6B7-81C4-4B60-B9FE-958F41E5B80C}"/>
    <cellStyle name="Millares 30 2 2 2 2 2 3" xfId="346" xr:uid="{83D85EB3-8696-4C07-8668-0B8241CA4E45}"/>
    <cellStyle name="Millares 30 2 2 2 2 2 3 2" xfId="678" xr:uid="{E8EBCF2F-143F-4D21-8380-1E1BCE5278A3}"/>
    <cellStyle name="Millares 30 2 2 2 2 2 3 2 2" xfId="2020" xr:uid="{DA18B052-6220-4C2E-9DE3-DC304E0139D4}"/>
    <cellStyle name="Millares 30 2 2 2 2 2 3 2 2 2" xfId="4012" xr:uid="{E3BD945D-3FBE-4A2A-821A-F3DC9660BF34}"/>
    <cellStyle name="Millares 30 2 2 2 2 2 3 2 3" xfId="1349" xr:uid="{E652219B-9F8C-4B21-9D1F-17F017CEE4D4}"/>
    <cellStyle name="Millares 30 2 2 2 2 2 3 2 3 2" xfId="3348" xr:uid="{AD2FB7BD-5554-4CA0-B007-8C3AB4542339}"/>
    <cellStyle name="Millares 30 2 2 2 2 2 3 2 4" xfId="2684" xr:uid="{71C71916-D251-4502-BC3C-9704AE3951EF}"/>
    <cellStyle name="Millares 30 2 2 2 2 2 3 3" xfId="1688" xr:uid="{63B45C54-A938-4129-8180-5DADED478B8E}"/>
    <cellStyle name="Millares 30 2 2 2 2 2 3 3 2" xfId="3680" xr:uid="{5FB19E55-09D7-4E4F-ACBE-957A23CF39F7}"/>
    <cellStyle name="Millares 30 2 2 2 2 2 3 4" xfId="1017" xr:uid="{2C29587F-7EBA-428D-B9DE-6B6D896BE883}"/>
    <cellStyle name="Millares 30 2 2 2 2 2 3 4 2" xfId="3016" xr:uid="{078FB20B-F8A5-406D-92DB-5669FF696850}"/>
    <cellStyle name="Millares 30 2 2 2 2 2 3 5" xfId="2352" xr:uid="{72AD1BCF-9069-4729-9BF5-BF1269CC33DC}"/>
    <cellStyle name="Millares 30 2 2 2 2 2 4" xfId="512" xr:uid="{9F133234-2F1E-4CB6-9D67-FA65E9CBE541}"/>
    <cellStyle name="Millares 30 2 2 2 2 2 4 2" xfId="1854" xr:uid="{CF641536-F60B-4005-B92C-52004EBB188F}"/>
    <cellStyle name="Millares 30 2 2 2 2 2 4 2 2" xfId="3846" xr:uid="{BF0F5C76-CAF1-40D8-A8AE-0472A450BDDD}"/>
    <cellStyle name="Millares 30 2 2 2 2 2 4 3" xfId="1183" xr:uid="{7B0BCD5D-7FAA-4D85-8C9E-1B513B05F9DE}"/>
    <cellStyle name="Millares 30 2 2 2 2 2 4 3 2" xfId="3182" xr:uid="{D1DDE635-4ADB-4256-A8F8-B11D936E2640}"/>
    <cellStyle name="Millares 30 2 2 2 2 2 4 4" xfId="2518" xr:uid="{C61AB840-BBB9-4F64-BFF9-C0B3F58BF7E0}"/>
    <cellStyle name="Millares 30 2 2 2 2 2 5" xfId="1522" xr:uid="{C89D3877-9211-4E6A-A0FC-209D475BE179}"/>
    <cellStyle name="Millares 30 2 2 2 2 2 5 2" xfId="3514" xr:uid="{82E1E47D-597C-49ED-B2DC-82180B809747}"/>
    <cellStyle name="Millares 30 2 2 2 2 2 6" xfId="851" xr:uid="{E2C2B187-F517-46AD-B264-E2DCE0761867}"/>
    <cellStyle name="Millares 30 2 2 2 2 2 6 2" xfId="2850" xr:uid="{981176F3-CB7A-4ED4-8894-612493359CAB}"/>
    <cellStyle name="Millares 30 2 2 2 2 2 7" xfId="2186" xr:uid="{742E37B2-3907-403A-B147-8991FF2C4A57}"/>
    <cellStyle name="Millares 30 2 2 2 2 3" xfId="202" xr:uid="{AAF8C99B-FE2F-42BB-A050-E2752FB577DD}"/>
    <cellStyle name="Millares 30 2 2 2 2 3 2" xfId="388" xr:uid="{D95DE43A-4E18-41F3-AFE0-AD1FE2049CFE}"/>
    <cellStyle name="Millares 30 2 2 2 2 3 2 2" xfId="720" xr:uid="{BE364BAE-A5B9-4FB8-A59B-6942CDB62A99}"/>
    <cellStyle name="Millares 30 2 2 2 2 3 2 2 2" xfId="2062" xr:uid="{B41C1D33-3E27-412A-AF9A-7D8ECDF6D6D5}"/>
    <cellStyle name="Millares 30 2 2 2 2 3 2 2 2 2" xfId="4054" xr:uid="{1339749B-17BA-4A95-A85A-0956E467A57F}"/>
    <cellStyle name="Millares 30 2 2 2 2 3 2 2 3" xfId="1391" xr:uid="{E0B0FB02-26DD-465D-AF19-35EE577AEA76}"/>
    <cellStyle name="Millares 30 2 2 2 2 3 2 2 3 2" xfId="3390" xr:uid="{3A9E2A48-A55D-4DC7-9812-9A7676E9B9EF}"/>
    <cellStyle name="Millares 30 2 2 2 2 3 2 2 4" xfId="2726" xr:uid="{4481FD0C-D7D9-41D2-8DCB-2D7A829AAB65}"/>
    <cellStyle name="Millares 30 2 2 2 2 3 2 3" xfId="1730" xr:uid="{2F7A08E1-F439-4282-B02A-4CCDEBA8E44E}"/>
    <cellStyle name="Millares 30 2 2 2 2 3 2 3 2" xfId="3722" xr:uid="{677B607D-79A8-46F3-9469-F6F4DD2A0CCC}"/>
    <cellStyle name="Millares 30 2 2 2 2 3 2 4" xfId="1059" xr:uid="{92466AF2-638F-49C5-9511-0DCE45C18EAC}"/>
    <cellStyle name="Millares 30 2 2 2 2 3 2 4 2" xfId="3058" xr:uid="{4AFF607B-236E-4257-B08F-BDB70C97BC4F}"/>
    <cellStyle name="Millares 30 2 2 2 2 3 2 5" xfId="2394" xr:uid="{9F350FD6-B3A1-4B0B-A3A3-E64D3C5524C1}"/>
    <cellStyle name="Millares 30 2 2 2 2 3 3" xfId="554" xr:uid="{E7B5DB63-0334-4529-BC03-A6BA33D93EF1}"/>
    <cellStyle name="Millares 30 2 2 2 2 3 3 2" xfId="1896" xr:uid="{5A27C4EE-8D36-4B12-841A-85B9525FF7D4}"/>
    <cellStyle name="Millares 30 2 2 2 2 3 3 2 2" xfId="3888" xr:uid="{8632D914-3E49-46E0-A834-6CCE12B72F4B}"/>
    <cellStyle name="Millares 30 2 2 2 2 3 3 3" xfId="1225" xr:uid="{78DECC12-671E-4DB8-BDA1-FE3286E2BBCC}"/>
    <cellStyle name="Millares 30 2 2 2 2 3 3 3 2" xfId="3224" xr:uid="{47165CC7-D40E-4C74-8B4F-1941FBC77CE3}"/>
    <cellStyle name="Millares 30 2 2 2 2 3 3 4" xfId="2560" xr:uid="{E68383A0-D5FD-477C-A24F-40DD7E7342CC}"/>
    <cellStyle name="Millares 30 2 2 2 2 3 4" xfId="1564" xr:uid="{44C852E1-7A7C-46A8-B52D-4A1472A1BAB1}"/>
    <cellStyle name="Millares 30 2 2 2 2 3 4 2" xfId="3556" xr:uid="{E6E21F45-C04A-4EB6-8625-3A69AAA52A74}"/>
    <cellStyle name="Millares 30 2 2 2 2 3 5" xfId="893" xr:uid="{6BF66A67-55C6-4705-94A4-E71384F9FBF1}"/>
    <cellStyle name="Millares 30 2 2 2 2 3 5 2" xfId="2892" xr:uid="{EBC7AB94-BF64-43C0-9B34-5670CDA2DD77}"/>
    <cellStyle name="Millares 30 2 2 2 2 3 6" xfId="2228" xr:uid="{524865CC-A03D-4A79-BC39-DA5955D1C3D5}"/>
    <cellStyle name="Millares 30 2 2 2 2 4" xfId="306" xr:uid="{98151C00-8960-46B9-A711-301D6BCFE171}"/>
    <cellStyle name="Millares 30 2 2 2 2 4 2" xfId="638" xr:uid="{6863FC5C-10DB-42EE-9BF0-FDEEC2B9134B}"/>
    <cellStyle name="Millares 30 2 2 2 2 4 2 2" xfId="1980" xr:uid="{AAB51A6D-4DD6-4595-8D2D-E7265F2CEBCB}"/>
    <cellStyle name="Millares 30 2 2 2 2 4 2 2 2" xfId="3972" xr:uid="{0E2CF7EB-4C6D-4938-9F6C-FA79D7B1052F}"/>
    <cellStyle name="Millares 30 2 2 2 2 4 2 3" xfId="1309" xr:uid="{1828F34E-A148-4012-870C-350BF78532B9}"/>
    <cellStyle name="Millares 30 2 2 2 2 4 2 3 2" xfId="3308" xr:uid="{D2261A28-FBD3-47F9-A789-A13E736D89FB}"/>
    <cellStyle name="Millares 30 2 2 2 2 4 2 4" xfId="2644" xr:uid="{1844413C-7DBB-44D2-B2DB-2708C14A7AD0}"/>
    <cellStyle name="Millares 30 2 2 2 2 4 3" xfId="1648" xr:uid="{A455363B-B4F8-4201-AB02-8172602E87A6}"/>
    <cellStyle name="Millares 30 2 2 2 2 4 3 2" xfId="3640" xr:uid="{4736DA37-C3FC-49A3-AB78-373318661651}"/>
    <cellStyle name="Millares 30 2 2 2 2 4 4" xfId="977" xr:uid="{8186CFD0-0FCC-4E4A-921C-F130EC926E12}"/>
    <cellStyle name="Millares 30 2 2 2 2 4 4 2" xfId="2976" xr:uid="{27856E38-AF45-4799-84D1-E8F66156F743}"/>
    <cellStyle name="Millares 30 2 2 2 2 4 5" xfId="2312" xr:uid="{DA68846E-6A4C-46FC-9409-2D20D59CCAB1}"/>
    <cellStyle name="Millares 30 2 2 2 2 5" xfId="472" xr:uid="{02F6A29B-6829-4EC2-A05B-6FD4A0C931C0}"/>
    <cellStyle name="Millares 30 2 2 2 2 5 2" xfId="1814" xr:uid="{38F422DB-EE24-4103-9C5B-E487B65C7879}"/>
    <cellStyle name="Millares 30 2 2 2 2 5 2 2" xfId="3806" xr:uid="{DF6C8727-A9EA-44C6-B501-494950FD05E9}"/>
    <cellStyle name="Millares 30 2 2 2 2 5 3" xfId="1143" xr:uid="{BCB4D3EC-AE96-4F51-9A1C-2B19BA592900}"/>
    <cellStyle name="Millares 30 2 2 2 2 5 3 2" xfId="3142" xr:uid="{EA08E4BF-7A8D-4167-AF7D-66E1B9571A1F}"/>
    <cellStyle name="Millares 30 2 2 2 2 5 4" xfId="2478" xr:uid="{6C2EBE02-376B-43D9-9D21-D6F8085111A1}"/>
    <cellStyle name="Millares 30 2 2 2 2 6" xfId="1482" xr:uid="{AACF8FF8-EF9A-4B00-A990-411B69DFB1DD}"/>
    <cellStyle name="Millares 30 2 2 2 2 6 2" xfId="3474" xr:uid="{0C5F34D1-FBE8-4036-B259-B687C7EACE5A}"/>
    <cellStyle name="Millares 30 2 2 2 2 7" xfId="811" xr:uid="{3DDFC046-4161-4429-A17C-513764FA5768}"/>
    <cellStyle name="Millares 30 2 2 2 2 7 2" xfId="2810" xr:uid="{DA6C394B-37AD-4C3C-9378-86ECD0965B15}"/>
    <cellStyle name="Millares 30 2 2 2 2 8" xfId="2146" xr:uid="{846699BF-91ED-4FC4-9497-9A710DC81407}"/>
    <cellStyle name="Millares 30 2 2 2 3" xfId="134" xr:uid="{F53A6B51-EC8A-4694-B449-92F5FB2860E4}"/>
    <cellStyle name="Millares 30 2 2 2 3 2" xfId="223" xr:uid="{47F0844E-6CE4-43C6-B160-87C87E9FB01F}"/>
    <cellStyle name="Millares 30 2 2 2 3 2 2" xfId="409" xr:uid="{26D0A520-485E-46A8-99ED-EDC8C35B19D2}"/>
    <cellStyle name="Millares 30 2 2 2 3 2 2 2" xfId="741" xr:uid="{2AA26E63-3808-42AB-A7B9-C8F52F93BAB9}"/>
    <cellStyle name="Millares 30 2 2 2 3 2 2 2 2" xfId="2083" xr:uid="{D08E08D0-26C7-4ADE-B899-E4EF806D7FEA}"/>
    <cellStyle name="Millares 30 2 2 2 3 2 2 2 2 2" xfId="4075" xr:uid="{6DE6CDFF-B7A2-4169-B73F-09710DB2B1BD}"/>
    <cellStyle name="Millares 30 2 2 2 3 2 2 2 3" xfId="1412" xr:uid="{E9E582E0-3584-442C-9B7B-6F1C3AAD76BA}"/>
    <cellStyle name="Millares 30 2 2 2 3 2 2 2 3 2" xfId="3411" xr:uid="{D4C00013-FAC7-4306-B546-00FBCAA4A5EF}"/>
    <cellStyle name="Millares 30 2 2 2 3 2 2 2 4" xfId="2747" xr:uid="{58F2A99B-E022-4D92-9D5C-2324A6E97781}"/>
    <cellStyle name="Millares 30 2 2 2 3 2 2 3" xfId="1751" xr:uid="{1B294795-5903-4770-80F2-230E151691A4}"/>
    <cellStyle name="Millares 30 2 2 2 3 2 2 3 2" xfId="3743" xr:uid="{30913CC3-A084-4577-9F0B-02F24D2813B9}"/>
    <cellStyle name="Millares 30 2 2 2 3 2 2 4" xfId="1080" xr:uid="{D9EAB4EF-BDD7-4F0E-8493-6DFBC1D2E8D4}"/>
    <cellStyle name="Millares 30 2 2 2 3 2 2 4 2" xfId="3079" xr:uid="{59097099-5FE3-49CD-BA32-0E16DBA57844}"/>
    <cellStyle name="Millares 30 2 2 2 3 2 2 5" xfId="2415" xr:uid="{928F48F3-6D24-42FA-8578-4A60436614F4}"/>
    <cellStyle name="Millares 30 2 2 2 3 2 3" xfId="575" xr:uid="{F698A641-E5D0-46A5-84E5-6C6C517B1FE7}"/>
    <cellStyle name="Millares 30 2 2 2 3 2 3 2" xfId="1917" xr:uid="{84BCF8D9-49FB-4F08-9950-37909CF7A5BC}"/>
    <cellStyle name="Millares 30 2 2 2 3 2 3 2 2" xfId="3909" xr:uid="{0C5E498A-16B8-460F-805A-D7BFBC2E67E9}"/>
    <cellStyle name="Millares 30 2 2 2 3 2 3 3" xfId="1246" xr:uid="{775EFA95-1898-48B6-886F-B2BABBBBC122}"/>
    <cellStyle name="Millares 30 2 2 2 3 2 3 3 2" xfId="3245" xr:uid="{F6A29179-9753-4B34-AF13-66B1F55CE19C}"/>
    <cellStyle name="Millares 30 2 2 2 3 2 3 4" xfId="2581" xr:uid="{A9732C47-9794-4D49-A482-6C657BCFF952}"/>
    <cellStyle name="Millares 30 2 2 2 3 2 4" xfId="1585" xr:uid="{DFD5911B-C388-495C-9B30-BEBFB04561B6}"/>
    <cellStyle name="Millares 30 2 2 2 3 2 4 2" xfId="3577" xr:uid="{A3EBCACE-0387-4538-A76E-811D33A81127}"/>
    <cellStyle name="Millares 30 2 2 2 3 2 5" xfId="914" xr:uid="{EF4D24AF-F471-4167-A0E4-C1CD755618EE}"/>
    <cellStyle name="Millares 30 2 2 2 3 2 5 2" xfId="2913" xr:uid="{9FB6A197-32DA-4D8E-90E2-64C4B1A1F243}"/>
    <cellStyle name="Millares 30 2 2 2 3 2 6" xfId="2249" xr:uid="{50474BF4-9FDD-4C49-BD25-8D5BFE9E584A}"/>
    <cellStyle name="Millares 30 2 2 2 3 3" xfId="327" xr:uid="{6575AD6B-9532-4310-80FC-E24429CAC54C}"/>
    <cellStyle name="Millares 30 2 2 2 3 3 2" xfId="659" xr:uid="{A7F3DD38-8485-4E81-B4A9-27584E4C60E3}"/>
    <cellStyle name="Millares 30 2 2 2 3 3 2 2" xfId="2001" xr:uid="{41654B7D-D28C-426F-85C9-226761DFCEC4}"/>
    <cellStyle name="Millares 30 2 2 2 3 3 2 2 2" xfId="3993" xr:uid="{ADBB403E-5062-4051-AA0C-C6F04DCE163F}"/>
    <cellStyle name="Millares 30 2 2 2 3 3 2 3" xfId="1330" xr:uid="{D19EC864-2121-4E04-B28B-96BBAE8B0B36}"/>
    <cellStyle name="Millares 30 2 2 2 3 3 2 3 2" xfId="3329" xr:uid="{25D49950-337C-44FB-8833-E0E54338C284}"/>
    <cellStyle name="Millares 30 2 2 2 3 3 2 4" xfId="2665" xr:uid="{8EF64C3D-4586-47ED-A7F3-E3E73BD53A86}"/>
    <cellStyle name="Millares 30 2 2 2 3 3 3" xfId="1669" xr:uid="{D5819DC5-2757-4384-AFBC-F928C9792637}"/>
    <cellStyle name="Millares 30 2 2 2 3 3 3 2" xfId="3661" xr:uid="{D168E0D2-6191-453B-9BB2-3B3E71E1E072}"/>
    <cellStyle name="Millares 30 2 2 2 3 3 4" xfId="998" xr:uid="{E6D103DE-DCA8-44A0-B276-2804977C827E}"/>
    <cellStyle name="Millares 30 2 2 2 3 3 4 2" xfId="2997" xr:uid="{C2B8B73F-44DB-4E75-8FD4-DB5C4E5FB1AA}"/>
    <cellStyle name="Millares 30 2 2 2 3 3 5" xfId="2333" xr:uid="{B49C00D9-0903-4E19-AC9A-EF56A093D558}"/>
    <cellStyle name="Millares 30 2 2 2 3 4" xfId="493" xr:uid="{1A773F58-4FF1-4ACB-BF79-0F8CBDE37B7E}"/>
    <cellStyle name="Millares 30 2 2 2 3 4 2" xfId="1835" xr:uid="{6FF004A2-F1EB-43ED-AB5A-8080E59DE3BB}"/>
    <cellStyle name="Millares 30 2 2 2 3 4 2 2" xfId="3827" xr:uid="{B7868D72-BAE6-4909-9C66-BF51550903C1}"/>
    <cellStyle name="Millares 30 2 2 2 3 4 3" xfId="1164" xr:uid="{45B80EF3-BFD4-435C-8C68-8B9C3CF400D1}"/>
    <cellStyle name="Millares 30 2 2 2 3 4 3 2" xfId="3163" xr:uid="{33EE9A27-0312-4E0E-A9D6-CBA3D44CF6A6}"/>
    <cellStyle name="Millares 30 2 2 2 3 4 4" xfId="2499" xr:uid="{2FF831D8-8FC7-45A9-9237-65CB096AB76C}"/>
    <cellStyle name="Millares 30 2 2 2 3 5" xfId="1503" xr:uid="{038F7911-D73E-4EEE-872F-EBA1255341F9}"/>
    <cellStyle name="Millares 30 2 2 2 3 5 2" xfId="3495" xr:uid="{47F6777B-D0AC-480F-B237-26C680333DB6}"/>
    <cellStyle name="Millares 30 2 2 2 3 6" xfId="832" xr:uid="{286C72BB-6A2B-40CA-B452-A0B2DAF38C76}"/>
    <cellStyle name="Millares 30 2 2 2 3 6 2" xfId="2831" xr:uid="{082281DF-8F9F-4817-9397-61F4D7303D12}"/>
    <cellStyle name="Millares 30 2 2 2 3 7" xfId="2167" xr:uid="{D69EDE21-4A8A-4C2B-A288-616FC2D768CB}"/>
    <cellStyle name="Millares 30 2 2 2 4" xfId="183" xr:uid="{74C1EF69-CDDD-4DAE-B8E3-2D1D6E7A551D}"/>
    <cellStyle name="Millares 30 2 2 2 4 2" xfId="369" xr:uid="{10DF2A85-60DB-478A-8321-33C65289F7AF}"/>
    <cellStyle name="Millares 30 2 2 2 4 2 2" xfId="701" xr:uid="{AB672502-D344-4DD1-8FE2-054493DD36D1}"/>
    <cellStyle name="Millares 30 2 2 2 4 2 2 2" xfId="2043" xr:uid="{54FCCE8A-B85A-4114-AD2B-FFD4FAB4E776}"/>
    <cellStyle name="Millares 30 2 2 2 4 2 2 2 2" xfId="4035" xr:uid="{A4195FCF-BDB1-4EAF-88F7-8942E6F51BEA}"/>
    <cellStyle name="Millares 30 2 2 2 4 2 2 3" xfId="1372" xr:uid="{EA2DF0C3-8CE9-4793-9ECD-8580196C990C}"/>
    <cellStyle name="Millares 30 2 2 2 4 2 2 3 2" xfId="3371" xr:uid="{9C6C1AE6-8650-45C6-8162-949A1DD85A4B}"/>
    <cellStyle name="Millares 30 2 2 2 4 2 2 4" xfId="2707" xr:uid="{D7033755-F31E-406C-AE74-8F540EF193CA}"/>
    <cellStyle name="Millares 30 2 2 2 4 2 3" xfId="1711" xr:uid="{8719786D-6B0D-4860-B75D-FF720CED322A}"/>
    <cellStyle name="Millares 30 2 2 2 4 2 3 2" xfId="3703" xr:uid="{82FF389A-550D-4F5A-B224-38C1EBA973F4}"/>
    <cellStyle name="Millares 30 2 2 2 4 2 4" xfId="1040" xr:uid="{AA9CD720-D9F4-45A3-98E7-95C7C261FFF3}"/>
    <cellStyle name="Millares 30 2 2 2 4 2 4 2" xfId="3039" xr:uid="{94D49CB9-04EA-485D-B366-5C8B58BB2E89}"/>
    <cellStyle name="Millares 30 2 2 2 4 2 5" xfId="2375" xr:uid="{77FD7BBC-173E-4EEA-BA64-2534656AC409}"/>
    <cellStyle name="Millares 30 2 2 2 4 3" xfId="535" xr:uid="{63FEB1B6-9A81-4010-8034-97F51786ABC4}"/>
    <cellStyle name="Millares 30 2 2 2 4 3 2" xfId="1877" xr:uid="{344DC9EE-B9CC-4BE1-BB49-72910122E28C}"/>
    <cellStyle name="Millares 30 2 2 2 4 3 2 2" xfId="3869" xr:uid="{4073723A-B515-44D9-A609-6F499207DB70}"/>
    <cellStyle name="Millares 30 2 2 2 4 3 3" xfId="1206" xr:uid="{61462C3D-8322-4E0F-9548-8F6E3D9635ED}"/>
    <cellStyle name="Millares 30 2 2 2 4 3 3 2" xfId="3205" xr:uid="{39802630-AA3F-43A4-9FEF-F2FD373A8970}"/>
    <cellStyle name="Millares 30 2 2 2 4 3 4" xfId="2541" xr:uid="{127E41A2-3AA5-46E2-A1B1-6C4A26BAD555}"/>
    <cellStyle name="Millares 30 2 2 2 4 4" xfId="1545" xr:uid="{3ABAD828-F76D-4277-82AB-7AEA11DA82E5}"/>
    <cellStyle name="Millares 30 2 2 2 4 4 2" xfId="3537" xr:uid="{4E24A4B4-F382-40C7-8FEE-785524CA2B2E}"/>
    <cellStyle name="Millares 30 2 2 2 4 5" xfId="874" xr:uid="{B80B5100-E02D-4EF9-8730-5319B5348D83}"/>
    <cellStyle name="Millares 30 2 2 2 4 5 2" xfId="2873" xr:uid="{06342B74-CE24-441C-9811-3517670BC56F}"/>
    <cellStyle name="Millares 30 2 2 2 4 6" xfId="2209" xr:uid="{1F45C033-131D-48AD-A367-4262E271F16B}"/>
    <cellStyle name="Millares 30 2 2 2 5" xfId="287" xr:uid="{22674433-612A-4587-8F80-82206A294437}"/>
    <cellStyle name="Millares 30 2 2 2 5 2" xfId="619" xr:uid="{D1AE2ADD-305B-4A2B-88ED-075F0C46535D}"/>
    <cellStyle name="Millares 30 2 2 2 5 2 2" xfId="1961" xr:uid="{A5049AF2-F7CB-4608-A392-CF8B4B721D2A}"/>
    <cellStyle name="Millares 30 2 2 2 5 2 2 2" xfId="3953" xr:uid="{739AA051-93E4-40A5-AE2C-ECF7BBA21154}"/>
    <cellStyle name="Millares 30 2 2 2 5 2 3" xfId="1290" xr:uid="{426468E3-B932-4906-840D-687636880B50}"/>
    <cellStyle name="Millares 30 2 2 2 5 2 3 2" xfId="3289" xr:uid="{E2CE30AF-1A03-4B28-B335-541CEE4ABE4E}"/>
    <cellStyle name="Millares 30 2 2 2 5 2 4" xfId="2625" xr:uid="{FCAFF7F0-56DC-4C4C-B155-BB59B6C76F9A}"/>
    <cellStyle name="Millares 30 2 2 2 5 3" xfId="1629" xr:uid="{9D4E033B-BAAA-4AF9-9237-D60E05C65598}"/>
    <cellStyle name="Millares 30 2 2 2 5 3 2" xfId="3621" xr:uid="{283DCE4E-570C-4FAA-A3CA-455DC72DD6BF}"/>
    <cellStyle name="Millares 30 2 2 2 5 4" xfId="958" xr:uid="{1419AF82-82D4-4BF9-BDF3-6BD279A2466B}"/>
    <cellStyle name="Millares 30 2 2 2 5 4 2" xfId="2957" xr:uid="{59B65A1A-E3C6-42F6-8439-FEADBAA9F806}"/>
    <cellStyle name="Millares 30 2 2 2 5 5" xfId="2293" xr:uid="{0B3DC35F-AF62-4DF7-97A1-5492F4EB52B0}"/>
    <cellStyle name="Millares 30 2 2 2 6" xfId="453" xr:uid="{30E87E9E-42A8-4474-8957-49746A6F8983}"/>
    <cellStyle name="Millares 30 2 2 2 6 2" xfId="1795" xr:uid="{CE25007A-2F52-4F56-9781-8BCD22D46A1D}"/>
    <cellStyle name="Millares 30 2 2 2 6 2 2" xfId="3787" xr:uid="{A1F47DB7-21B9-4068-BD4C-1BC5F2899EA0}"/>
    <cellStyle name="Millares 30 2 2 2 6 3" xfId="1124" xr:uid="{686C11F4-BEE6-4904-9C6B-F3789E61E1DA}"/>
    <cellStyle name="Millares 30 2 2 2 6 3 2" xfId="3123" xr:uid="{BFBE04ED-D5D9-4A03-A74B-8662092FC3A9}"/>
    <cellStyle name="Millares 30 2 2 2 6 4" xfId="2459" xr:uid="{708A9ADD-B2C4-4BF9-A6E4-2B6D88E6A24A}"/>
    <cellStyle name="Millares 30 2 2 2 7" xfId="1463" xr:uid="{A6E2D677-C120-4CBD-BC2B-549C11389270}"/>
    <cellStyle name="Millares 30 2 2 2 7 2" xfId="3455" xr:uid="{A97F80A1-20BA-4939-898C-07807ABC2A01}"/>
    <cellStyle name="Millares 30 2 2 2 8" xfId="792" xr:uid="{FEB52956-FF6E-4173-AFAC-462BCEB352EF}"/>
    <cellStyle name="Millares 30 2 2 2 8 2" xfId="2791" xr:uid="{6AF3B27E-90D3-4424-B559-270609278384}"/>
    <cellStyle name="Millares 30 2 2 2 9" xfId="2127" xr:uid="{E096384F-2663-4729-834C-8F142E285136}"/>
    <cellStyle name="Millares 30 2 2 3" xfId="95" xr:uid="{7400915B-3221-4D93-850A-845C5ED160E9}"/>
    <cellStyle name="Millares 30 2 2 3 2" xfId="144" xr:uid="{2FA06BCC-7CA3-4003-ADF2-92ED9BFD8FA5}"/>
    <cellStyle name="Millares 30 2 2 3 2 2" xfId="233" xr:uid="{DD5DD0EE-EFF6-46DB-972F-3D1AB28C3C0A}"/>
    <cellStyle name="Millares 30 2 2 3 2 2 2" xfId="419" xr:uid="{2CC9D082-A4C6-441A-A635-9BB82A7EE681}"/>
    <cellStyle name="Millares 30 2 2 3 2 2 2 2" xfId="751" xr:uid="{70E91AC2-25DC-42EA-B8AC-6C55E10D1472}"/>
    <cellStyle name="Millares 30 2 2 3 2 2 2 2 2" xfId="2093" xr:uid="{C57B850E-46AE-45FA-9813-6235AB878024}"/>
    <cellStyle name="Millares 30 2 2 3 2 2 2 2 2 2" xfId="4085" xr:uid="{94899C2D-CAFE-462B-BAE8-D86DEB023291}"/>
    <cellStyle name="Millares 30 2 2 3 2 2 2 2 3" xfId="1422" xr:uid="{BAC72CC0-9E70-44EC-B85C-EBB2A45CE44F}"/>
    <cellStyle name="Millares 30 2 2 3 2 2 2 2 3 2" xfId="3421" xr:uid="{814FF4CF-18D4-4A16-B2CA-F11B39E5A6B5}"/>
    <cellStyle name="Millares 30 2 2 3 2 2 2 2 4" xfId="2757" xr:uid="{CD707B55-EE35-4D05-AB2B-1C4AD49B4247}"/>
    <cellStyle name="Millares 30 2 2 3 2 2 2 3" xfId="1761" xr:uid="{C6EF4E08-859A-4225-BE9A-1A8ACF8D08B2}"/>
    <cellStyle name="Millares 30 2 2 3 2 2 2 3 2" xfId="3753" xr:uid="{FE72E139-0E68-46C8-B35B-6A59759137CB}"/>
    <cellStyle name="Millares 30 2 2 3 2 2 2 4" xfId="1090" xr:uid="{EF22B1A9-6BEA-439E-8659-DEFCBE7CFFDF}"/>
    <cellStyle name="Millares 30 2 2 3 2 2 2 4 2" xfId="3089" xr:uid="{83CFCDB0-B018-4982-A04E-AB97D60FE4BB}"/>
    <cellStyle name="Millares 30 2 2 3 2 2 2 5" xfId="2425" xr:uid="{D1CCD8DC-E989-4DA2-994F-053B62510671}"/>
    <cellStyle name="Millares 30 2 2 3 2 2 3" xfId="585" xr:uid="{44449FE7-75AE-40C0-B2F9-DE49B16E8F25}"/>
    <cellStyle name="Millares 30 2 2 3 2 2 3 2" xfId="1927" xr:uid="{F6C2E13B-F5AE-474A-B406-191C64566AD4}"/>
    <cellStyle name="Millares 30 2 2 3 2 2 3 2 2" xfId="3919" xr:uid="{FEB64947-1854-4CFF-9C7F-0BCA73B678B4}"/>
    <cellStyle name="Millares 30 2 2 3 2 2 3 3" xfId="1256" xr:uid="{20456C4C-4E0C-4DDF-9EDA-2DB5FEB571FC}"/>
    <cellStyle name="Millares 30 2 2 3 2 2 3 3 2" xfId="3255" xr:uid="{A80ED6C9-4C69-4306-B9D3-B22C0F209817}"/>
    <cellStyle name="Millares 30 2 2 3 2 2 3 4" xfId="2591" xr:uid="{522D7C6D-92B3-44D6-BF3C-DF73D4D0B7DE}"/>
    <cellStyle name="Millares 30 2 2 3 2 2 4" xfId="1595" xr:uid="{E90EF9C6-7369-4D37-A84E-03151161D4CB}"/>
    <cellStyle name="Millares 30 2 2 3 2 2 4 2" xfId="3587" xr:uid="{A07E3CDA-E42D-4B7F-8E6F-894D4F269984}"/>
    <cellStyle name="Millares 30 2 2 3 2 2 5" xfId="924" xr:uid="{F9407336-1085-49D9-BD63-FC2B0FA88697}"/>
    <cellStyle name="Millares 30 2 2 3 2 2 5 2" xfId="2923" xr:uid="{1AF664DC-745F-46F7-9597-EE452183E7ED}"/>
    <cellStyle name="Millares 30 2 2 3 2 2 6" xfId="2259" xr:uid="{8E537098-83D3-4BCC-A755-5031AAD56921}"/>
    <cellStyle name="Millares 30 2 2 3 2 3" xfId="337" xr:uid="{FB297233-E1DF-4FB9-BC84-2D2DE55B3892}"/>
    <cellStyle name="Millares 30 2 2 3 2 3 2" xfId="669" xr:uid="{71BF23F2-D72A-43FC-ABEE-1DCD80FD94A6}"/>
    <cellStyle name="Millares 30 2 2 3 2 3 2 2" xfId="2011" xr:uid="{24ADD99D-E78B-4710-AF51-C37E3F2EAC92}"/>
    <cellStyle name="Millares 30 2 2 3 2 3 2 2 2" xfId="4003" xr:uid="{D52F01D3-85E9-411F-BE64-133383CD8386}"/>
    <cellStyle name="Millares 30 2 2 3 2 3 2 3" xfId="1340" xr:uid="{BB90E4FC-FD3C-4D57-965C-A011639B659F}"/>
    <cellStyle name="Millares 30 2 2 3 2 3 2 3 2" xfId="3339" xr:uid="{84E018B9-DA1E-4696-B471-1BDE168F9AF0}"/>
    <cellStyle name="Millares 30 2 2 3 2 3 2 4" xfId="2675" xr:uid="{AC02FCEC-4D5D-4696-AED4-48CE81D71DF5}"/>
    <cellStyle name="Millares 30 2 2 3 2 3 3" xfId="1679" xr:uid="{FC864DF6-BCFE-4414-9CAF-CD874B3E6232}"/>
    <cellStyle name="Millares 30 2 2 3 2 3 3 2" xfId="3671" xr:uid="{A6D63EC2-4044-4942-A264-E17E6265C2D5}"/>
    <cellStyle name="Millares 30 2 2 3 2 3 4" xfId="1008" xr:uid="{269D4214-C829-4096-BCCB-0DAF93F7FECC}"/>
    <cellStyle name="Millares 30 2 2 3 2 3 4 2" xfId="3007" xr:uid="{82A30597-95DD-47A0-A90A-DFDE22D14D33}"/>
    <cellStyle name="Millares 30 2 2 3 2 3 5" xfId="2343" xr:uid="{80D57F04-0951-49E0-A61A-377548B79455}"/>
    <cellStyle name="Millares 30 2 2 3 2 4" xfId="503" xr:uid="{A1F69E95-F437-49B0-A05D-8DB47A33FBA1}"/>
    <cellStyle name="Millares 30 2 2 3 2 4 2" xfId="1845" xr:uid="{47C3D351-61FA-409E-954F-305D7C0D131C}"/>
    <cellStyle name="Millares 30 2 2 3 2 4 2 2" xfId="3837" xr:uid="{6069F659-3793-4ADD-A0E2-56122AE5E8A2}"/>
    <cellStyle name="Millares 30 2 2 3 2 4 3" xfId="1174" xr:uid="{C4182F06-EE28-42EA-8C3C-A92F3AF5C18C}"/>
    <cellStyle name="Millares 30 2 2 3 2 4 3 2" xfId="3173" xr:uid="{C4450316-EEC6-4FB0-879A-1CA1D97AA622}"/>
    <cellStyle name="Millares 30 2 2 3 2 4 4" xfId="2509" xr:uid="{4D77A809-E10E-458C-84EF-7DA72D2509AA}"/>
    <cellStyle name="Millares 30 2 2 3 2 5" xfId="1513" xr:uid="{81F70D37-7839-45FE-ABBD-A04603EE4406}"/>
    <cellStyle name="Millares 30 2 2 3 2 5 2" xfId="3505" xr:uid="{C0B2F374-87AF-415D-8B8C-6DD3A6D883EC}"/>
    <cellStyle name="Millares 30 2 2 3 2 6" xfId="842" xr:uid="{7E23B4D3-6DCE-4DCE-9DC6-E024BB14C6F5}"/>
    <cellStyle name="Millares 30 2 2 3 2 6 2" xfId="2841" xr:uid="{81ACC9AB-938A-42CA-A653-445AF3E6E256}"/>
    <cellStyle name="Millares 30 2 2 3 2 7" xfId="2177" xr:uid="{CD97FC89-A49D-46BD-9839-1D3643FBC972}"/>
    <cellStyle name="Millares 30 2 2 3 3" xfId="193" xr:uid="{901E402E-7EA0-4FBB-80A9-968FB7D25964}"/>
    <cellStyle name="Millares 30 2 2 3 3 2" xfId="379" xr:uid="{DFD49BE0-9E56-417F-9B28-82DD976F2896}"/>
    <cellStyle name="Millares 30 2 2 3 3 2 2" xfId="711" xr:uid="{4C1B988E-B8DE-4859-A07B-9D8992A9AEDB}"/>
    <cellStyle name="Millares 30 2 2 3 3 2 2 2" xfId="2053" xr:uid="{0541C127-D149-493B-B2ED-503828117BE7}"/>
    <cellStyle name="Millares 30 2 2 3 3 2 2 2 2" xfId="4045" xr:uid="{F2B8FD33-9B35-4E0C-A609-D165D115C638}"/>
    <cellStyle name="Millares 30 2 2 3 3 2 2 3" xfId="1382" xr:uid="{4DA4CCDB-01A8-44A6-8E06-8CE2E4EF8F81}"/>
    <cellStyle name="Millares 30 2 2 3 3 2 2 3 2" xfId="3381" xr:uid="{36CBA938-33A8-468E-80BB-77D72B88893E}"/>
    <cellStyle name="Millares 30 2 2 3 3 2 2 4" xfId="2717" xr:uid="{C88AA0BB-7C71-4280-9059-084F853D97F1}"/>
    <cellStyle name="Millares 30 2 2 3 3 2 3" xfId="1721" xr:uid="{F6A7FAA1-ACAA-4C1F-A4B9-2CDD2E908B12}"/>
    <cellStyle name="Millares 30 2 2 3 3 2 3 2" xfId="3713" xr:uid="{211E6FAC-22DB-4E8B-84DF-F760B8151C7B}"/>
    <cellStyle name="Millares 30 2 2 3 3 2 4" xfId="1050" xr:uid="{032F4F8F-41DC-40FE-90B1-32E9487DA3F1}"/>
    <cellStyle name="Millares 30 2 2 3 3 2 4 2" xfId="3049" xr:uid="{290A28B2-8DCD-499D-98EB-FD6F844C1A8F}"/>
    <cellStyle name="Millares 30 2 2 3 3 2 5" xfId="2385" xr:uid="{750D4191-524A-4D4F-9389-4F7F9B734104}"/>
    <cellStyle name="Millares 30 2 2 3 3 3" xfId="545" xr:uid="{097555D5-676E-4044-9DCD-42FD540250EF}"/>
    <cellStyle name="Millares 30 2 2 3 3 3 2" xfId="1887" xr:uid="{C59EBBC4-7266-4ADA-8D13-722A2C4CEE98}"/>
    <cellStyle name="Millares 30 2 2 3 3 3 2 2" xfId="3879" xr:uid="{3CB80251-EAF5-436D-9EDA-6FD53BE015CB}"/>
    <cellStyle name="Millares 30 2 2 3 3 3 3" xfId="1216" xr:uid="{B12D9198-2A19-4606-9A50-2F8D704A11E7}"/>
    <cellStyle name="Millares 30 2 2 3 3 3 3 2" xfId="3215" xr:uid="{353C7A5E-8295-4CC7-AB22-1E069FDAFF1F}"/>
    <cellStyle name="Millares 30 2 2 3 3 3 4" xfId="2551" xr:uid="{633E5A03-DBB1-4766-87EE-E9ED4473B4BA}"/>
    <cellStyle name="Millares 30 2 2 3 3 4" xfId="1555" xr:uid="{65F72313-F370-440E-9727-964C0DE5EA2C}"/>
    <cellStyle name="Millares 30 2 2 3 3 4 2" xfId="3547" xr:uid="{46929E4E-D743-47BE-9AFF-15545398B928}"/>
    <cellStyle name="Millares 30 2 2 3 3 5" xfId="884" xr:uid="{1D615250-A274-4759-A7BC-49272A91B3EC}"/>
    <cellStyle name="Millares 30 2 2 3 3 5 2" xfId="2883" xr:uid="{B83FA970-58ED-488B-A3E3-7F7D8A6EEB15}"/>
    <cellStyle name="Millares 30 2 2 3 3 6" xfId="2219" xr:uid="{57FF308D-3A15-4368-9E92-AE5AF6607B4F}"/>
    <cellStyle name="Millares 30 2 2 3 4" xfId="297" xr:uid="{56535153-02BC-47BC-80D9-C8DDD0E58263}"/>
    <cellStyle name="Millares 30 2 2 3 4 2" xfId="629" xr:uid="{CC70E060-D11D-4D58-90E9-41C776CEB47D}"/>
    <cellStyle name="Millares 30 2 2 3 4 2 2" xfId="1971" xr:uid="{A9111BB9-B50E-4EE2-97AD-FBC634C019F1}"/>
    <cellStyle name="Millares 30 2 2 3 4 2 2 2" xfId="3963" xr:uid="{273B18D4-C374-4E28-9127-C25145EE9598}"/>
    <cellStyle name="Millares 30 2 2 3 4 2 3" xfId="1300" xr:uid="{B8A1714A-82B8-443A-AC42-422040D7A50C}"/>
    <cellStyle name="Millares 30 2 2 3 4 2 3 2" xfId="3299" xr:uid="{43CD9FB4-3758-4360-8B8B-C6155E4ECB74}"/>
    <cellStyle name="Millares 30 2 2 3 4 2 4" xfId="2635" xr:uid="{7446FE29-9878-4057-8EDA-A495775262B2}"/>
    <cellStyle name="Millares 30 2 2 3 4 3" xfId="1639" xr:uid="{BF45DC51-4308-4E7E-8804-2F9072AD265F}"/>
    <cellStyle name="Millares 30 2 2 3 4 3 2" xfId="3631" xr:uid="{EBCE2D82-BC43-429F-9ABC-5AE9761758C8}"/>
    <cellStyle name="Millares 30 2 2 3 4 4" xfId="968" xr:uid="{7E5BA8BC-FC1A-41AC-BB7D-1944A89AFC41}"/>
    <cellStyle name="Millares 30 2 2 3 4 4 2" xfId="2967" xr:uid="{78F941D2-F298-4291-B993-09ABD6BF8C5C}"/>
    <cellStyle name="Millares 30 2 2 3 4 5" xfId="2303" xr:uid="{22371F01-D6AB-410A-8D1C-8A096820A1CA}"/>
    <cellStyle name="Millares 30 2 2 3 5" xfId="463" xr:uid="{90720F63-CAAE-4DF6-8D6E-AED75DDE194B}"/>
    <cellStyle name="Millares 30 2 2 3 5 2" xfId="1805" xr:uid="{2B889C51-0F5B-473D-AC0D-D1C70673DF81}"/>
    <cellStyle name="Millares 30 2 2 3 5 2 2" xfId="3797" xr:uid="{3B846701-0C2C-4FD1-8403-1547F6CB5318}"/>
    <cellStyle name="Millares 30 2 2 3 5 3" xfId="1134" xr:uid="{D943C1BA-9441-4459-ACB5-286F067E04F5}"/>
    <cellStyle name="Millares 30 2 2 3 5 3 2" xfId="3133" xr:uid="{FD18E061-DF10-465D-AE02-C6DFBD3CFBCC}"/>
    <cellStyle name="Millares 30 2 2 3 5 4" xfId="2469" xr:uid="{7E8E66C0-BFE4-433B-BF81-A803D03C9DC6}"/>
    <cellStyle name="Millares 30 2 2 3 6" xfId="1473" xr:uid="{2A42FAF2-4B2B-4666-99C0-BB007AEA6BDA}"/>
    <cellStyle name="Millares 30 2 2 3 6 2" xfId="3465" xr:uid="{CAD72D87-4125-45C3-8D25-4D931D248C9A}"/>
    <cellStyle name="Millares 30 2 2 3 7" xfId="802" xr:uid="{918B1BA4-8556-44C4-8BF5-FE0B0ABC410D}"/>
    <cellStyle name="Millares 30 2 2 3 7 2" xfId="2801" xr:uid="{776A1918-B8F4-4EF6-95D1-447B5C879D9D}"/>
    <cellStyle name="Millares 30 2 2 3 8" xfId="2137" xr:uid="{9AC610EC-CB36-4E10-A2A1-426313A48990}"/>
    <cellStyle name="Millares 30 2 2 4" xfId="124" xr:uid="{1AF3C08C-050C-4C76-A3BB-C6AF2B8A7461}"/>
    <cellStyle name="Millares 30 2 2 4 2" xfId="214" xr:uid="{95128E8A-55E3-4420-84FA-AE1F5417C441}"/>
    <cellStyle name="Millares 30 2 2 4 2 2" xfId="400" xr:uid="{37444D61-1029-45FE-925C-22F281DBC191}"/>
    <cellStyle name="Millares 30 2 2 4 2 2 2" xfId="732" xr:uid="{807ECAF6-C143-4EFC-8E8C-117ADD57299D}"/>
    <cellStyle name="Millares 30 2 2 4 2 2 2 2" xfId="2074" xr:uid="{7C1B13C3-CD3C-499E-A8B9-87C20A21004B}"/>
    <cellStyle name="Millares 30 2 2 4 2 2 2 2 2" xfId="4066" xr:uid="{C68BF177-31F2-4554-BE57-BE109DA01BDD}"/>
    <cellStyle name="Millares 30 2 2 4 2 2 2 3" xfId="1403" xr:uid="{3DA65892-CE57-4519-BBC7-AD1B6B290B44}"/>
    <cellStyle name="Millares 30 2 2 4 2 2 2 3 2" xfId="3402" xr:uid="{88BDB32C-84AD-4DC2-97A2-69CB6045D620}"/>
    <cellStyle name="Millares 30 2 2 4 2 2 2 4" xfId="2738" xr:uid="{087E151F-A31E-4F52-86FB-5F8D24B48C37}"/>
    <cellStyle name="Millares 30 2 2 4 2 2 3" xfId="1742" xr:uid="{54A696E8-4FEB-439D-A896-180BF44E6D1E}"/>
    <cellStyle name="Millares 30 2 2 4 2 2 3 2" xfId="3734" xr:uid="{CA3AD032-1219-4340-B455-6B456AD524DA}"/>
    <cellStyle name="Millares 30 2 2 4 2 2 4" xfId="1071" xr:uid="{5D6816D4-D135-499E-9853-201C237B2115}"/>
    <cellStyle name="Millares 30 2 2 4 2 2 4 2" xfId="3070" xr:uid="{F22B0B00-D625-4483-ABFE-99673B7CCCE3}"/>
    <cellStyle name="Millares 30 2 2 4 2 2 5" xfId="2406" xr:uid="{4BB3CC52-C4C7-4A52-B322-7A7A9EFEE7D2}"/>
    <cellStyle name="Millares 30 2 2 4 2 3" xfId="566" xr:uid="{45C4B312-8AA7-48F5-9CBC-DF8EA1810F9D}"/>
    <cellStyle name="Millares 30 2 2 4 2 3 2" xfId="1908" xr:uid="{16EB86F7-87AE-497D-A7F9-6922B24F80BC}"/>
    <cellStyle name="Millares 30 2 2 4 2 3 2 2" xfId="3900" xr:uid="{F78864C8-A73A-4158-A4DA-3BD18CD6EF18}"/>
    <cellStyle name="Millares 30 2 2 4 2 3 3" xfId="1237" xr:uid="{85FC2F76-D374-4CFA-BBCA-284D5AAF752E}"/>
    <cellStyle name="Millares 30 2 2 4 2 3 3 2" xfId="3236" xr:uid="{7BAFE901-0A09-4172-B700-B329E3FFD4E8}"/>
    <cellStyle name="Millares 30 2 2 4 2 3 4" xfId="2572" xr:uid="{EFDB2401-1A29-4BD9-85E1-D90FA16E6214}"/>
    <cellStyle name="Millares 30 2 2 4 2 4" xfId="1576" xr:uid="{744D9DA6-84D6-4F0F-8704-69C64322D509}"/>
    <cellStyle name="Millares 30 2 2 4 2 4 2" xfId="3568" xr:uid="{4B4FA761-B45A-4878-B766-9622E1726BD5}"/>
    <cellStyle name="Millares 30 2 2 4 2 5" xfId="905" xr:uid="{E3F34BDF-A5CD-44E8-830E-6B5D2E3498D6}"/>
    <cellStyle name="Millares 30 2 2 4 2 5 2" xfId="2904" xr:uid="{5712B963-AE76-4A71-8A2D-C18C0815B11E}"/>
    <cellStyle name="Millares 30 2 2 4 2 6" xfId="2240" xr:uid="{F126F90D-5D68-4E73-A374-443BF9AF3C87}"/>
    <cellStyle name="Millares 30 2 2 4 3" xfId="318" xr:uid="{3C37C016-A089-440C-AE82-C6660C29AE09}"/>
    <cellStyle name="Millares 30 2 2 4 3 2" xfId="650" xr:uid="{C67865FC-781B-4A76-B5C2-A216A50A615D}"/>
    <cellStyle name="Millares 30 2 2 4 3 2 2" xfId="1992" xr:uid="{495016E5-ED9C-44DB-9EA0-048BA90AD520}"/>
    <cellStyle name="Millares 30 2 2 4 3 2 2 2" xfId="3984" xr:uid="{5B160D7E-FA6C-4259-8FEB-D45C10918A32}"/>
    <cellStyle name="Millares 30 2 2 4 3 2 3" xfId="1321" xr:uid="{B7023E3B-0613-4ED8-AEF3-18EE3C2D0E5E}"/>
    <cellStyle name="Millares 30 2 2 4 3 2 3 2" xfId="3320" xr:uid="{AAC108F5-DA96-4354-9DE4-35FF2B824CC6}"/>
    <cellStyle name="Millares 30 2 2 4 3 2 4" xfId="2656" xr:uid="{1ED29E1B-0539-4E90-A098-6DC640C9E55E}"/>
    <cellStyle name="Millares 30 2 2 4 3 3" xfId="1660" xr:uid="{AF31BCDC-A2F8-4A3B-9145-960856AE9F3C}"/>
    <cellStyle name="Millares 30 2 2 4 3 3 2" xfId="3652" xr:uid="{47154BF1-876D-4ED6-8F3B-2B9EF392E157}"/>
    <cellStyle name="Millares 30 2 2 4 3 4" xfId="989" xr:uid="{5E296CCA-C94C-435A-8D7A-69437A61A45E}"/>
    <cellStyle name="Millares 30 2 2 4 3 4 2" xfId="2988" xr:uid="{A4DC9770-8567-4188-AC2F-D0AD0D6DFEE6}"/>
    <cellStyle name="Millares 30 2 2 4 3 5" xfId="2324" xr:uid="{EBCD674E-BBA0-4778-A270-C8B285C69786}"/>
    <cellStyle name="Millares 30 2 2 4 4" xfId="484" xr:uid="{40984414-C723-4CD5-A110-C949964CA213}"/>
    <cellStyle name="Millares 30 2 2 4 4 2" xfId="1826" xr:uid="{590677C0-73FC-4BAF-AF42-42E2F33198CE}"/>
    <cellStyle name="Millares 30 2 2 4 4 2 2" xfId="3818" xr:uid="{830C1C27-06F1-442A-A6F1-E4BF3AF464DB}"/>
    <cellStyle name="Millares 30 2 2 4 4 3" xfId="1155" xr:uid="{BEFDC1E3-D211-4283-8087-7C39CBFB1181}"/>
    <cellStyle name="Millares 30 2 2 4 4 3 2" xfId="3154" xr:uid="{86440B3B-967B-40D6-A7C4-460E25F48F85}"/>
    <cellStyle name="Millares 30 2 2 4 4 4" xfId="2490" xr:uid="{FCFDEF51-1117-400A-A733-49CC32B8FFB2}"/>
    <cellStyle name="Millares 30 2 2 4 5" xfId="1494" xr:uid="{83C420A1-9CCF-4C75-9A2F-A01AF1B39EA4}"/>
    <cellStyle name="Millares 30 2 2 4 5 2" xfId="3486" xr:uid="{86CAD83D-5ACA-4E0B-99D7-601CB78D8831}"/>
    <cellStyle name="Millares 30 2 2 4 6" xfId="823" xr:uid="{9BB98B74-45BC-4A88-AE6E-8FCBB598D9FD}"/>
    <cellStyle name="Millares 30 2 2 4 6 2" xfId="2822" xr:uid="{77D80A9B-C2FB-4F97-B1E9-167A843024F5}"/>
    <cellStyle name="Millares 30 2 2 4 7" xfId="2158" xr:uid="{5A7F6121-4DFC-4167-BCA1-7A56B3D59DBE}"/>
    <cellStyle name="Millares 30 2 2 5" xfId="174" xr:uid="{D5F6B4C9-69A9-4FD0-8AAD-189B47225069}"/>
    <cellStyle name="Millares 30 2 2 5 2" xfId="360" xr:uid="{5CE62008-5593-47CB-8012-9471B1939674}"/>
    <cellStyle name="Millares 30 2 2 5 2 2" xfId="692" xr:uid="{EEB5F039-7279-40AA-AD61-3737443BF79A}"/>
    <cellStyle name="Millares 30 2 2 5 2 2 2" xfId="2034" xr:uid="{5EC2588C-6028-48E9-A79F-C503619FCC72}"/>
    <cellStyle name="Millares 30 2 2 5 2 2 2 2" xfId="4026" xr:uid="{1DF75155-961C-48C6-95BF-FBE64258A9AD}"/>
    <cellStyle name="Millares 30 2 2 5 2 2 3" xfId="1363" xr:uid="{40363DE2-D1CC-4CED-86D7-2240378C3D36}"/>
    <cellStyle name="Millares 30 2 2 5 2 2 3 2" xfId="3362" xr:uid="{E1108EE9-9A69-48AE-B4AD-22F30459824C}"/>
    <cellStyle name="Millares 30 2 2 5 2 2 4" xfId="2698" xr:uid="{38E45C0F-100B-48B6-98B9-6AAD810B0749}"/>
    <cellStyle name="Millares 30 2 2 5 2 3" xfId="1702" xr:uid="{B7F1D715-2EC2-4245-BC42-3B61A09CB6E0}"/>
    <cellStyle name="Millares 30 2 2 5 2 3 2" xfId="3694" xr:uid="{D9DC91F7-27E0-47C8-B2A2-0734E9CFB59C}"/>
    <cellStyle name="Millares 30 2 2 5 2 4" xfId="1031" xr:uid="{4995F1BD-1ECB-4010-838E-96430E8E3F1D}"/>
    <cellStyle name="Millares 30 2 2 5 2 4 2" xfId="3030" xr:uid="{C3BAB3FC-4F67-434B-8E34-7495DD68EBBC}"/>
    <cellStyle name="Millares 30 2 2 5 2 5" xfId="2366" xr:uid="{CBAA8355-998B-402A-939B-2B46F7039BA3}"/>
    <cellStyle name="Millares 30 2 2 5 3" xfId="526" xr:uid="{B454641D-161E-4B6A-8C44-51AB09F464B3}"/>
    <cellStyle name="Millares 30 2 2 5 3 2" xfId="1868" xr:uid="{68848735-665F-4D03-BFB7-6E66DC027569}"/>
    <cellStyle name="Millares 30 2 2 5 3 2 2" xfId="3860" xr:uid="{128528B8-184C-4F5E-8017-EDA0794B0D35}"/>
    <cellStyle name="Millares 30 2 2 5 3 3" xfId="1197" xr:uid="{F1635671-0E69-48C9-BA37-5D73BA8DD3DB}"/>
    <cellStyle name="Millares 30 2 2 5 3 3 2" xfId="3196" xr:uid="{3BEBA00C-449F-4578-9996-F932EA65BD25}"/>
    <cellStyle name="Millares 30 2 2 5 3 4" xfId="2532" xr:uid="{1F25E92D-9379-45A0-98A0-D95C97F88E77}"/>
    <cellStyle name="Millares 30 2 2 5 4" xfId="1536" xr:uid="{1CCBF0AF-6710-428F-834D-7589A0B1BB77}"/>
    <cellStyle name="Millares 30 2 2 5 4 2" xfId="3528" xr:uid="{AC7AB83A-780A-440D-86F7-EF15CDDBA66E}"/>
    <cellStyle name="Millares 30 2 2 5 5" xfId="865" xr:uid="{47B32D24-6BEF-4FA8-B29A-6B343B79CDCD}"/>
    <cellStyle name="Millares 30 2 2 5 5 2" xfId="2864" xr:uid="{189CCCF3-572F-4AF9-BC7A-E22AFED228F5}"/>
    <cellStyle name="Millares 30 2 2 5 6" xfId="2200" xr:uid="{3C1C32F1-2E6D-4B83-B772-1CF8BD608251}"/>
    <cellStyle name="Millares 30 2 2 6" xfId="263" xr:uid="{6A4F161A-276E-457D-8C3D-AA741A51FD3F}"/>
    <cellStyle name="Millares 30 2 2 7" xfId="278" xr:uid="{5C233037-CDC3-43CE-BE88-3F0B860F8389}"/>
    <cellStyle name="Millares 30 2 2 7 2" xfId="610" xr:uid="{3D658FEF-CCCE-4B45-A7A1-F70BB0FADBA0}"/>
    <cellStyle name="Millares 30 2 2 7 2 2" xfId="1952" xr:uid="{9557EE70-F7DC-411F-9FB9-994FC25F855F}"/>
    <cellStyle name="Millares 30 2 2 7 2 2 2" xfId="3944" xr:uid="{E6E589E7-D967-4E71-B098-72B68B92E245}"/>
    <cellStyle name="Millares 30 2 2 7 2 3" xfId="1281" xr:uid="{519BBBDE-B21A-4CEB-A106-01472D379794}"/>
    <cellStyle name="Millares 30 2 2 7 2 3 2" xfId="3280" xr:uid="{5F54A736-BA31-4725-9981-F705E1772AF5}"/>
    <cellStyle name="Millares 30 2 2 7 2 4" xfId="2616" xr:uid="{C52077D1-D9DF-4502-81E3-0A2E192AE28F}"/>
    <cellStyle name="Millares 30 2 2 7 3" xfId="1620" xr:uid="{EC9168F4-E3CD-4AAB-A039-03C1610248D2}"/>
    <cellStyle name="Millares 30 2 2 7 3 2" xfId="3612" xr:uid="{3833BE89-40CF-4CFB-85C2-F7A1A244D2AD}"/>
    <cellStyle name="Millares 30 2 2 7 4" xfId="949" xr:uid="{01135956-DE08-4156-9E91-DC11045870C5}"/>
    <cellStyle name="Millares 30 2 2 7 4 2" xfId="2948" xr:uid="{D9A76C56-A40C-4176-8EC6-8483F2678B20}"/>
    <cellStyle name="Millares 30 2 2 7 5" xfId="2284" xr:uid="{EBD0E82B-1E16-45C6-8ADD-97AEF338FBCC}"/>
    <cellStyle name="Millares 30 2 2 8" xfId="444" xr:uid="{4BF7249E-7096-42DC-8FEB-143E10FAB49D}"/>
    <cellStyle name="Millares 30 2 2 8 2" xfId="1786" xr:uid="{E27096AF-F184-4EC0-B8EC-3EA8F03DCC72}"/>
    <cellStyle name="Millares 30 2 2 8 2 2" xfId="3778" xr:uid="{4E45E574-FCC8-4A1F-B5EC-343838DF68FA}"/>
    <cellStyle name="Millares 30 2 2 8 3" xfId="1115" xr:uid="{C1BF6061-6609-4A72-8037-667DB60D0AC5}"/>
    <cellStyle name="Millares 30 2 2 8 3 2" xfId="3114" xr:uid="{A7853105-F515-442E-9A3A-369B40032705}"/>
    <cellStyle name="Millares 30 2 2 8 4" xfId="2450" xr:uid="{E5F54790-8964-463C-9381-F399031E694E}"/>
    <cellStyle name="Millares 30 2 2 9" xfId="1454" xr:uid="{CE5FFC2B-6804-4DA2-94E6-E2B50BA50B05}"/>
    <cellStyle name="Millares 30 2 2 9 2" xfId="3446" xr:uid="{82ACB5BE-7393-4DC3-8BC1-7AA53CB97D81}"/>
    <cellStyle name="Millares 4" xfId="80" xr:uid="{946A417D-6AC4-4A36-A744-F2DBF4E0A549}"/>
    <cellStyle name="Millares 4 2" xfId="107" xr:uid="{44056903-6D87-4A57-8EA3-81FAA3EB018F}"/>
    <cellStyle name="Millares 4 2 2" xfId="155" xr:uid="{9DAA71E2-69EE-44EE-BD36-1912597E2A9B}"/>
    <cellStyle name="Millares 4 2 2 2" xfId="244" xr:uid="{55331BCD-BE59-456E-A09F-A3B6A6011E77}"/>
    <cellStyle name="Millares 4 2 2 2 2" xfId="430" xr:uid="{0E5C4717-01FD-43DA-811C-753C713AF093}"/>
    <cellStyle name="Millares 4 2 2 2 2 2" xfId="762" xr:uid="{032F43E9-D981-44DE-AC8C-AF738032BA9A}"/>
    <cellStyle name="Millares 4 2 2 2 2 2 2" xfId="2104" xr:uid="{AFAB23E7-94A8-426B-A48E-1CDDE57F9F4B}"/>
    <cellStyle name="Millares 4 2 2 2 2 2 2 2" xfId="4096" xr:uid="{B413807E-3132-4977-96F2-C00D91DE8180}"/>
    <cellStyle name="Millares 4 2 2 2 2 2 3" xfId="1433" xr:uid="{6F4F73C1-F9F5-44EA-8B39-13C39665A92C}"/>
    <cellStyle name="Millares 4 2 2 2 2 2 3 2" xfId="3432" xr:uid="{5DC64938-6DD6-46AD-8F7B-0900C2028335}"/>
    <cellStyle name="Millares 4 2 2 2 2 2 4" xfId="2768" xr:uid="{548F761C-A53F-442F-B174-2B972496DC3A}"/>
    <cellStyle name="Millares 4 2 2 2 2 3" xfId="1772" xr:uid="{94C7045C-B474-4029-8EDD-7A8B83A8611D}"/>
    <cellStyle name="Millares 4 2 2 2 2 3 2" xfId="3764" xr:uid="{51CEEE47-70DC-49E9-AF1F-97F6CE35BBB1}"/>
    <cellStyle name="Millares 4 2 2 2 2 4" xfId="1101" xr:uid="{C910DC36-CAD4-4E2F-BA53-D90B4FA83F52}"/>
    <cellStyle name="Millares 4 2 2 2 2 4 2" xfId="3100" xr:uid="{B57B5F24-9209-477A-BB5B-5B3C6A95BFFA}"/>
    <cellStyle name="Millares 4 2 2 2 2 5" xfId="2436" xr:uid="{01F19D3D-11AB-4611-BA6A-44F784492E0B}"/>
    <cellStyle name="Millares 4 2 2 2 3" xfId="596" xr:uid="{48BC754C-E84F-47F4-A839-B85078E628A9}"/>
    <cellStyle name="Millares 4 2 2 2 3 2" xfId="1938" xr:uid="{2CB6EBB2-DE5A-4EDC-B269-D185FE0A199A}"/>
    <cellStyle name="Millares 4 2 2 2 3 2 2" xfId="3930" xr:uid="{DDFBC5FD-2D36-42AE-B1D4-858DDAEC87FA}"/>
    <cellStyle name="Millares 4 2 2 2 3 3" xfId="1267" xr:uid="{2B4B6911-A840-49FC-97A4-1B0D34429E7A}"/>
    <cellStyle name="Millares 4 2 2 2 3 3 2" xfId="3266" xr:uid="{77EA9385-E7C7-4B3F-AB2D-1FF8B7FAEF66}"/>
    <cellStyle name="Millares 4 2 2 2 3 4" xfId="2602" xr:uid="{96CE32F8-2324-419B-9296-D927C69EE5C8}"/>
    <cellStyle name="Millares 4 2 2 2 4" xfId="1606" xr:uid="{9E928E61-FD0B-4295-A468-1FEE8EE051FF}"/>
    <cellStyle name="Millares 4 2 2 2 4 2" xfId="3598" xr:uid="{0B6E2AA1-F35C-43E3-BCE7-E4185F4D593C}"/>
    <cellStyle name="Millares 4 2 2 2 5" xfId="935" xr:uid="{B391A4EE-54EA-48BA-8F9F-02CFCA24C3CB}"/>
    <cellStyle name="Millares 4 2 2 2 5 2" xfId="2934" xr:uid="{95F89B6A-76FD-4C2A-9E59-8E339A8D11D9}"/>
    <cellStyle name="Millares 4 2 2 2 6" xfId="2270" xr:uid="{87F92114-03B2-4A17-9EBB-9433D183F398}"/>
    <cellStyle name="Millares 4 2 2 3" xfId="348" xr:uid="{7EF90130-9330-4398-B1B6-341BD7530455}"/>
    <cellStyle name="Millares 4 2 2 3 2" xfId="680" xr:uid="{EB342871-D09A-40C5-B32A-8E4197534C2A}"/>
    <cellStyle name="Millares 4 2 2 3 2 2" xfId="2022" xr:uid="{DDE57285-8719-4DDA-AC64-D365C153F47F}"/>
    <cellStyle name="Millares 4 2 2 3 2 2 2" xfId="4014" xr:uid="{F0F61F43-3E3C-44D6-A01A-6EFAE23DDB9D}"/>
    <cellStyle name="Millares 4 2 2 3 2 3" xfId="1351" xr:uid="{6F5C47AC-C863-4E10-8602-B87B82541DF4}"/>
    <cellStyle name="Millares 4 2 2 3 2 3 2" xfId="3350" xr:uid="{D1BA2A2A-C7AE-4970-AB32-6E87C7DF5BF3}"/>
    <cellStyle name="Millares 4 2 2 3 2 4" xfId="2686" xr:uid="{AE1826B8-BE96-46AA-8A39-BAD69C4909F4}"/>
    <cellStyle name="Millares 4 2 2 3 3" xfId="1690" xr:uid="{34443D18-3269-45A0-8503-86A26FD73580}"/>
    <cellStyle name="Millares 4 2 2 3 3 2" xfId="3682" xr:uid="{6A81F92B-50E9-439B-8969-9A22A9766177}"/>
    <cellStyle name="Millares 4 2 2 3 4" xfId="1019" xr:uid="{93F3287E-0CF5-4B0D-886D-89E5447A2A40}"/>
    <cellStyle name="Millares 4 2 2 3 4 2" xfId="3018" xr:uid="{6F3F596E-622F-4E02-A1CD-5843115A67E3}"/>
    <cellStyle name="Millares 4 2 2 3 5" xfId="2354" xr:uid="{EA059279-33BD-4053-AC7D-161360049BFD}"/>
    <cellStyle name="Millares 4 2 2 4" xfId="514" xr:uid="{0045BEB3-F518-498A-9A06-08FA5C988EC6}"/>
    <cellStyle name="Millares 4 2 2 4 2" xfId="1856" xr:uid="{DD908E2B-47D5-4A38-9F3F-7F750951AFD3}"/>
    <cellStyle name="Millares 4 2 2 4 2 2" xfId="3848" xr:uid="{14867C74-FE9D-4974-9851-303CB111DC45}"/>
    <cellStyle name="Millares 4 2 2 4 3" xfId="1185" xr:uid="{C3EB054F-DD4D-4B4D-A7BC-264329C45AC1}"/>
    <cellStyle name="Millares 4 2 2 4 3 2" xfId="3184" xr:uid="{085A568C-62B4-4A88-8E88-C3DAD362D561}"/>
    <cellStyle name="Millares 4 2 2 4 4" xfId="2520" xr:uid="{5BDAACF3-C9FD-41E3-9C48-24719FB308C7}"/>
    <cellStyle name="Millares 4 2 2 5" xfId="1524" xr:uid="{D403FEB0-7C89-4B48-9EE1-616FD31E5344}"/>
    <cellStyle name="Millares 4 2 2 5 2" xfId="3516" xr:uid="{5854803A-C120-43BE-BC90-643C98C97614}"/>
    <cellStyle name="Millares 4 2 2 6" xfId="853" xr:uid="{7E042C0E-40B0-4FB1-AFF9-FE33D40B6AA6}"/>
    <cellStyle name="Millares 4 2 2 6 2" xfId="2852" xr:uid="{FCC25A27-6963-4148-9B4E-6C615CCE002C}"/>
    <cellStyle name="Millares 4 2 2 7" xfId="2188" xr:uid="{222709F8-D5FF-48B1-9E75-F9B978B2C1FB}"/>
    <cellStyle name="Millares 4 2 3" xfId="204" xr:uid="{40EDEC60-CD22-4E94-8A24-DBF2AF3690C9}"/>
    <cellStyle name="Millares 4 2 3 2" xfId="390" xr:uid="{4AC1AABC-8A8E-4728-A241-44D9E0A60091}"/>
    <cellStyle name="Millares 4 2 3 2 2" xfId="722" xr:uid="{ADACA559-EA45-48A5-A1D5-8155AEFE6D89}"/>
    <cellStyle name="Millares 4 2 3 2 2 2" xfId="2064" xr:uid="{23BA027A-F953-423A-B8BB-C682D74A3FC3}"/>
    <cellStyle name="Millares 4 2 3 2 2 2 2" xfId="4056" xr:uid="{8F256C01-4647-4352-8031-82208DFABD27}"/>
    <cellStyle name="Millares 4 2 3 2 2 3" xfId="1393" xr:uid="{47E54975-7B7F-463C-896A-54D7FB9B56FE}"/>
    <cellStyle name="Millares 4 2 3 2 2 3 2" xfId="3392" xr:uid="{5DFB5FFE-1418-443E-90D6-6054193C5A6E}"/>
    <cellStyle name="Millares 4 2 3 2 2 4" xfId="2728" xr:uid="{09592574-F5BB-4690-B638-385CBDFDD047}"/>
    <cellStyle name="Millares 4 2 3 2 3" xfId="1732" xr:uid="{5E51440B-71B0-4459-A289-92E17452F8C8}"/>
    <cellStyle name="Millares 4 2 3 2 3 2" xfId="3724" xr:uid="{9BD7E200-A9FC-40F1-B0D6-2AA145350EAF}"/>
    <cellStyle name="Millares 4 2 3 2 4" xfId="1061" xr:uid="{A6C5AE1F-2627-49D3-995D-6C42297E4985}"/>
    <cellStyle name="Millares 4 2 3 2 4 2" xfId="3060" xr:uid="{78F5A502-BB64-4110-B649-244AD7D7F504}"/>
    <cellStyle name="Millares 4 2 3 2 5" xfId="2396" xr:uid="{BED92000-7860-4CD3-A83E-D9D6CEFDDC2D}"/>
    <cellStyle name="Millares 4 2 3 3" xfId="556" xr:uid="{FD624F4A-7BCA-4D6E-81D4-D90400CFE12C}"/>
    <cellStyle name="Millares 4 2 3 3 2" xfId="1898" xr:uid="{EBFDD45D-EAEE-4357-A5D5-61D54BA1893A}"/>
    <cellStyle name="Millares 4 2 3 3 2 2" xfId="3890" xr:uid="{6ED91031-2C07-4CD9-B48E-2D654D7E9CC2}"/>
    <cellStyle name="Millares 4 2 3 3 3" xfId="1227" xr:uid="{E607E2B7-BE77-4CAE-884C-76E913F33E73}"/>
    <cellStyle name="Millares 4 2 3 3 3 2" xfId="3226" xr:uid="{AF6C580C-6F39-4D91-990D-8C43405972F5}"/>
    <cellStyle name="Millares 4 2 3 3 4" xfId="2562" xr:uid="{DB361651-2BEE-44CD-9325-F3DDF22E745D}"/>
    <cellStyle name="Millares 4 2 3 4" xfId="1566" xr:uid="{29FAA7C5-7068-445D-80AF-D6A952D4674B}"/>
    <cellStyle name="Millares 4 2 3 4 2" xfId="3558" xr:uid="{BA694FD1-F1D9-4E2B-9F57-5F5EA63B541C}"/>
    <cellStyle name="Millares 4 2 3 5" xfId="895" xr:uid="{EE716310-2893-4DBB-B03C-EA245BCA73C3}"/>
    <cellStyle name="Millares 4 2 3 5 2" xfId="2894" xr:uid="{C4C16546-8873-4310-B4FF-D8225D48CC0B}"/>
    <cellStyle name="Millares 4 2 3 6" xfId="2230" xr:uid="{DEFE07ED-7E0F-44BE-A645-1139E03FD785}"/>
    <cellStyle name="Millares 4 2 4" xfId="308" xr:uid="{9E2BF1CB-C225-4829-A785-62267D97CA15}"/>
    <cellStyle name="Millares 4 2 4 2" xfId="640" xr:uid="{B3328719-E0EE-4599-A277-591B81D174E0}"/>
    <cellStyle name="Millares 4 2 4 2 2" xfId="1982" xr:uid="{EC2DBC33-2AEA-4E1C-86D0-77673B04BF6F}"/>
    <cellStyle name="Millares 4 2 4 2 2 2" xfId="3974" xr:uid="{EC5C521D-D079-4F1E-B8B1-A495F4CE8987}"/>
    <cellStyle name="Millares 4 2 4 2 3" xfId="1311" xr:uid="{9D024552-117B-456B-9324-A30406C16036}"/>
    <cellStyle name="Millares 4 2 4 2 3 2" xfId="3310" xr:uid="{A5AF640F-FFC1-4D71-A6D6-3661F05A4544}"/>
    <cellStyle name="Millares 4 2 4 2 4" xfId="2646" xr:uid="{2A396B5C-10C8-458A-B4E5-5B2E6FDBF095}"/>
    <cellStyle name="Millares 4 2 4 3" xfId="1650" xr:uid="{9BC36B7D-4AFD-4678-BDEA-B3FF7F958E1A}"/>
    <cellStyle name="Millares 4 2 4 3 2" xfId="3642" xr:uid="{9CF5C6AE-6E0E-4650-818B-4BD6593A80D5}"/>
    <cellStyle name="Millares 4 2 4 4" xfId="979" xr:uid="{9E8962A9-A5CD-4C48-8A62-291537965429}"/>
    <cellStyle name="Millares 4 2 4 4 2" xfId="2978" xr:uid="{E36F1301-48E7-4473-91FC-AFAECB5C7BC0}"/>
    <cellStyle name="Millares 4 2 4 5" xfId="2314" xr:uid="{CAD93C89-1769-4392-A067-0173F166B26B}"/>
    <cellStyle name="Millares 4 2 5" xfId="474" xr:uid="{D0C183FC-B224-487B-9AB9-D43674A6A811}"/>
    <cellStyle name="Millares 4 2 5 2" xfId="1816" xr:uid="{C598437F-CAEB-48F5-ADC5-F781D240578F}"/>
    <cellStyle name="Millares 4 2 5 2 2" xfId="3808" xr:uid="{AF285481-120A-427B-9F06-503436CD6E20}"/>
    <cellStyle name="Millares 4 2 5 3" xfId="1145" xr:uid="{76004041-9F8C-4CF5-B368-78B4274371CE}"/>
    <cellStyle name="Millares 4 2 5 3 2" xfId="3144" xr:uid="{67823FE0-6FA8-4767-B8C7-69DB74157E17}"/>
    <cellStyle name="Millares 4 2 5 4" xfId="2480" xr:uid="{DC690C6D-C067-4B83-AD90-0DC75787EF85}"/>
    <cellStyle name="Millares 4 2 6" xfId="1484" xr:uid="{DD54DC6B-DE3A-4A88-8C2D-13074017FE8B}"/>
    <cellStyle name="Millares 4 2 6 2" xfId="3476" xr:uid="{E5B80EC2-8B73-4E03-9345-73DD5EB6CC83}"/>
    <cellStyle name="Millares 4 2 7" xfId="813" xr:uid="{7D22A11E-4C15-42E6-92E3-2998B95E32EE}"/>
    <cellStyle name="Millares 4 2 7 2" xfId="2812" xr:uid="{BE04DACE-88C7-43F1-A4C0-F166A3208A1A}"/>
    <cellStyle name="Millares 4 2 8" xfId="2148" xr:uid="{4C5FAC4C-C093-43A1-9FAD-4C6DC343C37A}"/>
    <cellStyle name="Millares 4 3" xfId="136" xr:uid="{C6E128E5-4CE4-40E2-8B38-3B677394AD05}"/>
    <cellStyle name="Millares 4 3 2" xfId="225" xr:uid="{84476644-9A6A-48F7-B340-418503F25B00}"/>
    <cellStyle name="Millares 4 3 2 2" xfId="411" xr:uid="{987DDE28-CA61-4EB2-977C-25A7EBFB7C15}"/>
    <cellStyle name="Millares 4 3 2 2 2" xfId="743" xr:uid="{8E112DF6-86ED-49B5-8523-BFEBF30140DB}"/>
    <cellStyle name="Millares 4 3 2 2 2 2" xfId="2085" xr:uid="{CDFEE928-7CAC-490B-B54C-16201B7EBE73}"/>
    <cellStyle name="Millares 4 3 2 2 2 2 2" xfId="4077" xr:uid="{A85FA6FC-3E5D-4535-B0CD-543DE11AE243}"/>
    <cellStyle name="Millares 4 3 2 2 2 3" xfId="1414" xr:uid="{B3ED8744-EC84-480E-9D72-A72A16A8524D}"/>
    <cellStyle name="Millares 4 3 2 2 2 3 2" xfId="3413" xr:uid="{1E201FAE-AD68-4D9F-B2C4-F3484154961D}"/>
    <cellStyle name="Millares 4 3 2 2 2 4" xfId="2749" xr:uid="{4F683DF5-AC9C-4FD3-97BA-FD37D56B3BC2}"/>
    <cellStyle name="Millares 4 3 2 2 3" xfId="1753" xr:uid="{DCEAAFFA-6C61-4B16-8BF1-4FDD06E714CC}"/>
    <cellStyle name="Millares 4 3 2 2 3 2" xfId="3745" xr:uid="{D74FCF9F-CCA1-4411-B60B-0BD45C5692F3}"/>
    <cellStyle name="Millares 4 3 2 2 4" xfId="1082" xr:uid="{4BAD882F-250D-477A-83F4-B297C47AA7EF}"/>
    <cellStyle name="Millares 4 3 2 2 4 2" xfId="3081" xr:uid="{E1FBB75A-316A-4FA5-9032-2F223FC384F2}"/>
    <cellStyle name="Millares 4 3 2 2 5" xfId="2417" xr:uid="{E46D64CF-8077-4BC0-8148-5432E8EAF274}"/>
    <cellStyle name="Millares 4 3 2 3" xfId="577" xr:uid="{BECF185F-822C-4B06-A09E-608197594A1B}"/>
    <cellStyle name="Millares 4 3 2 3 2" xfId="1919" xr:uid="{C5E7FDD0-258F-48EB-8D4B-B1B16504841F}"/>
    <cellStyle name="Millares 4 3 2 3 2 2" xfId="3911" xr:uid="{EF683DD5-A46E-4D67-8ED5-103CB336A442}"/>
    <cellStyle name="Millares 4 3 2 3 3" xfId="1248" xr:uid="{7946D9FE-607C-411A-837B-D8AF2085A2AC}"/>
    <cellStyle name="Millares 4 3 2 3 3 2" xfId="3247" xr:uid="{795011BE-C0C7-4F18-9F77-1BD8F8AC17DD}"/>
    <cellStyle name="Millares 4 3 2 3 4" xfId="2583" xr:uid="{59FA40A4-B0FE-4B85-8ABC-41D010D72D0B}"/>
    <cellStyle name="Millares 4 3 2 4" xfId="1587" xr:uid="{3AC09539-452D-4CC5-88F3-E087CC79FC7F}"/>
    <cellStyle name="Millares 4 3 2 4 2" xfId="3579" xr:uid="{7AFECBFE-FA80-40EF-93D7-AB36669BB021}"/>
    <cellStyle name="Millares 4 3 2 5" xfId="916" xr:uid="{4226B73D-4EAA-4CB9-847E-D13A957D3023}"/>
    <cellStyle name="Millares 4 3 2 5 2" xfId="2915" xr:uid="{09FF5469-9433-4F44-B850-938D52E54C3C}"/>
    <cellStyle name="Millares 4 3 2 6" xfId="2251" xr:uid="{A394EA25-5BB4-4330-BC4A-921B42EDB7D9}"/>
    <cellStyle name="Millares 4 3 3" xfId="329" xr:uid="{C418624E-AA10-495F-A833-382F5D7EE066}"/>
    <cellStyle name="Millares 4 3 3 2" xfId="661" xr:uid="{61288CB9-35AC-4447-9C9E-94E5A99CB13F}"/>
    <cellStyle name="Millares 4 3 3 2 2" xfId="2003" xr:uid="{F14BC64F-83AE-4FC0-9B37-880B9F3CAFD2}"/>
    <cellStyle name="Millares 4 3 3 2 2 2" xfId="3995" xr:uid="{9B4CD17A-D299-4F81-9C09-53E34F88D852}"/>
    <cellStyle name="Millares 4 3 3 2 3" xfId="1332" xr:uid="{A52D1564-6CB0-4608-8EA9-50E5DC1A3A78}"/>
    <cellStyle name="Millares 4 3 3 2 3 2" xfId="3331" xr:uid="{45038323-CDDB-4BCA-9F1B-08B94FB718E0}"/>
    <cellStyle name="Millares 4 3 3 2 4" xfId="2667" xr:uid="{6640FC48-A200-4E73-A223-0527DDE1B28E}"/>
    <cellStyle name="Millares 4 3 3 3" xfId="1671" xr:uid="{A41D3734-279F-432E-8516-B310B56EE8DF}"/>
    <cellStyle name="Millares 4 3 3 3 2" xfId="3663" xr:uid="{3A486135-A089-4C4A-8B5D-1FC3819FC47C}"/>
    <cellStyle name="Millares 4 3 3 4" xfId="1000" xr:uid="{04ABDE19-9D2D-4C1D-96C9-DA600838EA01}"/>
    <cellStyle name="Millares 4 3 3 4 2" xfId="2999" xr:uid="{1D0C28AD-34AF-4887-AFE3-22937CAF5486}"/>
    <cellStyle name="Millares 4 3 3 5" xfId="2335" xr:uid="{EA9160E6-656B-4C86-8931-5B236F18D5B0}"/>
    <cellStyle name="Millares 4 3 4" xfId="495" xr:uid="{8BC7D6D9-488F-4DCF-BC35-9E6C5520809C}"/>
    <cellStyle name="Millares 4 3 4 2" xfId="1837" xr:uid="{1DACB3F2-9BCB-401C-AC27-02484C796C14}"/>
    <cellStyle name="Millares 4 3 4 2 2" xfId="3829" xr:uid="{80C049CB-A887-414B-86C3-E870125E44A5}"/>
    <cellStyle name="Millares 4 3 4 3" xfId="1166" xr:uid="{8749F46E-6CE7-4F21-8090-E95210BB7031}"/>
    <cellStyle name="Millares 4 3 4 3 2" xfId="3165" xr:uid="{26261AFA-3476-4C81-A830-2233E50C970E}"/>
    <cellStyle name="Millares 4 3 4 4" xfId="2501" xr:uid="{6BB13E90-EBA6-47D2-925A-A70FB95401D0}"/>
    <cellStyle name="Millares 4 3 5" xfId="1505" xr:uid="{FB508A70-1B87-4547-AB8C-EA55FF05A1D5}"/>
    <cellStyle name="Millares 4 3 5 2" xfId="3497" xr:uid="{3777A10D-8BCC-4865-90AA-A4B0D823844C}"/>
    <cellStyle name="Millares 4 3 6" xfId="834" xr:uid="{B3D035EB-E722-4A43-852C-CC283F3CF1AD}"/>
    <cellStyle name="Millares 4 3 6 2" xfId="2833" xr:uid="{CECEC1DB-26F3-4C69-856A-F96A1E00F496}"/>
    <cellStyle name="Millares 4 3 7" xfId="2169" xr:uid="{8D1B94A9-7B03-4F74-B277-0D56DF8CFB38}"/>
    <cellStyle name="Millares 4 4" xfId="185" xr:uid="{1DFE9698-9145-4BE9-9CB2-43FA9F287267}"/>
    <cellStyle name="Millares 4 4 2" xfId="371" xr:uid="{551DDC93-8EBA-4ACD-B6FC-ACA1F8E9EEDD}"/>
    <cellStyle name="Millares 4 4 2 2" xfId="703" xr:uid="{97314012-4B4E-4AA2-BA4E-A1365794F9D7}"/>
    <cellStyle name="Millares 4 4 2 2 2" xfId="2045" xr:uid="{340181DA-34BA-4143-ACF1-84CA9B30FFAB}"/>
    <cellStyle name="Millares 4 4 2 2 2 2" xfId="4037" xr:uid="{93493058-9CE9-42DB-B166-F01895CB645F}"/>
    <cellStyle name="Millares 4 4 2 2 3" xfId="1374" xr:uid="{C8023DBE-4ABD-4987-8F00-A4601A042C06}"/>
    <cellStyle name="Millares 4 4 2 2 3 2" xfId="3373" xr:uid="{3F5C1141-24F1-4CAB-A4B1-7EFAE7A13814}"/>
    <cellStyle name="Millares 4 4 2 2 4" xfId="2709" xr:uid="{17647D55-A34A-4AFD-BE1F-8BF8BC71D66C}"/>
    <cellStyle name="Millares 4 4 2 3" xfId="1713" xr:uid="{853D3207-4E95-4315-982A-5FF9F584BE23}"/>
    <cellStyle name="Millares 4 4 2 3 2" xfId="3705" xr:uid="{376CE97D-AED1-46C2-AC93-2FFDBD68AB7A}"/>
    <cellStyle name="Millares 4 4 2 4" xfId="1042" xr:uid="{DAAECF4F-4964-4CE9-8275-40774B663FAD}"/>
    <cellStyle name="Millares 4 4 2 4 2" xfId="3041" xr:uid="{6BEFDC70-4C29-4395-8145-F9F239D05E9B}"/>
    <cellStyle name="Millares 4 4 2 5" xfId="2377" xr:uid="{F7895FC8-0451-4E87-AA8E-CDF7C2FDF2AD}"/>
    <cellStyle name="Millares 4 4 3" xfId="537" xr:uid="{96D9921D-B037-4321-8C2F-DD111943AFD9}"/>
    <cellStyle name="Millares 4 4 3 2" xfId="1879" xr:uid="{39023A8B-4A36-4AA5-89F5-0A6A11153B26}"/>
    <cellStyle name="Millares 4 4 3 2 2" xfId="3871" xr:uid="{073B6038-03EB-4040-B55B-F4D2C7B1821D}"/>
    <cellStyle name="Millares 4 4 3 3" xfId="1208" xr:uid="{0A95E033-B9FC-43DC-BA34-0F047DA5F8B1}"/>
    <cellStyle name="Millares 4 4 3 3 2" xfId="3207" xr:uid="{99B376F9-B4AA-47B3-91D9-E6BD7F4FCBF8}"/>
    <cellStyle name="Millares 4 4 3 4" xfId="2543" xr:uid="{AB35BBA1-CE7D-41EF-9968-9A29DB9656AB}"/>
    <cellStyle name="Millares 4 4 4" xfId="1547" xr:uid="{6A280897-33FB-4471-9158-68E13D5F6847}"/>
    <cellStyle name="Millares 4 4 4 2" xfId="3539" xr:uid="{0A1D78F6-FC3F-4330-8669-EB0054DA6064}"/>
    <cellStyle name="Millares 4 4 5" xfId="876" xr:uid="{0B3620A8-4456-4BCA-B4BF-5FC5549A4D38}"/>
    <cellStyle name="Millares 4 4 5 2" xfId="2875" xr:uid="{764CA477-2147-4BDD-B76C-4884AA2B9FA5}"/>
    <cellStyle name="Millares 4 4 6" xfId="2211" xr:uid="{8421D0EE-33EE-4CDB-A6DC-4AFC9A668461}"/>
    <cellStyle name="Millares 4 5" xfId="289" xr:uid="{58E5F5B8-77B0-440D-BE1E-191386D37620}"/>
    <cellStyle name="Millares 4 5 2" xfId="621" xr:uid="{41B3A754-46EB-4B0F-B27D-819A5F099CCF}"/>
    <cellStyle name="Millares 4 5 2 2" xfId="1963" xr:uid="{7B865377-85FE-4D8E-9562-A2831D0E1347}"/>
    <cellStyle name="Millares 4 5 2 2 2" xfId="3955" xr:uid="{0108101C-8927-42AB-B173-90924F709B73}"/>
    <cellStyle name="Millares 4 5 2 3" xfId="1292" xr:uid="{D15060CD-C2C8-45F0-8742-B94115773B19}"/>
    <cellStyle name="Millares 4 5 2 3 2" xfId="3291" xr:uid="{9B308D64-8FDA-43EB-9430-3C1E826C54B8}"/>
    <cellStyle name="Millares 4 5 2 4" xfId="2627" xr:uid="{AD5C8F46-6BBB-427A-A87F-074141A30899}"/>
    <cellStyle name="Millares 4 5 3" xfId="1631" xr:uid="{B3FC42DB-8633-4CBE-BCD5-0D9A29C15866}"/>
    <cellStyle name="Millares 4 5 3 2" xfId="3623" xr:uid="{B5C1930C-E349-4B3D-AE5A-D24AE1931D84}"/>
    <cellStyle name="Millares 4 5 4" xfId="960" xr:uid="{7B472729-053A-449F-AD60-53DAAD9CC321}"/>
    <cellStyle name="Millares 4 5 4 2" xfId="2959" xr:uid="{9378D977-3F7E-41AF-8E8C-B71A0B2C615C}"/>
    <cellStyle name="Millares 4 5 5" xfId="2295" xr:uid="{CB3B5470-5086-473E-BD35-BF58D69146FA}"/>
    <cellStyle name="Millares 4 6" xfId="455" xr:uid="{DB308E25-0A0C-4416-841C-D2AC363AC1F1}"/>
    <cellStyle name="Millares 4 6 2" xfId="1797" xr:uid="{0D2F1E49-05A8-4D62-84AB-E6789FDACB6A}"/>
    <cellStyle name="Millares 4 6 2 2" xfId="3789" xr:uid="{0FFB169E-B0D7-425A-9F33-82B0BACD8293}"/>
    <cellStyle name="Millares 4 6 3" xfId="1126" xr:uid="{25EC83BC-A993-42FB-998F-9223916AC075}"/>
    <cellStyle name="Millares 4 6 3 2" xfId="3125" xr:uid="{1CD0997B-F125-47B2-973A-C1691561DE06}"/>
    <cellStyle name="Millares 4 6 4" xfId="2461" xr:uid="{7A2D0843-5043-4D62-81AB-CAC52210B3A5}"/>
    <cellStyle name="Millares 4 7" xfId="1465" xr:uid="{4301AD22-6BF7-4F46-9B36-A67C61BA8B90}"/>
    <cellStyle name="Millares 4 7 2" xfId="3457" xr:uid="{28AE0363-B508-4C54-9214-5ECF9BC8E326}"/>
    <cellStyle name="Millares 4 8" xfId="794" xr:uid="{8EBECB13-855F-4CC0-8CB0-7A256C42C58B}"/>
    <cellStyle name="Millares 4 8 2" xfId="2793" xr:uid="{992607CD-0AE0-49E0-85EE-4C80559886C7}"/>
    <cellStyle name="Millares 4 9" xfId="2129" xr:uid="{BFD5247B-8732-4176-A766-505A53802DD7}"/>
    <cellStyle name="Millares 5" xfId="64" xr:uid="{4C1CBC64-5DDB-4616-91BC-81E472D72F4C}"/>
    <cellStyle name="Millares 5 2" xfId="99" xr:uid="{F4E314F1-759C-422C-A5CF-57A663DFFE0D}"/>
    <cellStyle name="Millares 5 2 2" xfId="147" xr:uid="{DDE0E3B1-C17A-4012-98EB-AE5654390454}"/>
    <cellStyle name="Millares 5 2 2 2" xfId="236" xr:uid="{F88AB4CD-4F1F-49A6-8DA3-DAD6CAFC941F}"/>
    <cellStyle name="Millares 5 2 2 2 2" xfId="422" xr:uid="{D39828E6-759F-406B-BD82-2B36A4DFA9BA}"/>
    <cellStyle name="Millares 5 2 2 2 2 2" xfId="754" xr:uid="{F9BA36DE-A24C-4CA5-84D3-9CBC5F825D16}"/>
    <cellStyle name="Millares 5 2 2 2 2 2 2" xfId="2096" xr:uid="{D5C12D97-D74A-4C82-9FAB-311041A2EC71}"/>
    <cellStyle name="Millares 5 2 2 2 2 2 2 2" xfId="4088" xr:uid="{D77CD894-9D6F-40E2-B8FE-8C85481F0198}"/>
    <cellStyle name="Millares 5 2 2 2 2 2 3" xfId="1425" xr:uid="{4DB47F7D-7F2F-47B6-A946-65CB9E6A9090}"/>
    <cellStyle name="Millares 5 2 2 2 2 2 3 2" xfId="3424" xr:uid="{3CE39769-1A23-4435-A016-A2AD5C47629C}"/>
    <cellStyle name="Millares 5 2 2 2 2 2 4" xfId="2760" xr:uid="{AA8B265A-60E4-4252-9E26-C9A19CECC80D}"/>
    <cellStyle name="Millares 5 2 2 2 2 3" xfId="1764" xr:uid="{1D7C6417-754C-4ECB-8284-2041BFC7819B}"/>
    <cellStyle name="Millares 5 2 2 2 2 3 2" xfId="3756" xr:uid="{673CCF61-2F2C-40C1-89A6-E1B7A0958C03}"/>
    <cellStyle name="Millares 5 2 2 2 2 4" xfId="1093" xr:uid="{8D7EDC38-9677-4353-BEF0-56806AA0BC42}"/>
    <cellStyle name="Millares 5 2 2 2 2 4 2" xfId="3092" xr:uid="{60D5B8FC-CEDA-4C37-8D11-D42BF5C45801}"/>
    <cellStyle name="Millares 5 2 2 2 2 5" xfId="2428" xr:uid="{8A4EDCD7-EA04-4BDC-82C1-A9CC6809DB3B}"/>
    <cellStyle name="Millares 5 2 2 2 3" xfId="588" xr:uid="{44706A1C-B398-4380-AB7C-5841CE7FF727}"/>
    <cellStyle name="Millares 5 2 2 2 3 2" xfId="1930" xr:uid="{1FD45B25-6F36-41C3-9874-89601A64CEF0}"/>
    <cellStyle name="Millares 5 2 2 2 3 2 2" xfId="3922" xr:uid="{ABAA40B7-C485-46E8-B907-76AC68B58A29}"/>
    <cellStyle name="Millares 5 2 2 2 3 3" xfId="1259" xr:uid="{DDA34A1E-586D-4BAE-B229-74D6C39634DD}"/>
    <cellStyle name="Millares 5 2 2 2 3 3 2" xfId="3258" xr:uid="{26C7D38D-6E3F-420D-8BD0-A5E61D521001}"/>
    <cellStyle name="Millares 5 2 2 2 3 4" xfId="2594" xr:uid="{211D91E8-EB18-429D-A6E2-9C4B0B408640}"/>
    <cellStyle name="Millares 5 2 2 2 4" xfId="1598" xr:uid="{7C383040-799A-40B3-AE88-B72C20E745DA}"/>
    <cellStyle name="Millares 5 2 2 2 4 2" xfId="3590" xr:uid="{E69167DC-583F-4EC5-83F8-81A140D6ECDC}"/>
    <cellStyle name="Millares 5 2 2 2 5" xfId="927" xr:uid="{B6544952-B5C0-43E6-90F1-B8C7F3977031}"/>
    <cellStyle name="Millares 5 2 2 2 5 2" xfId="2926" xr:uid="{6AD5377C-6944-4216-9983-482F6F16A8A6}"/>
    <cellStyle name="Millares 5 2 2 2 6" xfId="2262" xr:uid="{D562B791-16C5-4CF9-A617-B88A60412F8B}"/>
    <cellStyle name="Millares 5 2 2 3" xfId="340" xr:uid="{C0A7AABD-21E1-4B30-86D2-AE028BF17FF2}"/>
    <cellStyle name="Millares 5 2 2 3 2" xfId="672" xr:uid="{32712C60-CC85-42A6-A5F5-CA61435E5B0E}"/>
    <cellStyle name="Millares 5 2 2 3 2 2" xfId="2014" xr:uid="{4063CFEE-0FF4-49F3-9B0F-1F1A2A53D045}"/>
    <cellStyle name="Millares 5 2 2 3 2 2 2" xfId="4006" xr:uid="{89039A9F-F7C4-4776-A421-799D4DD829E6}"/>
    <cellStyle name="Millares 5 2 2 3 2 3" xfId="1343" xr:uid="{1DA268E4-6F0D-4E99-BF80-FBE3F166CF8B}"/>
    <cellStyle name="Millares 5 2 2 3 2 3 2" xfId="3342" xr:uid="{A52AC91F-9CEE-411C-BB25-980DBFD424EC}"/>
    <cellStyle name="Millares 5 2 2 3 2 4" xfId="2678" xr:uid="{0BFB5499-7A37-4495-989C-B5676280E4CA}"/>
    <cellStyle name="Millares 5 2 2 3 3" xfId="1682" xr:uid="{27CA107D-DF65-4B08-9BD6-D23A25A0D679}"/>
    <cellStyle name="Millares 5 2 2 3 3 2" xfId="3674" xr:uid="{4E616B6D-06F7-4BEE-8DB1-735EA6886DFE}"/>
    <cellStyle name="Millares 5 2 2 3 4" xfId="1011" xr:uid="{18DE2C76-4AB9-4C51-AE21-B92E3A51D7C9}"/>
    <cellStyle name="Millares 5 2 2 3 4 2" xfId="3010" xr:uid="{8A4D2904-79BE-487F-84F1-8B7987522F12}"/>
    <cellStyle name="Millares 5 2 2 3 5" xfId="2346" xr:uid="{619DCAD5-ABE0-467E-B53F-A1D08738D00D}"/>
    <cellStyle name="Millares 5 2 2 4" xfId="506" xr:uid="{349137AD-02E1-46CB-A699-45A95D0C70DD}"/>
    <cellStyle name="Millares 5 2 2 4 2" xfId="1848" xr:uid="{56B05AFD-CE07-4033-A1E4-11C1E7893FFB}"/>
    <cellStyle name="Millares 5 2 2 4 2 2" xfId="3840" xr:uid="{C297F97B-2500-401F-A7F2-D92DAD486E1F}"/>
    <cellStyle name="Millares 5 2 2 4 3" xfId="1177" xr:uid="{6E46B781-9B1A-4867-8535-BD6791A608CB}"/>
    <cellStyle name="Millares 5 2 2 4 3 2" xfId="3176" xr:uid="{E0957DDC-0131-4D66-B1EB-2DF50C613E7B}"/>
    <cellStyle name="Millares 5 2 2 4 4" xfId="2512" xr:uid="{0E21D4EE-1829-4739-AD9A-5E99BD8302E3}"/>
    <cellStyle name="Millares 5 2 2 5" xfId="1516" xr:uid="{72036A04-3A3C-4202-88A5-2DB45B981370}"/>
    <cellStyle name="Millares 5 2 2 5 2" xfId="3508" xr:uid="{BF117E84-3FC5-41A3-AAF4-F83FD81B24F5}"/>
    <cellStyle name="Millares 5 2 2 6" xfId="845" xr:uid="{88087B53-B70A-4AFB-B017-7FB5C77A68E2}"/>
    <cellStyle name="Millares 5 2 2 6 2" xfId="2844" xr:uid="{D8B8FEE3-B872-468F-B8D1-36E2DBC2A9D9}"/>
    <cellStyle name="Millares 5 2 2 7" xfId="2180" xr:uid="{C37C872A-AF9F-4568-8451-55732D964A4F}"/>
    <cellStyle name="Millares 5 2 3" xfId="196" xr:uid="{9D9B78E6-4C5B-44A6-8DC8-1E1E66A13A42}"/>
    <cellStyle name="Millares 5 2 3 2" xfId="382" xr:uid="{BFD2DAD9-BCC9-4450-B4F3-225CB93837C1}"/>
    <cellStyle name="Millares 5 2 3 2 2" xfId="714" xr:uid="{BCA9A728-E85A-4620-A4B1-71F3F11A5AD6}"/>
    <cellStyle name="Millares 5 2 3 2 2 2" xfId="2056" xr:uid="{97F9B538-9B96-42A3-ACE7-D4DA7C2F14AB}"/>
    <cellStyle name="Millares 5 2 3 2 2 2 2" xfId="4048" xr:uid="{0FD02A82-560A-4580-B36A-8CD9B444D873}"/>
    <cellStyle name="Millares 5 2 3 2 2 3" xfId="1385" xr:uid="{0A089FC2-C356-406A-A419-303D7DFD1FD6}"/>
    <cellStyle name="Millares 5 2 3 2 2 3 2" xfId="3384" xr:uid="{2D8EA6EA-1371-4657-AC46-328873EB1D2D}"/>
    <cellStyle name="Millares 5 2 3 2 2 4" xfId="2720" xr:uid="{5D3ED6DB-D816-4A23-899B-303401E7C8B6}"/>
    <cellStyle name="Millares 5 2 3 2 3" xfId="1724" xr:uid="{DB2FB720-594A-4D38-84B7-996C4A0C5803}"/>
    <cellStyle name="Millares 5 2 3 2 3 2" xfId="3716" xr:uid="{DBB0F3D6-6259-4BD0-8793-47FD0533843A}"/>
    <cellStyle name="Millares 5 2 3 2 4" xfId="1053" xr:uid="{CFDC4F42-7ADA-4E92-A99D-10BE7E6F0BBB}"/>
    <cellStyle name="Millares 5 2 3 2 4 2" xfId="3052" xr:uid="{333708E4-47D8-4BEC-96C1-D60331444ADB}"/>
    <cellStyle name="Millares 5 2 3 2 5" xfId="2388" xr:uid="{E48049D7-DC0A-4583-A9CF-CE0C05B5968A}"/>
    <cellStyle name="Millares 5 2 3 3" xfId="548" xr:uid="{C209F62A-12C3-4AD1-9205-F403CF4E58BD}"/>
    <cellStyle name="Millares 5 2 3 3 2" xfId="1890" xr:uid="{74ABBF2F-6577-4F6B-B1EF-31DD1C7DEE55}"/>
    <cellStyle name="Millares 5 2 3 3 2 2" xfId="3882" xr:uid="{7329DAC7-41C1-4535-822C-28A24A38EB00}"/>
    <cellStyle name="Millares 5 2 3 3 3" xfId="1219" xr:uid="{6DCFF7D2-5BBC-4AC5-87CC-4B1EC27DF922}"/>
    <cellStyle name="Millares 5 2 3 3 3 2" xfId="3218" xr:uid="{8213FEBC-A975-445C-B22F-F836EA9CE92F}"/>
    <cellStyle name="Millares 5 2 3 3 4" xfId="2554" xr:uid="{7F8F8FF3-0406-4C89-BCDB-DAA1273DAC45}"/>
    <cellStyle name="Millares 5 2 3 4" xfId="1558" xr:uid="{AD9F9B14-09A6-4946-BAAC-52F529DE24BB}"/>
    <cellStyle name="Millares 5 2 3 4 2" xfId="3550" xr:uid="{B5C61C19-CF6C-4826-BC57-458633197DC2}"/>
    <cellStyle name="Millares 5 2 3 5" xfId="887" xr:uid="{AFC9348E-C715-4947-BB51-3F4C02517001}"/>
    <cellStyle name="Millares 5 2 3 5 2" xfId="2886" xr:uid="{C020CB0A-0744-4229-99FC-16B50870A161}"/>
    <cellStyle name="Millares 5 2 3 6" xfId="2222" xr:uid="{41E5F2CC-E296-4B27-9355-CAE3E600CB62}"/>
    <cellStyle name="Millares 5 2 4" xfId="300" xr:uid="{2A70DC06-E583-40FF-AD4F-5D61C6F255FA}"/>
    <cellStyle name="Millares 5 2 4 2" xfId="632" xr:uid="{FEF372D4-C07E-4231-A073-34970C3A91D3}"/>
    <cellStyle name="Millares 5 2 4 2 2" xfId="1974" xr:uid="{DB01C7A5-CC76-4151-97DE-7FC35A652F76}"/>
    <cellStyle name="Millares 5 2 4 2 2 2" xfId="3966" xr:uid="{523C4059-D597-4D88-979D-CA33A0190BF7}"/>
    <cellStyle name="Millares 5 2 4 2 3" xfId="1303" xr:uid="{9FA7A523-EC85-47EB-B488-945570BB43DD}"/>
    <cellStyle name="Millares 5 2 4 2 3 2" xfId="3302" xr:uid="{127AE3FB-AF56-4F46-B462-07B295395A5A}"/>
    <cellStyle name="Millares 5 2 4 2 4" xfId="2638" xr:uid="{C92BFCB5-69BF-4026-9EA1-720F1CE22373}"/>
    <cellStyle name="Millares 5 2 4 3" xfId="1642" xr:uid="{4E248DB0-1881-44BA-9378-3DED21BE0E90}"/>
    <cellStyle name="Millares 5 2 4 3 2" xfId="3634" xr:uid="{C2513085-32C2-418E-9A24-DCA24FF371BB}"/>
    <cellStyle name="Millares 5 2 4 4" xfId="971" xr:uid="{A34500FC-3AE9-4010-B178-01FCD7FDDDEA}"/>
    <cellStyle name="Millares 5 2 4 4 2" xfId="2970" xr:uid="{B8F706B8-9250-47B1-8D6F-59DF38B8FEE5}"/>
    <cellStyle name="Millares 5 2 4 5" xfId="2306" xr:uid="{089AF762-C732-4AC5-BA12-D9056F51EBF3}"/>
    <cellStyle name="Millares 5 2 5" xfId="466" xr:uid="{4363AC45-7C16-446D-8E33-7BC3C6400B81}"/>
    <cellStyle name="Millares 5 2 5 2" xfId="1808" xr:uid="{F87EDEA4-469F-4435-9EEA-653474B44C95}"/>
    <cellStyle name="Millares 5 2 5 2 2" xfId="3800" xr:uid="{DE207B71-A85E-4BC4-AF3F-643F89283650}"/>
    <cellStyle name="Millares 5 2 5 3" xfId="1137" xr:uid="{8C819282-2982-4929-8545-EB3BC662DA4F}"/>
    <cellStyle name="Millares 5 2 5 3 2" xfId="3136" xr:uid="{8AE1CB57-D099-486B-B50A-EEA12852BA22}"/>
    <cellStyle name="Millares 5 2 5 4" xfId="2472" xr:uid="{E11851EE-451E-43C2-8A26-35CBA0256F60}"/>
    <cellStyle name="Millares 5 2 6" xfId="1476" xr:uid="{A9150A6E-AE09-49D7-B614-D37D101347FC}"/>
    <cellStyle name="Millares 5 2 6 2" xfId="3468" xr:uid="{F5520679-351D-45D2-BF6A-55C62F8B2897}"/>
    <cellStyle name="Millares 5 2 7" xfId="805" xr:uid="{74271EA2-22CD-474E-862B-19A69AD35647}"/>
    <cellStyle name="Millares 5 2 7 2" xfId="2804" xr:uid="{E9EA85E3-87EB-48FA-9DB2-289D1E653A05}"/>
    <cellStyle name="Millares 5 2 8" xfId="2140" xr:uid="{466C6A76-B9CA-4406-A049-AACB48EBECD8}"/>
    <cellStyle name="Millares 5 3" xfId="128" xr:uid="{C5D6B74F-0841-4E80-B702-5C874BE44388}"/>
    <cellStyle name="Millares 5 3 2" xfId="217" xr:uid="{996FC981-644B-440A-B13A-624F58FAEC8E}"/>
    <cellStyle name="Millares 5 3 2 2" xfId="403" xr:uid="{654E47EF-6FE3-431D-8C17-132FE24902BF}"/>
    <cellStyle name="Millares 5 3 2 2 2" xfId="735" xr:uid="{059377FE-2F47-4EAB-AF54-73918EEDB9E6}"/>
    <cellStyle name="Millares 5 3 2 2 2 2" xfId="2077" xr:uid="{45704ABF-1351-445F-82F3-C1FFA49646C1}"/>
    <cellStyle name="Millares 5 3 2 2 2 2 2" xfId="4069" xr:uid="{65505E6D-1E1C-45B5-8E37-35F2C3B7F4EE}"/>
    <cellStyle name="Millares 5 3 2 2 2 3" xfId="1406" xr:uid="{FCEA326F-D4BC-475C-B978-D2614EDCD820}"/>
    <cellStyle name="Millares 5 3 2 2 2 3 2" xfId="3405" xr:uid="{28F8323D-34B1-4A5C-A87F-458CD0519753}"/>
    <cellStyle name="Millares 5 3 2 2 2 4" xfId="2741" xr:uid="{E4787A75-E52B-4F4F-B07B-5036A4D07416}"/>
    <cellStyle name="Millares 5 3 2 2 3" xfId="1745" xr:uid="{295546C5-D4B5-44FE-B56F-7BDFA22EA519}"/>
    <cellStyle name="Millares 5 3 2 2 3 2" xfId="3737" xr:uid="{D02A1FF6-CA44-4498-B481-4D3529348D8B}"/>
    <cellStyle name="Millares 5 3 2 2 4" xfId="1074" xr:uid="{FDAEEB0B-4F06-4BD7-917C-F05F00EF1820}"/>
    <cellStyle name="Millares 5 3 2 2 4 2" xfId="3073" xr:uid="{B8109158-475B-425F-82BF-4F49620B23A4}"/>
    <cellStyle name="Millares 5 3 2 2 5" xfId="2409" xr:uid="{275B8C3E-B61C-47AD-808E-823A13F2D0C6}"/>
    <cellStyle name="Millares 5 3 2 3" xfId="569" xr:uid="{1D431854-5EA7-40CD-8DDA-3C11FD712813}"/>
    <cellStyle name="Millares 5 3 2 3 2" xfId="1911" xr:uid="{7BD716E5-8B94-4161-B92A-C1F5D7DF4F84}"/>
    <cellStyle name="Millares 5 3 2 3 2 2" xfId="3903" xr:uid="{3AFAE9E9-13E7-472D-B19F-BC08D9DECDB9}"/>
    <cellStyle name="Millares 5 3 2 3 3" xfId="1240" xr:uid="{421DC2E8-9E5C-4AA3-A4A4-AFDC447A5D54}"/>
    <cellStyle name="Millares 5 3 2 3 3 2" xfId="3239" xr:uid="{C6773602-A70E-4ED5-9E65-F55EA1DC2D7E}"/>
    <cellStyle name="Millares 5 3 2 3 4" xfId="2575" xr:uid="{9CDAD8BE-AEAB-4BF2-83CA-56F7AD21D301}"/>
    <cellStyle name="Millares 5 3 2 4" xfId="1579" xr:uid="{FC201E2B-F82D-4A4C-B1A2-3F29E4B209A0}"/>
    <cellStyle name="Millares 5 3 2 4 2" xfId="3571" xr:uid="{01E3434B-1788-4457-B66C-72E851BCB8C5}"/>
    <cellStyle name="Millares 5 3 2 5" xfId="908" xr:uid="{B86251A0-CCD6-4BBC-9887-AF14D59EBF38}"/>
    <cellStyle name="Millares 5 3 2 5 2" xfId="2907" xr:uid="{A1F6DBE1-BF7D-4D52-9573-63818517D040}"/>
    <cellStyle name="Millares 5 3 2 6" xfId="2243" xr:uid="{2FC55D0F-7B0A-4751-B00A-4257F444357F}"/>
    <cellStyle name="Millares 5 3 3" xfId="321" xr:uid="{92B77EB7-3B8E-461E-B37B-526A13A8F8A2}"/>
    <cellStyle name="Millares 5 3 3 2" xfId="653" xr:uid="{B46DB053-45EC-4A62-9CD0-D308419705B0}"/>
    <cellStyle name="Millares 5 3 3 2 2" xfId="1995" xr:uid="{BE96A87D-4521-441D-9502-79B1BDCDCCF0}"/>
    <cellStyle name="Millares 5 3 3 2 2 2" xfId="3987" xr:uid="{531977CA-9869-4160-B254-8D631633C76A}"/>
    <cellStyle name="Millares 5 3 3 2 3" xfId="1324" xr:uid="{BF716529-4888-451B-B40B-31CCBEC66D33}"/>
    <cellStyle name="Millares 5 3 3 2 3 2" xfId="3323" xr:uid="{943B4018-7308-4DAE-AB58-FCB15C1717DF}"/>
    <cellStyle name="Millares 5 3 3 2 4" xfId="2659" xr:uid="{2000C694-DC20-4BF4-9B14-73B312331262}"/>
    <cellStyle name="Millares 5 3 3 3" xfId="1663" xr:uid="{E250FE40-DC1C-4A5C-8FE0-48DF8669CF55}"/>
    <cellStyle name="Millares 5 3 3 3 2" xfId="3655" xr:uid="{78779ECA-56E5-44BD-ACFC-3E8A4C7DA50B}"/>
    <cellStyle name="Millares 5 3 3 4" xfId="992" xr:uid="{AF21889F-1C3E-43FE-A797-13B1D9E898B3}"/>
    <cellStyle name="Millares 5 3 3 4 2" xfId="2991" xr:uid="{D1DFE004-FB57-4BDA-AE7C-8440D614D0D2}"/>
    <cellStyle name="Millares 5 3 3 5" xfId="2327" xr:uid="{86BA6EE6-6997-44C3-875E-768A400A8147}"/>
    <cellStyle name="Millares 5 3 4" xfId="487" xr:uid="{C37DCD8C-C883-480B-933A-68C06EAE3B32}"/>
    <cellStyle name="Millares 5 3 4 2" xfId="1829" xr:uid="{206F0297-CBD3-4882-93BC-070F6B0A797E}"/>
    <cellStyle name="Millares 5 3 4 2 2" xfId="3821" xr:uid="{4A93737F-C968-4838-9FC5-18C19EF7ABA0}"/>
    <cellStyle name="Millares 5 3 4 3" xfId="1158" xr:uid="{5FEF31FB-DCCA-4A94-90C0-D3ED907FFC3D}"/>
    <cellStyle name="Millares 5 3 4 3 2" xfId="3157" xr:uid="{345B6B45-CC58-44F3-86C3-1FA7959D47D9}"/>
    <cellStyle name="Millares 5 3 4 4" xfId="2493" xr:uid="{CB3D90F1-A9B6-41A8-922D-33CD3F4D35D4}"/>
    <cellStyle name="Millares 5 3 5" xfId="1497" xr:uid="{8B6CAE7E-DA89-4319-9011-66C50C60DB7F}"/>
    <cellStyle name="Millares 5 3 5 2" xfId="3489" xr:uid="{9914D731-404A-427A-A362-C2FB455FA592}"/>
    <cellStyle name="Millares 5 3 6" xfId="826" xr:uid="{1D1EA944-625B-4DC1-B9E1-22C5D896B110}"/>
    <cellStyle name="Millares 5 3 6 2" xfId="2825" xr:uid="{004FEFAF-5AF9-48AE-B69E-3E243000A549}"/>
    <cellStyle name="Millares 5 3 7" xfId="2161" xr:uid="{8B7ABBE2-135C-40E9-9631-AB40232E7B71}"/>
    <cellStyle name="Millares 5 4" xfId="177" xr:uid="{ACE6E44D-8F38-450C-B899-52BD6822E2CF}"/>
    <cellStyle name="Millares 5 4 2" xfId="363" xr:uid="{C53E4AAC-C03A-4BB7-96D1-45119C163AF7}"/>
    <cellStyle name="Millares 5 4 2 2" xfId="695" xr:uid="{8A0AC663-7840-4EBA-A48F-8FA6C36336CE}"/>
    <cellStyle name="Millares 5 4 2 2 2" xfId="2037" xr:uid="{E48B18B8-6517-4872-9915-F46A031DFB0E}"/>
    <cellStyle name="Millares 5 4 2 2 2 2" xfId="4029" xr:uid="{05ACEACA-D45F-46CC-99E8-B63CE6011D0B}"/>
    <cellStyle name="Millares 5 4 2 2 3" xfId="1366" xr:uid="{B1CF28CC-84A7-4716-8B93-64FAD165A525}"/>
    <cellStyle name="Millares 5 4 2 2 3 2" xfId="3365" xr:uid="{F8091C85-B30F-4FD2-BD38-7C3067DA6D56}"/>
    <cellStyle name="Millares 5 4 2 2 4" xfId="2701" xr:uid="{C4EF4F65-1B94-4612-8764-F89672F31D15}"/>
    <cellStyle name="Millares 5 4 2 3" xfId="1705" xr:uid="{BEDB2AEE-6569-45FE-B865-39A9315F608F}"/>
    <cellStyle name="Millares 5 4 2 3 2" xfId="3697" xr:uid="{5E15F70E-997A-4634-969B-421CB85AA5E0}"/>
    <cellStyle name="Millares 5 4 2 4" xfId="1034" xr:uid="{4E455E94-DB1B-4A50-A0C3-B7B3AB23F463}"/>
    <cellStyle name="Millares 5 4 2 4 2" xfId="3033" xr:uid="{1EA4D0AA-CFFF-44C1-B919-01F29E2493C1}"/>
    <cellStyle name="Millares 5 4 2 5" xfId="2369" xr:uid="{05E7903D-3F53-474E-A0DF-723BC32CFED0}"/>
    <cellStyle name="Millares 5 4 3" xfId="529" xr:uid="{26FAB53F-1528-4391-B889-59ADF0DA5B20}"/>
    <cellStyle name="Millares 5 4 3 2" xfId="1871" xr:uid="{8332991C-7BAD-4E45-82FC-99EB198525FE}"/>
    <cellStyle name="Millares 5 4 3 2 2" xfId="3863" xr:uid="{8DABCB54-0F51-43CB-A77A-B1C8C7CFD6E3}"/>
    <cellStyle name="Millares 5 4 3 3" xfId="1200" xr:uid="{BE75E042-BAE9-4C9E-9299-AE43CA1C27F2}"/>
    <cellStyle name="Millares 5 4 3 3 2" xfId="3199" xr:uid="{37028E18-FBC6-4AD3-A4F1-8A8B56EA88FC}"/>
    <cellStyle name="Millares 5 4 3 4" xfId="2535" xr:uid="{87CFC57A-5150-4E0A-BC11-781A6D459E2F}"/>
    <cellStyle name="Millares 5 4 4" xfId="1539" xr:uid="{5F136F10-B7E7-4571-A5FB-B3BEA3F9CA20}"/>
    <cellStyle name="Millares 5 4 4 2" xfId="3531" xr:uid="{83066686-C750-4D4F-9C1C-1FB4525B7F5E}"/>
    <cellStyle name="Millares 5 4 5" xfId="868" xr:uid="{74E11C7D-8B25-4302-A05A-7EA017909D22}"/>
    <cellStyle name="Millares 5 4 5 2" xfId="2867" xr:uid="{7EF7A2E6-232B-4422-AB7E-8DDB80185C08}"/>
    <cellStyle name="Millares 5 4 6" xfId="2203" xr:uid="{376C50FF-AFC6-49AE-970D-383F65AA77BA}"/>
    <cellStyle name="Millares 5 5" xfId="281" xr:uid="{8BB8094F-33C3-48DE-8FD5-2E67C93D1D19}"/>
    <cellStyle name="Millares 5 5 2" xfId="613" xr:uid="{F4585658-E100-44BC-9863-176929F9E842}"/>
    <cellStyle name="Millares 5 5 2 2" xfId="1955" xr:uid="{1FF67367-140D-4DF7-8A72-BA2CCBE663CC}"/>
    <cellStyle name="Millares 5 5 2 2 2" xfId="3947" xr:uid="{AAF8FC2A-3FD7-4210-900B-2B7F1C5A7DF8}"/>
    <cellStyle name="Millares 5 5 2 3" xfId="1284" xr:uid="{F1C9C0C9-F334-494A-BF61-7B8FA47A7ABD}"/>
    <cellStyle name="Millares 5 5 2 3 2" xfId="3283" xr:uid="{DDB7E377-DE0C-45D0-90A5-7B39B4335B90}"/>
    <cellStyle name="Millares 5 5 2 4" xfId="2619" xr:uid="{BF0C4518-D302-4CC0-A355-A4C4EE30A799}"/>
    <cellStyle name="Millares 5 5 3" xfId="1623" xr:uid="{61BB87CA-B201-485C-8B00-44BF585503A4}"/>
    <cellStyle name="Millares 5 5 3 2" xfId="3615" xr:uid="{DBA570AC-7E30-45E5-9995-88E102797005}"/>
    <cellStyle name="Millares 5 5 4" xfId="952" xr:uid="{93FA46B3-2865-4211-872C-86F8ED524B61}"/>
    <cellStyle name="Millares 5 5 4 2" xfId="2951" xr:uid="{F2411D31-8E50-4EF2-9921-6FC4AD2915BE}"/>
    <cellStyle name="Millares 5 5 5" xfId="2287" xr:uid="{009E35F7-1131-4926-9832-6111DCAACC81}"/>
    <cellStyle name="Millares 5 6" xfId="447" xr:uid="{A050019A-BA26-4886-A8F6-2F8933BEFEB6}"/>
    <cellStyle name="Millares 5 6 2" xfId="1789" xr:uid="{656D4115-799E-4EF9-9F50-7AD77DA7FD75}"/>
    <cellStyle name="Millares 5 6 2 2" xfId="3781" xr:uid="{D6B95FA9-3746-44A9-B326-CC8CEC91E604}"/>
    <cellStyle name="Millares 5 6 3" xfId="1118" xr:uid="{3D3D63F8-CF13-4B7B-AE4A-E2AB14190676}"/>
    <cellStyle name="Millares 5 6 3 2" xfId="3117" xr:uid="{560B253F-D6A6-496C-B539-234E30E408F9}"/>
    <cellStyle name="Millares 5 6 4" xfId="2453" xr:uid="{6A0B9B5F-05DF-4A5F-876D-B4AB46228F09}"/>
    <cellStyle name="Millares 5 7" xfId="1457" xr:uid="{EC991C4F-3BCD-4D16-91EC-1E8BBC21D91A}"/>
    <cellStyle name="Millares 5 7 2" xfId="3449" xr:uid="{8E25DED8-7650-4351-85E6-F53C0F6AAA18}"/>
    <cellStyle name="Millares 5 8" xfId="786" xr:uid="{605AFED6-C2AB-45AD-9489-7A496DD065FF}"/>
    <cellStyle name="Millares 5 8 2" xfId="2785" xr:uid="{B9175B13-C636-4F6B-8EF9-776C49510F12}"/>
    <cellStyle name="Millares 5 9" xfId="2121" xr:uid="{254DB272-4893-4490-A169-F135306F1979}"/>
    <cellStyle name="Millares 6" xfId="81" xr:uid="{DBE9CE6C-317D-4D8A-BEEE-68D2C868F077}"/>
    <cellStyle name="Millares 6 2" xfId="108" xr:uid="{5F835659-D135-4AD0-A3CF-4EB94BD09ED2}"/>
    <cellStyle name="Millares 6 2 2" xfId="156" xr:uid="{6AB58C23-4955-41D3-85DC-20926CD16C22}"/>
    <cellStyle name="Millares 6 2 2 2" xfId="245" xr:uid="{5F7F4F90-1544-4938-B75F-FC40EF45B699}"/>
    <cellStyle name="Millares 6 2 2 2 2" xfId="431" xr:uid="{947BADE6-6E4D-4BBB-9819-D928A8215AEB}"/>
    <cellStyle name="Millares 6 2 2 2 2 2" xfId="763" xr:uid="{6DC98614-BCE1-4816-A161-44AD2A658567}"/>
    <cellStyle name="Millares 6 2 2 2 2 2 2" xfId="2105" xr:uid="{F48F0960-212C-49D0-A6F9-5108A2E785E0}"/>
    <cellStyle name="Millares 6 2 2 2 2 2 2 2" xfId="4097" xr:uid="{2396B725-DA4E-4A3A-A124-AE5972108B0E}"/>
    <cellStyle name="Millares 6 2 2 2 2 2 3" xfId="1434" xr:uid="{DA75AD1F-09C4-47E7-9B32-EA01A4C824B5}"/>
    <cellStyle name="Millares 6 2 2 2 2 2 3 2" xfId="3433" xr:uid="{47E375B4-FCC2-4AB1-8B96-EC70C196C2D5}"/>
    <cellStyle name="Millares 6 2 2 2 2 2 4" xfId="2769" xr:uid="{DB49EEA6-73AD-40AF-9994-A09AE28E8551}"/>
    <cellStyle name="Millares 6 2 2 2 2 3" xfId="1773" xr:uid="{9472C673-22C1-4A7B-B879-B8CFE531AC1E}"/>
    <cellStyle name="Millares 6 2 2 2 2 3 2" xfId="3765" xr:uid="{0F2A8F6E-28D5-4D19-A4A4-BC59661808E8}"/>
    <cellStyle name="Millares 6 2 2 2 2 4" xfId="1102" xr:uid="{8F282EF4-A3FB-4E4E-BF57-5869D4A33631}"/>
    <cellStyle name="Millares 6 2 2 2 2 4 2" xfId="3101" xr:uid="{5814E511-35DF-488A-B1A7-ACD4D2FE6E37}"/>
    <cellStyle name="Millares 6 2 2 2 2 5" xfId="2437" xr:uid="{FCB187A5-D445-4A68-B068-9000FCEA6D11}"/>
    <cellStyle name="Millares 6 2 2 2 3" xfId="597" xr:uid="{CCE6DCB8-832A-465C-92EB-E9DB558F728A}"/>
    <cellStyle name="Millares 6 2 2 2 3 2" xfId="1939" xr:uid="{A816439B-6B52-42B3-9C6D-5DC533B87C6B}"/>
    <cellStyle name="Millares 6 2 2 2 3 2 2" xfId="3931" xr:uid="{63200FDC-BAE9-4FC0-9A4C-CF59D70B95BD}"/>
    <cellStyle name="Millares 6 2 2 2 3 3" xfId="1268" xr:uid="{37A844B7-2870-4455-B173-722795D636F9}"/>
    <cellStyle name="Millares 6 2 2 2 3 3 2" xfId="3267" xr:uid="{6BB3D049-C576-4031-B8F0-2F14503DCA6A}"/>
    <cellStyle name="Millares 6 2 2 2 3 4" xfId="2603" xr:uid="{1477F2DE-E8D9-48B0-A68D-245331F85060}"/>
    <cellStyle name="Millares 6 2 2 2 4" xfId="1607" xr:uid="{E7568AAC-3827-4E09-B36C-7C4B1E330E1A}"/>
    <cellStyle name="Millares 6 2 2 2 4 2" xfId="3599" xr:uid="{6911066C-DB6C-4298-958C-92CF9B0C70BC}"/>
    <cellStyle name="Millares 6 2 2 2 5" xfId="936" xr:uid="{4687A227-CC0F-46A1-9A20-CEBB80146AE0}"/>
    <cellStyle name="Millares 6 2 2 2 5 2" xfId="2935" xr:uid="{5D56866F-49FD-4A87-9C03-E359D79F9881}"/>
    <cellStyle name="Millares 6 2 2 2 6" xfId="2271" xr:uid="{2971E667-451F-41AF-AF87-FDE74DCE8599}"/>
    <cellStyle name="Millares 6 2 2 3" xfId="349" xr:uid="{26DBB5FB-2A6A-4AC8-B813-0685CCA19A48}"/>
    <cellStyle name="Millares 6 2 2 3 2" xfId="681" xr:uid="{A6B29F43-97AF-4039-86E5-4E98BC6B3B32}"/>
    <cellStyle name="Millares 6 2 2 3 2 2" xfId="2023" xr:uid="{227584CF-00E2-4C3A-B64A-A9B7A818045E}"/>
    <cellStyle name="Millares 6 2 2 3 2 2 2" xfId="4015" xr:uid="{E45E988D-F9E7-40EA-A86F-8730DE152B7D}"/>
    <cellStyle name="Millares 6 2 2 3 2 3" xfId="1352" xr:uid="{DF5B81E0-CB73-4F12-89CE-1EFA994F2D20}"/>
    <cellStyle name="Millares 6 2 2 3 2 3 2" xfId="3351" xr:uid="{86929168-CC39-4829-A978-C7639647B433}"/>
    <cellStyle name="Millares 6 2 2 3 2 4" xfId="2687" xr:uid="{6A7708E2-40AC-43C3-9758-416220886825}"/>
    <cellStyle name="Millares 6 2 2 3 3" xfId="1691" xr:uid="{6ADFEEA7-1A47-4F85-A619-2873F9886481}"/>
    <cellStyle name="Millares 6 2 2 3 3 2" xfId="3683" xr:uid="{D3A806E4-3454-4CF6-8A8C-2E25EB24251C}"/>
    <cellStyle name="Millares 6 2 2 3 4" xfId="1020" xr:uid="{497B253E-B454-4C6E-BCB5-C9031E344566}"/>
    <cellStyle name="Millares 6 2 2 3 4 2" xfId="3019" xr:uid="{4907CC7D-698D-47C3-8407-1FCF71953BCC}"/>
    <cellStyle name="Millares 6 2 2 3 5" xfId="2355" xr:uid="{08FEAEC3-12CF-4B95-BA46-5EC81180B61C}"/>
    <cellStyle name="Millares 6 2 2 4" xfId="515" xr:uid="{66EF5F07-8DBD-4A74-9318-6E864FBDB66D}"/>
    <cellStyle name="Millares 6 2 2 4 2" xfId="1857" xr:uid="{72980EBE-D7B6-459B-8613-5734B508FFE9}"/>
    <cellStyle name="Millares 6 2 2 4 2 2" xfId="3849" xr:uid="{98E09A80-E609-4E8F-BDD8-9171BBCEB164}"/>
    <cellStyle name="Millares 6 2 2 4 3" xfId="1186" xr:uid="{49DA73D0-19B8-4BF6-AA8F-FAE7E3AEAEE4}"/>
    <cellStyle name="Millares 6 2 2 4 3 2" xfId="3185" xr:uid="{9237C9F4-2EA5-4D57-84D7-97D135CD70B7}"/>
    <cellStyle name="Millares 6 2 2 4 4" xfId="2521" xr:uid="{89D6AC98-0134-447A-92D6-D3DC1301311B}"/>
    <cellStyle name="Millares 6 2 2 5" xfId="1525" xr:uid="{85A1A6C6-381E-44C3-A95E-70CB4E616EF2}"/>
    <cellStyle name="Millares 6 2 2 5 2" xfId="3517" xr:uid="{08782EB6-DB3C-40CE-8753-99A485B2B1C2}"/>
    <cellStyle name="Millares 6 2 2 6" xfId="854" xr:uid="{80085520-7B28-4BB9-A6E4-54AD34A5F88C}"/>
    <cellStyle name="Millares 6 2 2 6 2" xfId="2853" xr:uid="{768082F5-6659-4784-A4EE-0A9890228487}"/>
    <cellStyle name="Millares 6 2 2 7" xfId="2189" xr:uid="{A298E7CC-6CD3-4F0D-B129-9118A853755B}"/>
    <cellStyle name="Millares 6 2 3" xfId="205" xr:uid="{191C682B-1993-4CEB-A751-6702A6D51E6E}"/>
    <cellStyle name="Millares 6 2 3 2" xfId="391" xr:uid="{F22B57D4-16D4-431B-BDC3-E3B570BDE093}"/>
    <cellStyle name="Millares 6 2 3 2 2" xfId="723" xr:uid="{B0104DCC-227D-4A63-985A-1EAF5F3C7CF0}"/>
    <cellStyle name="Millares 6 2 3 2 2 2" xfId="2065" xr:uid="{CD2C962B-2122-4FB5-8802-CC7918AD496B}"/>
    <cellStyle name="Millares 6 2 3 2 2 2 2" xfId="4057" xr:uid="{81871F34-2807-451C-BEB7-6790C2B0273F}"/>
    <cellStyle name="Millares 6 2 3 2 2 3" xfId="1394" xr:uid="{941E5075-5096-4F28-91A1-79FEA28A1C04}"/>
    <cellStyle name="Millares 6 2 3 2 2 3 2" xfId="3393" xr:uid="{6B487B9C-04E0-454A-92B2-74CB13CAF2F5}"/>
    <cellStyle name="Millares 6 2 3 2 2 4" xfId="2729" xr:uid="{6B26B27B-1A71-4FAF-B0C7-49FF7E82A57D}"/>
    <cellStyle name="Millares 6 2 3 2 3" xfId="1733" xr:uid="{4AD3658E-C172-4BA3-8342-655D87A2BF02}"/>
    <cellStyle name="Millares 6 2 3 2 3 2" xfId="3725" xr:uid="{6020D1FC-6382-440E-8EBC-758DFC814AC4}"/>
    <cellStyle name="Millares 6 2 3 2 4" xfId="1062" xr:uid="{EA4E4667-DBED-4F4A-85E2-D8B2F56E8F68}"/>
    <cellStyle name="Millares 6 2 3 2 4 2" xfId="3061" xr:uid="{2901423C-66EE-4DAB-946B-918821F7259E}"/>
    <cellStyle name="Millares 6 2 3 2 5" xfId="2397" xr:uid="{3AC4573D-8FCA-44B1-A61B-82CED24EA130}"/>
    <cellStyle name="Millares 6 2 3 3" xfId="557" xr:uid="{AB8169CA-D866-4AA0-B39D-55BC92A78607}"/>
    <cellStyle name="Millares 6 2 3 3 2" xfId="1899" xr:uid="{922E72FD-6554-45D8-B974-E143D466F33B}"/>
    <cellStyle name="Millares 6 2 3 3 2 2" xfId="3891" xr:uid="{B24EA069-6C8C-4F38-87FE-48A3240E3BC9}"/>
    <cellStyle name="Millares 6 2 3 3 3" xfId="1228" xr:uid="{1D0DE2F7-F19C-47C0-A9EF-C745EF417DEF}"/>
    <cellStyle name="Millares 6 2 3 3 3 2" xfId="3227" xr:uid="{AABBB54E-7C22-4F46-9904-F9F95DD9171E}"/>
    <cellStyle name="Millares 6 2 3 3 4" xfId="2563" xr:uid="{C58B38B9-8C74-45A2-B135-A96BD7ACAE0F}"/>
    <cellStyle name="Millares 6 2 3 4" xfId="1567" xr:uid="{0C6EF8D4-1202-47C4-8AA7-800AE696A63E}"/>
    <cellStyle name="Millares 6 2 3 4 2" xfId="3559" xr:uid="{4846DC2F-E0F4-4CD6-93BE-C225AA5AAE0C}"/>
    <cellStyle name="Millares 6 2 3 5" xfId="896" xr:uid="{63452466-9669-4C4C-9524-859BC3B82A99}"/>
    <cellStyle name="Millares 6 2 3 5 2" xfId="2895" xr:uid="{C94EC053-40AB-489F-9148-F82A0324C02A}"/>
    <cellStyle name="Millares 6 2 3 6" xfId="2231" xr:uid="{842B6EE6-9161-42F3-BF91-99996B98F871}"/>
    <cellStyle name="Millares 6 2 4" xfId="309" xr:uid="{ED4BC773-8ADA-4A7D-95DB-BBBD8AF56549}"/>
    <cellStyle name="Millares 6 2 4 2" xfId="641" xr:uid="{7D44178D-6049-47EF-AAFA-2B93E2096F46}"/>
    <cellStyle name="Millares 6 2 4 2 2" xfId="1983" xr:uid="{CD4F31EF-AB8B-4474-8393-A2962771DEC3}"/>
    <cellStyle name="Millares 6 2 4 2 2 2" xfId="3975" xr:uid="{6764C42F-A0E3-4550-B7BE-421BEB34D171}"/>
    <cellStyle name="Millares 6 2 4 2 3" xfId="1312" xr:uid="{6F4C1A14-3F26-45B0-82F9-7C197B50D080}"/>
    <cellStyle name="Millares 6 2 4 2 3 2" xfId="3311" xr:uid="{E49EEBDE-37E1-46E0-A968-5D6365949614}"/>
    <cellStyle name="Millares 6 2 4 2 4" xfId="2647" xr:uid="{91F56A2E-AB1E-4098-BDA5-E50812A9B020}"/>
    <cellStyle name="Millares 6 2 4 3" xfId="1651" xr:uid="{C198CC1B-5578-4DC0-A89F-485E97B14A87}"/>
    <cellStyle name="Millares 6 2 4 3 2" xfId="3643" xr:uid="{F596C26C-2287-4BE7-938B-1EF96A159AE7}"/>
    <cellStyle name="Millares 6 2 4 4" xfId="980" xr:uid="{7EDC4F85-0FDE-4A16-8548-1456F07D0185}"/>
    <cellStyle name="Millares 6 2 4 4 2" xfId="2979" xr:uid="{1F6BDB22-BBCC-43FA-9BDD-004C7BA91F1F}"/>
    <cellStyle name="Millares 6 2 4 5" xfId="2315" xr:uid="{F6F5ACB8-B6BB-4DB2-981B-24AC41D1F422}"/>
    <cellStyle name="Millares 6 2 5" xfId="475" xr:uid="{4F6A1886-E62C-4180-8480-127F7DAEF224}"/>
    <cellStyle name="Millares 6 2 5 2" xfId="1817" xr:uid="{F632327A-5FE4-45D7-8677-0DFBB663DB98}"/>
    <cellStyle name="Millares 6 2 5 2 2" xfId="3809" xr:uid="{7870ED6A-9D5D-46A7-8FC2-362693955175}"/>
    <cellStyle name="Millares 6 2 5 3" xfId="1146" xr:uid="{D90FB5F9-9975-4D2B-9E3F-0768F35703D8}"/>
    <cellStyle name="Millares 6 2 5 3 2" xfId="3145" xr:uid="{14D8EFA9-DE6C-4121-91EB-86D29E2B1DF5}"/>
    <cellStyle name="Millares 6 2 5 4" xfId="2481" xr:uid="{0D578E79-7DAA-40B0-8C22-10AD8DA88A22}"/>
    <cellStyle name="Millares 6 2 6" xfId="1485" xr:uid="{CEA8D937-4D66-437D-939C-45D758DB9CD2}"/>
    <cellStyle name="Millares 6 2 6 2" xfId="3477" xr:uid="{7B618EE0-B2DE-48DD-BB30-EC638D58343B}"/>
    <cellStyle name="Millares 6 2 7" xfId="814" xr:uid="{012B3B3F-5152-4382-A708-EA2B7D22B051}"/>
    <cellStyle name="Millares 6 2 7 2" xfId="2813" xr:uid="{5DB672A6-A63C-4CCA-A5C0-6B043564B9A0}"/>
    <cellStyle name="Millares 6 2 8" xfId="2149" xr:uid="{53C3875A-89DE-4376-A40B-E7B3B47A5200}"/>
    <cellStyle name="Millares 6 3" xfId="137" xr:uid="{5AB939CF-62C4-41B5-BAC1-0BCDA486D2F2}"/>
    <cellStyle name="Millares 6 3 2" xfId="226" xr:uid="{FA303380-A144-434B-94E0-3FA38BC1CEFE}"/>
    <cellStyle name="Millares 6 3 2 2" xfId="412" xr:uid="{6A9C1A0C-6BCB-46BF-95CC-ED813DBAC374}"/>
    <cellStyle name="Millares 6 3 2 2 2" xfId="744" xr:uid="{12000D99-2D26-4CB4-A1EE-DFC0E4EF1C56}"/>
    <cellStyle name="Millares 6 3 2 2 2 2" xfId="2086" xr:uid="{704D1571-B113-4A8D-A55C-3337D328BBE1}"/>
    <cellStyle name="Millares 6 3 2 2 2 2 2" xfId="4078" xr:uid="{F8F6B942-8373-4E0D-AD1A-BF9B1BD6952B}"/>
    <cellStyle name="Millares 6 3 2 2 2 3" xfId="1415" xr:uid="{30C236A7-1F57-4B54-B224-98D8CADBF2F0}"/>
    <cellStyle name="Millares 6 3 2 2 2 3 2" xfId="3414" xr:uid="{6DBED4FF-7C31-498D-B898-368D0DA6C8A9}"/>
    <cellStyle name="Millares 6 3 2 2 2 4" xfId="2750" xr:uid="{AFCC7037-4379-421E-B85C-B701D35103B4}"/>
    <cellStyle name="Millares 6 3 2 2 3" xfId="1754" xr:uid="{DCD30416-4E39-4C46-BB74-1B9B2C6BE731}"/>
    <cellStyle name="Millares 6 3 2 2 3 2" xfId="3746" xr:uid="{E9336A98-8A9E-47E9-AD8F-6F0663BD1196}"/>
    <cellStyle name="Millares 6 3 2 2 4" xfId="1083" xr:uid="{A5C0BEAF-4479-4678-B5D5-9DA8D2FFB135}"/>
    <cellStyle name="Millares 6 3 2 2 4 2" xfId="3082" xr:uid="{D3A2C91F-B319-47F3-B0B6-044716B36379}"/>
    <cellStyle name="Millares 6 3 2 2 5" xfId="2418" xr:uid="{321CC818-6288-44F1-8099-FEB14D806E8D}"/>
    <cellStyle name="Millares 6 3 2 3" xfId="578" xr:uid="{9F6D1272-6BB3-4529-B0C8-F121DD49218A}"/>
    <cellStyle name="Millares 6 3 2 3 2" xfId="1920" xr:uid="{69E52042-F664-4BE7-9345-6749CCFA4E8F}"/>
    <cellStyle name="Millares 6 3 2 3 2 2" xfId="3912" xr:uid="{EAD12609-C788-4EE0-B0D5-3881BC78AA5A}"/>
    <cellStyle name="Millares 6 3 2 3 3" xfId="1249" xr:uid="{2280913D-B619-4295-AA83-21A6F4EC2CE6}"/>
    <cellStyle name="Millares 6 3 2 3 3 2" xfId="3248" xr:uid="{758FE3AF-1E74-4CBB-A9CE-114A7A5167F8}"/>
    <cellStyle name="Millares 6 3 2 3 4" xfId="2584" xr:uid="{39235901-F5FC-44B0-A9EB-BB31A9A42CCA}"/>
    <cellStyle name="Millares 6 3 2 4" xfId="1588" xr:uid="{2FE7051A-BCBF-4CAD-81B4-B9A254EFF8CA}"/>
    <cellStyle name="Millares 6 3 2 4 2" xfId="3580" xr:uid="{C86880AF-AFB6-40A2-96A1-52CEFE145912}"/>
    <cellStyle name="Millares 6 3 2 5" xfId="917" xr:uid="{C6E8F0A5-F0CE-4395-A522-16EC3723D2DF}"/>
    <cellStyle name="Millares 6 3 2 5 2" xfId="2916" xr:uid="{19672016-C2BE-4981-9417-36EEA8DA4E20}"/>
    <cellStyle name="Millares 6 3 2 6" xfId="2252" xr:uid="{3A91EED7-B525-4C42-BF7F-B1CD5E73C503}"/>
    <cellStyle name="Millares 6 3 3" xfId="330" xr:uid="{79E730B0-F96E-435A-B93B-B01CB709ECAF}"/>
    <cellStyle name="Millares 6 3 3 2" xfId="662" xr:uid="{57CE7ADC-F332-49A4-8BB1-E4236D0FD30C}"/>
    <cellStyle name="Millares 6 3 3 2 2" xfId="2004" xr:uid="{E40453F8-4D6A-4903-9979-12CF05BE6C46}"/>
    <cellStyle name="Millares 6 3 3 2 2 2" xfId="3996" xr:uid="{BC73EE2F-92FA-4DDF-A128-A77070945E4E}"/>
    <cellStyle name="Millares 6 3 3 2 3" xfId="1333" xr:uid="{CC8C3E3E-E8B7-485B-92C2-223953C3319D}"/>
    <cellStyle name="Millares 6 3 3 2 3 2" xfId="3332" xr:uid="{23324F0A-D64F-4824-8E87-41F9854B0425}"/>
    <cellStyle name="Millares 6 3 3 2 4" xfId="2668" xr:uid="{E4D4B77F-FD96-4ADA-8049-7717BF166714}"/>
    <cellStyle name="Millares 6 3 3 3" xfId="1672" xr:uid="{C7E4D716-4607-4C03-A4CA-144515765445}"/>
    <cellStyle name="Millares 6 3 3 3 2" xfId="3664" xr:uid="{6C335336-AF58-4B12-8601-E0235CC6F589}"/>
    <cellStyle name="Millares 6 3 3 4" xfId="1001" xr:uid="{97FA8C8C-971C-4A3A-A6F5-DE13C1EDD20D}"/>
    <cellStyle name="Millares 6 3 3 4 2" xfId="3000" xr:uid="{17D5F7D3-B247-4BC7-BAD6-9C254F4DFE5E}"/>
    <cellStyle name="Millares 6 3 3 5" xfId="2336" xr:uid="{524A7F83-8ED4-4878-A720-BBF1D6D8570A}"/>
    <cellStyle name="Millares 6 3 4" xfId="496" xr:uid="{B603B41E-4DDC-44A7-967C-C0C8A638D933}"/>
    <cellStyle name="Millares 6 3 4 2" xfId="1838" xr:uid="{D95347EF-FD32-4D87-8829-AE278CA03CBB}"/>
    <cellStyle name="Millares 6 3 4 2 2" xfId="3830" xr:uid="{32A231F0-81F2-40E5-9C94-5FE0ABD6AC50}"/>
    <cellStyle name="Millares 6 3 4 3" xfId="1167" xr:uid="{AD264BE7-2AB6-4731-9539-E7C5C459EC7B}"/>
    <cellStyle name="Millares 6 3 4 3 2" xfId="3166" xr:uid="{8BC25D78-6737-4943-9B93-4D96C878E1A9}"/>
    <cellStyle name="Millares 6 3 4 4" xfId="2502" xr:uid="{2067FE0E-5945-4CE2-AA63-961566825184}"/>
    <cellStyle name="Millares 6 3 5" xfId="1506" xr:uid="{F66CA860-989C-476A-8212-1CE642CC4D89}"/>
    <cellStyle name="Millares 6 3 5 2" xfId="3498" xr:uid="{9059C9E0-1E65-4163-81C1-87FEC4D81484}"/>
    <cellStyle name="Millares 6 3 6" xfId="835" xr:uid="{A7AC1718-689A-4AE8-8327-2550C1A5C11F}"/>
    <cellStyle name="Millares 6 3 6 2" xfId="2834" xr:uid="{36F7FFEC-993C-43AF-9AB6-D9B4DEB4412D}"/>
    <cellStyle name="Millares 6 3 7" xfId="2170" xr:uid="{E2F623A3-E3A1-49BC-B2CF-88A79761170E}"/>
    <cellStyle name="Millares 6 4" xfId="186" xr:uid="{70907644-4AF1-4611-A642-AFA8488D225B}"/>
    <cellStyle name="Millares 6 4 2" xfId="372" xr:uid="{9D7AE0CF-5B22-4D6E-A17E-EB36247597DC}"/>
    <cellStyle name="Millares 6 4 2 2" xfId="704" xr:uid="{F4AC4059-DD55-441C-99F4-38A00D00062E}"/>
    <cellStyle name="Millares 6 4 2 2 2" xfId="2046" xr:uid="{17FA6B76-1213-4D45-A952-112E20BDE1C7}"/>
    <cellStyle name="Millares 6 4 2 2 2 2" xfId="4038" xr:uid="{C6E50C4E-F01E-46C2-94C8-D1E3EAF919AE}"/>
    <cellStyle name="Millares 6 4 2 2 3" xfId="1375" xr:uid="{81A0B960-D587-4A88-836B-2C5FCDFCC9C5}"/>
    <cellStyle name="Millares 6 4 2 2 3 2" xfId="3374" xr:uid="{FFD04FFE-E02B-4E17-9D76-03F8685A48F2}"/>
    <cellStyle name="Millares 6 4 2 2 4" xfId="2710" xr:uid="{7C380955-7D67-4B41-858F-D87F2C1651EE}"/>
    <cellStyle name="Millares 6 4 2 3" xfId="1714" xr:uid="{65667664-A5BB-4F90-935C-78D0FB240D82}"/>
    <cellStyle name="Millares 6 4 2 3 2" xfId="3706" xr:uid="{34BCF03A-6FD8-4503-8562-E75967003A7A}"/>
    <cellStyle name="Millares 6 4 2 4" xfId="1043" xr:uid="{9A36F478-3D23-438D-9633-155226C67C51}"/>
    <cellStyle name="Millares 6 4 2 4 2" xfId="3042" xr:uid="{F2C14EBD-3EC2-4F72-8195-C089A179E87A}"/>
    <cellStyle name="Millares 6 4 2 5" xfId="2378" xr:uid="{563D62DC-D883-4D3A-86FB-045F98005718}"/>
    <cellStyle name="Millares 6 4 3" xfId="538" xr:uid="{C9FAFEB8-057D-47F1-81BC-178D41B6F4EE}"/>
    <cellStyle name="Millares 6 4 3 2" xfId="1880" xr:uid="{76CD0A75-710B-4211-B969-BE7185D7728F}"/>
    <cellStyle name="Millares 6 4 3 2 2" xfId="3872" xr:uid="{440D86BC-71EF-4312-8E17-1D05F6BF3890}"/>
    <cellStyle name="Millares 6 4 3 3" xfId="1209" xr:uid="{77470966-B0C0-44D4-AC6C-01D97099FE8B}"/>
    <cellStyle name="Millares 6 4 3 3 2" xfId="3208" xr:uid="{F2675059-20E1-4E0A-9590-7522EA907B1C}"/>
    <cellStyle name="Millares 6 4 3 4" xfId="2544" xr:uid="{F1CA2688-6292-4881-987E-D2F80DA95029}"/>
    <cellStyle name="Millares 6 4 4" xfId="1548" xr:uid="{8C100E0C-D9D4-4394-92EA-15423DFE0F06}"/>
    <cellStyle name="Millares 6 4 4 2" xfId="3540" xr:uid="{1898B403-C326-49D8-81DC-04671F886D36}"/>
    <cellStyle name="Millares 6 4 5" xfId="877" xr:uid="{47ACEB60-E178-4FD3-865F-06DB33555968}"/>
    <cellStyle name="Millares 6 4 5 2" xfId="2876" xr:uid="{879B71BB-EB71-4D2A-BC49-382B111F3959}"/>
    <cellStyle name="Millares 6 4 6" xfId="2212" xr:uid="{C30BF1A2-4F75-401A-95EF-5608060933C3}"/>
    <cellStyle name="Millares 6 5" xfId="290" xr:uid="{5E6CA252-EDEB-4D5C-9A9F-E12BF90C4725}"/>
    <cellStyle name="Millares 6 5 2" xfId="622" xr:uid="{F327EA8A-D343-4543-8BA9-82230D06DE62}"/>
    <cellStyle name="Millares 6 5 2 2" xfId="1964" xr:uid="{B12C31DE-68E5-41BA-BD68-1A4FE683EF91}"/>
    <cellStyle name="Millares 6 5 2 2 2" xfId="3956" xr:uid="{13FEEEB4-AEDD-4952-BCA9-AE6FDDFE5816}"/>
    <cellStyle name="Millares 6 5 2 3" xfId="1293" xr:uid="{53FD553D-2626-494B-84F0-96361123FC10}"/>
    <cellStyle name="Millares 6 5 2 3 2" xfId="3292" xr:uid="{7EDD74C2-4ADC-4306-80D0-80BF504C77A5}"/>
    <cellStyle name="Millares 6 5 2 4" xfId="2628" xr:uid="{635136C7-B56B-4EDA-84D5-3AE97353A9E7}"/>
    <cellStyle name="Millares 6 5 3" xfId="1632" xr:uid="{7BD702E8-C516-4037-92B3-114F395D1F1C}"/>
    <cellStyle name="Millares 6 5 3 2" xfId="3624" xr:uid="{4D9EC8DE-AE83-4D5A-9931-ECC56F845D4D}"/>
    <cellStyle name="Millares 6 5 4" xfId="961" xr:uid="{994B8640-6682-48CA-A7B0-867010221EFA}"/>
    <cellStyle name="Millares 6 5 4 2" xfId="2960" xr:uid="{1B2CB2E1-CA78-48C6-9E6A-573E2865FB40}"/>
    <cellStyle name="Millares 6 5 5" xfId="2296" xr:uid="{265090B7-D2CC-4D37-A584-CC06D2772EAA}"/>
    <cellStyle name="Millares 6 6" xfId="456" xr:uid="{57582C7C-3DD8-4DF2-8D7C-ED02BD976445}"/>
    <cellStyle name="Millares 6 6 2" xfId="1798" xr:uid="{F6B1C4B3-0992-43E7-996F-C7FDFFD63C9C}"/>
    <cellStyle name="Millares 6 6 2 2" xfId="3790" xr:uid="{B3BA427D-1B89-4F6D-B2B1-F7C816480BB3}"/>
    <cellStyle name="Millares 6 6 3" xfId="1127" xr:uid="{03627E33-837B-46F3-9587-D7D0EB94677A}"/>
    <cellStyle name="Millares 6 6 3 2" xfId="3126" xr:uid="{50AEFEFC-8DAD-4F07-B249-BEB6D37601EB}"/>
    <cellStyle name="Millares 6 6 4" xfId="2462" xr:uid="{531BA99F-71F9-4316-9997-19434A9346B0}"/>
    <cellStyle name="Millares 6 7" xfId="1466" xr:uid="{D8E95CAD-8B5C-4594-B81A-052880515735}"/>
    <cellStyle name="Millares 6 7 2" xfId="3458" xr:uid="{73A6C327-E568-4FA0-98B2-CF71A54F8C65}"/>
    <cellStyle name="Millares 6 8" xfId="795" xr:uid="{9A4425DA-1C83-4C88-932C-1EEF859DB953}"/>
    <cellStyle name="Millares 6 8 2" xfId="2794" xr:uid="{D6945846-DDE4-433E-9941-C7EF33032FBF}"/>
    <cellStyle name="Millares 6 9" xfId="2130" xr:uid="{A3B08B80-1FF0-40AF-92A1-7A192B5BF541}"/>
    <cellStyle name="Millares 7" xfId="82" xr:uid="{24440625-481B-4AD8-BAF7-EB336E17E6BD}"/>
    <cellStyle name="Millares 7 2" xfId="109" xr:uid="{4606E317-19F8-4D11-BED8-9991DE2226D6}"/>
    <cellStyle name="Millares 7 2 2" xfId="157" xr:uid="{CB852D87-5259-49DD-AC58-A6316A5A60BA}"/>
    <cellStyle name="Millares 7 2 2 2" xfId="246" xr:uid="{39253266-30A7-4B6D-9753-ABD7DF0A9E1B}"/>
    <cellStyle name="Millares 7 2 2 2 2" xfId="432" xr:uid="{6BA6FB59-A32B-4C57-9BBF-AE24677484DB}"/>
    <cellStyle name="Millares 7 2 2 2 2 2" xfId="764" xr:uid="{CDC8B923-7A65-408C-9BDA-E12A2E21A077}"/>
    <cellStyle name="Millares 7 2 2 2 2 2 2" xfId="2106" xr:uid="{BD7C6034-0021-41E7-8B18-F58174554A1B}"/>
    <cellStyle name="Millares 7 2 2 2 2 2 2 2" xfId="4098" xr:uid="{93D7DCFB-C651-4772-9F05-BA4413781B68}"/>
    <cellStyle name="Millares 7 2 2 2 2 2 3" xfId="1435" xr:uid="{B2CCA534-2478-4C4F-8137-E12B690A121C}"/>
    <cellStyle name="Millares 7 2 2 2 2 2 3 2" xfId="3434" xr:uid="{1C45315F-406D-4F75-A012-F485076EF344}"/>
    <cellStyle name="Millares 7 2 2 2 2 2 4" xfId="2770" xr:uid="{1B107F58-C4BA-4904-98B4-5296CCE945CA}"/>
    <cellStyle name="Millares 7 2 2 2 2 3" xfId="1774" xr:uid="{B7E4AD29-966A-4EB7-9A62-3E99B29A761F}"/>
    <cellStyle name="Millares 7 2 2 2 2 3 2" xfId="3766" xr:uid="{FFFFFEAB-28A4-4252-9335-5C0AD38DE15F}"/>
    <cellStyle name="Millares 7 2 2 2 2 4" xfId="1103" xr:uid="{3CD366E0-14CF-4D7A-96A9-B1D2A4FFE879}"/>
    <cellStyle name="Millares 7 2 2 2 2 4 2" xfId="3102" xr:uid="{0D4950AB-625D-4A86-9874-3DD9CA4D7479}"/>
    <cellStyle name="Millares 7 2 2 2 2 5" xfId="2438" xr:uid="{447FCE34-E985-4508-B617-87AAA3B74EE8}"/>
    <cellStyle name="Millares 7 2 2 2 3" xfId="598" xr:uid="{58FE3507-13F2-4416-9071-DF05335D9D26}"/>
    <cellStyle name="Millares 7 2 2 2 3 2" xfId="1940" xr:uid="{2A0B0A70-57FA-4120-B239-4CDD5A55247F}"/>
    <cellStyle name="Millares 7 2 2 2 3 2 2" xfId="3932" xr:uid="{1A4238B4-9C03-4DC6-806B-A996E96819BC}"/>
    <cellStyle name="Millares 7 2 2 2 3 3" xfId="1269" xr:uid="{3764A943-9F5C-461D-B283-DC2F0BB50D92}"/>
    <cellStyle name="Millares 7 2 2 2 3 3 2" xfId="3268" xr:uid="{4816592A-AE7C-4E01-9EB6-48ECE42804F2}"/>
    <cellStyle name="Millares 7 2 2 2 3 4" xfId="2604" xr:uid="{51D95966-9CCB-45FF-80BA-64C35CC259E5}"/>
    <cellStyle name="Millares 7 2 2 2 4" xfId="1608" xr:uid="{C4E71123-FCEB-434E-8D8C-8C73F64BCA52}"/>
    <cellStyle name="Millares 7 2 2 2 4 2" xfId="3600" xr:uid="{56DE3412-96A2-43C4-B6B2-2FF7426A3DA9}"/>
    <cellStyle name="Millares 7 2 2 2 5" xfId="937" xr:uid="{E66EAFF6-B004-45F5-BC1D-9551295753E2}"/>
    <cellStyle name="Millares 7 2 2 2 5 2" xfId="2936" xr:uid="{653D8D1D-5E3D-4201-950D-DF2F1A1F6BC9}"/>
    <cellStyle name="Millares 7 2 2 2 6" xfId="2272" xr:uid="{6B421FCA-891E-41D3-86A1-33C0874335C3}"/>
    <cellStyle name="Millares 7 2 2 3" xfId="350" xr:uid="{B009ED7A-D39E-42CD-A12F-E0767615D8FE}"/>
    <cellStyle name="Millares 7 2 2 3 2" xfId="682" xr:uid="{3425290B-36D1-4371-992B-2E36B6FD4B97}"/>
    <cellStyle name="Millares 7 2 2 3 2 2" xfId="2024" xr:uid="{E5725F6C-5104-4C80-AD23-A55C454036D5}"/>
    <cellStyle name="Millares 7 2 2 3 2 2 2" xfId="4016" xr:uid="{83E52421-5EF4-4BD2-9B18-AFC4AD014CAA}"/>
    <cellStyle name="Millares 7 2 2 3 2 3" xfId="1353" xr:uid="{D7832F49-CD59-49C4-9260-4DF330DFA53A}"/>
    <cellStyle name="Millares 7 2 2 3 2 3 2" xfId="3352" xr:uid="{BC848474-DA3C-47BF-8074-DFB3DBDD243F}"/>
    <cellStyle name="Millares 7 2 2 3 2 4" xfId="2688" xr:uid="{15F0C8F5-B763-488F-9498-98E6F26C300F}"/>
    <cellStyle name="Millares 7 2 2 3 3" xfId="1692" xr:uid="{2BDB4E9C-82B3-4C46-9879-B77832D3987D}"/>
    <cellStyle name="Millares 7 2 2 3 3 2" xfId="3684" xr:uid="{A42AF728-03C5-4EE4-955B-A0F5DBE9A20B}"/>
    <cellStyle name="Millares 7 2 2 3 4" xfId="1021" xr:uid="{C513E968-D53A-4431-B32D-6F976139B03A}"/>
    <cellStyle name="Millares 7 2 2 3 4 2" xfId="3020" xr:uid="{2F386B4F-9DE5-4E3C-BA34-8E1E44D89085}"/>
    <cellStyle name="Millares 7 2 2 3 5" xfId="2356" xr:uid="{E5A3B77B-1B92-4FA0-9873-C5752C5B2D8B}"/>
    <cellStyle name="Millares 7 2 2 4" xfId="516" xr:uid="{E9ADE565-592C-4DD6-8677-F9C8CEC5DCEB}"/>
    <cellStyle name="Millares 7 2 2 4 2" xfId="1858" xr:uid="{F68C928F-77F1-42CB-97B1-ED6A1DE3524A}"/>
    <cellStyle name="Millares 7 2 2 4 2 2" xfId="3850" xr:uid="{6A6168A7-6BE0-4182-A4CF-0A01F36E3F2E}"/>
    <cellStyle name="Millares 7 2 2 4 3" xfId="1187" xr:uid="{38661879-2CBE-4104-A83F-7A140CC55166}"/>
    <cellStyle name="Millares 7 2 2 4 3 2" xfId="3186" xr:uid="{F4B3D869-5C1D-4E6F-920D-484992A9F353}"/>
    <cellStyle name="Millares 7 2 2 4 4" xfId="2522" xr:uid="{3136293A-46D1-4A28-BEBF-D99578B843F4}"/>
    <cellStyle name="Millares 7 2 2 5" xfId="1526" xr:uid="{3D7C54E5-5774-476B-AF4C-AABD4173DACC}"/>
    <cellStyle name="Millares 7 2 2 5 2" xfId="3518" xr:uid="{C3E2F78C-74D3-4783-B207-920C2182ADE7}"/>
    <cellStyle name="Millares 7 2 2 6" xfId="855" xr:uid="{B2886454-E56C-4720-97CA-214C5C1D1CE2}"/>
    <cellStyle name="Millares 7 2 2 6 2" xfId="2854" xr:uid="{564725DF-EBB4-4038-85A9-0080314987A5}"/>
    <cellStyle name="Millares 7 2 2 7" xfId="2190" xr:uid="{BC160662-7A57-43E3-8AC5-C1DA5AAACBD8}"/>
    <cellStyle name="Millares 7 2 3" xfId="206" xr:uid="{F4C8F614-01A8-470D-8D3D-6D0A7A6DFB60}"/>
    <cellStyle name="Millares 7 2 3 2" xfId="392" xr:uid="{4E1D0A90-47CD-4D29-8CB7-AC21CB17CA66}"/>
    <cellStyle name="Millares 7 2 3 2 2" xfId="724" xr:uid="{8410B437-416B-4B59-BCF4-798715E490D9}"/>
    <cellStyle name="Millares 7 2 3 2 2 2" xfId="2066" xr:uid="{D8CE39DB-DEDB-44E6-8DD5-524AAB9D2B26}"/>
    <cellStyle name="Millares 7 2 3 2 2 2 2" xfId="4058" xr:uid="{DDA231DB-FA07-467B-B281-3CD04C45281B}"/>
    <cellStyle name="Millares 7 2 3 2 2 3" xfId="1395" xr:uid="{0548550D-DF51-4A14-81E8-8B18917C1AF2}"/>
    <cellStyle name="Millares 7 2 3 2 2 3 2" xfId="3394" xr:uid="{165966CF-AD99-47C3-9698-94D1AE017769}"/>
    <cellStyle name="Millares 7 2 3 2 2 4" xfId="2730" xr:uid="{1CBF9004-85E6-4C5B-893B-FFA02D894616}"/>
    <cellStyle name="Millares 7 2 3 2 3" xfId="1734" xr:uid="{4FBB6BC7-254F-487B-AECF-3A6552781E6D}"/>
    <cellStyle name="Millares 7 2 3 2 3 2" xfId="3726" xr:uid="{33A9ADA5-10C8-4988-874A-6ACC3782D5EE}"/>
    <cellStyle name="Millares 7 2 3 2 4" xfId="1063" xr:uid="{0750F1B0-09EB-454D-A750-06FD3DF7344D}"/>
    <cellStyle name="Millares 7 2 3 2 4 2" xfId="3062" xr:uid="{30F3EC43-363D-4F2B-9746-D85D8A7A2F5E}"/>
    <cellStyle name="Millares 7 2 3 2 5" xfId="2398" xr:uid="{7C60F6A0-A6BE-4A02-A54E-2947EA61B4AC}"/>
    <cellStyle name="Millares 7 2 3 3" xfId="558" xr:uid="{17E8C216-7D4F-43E2-AD2B-634594DDB996}"/>
    <cellStyle name="Millares 7 2 3 3 2" xfId="1900" xr:uid="{014A088D-771E-449A-840C-0D8991A6F5FE}"/>
    <cellStyle name="Millares 7 2 3 3 2 2" xfId="3892" xr:uid="{855B7D97-6713-4A26-A2A6-114FE8975C48}"/>
    <cellStyle name="Millares 7 2 3 3 3" xfId="1229" xr:uid="{127D7201-5383-4DB9-9A40-B5B0F42989C5}"/>
    <cellStyle name="Millares 7 2 3 3 3 2" xfId="3228" xr:uid="{944D02B9-6E87-42BB-B02B-B7DE2BDFC0D5}"/>
    <cellStyle name="Millares 7 2 3 3 4" xfId="2564" xr:uid="{D913F15C-68C6-420A-B849-4508ABA671A5}"/>
    <cellStyle name="Millares 7 2 3 4" xfId="1568" xr:uid="{70D6347B-7269-4301-8714-ED089F145DDB}"/>
    <cellStyle name="Millares 7 2 3 4 2" xfId="3560" xr:uid="{E28C2B1C-6F0F-4B56-B3ED-4190E9CAE151}"/>
    <cellStyle name="Millares 7 2 3 5" xfId="897" xr:uid="{45991FFD-9FEA-4C18-AB56-1098704A756D}"/>
    <cellStyle name="Millares 7 2 3 5 2" xfId="2896" xr:uid="{7E4D761A-03BC-4928-A02B-1E00B99A30E3}"/>
    <cellStyle name="Millares 7 2 3 6" xfId="2232" xr:uid="{339492B1-C472-4788-86D8-4FF49423ED38}"/>
    <cellStyle name="Millares 7 2 4" xfId="310" xr:uid="{3CF3D3FF-5C54-4ACC-B42C-356577C86A9B}"/>
    <cellStyle name="Millares 7 2 4 2" xfId="642" xr:uid="{5E844B67-1FEB-4BAD-A10F-E94CB4BDD191}"/>
    <cellStyle name="Millares 7 2 4 2 2" xfId="1984" xr:uid="{C6B77677-F624-4D72-8FA8-11E83F2CA90C}"/>
    <cellStyle name="Millares 7 2 4 2 2 2" xfId="3976" xr:uid="{7B967232-B421-495D-8619-D729B739A6F9}"/>
    <cellStyle name="Millares 7 2 4 2 3" xfId="1313" xr:uid="{3685649B-FC3D-4800-86A4-14C96A86A327}"/>
    <cellStyle name="Millares 7 2 4 2 3 2" xfId="3312" xr:uid="{FB5FF792-7D73-4669-996F-203F7F9B53AB}"/>
    <cellStyle name="Millares 7 2 4 2 4" xfId="2648" xr:uid="{0AD268AB-F8A2-4F7F-9EF5-556C427BE8CF}"/>
    <cellStyle name="Millares 7 2 4 3" xfId="1652" xr:uid="{DB6BB573-C804-4531-BD53-1291E508D494}"/>
    <cellStyle name="Millares 7 2 4 3 2" xfId="3644" xr:uid="{A092A06E-6CC4-48C6-B17D-97C681252553}"/>
    <cellStyle name="Millares 7 2 4 4" xfId="981" xr:uid="{9AB0EA43-31FF-4CD7-B528-F67641C9F6A9}"/>
    <cellStyle name="Millares 7 2 4 4 2" xfId="2980" xr:uid="{0F015A62-FA16-477A-91FA-B3CE1AD9B91A}"/>
    <cellStyle name="Millares 7 2 4 5" xfId="2316" xr:uid="{503EEFFC-273D-43A5-86AE-A3165C2B0596}"/>
    <cellStyle name="Millares 7 2 5" xfId="476" xr:uid="{33CE2CE1-ABFD-41EB-9BC0-63EB70EA898E}"/>
    <cellStyle name="Millares 7 2 5 2" xfId="1818" xr:uid="{BD33FAB4-A2A6-4208-B35D-DF596F18A811}"/>
    <cellStyle name="Millares 7 2 5 2 2" xfId="3810" xr:uid="{8ED69E95-A78A-4CE4-ADF5-3DF3CB3969FE}"/>
    <cellStyle name="Millares 7 2 5 3" xfId="1147" xr:uid="{B8023DCE-EF3D-4064-96A9-5959991263AC}"/>
    <cellStyle name="Millares 7 2 5 3 2" xfId="3146" xr:uid="{9B3907BD-F27B-4E69-A3DC-F4423F36E84A}"/>
    <cellStyle name="Millares 7 2 5 4" xfId="2482" xr:uid="{7F401A9F-943A-490A-B063-B6734BA7BEA6}"/>
    <cellStyle name="Millares 7 2 6" xfId="1486" xr:uid="{6BF57C9D-98F3-4150-9A44-4F779593D94C}"/>
    <cellStyle name="Millares 7 2 6 2" xfId="3478" xr:uid="{5B8CF4D4-3A42-4088-8406-79CEA20990A9}"/>
    <cellStyle name="Millares 7 2 7" xfId="815" xr:uid="{5DA01B09-DC9B-439D-BB29-614586E114C3}"/>
    <cellStyle name="Millares 7 2 7 2" xfId="2814" xr:uid="{E4DAD247-04F5-4320-8420-5BDC0E10EB51}"/>
    <cellStyle name="Millares 7 2 8" xfId="2150" xr:uid="{D4DB53E7-3B8C-4161-ABFB-CFAE07D297F7}"/>
    <cellStyle name="Millares 7 3" xfId="138" xr:uid="{AE5487E7-9986-40E8-9EC3-B8330A3CC21B}"/>
    <cellStyle name="Millares 7 3 2" xfId="227" xr:uid="{013935D5-A5EB-48AD-A3E4-5F670E89DAC9}"/>
    <cellStyle name="Millares 7 3 2 2" xfId="413" xr:uid="{E490BFFC-B71B-42B1-AA78-DC24A2CDCB4F}"/>
    <cellStyle name="Millares 7 3 2 2 2" xfId="745" xr:uid="{A6307C9D-F5A4-4E15-81AA-36099E658ED7}"/>
    <cellStyle name="Millares 7 3 2 2 2 2" xfId="2087" xr:uid="{5A22E161-4D44-41D3-9C9A-BD72546C0714}"/>
    <cellStyle name="Millares 7 3 2 2 2 2 2" xfId="4079" xr:uid="{036F88FB-ACA3-4BBD-B569-1A18C748C4A1}"/>
    <cellStyle name="Millares 7 3 2 2 2 3" xfId="1416" xr:uid="{8AA7BE36-9529-4F48-A46A-18F313FFCE3A}"/>
    <cellStyle name="Millares 7 3 2 2 2 3 2" xfId="3415" xr:uid="{B240D60A-A998-43EC-BF59-105D5F9114A3}"/>
    <cellStyle name="Millares 7 3 2 2 2 4" xfId="2751" xr:uid="{FF0A75B9-4CF4-4A0E-BD5C-0760484EA80E}"/>
    <cellStyle name="Millares 7 3 2 2 3" xfId="1755" xr:uid="{47D75E29-686C-4269-9C30-E42343603B0B}"/>
    <cellStyle name="Millares 7 3 2 2 3 2" xfId="3747" xr:uid="{7ECF2312-DB2A-4327-BF61-0BD3A9FCECF3}"/>
    <cellStyle name="Millares 7 3 2 2 4" xfId="1084" xr:uid="{373BE552-E51C-4A69-84B7-BAEA09567AFB}"/>
    <cellStyle name="Millares 7 3 2 2 4 2" xfId="3083" xr:uid="{8B0BBD1D-230E-4B1E-AEFF-0915DD2FBF79}"/>
    <cellStyle name="Millares 7 3 2 2 5" xfId="2419" xr:uid="{D7E56D5D-4260-4EE0-82F1-92AFAC8A578E}"/>
    <cellStyle name="Millares 7 3 2 3" xfId="579" xr:uid="{9EE1C2F8-20C1-4E8C-8411-9C3FEAA21330}"/>
    <cellStyle name="Millares 7 3 2 3 2" xfId="1921" xr:uid="{32960DF6-79C8-4F13-A65B-40E2769185B8}"/>
    <cellStyle name="Millares 7 3 2 3 2 2" xfId="3913" xr:uid="{0E7D8808-A17F-4C91-AA03-6FBE83BF32CB}"/>
    <cellStyle name="Millares 7 3 2 3 3" xfId="1250" xr:uid="{03731192-3A49-4F3E-A3D9-49308F201CC8}"/>
    <cellStyle name="Millares 7 3 2 3 3 2" xfId="3249" xr:uid="{05215860-C822-4B2E-9D38-6B511C857D68}"/>
    <cellStyle name="Millares 7 3 2 3 4" xfId="2585" xr:uid="{8CF15792-A99D-421E-93B1-73BE8EDD300A}"/>
    <cellStyle name="Millares 7 3 2 4" xfId="1589" xr:uid="{E781112B-0EA7-4AD0-9082-A4023198B883}"/>
    <cellStyle name="Millares 7 3 2 4 2" xfId="3581" xr:uid="{639967BF-B37C-41B6-B85B-A12D089A4FA8}"/>
    <cellStyle name="Millares 7 3 2 5" xfId="918" xr:uid="{156C8A04-8514-4430-BE00-7E270DDF1386}"/>
    <cellStyle name="Millares 7 3 2 5 2" xfId="2917" xr:uid="{59347587-FC1F-45EE-B0DA-A28D9CD1C41B}"/>
    <cellStyle name="Millares 7 3 2 6" xfId="2253" xr:uid="{E254DDEF-54A6-4124-820A-748A273D9725}"/>
    <cellStyle name="Millares 7 3 3" xfId="331" xr:uid="{D7810595-A9F5-46D2-BB9E-23696A8FFA74}"/>
    <cellStyle name="Millares 7 3 3 2" xfId="663" xr:uid="{97E7FE02-25C1-4A0F-816F-63E661E78376}"/>
    <cellStyle name="Millares 7 3 3 2 2" xfId="2005" xr:uid="{45300D12-C590-4EBD-AAC5-A36D12BEB56B}"/>
    <cellStyle name="Millares 7 3 3 2 2 2" xfId="3997" xr:uid="{7FE86ADB-FF68-48BB-8E0A-0259D4735CB1}"/>
    <cellStyle name="Millares 7 3 3 2 3" xfId="1334" xr:uid="{21B08A7E-AB44-471D-82AA-275CFE18B647}"/>
    <cellStyle name="Millares 7 3 3 2 3 2" xfId="3333" xr:uid="{C80FDF86-2EC6-4ABC-9FEF-75E6478D1250}"/>
    <cellStyle name="Millares 7 3 3 2 4" xfId="2669" xr:uid="{83308D96-DDD7-40D5-B802-81308DC2EE58}"/>
    <cellStyle name="Millares 7 3 3 3" xfId="1673" xr:uid="{F80B694A-2811-42E5-8F1D-5C1DE1DD610A}"/>
    <cellStyle name="Millares 7 3 3 3 2" xfId="3665" xr:uid="{C3BBB04A-11ED-497B-BB30-2DDA18863575}"/>
    <cellStyle name="Millares 7 3 3 4" xfId="1002" xr:uid="{434D4AA3-141B-4E6B-8402-C601D7A66920}"/>
    <cellStyle name="Millares 7 3 3 4 2" xfId="3001" xr:uid="{979335FF-8C7D-4B22-8F69-0006DFEC8D43}"/>
    <cellStyle name="Millares 7 3 3 5" xfId="2337" xr:uid="{3209B480-B9E7-4531-90C0-96691C0F583E}"/>
    <cellStyle name="Millares 7 3 4" xfId="497" xr:uid="{BD70B28A-7CC9-438A-902D-9EF3A21DE322}"/>
    <cellStyle name="Millares 7 3 4 2" xfId="1839" xr:uid="{AC4F937C-129F-495B-9BE8-627384834D77}"/>
    <cellStyle name="Millares 7 3 4 2 2" xfId="3831" xr:uid="{90095646-45C8-4F92-9568-6D770DEC3EFA}"/>
    <cellStyle name="Millares 7 3 4 3" xfId="1168" xr:uid="{5794B0B9-2082-4398-9FE5-ECAF7A8E9043}"/>
    <cellStyle name="Millares 7 3 4 3 2" xfId="3167" xr:uid="{F112459C-9A19-4D90-AD9A-A2E947050FEE}"/>
    <cellStyle name="Millares 7 3 4 4" xfId="2503" xr:uid="{ACBAB843-008F-46B8-8A54-644211CDA1DB}"/>
    <cellStyle name="Millares 7 3 5" xfId="1507" xr:uid="{20696129-6BFC-4E57-BEDA-621528B0C519}"/>
    <cellStyle name="Millares 7 3 5 2" xfId="3499" xr:uid="{14A987D1-A502-4718-A069-F390E4086335}"/>
    <cellStyle name="Millares 7 3 6" xfId="836" xr:uid="{94C3D538-138F-408B-BC6B-5008FDCC7A32}"/>
    <cellStyle name="Millares 7 3 6 2" xfId="2835" xr:uid="{E6BCFD01-E75C-42ED-83D0-A87F037241AB}"/>
    <cellStyle name="Millares 7 3 7" xfId="2171" xr:uid="{938AAEC1-9F15-4B5F-A1DD-652CB89D3508}"/>
    <cellStyle name="Millares 7 4" xfId="187" xr:uid="{F47E534F-40EC-45F3-B92F-A0737FC7E4E4}"/>
    <cellStyle name="Millares 7 4 2" xfId="373" xr:uid="{86B3BAE8-48B4-4144-88FF-71C05BB7111F}"/>
    <cellStyle name="Millares 7 4 2 2" xfId="705" xr:uid="{E85E6A1E-129E-4986-ADF0-41D593F56345}"/>
    <cellStyle name="Millares 7 4 2 2 2" xfId="2047" xr:uid="{100BFEA9-1DF1-40F5-91EB-B26DD2942F11}"/>
    <cellStyle name="Millares 7 4 2 2 2 2" xfId="4039" xr:uid="{D3BA9F61-288A-436F-B84D-BCCA07351054}"/>
    <cellStyle name="Millares 7 4 2 2 3" xfId="1376" xr:uid="{7A5EDB7A-F3A7-4EBF-9A8C-65C1570A19DF}"/>
    <cellStyle name="Millares 7 4 2 2 3 2" xfId="3375" xr:uid="{D7B1267B-1D5A-4580-8554-D94946BB9EA4}"/>
    <cellStyle name="Millares 7 4 2 2 4" xfId="2711" xr:uid="{BD4CD77C-ED77-4616-BA97-145D3A210B14}"/>
    <cellStyle name="Millares 7 4 2 3" xfId="1715" xr:uid="{84FD6F32-872C-4566-8D64-A6C2EED67B7B}"/>
    <cellStyle name="Millares 7 4 2 3 2" xfId="3707" xr:uid="{C5EFEFFF-7604-477A-B64C-EFD38E96C3A3}"/>
    <cellStyle name="Millares 7 4 2 4" xfId="1044" xr:uid="{EA63CED5-2238-447B-9CD6-2A62F1FAF08E}"/>
    <cellStyle name="Millares 7 4 2 4 2" xfId="3043" xr:uid="{D6A78084-D34A-4789-B5B5-E535920010E3}"/>
    <cellStyle name="Millares 7 4 2 5" xfId="2379" xr:uid="{339A5EDD-B5F8-46A8-A6C7-4D3BB043E220}"/>
    <cellStyle name="Millares 7 4 3" xfId="539" xr:uid="{ECAD579A-CEE4-4C54-AD77-87B9F33ACC6F}"/>
    <cellStyle name="Millares 7 4 3 2" xfId="1881" xr:uid="{FDDA27FB-9D1C-4021-997A-D36B25CCB000}"/>
    <cellStyle name="Millares 7 4 3 2 2" xfId="3873" xr:uid="{994A7D2F-59B5-4CCB-8FEF-F69A6EA0A460}"/>
    <cellStyle name="Millares 7 4 3 3" xfId="1210" xr:uid="{5AEB42A5-E481-488A-9F38-A3B825583A9B}"/>
    <cellStyle name="Millares 7 4 3 3 2" xfId="3209" xr:uid="{DF44F594-F952-4ACE-8A52-373853DCCA10}"/>
    <cellStyle name="Millares 7 4 3 4" xfId="2545" xr:uid="{4F313550-93C6-4223-B4C4-1757B529D7C2}"/>
    <cellStyle name="Millares 7 4 4" xfId="1549" xr:uid="{1026AA9F-4311-454D-A10C-D4B309C17EF7}"/>
    <cellStyle name="Millares 7 4 4 2" xfId="3541" xr:uid="{B12D5C74-EB21-40E4-9FB9-C502EDD2FED2}"/>
    <cellStyle name="Millares 7 4 5" xfId="878" xr:uid="{F62FBB1A-4E2B-45E5-BEAE-CCF26DDF4B22}"/>
    <cellStyle name="Millares 7 4 5 2" xfId="2877" xr:uid="{4A2CFA2A-9E48-42CA-B041-F118AB23F11A}"/>
    <cellStyle name="Millares 7 4 6" xfId="2213" xr:uid="{123667E0-77F5-4428-BA87-39D74ADE426F}"/>
    <cellStyle name="Millares 7 5" xfId="291" xr:uid="{3B79D9A6-463E-4E31-821D-AEEE1DF204E5}"/>
    <cellStyle name="Millares 7 5 2" xfId="623" xr:uid="{0705160A-E42E-4D24-BBFD-94712BBA0231}"/>
    <cellStyle name="Millares 7 5 2 2" xfId="1965" xr:uid="{C72E3534-99E3-434F-BE97-CB5F93BD2EBA}"/>
    <cellStyle name="Millares 7 5 2 2 2" xfId="3957" xr:uid="{4817F777-5921-4A35-8AC5-EC08DB4D37FD}"/>
    <cellStyle name="Millares 7 5 2 3" xfId="1294" xr:uid="{B69852BA-599A-4F53-8FE8-492E44693838}"/>
    <cellStyle name="Millares 7 5 2 3 2" xfId="3293" xr:uid="{28319EEF-4B90-4E0F-A0A2-894606FE2DDA}"/>
    <cellStyle name="Millares 7 5 2 4" xfId="2629" xr:uid="{CBA80BBB-D3E7-4EB6-AECA-788343BE8DAF}"/>
    <cellStyle name="Millares 7 5 3" xfId="1633" xr:uid="{CC651D77-D15B-457A-8FFC-4EB654F72E24}"/>
    <cellStyle name="Millares 7 5 3 2" xfId="3625" xr:uid="{2E99825F-AE19-4B9E-8E41-52CF577C95B5}"/>
    <cellStyle name="Millares 7 5 4" xfId="962" xr:uid="{E953EB90-FE43-42A6-B01E-68DA8C33B439}"/>
    <cellStyle name="Millares 7 5 4 2" xfId="2961" xr:uid="{6534A42D-B9B8-414F-825E-3ACD4BF8F817}"/>
    <cellStyle name="Millares 7 5 5" xfId="2297" xr:uid="{DCA0B5ED-5EC6-466C-A10B-6EFB07F9F29C}"/>
    <cellStyle name="Millares 7 6" xfId="457" xr:uid="{7577233F-1D53-4D83-8D63-1E1C2D76C502}"/>
    <cellStyle name="Millares 7 6 2" xfId="1799" xr:uid="{9D57EE94-C4E9-43D8-9C83-AE2E1B9E24BF}"/>
    <cellStyle name="Millares 7 6 2 2" xfId="3791" xr:uid="{2B0D6909-18A6-43A5-B6D7-569C3B344230}"/>
    <cellStyle name="Millares 7 6 3" xfId="1128" xr:uid="{9300B5BB-6C06-4911-BD43-C9C39E39D3A5}"/>
    <cellStyle name="Millares 7 6 3 2" xfId="3127" xr:uid="{84A2CA2D-11C5-4A46-8DB1-3E1AD9C7CF04}"/>
    <cellStyle name="Millares 7 6 4" xfId="2463" xr:uid="{E1F17B04-B656-462D-ADE2-B510DFA3E3B1}"/>
    <cellStyle name="Millares 7 7" xfId="1467" xr:uid="{AEE70DE6-8BFC-414F-95EB-6B60E2C689EC}"/>
    <cellStyle name="Millares 7 7 2" xfId="3459" xr:uid="{1E36954C-6FA1-4799-97C3-4E0A6F4E4A33}"/>
    <cellStyle name="Millares 7 8" xfId="796" xr:uid="{F1566345-D8CC-4078-80BB-3F0554B93294}"/>
    <cellStyle name="Millares 7 8 2" xfId="2795" xr:uid="{10030ADB-6334-447D-98D6-C54464B07E53}"/>
    <cellStyle name="Millares 7 9" xfId="2131" xr:uid="{DC068BCD-6D4A-4FAA-8640-A3C3028B9F6D}"/>
    <cellStyle name="Millares 79" xfId="48" xr:uid="{06154DD9-0B0A-4528-A572-274B7BAEBD52}"/>
    <cellStyle name="Millares 79 10" xfId="781" xr:uid="{0E32F7A6-3169-467C-B069-83D01785C472}"/>
    <cellStyle name="Millares 79 10 2" xfId="2781" xr:uid="{9785312B-E827-4F12-8B38-805794200A90}"/>
    <cellStyle name="Millares 79 11" xfId="2117" xr:uid="{3A737980-5902-4200-942D-DE30D09CA3B2}"/>
    <cellStyle name="Millares 79 2" xfId="75" xr:uid="{6FF62E84-2ACC-4E83-858F-A99A6E547EC2}"/>
    <cellStyle name="Millares 79 2 2" xfId="104" xr:uid="{C1BA4B53-7AEF-46DB-9F3C-1E1498A79F2F}"/>
    <cellStyle name="Millares 79 2 2 2" xfId="152" xr:uid="{49C00AAF-285A-4436-9271-92F9EA6A901F}"/>
    <cellStyle name="Millares 79 2 2 2 2" xfId="241" xr:uid="{B046D418-83C9-443C-A397-F72044AA64B6}"/>
    <cellStyle name="Millares 79 2 2 2 2 2" xfId="427" xr:uid="{342E261A-D87E-4FFB-8E15-F0535D97C7AC}"/>
    <cellStyle name="Millares 79 2 2 2 2 2 2" xfId="759" xr:uid="{A64B57BB-B597-4506-A559-ED6D3E011921}"/>
    <cellStyle name="Millares 79 2 2 2 2 2 2 2" xfId="2101" xr:uid="{5363985D-1B8F-4B7A-8E6F-7645761F3045}"/>
    <cellStyle name="Millares 79 2 2 2 2 2 2 2 2" xfId="4093" xr:uid="{7C64369C-87D7-45BB-9424-9017AC13942D}"/>
    <cellStyle name="Millares 79 2 2 2 2 2 2 3" xfId="1430" xr:uid="{736C8517-1C0C-4F9B-91CB-E4F66AA94423}"/>
    <cellStyle name="Millares 79 2 2 2 2 2 2 3 2" xfId="3429" xr:uid="{0ED53BC0-DDF0-40A1-8DF4-2C520DD48587}"/>
    <cellStyle name="Millares 79 2 2 2 2 2 2 4" xfId="2765" xr:uid="{81D0D233-52E2-473F-999B-D2E1C2C2C782}"/>
    <cellStyle name="Millares 79 2 2 2 2 2 3" xfId="1769" xr:uid="{A3A30F19-0CC7-41E4-A985-8FE0C51848AD}"/>
    <cellStyle name="Millares 79 2 2 2 2 2 3 2" xfId="3761" xr:uid="{FED86E28-CC73-4AC4-A7E9-8948C190A6AF}"/>
    <cellStyle name="Millares 79 2 2 2 2 2 4" xfId="1098" xr:uid="{95289DD0-4732-4101-9763-D67A14E5CB85}"/>
    <cellStyle name="Millares 79 2 2 2 2 2 4 2" xfId="3097" xr:uid="{8B8C76F3-181E-4F30-BF7A-C646EB61D0F3}"/>
    <cellStyle name="Millares 79 2 2 2 2 2 5" xfId="2433" xr:uid="{7F99D336-C73F-4AB4-A933-3F4BE8BD1999}"/>
    <cellStyle name="Millares 79 2 2 2 2 3" xfId="593" xr:uid="{4602EEAA-2E14-4E3F-80D0-1C09C0193F3E}"/>
    <cellStyle name="Millares 79 2 2 2 2 3 2" xfId="1935" xr:uid="{7B81B402-A081-45BC-B729-64570002D0AE}"/>
    <cellStyle name="Millares 79 2 2 2 2 3 2 2" xfId="3927" xr:uid="{3B2F0DE1-1733-4724-B928-5FDDB2183BAF}"/>
    <cellStyle name="Millares 79 2 2 2 2 3 3" xfId="1264" xr:uid="{DD822AF8-32C2-4BD0-83E9-951630759801}"/>
    <cellStyle name="Millares 79 2 2 2 2 3 3 2" xfId="3263" xr:uid="{7B71C394-C30E-4E4E-993A-EF06A17EDA03}"/>
    <cellStyle name="Millares 79 2 2 2 2 3 4" xfId="2599" xr:uid="{62F32D7F-1C12-44BF-AF89-B910D09379DD}"/>
    <cellStyle name="Millares 79 2 2 2 2 4" xfId="1603" xr:uid="{A57B6F17-C613-4222-AD19-2C75BE1F834B}"/>
    <cellStyle name="Millares 79 2 2 2 2 4 2" xfId="3595" xr:uid="{BC0737AF-5820-4C91-A10D-0199276128F5}"/>
    <cellStyle name="Millares 79 2 2 2 2 5" xfId="932" xr:uid="{6CFC100B-2292-4C27-A2C3-FAFDC81B79CC}"/>
    <cellStyle name="Millares 79 2 2 2 2 5 2" xfId="2931" xr:uid="{28D1A47C-AE1E-4A25-BF56-C133F9C878BC}"/>
    <cellStyle name="Millares 79 2 2 2 2 6" xfId="2267" xr:uid="{22EE7222-DF42-445B-8DD7-1FEDEF94D499}"/>
    <cellStyle name="Millares 79 2 2 2 3" xfId="345" xr:uid="{CFB30582-4C7D-4A10-89F9-908E9032727C}"/>
    <cellStyle name="Millares 79 2 2 2 3 2" xfId="677" xr:uid="{75B04D9B-24FC-436C-9C9C-7FFAB13D520D}"/>
    <cellStyle name="Millares 79 2 2 2 3 2 2" xfId="2019" xr:uid="{1214BCE6-2418-452B-87D0-9B6BA0AA77C7}"/>
    <cellStyle name="Millares 79 2 2 2 3 2 2 2" xfId="4011" xr:uid="{A0404ABC-328E-42BE-B92A-C85786CDB367}"/>
    <cellStyle name="Millares 79 2 2 2 3 2 3" xfId="1348" xr:uid="{810DDA65-AF7C-49D8-B053-6B20A2225D1D}"/>
    <cellStyle name="Millares 79 2 2 2 3 2 3 2" xfId="3347" xr:uid="{15DFBC50-AC98-4920-8590-7935103133FD}"/>
    <cellStyle name="Millares 79 2 2 2 3 2 4" xfId="2683" xr:uid="{69285A75-382C-4874-9922-7E4BC693AB2F}"/>
    <cellStyle name="Millares 79 2 2 2 3 3" xfId="1687" xr:uid="{38847352-50C7-473A-A462-07B161DD9491}"/>
    <cellStyle name="Millares 79 2 2 2 3 3 2" xfId="3679" xr:uid="{34F69184-E874-4F03-BC35-33A840CC0DA8}"/>
    <cellStyle name="Millares 79 2 2 2 3 4" xfId="1016" xr:uid="{AA82FC96-DA11-4E71-BB2F-3AB194BDA1C7}"/>
    <cellStyle name="Millares 79 2 2 2 3 4 2" xfId="3015" xr:uid="{6F90CC31-99ED-4CFD-B29E-B9B2E8CB6661}"/>
    <cellStyle name="Millares 79 2 2 2 3 5" xfId="2351" xr:uid="{3496BE92-4141-4F1E-8FF8-7AC23BACFE8B}"/>
    <cellStyle name="Millares 79 2 2 2 4" xfId="511" xr:uid="{CF1450E7-E20A-41B3-ABDD-D6895D697137}"/>
    <cellStyle name="Millares 79 2 2 2 4 2" xfId="1853" xr:uid="{1140FA4F-F90D-4E24-ABD1-F7CE97FB07E1}"/>
    <cellStyle name="Millares 79 2 2 2 4 2 2" xfId="3845" xr:uid="{7119C513-2259-499C-8CD0-D32EE02E9942}"/>
    <cellStyle name="Millares 79 2 2 2 4 3" xfId="1182" xr:uid="{69E9C5A2-55C0-49FF-AAC1-F3B8C5FE35F7}"/>
    <cellStyle name="Millares 79 2 2 2 4 3 2" xfId="3181" xr:uid="{D998FFA2-1DCD-484D-8753-E6100BD781C7}"/>
    <cellStyle name="Millares 79 2 2 2 4 4" xfId="2517" xr:uid="{A256FF7E-10D9-43C7-BC48-69C3F46EF0BF}"/>
    <cellStyle name="Millares 79 2 2 2 5" xfId="1521" xr:uid="{378D5183-148E-469D-B43F-571519F215C8}"/>
    <cellStyle name="Millares 79 2 2 2 5 2" xfId="3513" xr:uid="{23E58108-0B1D-4277-B56D-E216D34CC935}"/>
    <cellStyle name="Millares 79 2 2 2 6" xfId="850" xr:uid="{BD227104-B00F-43F0-9FB1-C9233516D8FE}"/>
    <cellStyle name="Millares 79 2 2 2 6 2" xfId="2849" xr:uid="{95C7161F-BDF1-4177-99AB-440EAAF03444}"/>
    <cellStyle name="Millares 79 2 2 2 7" xfId="2185" xr:uid="{BDB4920E-29EB-4D5C-8A9A-5328D200F11C}"/>
    <cellStyle name="Millares 79 2 2 3" xfId="201" xr:uid="{6F9B4B0A-7DA1-41F6-8F7B-97D631F2842C}"/>
    <cellStyle name="Millares 79 2 2 3 2" xfId="387" xr:uid="{7FA92138-CDF7-4999-AF80-7B4A7B3E09FD}"/>
    <cellStyle name="Millares 79 2 2 3 2 2" xfId="719" xr:uid="{709783F9-3B14-4642-AA8D-2DB085CDD691}"/>
    <cellStyle name="Millares 79 2 2 3 2 2 2" xfId="2061" xr:uid="{2CCAE9C7-2823-471A-8CA5-22086C398996}"/>
    <cellStyle name="Millares 79 2 2 3 2 2 2 2" xfId="4053" xr:uid="{8E231501-C900-4525-9A58-DB2A54CF9504}"/>
    <cellStyle name="Millares 79 2 2 3 2 2 3" xfId="1390" xr:uid="{8112918A-A64C-40F3-BBBB-984E57B677E9}"/>
    <cellStyle name="Millares 79 2 2 3 2 2 3 2" xfId="3389" xr:uid="{82CB405F-5160-48F3-B3AD-7032D6137A84}"/>
    <cellStyle name="Millares 79 2 2 3 2 2 4" xfId="2725" xr:uid="{FF5EAFB1-7362-4724-BA0C-38D007AD8E7F}"/>
    <cellStyle name="Millares 79 2 2 3 2 3" xfId="1729" xr:uid="{56D076F7-7E15-4688-AB73-093E90B1AEE6}"/>
    <cellStyle name="Millares 79 2 2 3 2 3 2" xfId="3721" xr:uid="{5A063981-687F-466D-965B-3517816E8C40}"/>
    <cellStyle name="Millares 79 2 2 3 2 4" xfId="1058" xr:uid="{805156E3-1731-49A0-9901-58915CA92978}"/>
    <cellStyle name="Millares 79 2 2 3 2 4 2" xfId="3057" xr:uid="{1B101DA1-4F13-47CD-A73E-EEC9E6AECB27}"/>
    <cellStyle name="Millares 79 2 2 3 2 5" xfId="2393" xr:uid="{ABBC600B-3CD4-4595-B453-FDD3ECF8FA24}"/>
    <cellStyle name="Millares 79 2 2 3 3" xfId="553" xr:uid="{2F97C6C2-16CE-4869-BF1F-089D9A0E74C8}"/>
    <cellStyle name="Millares 79 2 2 3 3 2" xfId="1895" xr:uid="{7DCD4105-84E5-48A0-9F70-94FC5F3C976D}"/>
    <cellStyle name="Millares 79 2 2 3 3 2 2" xfId="3887" xr:uid="{BC76FA4A-6C88-4975-9CBE-B10B326EA067}"/>
    <cellStyle name="Millares 79 2 2 3 3 3" xfId="1224" xr:uid="{B1B5A1C9-F31B-449A-89D3-F9137C523E1D}"/>
    <cellStyle name="Millares 79 2 2 3 3 3 2" xfId="3223" xr:uid="{409652F2-6DEB-46F9-AEA8-5262974FE55A}"/>
    <cellStyle name="Millares 79 2 2 3 3 4" xfId="2559" xr:uid="{A7863599-D8A3-46C2-86CE-096D2ABC5B3B}"/>
    <cellStyle name="Millares 79 2 2 3 4" xfId="1563" xr:uid="{650F3C34-6D5A-40A7-ACA6-4BBE8F881A72}"/>
    <cellStyle name="Millares 79 2 2 3 4 2" xfId="3555" xr:uid="{8EBEA502-5F24-4C91-A549-252B2ADD2006}"/>
    <cellStyle name="Millares 79 2 2 3 5" xfId="892" xr:uid="{9E8F8798-0F15-4149-9F6F-CFCCF092834C}"/>
    <cellStyle name="Millares 79 2 2 3 5 2" xfId="2891" xr:uid="{2DD6E4E3-CDC4-482E-B9D1-AC230C0CCFD6}"/>
    <cellStyle name="Millares 79 2 2 3 6" xfId="2227" xr:uid="{D872BEA4-2195-415E-881F-05BB4BA9CC6E}"/>
    <cellStyle name="Millares 79 2 2 4" xfId="305" xr:uid="{80121F71-CDB7-4CA4-9078-BD3475647D38}"/>
    <cellStyle name="Millares 79 2 2 4 2" xfId="637" xr:uid="{B49984E5-C5E3-4C87-8958-50FCBCB2852B}"/>
    <cellStyle name="Millares 79 2 2 4 2 2" xfId="1979" xr:uid="{E483658E-5500-4594-A6DB-E3DEB6576BC5}"/>
    <cellStyle name="Millares 79 2 2 4 2 2 2" xfId="3971" xr:uid="{EF5E9192-1075-4B9E-924F-2FDCF02A0268}"/>
    <cellStyle name="Millares 79 2 2 4 2 3" xfId="1308" xr:uid="{4DAC2EDC-4844-4E90-93E4-9C0C946AC19A}"/>
    <cellStyle name="Millares 79 2 2 4 2 3 2" xfId="3307" xr:uid="{7B6ABC77-5BD0-4981-BE77-1FC9507F8948}"/>
    <cellStyle name="Millares 79 2 2 4 2 4" xfId="2643" xr:uid="{F286E460-ABF4-4CDA-8E21-0E69D8751251}"/>
    <cellStyle name="Millares 79 2 2 4 3" xfId="1647" xr:uid="{CDBD1F48-12D0-413B-AD0D-835BBA9D7F56}"/>
    <cellStyle name="Millares 79 2 2 4 3 2" xfId="3639" xr:uid="{302B3C23-D620-44E2-BA76-2A1C8B30B8A1}"/>
    <cellStyle name="Millares 79 2 2 4 4" xfId="976" xr:uid="{51188D33-0649-48C5-A4D3-8007EB7474F2}"/>
    <cellStyle name="Millares 79 2 2 4 4 2" xfId="2975" xr:uid="{4DAC77EC-2B59-4766-B572-A5EF07B4BA5F}"/>
    <cellStyle name="Millares 79 2 2 4 5" xfId="2311" xr:uid="{45CAC3DA-471F-4111-976C-2C323996CD8B}"/>
    <cellStyle name="Millares 79 2 2 5" xfId="471" xr:uid="{923CC4D0-868C-4344-A4D9-EFB608B774D3}"/>
    <cellStyle name="Millares 79 2 2 5 2" xfId="1813" xr:uid="{5219E9B5-F8E7-4168-A33E-3172B61BCCAC}"/>
    <cellStyle name="Millares 79 2 2 5 2 2" xfId="3805" xr:uid="{1C94AA96-BC15-4859-ABC1-E22A472F258E}"/>
    <cellStyle name="Millares 79 2 2 5 3" xfId="1142" xr:uid="{8BB7D880-FE9E-4D4C-B312-5BB87E8728A0}"/>
    <cellStyle name="Millares 79 2 2 5 3 2" xfId="3141" xr:uid="{C2342FED-566F-4335-AB23-03B1746F9775}"/>
    <cellStyle name="Millares 79 2 2 5 4" xfId="2477" xr:uid="{C357B4C9-A847-498C-85CF-E835BB4681E0}"/>
    <cellStyle name="Millares 79 2 2 6" xfId="1481" xr:uid="{F0CCBF8C-BE7F-44F6-AF4A-E74E7568192D}"/>
    <cellStyle name="Millares 79 2 2 6 2" xfId="3473" xr:uid="{C05EE70A-07A4-4886-9631-126D8378C0EF}"/>
    <cellStyle name="Millares 79 2 2 7" xfId="810" xr:uid="{089130E9-0161-454A-817D-DABCF9AD7421}"/>
    <cellStyle name="Millares 79 2 2 7 2" xfId="2809" xr:uid="{09654BC9-5752-45E5-BD28-4D9B79635561}"/>
    <cellStyle name="Millares 79 2 2 8" xfId="2145" xr:uid="{79E6CC12-3961-481B-88AF-69525B0396E6}"/>
    <cellStyle name="Millares 79 2 3" xfId="133" xr:uid="{288459C7-5B17-4D27-9DD5-D6B978872F2F}"/>
    <cellStyle name="Millares 79 2 3 2" xfId="222" xr:uid="{02894DA1-2572-4F9A-A463-200B145B1AED}"/>
    <cellStyle name="Millares 79 2 3 2 2" xfId="408" xr:uid="{84DC98BA-0FBD-4D9B-A727-F0BA66D14641}"/>
    <cellStyle name="Millares 79 2 3 2 2 2" xfId="740" xr:uid="{B105A491-940B-42E4-B642-EA75BAB4405A}"/>
    <cellStyle name="Millares 79 2 3 2 2 2 2" xfId="2082" xr:uid="{3D9ADA18-41E5-4448-B480-94B258312348}"/>
    <cellStyle name="Millares 79 2 3 2 2 2 2 2" xfId="4074" xr:uid="{445287BE-288B-4048-BF7A-52D7E23AD331}"/>
    <cellStyle name="Millares 79 2 3 2 2 2 3" xfId="1411" xr:uid="{6B27A16A-C0CA-4F29-B188-D7C05DE9D944}"/>
    <cellStyle name="Millares 79 2 3 2 2 2 3 2" xfId="3410" xr:uid="{5FC95B8B-8C66-4563-BA5A-1B9893DFAED3}"/>
    <cellStyle name="Millares 79 2 3 2 2 2 4" xfId="2746" xr:uid="{5FF97926-B09F-41F0-ACF6-315C656F5CE9}"/>
    <cellStyle name="Millares 79 2 3 2 2 3" xfId="1750" xr:uid="{705011D1-21EF-448E-8C76-0EA953DB62E0}"/>
    <cellStyle name="Millares 79 2 3 2 2 3 2" xfId="3742" xr:uid="{6ED4021E-FAA0-4EAF-803F-FDC815F90D02}"/>
    <cellStyle name="Millares 79 2 3 2 2 4" xfId="1079" xr:uid="{2BA90B2F-1E86-4F0C-9501-0977991EC753}"/>
    <cellStyle name="Millares 79 2 3 2 2 4 2" xfId="3078" xr:uid="{7C6687EE-D4DE-4164-8F13-2BDE2E5D76D9}"/>
    <cellStyle name="Millares 79 2 3 2 2 5" xfId="2414" xr:uid="{D8B804AE-30DA-4A39-9E46-6DBC44A2A5C8}"/>
    <cellStyle name="Millares 79 2 3 2 3" xfId="574" xr:uid="{A8CF9AC7-2C8A-45C2-8C68-2832C28EF4A7}"/>
    <cellStyle name="Millares 79 2 3 2 3 2" xfId="1916" xr:uid="{1EF933EB-F900-46C8-B8B6-D5F07C981ACD}"/>
    <cellStyle name="Millares 79 2 3 2 3 2 2" xfId="3908" xr:uid="{6819E69E-9351-4454-98C0-7253BDD4D84D}"/>
    <cellStyle name="Millares 79 2 3 2 3 3" xfId="1245" xr:uid="{0CD2754C-D76C-45B3-AB41-53CA506A6550}"/>
    <cellStyle name="Millares 79 2 3 2 3 3 2" xfId="3244" xr:uid="{1C38773E-08EB-4EE1-A46F-6D5ED9B03425}"/>
    <cellStyle name="Millares 79 2 3 2 3 4" xfId="2580" xr:uid="{ADF6B6A7-05A0-4ADD-844E-D2E70951E490}"/>
    <cellStyle name="Millares 79 2 3 2 4" xfId="1584" xr:uid="{3C37A39F-CE01-4E9F-9ACC-AB81DFA205CE}"/>
    <cellStyle name="Millares 79 2 3 2 4 2" xfId="3576" xr:uid="{93C4BAAC-3829-447B-83C8-82AE974BD630}"/>
    <cellStyle name="Millares 79 2 3 2 5" xfId="913" xr:uid="{3CD15CB5-3C57-482F-AD70-0560A4F199DD}"/>
    <cellStyle name="Millares 79 2 3 2 5 2" xfId="2912" xr:uid="{74E79BAF-A570-4457-BCD3-99D2B896073A}"/>
    <cellStyle name="Millares 79 2 3 2 6" xfId="2248" xr:uid="{48C5CA19-756F-4295-A13F-CAD2226D0BA8}"/>
    <cellStyle name="Millares 79 2 3 3" xfId="326" xr:uid="{9DCBCE57-DAEF-4668-9AC5-4E29F40C2A65}"/>
    <cellStyle name="Millares 79 2 3 3 2" xfId="658" xr:uid="{33C4239F-94EE-42A0-9907-C3E705C26991}"/>
    <cellStyle name="Millares 79 2 3 3 2 2" xfId="2000" xr:uid="{150B5BD1-0124-42A2-BA59-F14C50F7A618}"/>
    <cellStyle name="Millares 79 2 3 3 2 2 2" xfId="3992" xr:uid="{32975EF4-5FC8-4D23-B276-FCCF46E158AE}"/>
    <cellStyle name="Millares 79 2 3 3 2 3" xfId="1329" xr:uid="{7DB0B89D-F990-4794-AFB0-52BFC2023C6B}"/>
    <cellStyle name="Millares 79 2 3 3 2 3 2" xfId="3328" xr:uid="{84FE84E3-E3DC-4D31-BC7B-0B8FB6E61500}"/>
    <cellStyle name="Millares 79 2 3 3 2 4" xfId="2664" xr:uid="{F3D10147-781B-4D05-91E4-23E40A351557}"/>
    <cellStyle name="Millares 79 2 3 3 3" xfId="1668" xr:uid="{B822B1D9-13B2-4F50-98EB-2F8D11A0C6D0}"/>
    <cellStyle name="Millares 79 2 3 3 3 2" xfId="3660" xr:uid="{2C8D7F54-3438-4848-8609-C331CF3C4A04}"/>
    <cellStyle name="Millares 79 2 3 3 4" xfId="997" xr:uid="{462B1FF9-EF4C-4219-938C-236AF94CDFAF}"/>
    <cellStyle name="Millares 79 2 3 3 4 2" xfId="2996" xr:uid="{CE67EF7A-DC51-41A8-B7A4-BB5B8B450777}"/>
    <cellStyle name="Millares 79 2 3 3 5" xfId="2332" xr:uid="{04A22ADC-8B52-4097-8BDD-8DB16CDFA5D2}"/>
    <cellStyle name="Millares 79 2 3 4" xfId="492" xr:uid="{A97EE9D2-3EDF-4653-A56B-4DB8FE3307BF}"/>
    <cellStyle name="Millares 79 2 3 4 2" xfId="1834" xr:uid="{E311BBC6-6B34-4B64-94B7-19CE807A6F84}"/>
    <cellStyle name="Millares 79 2 3 4 2 2" xfId="3826" xr:uid="{A5C6114A-C420-4141-B5EE-0FEFDF5693D9}"/>
    <cellStyle name="Millares 79 2 3 4 3" xfId="1163" xr:uid="{26E1E3CB-FF91-4969-9173-683B584E7590}"/>
    <cellStyle name="Millares 79 2 3 4 3 2" xfId="3162" xr:uid="{CDCA4D1E-E011-4DDC-ABE7-3A46BA9DAED4}"/>
    <cellStyle name="Millares 79 2 3 4 4" xfId="2498" xr:uid="{7D882703-CA72-41F5-A3A6-C619AF0E3D6D}"/>
    <cellStyle name="Millares 79 2 3 5" xfId="1502" xr:uid="{3C43C3FB-FD96-457D-A7BB-7108634929EC}"/>
    <cellStyle name="Millares 79 2 3 5 2" xfId="3494" xr:uid="{90F870EE-B7EA-4D62-A3D5-0F4BDCE3863C}"/>
    <cellStyle name="Millares 79 2 3 6" xfId="831" xr:uid="{BFA59F1D-0963-4D34-994C-BDFE0B771A97}"/>
    <cellStyle name="Millares 79 2 3 6 2" xfId="2830" xr:uid="{BDDE66D9-A14C-4D7B-81A5-00D3238E99BC}"/>
    <cellStyle name="Millares 79 2 3 7" xfId="2166" xr:uid="{6436F9F8-4C19-480E-9F9C-B710AA272476}"/>
    <cellStyle name="Millares 79 2 4" xfId="182" xr:uid="{47F7DCB0-6B44-43A7-8ECD-7F5EF9F7819E}"/>
    <cellStyle name="Millares 79 2 4 2" xfId="368" xr:uid="{CA8CF0A5-61AD-4B8F-BEAA-72FD0060491C}"/>
    <cellStyle name="Millares 79 2 4 2 2" xfId="700" xr:uid="{28EB399C-64FB-4C66-B5B3-B763F00238A6}"/>
    <cellStyle name="Millares 79 2 4 2 2 2" xfId="2042" xr:uid="{8D7132E5-66D7-40E2-8FFB-BD3EEEA987FF}"/>
    <cellStyle name="Millares 79 2 4 2 2 2 2" xfId="4034" xr:uid="{E775958B-78F8-4D36-ACC6-15A8347CC13A}"/>
    <cellStyle name="Millares 79 2 4 2 2 3" xfId="1371" xr:uid="{3765A880-3091-43F9-A733-EC9F596EF1A3}"/>
    <cellStyle name="Millares 79 2 4 2 2 3 2" xfId="3370" xr:uid="{D7B34B21-8ABE-45CC-B506-794BEA03C472}"/>
    <cellStyle name="Millares 79 2 4 2 2 4" xfId="2706" xr:uid="{A1382ED1-3E05-403E-9719-C0314FB48B1A}"/>
    <cellStyle name="Millares 79 2 4 2 3" xfId="1710" xr:uid="{959A0795-1FE6-4045-A0D4-43D400F53B00}"/>
    <cellStyle name="Millares 79 2 4 2 3 2" xfId="3702" xr:uid="{6576015C-BAC7-45E0-9AD7-F8D99B9FB62A}"/>
    <cellStyle name="Millares 79 2 4 2 4" xfId="1039" xr:uid="{479864FC-D7B5-4C7F-AE43-57E74D793292}"/>
    <cellStyle name="Millares 79 2 4 2 4 2" xfId="3038" xr:uid="{677FB668-1571-474B-8661-0C02D1F4410C}"/>
    <cellStyle name="Millares 79 2 4 2 5" xfId="2374" xr:uid="{5CAF69FC-C9C1-44B7-9319-D64BC34B3295}"/>
    <cellStyle name="Millares 79 2 4 3" xfId="534" xr:uid="{32C33E14-58B2-4359-88B0-581E8EE16ED7}"/>
    <cellStyle name="Millares 79 2 4 3 2" xfId="1876" xr:uid="{57895FE2-8E0A-439D-9170-6514057CE2D9}"/>
    <cellStyle name="Millares 79 2 4 3 2 2" xfId="3868" xr:uid="{A7C826CF-5C61-4B46-93FB-652451EC64FC}"/>
    <cellStyle name="Millares 79 2 4 3 3" xfId="1205" xr:uid="{DC3DB63B-2795-48D9-952B-AF5D445B2649}"/>
    <cellStyle name="Millares 79 2 4 3 3 2" xfId="3204" xr:uid="{57E4E361-60A6-4718-BC78-5C45EE73FB10}"/>
    <cellStyle name="Millares 79 2 4 3 4" xfId="2540" xr:uid="{A98C50BA-9DBD-45C8-8031-8B2A619B10CE}"/>
    <cellStyle name="Millares 79 2 4 4" xfId="1544" xr:uid="{0ED99924-F9C5-41B4-BEFD-39550EA83ED9}"/>
    <cellStyle name="Millares 79 2 4 4 2" xfId="3536" xr:uid="{C4695AF2-69DC-4F8E-9237-B4D5DC0EBD9E}"/>
    <cellStyle name="Millares 79 2 4 5" xfId="873" xr:uid="{328D0E42-62B0-48FF-A8EB-E3E72914A0F7}"/>
    <cellStyle name="Millares 79 2 4 5 2" xfId="2872" xr:uid="{2563E8AC-B712-4788-9256-E68D602D7A47}"/>
    <cellStyle name="Millares 79 2 4 6" xfId="2208" xr:uid="{A11E1398-6236-4F12-9CA4-ACC513959E03}"/>
    <cellStyle name="Millares 79 2 5" xfId="286" xr:uid="{C53926F7-C2A0-4343-8DBD-8B84C5D66AA4}"/>
    <cellStyle name="Millares 79 2 5 2" xfId="618" xr:uid="{FD162F17-7374-4D84-B40A-6F3B7C743623}"/>
    <cellStyle name="Millares 79 2 5 2 2" xfId="1960" xr:uid="{E0762601-3641-4986-A4AD-F7577803070B}"/>
    <cellStyle name="Millares 79 2 5 2 2 2" xfId="3952" xr:uid="{A08ED531-4A34-414E-B5C4-271B043754EA}"/>
    <cellStyle name="Millares 79 2 5 2 3" xfId="1289" xr:uid="{B1388EE5-08FB-4AEE-B2A1-6D0BEF28DB9C}"/>
    <cellStyle name="Millares 79 2 5 2 3 2" xfId="3288" xr:uid="{A0CFFDBF-D497-4FDE-8228-D3F3ECAA31E8}"/>
    <cellStyle name="Millares 79 2 5 2 4" xfId="2624" xr:uid="{555E36CD-7FB2-44E0-9900-B287AC04ACCE}"/>
    <cellStyle name="Millares 79 2 5 3" xfId="1628" xr:uid="{E1E6DAF2-4545-4034-B4FC-DC15BC782AD3}"/>
    <cellStyle name="Millares 79 2 5 3 2" xfId="3620" xr:uid="{6F561E26-C623-46F4-B23A-A1BDF33732A7}"/>
    <cellStyle name="Millares 79 2 5 4" xfId="957" xr:uid="{A8F1D512-2483-4ED1-BF71-1186ACFA7592}"/>
    <cellStyle name="Millares 79 2 5 4 2" xfId="2956" xr:uid="{9B0FA0C7-FBFB-43CF-A4B7-B3398AE325BB}"/>
    <cellStyle name="Millares 79 2 5 5" xfId="2292" xr:uid="{4FF1B139-37C9-4705-B269-B0C31F6F5DE5}"/>
    <cellStyle name="Millares 79 2 6" xfId="452" xr:uid="{468E2474-84EE-4356-A47A-CB988033313D}"/>
    <cellStyle name="Millares 79 2 6 2" xfId="1794" xr:uid="{BB6A22EB-D91D-468D-996F-A0A0CDC6B28A}"/>
    <cellStyle name="Millares 79 2 6 2 2" xfId="3786" xr:uid="{7282C7CA-C3F8-4022-A558-B882E856C498}"/>
    <cellStyle name="Millares 79 2 6 3" xfId="1123" xr:uid="{F6979817-AE24-4337-9A49-8CD1C4B27293}"/>
    <cellStyle name="Millares 79 2 6 3 2" xfId="3122" xr:uid="{524D51BA-DC30-4439-8B79-940A866F7549}"/>
    <cellStyle name="Millares 79 2 6 4" xfId="2458" xr:uid="{C42F5B04-C233-4BDC-8E4C-D6D5D2F0F49F}"/>
    <cellStyle name="Millares 79 2 7" xfId="1462" xr:uid="{1559D279-AC9C-45CE-8D9E-811FD1B097D4}"/>
    <cellStyle name="Millares 79 2 7 2" xfId="3454" xr:uid="{0779FAAB-2FB1-4C3B-B04B-F177749E1EF3}"/>
    <cellStyle name="Millares 79 2 8" xfId="791" xr:uid="{D6297BF6-54E6-41F9-99F0-75BBD7CD1DC0}"/>
    <cellStyle name="Millares 79 2 8 2" xfId="2790" xr:uid="{132B39C1-3DA5-4793-AD52-FD64D0F8D600}"/>
    <cellStyle name="Millares 79 2 9" xfId="2126" xr:uid="{B38C5CC4-DB3E-4FFF-AA68-23F711999648}"/>
    <cellStyle name="Millares 79 3" xfId="93" xr:uid="{097EDAE1-0D8F-4987-AE7D-6F8BB34638CD}"/>
    <cellStyle name="Millares 79 3 2" xfId="143" xr:uid="{AAF3FA80-0B36-4171-AC1C-15BBA1123463}"/>
    <cellStyle name="Millares 79 3 2 2" xfId="232" xr:uid="{8920EE3D-E045-46A7-9C7A-27D151386513}"/>
    <cellStyle name="Millares 79 3 2 2 2" xfId="418" xr:uid="{1971ED79-311A-48A9-B790-4D3DAB370EFC}"/>
    <cellStyle name="Millares 79 3 2 2 2 2" xfId="750" xr:uid="{8F291F83-B7F7-4FA9-AEC5-FAE8AA3DBBE5}"/>
    <cellStyle name="Millares 79 3 2 2 2 2 2" xfId="2092" xr:uid="{004E5568-157F-4728-B9E5-5EB9F0B7E42B}"/>
    <cellStyle name="Millares 79 3 2 2 2 2 2 2" xfId="4084" xr:uid="{B18872E7-DD48-4FE1-8866-593F6BD7365C}"/>
    <cellStyle name="Millares 79 3 2 2 2 2 3" xfId="1421" xr:uid="{BF0FDF08-D2EE-4805-891B-5553FA76A3F1}"/>
    <cellStyle name="Millares 79 3 2 2 2 2 3 2" xfId="3420" xr:uid="{CA3BC229-7B91-4B11-81F0-1D98F184D7F5}"/>
    <cellStyle name="Millares 79 3 2 2 2 2 4" xfId="2756" xr:uid="{DE7B5739-932C-4726-A108-2E9A6E033C42}"/>
    <cellStyle name="Millares 79 3 2 2 2 3" xfId="1760" xr:uid="{BFA0F9B0-383A-4064-BE3A-D377851706EE}"/>
    <cellStyle name="Millares 79 3 2 2 2 3 2" xfId="3752" xr:uid="{9536D4B5-59B7-4FED-BE97-E8B0E548A775}"/>
    <cellStyle name="Millares 79 3 2 2 2 4" xfId="1089" xr:uid="{0CD40CED-BC04-4DC7-BC72-6F989228836F}"/>
    <cellStyle name="Millares 79 3 2 2 2 4 2" xfId="3088" xr:uid="{1C18AAC5-234C-4E26-93BB-153EC7B2E6F3}"/>
    <cellStyle name="Millares 79 3 2 2 2 5" xfId="2424" xr:uid="{F32EDACE-E24D-4F6D-875B-5B7DE49C4D7C}"/>
    <cellStyle name="Millares 79 3 2 2 3" xfId="584" xr:uid="{FCAA458E-091B-469B-BCA5-6AE07E4CD88F}"/>
    <cellStyle name="Millares 79 3 2 2 3 2" xfId="1926" xr:uid="{7BAD8F55-B6F3-452A-9A7E-18D0A6279EA4}"/>
    <cellStyle name="Millares 79 3 2 2 3 2 2" xfId="3918" xr:uid="{F9525E97-BC73-4590-8233-934AB1EE07E6}"/>
    <cellStyle name="Millares 79 3 2 2 3 3" xfId="1255" xr:uid="{B7FEC85D-2710-44B7-870A-4ADD130A936A}"/>
    <cellStyle name="Millares 79 3 2 2 3 3 2" xfId="3254" xr:uid="{A69A0571-D5F8-4B2B-A5D0-EF376179862F}"/>
    <cellStyle name="Millares 79 3 2 2 3 4" xfId="2590" xr:uid="{A9CF6B51-F723-4644-9F4B-B8F1CF5603D0}"/>
    <cellStyle name="Millares 79 3 2 2 4" xfId="1594" xr:uid="{1EA3D089-EA19-4256-AC58-4AEE2EB60275}"/>
    <cellStyle name="Millares 79 3 2 2 4 2" xfId="3586" xr:uid="{C97D0E3F-5ED5-4F3D-8403-16D91F7613AC}"/>
    <cellStyle name="Millares 79 3 2 2 5" xfId="923" xr:uid="{1F9B0913-E85D-44B9-81BA-DBF67CC213F6}"/>
    <cellStyle name="Millares 79 3 2 2 5 2" xfId="2922" xr:uid="{1D5307F4-49E6-454F-8553-7ECC851EE436}"/>
    <cellStyle name="Millares 79 3 2 2 6" xfId="2258" xr:uid="{F4A91139-13B0-4B2D-988D-DC56D76EF25A}"/>
    <cellStyle name="Millares 79 3 2 3" xfId="336" xr:uid="{3DDA8FA7-FA95-4BF8-AFB3-5A978DF0BCFC}"/>
    <cellStyle name="Millares 79 3 2 3 2" xfId="668" xr:uid="{DD16C515-7421-4496-AE49-E4F8BADC07AF}"/>
    <cellStyle name="Millares 79 3 2 3 2 2" xfId="2010" xr:uid="{882D3C0A-1751-450E-87E8-95A725AD36A0}"/>
    <cellStyle name="Millares 79 3 2 3 2 2 2" xfId="4002" xr:uid="{B69F5BBE-68C8-4F3A-A8AE-E4573CBFB461}"/>
    <cellStyle name="Millares 79 3 2 3 2 3" xfId="1339" xr:uid="{42E3755C-68AA-4A81-9109-87417FB1017A}"/>
    <cellStyle name="Millares 79 3 2 3 2 3 2" xfId="3338" xr:uid="{4980EAF9-7DC0-40B3-9525-24E26308EA53}"/>
    <cellStyle name="Millares 79 3 2 3 2 4" xfId="2674" xr:uid="{074DA1F7-C712-4C6D-BB51-21175F6F3187}"/>
    <cellStyle name="Millares 79 3 2 3 3" xfId="1678" xr:uid="{56F96C20-5624-4998-938E-780D5DCF0156}"/>
    <cellStyle name="Millares 79 3 2 3 3 2" xfId="3670" xr:uid="{64B71F46-F93B-4CDC-95E6-646C903D4445}"/>
    <cellStyle name="Millares 79 3 2 3 4" xfId="1007" xr:uid="{2F9F494F-50F3-4DD8-8E31-3DAF05689400}"/>
    <cellStyle name="Millares 79 3 2 3 4 2" xfId="3006" xr:uid="{C804E160-3B51-46B2-AD2D-3C407CCE20AD}"/>
    <cellStyle name="Millares 79 3 2 3 5" xfId="2342" xr:uid="{1D79C182-B680-4940-B4A1-20F3022C901F}"/>
    <cellStyle name="Millares 79 3 2 4" xfId="502" xr:uid="{94EBCF51-9F67-4093-B5F5-609DA88A1105}"/>
    <cellStyle name="Millares 79 3 2 4 2" xfId="1844" xr:uid="{A60E9AA7-0E97-4FB6-9857-B4B5C40E4E5C}"/>
    <cellStyle name="Millares 79 3 2 4 2 2" xfId="3836" xr:uid="{0840A6A8-A9E2-4CE5-AD8F-5014170DD83A}"/>
    <cellStyle name="Millares 79 3 2 4 3" xfId="1173" xr:uid="{886F42CB-7885-44A7-A4ED-72AD7937068D}"/>
    <cellStyle name="Millares 79 3 2 4 3 2" xfId="3172" xr:uid="{F4962145-FE11-4B7E-A628-DB12801BD53E}"/>
    <cellStyle name="Millares 79 3 2 4 4" xfId="2508" xr:uid="{31CA4D4D-0B2C-40F1-BB39-0169559561A6}"/>
    <cellStyle name="Millares 79 3 2 5" xfId="1512" xr:uid="{B448D762-718A-4F1B-B5CD-46B62214940C}"/>
    <cellStyle name="Millares 79 3 2 5 2" xfId="3504" xr:uid="{F010BAA5-B0B3-47BE-93AF-D8B8D2CEB8D5}"/>
    <cellStyle name="Millares 79 3 2 6" xfId="841" xr:uid="{D1841C4D-A211-4EA4-915A-3D721ED91AE4}"/>
    <cellStyle name="Millares 79 3 2 6 2" xfId="2840" xr:uid="{7E73C05F-0C6E-4C0D-8689-0ED304E8AD04}"/>
    <cellStyle name="Millares 79 3 2 7" xfId="2176" xr:uid="{539B6993-AD9B-4074-B272-F4DD2AE0A7EA}"/>
    <cellStyle name="Millares 79 3 3" xfId="192" xr:uid="{AB3D6C31-644F-4CE0-8C45-32ED9C5209D7}"/>
    <cellStyle name="Millares 79 3 3 2" xfId="378" xr:uid="{4234802B-4E82-419B-94DC-66C576CEF382}"/>
    <cellStyle name="Millares 79 3 3 2 2" xfId="710" xr:uid="{44B16455-A9DE-455D-8126-45AF093F224F}"/>
    <cellStyle name="Millares 79 3 3 2 2 2" xfId="2052" xr:uid="{2AA25DBE-A20B-4A15-87A6-0C4B0B2279A9}"/>
    <cellStyle name="Millares 79 3 3 2 2 2 2" xfId="4044" xr:uid="{7FFC83AE-5614-47CE-99FE-FCE4321BCE90}"/>
    <cellStyle name="Millares 79 3 3 2 2 3" xfId="1381" xr:uid="{D8EFC0C0-EB9D-4F4F-8339-FE23FB093A2E}"/>
    <cellStyle name="Millares 79 3 3 2 2 3 2" xfId="3380" xr:uid="{3162FA0D-D0CE-4BCB-A835-0811CE86B10A}"/>
    <cellStyle name="Millares 79 3 3 2 2 4" xfId="2716" xr:uid="{973F9F66-3E7F-4F02-A43B-4C8EA12E118B}"/>
    <cellStyle name="Millares 79 3 3 2 3" xfId="1720" xr:uid="{A55E2DAE-A4ED-47D7-A16C-80CE497EC2B2}"/>
    <cellStyle name="Millares 79 3 3 2 3 2" xfId="3712" xr:uid="{8223C5BA-D3E9-4DD3-B0FB-6CF9AD8E3658}"/>
    <cellStyle name="Millares 79 3 3 2 4" xfId="1049" xr:uid="{623518BE-5A0C-4185-B204-698B9061357A}"/>
    <cellStyle name="Millares 79 3 3 2 4 2" xfId="3048" xr:uid="{13CEE8B9-F82B-4080-9910-8D3232E7ECB0}"/>
    <cellStyle name="Millares 79 3 3 2 5" xfId="2384" xr:uid="{E439AFDC-7482-4482-8182-1EE90EE44567}"/>
    <cellStyle name="Millares 79 3 3 3" xfId="544" xr:uid="{1FA719F7-29F3-46AC-8839-B12BAA1550BB}"/>
    <cellStyle name="Millares 79 3 3 3 2" xfId="1886" xr:uid="{31AA98D4-BE72-4CF1-B7C3-2589C01C7C02}"/>
    <cellStyle name="Millares 79 3 3 3 2 2" xfId="3878" xr:uid="{8FBFB4FE-ADEB-4817-AEC5-8A96A311BE39}"/>
    <cellStyle name="Millares 79 3 3 3 3" xfId="1215" xr:uid="{FBAF7BC3-F68A-4247-90D6-FF47BB8A4DDE}"/>
    <cellStyle name="Millares 79 3 3 3 3 2" xfId="3214" xr:uid="{A1D90F15-A0CD-4C49-A873-FF2897C86ABC}"/>
    <cellStyle name="Millares 79 3 3 3 4" xfId="2550" xr:uid="{B35C686C-850E-4DDD-A5C3-17091513A3B3}"/>
    <cellStyle name="Millares 79 3 3 4" xfId="1554" xr:uid="{3457551A-D803-4775-A0CA-0B4FA2DC9D72}"/>
    <cellStyle name="Millares 79 3 3 4 2" xfId="3546" xr:uid="{AA58E636-5481-4601-AF4B-1723AAB00399}"/>
    <cellStyle name="Millares 79 3 3 5" xfId="883" xr:uid="{15FE4091-AA76-45C9-B8C5-4745E2F06C55}"/>
    <cellStyle name="Millares 79 3 3 5 2" xfId="2882" xr:uid="{39D2291E-1B2F-42F9-820F-C551B9304331}"/>
    <cellStyle name="Millares 79 3 3 6" xfId="2218" xr:uid="{F6E1E81F-CD01-4122-89F3-9227E54F277A}"/>
    <cellStyle name="Millares 79 3 4" xfId="296" xr:uid="{6394D658-363D-43C9-A6E0-99412EFB0C0E}"/>
    <cellStyle name="Millares 79 3 4 2" xfId="628" xr:uid="{9AA52CD7-A364-47DC-9CF3-51B30214D74A}"/>
    <cellStyle name="Millares 79 3 4 2 2" xfId="1970" xr:uid="{4E94A5FB-7E97-4D9E-BA8F-CFD45DD83929}"/>
    <cellStyle name="Millares 79 3 4 2 2 2" xfId="3962" xr:uid="{C2D8CA19-344E-4F51-A304-C2114BE2555B}"/>
    <cellStyle name="Millares 79 3 4 2 3" xfId="1299" xr:uid="{1F6CA690-68A0-4A8D-99C5-832218C58673}"/>
    <cellStyle name="Millares 79 3 4 2 3 2" xfId="3298" xr:uid="{8F90C682-7D08-4E51-9873-2BC94953A607}"/>
    <cellStyle name="Millares 79 3 4 2 4" xfId="2634" xr:uid="{B1ABFF66-D936-45FE-B0BF-1A3716C01E68}"/>
    <cellStyle name="Millares 79 3 4 3" xfId="1638" xr:uid="{8FBBC578-E708-4D71-839C-F95CD8FEDD29}"/>
    <cellStyle name="Millares 79 3 4 3 2" xfId="3630" xr:uid="{633DB18E-CFB0-4563-B5BE-598C3C82BBFF}"/>
    <cellStyle name="Millares 79 3 4 4" xfId="967" xr:uid="{492AAA37-1C81-4CD9-8974-8515ABEE80CB}"/>
    <cellStyle name="Millares 79 3 4 4 2" xfId="2966" xr:uid="{A0B3F7D5-2ECE-4001-9185-B1738EDE7BB9}"/>
    <cellStyle name="Millares 79 3 4 5" xfId="2302" xr:uid="{F9C74B85-F098-4937-8E93-72AF6EBF0D3B}"/>
    <cellStyle name="Millares 79 3 5" xfId="462" xr:uid="{F7F2EEF0-BAFC-4436-B488-DFA12F227BCB}"/>
    <cellStyle name="Millares 79 3 5 2" xfId="1804" xr:uid="{AF8EFB27-D0A2-4ECB-8E90-25D32E096867}"/>
    <cellStyle name="Millares 79 3 5 2 2" xfId="3796" xr:uid="{AD1C3BE8-95E7-41D9-9407-4AF02025D93A}"/>
    <cellStyle name="Millares 79 3 5 3" xfId="1133" xr:uid="{FF1DDB70-E47F-4E1F-BAE0-B66A032D3133}"/>
    <cellStyle name="Millares 79 3 5 3 2" xfId="3132" xr:uid="{652BDBA4-331D-4690-B87F-85F4EAC21EB0}"/>
    <cellStyle name="Millares 79 3 5 4" xfId="2468" xr:uid="{227BE23C-308E-4700-97B0-CAF939B57FC5}"/>
    <cellStyle name="Millares 79 3 6" xfId="1472" xr:uid="{C1231749-A766-491A-A4F7-DFBE2731B3F6}"/>
    <cellStyle name="Millares 79 3 6 2" xfId="3464" xr:uid="{6A92A2F1-B7D0-4CB7-9DE8-E3008EF3F5A6}"/>
    <cellStyle name="Millares 79 3 7" xfId="801" xr:uid="{51BEF198-CB00-4D7A-B5D2-B54221EC6E13}"/>
    <cellStyle name="Millares 79 3 7 2" xfId="2800" xr:uid="{2EF2F7F6-792B-4245-8CAA-E38B60AF9D08}"/>
    <cellStyle name="Millares 79 3 8" xfId="2136" xr:uid="{CD01AA61-69B7-4684-B818-4C66C692694D}"/>
    <cellStyle name="Millares 79 4" xfId="122" xr:uid="{4D7B5698-61A6-4402-8CB7-58E1175364BC}"/>
    <cellStyle name="Millares 79 4 2" xfId="213" xr:uid="{FE0B2AB4-C99D-46AB-B489-0C10BDF64FCE}"/>
    <cellStyle name="Millares 79 4 2 2" xfId="399" xr:uid="{D3944542-5963-4CEF-897D-BE766284AD59}"/>
    <cellStyle name="Millares 79 4 2 2 2" xfId="731" xr:uid="{3F97ACDB-0239-49E5-BF7C-0C2B701D80E5}"/>
    <cellStyle name="Millares 79 4 2 2 2 2" xfId="2073" xr:uid="{2BA1DCFA-D1B4-4C01-82E8-FB97C4C09746}"/>
    <cellStyle name="Millares 79 4 2 2 2 2 2" xfId="4065" xr:uid="{BCD26421-86AF-4605-A5E2-4FF9209161D2}"/>
    <cellStyle name="Millares 79 4 2 2 2 3" xfId="1402" xr:uid="{907B53E2-F26D-4CF8-9060-3ECC5E1B4F8D}"/>
    <cellStyle name="Millares 79 4 2 2 2 3 2" xfId="3401" xr:uid="{BF1F1B76-F13B-4119-94B9-847F4C051938}"/>
    <cellStyle name="Millares 79 4 2 2 2 4" xfId="2737" xr:uid="{36D09237-2BCB-470B-9D2C-0C1E97D3044C}"/>
    <cellStyle name="Millares 79 4 2 2 3" xfId="1741" xr:uid="{69A00568-BC46-4CD8-B60D-0C86576D1E9B}"/>
    <cellStyle name="Millares 79 4 2 2 3 2" xfId="3733" xr:uid="{921F6247-6A9E-40F8-9F5D-84BD99463F8B}"/>
    <cellStyle name="Millares 79 4 2 2 4" xfId="1070" xr:uid="{4D87C3CC-0100-4879-ADD6-4C792759D516}"/>
    <cellStyle name="Millares 79 4 2 2 4 2" xfId="3069" xr:uid="{31C21848-25B1-4BC2-AD79-7F0404777392}"/>
    <cellStyle name="Millares 79 4 2 2 5" xfId="2405" xr:uid="{570B64D0-5FAE-422E-A52C-A341F0166629}"/>
    <cellStyle name="Millares 79 4 2 3" xfId="565" xr:uid="{EC046D10-1DEE-40E3-8A92-10C498F1D482}"/>
    <cellStyle name="Millares 79 4 2 3 2" xfId="1907" xr:uid="{C3BEBC23-0584-4197-BC98-1D4BCC4752D8}"/>
    <cellStyle name="Millares 79 4 2 3 2 2" xfId="3899" xr:uid="{DA7797B7-43F2-4B9E-B492-206F1C381888}"/>
    <cellStyle name="Millares 79 4 2 3 3" xfId="1236" xr:uid="{C206F84F-E347-4EBF-B407-43DA0C423ED2}"/>
    <cellStyle name="Millares 79 4 2 3 3 2" xfId="3235" xr:uid="{FC05DD11-1837-4D1C-98DE-493E78A00F0F}"/>
    <cellStyle name="Millares 79 4 2 3 4" xfId="2571" xr:uid="{F80FF6C7-DBCA-4153-A606-D645D2F051A5}"/>
    <cellStyle name="Millares 79 4 2 4" xfId="1575" xr:uid="{57046C89-8379-4FEA-A1BD-29D554E78B49}"/>
    <cellStyle name="Millares 79 4 2 4 2" xfId="3567" xr:uid="{D45C7B32-23FA-4CC2-A194-E2D50473CB36}"/>
    <cellStyle name="Millares 79 4 2 5" xfId="904" xr:uid="{307C9196-2851-40D6-9E53-5683E6DF215D}"/>
    <cellStyle name="Millares 79 4 2 5 2" xfId="2903" xr:uid="{D0565116-4DFE-4CB5-8E71-848C33E5CA88}"/>
    <cellStyle name="Millares 79 4 2 6" xfId="2239" xr:uid="{E04E6A77-1C9E-4632-9CDC-82889E89048F}"/>
    <cellStyle name="Millares 79 4 3" xfId="317" xr:uid="{58ACCF91-C8D8-4229-A505-7796E2FB9FCC}"/>
    <cellStyle name="Millares 79 4 3 2" xfId="649" xr:uid="{33D63D5A-9E3C-4021-B9E1-35F5A171AB31}"/>
    <cellStyle name="Millares 79 4 3 2 2" xfId="1991" xr:uid="{6AD372B5-6224-4341-9DCC-DCF0C73ACFE6}"/>
    <cellStyle name="Millares 79 4 3 2 2 2" xfId="3983" xr:uid="{DBBEE449-297F-413F-A18A-2C7B8CE32A7B}"/>
    <cellStyle name="Millares 79 4 3 2 3" xfId="1320" xr:uid="{E091FAE8-BD8F-446F-9952-F13D2ADB67CA}"/>
    <cellStyle name="Millares 79 4 3 2 3 2" xfId="3319" xr:uid="{F08D7473-E61F-4D0A-A607-77C830F74B95}"/>
    <cellStyle name="Millares 79 4 3 2 4" xfId="2655" xr:uid="{D10082EA-1DD7-49B3-AB86-057132E610C4}"/>
    <cellStyle name="Millares 79 4 3 3" xfId="1659" xr:uid="{EBB602D8-817F-4C4C-91DE-80B421482B44}"/>
    <cellStyle name="Millares 79 4 3 3 2" xfId="3651" xr:uid="{82321089-4E82-424E-9F65-9CCE158FF80E}"/>
    <cellStyle name="Millares 79 4 3 4" xfId="988" xr:uid="{E1E5DEEF-A287-4383-8A38-262E04296042}"/>
    <cellStyle name="Millares 79 4 3 4 2" xfId="2987" xr:uid="{6E20F032-17C1-404E-8FA2-CBC5B2AF30C7}"/>
    <cellStyle name="Millares 79 4 3 5" xfId="2323" xr:uid="{12C95599-9AC7-4FCA-B1DD-A1F0E44725C1}"/>
    <cellStyle name="Millares 79 4 4" xfId="483" xr:uid="{8E5D1866-88CD-4A0B-AC5F-39A2C79A55DF}"/>
    <cellStyle name="Millares 79 4 4 2" xfId="1825" xr:uid="{9B7CEBAE-D73D-4467-9C0A-07D19A3A592A}"/>
    <cellStyle name="Millares 79 4 4 2 2" xfId="3817" xr:uid="{42A61076-0A41-4169-A3F4-A4C210778540}"/>
    <cellStyle name="Millares 79 4 4 3" xfId="1154" xr:uid="{7160ECA3-AC25-403D-96C0-6E99BA79BD56}"/>
    <cellStyle name="Millares 79 4 4 3 2" xfId="3153" xr:uid="{1D5EE89A-C246-4584-8A8C-77FF5EEED6BB}"/>
    <cellStyle name="Millares 79 4 4 4" xfId="2489" xr:uid="{7B38A55E-1972-45FD-B37B-050902AF4A44}"/>
    <cellStyle name="Millares 79 4 5" xfId="1493" xr:uid="{C539E007-1E2A-4D87-B0D3-C0569877E2C9}"/>
    <cellStyle name="Millares 79 4 5 2" xfId="3485" xr:uid="{08DEDF92-9906-45E3-834C-21EE7F030458}"/>
    <cellStyle name="Millares 79 4 6" xfId="822" xr:uid="{52C20CE8-1025-4889-AD4C-5EDE9EB6ADF3}"/>
    <cellStyle name="Millares 79 4 6 2" xfId="2821" xr:uid="{B3A82A48-AD99-4D49-9318-90DA81AB73EE}"/>
    <cellStyle name="Millares 79 4 7" xfId="2157" xr:uid="{0F9A1A0C-EB1E-4D09-B2E8-7DB171EA6A70}"/>
    <cellStyle name="Millares 79 5" xfId="172" xr:uid="{D3244B06-E7B1-42CC-858C-9D125356F120}"/>
    <cellStyle name="Millares 79 5 2" xfId="359" xr:uid="{B4B51DF8-4C30-4CF4-8861-FD87F08525A6}"/>
    <cellStyle name="Millares 79 5 2 2" xfId="691" xr:uid="{B6550EB6-7974-491F-A8D4-83D5CBC48249}"/>
    <cellStyle name="Millares 79 5 2 2 2" xfId="2033" xr:uid="{45960150-A1F7-4EDA-8BAE-C8AF675EA625}"/>
    <cellStyle name="Millares 79 5 2 2 2 2" xfId="4025" xr:uid="{279DAFBD-AFC8-47A7-87D1-D4FD88FBF22D}"/>
    <cellStyle name="Millares 79 5 2 2 3" xfId="1362" xr:uid="{FD7AFA9E-5B2C-4F10-95EE-F5FA96D3FC66}"/>
    <cellStyle name="Millares 79 5 2 2 3 2" xfId="3361" xr:uid="{BFF2E0AD-C7A8-4516-AE8C-6A5E52C627AA}"/>
    <cellStyle name="Millares 79 5 2 2 4" xfId="2697" xr:uid="{44DC5E76-0852-4CB7-857B-2A55E4DD44DB}"/>
    <cellStyle name="Millares 79 5 2 3" xfId="1701" xr:uid="{97EEB7F9-717A-4CA5-8707-0E2CEB200B23}"/>
    <cellStyle name="Millares 79 5 2 3 2" xfId="3693" xr:uid="{4F134B70-BC26-4164-9776-133819076AD0}"/>
    <cellStyle name="Millares 79 5 2 4" xfId="1030" xr:uid="{E1E979C1-6662-4C51-8700-2DBFCADAD91A}"/>
    <cellStyle name="Millares 79 5 2 4 2" xfId="3029" xr:uid="{895734F3-C93C-4721-B781-1D761C0FF92E}"/>
    <cellStyle name="Millares 79 5 2 5" xfId="2365" xr:uid="{F8637444-539F-4C61-A8EF-66F7883D64BC}"/>
    <cellStyle name="Millares 79 5 3" xfId="525" xr:uid="{9CA24C12-DC5A-4EBA-BB74-2518589C5368}"/>
    <cellStyle name="Millares 79 5 3 2" xfId="1867" xr:uid="{76681819-9B7B-4312-93AF-99CFD9A4C935}"/>
    <cellStyle name="Millares 79 5 3 2 2" xfId="3859" xr:uid="{160DBA8F-0E0F-4FF2-BBC2-860A68EB8A47}"/>
    <cellStyle name="Millares 79 5 3 3" xfId="1196" xr:uid="{87DD4047-A80C-4AA5-8FB1-FCB119490C7C}"/>
    <cellStyle name="Millares 79 5 3 3 2" xfId="3195" xr:uid="{10C2CAEB-260C-40E7-A193-AA6B5657611B}"/>
    <cellStyle name="Millares 79 5 3 4" xfId="2531" xr:uid="{94A67AC0-8D02-4F48-997C-B7C36073E7F2}"/>
    <cellStyle name="Millares 79 5 4" xfId="1535" xr:uid="{84F1F4C2-0D42-4557-BB35-EBB5C0093439}"/>
    <cellStyle name="Millares 79 5 4 2" xfId="3527" xr:uid="{24235A96-AC60-403E-9571-81794AF2EB5E}"/>
    <cellStyle name="Millares 79 5 5" xfId="864" xr:uid="{41E210A7-F007-4F57-B601-DAEF749E7C91}"/>
    <cellStyle name="Millares 79 5 5 2" xfId="2863" xr:uid="{41E7C036-DAEC-4117-BA2B-EEE18523A61B}"/>
    <cellStyle name="Millares 79 5 6" xfId="2199" xr:uid="{18B68401-CFBC-4E69-A1C7-579F6002C1FC}"/>
    <cellStyle name="Millares 79 6" xfId="260" xr:uid="{58BC9E4D-4CBB-410F-B9C5-D5D333CAD1FC}"/>
    <cellStyle name="Millares 79 7" xfId="276" xr:uid="{12FEEDE1-2143-4BB0-9CF0-674978D0EE7A}"/>
    <cellStyle name="Millares 79 7 2" xfId="609" xr:uid="{8BE54448-9828-4CF6-A4AF-320F38854711}"/>
    <cellStyle name="Millares 79 7 2 2" xfId="1951" xr:uid="{C1D0782A-ECEB-4573-8C86-DACFE10B7EA8}"/>
    <cellStyle name="Millares 79 7 2 2 2" xfId="3943" xr:uid="{E586B295-4C9E-478A-BE85-6A513B7D99FD}"/>
    <cellStyle name="Millares 79 7 2 3" xfId="1280" xr:uid="{44C409FD-581A-46C2-8053-E183E527EE52}"/>
    <cellStyle name="Millares 79 7 2 3 2" xfId="3279" xr:uid="{5601980E-2175-4E33-BCE3-7E20C98467A0}"/>
    <cellStyle name="Millares 79 7 2 4" xfId="2615" xr:uid="{741ABA04-6DC3-4A91-B710-995CA7562365}"/>
    <cellStyle name="Millares 79 7 3" xfId="1619" xr:uid="{72B5B884-12E6-4F1F-A21E-13E88CFC268F}"/>
    <cellStyle name="Millares 79 7 3 2" xfId="3611" xr:uid="{1DDB3A36-FFE2-4203-8AE1-62277D6478A2}"/>
    <cellStyle name="Millares 79 7 4" xfId="948" xr:uid="{62D6840B-BFB0-4FF8-BE8D-2C8AC744179D}"/>
    <cellStyle name="Millares 79 7 4 2" xfId="2947" xr:uid="{0BF2F805-4684-458A-BA94-371347C03310}"/>
    <cellStyle name="Millares 79 7 5" xfId="2283" xr:uid="{D8F2695C-BD9D-4CCD-9E45-3ED46EFC2774}"/>
    <cellStyle name="Millares 79 8" xfId="443" xr:uid="{210AB104-055B-46B3-8515-1AF8FE15E901}"/>
    <cellStyle name="Millares 79 8 2" xfId="1785" xr:uid="{1347ACF9-C570-4109-99F2-D349BD6ABC22}"/>
    <cellStyle name="Millares 79 8 2 2" xfId="3777" xr:uid="{864EDDF0-C9E8-4247-9B76-87E84ADBBE90}"/>
    <cellStyle name="Millares 79 8 3" xfId="1114" xr:uid="{EFBC42DC-A8FB-4820-BE4C-163BF9044523}"/>
    <cellStyle name="Millares 79 8 3 2" xfId="3113" xr:uid="{7E550AC4-9FE5-441F-B58D-0B0C56785820}"/>
    <cellStyle name="Millares 79 8 4" xfId="2449" xr:uid="{3DF103E1-2EAD-455C-BB4E-B162E7470CA0}"/>
    <cellStyle name="Millares 79 9" xfId="1452" xr:uid="{64669086-0BAF-4574-90F9-7E04C604D6B0}"/>
    <cellStyle name="Millares 79 9 2" xfId="3445" xr:uid="{1B384E31-D418-4E19-9CCC-5D23321A8C5A}"/>
    <cellStyle name="Millares 8" xfId="89" xr:uid="{284DA04F-F570-497B-95CE-EF9C437A24B1}"/>
    <cellStyle name="Millares 8 2" xfId="139" xr:uid="{5A6E610B-6C42-4A74-A6DF-EB9F65AA97FA}"/>
    <cellStyle name="Millares 8 2 2" xfId="228" xr:uid="{A73231C3-064E-4C61-937F-4740DD616E65}"/>
    <cellStyle name="Millares 8 2 2 2" xfId="414" xr:uid="{9E68E963-8BA2-4A8C-8D1B-BBD57794C429}"/>
    <cellStyle name="Millares 8 2 2 2 2" xfId="746" xr:uid="{0E988D3A-DACA-466A-9D6A-462FEC39AC6C}"/>
    <cellStyle name="Millares 8 2 2 2 2 2" xfId="2088" xr:uid="{EF4E2991-5B0A-4293-A4A4-B5FCB91AA235}"/>
    <cellStyle name="Millares 8 2 2 2 2 2 2" xfId="4080" xr:uid="{BFE7899B-DA80-4C99-B1B4-715D2C5A750B}"/>
    <cellStyle name="Millares 8 2 2 2 2 3" xfId="1417" xr:uid="{A880F70F-22EE-4019-B4C6-1DA1C4E82BE8}"/>
    <cellStyle name="Millares 8 2 2 2 2 3 2" xfId="3416" xr:uid="{F4388FAE-C035-4BF2-B8D6-8AF2905CF9B3}"/>
    <cellStyle name="Millares 8 2 2 2 2 4" xfId="2752" xr:uid="{D0C92C10-B360-4FCF-BBB1-C20888B7A486}"/>
    <cellStyle name="Millares 8 2 2 2 3" xfId="1756" xr:uid="{06DC66C1-A513-49D9-BE0E-DB8C7E468E7E}"/>
    <cellStyle name="Millares 8 2 2 2 3 2" xfId="3748" xr:uid="{D4942FCB-0E5B-4A1F-9A8A-07A4BBB3548C}"/>
    <cellStyle name="Millares 8 2 2 2 4" xfId="1085" xr:uid="{694F8C56-F40C-4448-AE99-AD6AB5ACF9D1}"/>
    <cellStyle name="Millares 8 2 2 2 4 2" xfId="3084" xr:uid="{43BA88A9-088A-49A1-85F8-E7276528AC3A}"/>
    <cellStyle name="Millares 8 2 2 2 5" xfId="2420" xr:uid="{5DEB6BCA-247E-404D-9616-8FF8BB1C05B6}"/>
    <cellStyle name="Millares 8 2 2 3" xfId="580" xr:uid="{3B44B567-9AC3-4702-8424-289FD2319C39}"/>
    <cellStyle name="Millares 8 2 2 3 2" xfId="1922" xr:uid="{5A5403C8-D42C-4C9A-A92C-99F0717B4176}"/>
    <cellStyle name="Millares 8 2 2 3 2 2" xfId="3914" xr:uid="{B1338DCE-2326-4BCE-8A59-2F977D264B0E}"/>
    <cellStyle name="Millares 8 2 2 3 3" xfId="1251" xr:uid="{46E35770-5D68-401E-BE8C-EF2D0601B1FF}"/>
    <cellStyle name="Millares 8 2 2 3 3 2" xfId="3250" xr:uid="{60766D52-1A95-4325-8FBE-89AC73EFC8C0}"/>
    <cellStyle name="Millares 8 2 2 3 4" xfId="2586" xr:uid="{0751C6E7-01EC-4BC7-BAC0-9EE4CC80E5C3}"/>
    <cellStyle name="Millares 8 2 2 4" xfId="1590" xr:uid="{F35ED2C8-253C-4ED6-BA98-1F575652CE30}"/>
    <cellStyle name="Millares 8 2 2 4 2" xfId="3582" xr:uid="{52474212-8730-4052-ADCF-E1F1553944AD}"/>
    <cellStyle name="Millares 8 2 2 5" xfId="919" xr:uid="{A857F802-FFE7-4917-A982-EBBB9B018882}"/>
    <cellStyle name="Millares 8 2 2 5 2" xfId="2918" xr:uid="{922F3757-00A8-43A7-BD4A-FA136961820A}"/>
    <cellStyle name="Millares 8 2 2 6" xfId="2254" xr:uid="{7F629C39-42C6-4247-97B4-D8EAD131795A}"/>
    <cellStyle name="Millares 8 2 3" xfId="332" xr:uid="{752F1346-7F77-42B2-90B1-0FB0B7D1E854}"/>
    <cellStyle name="Millares 8 2 3 2" xfId="664" xr:uid="{BC61CE91-FC51-4417-AA0D-6BE9F6ABD36D}"/>
    <cellStyle name="Millares 8 2 3 2 2" xfId="2006" xr:uid="{D4547CD2-3675-4F5F-B02B-ED34C0399B47}"/>
    <cellStyle name="Millares 8 2 3 2 2 2" xfId="3998" xr:uid="{4AF39DAE-A3EF-4C02-A387-15C140D9BEAB}"/>
    <cellStyle name="Millares 8 2 3 2 3" xfId="1335" xr:uid="{F03D1FFC-5952-4676-9C9B-61F27E999CB0}"/>
    <cellStyle name="Millares 8 2 3 2 3 2" xfId="3334" xr:uid="{35678D49-42D5-430E-A63D-31973786F6FF}"/>
    <cellStyle name="Millares 8 2 3 2 4" xfId="2670" xr:uid="{66461675-AEEF-44F4-AB77-8E7B56625A11}"/>
    <cellStyle name="Millares 8 2 3 3" xfId="1674" xr:uid="{9E437676-CE6A-4032-867D-439410D342D6}"/>
    <cellStyle name="Millares 8 2 3 3 2" xfId="3666" xr:uid="{265772E0-5BA3-4287-893D-D74C5A148DCB}"/>
    <cellStyle name="Millares 8 2 3 4" xfId="1003" xr:uid="{F7E32729-5AF5-4368-A0DB-5CBC9F416930}"/>
    <cellStyle name="Millares 8 2 3 4 2" xfId="3002" xr:uid="{B72F071B-7BCD-4D90-A53B-A34C1AFF9EA0}"/>
    <cellStyle name="Millares 8 2 3 5" xfId="2338" xr:uid="{281516B7-3375-4935-8289-B5CCFAE13C2F}"/>
    <cellStyle name="Millares 8 2 4" xfId="498" xr:uid="{2A1B3960-31B6-4FCD-A4DD-9340003CD025}"/>
    <cellStyle name="Millares 8 2 4 2" xfId="1840" xr:uid="{1D0F3518-947C-489F-8E97-FB2F94A4A845}"/>
    <cellStyle name="Millares 8 2 4 2 2" xfId="3832" xr:uid="{81178DD3-99AF-46A1-86FC-DBB9EFF9A5D4}"/>
    <cellStyle name="Millares 8 2 4 3" xfId="1169" xr:uid="{78FFC481-9C63-4A26-BDC5-10C79DB7A140}"/>
    <cellStyle name="Millares 8 2 4 3 2" xfId="3168" xr:uid="{9C078E07-15D3-4928-8261-C64F05746798}"/>
    <cellStyle name="Millares 8 2 4 4" xfId="2504" xr:uid="{5C3F3525-3B9B-4F73-BBC3-5AD885375DFF}"/>
    <cellStyle name="Millares 8 2 5" xfId="1508" xr:uid="{6A44E34A-69F3-4CDF-A007-B7526FF05546}"/>
    <cellStyle name="Millares 8 2 5 2" xfId="3500" xr:uid="{016AC6F3-DA4A-4F03-A6F8-1CC08575246F}"/>
    <cellStyle name="Millares 8 2 6" xfId="837" xr:uid="{9B320CF9-223A-4896-A00D-F4F10DA56629}"/>
    <cellStyle name="Millares 8 2 6 2" xfId="2836" xr:uid="{49D2D86C-D490-47D6-822A-1DEBA3870C05}"/>
    <cellStyle name="Millares 8 2 7" xfId="2172" xr:uid="{B6D9AED2-95F4-4B62-8A39-B9ACF5105A76}"/>
    <cellStyle name="Millares 8 3" xfId="188" xr:uid="{357ACE43-D4AE-4ED3-B68E-A7FCEF509641}"/>
    <cellStyle name="Millares 8 3 2" xfId="374" xr:uid="{F40193DA-9F90-414A-9C78-8011D95C0BDA}"/>
    <cellStyle name="Millares 8 3 2 2" xfId="706" xr:uid="{1A067C88-98E0-4A34-8232-AD9E8127E800}"/>
    <cellStyle name="Millares 8 3 2 2 2" xfId="2048" xr:uid="{4BFF4FDE-C179-472F-8CF1-ACBE50D3876A}"/>
    <cellStyle name="Millares 8 3 2 2 2 2" xfId="4040" xr:uid="{AFDFC25E-776D-4AD4-A8BB-C678DFEE49FE}"/>
    <cellStyle name="Millares 8 3 2 2 3" xfId="1377" xr:uid="{88D98D90-A712-4725-BD1C-6137C2E9A662}"/>
    <cellStyle name="Millares 8 3 2 2 3 2" xfId="3376" xr:uid="{01B5BD62-A2D5-44BD-A552-59AB12FF0D79}"/>
    <cellStyle name="Millares 8 3 2 2 4" xfId="2712" xr:uid="{0A36E4C8-1833-4E1E-B094-79147C82369D}"/>
    <cellStyle name="Millares 8 3 2 3" xfId="1716" xr:uid="{5CA8E625-A589-45C8-BD51-01A04B6F0841}"/>
    <cellStyle name="Millares 8 3 2 3 2" xfId="3708" xr:uid="{A48412D6-91FD-4D3F-ACB6-BBE0E93F4CF2}"/>
    <cellStyle name="Millares 8 3 2 4" xfId="1045" xr:uid="{D0DCC016-E3F4-4E5E-BE2E-B22A2D0C07CC}"/>
    <cellStyle name="Millares 8 3 2 4 2" xfId="3044" xr:uid="{4A14BA6D-33C2-40B6-BF13-FC338AD3ACB6}"/>
    <cellStyle name="Millares 8 3 2 5" xfId="2380" xr:uid="{F75C2DF2-5FD0-40AA-9C8A-E61E959F73E9}"/>
    <cellStyle name="Millares 8 3 3" xfId="540" xr:uid="{C9A6216B-54B3-4D68-BC54-1D5F3EDEADC7}"/>
    <cellStyle name="Millares 8 3 3 2" xfId="1882" xr:uid="{0C9D69AB-BF54-4808-8AD7-837ECFBF9544}"/>
    <cellStyle name="Millares 8 3 3 2 2" xfId="3874" xr:uid="{4BC23258-BF37-4964-AC57-93932EED1864}"/>
    <cellStyle name="Millares 8 3 3 3" xfId="1211" xr:uid="{702F8424-E5F6-47CC-B569-6F11DF6FBC86}"/>
    <cellStyle name="Millares 8 3 3 3 2" xfId="3210" xr:uid="{9D644E57-82A2-4C1B-9BA1-67F5D7FEE6DE}"/>
    <cellStyle name="Millares 8 3 3 4" xfId="2546" xr:uid="{555BDB1C-8FDA-4C61-8172-502A2C4308F7}"/>
    <cellStyle name="Millares 8 3 4" xfId="1550" xr:uid="{B83AAD4C-203A-4349-80DF-9A50853315CE}"/>
    <cellStyle name="Millares 8 3 4 2" xfId="3542" xr:uid="{0DE51715-11AD-49FE-89B9-96DDDB7BDE9B}"/>
    <cellStyle name="Millares 8 3 5" xfId="879" xr:uid="{04F02E01-FCAD-4DE6-9665-2C69D950E7FC}"/>
    <cellStyle name="Millares 8 3 5 2" xfId="2878" xr:uid="{BE67DAF9-B4BE-4EBA-AE81-B0214D1A7EA7}"/>
    <cellStyle name="Millares 8 3 6" xfId="2214" xr:uid="{768D34AC-FEC9-4253-91C3-AED61AEAE22A}"/>
    <cellStyle name="Millares 8 4" xfId="292" xr:uid="{9118BBA2-A1A1-4472-AF96-9F5DAB38FE44}"/>
    <cellStyle name="Millares 8 4 2" xfId="624" xr:uid="{6534057C-193C-47EC-AA83-D70F8A29CC74}"/>
    <cellStyle name="Millares 8 4 2 2" xfId="1966" xr:uid="{5F901F1F-ACD8-41F4-86B3-CD750AFE8B1B}"/>
    <cellStyle name="Millares 8 4 2 2 2" xfId="3958" xr:uid="{40159713-BA7B-490E-B34E-871AD314DF73}"/>
    <cellStyle name="Millares 8 4 2 3" xfId="1295" xr:uid="{5C80DC6C-995B-4967-B7AA-530949B01E39}"/>
    <cellStyle name="Millares 8 4 2 3 2" xfId="3294" xr:uid="{C5ADA09E-3A6D-469A-8155-591A32992BC4}"/>
    <cellStyle name="Millares 8 4 2 4" xfId="2630" xr:uid="{A6FE4AD5-6AEF-4A87-8A09-0EFB8637E555}"/>
    <cellStyle name="Millares 8 4 3" xfId="1634" xr:uid="{39311149-72FA-4D34-A467-4144B1AE3AE7}"/>
    <cellStyle name="Millares 8 4 3 2" xfId="3626" xr:uid="{60CFE2CD-1203-4D11-9F3A-3A32B0B5D856}"/>
    <cellStyle name="Millares 8 4 4" xfId="963" xr:uid="{F7FBF8C6-23E9-4C27-B5B7-BE88F918B783}"/>
    <cellStyle name="Millares 8 4 4 2" xfId="2962" xr:uid="{C075844D-4B89-4E09-BA46-10F9A96A4A23}"/>
    <cellStyle name="Millares 8 4 5" xfId="2298" xr:uid="{78FAB19C-62FD-4915-A5C0-5DD69E7A1EE6}"/>
    <cellStyle name="Millares 8 5" xfId="458" xr:uid="{5F749E51-8AFB-45A3-9C5E-4AAEC8558259}"/>
    <cellStyle name="Millares 8 5 2" xfId="1800" xr:uid="{6D05F52F-342A-4648-AB58-09A3CE6C6058}"/>
    <cellStyle name="Millares 8 5 2 2" xfId="3792" xr:uid="{4F33693E-6D5A-478A-BBB9-5E1E954B33BC}"/>
    <cellStyle name="Millares 8 5 3" xfId="1129" xr:uid="{FE51ECAD-4A7F-4225-AA84-03F811AB99FD}"/>
    <cellStyle name="Millares 8 5 3 2" xfId="3128" xr:uid="{0F5FD21D-42F9-4410-90D7-FDF0AEDEBDE0}"/>
    <cellStyle name="Millares 8 5 4" xfId="2464" xr:uid="{195D2A1E-BD75-4CAB-94CA-1A0E6D5A3C2B}"/>
    <cellStyle name="Millares 8 6" xfId="1468" xr:uid="{04E030F1-12F7-4EB6-8995-2CA91EF22827}"/>
    <cellStyle name="Millares 8 6 2" xfId="3460" xr:uid="{C4264D83-3C30-4892-8A02-8C2828BDDF84}"/>
    <cellStyle name="Millares 8 7" xfId="797" xr:uid="{8F1E1F1D-CC6A-462B-8659-08FCCCCE4379}"/>
    <cellStyle name="Millares 8 7 2" xfId="2796" xr:uid="{AE473558-929B-4CB8-BD5D-D928CF06230E}"/>
    <cellStyle name="Millares 8 8" xfId="2132" xr:uid="{BC40B688-9734-4957-A6D8-AB421D4D5EEC}"/>
    <cellStyle name="Millares 9" xfId="110" xr:uid="{B8C0B772-1A71-42FD-86A3-9650CE8CBDE0}"/>
    <cellStyle name="Millares 9 2" xfId="158" xr:uid="{74E361D2-E5F3-4C7C-9B00-75CBD3461901}"/>
    <cellStyle name="Millares 9 2 2" xfId="247" xr:uid="{1A180AFB-7AAF-4EC6-9FB4-D3FF7C448A52}"/>
    <cellStyle name="Millares 9 2 2 2" xfId="433" xr:uid="{EC00CCB8-01B2-4AF8-BDB1-0B60CC307470}"/>
    <cellStyle name="Millares 9 2 2 2 2" xfId="765" xr:uid="{68DD3235-08DD-42FB-9DE2-EC4C950030BC}"/>
    <cellStyle name="Millares 9 2 2 2 2 2" xfId="2107" xr:uid="{9373F449-A5E1-4C5F-850E-F06EA536C910}"/>
    <cellStyle name="Millares 9 2 2 2 2 2 2" xfId="4099" xr:uid="{3FE007DE-8E0E-4732-9F19-297D1C87C973}"/>
    <cellStyle name="Millares 9 2 2 2 2 3" xfId="1436" xr:uid="{6E66ADCE-8907-4EF4-9E50-BDC1C426DBEF}"/>
    <cellStyle name="Millares 9 2 2 2 2 3 2" xfId="3435" xr:uid="{40F39CF1-BE04-4F01-8AE7-78B6DE72DE9A}"/>
    <cellStyle name="Millares 9 2 2 2 2 4" xfId="2771" xr:uid="{8B13FCF0-7D95-4A1B-92D5-BA0C0942DB04}"/>
    <cellStyle name="Millares 9 2 2 2 3" xfId="1775" xr:uid="{ABE0991B-2424-416C-A6AB-1F01206339C5}"/>
    <cellStyle name="Millares 9 2 2 2 3 2" xfId="3767" xr:uid="{97FB1BE2-0862-4008-BA4D-C7C13C32DA2D}"/>
    <cellStyle name="Millares 9 2 2 2 4" xfId="1104" xr:uid="{58F60C15-621F-413C-BFED-D7F26F9713D6}"/>
    <cellStyle name="Millares 9 2 2 2 4 2" xfId="3103" xr:uid="{67D659D4-25E2-4B16-906C-DFEFD45B3CD7}"/>
    <cellStyle name="Millares 9 2 2 2 5" xfId="2439" xr:uid="{58B09E96-FEEF-4ACF-B493-275616631DB8}"/>
    <cellStyle name="Millares 9 2 2 3" xfId="599" xr:uid="{2A7DAC7E-0F6F-4790-BF1B-E4830CF2EB6A}"/>
    <cellStyle name="Millares 9 2 2 3 2" xfId="1941" xr:uid="{C49E5144-E425-4B6B-BE4E-A188551050E2}"/>
    <cellStyle name="Millares 9 2 2 3 2 2" xfId="3933" xr:uid="{1F336D56-2D43-401B-A595-87B015BFE1F4}"/>
    <cellStyle name="Millares 9 2 2 3 3" xfId="1270" xr:uid="{3DF8E460-DF2E-436B-AB04-7BACBF74BE5F}"/>
    <cellStyle name="Millares 9 2 2 3 3 2" xfId="3269" xr:uid="{9B3C93D5-2C07-4028-AF55-1BE3704FCA1E}"/>
    <cellStyle name="Millares 9 2 2 3 4" xfId="2605" xr:uid="{9669D49E-C276-4BF4-9B80-793426701904}"/>
    <cellStyle name="Millares 9 2 2 4" xfId="1609" xr:uid="{ED718AA3-7F1F-467A-A5E0-4C7F84CF7C84}"/>
    <cellStyle name="Millares 9 2 2 4 2" xfId="3601" xr:uid="{8B6B3B2D-B686-4880-BDDD-5D223800E53B}"/>
    <cellStyle name="Millares 9 2 2 5" xfId="938" xr:uid="{7C2B796F-5312-48F4-9959-6FA01E99A105}"/>
    <cellStyle name="Millares 9 2 2 5 2" xfId="2937" xr:uid="{00605B2E-16F9-487A-A1AF-9E9AE4DD5789}"/>
    <cellStyle name="Millares 9 2 2 6" xfId="2273" xr:uid="{2AD03B1A-5355-4A25-9681-E7970D769686}"/>
    <cellStyle name="Millares 9 2 3" xfId="351" xr:uid="{AFDAEA08-E495-473F-94BD-279B3145AADE}"/>
    <cellStyle name="Millares 9 2 3 2" xfId="683" xr:uid="{458A76AE-6104-4B92-B9A4-8796E9A15A41}"/>
    <cellStyle name="Millares 9 2 3 2 2" xfId="2025" xr:uid="{CC86ABEE-70F7-4157-A1E3-C1014F85161E}"/>
    <cellStyle name="Millares 9 2 3 2 2 2" xfId="4017" xr:uid="{A41BAE74-F37E-4476-9AED-10F718864EB9}"/>
    <cellStyle name="Millares 9 2 3 2 3" xfId="1354" xr:uid="{8BB268D1-F0DF-44F7-87C2-6E7F98448A52}"/>
    <cellStyle name="Millares 9 2 3 2 3 2" xfId="3353" xr:uid="{CFECD847-FFDA-4852-B93E-86260B32374E}"/>
    <cellStyle name="Millares 9 2 3 2 4" xfId="2689" xr:uid="{4D2F8FF9-B361-4B16-A938-4A3C036489F7}"/>
    <cellStyle name="Millares 9 2 3 3" xfId="1693" xr:uid="{BB7A9519-C421-46C3-8FD7-E40BA55FD880}"/>
    <cellStyle name="Millares 9 2 3 3 2" xfId="3685" xr:uid="{F2D4A0D0-CEEC-4394-B87D-2275900F44FF}"/>
    <cellStyle name="Millares 9 2 3 4" xfId="1022" xr:uid="{5CE6DB50-6232-4B03-97A3-B6A4C3AB5429}"/>
    <cellStyle name="Millares 9 2 3 4 2" xfId="3021" xr:uid="{2EA4B0E6-5C18-4157-BF88-7AE44CE9D915}"/>
    <cellStyle name="Millares 9 2 3 5" xfId="2357" xr:uid="{8E7DBED3-184A-48E9-9F27-05393D501933}"/>
    <cellStyle name="Millares 9 2 4" xfId="517" xr:uid="{039B72CE-75F0-426F-A8B7-A861D1A3E04D}"/>
    <cellStyle name="Millares 9 2 4 2" xfId="1859" xr:uid="{AB49CB70-614A-4D32-9692-4C5922C9CCE7}"/>
    <cellStyle name="Millares 9 2 4 2 2" xfId="3851" xr:uid="{EE5D059B-BCCF-4542-9E43-CE08E77ACE23}"/>
    <cellStyle name="Millares 9 2 4 3" xfId="1188" xr:uid="{9CB7D48A-08D1-4C8D-BF14-7F84D60B0581}"/>
    <cellStyle name="Millares 9 2 4 3 2" xfId="3187" xr:uid="{CA2919A3-5352-4F70-BE09-FB3D46577EA0}"/>
    <cellStyle name="Millares 9 2 4 4" xfId="2523" xr:uid="{BF58BF10-AC86-4B7E-9BB1-4F7D2346172E}"/>
    <cellStyle name="Millares 9 2 5" xfId="1527" xr:uid="{5B5AAF3F-6C2E-4286-9CBC-3799A9850916}"/>
    <cellStyle name="Millares 9 2 5 2" xfId="3519" xr:uid="{226C9971-D479-4624-A8CD-A69A2236F48E}"/>
    <cellStyle name="Millares 9 2 6" xfId="856" xr:uid="{E1511FD9-B9DB-424F-8E9D-28ECD22EBE48}"/>
    <cellStyle name="Millares 9 2 6 2" xfId="2855" xr:uid="{08FF7F4E-F8DF-4F8C-9C81-18487DDCC7D8}"/>
    <cellStyle name="Millares 9 2 7" xfId="2191" xr:uid="{70ABAFBC-E4D7-4919-ADE8-B9FC84C6E5DC}"/>
    <cellStyle name="Millares 9 3" xfId="207" xr:uid="{49F84D61-F62E-443D-B27E-827087032BD5}"/>
    <cellStyle name="Millares 9 3 2" xfId="393" xr:uid="{816351E7-BF70-48D6-B413-60223A969C17}"/>
    <cellStyle name="Millares 9 3 2 2" xfId="725" xr:uid="{8631CA85-66DE-4E0C-8F2D-0AB548E2DD1C}"/>
    <cellStyle name="Millares 9 3 2 2 2" xfId="2067" xr:uid="{939CFFAA-8A0E-41A5-A4C1-9742548DB399}"/>
    <cellStyle name="Millares 9 3 2 2 2 2" xfId="4059" xr:uid="{E6A8168A-A4D6-4069-B79C-164FD2685D0D}"/>
    <cellStyle name="Millares 9 3 2 2 3" xfId="1396" xr:uid="{2717F58D-9C3B-48E1-8A56-B24D298EF482}"/>
    <cellStyle name="Millares 9 3 2 2 3 2" xfId="3395" xr:uid="{52F53CD8-77E8-4407-8F80-71540EC901AB}"/>
    <cellStyle name="Millares 9 3 2 2 4" xfId="2731" xr:uid="{DC50E8E8-E5D6-45E0-8963-150094CF3DD0}"/>
    <cellStyle name="Millares 9 3 2 3" xfId="1735" xr:uid="{DADCCDCA-7A4B-4531-B7A6-F80D8368A937}"/>
    <cellStyle name="Millares 9 3 2 3 2" xfId="3727" xr:uid="{D13BA7CF-E31F-4318-BDA6-3306ACE470CF}"/>
    <cellStyle name="Millares 9 3 2 4" xfId="1064" xr:uid="{9914B731-E8EB-47D5-B68C-86F028866F3D}"/>
    <cellStyle name="Millares 9 3 2 4 2" xfId="3063" xr:uid="{C9F4D104-1377-400A-A46E-914A19BE4F8D}"/>
    <cellStyle name="Millares 9 3 2 5" xfId="2399" xr:uid="{187E71A4-6E1A-4EBE-84FD-EBB983E76027}"/>
    <cellStyle name="Millares 9 3 3" xfId="559" xr:uid="{5F36FE3C-77DF-46B1-9E71-76E5AA988FBD}"/>
    <cellStyle name="Millares 9 3 3 2" xfId="1901" xr:uid="{AC9115BA-1305-482B-90D9-B41C831F5F85}"/>
    <cellStyle name="Millares 9 3 3 2 2" xfId="3893" xr:uid="{D22D3490-172A-44B6-B14F-A5F7912F2833}"/>
    <cellStyle name="Millares 9 3 3 3" xfId="1230" xr:uid="{D8C3E587-7762-4265-859A-DABB4D124465}"/>
    <cellStyle name="Millares 9 3 3 3 2" xfId="3229" xr:uid="{0ED3A4C7-BDF9-4BF9-8E19-752F5A4C7665}"/>
    <cellStyle name="Millares 9 3 3 4" xfId="2565" xr:uid="{DC1349AC-50EF-4A82-A84F-BFB87C929A9E}"/>
    <cellStyle name="Millares 9 3 4" xfId="1569" xr:uid="{FF5D8D5E-1CFE-4E1A-B03C-5CE4759B0CE4}"/>
    <cellStyle name="Millares 9 3 4 2" xfId="3561" xr:uid="{25B33026-2054-47DE-8009-73001DEB7277}"/>
    <cellStyle name="Millares 9 3 5" xfId="898" xr:uid="{510F9C06-0828-4A81-93EA-73ABE3EEF929}"/>
    <cellStyle name="Millares 9 3 5 2" xfId="2897" xr:uid="{DCDB912C-4AC0-41AB-8CBE-598D0C97C793}"/>
    <cellStyle name="Millares 9 3 6" xfId="2233" xr:uid="{5362CC9E-EC3B-4112-8850-83781497C4B7}"/>
    <cellStyle name="Millares 9 4" xfId="311" xr:uid="{D4849AE1-13CD-430A-8D47-1A3DABAB1595}"/>
    <cellStyle name="Millares 9 4 2" xfId="643" xr:uid="{DC7CFFC6-EEAD-4E09-8BEC-EBD7DA152841}"/>
    <cellStyle name="Millares 9 4 2 2" xfId="1985" xr:uid="{8F489447-7434-4A24-A38D-4864127EBA9B}"/>
    <cellStyle name="Millares 9 4 2 2 2" xfId="3977" xr:uid="{47496160-8570-4088-899D-DF5F06BD4F28}"/>
    <cellStyle name="Millares 9 4 2 3" xfId="1314" xr:uid="{8711DECF-6490-42F3-8A4B-62E8C5679E6D}"/>
    <cellStyle name="Millares 9 4 2 3 2" xfId="3313" xr:uid="{2EE41A50-E50C-4FF6-BB97-3A072A136B3D}"/>
    <cellStyle name="Millares 9 4 2 4" xfId="2649" xr:uid="{F7EE15E3-84AB-48A4-BF34-2E8CA85C56F2}"/>
    <cellStyle name="Millares 9 4 3" xfId="1653" xr:uid="{014BE030-D8E6-49BF-9E56-E242CE32EC39}"/>
    <cellStyle name="Millares 9 4 3 2" xfId="3645" xr:uid="{E088E9B3-D605-4B5C-B6E1-2A8F3BD181B1}"/>
    <cellStyle name="Millares 9 4 4" xfId="982" xr:uid="{2403A37F-8422-487D-9098-F06CD46E87E7}"/>
    <cellStyle name="Millares 9 4 4 2" xfId="2981" xr:uid="{2EE33C57-51F9-4EFB-B4F4-5BB228DD81A9}"/>
    <cellStyle name="Millares 9 4 5" xfId="2317" xr:uid="{FCF7A131-5BC6-4577-8968-339A42C0C89F}"/>
    <cellStyle name="Millares 9 5" xfId="477" xr:uid="{C69E338A-059F-428F-ADF6-2A97E21D8616}"/>
    <cellStyle name="Millares 9 5 2" xfId="1819" xr:uid="{01236097-2C5B-4A99-AEDB-D88338EA72B8}"/>
    <cellStyle name="Millares 9 5 2 2" xfId="3811" xr:uid="{56DA6D8F-9C53-4B06-944E-8B166EDC4B3F}"/>
    <cellStyle name="Millares 9 5 3" xfId="1148" xr:uid="{6E5AE761-1398-4D01-AE04-85C7D327DE50}"/>
    <cellStyle name="Millares 9 5 3 2" xfId="3147" xr:uid="{E245AC3F-BE59-4F31-8715-EC98066AEBD8}"/>
    <cellStyle name="Millares 9 5 4" xfId="2483" xr:uid="{CF6427A6-285F-447D-BAD9-8EF22A5628E6}"/>
    <cellStyle name="Millares 9 6" xfId="1487" xr:uid="{18841219-C396-40E9-8A9A-BF84983290FC}"/>
    <cellStyle name="Millares 9 6 2" xfId="3479" xr:uid="{E836B8E8-B828-4B2D-A51E-E03486A11189}"/>
    <cellStyle name="Millares 9 7" xfId="816" xr:uid="{71FE559A-1FEA-460F-8C7C-30C8726633A7}"/>
    <cellStyle name="Millares 9 7 2" xfId="2815" xr:uid="{79D854DE-C061-4E6C-AC7A-2908E67891BB}"/>
    <cellStyle name="Millares 9 8" xfId="2151" xr:uid="{B12ED2A1-52EA-4E14-B260-AABBE7543DDA}"/>
    <cellStyle name="Neutral 10" xfId="782" xr:uid="{DBDDA7A5-93B5-41B8-A4E1-EE4AC2DBA2BE}"/>
    <cellStyle name="Neutral 2" xfId="76" xr:uid="{CC4D2681-495D-4093-9665-F5642EE2C997}"/>
    <cellStyle name="Neutral 3" xfId="94" xr:uid="{EC0B38B3-F2CF-4918-8F1B-D74012EE281E}"/>
    <cellStyle name="Neutral 4" xfId="123" xr:uid="{FDBD4FDF-8637-4B66-ABD8-BF8F4BE87332}"/>
    <cellStyle name="Neutral 5" xfId="173" xr:uid="{57F59255-2F83-4604-A05D-DB394009849E}"/>
    <cellStyle name="Neutral 6" xfId="261" xr:uid="{CB0C4454-8E8C-422A-92A2-63171A8FA4FB}"/>
    <cellStyle name="Neutral 7" xfId="277" xr:uid="{A88DB509-B2BE-4296-8E30-E3165BD2D822}"/>
    <cellStyle name="Neutral 8" xfId="49" xr:uid="{5EB5C6F7-AFDA-4060-9816-7E99FD7B783D}"/>
    <cellStyle name="Neutral 9" xfId="1453" xr:uid="{BC036824-D93D-45EE-94B8-78122CF6B4A1}"/>
    <cellStyle name="Normal" xfId="0" builtinId="0"/>
    <cellStyle name="Normal 15" xfId="50" xr:uid="{B3E678F4-7BA8-4869-B2F0-88E0BA0976A0}"/>
    <cellStyle name="Normal 2" xfId="51" xr:uid="{B9379134-7FD6-476F-92A6-5A30FC49256B}"/>
    <cellStyle name="Normal 2 10" xfId="52" xr:uid="{3A220C7D-B704-4BAE-B88F-4BDBDCF4504A}"/>
    <cellStyle name="Normal 3" xfId="53" xr:uid="{473A84C8-B804-4A0F-9FDD-8A681D34179E}"/>
    <cellStyle name="Normal 3 57" xfId="62" xr:uid="{961705D4-E9CD-4FB4-B73A-0CAEBB0E17FC}"/>
    <cellStyle name="Normal 4" xfId="54" xr:uid="{1CEBE610-04E2-462B-A73C-DF965277ADDF}"/>
    <cellStyle name="Normal 4 10" xfId="55" xr:uid="{0D6700B3-5631-409B-A1D5-19AF401F271C}"/>
    <cellStyle name="Normal 5" xfId="56" xr:uid="{6EAD911B-2FE6-47E6-BA50-0B337F0E32C4}"/>
    <cellStyle name="Notas" xfId="15" builtinId="10" customBuiltin="1"/>
    <cellStyle name="Porcentaje" xfId="1" builtinId="5"/>
    <cellStyle name="Porcentaje 2" xfId="79" xr:uid="{C86CF153-1389-41A5-81B5-5D4E116C9404}"/>
    <cellStyle name="Porcentaje 3" xfId="97" xr:uid="{34ABC28B-A141-4EDE-ACEB-A4F1EDB6E2E7}"/>
    <cellStyle name="Porcentaje 4" xfId="126" xr:uid="{A3626654-64C9-4746-A8B2-D172E4243907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1CA4-9EA4-46D9-B067-DB1D63E299EE}">
  <dimension ref="A1:CW72"/>
  <sheetViews>
    <sheetView tabSelected="1" zoomScale="80" zoomScaleNormal="80" workbookViewId="0">
      <selection activeCell="B69" sqref="B69"/>
    </sheetView>
  </sheetViews>
  <sheetFormatPr baseColWidth="10" defaultRowHeight="14"/>
  <cols>
    <col min="2" max="2" width="47.796875" bestFit="1" customWidth="1"/>
    <col min="3" max="3" width="14.19921875" bestFit="1" customWidth="1"/>
    <col min="4" max="5" width="13.69921875" customWidth="1"/>
  </cols>
  <sheetData>
    <row r="1" spans="1:101">
      <c r="A1" s="36" t="s">
        <v>0</v>
      </c>
      <c r="B1" s="36" t="s">
        <v>1</v>
      </c>
      <c r="C1" s="39" t="s">
        <v>2</v>
      </c>
      <c r="D1" s="17"/>
      <c r="E1" s="17"/>
    </row>
    <row r="2" spans="1:101">
      <c r="A2" s="37" t="s">
        <v>3</v>
      </c>
      <c r="B2" s="37" t="s">
        <v>4</v>
      </c>
      <c r="C2" s="40">
        <v>0</v>
      </c>
      <c r="D2" s="17"/>
      <c r="E2" s="17"/>
    </row>
    <row r="3" spans="1:101">
      <c r="A3" s="38" t="s">
        <v>5</v>
      </c>
      <c r="B3" s="38" t="s">
        <v>6</v>
      </c>
      <c r="C3" s="2">
        <v>0</v>
      </c>
      <c r="D3" s="18"/>
      <c r="E3" s="18"/>
      <c r="F3" s="7" t="s">
        <v>119</v>
      </c>
      <c r="G3" s="8" t="s">
        <v>120</v>
      </c>
      <c r="H3" s="9" t="s">
        <v>121</v>
      </c>
      <c r="I3" s="8" t="s">
        <v>119</v>
      </c>
      <c r="J3" s="8" t="s">
        <v>120</v>
      </c>
      <c r="K3" s="9" t="s">
        <v>121</v>
      </c>
      <c r="L3" s="8" t="s">
        <v>119</v>
      </c>
      <c r="M3" s="8" t="s">
        <v>120</v>
      </c>
      <c r="N3" s="9" t="s">
        <v>121</v>
      </c>
      <c r="O3" s="8" t="s">
        <v>119</v>
      </c>
      <c r="P3" s="8" t="s">
        <v>120</v>
      </c>
      <c r="Q3" s="9" t="s">
        <v>121</v>
      </c>
      <c r="R3" s="8" t="s">
        <v>119</v>
      </c>
      <c r="S3" s="8" t="s">
        <v>120</v>
      </c>
      <c r="T3" s="9" t="s">
        <v>121</v>
      </c>
      <c r="U3" s="8" t="s">
        <v>119</v>
      </c>
      <c r="V3" s="8" t="s">
        <v>120</v>
      </c>
      <c r="W3" s="9" t="s">
        <v>121</v>
      </c>
      <c r="X3" s="8" t="s">
        <v>119</v>
      </c>
      <c r="Y3" s="8" t="s">
        <v>120</v>
      </c>
      <c r="Z3" s="9" t="s">
        <v>121</v>
      </c>
      <c r="AA3" s="8" t="s">
        <v>119</v>
      </c>
      <c r="AB3" s="8" t="s">
        <v>120</v>
      </c>
      <c r="AC3" s="9" t="s">
        <v>121</v>
      </c>
      <c r="AD3" s="8" t="s">
        <v>119</v>
      </c>
      <c r="AE3" s="8" t="s">
        <v>120</v>
      </c>
      <c r="AF3" s="9" t="s">
        <v>121</v>
      </c>
      <c r="AG3" s="8" t="s">
        <v>119</v>
      </c>
      <c r="AH3" s="8" t="s">
        <v>120</v>
      </c>
      <c r="AI3" s="9" t="s">
        <v>121</v>
      </c>
      <c r="AJ3" s="8" t="s">
        <v>119</v>
      </c>
      <c r="AK3" s="8" t="s">
        <v>120</v>
      </c>
      <c r="AL3" s="9" t="s">
        <v>121</v>
      </c>
      <c r="AM3" s="8" t="s">
        <v>119</v>
      </c>
      <c r="AN3" s="8" t="s">
        <v>120</v>
      </c>
      <c r="AO3" s="9" t="s">
        <v>121</v>
      </c>
      <c r="AP3" s="8" t="s">
        <v>119</v>
      </c>
      <c r="AQ3" s="8" t="s">
        <v>120</v>
      </c>
      <c r="AR3" s="9" t="s">
        <v>121</v>
      </c>
      <c r="AS3" s="8" t="s">
        <v>119</v>
      </c>
      <c r="AT3" s="8" t="s">
        <v>120</v>
      </c>
      <c r="AU3" s="9" t="s">
        <v>121</v>
      </c>
      <c r="AV3" s="8" t="s">
        <v>119</v>
      </c>
      <c r="AW3" s="8" t="s">
        <v>120</v>
      </c>
      <c r="AX3" s="9" t="s">
        <v>121</v>
      </c>
      <c r="AY3" s="8" t="s">
        <v>119</v>
      </c>
      <c r="AZ3" s="8" t="s">
        <v>120</v>
      </c>
      <c r="BA3" s="9" t="s">
        <v>121</v>
      </c>
      <c r="BB3" s="8" t="s">
        <v>119</v>
      </c>
      <c r="BC3" s="8" t="s">
        <v>120</v>
      </c>
      <c r="BD3" s="9" t="s">
        <v>121</v>
      </c>
      <c r="BE3" s="8" t="s">
        <v>119</v>
      </c>
      <c r="BF3" s="8" t="s">
        <v>120</v>
      </c>
      <c r="BG3" s="9" t="s">
        <v>121</v>
      </c>
      <c r="BH3" s="8" t="s">
        <v>119</v>
      </c>
      <c r="BI3" s="8" t="s">
        <v>120</v>
      </c>
      <c r="BJ3" s="9" t="s">
        <v>121</v>
      </c>
      <c r="BK3" s="8" t="s">
        <v>119</v>
      </c>
      <c r="BL3" s="8" t="s">
        <v>120</v>
      </c>
      <c r="BM3" s="9" t="s">
        <v>121</v>
      </c>
      <c r="BN3" s="8" t="s">
        <v>119</v>
      </c>
      <c r="BO3" s="8" t="s">
        <v>120</v>
      </c>
      <c r="BP3" s="9" t="s">
        <v>121</v>
      </c>
      <c r="BQ3" s="8" t="s">
        <v>119</v>
      </c>
      <c r="BR3" s="8" t="s">
        <v>120</v>
      </c>
      <c r="BS3" s="9" t="s">
        <v>121</v>
      </c>
      <c r="BT3" s="8" t="s">
        <v>119</v>
      </c>
      <c r="BU3" s="8" t="s">
        <v>120</v>
      </c>
      <c r="BV3" s="9" t="s">
        <v>121</v>
      </c>
      <c r="BW3" s="8" t="s">
        <v>119</v>
      </c>
      <c r="BX3" s="8" t="s">
        <v>120</v>
      </c>
      <c r="BY3" s="9" t="s">
        <v>121</v>
      </c>
      <c r="BZ3" s="8" t="s">
        <v>119</v>
      </c>
      <c r="CA3" s="8" t="s">
        <v>120</v>
      </c>
      <c r="CB3" s="9" t="s">
        <v>121</v>
      </c>
      <c r="CC3" s="8" t="s">
        <v>119</v>
      </c>
      <c r="CD3" s="8" t="s">
        <v>120</v>
      </c>
      <c r="CE3" s="9" t="s">
        <v>121</v>
      </c>
      <c r="CF3" s="8" t="s">
        <v>119</v>
      </c>
      <c r="CG3" s="8" t="s">
        <v>120</v>
      </c>
      <c r="CH3" s="9" t="s">
        <v>121</v>
      </c>
      <c r="CI3" s="8" t="s">
        <v>119</v>
      </c>
      <c r="CJ3" s="8" t="s">
        <v>120</v>
      </c>
      <c r="CK3" s="9" t="s">
        <v>121</v>
      </c>
      <c r="CL3" s="8" t="s">
        <v>119</v>
      </c>
      <c r="CM3" s="8" t="s">
        <v>120</v>
      </c>
      <c r="CN3" s="9" t="s">
        <v>121</v>
      </c>
      <c r="CO3" s="8" t="s">
        <v>119</v>
      </c>
      <c r="CP3" s="8" t="s">
        <v>120</v>
      </c>
      <c r="CQ3" s="9" t="s">
        <v>121</v>
      </c>
      <c r="CR3" s="8" t="s">
        <v>119</v>
      </c>
      <c r="CS3" s="8" t="s">
        <v>120</v>
      </c>
      <c r="CT3" s="9" t="s">
        <v>121</v>
      </c>
      <c r="CU3" s="8" t="s">
        <v>119</v>
      </c>
      <c r="CV3" s="8" t="s">
        <v>120</v>
      </c>
      <c r="CW3" s="9" t="s">
        <v>121</v>
      </c>
    </row>
    <row r="4" spans="1:101">
      <c r="A4" s="3" t="s">
        <v>7</v>
      </c>
      <c r="B4" s="3" t="s">
        <v>8</v>
      </c>
      <c r="C4" s="23">
        <v>272107866</v>
      </c>
      <c r="D4" s="19"/>
      <c r="E4" s="19"/>
      <c r="F4" s="10"/>
      <c r="G4" s="11"/>
      <c r="H4" s="12"/>
      <c r="I4" s="14"/>
      <c r="J4" s="15"/>
      <c r="K4" s="16"/>
      <c r="L4" s="14"/>
      <c r="M4" s="15"/>
      <c r="N4" s="16"/>
      <c r="O4" s="14"/>
      <c r="P4" s="15"/>
      <c r="Q4" s="16"/>
      <c r="R4" s="14"/>
      <c r="S4" s="15"/>
      <c r="T4" s="16"/>
      <c r="U4" s="14"/>
      <c r="V4" s="15"/>
      <c r="W4" s="16"/>
      <c r="X4" s="14"/>
      <c r="Y4" s="15"/>
      <c r="Z4" s="16"/>
      <c r="AA4" s="14"/>
      <c r="AB4" s="15"/>
      <c r="AC4" s="16"/>
      <c r="AD4" s="14"/>
      <c r="AE4" s="15"/>
      <c r="AF4" s="16"/>
      <c r="AG4" s="14"/>
      <c r="AH4" s="15"/>
      <c r="AI4" s="16"/>
      <c r="AJ4" s="14"/>
      <c r="AK4" s="15"/>
      <c r="AL4" s="16"/>
      <c r="AM4" s="14"/>
      <c r="AN4" s="15"/>
      <c r="AO4" s="16"/>
      <c r="AP4" s="14"/>
      <c r="AQ4" s="15"/>
      <c r="AR4" s="16"/>
      <c r="AS4" s="14"/>
      <c r="AT4" s="15"/>
      <c r="AU4" s="16"/>
      <c r="AV4" s="14"/>
      <c r="AW4" s="15"/>
      <c r="AX4" s="16"/>
      <c r="AY4" s="14"/>
      <c r="AZ4" s="15"/>
      <c r="BA4" s="16"/>
      <c r="BB4" s="14"/>
      <c r="BC4" s="15"/>
      <c r="BD4" s="16"/>
      <c r="BE4" s="14"/>
      <c r="BF4" s="15"/>
      <c r="BG4" s="16"/>
      <c r="BH4" s="14"/>
      <c r="BI4" s="15"/>
      <c r="BJ4" s="16"/>
      <c r="BK4" s="14"/>
      <c r="BL4" s="15"/>
      <c r="BM4" s="16"/>
      <c r="BN4" s="14"/>
      <c r="BO4" s="15"/>
      <c r="BP4" s="16"/>
      <c r="BQ4" s="14"/>
      <c r="BR4" s="15"/>
      <c r="BS4" s="16"/>
      <c r="BT4" s="14"/>
      <c r="BU4" s="15"/>
      <c r="BV4" s="16"/>
      <c r="BW4" s="14"/>
      <c r="BX4" s="15"/>
      <c r="BY4" s="16"/>
      <c r="BZ4" s="14"/>
      <c r="CA4" s="15"/>
      <c r="CB4" s="16"/>
      <c r="CC4" s="14"/>
      <c r="CD4" s="15"/>
      <c r="CE4" s="16"/>
      <c r="CF4" s="10"/>
      <c r="CG4" s="11"/>
      <c r="CH4" s="12"/>
      <c r="CI4" s="10"/>
      <c r="CJ4" s="11"/>
      <c r="CK4" s="12"/>
      <c r="CL4" s="10"/>
      <c r="CM4" s="11"/>
      <c r="CN4" s="12"/>
      <c r="CO4" s="10"/>
      <c r="CP4" s="11"/>
      <c r="CQ4" s="12"/>
      <c r="CR4" s="10"/>
      <c r="CS4" s="11"/>
      <c r="CT4" s="12"/>
      <c r="CU4" s="10"/>
      <c r="CV4" s="11"/>
      <c r="CW4" s="12"/>
    </row>
    <row r="5" spans="1:101">
      <c r="A5" s="3" t="s">
        <v>10</v>
      </c>
      <c r="B5" s="3" t="s">
        <v>11</v>
      </c>
      <c r="C5" s="23">
        <v>2848513</v>
      </c>
      <c r="D5" s="19"/>
      <c r="E5" s="19"/>
      <c r="F5" s="10"/>
      <c r="G5" s="11"/>
      <c r="H5" s="12"/>
      <c r="I5" s="10"/>
      <c r="J5" s="11"/>
      <c r="K5" s="12"/>
      <c r="L5" s="10"/>
      <c r="M5" s="11"/>
      <c r="N5" s="12"/>
      <c r="O5" s="10"/>
      <c r="P5" s="11"/>
      <c r="Q5" s="12"/>
      <c r="R5" s="10"/>
      <c r="S5" s="11"/>
      <c r="T5" s="12"/>
      <c r="U5" s="10"/>
      <c r="V5" s="11"/>
      <c r="W5" s="12"/>
      <c r="X5" s="10"/>
      <c r="Y5" s="11"/>
      <c r="Z5" s="12"/>
      <c r="AA5" s="10"/>
      <c r="AB5" s="11"/>
      <c r="AC5" s="12"/>
      <c r="AD5" s="10"/>
      <c r="AE5" s="11"/>
      <c r="AF5" s="12"/>
      <c r="AG5" s="10"/>
      <c r="AH5" s="11"/>
      <c r="AI5" s="12"/>
      <c r="AJ5" s="10"/>
      <c r="AK5" s="11"/>
      <c r="AL5" s="12"/>
      <c r="AM5" s="10"/>
      <c r="AN5" s="11"/>
      <c r="AO5" s="12"/>
      <c r="AP5" s="10"/>
      <c r="AQ5" s="11"/>
      <c r="AR5" s="12"/>
      <c r="AS5" s="10"/>
      <c r="AT5" s="11"/>
      <c r="AU5" s="12"/>
      <c r="AV5" s="10"/>
      <c r="AW5" s="11"/>
      <c r="AX5" s="12"/>
      <c r="AY5" s="10"/>
      <c r="AZ5" s="11"/>
      <c r="BA5" s="12"/>
      <c r="BB5" s="10"/>
      <c r="BC5" s="11"/>
      <c r="BD5" s="12"/>
      <c r="BE5" s="10"/>
      <c r="BF5" s="11"/>
      <c r="BG5" s="12"/>
      <c r="BH5" s="10"/>
      <c r="BI5" s="11"/>
      <c r="BJ5" s="12"/>
      <c r="BK5" s="10"/>
      <c r="BL5" s="11"/>
      <c r="BM5" s="12"/>
      <c r="BN5" s="10"/>
      <c r="BO5" s="11"/>
      <c r="BP5" s="12"/>
      <c r="BQ5" s="10"/>
      <c r="BR5" s="11"/>
      <c r="BS5" s="12"/>
      <c r="BT5" s="10"/>
      <c r="BU5" s="11"/>
      <c r="BV5" s="12"/>
      <c r="BW5" s="10"/>
      <c r="BX5" s="11"/>
      <c r="BY5" s="12"/>
      <c r="BZ5" s="10"/>
      <c r="CA5" s="11"/>
      <c r="CB5" s="12"/>
      <c r="CC5" s="10"/>
      <c r="CD5" s="11"/>
      <c r="CE5" s="12"/>
      <c r="CF5" s="10"/>
      <c r="CG5" s="11"/>
      <c r="CH5" s="12"/>
      <c r="CI5" s="10"/>
      <c r="CJ5" s="11"/>
      <c r="CK5" s="12"/>
      <c r="CL5" s="10"/>
      <c r="CM5" s="11"/>
      <c r="CN5" s="12"/>
      <c r="CO5" s="10"/>
      <c r="CP5" s="11"/>
      <c r="CQ5" s="12"/>
      <c r="CR5" s="10"/>
      <c r="CS5" s="11"/>
      <c r="CT5" s="12"/>
      <c r="CU5" s="10"/>
      <c r="CV5" s="11"/>
      <c r="CW5" s="12"/>
    </row>
    <row r="6" spans="1:101">
      <c r="A6" s="3" t="s">
        <v>12</v>
      </c>
      <c r="B6" s="3" t="s">
        <v>13</v>
      </c>
      <c r="C6" s="23">
        <v>-125738337</v>
      </c>
      <c r="D6" s="19"/>
      <c r="E6" s="19"/>
      <c r="F6" s="10"/>
      <c r="G6" s="11"/>
      <c r="H6" s="12"/>
      <c r="I6" s="10"/>
      <c r="J6" s="11"/>
      <c r="K6" s="12"/>
      <c r="L6" s="10"/>
      <c r="M6" s="11"/>
      <c r="N6" s="12"/>
      <c r="O6" s="10"/>
      <c r="P6" s="11"/>
      <c r="Q6" s="12"/>
      <c r="R6" s="10"/>
      <c r="S6" s="11"/>
      <c r="T6" s="12"/>
      <c r="U6" s="10"/>
      <c r="V6" s="11"/>
      <c r="W6" s="12"/>
      <c r="X6" s="10"/>
      <c r="Y6" s="11"/>
      <c r="Z6" s="12"/>
      <c r="AA6" s="10"/>
      <c r="AB6" s="11"/>
      <c r="AC6" s="12"/>
      <c r="AD6" s="10"/>
      <c r="AE6" s="11"/>
      <c r="AF6" s="12"/>
      <c r="AG6" s="10"/>
      <c r="AH6" s="11"/>
      <c r="AI6" s="12"/>
      <c r="AJ6" s="10"/>
      <c r="AK6" s="11"/>
      <c r="AL6" s="12"/>
      <c r="AM6" s="10"/>
      <c r="AN6" s="11"/>
      <c r="AO6" s="12"/>
      <c r="AP6" s="10"/>
      <c r="AQ6" s="11"/>
      <c r="AR6" s="12"/>
      <c r="AS6" s="10"/>
      <c r="AT6" s="11"/>
      <c r="AU6" s="12"/>
      <c r="AV6" s="10"/>
      <c r="AW6" s="11"/>
      <c r="AX6" s="12"/>
      <c r="AY6" s="10"/>
      <c r="AZ6" s="11"/>
      <c r="BA6" s="12"/>
      <c r="BB6" s="10"/>
      <c r="BC6" s="11"/>
      <c r="BD6" s="12"/>
      <c r="BE6" s="10"/>
      <c r="BF6" s="11"/>
      <c r="BG6" s="12"/>
      <c r="BH6" s="10"/>
      <c r="BI6" s="11"/>
      <c r="BJ6" s="12"/>
      <c r="BK6" s="10"/>
      <c r="BL6" s="11"/>
      <c r="BM6" s="12"/>
      <c r="BN6" s="10"/>
      <c r="BO6" s="11"/>
      <c r="BP6" s="12"/>
      <c r="BQ6" s="10"/>
      <c r="BR6" s="11"/>
      <c r="BS6" s="12"/>
      <c r="BT6" s="10"/>
      <c r="BU6" s="11"/>
      <c r="BV6" s="12"/>
      <c r="BW6" s="10"/>
      <c r="BX6" s="11"/>
      <c r="BY6" s="12"/>
      <c r="BZ6" s="10"/>
      <c r="CA6" s="11"/>
      <c r="CB6" s="12"/>
      <c r="CC6" s="10"/>
      <c r="CD6" s="11"/>
      <c r="CE6" s="12"/>
      <c r="CF6" s="10"/>
      <c r="CG6" s="11"/>
      <c r="CH6" s="12"/>
      <c r="CI6" s="10"/>
      <c r="CJ6" s="11"/>
      <c r="CK6" s="12"/>
      <c r="CL6" s="10"/>
      <c r="CM6" s="11"/>
      <c r="CN6" s="12"/>
      <c r="CO6" s="10"/>
      <c r="CP6" s="11"/>
      <c r="CQ6" s="12"/>
      <c r="CR6" s="10"/>
      <c r="CS6" s="11"/>
      <c r="CT6" s="12"/>
      <c r="CU6" s="10"/>
      <c r="CV6" s="11"/>
      <c r="CW6" s="12"/>
    </row>
    <row r="7" spans="1:101">
      <c r="A7" s="3" t="s">
        <v>105</v>
      </c>
      <c r="B7" s="3" t="s">
        <v>106</v>
      </c>
      <c r="C7" s="29">
        <v>-4227342</v>
      </c>
      <c r="D7" s="30">
        <f t="shared" ref="D7:D59" si="0">+G7+J7+M7+P7+S7+V7+Y7+AB7+AE7+AH7+AK7+AN7+AQ7+AT7+AW7+AZ7+BC7+BF7+BI7+BL7+BO7+BR7+BU7+BX7+CA7+CD7+CG7+CJ7+CM7+CP7+CS7</f>
        <v>4227342</v>
      </c>
      <c r="E7" s="31">
        <f>+C7+D7</f>
        <v>0</v>
      </c>
      <c r="F7" s="22" t="s">
        <v>148</v>
      </c>
      <c r="G7">
        <v>977342</v>
      </c>
      <c r="H7" s="13" t="s">
        <v>167</v>
      </c>
      <c r="I7" t="s">
        <v>179</v>
      </c>
      <c r="J7">
        <v>3250000</v>
      </c>
      <c r="K7" s="13">
        <v>300</v>
      </c>
      <c r="N7" s="13"/>
      <c r="Q7" s="13"/>
      <c r="T7" s="13"/>
      <c r="W7" s="13"/>
      <c r="X7" s="10"/>
      <c r="Y7" s="11"/>
      <c r="Z7" s="12"/>
      <c r="AA7" s="10"/>
      <c r="AB7" s="11"/>
      <c r="AC7" s="12"/>
      <c r="AD7" s="10"/>
      <c r="AE7" s="11"/>
      <c r="AF7" s="12"/>
      <c r="AG7" s="10"/>
      <c r="AH7" s="11"/>
      <c r="AI7" s="12"/>
      <c r="AJ7" s="10"/>
      <c r="AK7" s="11"/>
      <c r="AL7" s="12"/>
      <c r="AM7" s="10"/>
      <c r="AN7" s="11"/>
      <c r="AO7" s="12"/>
      <c r="AP7" s="10"/>
      <c r="AQ7" s="11"/>
      <c r="AR7" s="12"/>
      <c r="AS7" s="10"/>
      <c r="AT7" s="11"/>
      <c r="AU7" s="12"/>
      <c r="AV7" s="10"/>
      <c r="AW7" s="11"/>
      <c r="AX7" s="12"/>
      <c r="AY7" s="10"/>
      <c r="AZ7" s="11"/>
      <c r="BA7" s="12"/>
      <c r="BB7" s="10"/>
      <c r="BC7" s="11"/>
      <c r="BD7" s="12"/>
      <c r="BE7" s="10"/>
      <c r="BF7" s="11"/>
      <c r="BG7" s="12"/>
      <c r="BH7" s="10"/>
      <c r="BI7" s="11"/>
      <c r="BJ7" s="12"/>
      <c r="BK7" s="10"/>
      <c r="BL7" s="11"/>
      <c r="BM7" s="12"/>
      <c r="BN7" s="10"/>
      <c r="BO7" s="11"/>
      <c r="BP7" s="12"/>
      <c r="BQ7" s="10"/>
      <c r="BR7" s="11"/>
      <c r="BS7" s="12"/>
      <c r="BT7" s="10"/>
      <c r="BU7" s="11"/>
      <c r="BV7" s="12"/>
      <c r="BW7" s="10"/>
      <c r="BX7" s="11"/>
      <c r="BY7" s="12"/>
      <c r="BZ7" s="10"/>
      <c r="CA7" s="11"/>
      <c r="CB7" s="12"/>
      <c r="CC7" s="10"/>
      <c r="CD7" s="11"/>
      <c r="CE7" s="12"/>
      <c r="CF7" s="10"/>
      <c r="CG7" s="11"/>
      <c r="CH7" s="12"/>
      <c r="CI7" s="10"/>
      <c r="CJ7" s="11"/>
      <c r="CK7" s="12"/>
      <c r="CL7" s="10"/>
      <c r="CM7" s="11"/>
      <c r="CN7" s="12"/>
      <c r="CO7" s="10"/>
      <c r="CP7" s="11"/>
      <c r="CQ7" s="12"/>
      <c r="CR7" s="10"/>
      <c r="CS7" s="11"/>
      <c r="CT7" s="12"/>
      <c r="CU7" s="10"/>
      <c r="CV7" s="11"/>
      <c r="CW7" s="12"/>
    </row>
    <row r="8" spans="1:101">
      <c r="A8" s="3" t="s">
        <v>14</v>
      </c>
      <c r="B8" s="3" t="s">
        <v>15</v>
      </c>
      <c r="C8" s="29">
        <v>-1190811</v>
      </c>
      <c r="D8" s="30">
        <f>+G8+J8+M8+P8+S8+V8+Y8+AB8+AE8+AH8+AK8+AN8+AQ8+AT8+AW8+AZ8+BC8+BF8+BI8+BL8+BO8+BR8+BU8+BX8+CA8+CD8+CG8+CJ8+CM8+CP8+CS8</f>
        <v>1190811</v>
      </c>
      <c r="E8" s="31">
        <f t="shared" ref="E8:E9" si="1">+C8+D8</f>
        <v>0</v>
      </c>
      <c r="F8" s="22" t="s">
        <v>122</v>
      </c>
      <c r="G8">
        <v>269914</v>
      </c>
      <c r="H8" s="13">
        <v>404</v>
      </c>
      <c r="I8" t="s">
        <v>122</v>
      </c>
      <c r="J8">
        <v>194924</v>
      </c>
      <c r="K8" s="13">
        <v>404</v>
      </c>
      <c r="L8" t="s">
        <v>122</v>
      </c>
      <c r="M8">
        <v>102905</v>
      </c>
      <c r="N8" s="13">
        <v>404</v>
      </c>
      <c r="O8" t="s">
        <v>124</v>
      </c>
      <c r="P8">
        <v>-3780</v>
      </c>
      <c r="Q8" s="13">
        <v>402</v>
      </c>
      <c r="R8" t="s">
        <v>122</v>
      </c>
      <c r="S8">
        <v>206261</v>
      </c>
      <c r="T8" s="13">
        <v>404</v>
      </c>
      <c r="U8" t="s">
        <v>331</v>
      </c>
      <c r="V8">
        <v>420587</v>
      </c>
      <c r="W8" s="13">
        <v>403</v>
      </c>
      <c r="Y8" s="25"/>
      <c r="Z8" s="13"/>
      <c r="AC8" s="13"/>
      <c r="AF8" s="13"/>
      <c r="AI8" s="13"/>
      <c r="AL8" s="13"/>
      <c r="AO8" s="13"/>
      <c r="AR8" s="13"/>
      <c r="AU8" s="13"/>
      <c r="AV8" s="10"/>
      <c r="AW8" s="11"/>
      <c r="AX8" s="12"/>
      <c r="AY8" s="10"/>
      <c r="AZ8" s="11"/>
      <c r="BA8" s="12"/>
      <c r="BB8" s="10"/>
      <c r="BC8" s="11"/>
      <c r="BD8" s="12"/>
      <c r="BE8" s="10"/>
      <c r="BF8" s="11"/>
      <c r="BG8" s="12"/>
      <c r="BH8" s="10"/>
      <c r="BI8" s="11"/>
      <c r="BJ8" s="12"/>
      <c r="BK8" s="10"/>
      <c r="BL8" s="11"/>
      <c r="BM8" s="12"/>
      <c r="BN8" s="10"/>
      <c r="BO8" s="11"/>
      <c r="BP8" s="12"/>
      <c r="BQ8" s="10"/>
      <c r="BR8" s="11"/>
      <c r="BS8" s="12"/>
      <c r="BT8" s="10"/>
      <c r="BU8" s="11"/>
      <c r="BV8" s="12"/>
      <c r="BW8" s="10"/>
      <c r="BX8" s="11"/>
      <c r="BY8" s="12"/>
      <c r="BZ8" s="10"/>
      <c r="CA8" s="11"/>
      <c r="CB8" s="12"/>
      <c r="CC8" s="10"/>
      <c r="CD8" s="11"/>
      <c r="CE8" s="12"/>
      <c r="CF8" s="10"/>
      <c r="CG8" s="11"/>
      <c r="CH8" s="12"/>
      <c r="CI8" s="10"/>
      <c r="CJ8" s="11"/>
      <c r="CK8" s="12"/>
      <c r="CL8" s="10"/>
      <c r="CM8" s="11"/>
      <c r="CN8" s="12"/>
      <c r="CO8" s="10"/>
      <c r="CP8" s="11"/>
      <c r="CQ8" s="12"/>
      <c r="CR8" s="10"/>
      <c r="CS8" s="11"/>
      <c r="CT8" s="12"/>
      <c r="CU8" s="10"/>
      <c r="CV8" s="11"/>
      <c r="CW8" s="12"/>
    </row>
    <row r="9" spans="1:101">
      <c r="A9" s="3" t="s">
        <v>107</v>
      </c>
      <c r="B9" s="3" t="s">
        <v>108</v>
      </c>
      <c r="C9" s="29">
        <v>-8646816</v>
      </c>
      <c r="D9" s="30">
        <f t="shared" si="0"/>
        <v>8646816</v>
      </c>
      <c r="E9" s="31">
        <f t="shared" si="1"/>
        <v>0</v>
      </c>
      <c r="F9" s="22" t="s">
        <v>172</v>
      </c>
      <c r="G9">
        <v>390630</v>
      </c>
      <c r="H9" s="13">
        <v>100</v>
      </c>
      <c r="I9" t="s">
        <v>122</v>
      </c>
      <c r="J9">
        <v>48261</v>
      </c>
      <c r="K9" s="13">
        <v>404</v>
      </c>
      <c r="L9" t="s">
        <v>122</v>
      </c>
      <c r="M9">
        <v>64747</v>
      </c>
      <c r="N9" s="13">
        <v>404</v>
      </c>
      <c r="O9" t="s">
        <v>126</v>
      </c>
      <c r="P9">
        <v>3611565</v>
      </c>
      <c r="Q9" s="13">
        <v>100</v>
      </c>
      <c r="R9" t="s">
        <v>122</v>
      </c>
      <c r="S9">
        <v>49301</v>
      </c>
      <c r="T9" s="13">
        <v>404</v>
      </c>
      <c r="U9" t="s">
        <v>122</v>
      </c>
      <c r="V9">
        <v>65706</v>
      </c>
      <c r="W9" s="13">
        <v>404</v>
      </c>
      <c r="X9" t="s">
        <v>122</v>
      </c>
      <c r="Y9">
        <v>43839</v>
      </c>
      <c r="Z9" s="13">
        <v>404</v>
      </c>
      <c r="AA9" t="s">
        <v>123</v>
      </c>
      <c r="AB9">
        <v>5563022</v>
      </c>
      <c r="AC9" s="13">
        <v>404</v>
      </c>
      <c r="AD9" t="s">
        <v>123</v>
      </c>
      <c r="AE9">
        <v>-1748412</v>
      </c>
      <c r="AF9" s="13">
        <v>404</v>
      </c>
      <c r="AG9" t="s">
        <v>122</v>
      </c>
      <c r="AH9">
        <v>54603</v>
      </c>
      <c r="AI9" s="13">
        <v>404</v>
      </c>
      <c r="AJ9" t="s">
        <v>122</v>
      </c>
      <c r="AK9">
        <v>59268</v>
      </c>
      <c r="AL9" s="13">
        <v>404</v>
      </c>
      <c r="AM9" t="s">
        <v>332</v>
      </c>
      <c r="AN9">
        <v>444286</v>
      </c>
      <c r="AO9" s="13">
        <v>100</v>
      </c>
      <c r="AP9" s="10"/>
      <c r="AQ9" s="11"/>
      <c r="AR9" s="12"/>
      <c r="AS9" s="10"/>
      <c r="AT9" s="11"/>
      <c r="AU9" s="12"/>
      <c r="AV9" s="10"/>
      <c r="AW9" s="11"/>
      <c r="AX9" s="12"/>
      <c r="AY9" s="10"/>
      <c r="AZ9" s="11"/>
      <c r="BA9" s="12"/>
      <c r="BB9" s="10"/>
      <c r="BC9" s="11"/>
      <c r="BD9" s="12"/>
      <c r="BE9" s="10"/>
      <c r="BF9" s="11"/>
      <c r="BG9" s="12"/>
      <c r="BH9" s="10"/>
      <c r="BI9" s="11"/>
      <c r="BJ9" s="12"/>
      <c r="BK9" s="10"/>
      <c r="BL9" s="11"/>
      <c r="BM9" s="12"/>
      <c r="BN9" s="10"/>
      <c r="BO9" s="11"/>
      <c r="BP9" s="12"/>
      <c r="BQ9" s="10"/>
      <c r="BR9" s="11"/>
      <c r="BS9" s="12"/>
      <c r="BT9" s="10"/>
      <c r="BU9" s="11"/>
      <c r="BV9" s="12"/>
      <c r="BW9" s="10"/>
      <c r="BX9" s="11"/>
      <c r="BY9" s="12"/>
      <c r="BZ9" s="10"/>
      <c r="CA9" s="11"/>
      <c r="CB9" s="12"/>
      <c r="CC9" s="10"/>
      <c r="CD9" s="11"/>
      <c r="CE9" s="12"/>
      <c r="CF9" s="10"/>
      <c r="CG9" s="11"/>
      <c r="CH9" s="12"/>
      <c r="CI9" s="10"/>
      <c r="CJ9" s="11"/>
      <c r="CK9" s="12"/>
      <c r="CL9" s="10"/>
      <c r="CM9" s="11"/>
      <c r="CN9" s="12"/>
      <c r="CO9" s="10"/>
      <c r="CP9" s="11"/>
      <c r="CQ9" s="12"/>
      <c r="CR9" s="10"/>
      <c r="CS9" s="11"/>
      <c r="CT9" s="12"/>
      <c r="CU9" s="10"/>
      <c r="CV9" s="11"/>
      <c r="CW9" s="12"/>
    </row>
    <row r="10" spans="1:101">
      <c r="A10" s="3" t="s">
        <v>16</v>
      </c>
      <c r="B10" s="3" t="s">
        <v>17</v>
      </c>
      <c r="C10" s="29">
        <v>-2534290</v>
      </c>
      <c r="D10" s="30">
        <f t="shared" si="0"/>
        <v>2534290</v>
      </c>
      <c r="E10" s="31">
        <f>+C10+D10</f>
        <v>0</v>
      </c>
      <c r="F10" s="22" t="s">
        <v>166</v>
      </c>
      <c r="G10">
        <v>10204</v>
      </c>
      <c r="H10" s="13">
        <v>400</v>
      </c>
      <c r="I10" s="22" t="s">
        <v>122</v>
      </c>
      <c r="J10">
        <v>10503</v>
      </c>
      <c r="K10" s="13">
        <v>404</v>
      </c>
      <c r="L10" s="22" t="s">
        <v>122</v>
      </c>
      <c r="M10">
        <v>45039</v>
      </c>
      <c r="N10" s="13">
        <v>404</v>
      </c>
      <c r="O10" s="22" t="s">
        <v>124</v>
      </c>
      <c r="P10">
        <v>2599625</v>
      </c>
      <c r="Q10" s="13">
        <v>402</v>
      </c>
      <c r="R10" s="22" t="s">
        <v>124</v>
      </c>
      <c r="S10">
        <v>1298</v>
      </c>
      <c r="T10" s="13">
        <v>402</v>
      </c>
      <c r="U10" s="22" t="s">
        <v>124</v>
      </c>
      <c r="V10">
        <v>-105592</v>
      </c>
      <c r="W10" s="13">
        <v>402</v>
      </c>
      <c r="X10" s="22" t="s">
        <v>124</v>
      </c>
      <c r="Y10">
        <v>-26787</v>
      </c>
      <c r="Z10" s="13">
        <v>402</v>
      </c>
      <c r="AA10" s="10"/>
      <c r="AB10" s="11"/>
      <c r="AC10" s="12"/>
      <c r="AD10" s="10"/>
      <c r="AE10" s="11"/>
      <c r="AF10" s="12"/>
      <c r="AG10" s="10"/>
      <c r="AH10" s="11"/>
      <c r="AI10" s="12"/>
      <c r="AJ10" s="10"/>
      <c r="AK10" s="11"/>
      <c r="AL10" s="12"/>
      <c r="AM10" s="10"/>
      <c r="AN10" s="11"/>
      <c r="AO10" s="12"/>
      <c r="AP10" s="10"/>
      <c r="AQ10" s="11"/>
      <c r="AR10" s="12"/>
      <c r="AS10" s="10"/>
      <c r="AT10" s="11"/>
      <c r="AU10" s="12"/>
      <c r="AV10" s="10"/>
      <c r="AW10" s="11"/>
      <c r="AX10" s="12"/>
      <c r="AY10" s="10"/>
      <c r="AZ10" s="11"/>
      <c r="BA10" s="12"/>
      <c r="BB10" s="10"/>
      <c r="BC10" s="11"/>
      <c r="BD10" s="12"/>
      <c r="BE10" s="10"/>
      <c r="BF10" s="11"/>
      <c r="BG10" s="12"/>
      <c r="BH10" s="10"/>
      <c r="BI10" s="11"/>
      <c r="BJ10" s="12"/>
      <c r="BK10" s="10"/>
      <c r="BL10" s="11"/>
      <c r="BM10" s="12"/>
      <c r="BN10" s="10"/>
      <c r="BO10" s="11"/>
      <c r="BP10" s="12"/>
      <c r="BQ10" s="10"/>
      <c r="BR10" s="11"/>
      <c r="BS10" s="12"/>
      <c r="BT10" s="10"/>
      <c r="BU10" s="11"/>
      <c r="BV10" s="12"/>
      <c r="BW10" s="10"/>
      <c r="BX10" s="11"/>
      <c r="BY10" s="12"/>
      <c r="BZ10" s="10"/>
      <c r="CA10" s="11"/>
      <c r="CB10" s="12"/>
      <c r="CC10" s="10"/>
      <c r="CD10" s="11"/>
      <c r="CE10" s="12"/>
      <c r="CF10" s="10"/>
      <c r="CG10" s="11"/>
      <c r="CH10" s="12"/>
      <c r="CI10" s="10"/>
      <c r="CJ10" s="11"/>
      <c r="CK10" s="12"/>
      <c r="CL10" s="10"/>
      <c r="CM10" s="11"/>
      <c r="CN10" s="12"/>
      <c r="CO10" s="10"/>
      <c r="CP10" s="11"/>
      <c r="CQ10" s="12"/>
      <c r="CR10" s="10"/>
      <c r="CS10" s="11"/>
      <c r="CT10" s="12"/>
      <c r="CU10" s="10"/>
      <c r="CV10" s="11"/>
      <c r="CW10" s="12"/>
    </row>
    <row r="11" spans="1:101">
      <c r="A11" s="3" t="s">
        <v>18</v>
      </c>
      <c r="B11" s="3" t="s">
        <v>9</v>
      </c>
      <c r="C11" s="23">
        <v>-60000</v>
      </c>
      <c r="D11" s="19"/>
      <c r="E11" s="20"/>
      <c r="F11" s="10"/>
      <c r="G11" s="11"/>
      <c r="H11" s="12"/>
      <c r="I11" s="10"/>
      <c r="J11" s="11"/>
      <c r="K11" s="12"/>
      <c r="L11" s="10"/>
      <c r="M11" s="11"/>
      <c r="N11" s="12"/>
      <c r="O11" s="10"/>
      <c r="P11" s="11"/>
      <c r="Q11" s="12"/>
      <c r="R11" s="10"/>
      <c r="S11" s="11"/>
      <c r="T11" s="12"/>
      <c r="U11" s="10"/>
      <c r="V11" s="11"/>
      <c r="W11" s="12"/>
      <c r="X11" s="10"/>
      <c r="Y11" s="11"/>
      <c r="Z11" s="12"/>
      <c r="AA11" s="10"/>
      <c r="AB11" s="11"/>
      <c r="AC11" s="12"/>
      <c r="AD11" s="10"/>
      <c r="AE11" s="11"/>
      <c r="AF11" s="12"/>
      <c r="AG11" s="10"/>
      <c r="AH11" s="11"/>
      <c r="AI11" s="12"/>
      <c r="AJ11" s="10"/>
      <c r="AK11" s="11"/>
      <c r="AL11" s="12"/>
      <c r="AM11" s="10"/>
      <c r="AN11" s="11"/>
      <c r="AO11" s="12"/>
      <c r="AP11" s="10"/>
      <c r="AQ11" s="11"/>
      <c r="AR11" s="12"/>
      <c r="AS11" s="10"/>
      <c r="AT11" s="11"/>
      <c r="AU11" s="12"/>
      <c r="AV11" s="10"/>
      <c r="AW11" s="11"/>
      <c r="AX11" s="12"/>
      <c r="AY11" s="10"/>
      <c r="AZ11" s="11"/>
      <c r="BA11" s="12"/>
      <c r="BB11" s="10"/>
      <c r="BC11" s="11"/>
      <c r="BD11" s="12"/>
      <c r="BE11" s="10"/>
      <c r="BF11" s="11"/>
      <c r="BG11" s="12"/>
      <c r="BH11" s="10"/>
      <c r="BI11" s="11"/>
      <c r="BJ11" s="12"/>
      <c r="BK11" s="10"/>
      <c r="BL11" s="11"/>
      <c r="BM11" s="12"/>
      <c r="BN11" s="10"/>
      <c r="BO11" s="11"/>
      <c r="BP11" s="12"/>
      <c r="BQ11" s="10"/>
      <c r="BR11" s="11"/>
      <c r="BS11" s="12"/>
      <c r="BT11" s="10"/>
      <c r="BU11" s="11"/>
      <c r="BV11" s="12"/>
      <c r="BW11" s="10"/>
      <c r="BX11" s="11"/>
      <c r="BY11" s="12"/>
      <c r="BZ11" s="10"/>
      <c r="CA11" s="11"/>
      <c r="CB11" s="12"/>
      <c r="CC11" s="10"/>
      <c r="CD11" s="11"/>
      <c r="CE11" s="12"/>
      <c r="CF11" s="10"/>
      <c r="CG11" s="11"/>
      <c r="CH11" s="12"/>
      <c r="CI11" s="10"/>
      <c r="CJ11" s="11"/>
      <c r="CK11" s="12"/>
      <c r="CL11" s="10"/>
      <c r="CM11" s="11"/>
      <c r="CN11" s="12"/>
      <c r="CO11" s="10"/>
      <c r="CP11" s="11"/>
      <c r="CQ11" s="12"/>
      <c r="CR11" s="10"/>
      <c r="CS11" s="11"/>
      <c r="CT11" s="12"/>
      <c r="CU11" s="10"/>
      <c r="CV11" s="11"/>
      <c r="CW11" s="12"/>
    </row>
    <row r="12" spans="1:101">
      <c r="A12" s="3" t="s">
        <v>19</v>
      </c>
      <c r="B12" s="3" t="s">
        <v>20</v>
      </c>
      <c r="C12" s="23">
        <v>-38829</v>
      </c>
      <c r="D12" s="19"/>
      <c r="E12" s="20"/>
      <c r="F12" s="10"/>
      <c r="G12" s="11"/>
      <c r="H12" s="12"/>
      <c r="I12" s="10"/>
      <c r="J12" s="11"/>
      <c r="K12" s="12"/>
      <c r="L12" s="10"/>
      <c r="M12" s="11"/>
      <c r="N12" s="12"/>
      <c r="O12" s="10"/>
      <c r="P12" s="11"/>
      <c r="Q12" s="12"/>
      <c r="R12" s="10"/>
      <c r="S12" s="11"/>
      <c r="T12" s="12"/>
      <c r="U12" s="10"/>
      <c r="V12" s="11"/>
      <c r="W12" s="12"/>
      <c r="X12" s="10"/>
      <c r="Y12" s="11"/>
      <c r="Z12" s="12"/>
      <c r="AA12" s="10"/>
      <c r="AB12" s="11"/>
      <c r="AC12" s="12"/>
      <c r="AD12" s="10"/>
      <c r="AE12" s="11"/>
      <c r="AF12" s="12"/>
      <c r="AG12" s="10"/>
      <c r="AH12" s="11"/>
      <c r="AI12" s="12"/>
      <c r="AJ12" s="10"/>
      <c r="AK12" s="11"/>
      <c r="AL12" s="12"/>
      <c r="AM12" s="10"/>
      <c r="AN12" s="11"/>
      <c r="AO12" s="12"/>
      <c r="AP12" s="10"/>
      <c r="AQ12" s="11"/>
      <c r="AR12" s="12"/>
      <c r="AS12" s="10"/>
      <c r="AT12" s="11"/>
      <c r="AU12" s="12"/>
      <c r="AV12" s="10"/>
      <c r="AW12" s="11"/>
      <c r="AX12" s="12"/>
      <c r="AY12" s="10"/>
      <c r="AZ12" s="11"/>
      <c r="BA12" s="12"/>
      <c r="BB12" s="10"/>
      <c r="BC12" s="11"/>
      <c r="BD12" s="12"/>
      <c r="BE12" s="10"/>
      <c r="BF12" s="11"/>
      <c r="BG12" s="12"/>
      <c r="BH12" s="10"/>
      <c r="BI12" s="11"/>
      <c r="BJ12" s="12"/>
      <c r="BK12" s="10"/>
      <c r="BL12" s="11"/>
      <c r="BM12" s="12"/>
      <c r="BN12" s="10"/>
      <c r="BO12" s="11"/>
      <c r="BP12" s="12"/>
      <c r="BQ12" s="10"/>
      <c r="BR12" s="11"/>
      <c r="BS12" s="12"/>
      <c r="BT12" s="10"/>
      <c r="BU12" s="11"/>
      <c r="BV12" s="12"/>
      <c r="BW12" s="10"/>
      <c r="BX12" s="11"/>
      <c r="BY12" s="12"/>
      <c r="BZ12" s="10"/>
      <c r="CA12" s="11"/>
      <c r="CB12" s="12"/>
      <c r="CC12" s="10"/>
      <c r="CD12" s="11"/>
      <c r="CE12" s="12"/>
      <c r="CF12" s="10"/>
      <c r="CG12" s="11"/>
      <c r="CH12" s="12"/>
      <c r="CI12" s="10"/>
      <c r="CJ12" s="11"/>
      <c r="CK12" s="12"/>
      <c r="CL12" s="10"/>
      <c r="CM12" s="11"/>
      <c r="CN12" s="12"/>
      <c r="CO12" s="10"/>
      <c r="CP12" s="11"/>
      <c r="CQ12" s="12"/>
      <c r="CR12" s="10"/>
      <c r="CS12" s="11"/>
      <c r="CT12" s="12"/>
      <c r="CU12" s="10"/>
      <c r="CV12" s="11"/>
      <c r="CW12" s="12"/>
    </row>
    <row r="13" spans="1:101">
      <c r="A13" s="3" t="s">
        <v>21</v>
      </c>
      <c r="B13" s="3" t="s">
        <v>22</v>
      </c>
      <c r="C13" s="23">
        <v>-42681070</v>
      </c>
      <c r="D13" s="19"/>
      <c r="E13" s="20"/>
      <c r="F13" s="10"/>
      <c r="G13" s="11"/>
      <c r="H13" s="12"/>
      <c r="I13" s="10"/>
      <c r="J13" s="11"/>
      <c r="K13" s="12"/>
      <c r="L13" s="10"/>
      <c r="M13" s="11"/>
      <c r="N13" s="12"/>
      <c r="O13" s="10"/>
      <c r="P13" s="11"/>
      <c r="Q13" s="12"/>
      <c r="R13" s="10"/>
      <c r="S13" s="11"/>
      <c r="T13" s="12"/>
      <c r="U13" s="10"/>
      <c r="V13" s="11"/>
      <c r="W13" s="12"/>
      <c r="X13" s="10"/>
      <c r="Y13" s="11"/>
      <c r="Z13" s="12"/>
      <c r="AA13" s="10"/>
      <c r="AB13" s="11"/>
      <c r="AC13" s="12"/>
      <c r="AD13" s="10"/>
      <c r="AE13" s="11"/>
      <c r="AF13" s="12"/>
      <c r="AG13" s="10"/>
      <c r="AH13" s="11"/>
      <c r="AI13" s="12"/>
      <c r="AJ13" s="10"/>
      <c r="AK13" s="11"/>
      <c r="AL13" s="12"/>
      <c r="AM13" s="10"/>
      <c r="AN13" s="11"/>
      <c r="AO13" s="12"/>
      <c r="AP13" s="10"/>
      <c r="AQ13" s="11"/>
      <c r="AR13" s="12"/>
      <c r="AS13" s="10"/>
      <c r="AT13" s="11"/>
      <c r="AU13" s="12"/>
      <c r="AV13" s="10"/>
      <c r="AW13" s="11"/>
      <c r="AX13" s="12"/>
      <c r="AY13" s="10"/>
      <c r="AZ13" s="11"/>
      <c r="BA13" s="12"/>
      <c r="BB13" s="10"/>
      <c r="BC13" s="11"/>
      <c r="BD13" s="12"/>
      <c r="BE13" s="10"/>
      <c r="BF13" s="11"/>
      <c r="BG13" s="12"/>
      <c r="BH13" s="10"/>
      <c r="BI13" s="11"/>
      <c r="BJ13" s="12"/>
      <c r="BK13" s="10"/>
      <c r="BL13" s="11"/>
      <c r="BM13" s="12"/>
      <c r="BN13" s="10"/>
      <c r="BO13" s="11"/>
      <c r="BP13" s="12"/>
      <c r="BQ13" s="10"/>
      <c r="BR13" s="11"/>
      <c r="BS13" s="12"/>
      <c r="BT13" s="10"/>
      <c r="BU13" s="11"/>
      <c r="BV13" s="12"/>
      <c r="BW13" s="10"/>
      <c r="BX13" s="11"/>
      <c r="BY13" s="12"/>
      <c r="BZ13" s="10"/>
      <c r="CA13" s="11"/>
      <c r="CB13" s="12"/>
      <c r="CC13" s="10"/>
      <c r="CD13" s="11"/>
      <c r="CE13" s="12"/>
      <c r="CF13" s="10"/>
      <c r="CG13" s="11"/>
      <c r="CH13" s="12"/>
      <c r="CI13" s="10"/>
      <c r="CJ13" s="11"/>
      <c r="CK13" s="12"/>
      <c r="CL13" s="10"/>
      <c r="CM13" s="11"/>
      <c r="CN13" s="12"/>
      <c r="CO13" s="10"/>
      <c r="CP13" s="11"/>
      <c r="CQ13" s="12"/>
      <c r="CR13" s="10"/>
      <c r="CS13" s="11"/>
      <c r="CT13" s="12"/>
      <c r="CU13" s="10"/>
      <c r="CV13" s="11"/>
      <c r="CW13" s="12"/>
    </row>
    <row r="14" spans="1:101">
      <c r="A14" s="3" t="s">
        <v>23</v>
      </c>
      <c r="B14" s="3" t="s">
        <v>24</v>
      </c>
      <c r="C14" s="23">
        <v>-1050657</v>
      </c>
      <c r="D14" s="19"/>
      <c r="E14" s="20"/>
      <c r="F14" s="10"/>
      <c r="G14" s="11"/>
      <c r="H14" s="12"/>
      <c r="I14" s="10"/>
      <c r="J14" s="11"/>
      <c r="K14" s="12"/>
      <c r="L14" s="10"/>
      <c r="M14" s="11"/>
      <c r="N14" s="12"/>
      <c r="O14" s="10"/>
      <c r="P14" s="11"/>
      <c r="Q14" s="12"/>
      <c r="R14" s="10"/>
      <c r="S14" s="11"/>
      <c r="T14" s="12"/>
      <c r="U14" s="10"/>
      <c r="V14" s="11"/>
      <c r="W14" s="12"/>
      <c r="X14" s="10"/>
      <c r="Y14" s="11"/>
      <c r="Z14" s="12"/>
      <c r="AA14" s="10"/>
      <c r="AB14" s="11"/>
      <c r="AC14" s="12"/>
      <c r="AD14" s="10"/>
      <c r="AE14" s="11"/>
      <c r="AF14" s="12"/>
      <c r="AG14" s="10"/>
      <c r="AH14" s="11"/>
      <c r="AI14" s="12"/>
      <c r="AJ14" s="10"/>
      <c r="AK14" s="11"/>
      <c r="AL14" s="12"/>
      <c r="AM14" s="10"/>
      <c r="AN14" s="11"/>
      <c r="AO14" s="12"/>
      <c r="AP14" s="10"/>
      <c r="AQ14" s="11"/>
      <c r="AR14" s="12"/>
      <c r="AS14" s="10"/>
      <c r="AT14" s="11"/>
      <c r="AU14" s="12"/>
      <c r="AV14" s="10"/>
      <c r="AW14" s="11"/>
      <c r="AX14" s="12"/>
      <c r="AY14" s="10"/>
      <c r="AZ14" s="11"/>
      <c r="BA14" s="12"/>
      <c r="BB14" s="10"/>
      <c r="BC14" s="11"/>
      <c r="BD14" s="12"/>
      <c r="BE14" s="10"/>
      <c r="BF14" s="11"/>
      <c r="BG14" s="12"/>
      <c r="BH14" s="10"/>
      <c r="BI14" s="11"/>
      <c r="BJ14" s="12"/>
      <c r="BK14" s="10"/>
      <c r="BL14" s="11"/>
      <c r="BM14" s="12"/>
      <c r="BN14" s="10"/>
      <c r="BO14" s="11"/>
      <c r="BP14" s="12"/>
      <c r="BQ14" s="10"/>
      <c r="BR14" s="11"/>
      <c r="BS14" s="12"/>
      <c r="BT14" s="10"/>
      <c r="BU14" s="11"/>
      <c r="BV14" s="12"/>
      <c r="BW14" s="10"/>
      <c r="BX14" s="11"/>
      <c r="BY14" s="12"/>
      <c r="BZ14" s="10"/>
      <c r="CA14" s="11"/>
      <c r="CB14" s="12"/>
      <c r="CC14" s="10"/>
      <c r="CD14" s="11"/>
      <c r="CE14" s="12"/>
      <c r="CF14" s="10"/>
      <c r="CG14" s="11"/>
      <c r="CH14" s="12"/>
      <c r="CI14" s="10"/>
      <c r="CJ14" s="11"/>
      <c r="CK14" s="12"/>
      <c r="CL14" s="10"/>
      <c r="CM14" s="11"/>
      <c r="CN14" s="12"/>
      <c r="CO14" s="10"/>
      <c r="CP14" s="11"/>
      <c r="CQ14" s="12"/>
      <c r="CR14" s="10"/>
      <c r="CS14" s="11"/>
      <c r="CT14" s="12"/>
      <c r="CU14" s="10"/>
      <c r="CV14" s="11"/>
      <c r="CW14" s="12"/>
    </row>
    <row r="15" spans="1:101">
      <c r="A15" s="3" t="s">
        <v>25</v>
      </c>
      <c r="B15" s="3" t="s">
        <v>26</v>
      </c>
      <c r="C15" s="23">
        <v>-1551819</v>
      </c>
      <c r="D15" s="19"/>
      <c r="E15" s="20"/>
      <c r="F15" s="10"/>
      <c r="G15" s="11"/>
      <c r="H15" s="12"/>
      <c r="I15" s="10"/>
      <c r="J15" s="11"/>
      <c r="K15" s="12"/>
      <c r="L15" s="10"/>
      <c r="M15" s="11"/>
      <c r="N15" s="12"/>
      <c r="O15" s="10"/>
      <c r="P15" s="11"/>
      <c r="Q15" s="12"/>
      <c r="R15" s="10"/>
      <c r="S15" s="11"/>
      <c r="T15" s="12"/>
      <c r="U15" s="10"/>
      <c r="V15" s="11"/>
      <c r="W15" s="12"/>
      <c r="X15" s="10"/>
      <c r="Y15" s="11"/>
      <c r="Z15" s="12"/>
      <c r="AA15" s="10"/>
      <c r="AB15" s="11"/>
      <c r="AC15" s="12"/>
      <c r="AD15" s="10"/>
      <c r="AE15" s="11"/>
      <c r="AF15" s="12"/>
      <c r="AG15" s="10"/>
      <c r="AH15" s="11"/>
      <c r="AI15" s="12"/>
      <c r="AJ15" s="10"/>
      <c r="AK15" s="11"/>
      <c r="AL15" s="12"/>
      <c r="AM15" s="10"/>
      <c r="AN15" s="11"/>
      <c r="AO15" s="12"/>
      <c r="AP15" s="10"/>
      <c r="AQ15" s="11"/>
      <c r="AR15" s="12"/>
      <c r="AS15" s="10"/>
      <c r="AT15" s="11"/>
      <c r="AU15" s="12"/>
      <c r="AV15" s="10"/>
      <c r="AW15" s="11"/>
      <c r="AX15" s="12"/>
      <c r="AY15" s="10"/>
      <c r="AZ15" s="11"/>
      <c r="BA15" s="12"/>
      <c r="BB15" s="10"/>
      <c r="BC15" s="11"/>
      <c r="BD15" s="12"/>
      <c r="BE15" s="10"/>
      <c r="BF15" s="11"/>
      <c r="BG15" s="12"/>
      <c r="BH15" s="10"/>
      <c r="BI15" s="11"/>
      <c r="BJ15" s="12"/>
      <c r="BK15" s="10"/>
      <c r="BL15" s="11"/>
      <c r="BM15" s="12"/>
      <c r="BN15" s="10"/>
      <c r="BO15" s="11"/>
      <c r="BP15" s="12"/>
      <c r="BQ15" s="10"/>
      <c r="BR15" s="11"/>
      <c r="BS15" s="12"/>
      <c r="BT15" s="10"/>
      <c r="BU15" s="11"/>
      <c r="BV15" s="12"/>
      <c r="BW15" s="10"/>
      <c r="BX15" s="11"/>
      <c r="BY15" s="12"/>
      <c r="BZ15" s="10"/>
      <c r="CA15" s="11"/>
      <c r="CB15" s="12"/>
      <c r="CC15" s="10"/>
      <c r="CD15" s="11"/>
      <c r="CE15" s="12"/>
      <c r="CF15" s="10"/>
      <c r="CG15" s="11"/>
      <c r="CH15" s="12"/>
      <c r="CI15" s="10"/>
      <c r="CJ15" s="11"/>
      <c r="CK15" s="12"/>
      <c r="CL15" s="10"/>
      <c r="CM15" s="11"/>
      <c r="CN15" s="12"/>
      <c r="CO15" s="10"/>
      <c r="CP15" s="11"/>
      <c r="CQ15" s="12"/>
      <c r="CR15" s="10"/>
      <c r="CS15" s="11"/>
      <c r="CT15" s="12"/>
      <c r="CU15" s="10"/>
      <c r="CV15" s="11"/>
      <c r="CW15" s="12"/>
    </row>
    <row r="16" spans="1:101">
      <c r="A16" s="3" t="s">
        <v>27</v>
      </c>
      <c r="B16" s="3" t="s">
        <v>28</v>
      </c>
      <c r="C16" s="23">
        <v>-10620516</v>
      </c>
      <c r="D16" s="19"/>
      <c r="E16" s="20"/>
      <c r="F16" s="10"/>
      <c r="G16" s="11"/>
      <c r="H16" s="12"/>
      <c r="I16" s="10"/>
      <c r="J16" s="11"/>
      <c r="K16" s="12"/>
      <c r="L16" s="10"/>
      <c r="M16" s="11"/>
      <c r="N16" s="12"/>
      <c r="O16" s="10"/>
      <c r="P16" s="11"/>
      <c r="Q16" s="12"/>
      <c r="R16" s="10"/>
      <c r="S16" s="11"/>
      <c r="T16" s="12"/>
      <c r="U16" s="10"/>
      <c r="V16" s="11"/>
      <c r="W16" s="12"/>
      <c r="X16" s="10"/>
      <c r="Y16" s="11"/>
      <c r="Z16" s="12"/>
      <c r="AA16" s="10"/>
      <c r="AB16" s="11"/>
      <c r="AC16" s="12"/>
      <c r="AD16" s="10"/>
      <c r="AE16" s="11"/>
      <c r="AF16" s="12"/>
      <c r="AG16" s="10"/>
      <c r="AH16" s="11"/>
      <c r="AI16" s="12"/>
      <c r="AJ16" s="10"/>
      <c r="AK16" s="11"/>
      <c r="AL16" s="12"/>
      <c r="AM16" s="10"/>
      <c r="AN16" s="11"/>
      <c r="AO16" s="12"/>
      <c r="AP16" s="10"/>
      <c r="AQ16" s="11"/>
      <c r="AR16" s="12"/>
      <c r="AS16" s="10"/>
      <c r="AT16" s="11"/>
      <c r="AU16" s="12"/>
      <c r="AV16" s="10"/>
      <c r="AW16" s="11"/>
      <c r="AX16" s="12"/>
      <c r="AY16" s="10"/>
      <c r="AZ16" s="11"/>
      <c r="BA16" s="12"/>
      <c r="BB16" s="10"/>
      <c r="BC16" s="11"/>
      <c r="BD16" s="12"/>
      <c r="BE16" s="10"/>
      <c r="BF16" s="11"/>
      <c r="BG16" s="12"/>
      <c r="BH16" s="10"/>
      <c r="BI16" s="11"/>
      <c r="BJ16" s="12"/>
      <c r="BK16" s="10"/>
      <c r="BL16" s="11"/>
      <c r="BM16" s="12"/>
      <c r="BN16" s="10"/>
      <c r="BO16" s="11"/>
      <c r="BP16" s="12"/>
      <c r="BQ16" s="10"/>
      <c r="BR16" s="11"/>
      <c r="BS16" s="12"/>
      <c r="BT16" s="10"/>
      <c r="BU16" s="11"/>
      <c r="BV16" s="12"/>
      <c r="BW16" s="10"/>
      <c r="BX16" s="11"/>
      <c r="BY16" s="12"/>
      <c r="BZ16" s="10"/>
      <c r="CA16" s="11"/>
      <c r="CB16" s="12"/>
      <c r="CC16" s="10"/>
      <c r="CD16" s="11"/>
      <c r="CE16" s="12"/>
      <c r="CF16" s="10"/>
      <c r="CG16" s="11"/>
      <c r="CH16" s="12"/>
      <c r="CI16" s="10"/>
      <c r="CJ16" s="11"/>
      <c r="CK16" s="12"/>
      <c r="CL16" s="10"/>
      <c r="CM16" s="11"/>
      <c r="CN16" s="12"/>
      <c r="CO16" s="10"/>
      <c r="CP16" s="11"/>
      <c r="CQ16" s="12"/>
      <c r="CR16" s="10"/>
      <c r="CS16" s="11"/>
      <c r="CT16" s="12"/>
      <c r="CU16" s="10"/>
      <c r="CV16" s="11"/>
      <c r="CW16" s="12"/>
    </row>
    <row r="17" spans="1:101">
      <c r="A17" s="3" t="s">
        <v>29</v>
      </c>
      <c r="B17" s="3" t="s">
        <v>30</v>
      </c>
      <c r="C17" s="23">
        <v>0</v>
      </c>
      <c r="D17" s="19"/>
      <c r="E17" s="20"/>
      <c r="F17" s="10"/>
      <c r="G17" s="11"/>
      <c r="H17" s="12"/>
      <c r="I17" s="10"/>
      <c r="J17" s="11"/>
      <c r="K17" s="12"/>
      <c r="L17" s="10"/>
      <c r="M17" s="11"/>
      <c r="N17" s="12"/>
      <c r="O17" s="10"/>
      <c r="P17" s="11"/>
      <c r="Q17" s="12"/>
      <c r="R17" s="10"/>
      <c r="S17" s="11"/>
      <c r="T17" s="12"/>
      <c r="U17" s="10"/>
      <c r="V17" s="11"/>
      <c r="W17" s="12"/>
      <c r="X17" s="10"/>
      <c r="Y17" s="11"/>
      <c r="Z17" s="12"/>
      <c r="AA17" s="10"/>
      <c r="AB17" s="11"/>
      <c r="AC17" s="12"/>
      <c r="AD17" s="10"/>
      <c r="AE17" s="11"/>
      <c r="AF17" s="12"/>
      <c r="AG17" s="10"/>
      <c r="AH17" s="11"/>
      <c r="AI17" s="12"/>
      <c r="AJ17" s="10"/>
      <c r="AK17" s="11"/>
      <c r="AL17" s="12"/>
      <c r="AM17" s="10"/>
      <c r="AN17" s="11"/>
      <c r="AO17" s="12"/>
      <c r="AP17" s="10"/>
      <c r="AQ17" s="11"/>
      <c r="AR17" s="12"/>
      <c r="AS17" s="10"/>
      <c r="AT17" s="11"/>
      <c r="AU17" s="12"/>
      <c r="AV17" s="10"/>
      <c r="AW17" s="11"/>
      <c r="AX17" s="12"/>
      <c r="AY17" s="10"/>
      <c r="AZ17" s="11"/>
      <c r="BA17" s="12"/>
      <c r="BB17" s="10"/>
      <c r="BC17" s="11"/>
      <c r="BD17" s="12"/>
      <c r="BE17" s="10"/>
      <c r="BF17" s="11"/>
      <c r="BG17" s="12"/>
      <c r="BH17" s="10"/>
      <c r="BI17" s="11"/>
      <c r="BJ17" s="12"/>
      <c r="BK17" s="10"/>
      <c r="BL17" s="11"/>
      <c r="BM17" s="12"/>
      <c r="BN17" s="10"/>
      <c r="BO17" s="11"/>
      <c r="BP17" s="12"/>
      <c r="BQ17" s="10"/>
      <c r="BR17" s="11"/>
      <c r="BS17" s="12"/>
      <c r="BT17" s="10"/>
      <c r="BU17" s="11"/>
      <c r="BV17" s="12"/>
      <c r="BW17" s="10"/>
      <c r="BX17" s="11"/>
      <c r="BY17" s="12"/>
      <c r="BZ17" s="10"/>
      <c r="CA17" s="11"/>
      <c r="CB17" s="12"/>
      <c r="CC17" s="10"/>
      <c r="CD17" s="11"/>
      <c r="CE17" s="12"/>
      <c r="CF17" s="10"/>
      <c r="CG17" s="11"/>
      <c r="CH17" s="12"/>
      <c r="CI17" s="10"/>
      <c r="CJ17" s="11"/>
      <c r="CK17" s="12"/>
      <c r="CL17" s="10"/>
      <c r="CM17" s="11"/>
      <c r="CN17" s="12"/>
      <c r="CO17" s="10"/>
      <c r="CP17" s="11"/>
      <c r="CQ17" s="12"/>
      <c r="CR17" s="10"/>
      <c r="CS17" s="11"/>
      <c r="CT17" s="12"/>
      <c r="CU17" s="10"/>
      <c r="CV17" s="11"/>
      <c r="CW17" s="12"/>
    </row>
    <row r="18" spans="1:101">
      <c r="A18" s="3" t="s">
        <v>31</v>
      </c>
      <c r="B18" s="3" t="s">
        <v>32</v>
      </c>
      <c r="C18" s="23">
        <v>-572870</v>
      </c>
      <c r="D18" s="19"/>
      <c r="E18" s="20"/>
      <c r="F18" s="10"/>
      <c r="G18" s="11"/>
      <c r="H18" s="12"/>
      <c r="I18" s="10"/>
      <c r="J18" s="11"/>
      <c r="K18" s="12"/>
      <c r="L18" s="10"/>
      <c r="M18" s="11"/>
      <c r="N18" s="12"/>
      <c r="O18" s="10"/>
      <c r="P18" s="11"/>
      <c r="Q18" s="12"/>
      <c r="R18" s="10"/>
      <c r="S18" s="11"/>
      <c r="T18" s="12"/>
      <c r="U18" s="10"/>
      <c r="V18" s="11"/>
      <c r="W18" s="12"/>
      <c r="X18" s="10"/>
      <c r="Y18" s="11"/>
      <c r="Z18" s="12"/>
      <c r="AA18" s="10"/>
      <c r="AB18" s="11"/>
      <c r="AC18" s="12"/>
      <c r="AD18" s="10"/>
      <c r="AE18" s="11"/>
      <c r="AF18" s="12"/>
      <c r="AG18" s="10"/>
      <c r="AH18" s="11"/>
      <c r="AI18" s="12"/>
      <c r="AJ18" s="10"/>
      <c r="AK18" s="11"/>
      <c r="AL18" s="12"/>
      <c r="AM18" s="10"/>
      <c r="AN18" s="11"/>
      <c r="AO18" s="12"/>
      <c r="AP18" s="10"/>
      <c r="AQ18" s="11"/>
      <c r="AR18" s="12"/>
      <c r="AS18" s="10"/>
      <c r="AT18" s="11"/>
      <c r="AU18" s="12"/>
      <c r="AV18" s="10"/>
      <c r="AW18" s="11"/>
      <c r="AX18" s="12"/>
      <c r="AY18" s="10"/>
      <c r="AZ18" s="11"/>
      <c r="BA18" s="12"/>
      <c r="BB18" s="10"/>
      <c r="BC18" s="11"/>
      <c r="BD18" s="12"/>
      <c r="BE18" s="10"/>
      <c r="BF18" s="11"/>
      <c r="BG18" s="12"/>
      <c r="BH18" s="10"/>
      <c r="BI18" s="11"/>
      <c r="BJ18" s="12"/>
      <c r="BK18" s="10"/>
      <c r="BL18" s="11"/>
      <c r="BM18" s="12"/>
      <c r="BN18" s="10"/>
      <c r="BO18" s="11"/>
      <c r="BP18" s="12"/>
      <c r="BQ18" s="10"/>
      <c r="BR18" s="11"/>
      <c r="BS18" s="12"/>
      <c r="BT18" s="10"/>
      <c r="BU18" s="11"/>
      <c r="BV18" s="12"/>
      <c r="BW18" s="10"/>
      <c r="BX18" s="11"/>
      <c r="BY18" s="12"/>
      <c r="BZ18" s="10"/>
      <c r="CA18" s="11"/>
      <c r="CB18" s="12"/>
      <c r="CC18" s="10"/>
      <c r="CD18" s="11"/>
      <c r="CE18" s="12"/>
      <c r="CF18" s="10"/>
      <c r="CG18" s="11"/>
      <c r="CH18" s="12"/>
      <c r="CI18" s="10"/>
      <c r="CJ18" s="11"/>
      <c r="CK18" s="12"/>
      <c r="CL18" s="10"/>
      <c r="CM18" s="11"/>
      <c r="CN18" s="12"/>
      <c r="CO18" s="10"/>
      <c r="CP18" s="11"/>
      <c r="CQ18" s="12"/>
      <c r="CR18" s="10"/>
      <c r="CS18" s="11"/>
      <c r="CT18" s="12"/>
      <c r="CU18" s="10"/>
      <c r="CV18" s="11"/>
      <c r="CW18" s="12"/>
    </row>
    <row r="19" spans="1:101">
      <c r="A19" s="3" t="s">
        <v>33</v>
      </c>
      <c r="B19" s="3" t="s">
        <v>34</v>
      </c>
      <c r="C19" s="23">
        <v>-997898</v>
      </c>
      <c r="D19" s="19"/>
      <c r="E19" s="20"/>
      <c r="F19" s="10"/>
      <c r="G19" s="11"/>
      <c r="H19" s="12"/>
      <c r="I19" s="10"/>
      <c r="J19" s="11"/>
      <c r="K19" s="12"/>
      <c r="L19" s="10"/>
      <c r="M19" s="11"/>
      <c r="N19" s="12"/>
      <c r="O19" s="10"/>
      <c r="P19" s="11"/>
      <c r="Q19" s="12"/>
      <c r="R19" s="10"/>
      <c r="S19" s="11"/>
      <c r="T19" s="12"/>
      <c r="U19" s="10"/>
      <c r="V19" s="11"/>
      <c r="W19" s="12"/>
      <c r="X19" s="10"/>
      <c r="Y19" s="11"/>
      <c r="Z19" s="12"/>
      <c r="AA19" s="10"/>
      <c r="AB19" s="11"/>
      <c r="AC19" s="12"/>
      <c r="AD19" s="10"/>
      <c r="AE19" s="11"/>
      <c r="AF19" s="12"/>
      <c r="AG19" s="10"/>
      <c r="AH19" s="11"/>
      <c r="AI19" s="12"/>
      <c r="AJ19" s="10"/>
      <c r="AK19" s="11"/>
      <c r="AL19" s="12"/>
      <c r="AM19" s="10"/>
      <c r="AN19" s="11"/>
      <c r="AO19" s="12"/>
      <c r="AP19" s="10"/>
      <c r="AQ19" s="11"/>
      <c r="AR19" s="12"/>
      <c r="AS19" s="10"/>
      <c r="AT19" s="11"/>
      <c r="AU19" s="12"/>
      <c r="AV19" s="10"/>
      <c r="AW19" s="11"/>
      <c r="AX19" s="12"/>
      <c r="AY19" s="10"/>
      <c r="AZ19" s="11"/>
      <c r="BA19" s="12"/>
      <c r="BB19" s="10"/>
      <c r="BC19" s="11"/>
      <c r="BD19" s="12"/>
      <c r="BE19" s="10"/>
      <c r="BF19" s="11"/>
      <c r="BG19" s="12"/>
      <c r="BH19" s="10"/>
      <c r="BI19" s="11"/>
      <c r="BJ19" s="12"/>
      <c r="BK19" s="10"/>
      <c r="BL19" s="11"/>
      <c r="BM19" s="12"/>
      <c r="BN19" s="10"/>
      <c r="BO19" s="11"/>
      <c r="BP19" s="12"/>
      <c r="BQ19" s="10"/>
      <c r="BR19" s="11"/>
      <c r="BS19" s="12"/>
      <c r="BT19" s="10"/>
      <c r="BU19" s="11"/>
      <c r="BV19" s="12"/>
      <c r="BW19" s="10"/>
      <c r="BX19" s="11"/>
      <c r="BY19" s="12"/>
      <c r="BZ19" s="10"/>
      <c r="CA19" s="11"/>
      <c r="CB19" s="12"/>
      <c r="CC19" s="10"/>
      <c r="CD19" s="11"/>
      <c r="CE19" s="12"/>
      <c r="CF19" s="10"/>
      <c r="CG19" s="11"/>
      <c r="CH19" s="12"/>
      <c r="CI19" s="10"/>
      <c r="CJ19" s="11"/>
      <c r="CK19" s="12"/>
      <c r="CL19" s="10"/>
      <c r="CM19" s="11"/>
      <c r="CN19" s="12"/>
      <c r="CO19" s="10"/>
      <c r="CP19" s="11"/>
      <c r="CQ19" s="12"/>
      <c r="CR19" s="10"/>
      <c r="CS19" s="11"/>
      <c r="CT19" s="12"/>
      <c r="CU19" s="10"/>
      <c r="CV19" s="11"/>
      <c r="CW19" s="12"/>
    </row>
    <row r="20" spans="1:101">
      <c r="A20" s="3" t="s">
        <v>154</v>
      </c>
      <c r="B20" s="3" t="s">
        <v>155</v>
      </c>
      <c r="C20" s="23">
        <v>-61599</v>
      </c>
      <c r="D20" s="19"/>
      <c r="E20" s="20"/>
      <c r="F20" s="10"/>
      <c r="G20" s="11"/>
      <c r="H20" s="12"/>
      <c r="I20" s="10"/>
      <c r="J20" s="11"/>
      <c r="K20" s="12"/>
      <c r="L20" s="10"/>
      <c r="M20" s="11"/>
      <c r="N20" s="12"/>
      <c r="O20" s="10"/>
      <c r="P20" s="11"/>
      <c r="Q20" s="12"/>
      <c r="R20" s="10"/>
      <c r="S20" s="11"/>
      <c r="T20" s="12"/>
      <c r="U20" s="10"/>
      <c r="V20" s="11"/>
      <c r="W20" s="12"/>
      <c r="X20" s="10"/>
      <c r="Y20" s="11"/>
      <c r="Z20" s="12"/>
      <c r="AA20" s="10"/>
      <c r="AB20" s="11"/>
      <c r="AC20" s="12"/>
      <c r="AD20" s="10"/>
      <c r="AE20" s="11"/>
      <c r="AF20" s="12"/>
      <c r="AG20" s="10"/>
      <c r="AH20" s="11"/>
      <c r="AI20" s="12"/>
      <c r="AJ20" s="10"/>
      <c r="AK20" s="11"/>
      <c r="AL20" s="12"/>
      <c r="AM20" s="10"/>
      <c r="AN20" s="11"/>
      <c r="AO20" s="12"/>
      <c r="AP20" s="10"/>
      <c r="AQ20" s="11"/>
      <c r="AR20" s="12"/>
      <c r="AS20" s="10"/>
      <c r="AT20" s="11"/>
      <c r="AU20" s="12"/>
      <c r="AV20" s="10"/>
      <c r="AW20" s="11"/>
      <c r="AX20" s="12"/>
      <c r="AY20" s="10"/>
      <c r="AZ20" s="11"/>
      <c r="BA20" s="12"/>
      <c r="BB20" s="10"/>
      <c r="BC20" s="11"/>
      <c r="BD20" s="12"/>
      <c r="BE20" s="10"/>
      <c r="BF20" s="11"/>
      <c r="BG20" s="12"/>
      <c r="BH20" s="10"/>
      <c r="BI20" s="11"/>
      <c r="BJ20" s="12"/>
      <c r="BK20" s="10"/>
      <c r="BL20" s="11"/>
      <c r="BM20" s="12"/>
      <c r="BN20" s="10"/>
      <c r="BO20" s="11"/>
      <c r="BP20" s="12"/>
      <c r="BQ20" s="10"/>
      <c r="BR20" s="11"/>
      <c r="BS20" s="12"/>
      <c r="BT20" s="10"/>
      <c r="BU20" s="11"/>
      <c r="BV20" s="12"/>
      <c r="BW20" s="10"/>
      <c r="BX20" s="11"/>
      <c r="BY20" s="12"/>
      <c r="BZ20" s="10"/>
      <c r="CA20" s="11"/>
      <c r="CB20" s="12"/>
      <c r="CC20" s="10"/>
      <c r="CD20" s="11"/>
      <c r="CE20" s="12"/>
      <c r="CF20" s="10"/>
      <c r="CG20" s="11"/>
      <c r="CH20" s="12"/>
      <c r="CI20" s="10"/>
      <c r="CJ20" s="11"/>
      <c r="CK20" s="12"/>
      <c r="CL20" s="10"/>
      <c r="CM20" s="11"/>
      <c r="CN20" s="12"/>
      <c r="CO20" s="10"/>
      <c r="CP20" s="11"/>
      <c r="CQ20" s="12"/>
      <c r="CR20" s="10"/>
      <c r="CS20" s="11"/>
      <c r="CT20" s="12"/>
      <c r="CU20" s="10"/>
      <c r="CV20" s="11"/>
      <c r="CW20" s="12"/>
    </row>
    <row r="21" spans="1:101">
      <c r="A21" s="3" t="s">
        <v>156</v>
      </c>
      <c r="B21" s="3" t="s">
        <v>157</v>
      </c>
      <c r="C21" s="23">
        <v>-554390</v>
      </c>
      <c r="D21" s="19"/>
      <c r="E21" s="20"/>
      <c r="F21" s="10"/>
      <c r="G21" s="11"/>
      <c r="H21" s="12"/>
      <c r="I21" s="10"/>
      <c r="J21" s="11"/>
      <c r="K21" s="12"/>
      <c r="L21" s="10"/>
      <c r="M21" s="11"/>
      <c r="N21" s="12"/>
      <c r="O21" s="10"/>
      <c r="P21" s="11"/>
      <c r="Q21" s="12"/>
      <c r="R21" s="10"/>
      <c r="S21" s="11"/>
      <c r="T21" s="12"/>
      <c r="U21" s="10"/>
      <c r="V21" s="11"/>
      <c r="W21" s="12"/>
      <c r="X21" s="10"/>
      <c r="Y21" s="11"/>
      <c r="Z21" s="12"/>
      <c r="AA21" s="10"/>
      <c r="AB21" s="11"/>
      <c r="AC21" s="12"/>
      <c r="AD21" s="10"/>
      <c r="AE21" s="11"/>
      <c r="AF21" s="12"/>
      <c r="AG21" s="10"/>
      <c r="AH21" s="11"/>
      <c r="AI21" s="12"/>
      <c r="AJ21" s="10"/>
      <c r="AK21" s="11"/>
      <c r="AL21" s="12"/>
      <c r="AM21" s="10"/>
      <c r="AN21" s="11"/>
      <c r="AO21" s="12"/>
      <c r="AP21" s="10"/>
      <c r="AQ21" s="11"/>
      <c r="AR21" s="12"/>
      <c r="AS21" s="10"/>
      <c r="AT21" s="11"/>
      <c r="AU21" s="12"/>
      <c r="AV21" s="10"/>
      <c r="AW21" s="11"/>
      <c r="AX21" s="12"/>
      <c r="AY21" s="10"/>
      <c r="AZ21" s="11"/>
      <c r="BA21" s="12"/>
      <c r="BB21" s="10"/>
      <c r="BC21" s="11"/>
      <c r="BD21" s="12"/>
      <c r="BE21" s="10"/>
      <c r="BF21" s="11"/>
      <c r="BG21" s="12"/>
      <c r="BH21" s="10"/>
      <c r="BI21" s="11"/>
      <c r="BJ21" s="12"/>
      <c r="BK21" s="10"/>
      <c r="BL21" s="11"/>
      <c r="BM21" s="12"/>
      <c r="BN21" s="10"/>
      <c r="BO21" s="11"/>
      <c r="BP21" s="12"/>
      <c r="BQ21" s="10"/>
      <c r="BR21" s="11"/>
      <c r="BS21" s="12"/>
      <c r="BT21" s="10"/>
      <c r="BU21" s="11"/>
      <c r="BV21" s="12"/>
      <c r="BW21" s="10"/>
      <c r="BX21" s="11"/>
      <c r="BY21" s="12"/>
      <c r="BZ21" s="10"/>
      <c r="CA21" s="11"/>
      <c r="CB21" s="12"/>
      <c r="CC21" s="10"/>
      <c r="CD21" s="11"/>
      <c r="CE21" s="12"/>
      <c r="CF21" s="10"/>
      <c r="CG21" s="11"/>
      <c r="CH21" s="12"/>
      <c r="CI21" s="10"/>
      <c r="CJ21" s="11"/>
      <c r="CK21" s="12"/>
      <c r="CL21" s="10"/>
      <c r="CM21" s="11"/>
      <c r="CN21" s="12"/>
      <c r="CO21" s="10"/>
      <c r="CP21" s="11"/>
      <c r="CQ21" s="12"/>
      <c r="CR21" s="10"/>
      <c r="CS21" s="11"/>
      <c r="CT21" s="12"/>
      <c r="CU21" s="10"/>
      <c r="CV21" s="11"/>
      <c r="CW21" s="12"/>
    </row>
    <row r="22" spans="1:101">
      <c r="A22" s="3" t="s">
        <v>35</v>
      </c>
      <c r="B22" s="3" t="s">
        <v>36</v>
      </c>
      <c r="C22" s="23">
        <v>0</v>
      </c>
      <c r="D22" s="19"/>
      <c r="E22" s="20"/>
      <c r="F22" s="10"/>
      <c r="G22" s="11"/>
      <c r="H22" s="12"/>
      <c r="I22" s="10"/>
      <c r="J22" s="11"/>
      <c r="K22" s="12"/>
      <c r="L22" s="10"/>
      <c r="M22" s="11"/>
      <c r="N22" s="12"/>
      <c r="O22" s="10"/>
      <c r="P22" s="11"/>
      <c r="Q22" s="12"/>
      <c r="R22" s="10"/>
      <c r="S22" s="11"/>
      <c r="T22" s="12"/>
      <c r="U22" s="10"/>
      <c r="V22" s="11"/>
      <c r="W22" s="12"/>
      <c r="X22" s="10"/>
      <c r="Y22" s="11"/>
      <c r="Z22" s="12"/>
      <c r="AA22" s="10"/>
      <c r="AB22" s="11"/>
      <c r="AC22" s="12"/>
      <c r="AD22" s="10"/>
      <c r="AE22" s="11"/>
      <c r="AF22" s="12"/>
      <c r="AG22" s="10"/>
      <c r="AH22" s="11"/>
      <c r="AI22" s="12"/>
      <c r="AJ22" s="10"/>
      <c r="AK22" s="11"/>
      <c r="AL22" s="12"/>
      <c r="AM22" s="10"/>
      <c r="AN22" s="11"/>
      <c r="AO22" s="12"/>
      <c r="AP22" s="10"/>
      <c r="AQ22" s="11"/>
      <c r="AR22" s="12"/>
      <c r="AS22" s="10"/>
      <c r="AT22" s="11"/>
      <c r="AU22" s="12"/>
      <c r="AV22" s="10"/>
      <c r="AW22" s="11"/>
      <c r="AX22" s="12"/>
      <c r="AY22" s="10"/>
      <c r="AZ22" s="11"/>
      <c r="BA22" s="12"/>
      <c r="BB22" s="10"/>
      <c r="BC22" s="11"/>
      <c r="BD22" s="12"/>
      <c r="BE22" s="10"/>
      <c r="BF22" s="11"/>
      <c r="BG22" s="12"/>
      <c r="BH22" s="10"/>
      <c r="BI22" s="11"/>
      <c r="BJ22" s="12"/>
      <c r="BK22" s="10"/>
      <c r="BL22" s="11"/>
      <c r="BM22" s="12"/>
      <c r="BN22" s="10"/>
      <c r="BO22" s="11"/>
      <c r="BP22" s="12"/>
      <c r="BQ22" s="10"/>
      <c r="BR22" s="11"/>
      <c r="BS22" s="12"/>
      <c r="BT22" s="10"/>
      <c r="BU22" s="11"/>
      <c r="BV22" s="12"/>
      <c r="BW22" s="10"/>
      <c r="BX22" s="11"/>
      <c r="BY22" s="12"/>
      <c r="BZ22" s="10"/>
      <c r="CA22" s="11"/>
      <c r="CB22" s="12"/>
      <c r="CC22" s="10"/>
      <c r="CD22" s="11"/>
      <c r="CE22" s="12"/>
      <c r="CF22" s="10"/>
      <c r="CG22" s="11"/>
      <c r="CH22" s="12"/>
      <c r="CI22" s="10"/>
      <c r="CJ22" s="11"/>
      <c r="CK22" s="12"/>
      <c r="CL22" s="10"/>
      <c r="CM22" s="11"/>
      <c r="CN22" s="12"/>
      <c r="CO22" s="10"/>
      <c r="CP22" s="11"/>
      <c r="CQ22" s="12"/>
      <c r="CR22" s="10"/>
      <c r="CS22" s="11"/>
      <c r="CT22" s="12"/>
      <c r="CU22" s="10"/>
      <c r="CV22" s="11"/>
      <c r="CW22" s="12"/>
    </row>
    <row r="23" spans="1:101">
      <c r="A23" s="3" t="s">
        <v>37</v>
      </c>
      <c r="B23" s="3" t="s">
        <v>38</v>
      </c>
      <c r="C23" s="23">
        <v>-3040706</v>
      </c>
      <c r="D23" s="19"/>
      <c r="E23" s="20"/>
      <c r="F23" s="10"/>
      <c r="G23" s="11"/>
      <c r="H23" s="12"/>
      <c r="I23" s="10"/>
      <c r="J23" s="11"/>
      <c r="K23" s="12"/>
      <c r="L23" s="10"/>
      <c r="M23" s="11"/>
      <c r="N23" s="12"/>
      <c r="O23" s="10"/>
      <c r="P23" s="11"/>
      <c r="Q23" s="12"/>
      <c r="R23" s="10"/>
      <c r="S23" s="11"/>
      <c r="T23" s="12"/>
      <c r="U23" s="10"/>
      <c r="V23" s="11"/>
      <c r="W23" s="12"/>
      <c r="X23" s="10"/>
      <c r="Y23" s="11"/>
      <c r="Z23" s="12"/>
      <c r="AA23" s="10"/>
      <c r="AB23" s="11"/>
      <c r="AC23" s="12"/>
      <c r="AD23" s="10"/>
      <c r="AE23" s="11"/>
      <c r="AF23" s="12"/>
      <c r="AG23" s="10"/>
      <c r="AH23" s="11"/>
      <c r="AI23" s="12"/>
      <c r="AJ23" s="10"/>
      <c r="AK23" s="11"/>
      <c r="AL23" s="12"/>
      <c r="AM23" s="10"/>
      <c r="AN23" s="11"/>
      <c r="AO23" s="12"/>
      <c r="AP23" s="10"/>
      <c r="AQ23" s="11"/>
      <c r="AR23" s="12"/>
      <c r="AS23" s="10"/>
      <c r="AT23" s="11"/>
      <c r="AU23" s="12"/>
      <c r="AV23" s="10"/>
      <c r="AW23" s="11"/>
      <c r="AX23" s="12"/>
      <c r="AY23" s="10"/>
      <c r="AZ23" s="11"/>
      <c r="BA23" s="12"/>
      <c r="BB23" s="10"/>
      <c r="BC23" s="11"/>
      <c r="BD23" s="12"/>
      <c r="BE23" s="10"/>
      <c r="BF23" s="11"/>
      <c r="BG23" s="12"/>
      <c r="BH23" s="10"/>
      <c r="BI23" s="11"/>
      <c r="BJ23" s="12"/>
      <c r="BK23" s="10"/>
      <c r="BL23" s="11"/>
      <c r="BM23" s="12"/>
      <c r="BN23" s="10"/>
      <c r="BO23" s="11"/>
      <c r="BP23" s="12"/>
      <c r="BQ23" s="10"/>
      <c r="BR23" s="11"/>
      <c r="BS23" s="12"/>
      <c r="BT23" s="10"/>
      <c r="BU23" s="11"/>
      <c r="BV23" s="12"/>
      <c r="BW23" s="10"/>
      <c r="BX23" s="11"/>
      <c r="BY23" s="12"/>
      <c r="BZ23" s="10"/>
      <c r="CA23" s="11"/>
      <c r="CB23" s="12"/>
      <c r="CC23" s="10"/>
      <c r="CD23" s="11"/>
      <c r="CE23" s="12"/>
      <c r="CF23" s="10"/>
      <c r="CG23" s="11"/>
      <c r="CH23" s="12"/>
      <c r="CI23" s="10"/>
      <c r="CJ23" s="11"/>
      <c r="CK23" s="12"/>
      <c r="CL23" s="10"/>
      <c r="CM23" s="11"/>
      <c r="CN23" s="12"/>
      <c r="CO23" s="10"/>
      <c r="CP23" s="11"/>
      <c r="CQ23" s="12"/>
      <c r="CR23" s="10"/>
      <c r="CS23" s="11"/>
      <c r="CT23" s="12"/>
      <c r="CU23" s="10"/>
      <c r="CV23" s="11"/>
      <c r="CW23" s="12"/>
    </row>
    <row r="24" spans="1:101">
      <c r="A24" s="3" t="s">
        <v>39</v>
      </c>
      <c r="B24" s="3" t="s">
        <v>40</v>
      </c>
      <c r="C24" s="23">
        <v>-1618438</v>
      </c>
      <c r="D24" s="19"/>
      <c r="E24" s="20"/>
      <c r="F24" s="10"/>
      <c r="G24" s="11"/>
      <c r="H24" s="12"/>
      <c r="I24" s="10"/>
      <c r="J24" s="11"/>
      <c r="K24" s="12"/>
      <c r="L24" s="10"/>
      <c r="M24" s="11"/>
      <c r="N24" s="12"/>
      <c r="O24" s="10"/>
      <c r="P24" s="11"/>
      <c r="Q24" s="12"/>
      <c r="R24" s="10"/>
      <c r="S24" s="11"/>
      <c r="T24" s="12"/>
      <c r="U24" s="10"/>
      <c r="V24" s="11"/>
      <c r="W24" s="12"/>
      <c r="X24" s="10"/>
      <c r="Y24" s="11"/>
      <c r="Z24" s="12"/>
      <c r="AA24" s="10"/>
      <c r="AB24" s="11"/>
      <c r="AC24" s="12"/>
      <c r="AD24" s="10"/>
      <c r="AE24" s="11"/>
      <c r="AF24" s="12"/>
      <c r="AG24" s="10"/>
      <c r="AH24" s="11"/>
      <c r="AI24" s="12"/>
      <c r="AJ24" s="10"/>
      <c r="AK24" s="11"/>
      <c r="AL24" s="12"/>
      <c r="AM24" s="10"/>
      <c r="AN24" s="11"/>
      <c r="AO24" s="12"/>
      <c r="AP24" s="10"/>
      <c r="AQ24" s="11"/>
      <c r="AR24" s="12"/>
      <c r="AS24" s="10"/>
      <c r="AT24" s="11"/>
      <c r="AU24" s="12"/>
      <c r="AV24" s="10"/>
      <c r="AW24" s="11"/>
      <c r="AX24" s="12"/>
      <c r="AY24" s="10"/>
      <c r="AZ24" s="11"/>
      <c r="BA24" s="12"/>
      <c r="BB24" s="10"/>
      <c r="BC24" s="11"/>
      <c r="BD24" s="12"/>
      <c r="BE24" s="10"/>
      <c r="BF24" s="11"/>
      <c r="BG24" s="12"/>
      <c r="BH24" s="10"/>
      <c r="BI24" s="11"/>
      <c r="BJ24" s="12"/>
      <c r="BK24" s="10"/>
      <c r="BL24" s="11"/>
      <c r="BM24" s="12"/>
      <c r="BN24" s="10"/>
      <c r="BO24" s="11"/>
      <c r="BP24" s="12"/>
      <c r="BQ24" s="10"/>
      <c r="BR24" s="11"/>
      <c r="BS24" s="12"/>
      <c r="BT24" s="10"/>
      <c r="BU24" s="11"/>
      <c r="BV24" s="12"/>
      <c r="BW24" s="10"/>
      <c r="BX24" s="11"/>
      <c r="BY24" s="12"/>
      <c r="BZ24" s="10"/>
      <c r="CA24" s="11"/>
      <c r="CB24" s="12"/>
      <c r="CC24" s="10"/>
      <c r="CD24" s="11"/>
      <c r="CE24" s="12"/>
      <c r="CF24" s="10"/>
      <c r="CG24" s="11"/>
      <c r="CH24" s="12"/>
      <c r="CI24" s="10"/>
      <c r="CJ24" s="11"/>
      <c r="CK24" s="12"/>
      <c r="CL24" s="10"/>
      <c r="CM24" s="11"/>
      <c r="CN24" s="12"/>
      <c r="CO24" s="10"/>
      <c r="CP24" s="11"/>
      <c r="CQ24" s="12"/>
      <c r="CR24" s="10"/>
      <c r="CS24" s="11"/>
      <c r="CT24" s="12"/>
      <c r="CU24" s="10"/>
      <c r="CV24" s="11"/>
      <c r="CW24" s="12"/>
    </row>
    <row r="25" spans="1:101">
      <c r="A25" s="3" t="s">
        <v>41</v>
      </c>
      <c r="B25" s="3" t="s">
        <v>42</v>
      </c>
      <c r="C25" s="23">
        <v>-6226758</v>
      </c>
      <c r="D25" s="19"/>
      <c r="E25" s="20"/>
      <c r="F25" s="10"/>
      <c r="G25" s="11"/>
      <c r="H25" s="12"/>
      <c r="I25" s="10"/>
      <c r="J25" s="11"/>
      <c r="K25" s="12"/>
      <c r="L25" s="10"/>
      <c r="M25" s="11"/>
      <c r="N25" s="12"/>
      <c r="O25" s="10"/>
      <c r="P25" s="11"/>
      <c r="Q25" s="12"/>
      <c r="R25" s="10"/>
      <c r="S25" s="11"/>
      <c r="T25" s="12"/>
      <c r="U25" s="10"/>
      <c r="V25" s="11"/>
      <c r="W25" s="12"/>
      <c r="X25" s="10"/>
      <c r="Y25" s="11"/>
      <c r="Z25" s="12"/>
      <c r="AA25" s="10"/>
      <c r="AB25" s="11"/>
      <c r="AC25" s="12"/>
      <c r="AD25" s="10"/>
      <c r="AE25" s="11"/>
      <c r="AF25" s="12"/>
      <c r="AG25" s="10"/>
      <c r="AH25" s="11"/>
      <c r="AI25" s="12"/>
      <c r="AJ25" s="10"/>
      <c r="AK25" s="11"/>
      <c r="AL25" s="12"/>
      <c r="AM25" s="10"/>
      <c r="AN25" s="11"/>
      <c r="AO25" s="12"/>
      <c r="AP25" s="10"/>
      <c r="AQ25" s="11"/>
      <c r="AR25" s="12"/>
      <c r="AS25" s="10"/>
      <c r="AT25" s="11"/>
      <c r="AU25" s="12"/>
      <c r="AV25" s="10"/>
      <c r="AW25" s="11"/>
      <c r="AX25" s="12"/>
      <c r="AY25" s="10"/>
      <c r="AZ25" s="11"/>
      <c r="BA25" s="12"/>
      <c r="BB25" s="10"/>
      <c r="BC25" s="11"/>
      <c r="BD25" s="12"/>
      <c r="BE25" s="10"/>
      <c r="BF25" s="11"/>
      <c r="BG25" s="12"/>
      <c r="BH25" s="10"/>
      <c r="BI25" s="11"/>
      <c r="BJ25" s="12"/>
      <c r="BK25" s="10"/>
      <c r="BL25" s="11"/>
      <c r="BM25" s="12"/>
      <c r="BN25" s="10"/>
      <c r="BO25" s="11"/>
      <c r="BP25" s="12"/>
      <c r="BQ25" s="10"/>
      <c r="BR25" s="11"/>
      <c r="BS25" s="12"/>
      <c r="BT25" s="10"/>
      <c r="BU25" s="11"/>
      <c r="BV25" s="12"/>
      <c r="BW25" s="10"/>
      <c r="BX25" s="11"/>
      <c r="BY25" s="12"/>
      <c r="BZ25" s="10"/>
      <c r="CA25" s="11"/>
      <c r="CB25" s="12"/>
      <c r="CC25" s="10"/>
      <c r="CD25" s="11"/>
      <c r="CE25" s="12"/>
      <c r="CF25" s="10"/>
      <c r="CG25" s="11"/>
      <c r="CH25" s="12"/>
      <c r="CI25" s="10"/>
      <c r="CJ25" s="11"/>
      <c r="CK25" s="12"/>
      <c r="CL25" s="10"/>
      <c r="CM25" s="11"/>
      <c r="CN25" s="12"/>
      <c r="CO25" s="10"/>
      <c r="CP25" s="11"/>
      <c r="CQ25" s="12"/>
      <c r="CR25" s="10"/>
      <c r="CS25" s="11"/>
      <c r="CT25" s="12"/>
      <c r="CU25" s="10"/>
      <c r="CV25" s="11"/>
      <c r="CW25" s="12"/>
    </row>
    <row r="26" spans="1:101">
      <c r="A26" s="3" t="s">
        <v>43</v>
      </c>
      <c r="B26" s="3" t="s">
        <v>44</v>
      </c>
      <c r="C26" s="23">
        <v>-2265000</v>
      </c>
      <c r="D26" s="19"/>
      <c r="E26" s="20"/>
      <c r="F26" s="10"/>
      <c r="G26" s="11"/>
      <c r="H26" s="12"/>
      <c r="I26" s="10"/>
      <c r="J26" s="11"/>
      <c r="K26" s="12"/>
      <c r="L26" s="10"/>
      <c r="M26" s="11"/>
      <c r="N26" s="12"/>
      <c r="O26" s="10"/>
      <c r="P26" s="11"/>
      <c r="Q26" s="12"/>
      <c r="R26" s="10"/>
      <c r="S26" s="11"/>
      <c r="T26" s="12"/>
      <c r="U26" s="10"/>
      <c r="V26" s="11"/>
      <c r="W26" s="12"/>
      <c r="X26" s="10"/>
      <c r="Y26" s="11"/>
      <c r="Z26" s="12"/>
      <c r="AA26" s="10"/>
      <c r="AB26" s="11"/>
      <c r="AC26" s="12"/>
      <c r="AD26" s="10"/>
      <c r="AE26" s="11"/>
      <c r="AF26" s="12"/>
      <c r="AG26" s="10"/>
      <c r="AH26" s="11"/>
      <c r="AI26" s="12"/>
      <c r="AJ26" s="10"/>
      <c r="AK26" s="11"/>
      <c r="AL26" s="12"/>
      <c r="AM26" s="10"/>
      <c r="AN26" s="11"/>
      <c r="AO26" s="12"/>
      <c r="AP26" s="10"/>
      <c r="AQ26" s="11"/>
      <c r="AR26" s="12"/>
      <c r="AS26" s="10"/>
      <c r="AT26" s="11"/>
      <c r="AU26" s="12"/>
      <c r="AV26" s="10"/>
      <c r="AW26" s="11"/>
      <c r="AX26" s="12"/>
      <c r="AY26" s="10"/>
      <c r="AZ26" s="11"/>
      <c r="BA26" s="12"/>
      <c r="BB26" s="10"/>
      <c r="BC26" s="11"/>
      <c r="BD26" s="12"/>
      <c r="BE26" s="10"/>
      <c r="BF26" s="11"/>
      <c r="BG26" s="12"/>
      <c r="BH26" s="10"/>
      <c r="BI26" s="11"/>
      <c r="BJ26" s="12"/>
      <c r="BK26" s="10"/>
      <c r="BL26" s="11"/>
      <c r="BM26" s="12"/>
      <c r="BN26" s="10"/>
      <c r="BO26" s="11"/>
      <c r="BP26" s="12"/>
      <c r="BQ26" s="10"/>
      <c r="BR26" s="11"/>
      <c r="BS26" s="12"/>
      <c r="BT26" s="10"/>
      <c r="BU26" s="11"/>
      <c r="BV26" s="12"/>
      <c r="BW26" s="10"/>
      <c r="BX26" s="11"/>
      <c r="BY26" s="12"/>
      <c r="BZ26" s="10"/>
      <c r="CA26" s="11"/>
      <c r="CB26" s="12"/>
      <c r="CC26" s="10"/>
      <c r="CD26" s="11"/>
      <c r="CE26" s="12"/>
      <c r="CF26" s="10"/>
      <c r="CG26" s="11"/>
      <c r="CH26" s="12"/>
      <c r="CI26" s="10"/>
      <c r="CJ26" s="11"/>
      <c r="CK26" s="12"/>
      <c r="CL26" s="10"/>
      <c r="CM26" s="11"/>
      <c r="CN26" s="12"/>
      <c r="CO26" s="10"/>
      <c r="CP26" s="11"/>
      <c r="CQ26" s="12"/>
      <c r="CR26" s="10"/>
      <c r="CS26" s="11"/>
      <c r="CT26" s="12"/>
      <c r="CU26" s="10"/>
      <c r="CV26" s="11"/>
      <c r="CW26" s="12"/>
    </row>
    <row r="27" spans="1:101">
      <c r="A27" s="3" t="s">
        <v>45</v>
      </c>
      <c r="B27" s="3" t="s">
        <v>46</v>
      </c>
      <c r="C27" s="23">
        <v>-2265000</v>
      </c>
      <c r="D27" s="19"/>
      <c r="E27" s="20"/>
      <c r="F27" s="10"/>
      <c r="G27" s="11"/>
      <c r="H27" s="12"/>
      <c r="I27" s="10"/>
      <c r="J27" s="11"/>
      <c r="K27" s="12"/>
      <c r="L27" s="10"/>
      <c r="M27" s="11"/>
      <c r="N27" s="12"/>
      <c r="O27" s="10"/>
      <c r="P27" s="11"/>
      <c r="Q27" s="12"/>
      <c r="R27" s="10"/>
      <c r="S27" s="11"/>
      <c r="T27" s="12"/>
      <c r="U27" s="10"/>
      <c r="V27" s="11"/>
      <c r="W27" s="12"/>
      <c r="X27" s="10"/>
      <c r="Y27" s="11"/>
      <c r="Z27" s="12"/>
      <c r="AA27" s="10"/>
      <c r="AB27" s="11"/>
      <c r="AC27" s="12"/>
      <c r="AD27" s="10"/>
      <c r="AE27" s="11"/>
      <c r="AF27" s="12"/>
      <c r="AG27" s="10"/>
      <c r="AH27" s="11"/>
      <c r="AI27" s="12"/>
      <c r="AJ27" s="10"/>
      <c r="AK27" s="11"/>
      <c r="AL27" s="12"/>
      <c r="AM27" s="10"/>
      <c r="AN27" s="11"/>
      <c r="AO27" s="12"/>
      <c r="AP27" s="10"/>
      <c r="AQ27" s="11"/>
      <c r="AR27" s="12"/>
      <c r="AS27" s="10"/>
      <c r="AT27" s="11"/>
      <c r="AU27" s="12"/>
      <c r="AV27" s="10"/>
      <c r="AW27" s="11"/>
      <c r="AX27" s="12"/>
      <c r="AY27" s="10"/>
      <c r="AZ27" s="11"/>
      <c r="BA27" s="12"/>
      <c r="BB27" s="10"/>
      <c r="BC27" s="11"/>
      <c r="BD27" s="12"/>
      <c r="BE27" s="10"/>
      <c r="BF27" s="11"/>
      <c r="BG27" s="12"/>
      <c r="BH27" s="10"/>
      <c r="BI27" s="11"/>
      <c r="BJ27" s="12"/>
      <c r="BK27" s="10"/>
      <c r="BL27" s="11"/>
      <c r="BM27" s="12"/>
      <c r="BN27" s="10"/>
      <c r="BO27" s="11"/>
      <c r="BP27" s="12"/>
      <c r="BQ27" s="10"/>
      <c r="BR27" s="11"/>
      <c r="BS27" s="12"/>
      <c r="BT27" s="10"/>
      <c r="BU27" s="11"/>
      <c r="BV27" s="12"/>
      <c r="BW27" s="10"/>
      <c r="BX27" s="11"/>
      <c r="BY27" s="12"/>
      <c r="BZ27" s="10"/>
      <c r="CA27" s="11"/>
      <c r="CB27" s="12"/>
      <c r="CC27" s="10"/>
      <c r="CD27" s="11"/>
      <c r="CE27" s="12"/>
      <c r="CF27" s="10"/>
      <c r="CG27" s="11"/>
      <c r="CH27" s="12"/>
      <c r="CI27" s="10"/>
      <c r="CJ27" s="11"/>
      <c r="CK27" s="12"/>
      <c r="CL27" s="10"/>
      <c r="CM27" s="11"/>
      <c r="CN27" s="12"/>
      <c r="CO27" s="10"/>
      <c r="CP27" s="11"/>
      <c r="CQ27" s="12"/>
      <c r="CR27" s="10"/>
      <c r="CS27" s="11"/>
      <c r="CT27" s="12"/>
      <c r="CU27" s="10"/>
      <c r="CV27" s="11"/>
      <c r="CW27" s="12"/>
    </row>
    <row r="28" spans="1:101">
      <c r="A28" s="3" t="s">
        <v>47</v>
      </c>
      <c r="B28" s="3" t="s">
        <v>48</v>
      </c>
      <c r="C28" s="29">
        <v>-3761294</v>
      </c>
      <c r="D28" s="30">
        <f t="shared" si="0"/>
        <v>3761294</v>
      </c>
      <c r="E28" s="31">
        <f>+C28+D28</f>
        <v>0</v>
      </c>
      <c r="F28" s="22" t="s">
        <v>205</v>
      </c>
      <c r="G28">
        <v>2067000</v>
      </c>
      <c r="H28" s="13" t="s">
        <v>167</v>
      </c>
      <c r="I28" s="22" t="s">
        <v>206</v>
      </c>
      <c r="J28">
        <v>113395</v>
      </c>
      <c r="K28" s="13">
        <v>180</v>
      </c>
      <c r="L28" s="22" t="s">
        <v>207</v>
      </c>
      <c r="M28">
        <v>80336</v>
      </c>
      <c r="N28" s="13">
        <v>200</v>
      </c>
      <c r="O28" s="22" t="s">
        <v>207</v>
      </c>
      <c r="P28">
        <v>120739</v>
      </c>
      <c r="Q28" s="13">
        <v>200</v>
      </c>
      <c r="R28" s="22" t="s">
        <v>207</v>
      </c>
      <c r="S28">
        <v>147000</v>
      </c>
      <c r="T28" s="13">
        <v>210</v>
      </c>
      <c r="U28" s="22" t="s">
        <v>207</v>
      </c>
      <c r="V28">
        <v>50395</v>
      </c>
      <c r="W28" s="13">
        <v>130</v>
      </c>
      <c r="X28" s="22" t="s">
        <v>208</v>
      </c>
      <c r="Y28">
        <v>138615</v>
      </c>
      <c r="Z28" s="13">
        <v>130</v>
      </c>
      <c r="AA28" s="22" t="s">
        <v>209</v>
      </c>
      <c r="AB28">
        <v>80000</v>
      </c>
      <c r="AC28" s="13">
        <v>150</v>
      </c>
      <c r="AD28" s="22" t="s">
        <v>208</v>
      </c>
      <c r="AE28">
        <v>27723</v>
      </c>
      <c r="AF28" s="13">
        <v>130</v>
      </c>
      <c r="AG28" s="22" t="s">
        <v>208</v>
      </c>
      <c r="AH28">
        <v>27723</v>
      </c>
      <c r="AI28" s="13">
        <v>130</v>
      </c>
      <c r="AJ28" s="22" t="s">
        <v>208</v>
      </c>
      <c r="AK28">
        <v>-27723</v>
      </c>
      <c r="AL28" s="13">
        <v>130</v>
      </c>
      <c r="AM28" s="22" t="s">
        <v>333</v>
      </c>
      <c r="AN28">
        <v>64970</v>
      </c>
      <c r="AO28" s="13">
        <v>190</v>
      </c>
      <c r="AP28" s="22" t="s">
        <v>334</v>
      </c>
      <c r="AQ28">
        <v>119960</v>
      </c>
      <c r="AR28" s="13">
        <v>180</v>
      </c>
      <c r="AS28" s="22" t="s">
        <v>335</v>
      </c>
      <c r="AT28">
        <v>299900</v>
      </c>
      <c r="AU28" s="13">
        <v>170</v>
      </c>
      <c r="AV28" s="22" t="s">
        <v>336</v>
      </c>
      <c r="AW28">
        <v>279331</v>
      </c>
      <c r="AX28" s="13">
        <v>195</v>
      </c>
      <c r="AY28" s="22" t="s">
        <v>337</v>
      </c>
      <c r="AZ28">
        <v>29980</v>
      </c>
      <c r="BA28" s="13">
        <v>2</v>
      </c>
      <c r="BB28" s="22" t="s">
        <v>338</v>
      </c>
      <c r="BC28">
        <v>50395</v>
      </c>
      <c r="BD28" s="13">
        <v>190</v>
      </c>
      <c r="BE28" s="22" t="s">
        <v>339</v>
      </c>
      <c r="BF28">
        <v>15958</v>
      </c>
      <c r="BG28" s="13">
        <v>190</v>
      </c>
      <c r="BH28" s="22" t="s">
        <v>338</v>
      </c>
      <c r="BI28">
        <v>33597</v>
      </c>
      <c r="BJ28" s="13">
        <v>190</v>
      </c>
      <c r="BK28" s="22" t="s">
        <v>338</v>
      </c>
      <c r="BL28">
        <v>42000</v>
      </c>
      <c r="BM28" s="13">
        <v>190</v>
      </c>
      <c r="BN28" s="10"/>
      <c r="BO28" s="11"/>
      <c r="BP28" s="12"/>
      <c r="BQ28" s="10"/>
      <c r="BR28" s="11"/>
      <c r="BS28" s="12"/>
      <c r="BT28" s="10"/>
      <c r="BU28" s="11"/>
      <c r="BV28" s="12"/>
      <c r="BW28" s="10"/>
      <c r="BX28" s="11"/>
      <c r="BY28" s="12"/>
      <c r="BZ28" s="10"/>
      <c r="CA28" s="11"/>
      <c r="CB28" s="12"/>
      <c r="CC28" s="10"/>
      <c r="CD28" s="11"/>
      <c r="CE28" s="12"/>
      <c r="CF28" s="10"/>
      <c r="CG28" s="11"/>
      <c r="CH28" s="12"/>
      <c r="CI28" s="10"/>
      <c r="CJ28" s="11"/>
      <c r="CK28" s="12"/>
      <c r="CL28" s="10"/>
      <c r="CM28" s="11"/>
      <c r="CN28" s="12"/>
      <c r="CO28" s="10"/>
      <c r="CP28" s="11"/>
      <c r="CQ28" s="12"/>
      <c r="CR28" s="10"/>
      <c r="CS28" s="11"/>
      <c r="CT28" s="12"/>
      <c r="CU28" s="10"/>
      <c r="CV28" s="11"/>
      <c r="CW28" s="12"/>
    </row>
    <row r="29" spans="1:101">
      <c r="A29" s="3" t="s">
        <v>49</v>
      </c>
      <c r="B29" s="3" t="s">
        <v>50</v>
      </c>
      <c r="C29" s="29">
        <v>-7971400</v>
      </c>
      <c r="D29" s="30">
        <f t="shared" si="0"/>
        <v>7971400</v>
      </c>
      <c r="E29" s="31">
        <f t="shared" ref="E29:E42" si="2">+C29+D29</f>
        <v>0</v>
      </c>
      <c r="F29" s="22" t="s">
        <v>220</v>
      </c>
      <c r="G29">
        <v>1200000</v>
      </c>
      <c r="H29" t="s">
        <v>167</v>
      </c>
      <c r="I29" s="22" t="s">
        <v>221</v>
      </c>
      <c r="J29">
        <v>267000</v>
      </c>
      <c r="K29" s="13">
        <v>2</v>
      </c>
      <c r="L29" s="22" t="s">
        <v>222</v>
      </c>
      <c r="M29">
        <v>450000</v>
      </c>
      <c r="N29" s="13">
        <v>2</v>
      </c>
      <c r="O29" s="22" t="s">
        <v>223</v>
      </c>
      <c r="P29">
        <v>27191</v>
      </c>
      <c r="Q29" s="13">
        <v>150</v>
      </c>
      <c r="R29" s="22" t="s">
        <v>204</v>
      </c>
      <c r="S29">
        <v>1141709</v>
      </c>
      <c r="T29" s="13" t="s">
        <v>167</v>
      </c>
      <c r="U29" s="22" t="s">
        <v>340</v>
      </c>
      <c r="V29">
        <v>500000</v>
      </c>
      <c r="W29" s="13" t="s">
        <v>167</v>
      </c>
      <c r="X29" s="41" t="s">
        <v>368</v>
      </c>
      <c r="Y29" s="42">
        <v>4385500</v>
      </c>
      <c r="Z29" s="13" t="s">
        <v>167</v>
      </c>
      <c r="AA29" s="10"/>
      <c r="AB29" s="11"/>
      <c r="AC29" s="12"/>
      <c r="AD29" s="10"/>
      <c r="AE29" s="11"/>
      <c r="AF29" s="12"/>
      <c r="AG29" s="10"/>
      <c r="AH29" s="11"/>
      <c r="AI29" s="12"/>
      <c r="AJ29" s="10"/>
      <c r="AK29" s="11"/>
      <c r="AL29" s="12"/>
      <c r="AM29" s="10"/>
      <c r="AN29" s="11"/>
      <c r="AO29" s="12"/>
      <c r="AP29" s="10"/>
      <c r="AQ29" s="11"/>
      <c r="AR29" s="12"/>
      <c r="AS29" s="10"/>
      <c r="AT29" s="11"/>
      <c r="AU29" s="12"/>
      <c r="AV29" s="10"/>
      <c r="AW29" s="11"/>
      <c r="AX29" s="12"/>
      <c r="AY29" s="10"/>
      <c r="AZ29" s="11"/>
      <c r="BA29" s="12"/>
      <c r="BB29" s="10"/>
      <c r="BC29" s="11"/>
      <c r="BD29" s="12"/>
      <c r="BE29" s="10"/>
      <c r="BF29" s="11"/>
      <c r="BG29" s="12"/>
      <c r="BH29" s="10"/>
      <c r="BI29" s="11"/>
      <c r="BJ29" s="12"/>
      <c r="BK29" s="10"/>
      <c r="BL29" s="11"/>
      <c r="BM29" s="12"/>
      <c r="BN29" s="10"/>
      <c r="BO29" s="11"/>
      <c r="BP29" s="12"/>
      <c r="BQ29" s="10"/>
      <c r="BR29" s="11"/>
      <c r="BS29" s="12"/>
      <c r="BT29" s="10"/>
      <c r="BU29" s="11"/>
      <c r="BV29" s="12"/>
      <c r="BW29" s="10"/>
      <c r="BX29" s="11"/>
      <c r="BY29" s="12"/>
      <c r="BZ29" s="10"/>
      <c r="CA29" s="11"/>
      <c r="CB29" s="12"/>
      <c r="CC29" s="10"/>
      <c r="CD29" s="11"/>
      <c r="CE29" s="12"/>
      <c r="CF29" s="10"/>
      <c r="CG29" s="11"/>
      <c r="CH29" s="12"/>
      <c r="CI29" s="10"/>
      <c r="CJ29" s="11"/>
      <c r="CK29" s="12"/>
      <c r="CL29" s="10"/>
      <c r="CM29" s="11"/>
      <c r="CN29" s="12"/>
      <c r="CO29" s="10"/>
      <c r="CP29" s="11"/>
      <c r="CQ29" s="12"/>
      <c r="CR29" s="10"/>
      <c r="CS29" s="11"/>
      <c r="CT29" s="12"/>
      <c r="CU29" s="10"/>
      <c r="CV29" s="11"/>
      <c r="CW29" s="12"/>
    </row>
    <row r="30" spans="1:101">
      <c r="A30" s="3" t="s">
        <v>51</v>
      </c>
      <c r="B30" s="3" t="s">
        <v>52</v>
      </c>
      <c r="C30" s="29">
        <v>-5498158</v>
      </c>
      <c r="D30" s="30">
        <f>+G30+J30+M30+P30+S30+V30+Y30+AB30+AE30+AH30+AK30+AN30+AQ30+AT30+AW30+AZ30+BC30+BF30+BI30+BL30+BO30+BR30+BU30+BX30+CA30+CD30+CG30+CJ30+CM30+CP30+CS30</f>
        <v>5498158</v>
      </c>
      <c r="E30" s="31">
        <f t="shared" si="2"/>
        <v>0</v>
      </c>
      <c r="F30" s="22" t="s">
        <v>128</v>
      </c>
      <c r="G30">
        <v>3107655</v>
      </c>
      <c r="H30" s="13">
        <v>2</v>
      </c>
      <c r="I30" s="22" t="s">
        <v>128</v>
      </c>
      <c r="J30">
        <v>2390503</v>
      </c>
      <c r="K30" s="13">
        <v>2</v>
      </c>
      <c r="L30" s="22"/>
      <c r="N30" s="13"/>
      <c r="O30" s="10"/>
      <c r="P30" s="11"/>
      <c r="Q30" s="12"/>
      <c r="R30" s="10"/>
      <c r="S30" s="11"/>
      <c r="T30" s="12"/>
      <c r="U30" s="10"/>
      <c r="V30" s="11"/>
      <c r="W30" s="12"/>
      <c r="X30" s="10"/>
      <c r="Y30" s="11"/>
      <c r="Z30" s="12"/>
      <c r="AA30" s="10"/>
      <c r="AB30" s="11"/>
      <c r="AC30" s="12"/>
      <c r="AD30" s="10"/>
      <c r="AE30" s="11"/>
      <c r="AF30" s="12"/>
      <c r="AG30" s="10"/>
      <c r="AH30" s="11"/>
      <c r="AI30" s="12"/>
      <c r="AJ30" s="10"/>
      <c r="AK30" s="11"/>
      <c r="AL30" s="12"/>
      <c r="AM30" s="10"/>
      <c r="AN30" s="11"/>
      <c r="AO30" s="12"/>
      <c r="AP30" s="10"/>
      <c r="AQ30" s="11"/>
      <c r="AR30" s="12"/>
      <c r="AS30" s="10"/>
      <c r="AT30" s="11"/>
      <c r="AU30" s="12"/>
      <c r="AV30" s="10"/>
      <c r="AW30" s="11"/>
      <c r="AX30" s="12"/>
      <c r="AY30" s="10"/>
      <c r="AZ30" s="11"/>
      <c r="BA30" s="12"/>
      <c r="BB30" s="10"/>
      <c r="BC30" s="11"/>
      <c r="BD30" s="12"/>
      <c r="BE30" s="10"/>
      <c r="BF30" s="11"/>
      <c r="BG30" s="12"/>
      <c r="BH30" s="10"/>
      <c r="BI30" s="11"/>
      <c r="BJ30" s="12"/>
      <c r="BK30" s="10"/>
      <c r="BL30" s="11"/>
      <c r="BM30" s="12"/>
      <c r="BN30" s="10"/>
      <c r="BO30" s="11"/>
      <c r="BP30" s="12"/>
      <c r="BQ30" s="10"/>
      <c r="BR30" s="11"/>
      <c r="BS30" s="12"/>
      <c r="BT30" s="10"/>
      <c r="BU30" s="11"/>
      <c r="BV30" s="12"/>
      <c r="BW30" s="10"/>
      <c r="BX30" s="11"/>
      <c r="BY30" s="12"/>
      <c r="BZ30" s="10"/>
      <c r="CA30" s="11"/>
      <c r="CB30" s="12"/>
      <c r="CC30" s="10"/>
      <c r="CD30" s="11"/>
      <c r="CE30" s="12"/>
      <c r="CF30" s="10"/>
      <c r="CG30" s="11"/>
      <c r="CH30" s="12"/>
      <c r="CI30" s="10"/>
      <c r="CJ30" s="11"/>
      <c r="CK30" s="12"/>
      <c r="CL30" s="10"/>
      <c r="CM30" s="11"/>
      <c r="CN30" s="12"/>
      <c r="CO30" s="10"/>
      <c r="CP30" s="11"/>
      <c r="CQ30" s="12"/>
      <c r="CR30" s="10"/>
      <c r="CS30" s="11"/>
      <c r="CT30" s="12"/>
      <c r="CU30" s="10"/>
      <c r="CV30" s="11"/>
      <c r="CW30" s="12"/>
    </row>
    <row r="31" spans="1:101">
      <c r="A31" s="3" t="s">
        <v>53</v>
      </c>
      <c r="B31" s="3" t="s">
        <v>54</v>
      </c>
      <c r="C31" s="29">
        <v>-415872</v>
      </c>
      <c r="D31" s="30">
        <f>+G31+J31+M31+P31+S31+V31+Y31+AB31+AE31+AH31+AK31+AN31+AQ31+AT31+AW31+AZ31+BC31+BF31+BI31+BL31+BO31+BR31+BU31+BX31+CA31+CD31+CG31+CJ31+CM31+CP31+CS31</f>
        <v>415872</v>
      </c>
      <c r="E31" s="31">
        <f t="shared" si="2"/>
        <v>0</v>
      </c>
      <c r="F31" s="22" t="s">
        <v>180</v>
      </c>
      <c r="G31">
        <v>265880</v>
      </c>
      <c r="H31" s="13">
        <v>100</v>
      </c>
      <c r="I31" s="22" t="s">
        <v>127</v>
      </c>
      <c r="J31">
        <v>149992</v>
      </c>
      <c r="K31" s="13">
        <v>2</v>
      </c>
      <c r="L31" s="22"/>
      <c r="N31" s="13"/>
      <c r="O31" s="22"/>
      <c r="Q31" s="13"/>
      <c r="R31" s="10"/>
      <c r="S31" s="11"/>
      <c r="T31" s="12"/>
      <c r="U31" s="10"/>
      <c r="V31" s="11"/>
      <c r="W31" s="12"/>
      <c r="X31" s="10"/>
      <c r="Y31" s="11"/>
      <c r="Z31" s="12"/>
      <c r="AA31" s="10"/>
      <c r="AB31" s="11"/>
      <c r="AC31" s="12"/>
      <c r="AD31" s="10"/>
      <c r="AE31" s="11"/>
      <c r="AF31" s="12"/>
      <c r="AG31" s="10"/>
      <c r="AH31" s="11"/>
      <c r="AI31" s="12"/>
      <c r="AJ31" s="10"/>
      <c r="AK31" s="11"/>
      <c r="AL31" s="12"/>
      <c r="AM31" s="10"/>
      <c r="AN31" s="11"/>
      <c r="AO31" s="12"/>
      <c r="AP31" s="10"/>
      <c r="AQ31" s="11"/>
      <c r="AR31" s="12"/>
      <c r="AS31" s="10"/>
      <c r="AT31" s="11"/>
      <c r="AU31" s="12"/>
      <c r="AV31" s="10"/>
      <c r="AW31" s="11"/>
      <c r="AX31" s="12"/>
      <c r="AY31" s="10"/>
      <c r="AZ31" s="11"/>
      <c r="BA31" s="12"/>
      <c r="BB31" s="10"/>
      <c r="BC31" s="11"/>
      <c r="BD31" s="12"/>
      <c r="BE31" s="10"/>
      <c r="BF31" s="11"/>
      <c r="BG31" s="12"/>
      <c r="BH31" s="10"/>
      <c r="BI31" s="11"/>
      <c r="BJ31" s="12"/>
      <c r="BK31" s="10"/>
      <c r="BL31" s="11"/>
      <c r="BM31" s="12"/>
      <c r="BN31" s="10"/>
      <c r="BO31" s="11"/>
      <c r="BP31" s="12"/>
      <c r="BQ31" s="10"/>
      <c r="BR31" s="11"/>
      <c r="BS31" s="12"/>
      <c r="BT31" s="10"/>
      <c r="BU31" s="11"/>
      <c r="BV31" s="12"/>
      <c r="BW31" s="10"/>
      <c r="BX31" s="11"/>
      <c r="BY31" s="12"/>
      <c r="BZ31" s="10"/>
      <c r="CA31" s="11"/>
      <c r="CB31" s="12"/>
      <c r="CC31" s="10"/>
      <c r="CD31" s="11"/>
      <c r="CE31" s="12"/>
      <c r="CF31" s="10"/>
      <c r="CG31" s="11"/>
      <c r="CH31" s="12"/>
      <c r="CI31" s="10"/>
      <c r="CJ31" s="11"/>
      <c r="CK31" s="12"/>
      <c r="CL31" s="10"/>
      <c r="CM31" s="11"/>
      <c r="CN31" s="12"/>
      <c r="CO31" s="10"/>
      <c r="CP31" s="11"/>
      <c r="CQ31" s="12"/>
      <c r="CR31" s="10"/>
      <c r="CS31" s="11"/>
      <c r="CT31" s="12"/>
      <c r="CU31" s="10"/>
      <c r="CV31" s="11"/>
      <c r="CW31" s="12"/>
    </row>
    <row r="32" spans="1:101">
      <c r="A32" s="3" t="s">
        <v>212</v>
      </c>
      <c r="B32" s="32" t="s">
        <v>213</v>
      </c>
      <c r="C32" s="29">
        <v>-1886536</v>
      </c>
      <c r="D32" s="30">
        <f>+G32+J32+M32+P32+S32+V32+Y32+AB32+AE32+AH32+AK32+AN32+AQ32+AT32+AW32+AZ32+BC32+BF32+BI32+BL32+BO32+BR32+BU32+BX32+CA32+CD32+CG32+CJ32+CM32+CP32+CS32</f>
        <v>1886536</v>
      </c>
      <c r="E32" s="31">
        <f t="shared" si="2"/>
        <v>0</v>
      </c>
      <c r="F32" s="22" t="s">
        <v>211</v>
      </c>
      <c r="G32">
        <v>1078000</v>
      </c>
      <c r="H32" s="13">
        <v>2</v>
      </c>
      <c r="I32" s="22" t="s">
        <v>211</v>
      </c>
      <c r="J32">
        <v>808536</v>
      </c>
      <c r="K32" s="13">
        <v>2</v>
      </c>
      <c r="L32" s="22" t="s">
        <v>211</v>
      </c>
      <c r="M32">
        <v>1072000</v>
      </c>
      <c r="N32" s="13">
        <v>2</v>
      </c>
      <c r="O32" s="22" t="s">
        <v>211</v>
      </c>
      <c r="P32">
        <v>-1072000</v>
      </c>
      <c r="Q32" s="13">
        <v>2</v>
      </c>
      <c r="R32" s="10"/>
      <c r="S32" s="11"/>
      <c r="T32" s="12"/>
      <c r="U32" s="10"/>
      <c r="V32" s="11"/>
      <c r="W32" s="12"/>
      <c r="X32" s="10"/>
      <c r="Y32" s="11"/>
      <c r="Z32" s="12"/>
      <c r="AA32" s="10"/>
      <c r="AB32" s="11"/>
      <c r="AC32" s="12"/>
      <c r="AD32" s="10"/>
      <c r="AE32" s="11"/>
      <c r="AF32" s="12"/>
      <c r="AG32" s="10"/>
      <c r="AH32" s="11"/>
      <c r="AI32" s="12"/>
      <c r="AJ32" s="10"/>
      <c r="AK32" s="11"/>
      <c r="AL32" s="12"/>
      <c r="AM32" s="10"/>
      <c r="AN32" s="11"/>
      <c r="AO32" s="12"/>
      <c r="AP32" s="10"/>
      <c r="AQ32" s="11"/>
      <c r="AR32" s="12"/>
      <c r="AS32" s="10"/>
      <c r="AT32" s="11"/>
      <c r="AU32" s="12"/>
      <c r="AV32" s="10"/>
      <c r="AW32" s="11"/>
      <c r="AX32" s="12"/>
      <c r="AY32" s="10"/>
      <c r="AZ32" s="11"/>
      <c r="BA32" s="12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0"/>
      <c r="BR32" s="11"/>
      <c r="BS32" s="12"/>
      <c r="BT32" s="10"/>
      <c r="BU32" s="11"/>
      <c r="BV32" s="12"/>
      <c r="BW32" s="10"/>
      <c r="BX32" s="11"/>
      <c r="BY32" s="12"/>
      <c r="BZ32" s="10"/>
      <c r="CA32" s="11"/>
      <c r="CB32" s="12"/>
      <c r="CC32" s="10"/>
      <c r="CD32" s="11"/>
      <c r="CE32" s="12"/>
      <c r="CF32" s="10"/>
      <c r="CG32" s="11"/>
      <c r="CH32" s="12"/>
      <c r="CI32" s="10"/>
      <c r="CJ32" s="11"/>
      <c r="CK32" s="12"/>
      <c r="CL32" s="10"/>
      <c r="CM32" s="11"/>
      <c r="CN32" s="12"/>
      <c r="CO32" s="10"/>
      <c r="CP32" s="11"/>
      <c r="CQ32" s="12"/>
      <c r="CR32" s="10"/>
      <c r="CS32" s="11"/>
      <c r="CT32" s="12"/>
      <c r="CU32" s="10"/>
      <c r="CV32" s="11"/>
      <c r="CW32" s="12"/>
    </row>
    <row r="33" spans="1:101">
      <c r="A33" s="3" t="s">
        <v>55</v>
      </c>
      <c r="B33" s="3" t="s">
        <v>56</v>
      </c>
      <c r="C33" s="29">
        <v>-62014152</v>
      </c>
      <c r="D33" s="30">
        <f>+G33+J33+M33+P33+S33+V33+Y33+AB33+AE33+AH33+AK33+AN33+AQ33+AT33+AW33+AZ33+BC33+BF33+BI33+BL33+BO33+BR33+BU33+BX33+CA33+CD33+CG33+CJ33+CM33+CP33+CS33+CV33</f>
        <v>62014152</v>
      </c>
      <c r="E33" s="31">
        <f t="shared" si="2"/>
        <v>0</v>
      </c>
      <c r="F33" s="22" t="s">
        <v>214</v>
      </c>
      <c r="G33">
        <v>4602913</v>
      </c>
      <c r="H33" s="13">
        <v>180</v>
      </c>
      <c r="I33" s="22" t="s">
        <v>129</v>
      </c>
      <c r="J33">
        <v>438259</v>
      </c>
      <c r="K33" s="13">
        <v>180</v>
      </c>
      <c r="L33" s="22" t="s">
        <v>129</v>
      </c>
      <c r="M33">
        <v>994449</v>
      </c>
      <c r="N33" s="13">
        <v>170</v>
      </c>
      <c r="O33" s="22" t="s">
        <v>130</v>
      </c>
      <c r="P33">
        <v>10441718</v>
      </c>
      <c r="Q33" s="13">
        <v>170</v>
      </c>
      <c r="R33" s="22" t="s">
        <v>131</v>
      </c>
      <c r="S33">
        <v>243603</v>
      </c>
      <c r="T33" s="13">
        <v>195</v>
      </c>
      <c r="U33" s="22" t="s">
        <v>132</v>
      </c>
      <c r="V33">
        <v>6972301</v>
      </c>
      <c r="W33" s="13">
        <v>190</v>
      </c>
      <c r="X33" s="22" t="s">
        <v>129</v>
      </c>
      <c r="Y33">
        <v>1851283</v>
      </c>
      <c r="Z33" s="13">
        <v>180</v>
      </c>
      <c r="AA33" s="22" t="s">
        <v>129</v>
      </c>
      <c r="AB33">
        <v>2645767</v>
      </c>
      <c r="AC33" s="13">
        <v>170</v>
      </c>
      <c r="AD33" s="22" t="s">
        <v>215</v>
      </c>
      <c r="AE33">
        <v>4020148</v>
      </c>
      <c r="AF33" s="13">
        <v>140</v>
      </c>
      <c r="AG33" s="22" t="s">
        <v>134</v>
      </c>
      <c r="AH33">
        <v>8202702</v>
      </c>
      <c r="AI33" s="13">
        <v>150</v>
      </c>
      <c r="AJ33" s="22" t="s">
        <v>133</v>
      </c>
      <c r="AK33">
        <v>8334477</v>
      </c>
      <c r="AL33" s="13">
        <v>210</v>
      </c>
      <c r="AM33" s="22" t="s">
        <v>133</v>
      </c>
      <c r="AN33">
        <v>8099040</v>
      </c>
      <c r="AO33" s="13">
        <v>130</v>
      </c>
      <c r="AP33" s="22" t="s">
        <v>133</v>
      </c>
      <c r="AQ33">
        <v>12036</v>
      </c>
      <c r="AR33" s="13">
        <v>210</v>
      </c>
      <c r="AS33" s="22" t="s">
        <v>133</v>
      </c>
      <c r="AT33">
        <v>12036</v>
      </c>
      <c r="AU33" s="13">
        <v>130</v>
      </c>
      <c r="AV33" s="22" t="s">
        <v>134</v>
      </c>
      <c r="AW33">
        <v>12036</v>
      </c>
      <c r="AX33" s="13">
        <v>150</v>
      </c>
      <c r="AY33" s="22" t="s">
        <v>131</v>
      </c>
      <c r="AZ33">
        <v>1560758</v>
      </c>
      <c r="BA33" s="13">
        <v>195</v>
      </c>
      <c r="BB33" s="22" t="s">
        <v>131</v>
      </c>
      <c r="BC33">
        <v>2013881</v>
      </c>
      <c r="BD33" s="13">
        <v>195</v>
      </c>
      <c r="BE33" s="22" t="s">
        <v>341</v>
      </c>
      <c r="BF33">
        <v>199209</v>
      </c>
      <c r="BG33" s="13">
        <v>190</v>
      </c>
      <c r="BH33" s="22" t="s">
        <v>342</v>
      </c>
      <c r="BI33">
        <v>766657</v>
      </c>
      <c r="BJ33" s="13">
        <v>170</v>
      </c>
      <c r="BK33" s="22" t="s">
        <v>343</v>
      </c>
      <c r="BL33">
        <v>590879</v>
      </c>
      <c r="BM33" s="13">
        <v>180</v>
      </c>
      <c r="BO33" s="25"/>
      <c r="BQ33" s="22"/>
      <c r="BS33" s="13"/>
      <c r="BT33" s="22"/>
      <c r="BV33" s="13"/>
      <c r="BW33" s="22"/>
      <c r="BY33" s="13"/>
      <c r="BZ33" s="22"/>
      <c r="CB33" s="13"/>
      <c r="CC33" s="22"/>
      <c r="CE33" s="13"/>
      <c r="CF33" s="22"/>
      <c r="CH33" s="13"/>
      <c r="CI33" s="22"/>
      <c r="CK33" s="13"/>
      <c r="CL33" s="22"/>
      <c r="CN33" s="13"/>
      <c r="CO33" s="22"/>
      <c r="CQ33" s="13"/>
      <c r="CR33" s="22"/>
      <c r="CT33" s="13"/>
      <c r="CU33" s="10"/>
      <c r="CV33" s="11"/>
      <c r="CW33" s="12"/>
    </row>
    <row r="34" spans="1:101">
      <c r="A34" s="3" t="s">
        <v>57</v>
      </c>
      <c r="B34" s="3" t="s">
        <v>58</v>
      </c>
      <c r="C34" s="29">
        <v>-3094438</v>
      </c>
      <c r="D34" s="30">
        <f t="shared" si="0"/>
        <v>3094438</v>
      </c>
      <c r="E34" s="31">
        <f t="shared" si="2"/>
        <v>0</v>
      </c>
      <c r="F34" s="22" t="s">
        <v>135</v>
      </c>
      <c r="G34">
        <v>3094438</v>
      </c>
      <c r="H34" s="13">
        <v>300</v>
      </c>
      <c r="I34" s="10"/>
      <c r="J34" s="11"/>
      <c r="K34" s="12"/>
      <c r="L34" s="10"/>
      <c r="M34" s="11"/>
      <c r="N34" s="12"/>
      <c r="O34" s="10"/>
      <c r="P34" s="11"/>
      <c r="Q34" s="12"/>
      <c r="R34" s="10"/>
      <c r="S34" s="11"/>
      <c r="T34" s="12"/>
      <c r="U34" s="10"/>
      <c r="V34" s="11"/>
      <c r="W34" s="12"/>
      <c r="X34" s="10"/>
      <c r="Y34" s="11"/>
      <c r="Z34" s="12"/>
      <c r="AA34" s="10"/>
      <c r="AB34" s="11"/>
      <c r="AC34" s="12"/>
      <c r="AD34" s="10"/>
      <c r="AE34" s="11"/>
      <c r="AF34" s="12"/>
      <c r="AG34" s="10"/>
      <c r="AH34" s="11"/>
      <c r="AI34" s="12"/>
      <c r="AJ34" s="10"/>
      <c r="AK34" s="11"/>
      <c r="AL34" s="12"/>
      <c r="AM34" s="10"/>
      <c r="AN34" s="11"/>
      <c r="AO34" s="12"/>
      <c r="AP34" s="10"/>
      <c r="AQ34" s="11"/>
      <c r="AR34" s="12"/>
      <c r="AS34" s="10"/>
      <c r="AT34" s="11"/>
      <c r="AU34" s="12"/>
      <c r="AV34" s="10"/>
      <c r="AW34" s="11"/>
      <c r="AX34" s="12"/>
      <c r="AY34" s="10"/>
      <c r="AZ34" s="11"/>
      <c r="BA34" s="12"/>
      <c r="BB34" s="10"/>
      <c r="BC34" s="11"/>
      <c r="BD34" s="12"/>
      <c r="BE34" s="10"/>
      <c r="BF34" s="11"/>
      <c r="BG34" s="12"/>
      <c r="BH34" s="10"/>
      <c r="BI34" s="11"/>
      <c r="BJ34" s="12"/>
      <c r="BK34" s="10"/>
      <c r="BL34" s="11"/>
      <c r="BM34" s="12"/>
      <c r="BN34" s="10"/>
      <c r="BO34" s="11"/>
      <c r="BP34" s="12"/>
      <c r="BQ34" s="10"/>
      <c r="BR34" s="11"/>
      <c r="BS34" s="12"/>
      <c r="BT34" s="10"/>
      <c r="BU34" s="11"/>
      <c r="BV34" s="12"/>
      <c r="BW34" s="10"/>
      <c r="BX34" s="11"/>
      <c r="BY34" s="12"/>
      <c r="BZ34" s="10"/>
      <c r="CA34" s="11"/>
      <c r="CB34" s="12"/>
      <c r="CC34" s="10"/>
      <c r="CD34" s="11"/>
      <c r="CE34" s="12"/>
      <c r="CF34" s="10"/>
      <c r="CG34" s="11"/>
      <c r="CH34" s="12"/>
      <c r="CI34" s="10"/>
      <c r="CJ34" s="11"/>
      <c r="CK34" s="12"/>
      <c r="CL34" s="10"/>
      <c r="CM34" s="11"/>
      <c r="CN34" s="12"/>
      <c r="CO34" s="10"/>
      <c r="CP34" s="11"/>
      <c r="CQ34" s="12"/>
      <c r="CR34" s="10"/>
      <c r="CS34" s="11"/>
      <c r="CT34" s="12"/>
      <c r="CU34" s="10"/>
      <c r="CV34" s="11"/>
      <c r="CW34" s="12"/>
    </row>
    <row r="35" spans="1:101">
      <c r="A35" s="3" t="s">
        <v>59</v>
      </c>
      <c r="B35" s="3" t="s">
        <v>60</v>
      </c>
      <c r="C35" s="29">
        <v>-727799</v>
      </c>
      <c r="D35" s="30">
        <f t="shared" si="0"/>
        <v>727799</v>
      </c>
      <c r="E35" s="31">
        <f t="shared" si="2"/>
        <v>0</v>
      </c>
      <c r="F35" s="22" t="s">
        <v>174</v>
      </c>
      <c r="G35">
        <v>31456</v>
      </c>
      <c r="H35" s="13">
        <v>300</v>
      </c>
      <c r="I35" s="22" t="s">
        <v>216</v>
      </c>
      <c r="J35">
        <v>388784</v>
      </c>
      <c r="K35" s="13">
        <v>1</v>
      </c>
      <c r="L35" s="22" t="s">
        <v>216</v>
      </c>
      <c r="M35">
        <v>-388784</v>
      </c>
      <c r="N35" s="13">
        <v>1</v>
      </c>
      <c r="O35" s="22" t="s">
        <v>197</v>
      </c>
      <c r="P35">
        <v>105421</v>
      </c>
      <c r="Q35" s="13">
        <v>300</v>
      </c>
      <c r="R35" s="22" t="s">
        <v>344</v>
      </c>
      <c r="S35">
        <v>54350</v>
      </c>
      <c r="T35" s="13">
        <v>140</v>
      </c>
      <c r="U35" s="22" t="s">
        <v>344</v>
      </c>
      <c r="V35">
        <v>126774</v>
      </c>
      <c r="W35" s="13">
        <v>140</v>
      </c>
      <c r="X35" s="22" t="s">
        <v>345</v>
      </c>
      <c r="Y35">
        <v>41360</v>
      </c>
      <c r="Z35" s="13">
        <v>190</v>
      </c>
      <c r="AA35" s="22" t="s">
        <v>346</v>
      </c>
      <c r="AB35">
        <v>99140</v>
      </c>
      <c r="AC35" s="13">
        <v>150</v>
      </c>
      <c r="AD35" s="22" t="s">
        <v>347</v>
      </c>
      <c r="AE35">
        <v>51310</v>
      </c>
      <c r="AF35" s="13">
        <v>195</v>
      </c>
      <c r="AG35" s="22" t="s">
        <v>348</v>
      </c>
      <c r="AH35">
        <v>18402</v>
      </c>
      <c r="AI35" s="13">
        <v>210</v>
      </c>
      <c r="AJ35" s="22" t="s">
        <v>349</v>
      </c>
      <c r="AK35">
        <v>44490</v>
      </c>
      <c r="AL35" s="13">
        <v>130</v>
      </c>
      <c r="AM35" s="22" t="s">
        <v>350</v>
      </c>
      <c r="AN35">
        <v>39980</v>
      </c>
      <c r="AO35" s="13">
        <v>200</v>
      </c>
      <c r="AP35" s="22" t="s">
        <v>351</v>
      </c>
      <c r="AQ35">
        <v>52140</v>
      </c>
      <c r="AR35" s="13">
        <v>180</v>
      </c>
      <c r="AS35" s="22" t="s">
        <v>352</v>
      </c>
      <c r="AT35">
        <v>15030</v>
      </c>
      <c r="AU35" s="13">
        <v>170</v>
      </c>
      <c r="AV35" s="22" t="s">
        <v>353</v>
      </c>
      <c r="AW35">
        <v>25366</v>
      </c>
      <c r="AX35" s="13">
        <v>2</v>
      </c>
      <c r="AY35" s="22" t="s">
        <v>354</v>
      </c>
      <c r="AZ35">
        <v>320608</v>
      </c>
      <c r="BA35" s="13" t="s">
        <v>167</v>
      </c>
      <c r="BB35" s="22" t="s">
        <v>355</v>
      </c>
      <c r="BC35">
        <v>17716</v>
      </c>
      <c r="BD35" s="13">
        <v>300</v>
      </c>
      <c r="BE35" s="22" t="s">
        <v>356</v>
      </c>
      <c r="BF35">
        <v>-315744</v>
      </c>
      <c r="BG35" s="13" t="s">
        <v>167</v>
      </c>
      <c r="BH35" s="22"/>
      <c r="BJ35" s="13"/>
      <c r="BK35" s="22"/>
      <c r="BM35" s="13"/>
      <c r="BN35" s="22"/>
      <c r="BP35" s="13"/>
      <c r="BQ35" s="22"/>
      <c r="BR35" s="25"/>
      <c r="BS35" s="13"/>
      <c r="BT35" s="22"/>
      <c r="BV35" s="13"/>
      <c r="BW35" s="10"/>
      <c r="BX35" s="11"/>
      <c r="BY35" s="12"/>
      <c r="BZ35" s="10"/>
      <c r="CA35" s="11"/>
      <c r="CB35" s="12"/>
      <c r="CC35" s="10"/>
      <c r="CD35" s="11"/>
      <c r="CE35" s="12"/>
      <c r="CF35" s="10"/>
      <c r="CG35" s="11"/>
      <c r="CH35" s="12"/>
      <c r="CI35" s="10"/>
      <c r="CJ35" s="11"/>
      <c r="CK35" s="12"/>
      <c r="CL35" s="10"/>
      <c r="CM35" s="11"/>
      <c r="CN35" s="12"/>
      <c r="CO35" s="10"/>
      <c r="CP35" s="11"/>
      <c r="CQ35" s="12"/>
      <c r="CR35" s="10"/>
      <c r="CS35" s="11"/>
      <c r="CT35" s="12"/>
      <c r="CU35" s="10"/>
      <c r="CV35" s="11"/>
      <c r="CW35" s="12"/>
    </row>
    <row r="36" spans="1:101">
      <c r="A36" s="3" t="s">
        <v>61</v>
      </c>
      <c r="B36" s="3" t="s">
        <v>62</v>
      </c>
      <c r="C36" s="29">
        <v>-234000</v>
      </c>
      <c r="D36" s="30">
        <f t="shared" si="0"/>
        <v>234000</v>
      </c>
      <c r="E36" s="31">
        <f t="shared" si="2"/>
        <v>0</v>
      </c>
      <c r="F36" s="22" t="s">
        <v>217</v>
      </c>
      <c r="G36">
        <v>165000</v>
      </c>
      <c r="H36" s="13" t="s">
        <v>167</v>
      </c>
      <c r="I36" s="22" t="s">
        <v>357</v>
      </c>
      <c r="J36">
        <v>26700</v>
      </c>
      <c r="K36" s="13">
        <v>180</v>
      </c>
      <c r="L36" s="22" t="s">
        <v>357</v>
      </c>
      <c r="M36">
        <v>42300</v>
      </c>
      <c r="N36" s="13">
        <v>130</v>
      </c>
      <c r="O36" s="10"/>
      <c r="P36" s="11"/>
      <c r="Q36" s="12"/>
      <c r="R36" s="10"/>
      <c r="S36" s="11"/>
      <c r="T36" s="12"/>
      <c r="U36" s="10"/>
      <c r="V36" s="11"/>
      <c r="W36" s="12"/>
      <c r="X36" s="10"/>
      <c r="Y36" s="11"/>
      <c r="Z36" s="12"/>
      <c r="AA36" s="10"/>
      <c r="AB36" s="11"/>
      <c r="AC36" s="12"/>
      <c r="AD36" s="10"/>
      <c r="AE36" s="11"/>
      <c r="AF36" s="12"/>
      <c r="AG36" s="10"/>
      <c r="AH36" s="11"/>
      <c r="AI36" s="12"/>
      <c r="AJ36" s="10"/>
      <c r="AK36" s="11"/>
      <c r="AL36" s="12"/>
      <c r="AM36" s="10"/>
      <c r="AN36" s="11"/>
      <c r="AO36" s="12"/>
      <c r="AP36" s="10"/>
      <c r="AQ36" s="11"/>
      <c r="AR36" s="12"/>
      <c r="AS36" s="10"/>
      <c r="AT36" s="11"/>
      <c r="AU36" s="12"/>
      <c r="AV36" s="10"/>
      <c r="AW36" s="11"/>
      <c r="AX36" s="12"/>
      <c r="AY36" s="10"/>
      <c r="AZ36" s="11"/>
      <c r="BA36" s="12"/>
      <c r="BB36" s="10"/>
      <c r="BC36" s="11"/>
      <c r="BD36" s="12"/>
      <c r="BE36" s="10"/>
      <c r="BF36" s="11"/>
      <c r="BG36" s="12"/>
      <c r="BH36" s="10"/>
      <c r="BI36" s="11"/>
      <c r="BJ36" s="12"/>
      <c r="BK36" s="10"/>
      <c r="BL36" s="11"/>
      <c r="BM36" s="12"/>
      <c r="BN36" s="10"/>
      <c r="BO36" s="11"/>
      <c r="BP36" s="12"/>
      <c r="BQ36" s="10"/>
      <c r="BR36" s="11"/>
      <c r="BS36" s="12"/>
      <c r="BT36" s="10"/>
      <c r="BU36" s="11"/>
      <c r="BV36" s="12"/>
      <c r="BW36" s="10"/>
      <c r="BX36" s="11"/>
      <c r="BY36" s="12"/>
      <c r="BZ36" s="10"/>
      <c r="CA36" s="11"/>
      <c r="CB36" s="12"/>
      <c r="CC36" s="10"/>
      <c r="CD36" s="11"/>
      <c r="CE36" s="12"/>
      <c r="CF36" s="10"/>
      <c r="CG36" s="11"/>
      <c r="CH36" s="12"/>
      <c r="CI36" s="10"/>
      <c r="CJ36" s="11"/>
      <c r="CK36" s="12"/>
      <c r="CL36" s="10"/>
      <c r="CM36" s="11"/>
      <c r="CN36" s="12"/>
      <c r="CO36" s="10"/>
      <c r="CP36" s="11"/>
      <c r="CQ36" s="12"/>
      <c r="CR36" s="10"/>
      <c r="CS36" s="11"/>
      <c r="CT36" s="12"/>
      <c r="CU36" s="10"/>
      <c r="CV36" s="11"/>
      <c r="CW36" s="12"/>
    </row>
    <row r="37" spans="1:101">
      <c r="A37" s="3" t="s">
        <v>200</v>
      </c>
      <c r="B37" s="3" t="s">
        <v>201</v>
      </c>
      <c r="C37" s="29">
        <v>0</v>
      </c>
      <c r="D37" s="30">
        <f t="shared" si="0"/>
        <v>0</v>
      </c>
      <c r="E37" s="31">
        <f t="shared" si="2"/>
        <v>0</v>
      </c>
      <c r="F37" s="22"/>
      <c r="H37" s="13"/>
      <c r="I37" s="10"/>
      <c r="J37" s="11"/>
      <c r="K37" s="12"/>
      <c r="L37" s="10"/>
      <c r="M37" s="11"/>
      <c r="N37" s="12"/>
      <c r="O37" s="10"/>
      <c r="P37" s="11"/>
      <c r="Q37" s="12"/>
      <c r="R37" s="11"/>
      <c r="S37" s="11"/>
      <c r="T37" s="11"/>
      <c r="U37" s="11"/>
      <c r="V37" s="11"/>
      <c r="W37" s="11"/>
      <c r="X37" s="10"/>
      <c r="Y37" s="11"/>
      <c r="Z37" s="12"/>
      <c r="AA37" s="10"/>
      <c r="AB37" s="11"/>
      <c r="AC37" s="12"/>
      <c r="AD37" s="10"/>
      <c r="AE37" s="11"/>
      <c r="AF37" s="12"/>
      <c r="AG37" s="10"/>
      <c r="AH37" s="11"/>
      <c r="AI37" s="12"/>
      <c r="AJ37" s="10"/>
      <c r="AK37" s="11"/>
      <c r="AL37" s="12"/>
      <c r="AM37" s="10"/>
      <c r="AN37" s="11"/>
      <c r="AO37" s="12"/>
      <c r="AP37" s="10"/>
      <c r="AQ37" s="11"/>
      <c r="AR37" s="12"/>
      <c r="AS37" s="10"/>
      <c r="AT37" s="11"/>
      <c r="AU37" s="12"/>
      <c r="AV37" s="10"/>
      <c r="AW37" s="11"/>
      <c r="AX37" s="12"/>
      <c r="AY37" s="10"/>
      <c r="AZ37" s="11"/>
      <c r="BA37" s="12"/>
      <c r="BB37" s="10"/>
      <c r="BC37" s="11"/>
      <c r="BD37" s="12"/>
      <c r="BE37" s="10"/>
      <c r="BF37" s="11"/>
      <c r="BG37" s="12"/>
      <c r="BH37" s="10"/>
      <c r="BI37" s="11"/>
      <c r="BJ37" s="12"/>
      <c r="BK37" s="10"/>
      <c r="BL37" s="11"/>
      <c r="BM37" s="12"/>
      <c r="BN37" s="10"/>
      <c r="BO37" s="11"/>
      <c r="BP37" s="12"/>
      <c r="BQ37" s="10"/>
      <c r="BR37" s="11"/>
      <c r="BS37" s="12"/>
      <c r="BT37" s="10"/>
      <c r="BU37" s="11"/>
      <c r="BV37" s="12"/>
      <c r="BW37" s="10"/>
      <c r="BX37" s="11"/>
      <c r="BY37" s="12"/>
      <c r="BZ37" s="10"/>
      <c r="CA37" s="11"/>
      <c r="CB37" s="12"/>
      <c r="CC37" s="10"/>
      <c r="CD37" s="11"/>
      <c r="CE37" s="12"/>
      <c r="CF37" s="10"/>
      <c r="CG37" s="11"/>
      <c r="CH37" s="12"/>
      <c r="CI37" s="10"/>
      <c r="CJ37" s="11"/>
      <c r="CK37" s="12"/>
      <c r="CL37" s="10"/>
      <c r="CM37" s="11"/>
      <c r="CN37" s="12"/>
      <c r="CO37" s="10"/>
      <c r="CP37" s="11"/>
      <c r="CQ37" s="12"/>
      <c r="CR37" s="10"/>
      <c r="CS37" s="11"/>
      <c r="CT37" s="12"/>
      <c r="CU37" s="10"/>
      <c r="CV37" s="11"/>
      <c r="CW37" s="12"/>
    </row>
    <row r="38" spans="1:101">
      <c r="A38" s="1" t="s">
        <v>63</v>
      </c>
      <c r="B38" s="1" t="s">
        <v>64</v>
      </c>
      <c r="C38" s="29">
        <v>-751610</v>
      </c>
      <c r="D38" s="30">
        <f t="shared" si="0"/>
        <v>751610</v>
      </c>
      <c r="E38" s="31">
        <f t="shared" si="2"/>
        <v>0</v>
      </c>
      <c r="F38" s="22" t="s">
        <v>136</v>
      </c>
      <c r="G38">
        <v>650217</v>
      </c>
      <c r="H38" s="13" t="s">
        <v>137</v>
      </c>
      <c r="I38" s="22" t="s">
        <v>138</v>
      </c>
      <c r="J38">
        <v>101393</v>
      </c>
      <c r="K38" s="13" t="s">
        <v>139</v>
      </c>
      <c r="L38" s="22"/>
      <c r="N38" s="13"/>
      <c r="O38" s="22"/>
      <c r="Q38" s="13"/>
      <c r="S38" s="25"/>
      <c r="V38" s="25"/>
      <c r="X38" s="22"/>
      <c r="Z38" s="13"/>
      <c r="AA38" s="22"/>
      <c r="AC38" s="13"/>
      <c r="AD38" s="22"/>
      <c r="AF38" s="13"/>
      <c r="AG38" s="10"/>
      <c r="AH38" s="11"/>
      <c r="AI38" s="12"/>
      <c r="AJ38" s="10"/>
      <c r="AK38" s="11"/>
      <c r="AL38" s="12"/>
      <c r="AM38" s="10"/>
      <c r="AN38" s="11"/>
      <c r="AO38" s="12"/>
      <c r="AP38" s="10"/>
      <c r="AQ38" s="11"/>
      <c r="AR38" s="12"/>
      <c r="AS38" s="10"/>
      <c r="AT38" s="11"/>
      <c r="AU38" s="12"/>
      <c r="AV38" s="10"/>
      <c r="AW38" s="11"/>
      <c r="AX38" s="12"/>
      <c r="AY38" s="10"/>
      <c r="AZ38" s="11"/>
      <c r="BA38" s="12"/>
      <c r="BB38" s="10"/>
      <c r="BC38" s="11"/>
      <c r="BD38" s="12"/>
      <c r="BE38" s="10"/>
      <c r="BF38" s="11"/>
      <c r="BG38" s="12"/>
      <c r="BH38" s="10"/>
      <c r="BI38" s="11"/>
      <c r="BJ38" s="12"/>
      <c r="BK38" s="10"/>
      <c r="BL38" s="11"/>
      <c r="BM38" s="12"/>
      <c r="BN38" s="10"/>
      <c r="BO38" s="11"/>
      <c r="BP38" s="12"/>
      <c r="BQ38" s="10"/>
      <c r="BR38" s="11"/>
      <c r="BS38" s="12"/>
      <c r="BT38" s="10"/>
      <c r="BU38" s="11"/>
      <c r="BV38" s="12"/>
      <c r="BW38" s="10"/>
      <c r="BX38" s="11"/>
      <c r="BY38" s="12"/>
      <c r="BZ38" s="10"/>
      <c r="CA38" s="11"/>
      <c r="CB38" s="12"/>
      <c r="CC38" s="10"/>
      <c r="CD38" s="11"/>
      <c r="CE38" s="12"/>
      <c r="CF38" s="10"/>
      <c r="CG38" s="11"/>
      <c r="CH38" s="12"/>
      <c r="CI38" s="10"/>
      <c r="CJ38" s="11"/>
      <c r="CK38" s="12"/>
      <c r="CL38" s="10"/>
      <c r="CM38" s="11"/>
      <c r="CN38" s="12"/>
      <c r="CO38" s="10"/>
      <c r="CP38" s="11"/>
      <c r="CQ38" s="12"/>
      <c r="CR38" s="10"/>
      <c r="CS38" s="11"/>
      <c r="CT38" s="12"/>
      <c r="CU38" s="10"/>
      <c r="CV38" s="11"/>
      <c r="CW38" s="12"/>
    </row>
    <row r="39" spans="1:101">
      <c r="A39" s="3" t="s">
        <v>65</v>
      </c>
      <c r="B39" s="3" t="s">
        <v>66</v>
      </c>
      <c r="C39" s="29">
        <v>-132656</v>
      </c>
      <c r="D39" s="30">
        <f t="shared" si="0"/>
        <v>132656</v>
      </c>
      <c r="E39" s="31">
        <f t="shared" si="2"/>
        <v>0</v>
      </c>
      <c r="F39" s="22" t="s">
        <v>202</v>
      </c>
      <c r="G39">
        <v>132656</v>
      </c>
      <c r="H39" s="13" t="s">
        <v>173</v>
      </c>
      <c r="I39" s="22"/>
      <c r="K39" s="13"/>
      <c r="L39" s="10"/>
      <c r="M39" s="11"/>
      <c r="N39" s="12"/>
      <c r="O39" s="10"/>
      <c r="P39" s="11"/>
      <c r="Q39" s="12"/>
      <c r="R39" s="10"/>
      <c r="S39" s="11"/>
      <c r="T39" s="12"/>
      <c r="U39" s="10"/>
      <c r="V39" s="11"/>
      <c r="W39" s="12"/>
      <c r="X39" s="10"/>
      <c r="Y39" s="11"/>
      <c r="Z39" s="12"/>
      <c r="AA39" s="10"/>
      <c r="AB39" s="11"/>
      <c r="AC39" s="12"/>
      <c r="AD39" s="10"/>
      <c r="AE39" s="11"/>
      <c r="AF39" s="12"/>
      <c r="AG39" s="10"/>
      <c r="AH39" s="11"/>
      <c r="AI39" s="12"/>
      <c r="AJ39" s="10"/>
      <c r="AK39" s="11"/>
      <c r="AL39" s="12"/>
      <c r="AM39" s="10"/>
      <c r="AN39" s="11"/>
      <c r="AO39" s="12"/>
      <c r="AP39" s="10"/>
      <c r="AQ39" s="11"/>
      <c r="AR39" s="12"/>
      <c r="AS39" s="10"/>
      <c r="AT39" s="11"/>
      <c r="AU39" s="12"/>
      <c r="AV39" s="10"/>
      <c r="AW39" s="11"/>
      <c r="AX39" s="12"/>
      <c r="AY39" s="10"/>
      <c r="AZ39" s="11"/>
      <c r="BA39" s="12"/>
      <c r="BB39" s="10"/>
      <c r="BC39" s="11"/>
      <c r="BD39" s="12"/>
      <c r="BE39" s="10"/>
      <c r="BF39" s="11"/>
      <c r="BG39" s="12"/>
      <c r="BH39" s="10"/>
      <c r="BI39" s="11"/>
      <c r="BJ39" s="12"/>
      <c r="BK39" s="10"/>
      <c r="BL39" s="11"/>
      <c r="BM39" s="12"/>
      <c r="BN39" s="10"/>
      <c r="BO39" s="11"/>
      <c r="BP39" s="12"/>
      <c r="BQ39" s="10"/>
      <c r="BR39" s="11"/>
      <c r="BS39" s="12"/>
      <c r="BT39" s="10"/>
      <c r="BU39" s="11"/>
      <c r="BV39" s="12"/>
      <c r="BW39" s="10"/>
      <c r="BX39" s="11"/>
      <c r="BY39" s="12"/>
      <c r="BZ39" s="10"/>
      <c r="CA39" s="11"/>
      <c r="CB39" s="12"/>
      <c r="CC39" s="10"/>
      <c r="CD39" s="11"/>
      <c r="CE39" s="12"/>
      <c r="CF39" s="10"/>
      <c r="CG39" s="11"/>
      <c r="CH39" s="12"/>
      <c r="CI39" s="10"/>
      <c r="CJ39" s="11"/>
      <c r="CK39" s="12"/>
      <c r="CL39" s="10"/>
      <c r="CM39" s="11"/>
      <c r="CN39" s="12"/>
      <c r="CO39" s="10"/>
      <c r="CP39" s="11"/>
      <c r="CQ39" s="12"/>
      <c r="CR39" s="10"/>
      <c r="CS39" s="11"/>
      <c r="CT39" s="12"/>
      <c r="CU39" s="10"/>
      <c r="CV39" s="11"/>
      <c r="CW39" s="12"/>
    </row>
    <row r="40" spans="1:101">
      <c r="A40" s="3" t="s">
        <v>67</v>
      </c>
      <c r="B40" s="3" t="s">
        <v>68</v>
      </c>
      <c r="C40" s="29">
        <v>-839257</v>
      </c>
      <c r="D40" s="30">
        <f t="shared" si="0"/>
        <v>839257</v>
      </c>
      <c r="E40" s="31">
        <f t="shared" si="2"/>
        <v>0</v>
      </c>
      <c r="F40" s="22" t="s">
        <v>161</v>
      </c>
      <c r="G40">
        <v>68062</v>
      </c>
      <c r="H40" s="13">
        <v>2</v>
      </c>
      <c r="I40" s="22" t="s">
        <v>161</v>
      </c>
      <c r="J40">
        <v>9564</v>
      </c>
      <c r="K40" s="13">
        <v>130</v>
      </c>
      <c r="L40" s="22" t="s">
        <v>161</v>
      </c>
      <c r="M40">
        <v>11619</v>
      </c>
      <c r="N40" s="13">
        <v>140</v>
      </c>
      <c r="O40" s="22" t="s">
        <v>161</v>
      </c>
      <c r="P40">
        <v>44873</v>
      </c>
      <c r="Q40" s="13">
        <v>150</v>
      </c>
      <c r="R40" s="22" t="s">
        <v>161</v>
      </c>
      <c r="S40">
        <v>55219</v>
      </c>
      <c r="T40" s="13">
        <v>170</v>
      </c>
      <c r="U40" s="22" t="s">
        <v>161</v>
      </c>
      <c r="V40">
        <v>11619</v>
      </c>
      <c r="W40" s="13">
        <v>180</v>
      </c>
      <c r="X40" s="22" t="s">
        <v>161</v>
      </c>
      <c r="Y40">
        <v>6962</v>
      </c>
      <c r="Z40" s="13">
        <v>185</v>
      </c>
      <c r="AA40" s="22" t="s">
        <v>161</v>
      </c>
      <c r="AB40">
        <v>536239</v>
      </c>
      <c r="AC40" s="13">
        <v>190</v>
      </c>
      <c r="AD40" s="22" t="s">
        <v>161</v>
      </c>
      <c r="AE40">
        <v>4258</v>
      </c>
      <c r="AF40" s="13">
        <v>195</v>
      </c>
      <c r="AG40" s="22" t="s">
        <v>161</v>
      </c>
      <c r="AH40">
        <v>37862</v>
      </c>
      <c r="AI40" s="13">
        <v>200</v>
      </c>
      <c r="AJ40" s="22" t="s">
        <v>161</v>
      </c>
      <c r="AK40">
        <v>52980</v>
      </c>
      <c r="AL40" s="13">
        <v>210</v>
      </c>
      <c r="AM40" s="22"/>
      <c r="AO40" s="13"/>
      <c r="AP40" s="10"/>
      <c r="AQ40" s="11"/>
      <c r="AR40" s="12"/>
      <c r="AS40" s="10"/>
      <c r="AT40" s="11"/>
      <c r="AU40" s="12"/>
      <c r="AV40" s="10"/>
      <c r="AW40" s="11"/>
      <c r="AX40" s="12"/>
      <c r="AY40" s="10"/>
      <c r="AZ40" s="11"/>
      <c r="BA40" s="12"/>
      <c r="BB40" s="10"/>
      <c r="BC40" s="11"/>
      <c r="BD40" s="12"/>
      <c r="BE40" s="10"/>
      <c r="BF40" s="11"/>
      <c r="BG40" s="12"/>
      <c r="BH40" s="10"/>
      <c r="BI40" s="11"/>
      <c r="BJ40" s="12"/>
      <c r="BK40" s="10"/>
      <c r="BL40" s="11"/>
      <c r="BM40" s="12"/>
      <c r="BN40" s="10"/>
      <c r="BO40" s="11"/>
      <c r="BP40" s="12"/>
      <c r="BQ40" s="10"/>
      <c r="BR40" s="11"/>
      <c r="BS40" s="12"/>
      <c r="BT40" s="10"/>
      <c r="BU40" s="11"/>
      <c r="BV40" s="12"/>
      <c r="BW40" s="10"/>
      <c r="BX40" s="11"/>
      <c r="BY40" s="12"/>
      <c r="BZ40" s="10"/>
      <c r="CA40" s="11"/>
      <c r="CB40" s="12"/>
      <c r="CC40" s="10"/>
      <c r="CD40" s="11"/>
      <c r="CE40" s="12"/>
      <c r="CF40" s="10"/>
      <c r="CG40" s="11"/>
      <c r="CH40" s="12"/>
      <c r="CI40" s="10"/>
      <c r="CJ40" s="11"/>
      <c r="CK40" s="12"/>
      <c r="CL40" s="10"/>
      <c r="CM40" s="11"/>
      <c r="CN40" s="12"/>
      <c r="CO40" s="10"/>
      <c r="CP40" s="11"/>
      <c r="CQ40" s="12"/>
      <c r="CR40" s="10"/>
      <c r="CS40" s="11"/>
      <c r="CT40" s="12"/>
      <c r="CU40" s="10"/>
      <c r="CV40" s="11"/>
      <c r="CW40" s="12"/>
    </row>
    <row r="41" spans="1:101">
      <c r="A41" s="3" t="s">
        <v>176</v>
      </c>
      <c r="B41" s="3" t="s">
        <v>177</v>
      </c>
      <c r="C41" s="29">
        <v>0</v>
      </c>
      <c r="D41" s="30">
        <f t="shared" si="0"/>
        <v>0</v>
      </c>
      <c r="E41" s="31">
        <f t="shared" si="2"/>
        <v>0</v>
      </c>
      <c r="F41" s="22"/>
      <c r="H41" s="13"/>
      <c r="J41" s="25"/>
      <c r="L41" s="22"/>
      <c r="N41" s="13"/>
      <c r="O41" s="22"/>
      <c r="Q41" s="13"/>
      <c r="R41" s="22"/>
      <c r="T41" s="13"/>
      <c r="U41" s="22"/>
      <c r="W41" s="13"/>
      <c r="X41" s="22"/>
      <c r="Z41" s="13"/>
      <c r="AA41" s="22"/>
      <c r="AC41" s="13"/>
      <c r="AD41" s="22"/>
      <c r="AF41" s="13"/>
      <c r="AG41" s="22"/>
      <c r="AI41" s="13"/>
      <c r="AJ41" s="22"/>
      <c r="AL41" s="13"/>
      <c r="AM41" s="10"/>
      <c r="AN41" s="11"/>
      <c r="AO41" s="12"/>
      <c r="AP41" s="10"/>
      <c r="AQ41" s="11"/>
      <c r="AR41" s="12"/>
      <c r="AS41" s="10"/>
      <c r="AT41" s="11"/>
      <c r="AU41" s="12"/>
      <c r="AV41" s="10"/>
      <c r="AW41" s="11"/>
      <c r="AX41" s="12"/>
      <c r="AY41" s="10"/>
      <c r="AZ41" s="11"/>
      <c r="BA41" s="12"/>
      <c r="BB41" s="10"/>
      <c r="BC41" s="11"/>
      <c r="BD41" s="12"/>
      <c r="BE41" s="10"/>
      <c r="BF41" s="11"/>
      <c r="BG41" s="12"/>
      <c r="BH41" s="10"/>
      <c r="BI41" s="11"/>
      <c r="BJ41" s="12"/>
      <c r="BK41" s="10"/>
      <c r="BL41" s="11"/>
      <c r="BM41" s="12"/>
      <c r="BN41" s="10"/>
      <c r="BO41" s="11"/>
      <c r="BP41" s="12"/>
      <c r="BQ41" s="10"/>
      <c r="BR41" s="11"/>
      <c r="BS41" s="12"/>
      <c r="BT41" s="10"/>
      <c r="BU41" s="11"/>
      <c r="BV41" s="12"/>
      <c r="BW41" s="10"/>
      <c r="BX41" s="11"/>
      <c r="BY41" s="12"/>
      <c r="BZ41" s="10"/>
      <c r="CA41" s="11"/>
      <c r="CB41" s="12"/>
      <c r="CC41" s="10"/>
      <c r="CD41" s="11"/>
      <c r="CE41" s="12"/>
      <c r="CF41" s="10"/>
      <c r="CG41" s="11"/>
      <c r="CH41" s="12"/>
      <c r="CI41" s="10"/>
      <c r="CJ41" s="11"/>
      <c r="CK41" s="12"/>
      <c r="CL41" s="10"/>
      <c r="CM41" s="11"/>
      <c r="CN41" s="12"/>
      <c r="CO41" s="10"/>
      <c r="CP41" s="11"/>
      <c r="CQ41" s="12"/>
      <c r="CR41" s="10"/>
      <c r="CS41" s="11"/>
      <c r="CT41" s="12"/>
      <c r="CU41" s="10"/>
      <c r="CV41" s="11"/>
      <c r="CW41" s="12"/>
    </row>
    <row r="42" spans="1:101">
      <c r="A42" s="3" t="s">
        <v>69</v>
      </c>
      <c r="B42" s="3" t="s">
        <v>70</v>
      </c>
      <c r="C42" s="29">
        <v>0</v>
      </c>
      <c r="D42" s="30">
        <f t="shared" si="0"/>
        <v>0</v>
      </c>
      <c r="E42" s="31">
        <f t="shared" si="2"/>
        <v>0</v>
      </c>
      <c r="F42" s="22"/>
      <c r="H42" s="13"/>
      <c r="I42" s="10"/>
      <c r="J42" s="11"/>
      <c r="K42" s="12"/>
      <c r="L42" s="10"/>
      <c r="M42" s="11"/>
      <c r="N42" s="12"/>
      <c r="O42" s="10"/>
      <c r="P42" s="11"/>
      <c r="Q42" s="12"/>
      <c r="R42" s="10"/>
      <c r="S42" s="11"/>
      <c r="T42" s="12"/>
      <c r="U42" s="10"/>
      <c r="V42" s="11"/>
      <c r="W42" s="12"/>
      <c r="X42" s="10"/>
      <c r="Y42" s="11"/>
      <c r="Z42" s="12"/>
      <c r="AA42" s="10"/>
      <c r="AB42" s="11"/>
      <c r="AC42" s="12"/>
      <c r="AD42" s="10"/>
      <c r="AE42" s="11"/>
      <c r="AF42" s="12"/>
      <c r="AG42" s="10"/>
      <c r="AH42" s="11"/>
      <c r="AI42" s="12"/>
      <c r="AJ42" s="10"/>
      <c r="AK42" s="11"/>
      <c r="AL42" s="12"/>
      <c r="AM42" s="10"/>
      <c r="AN42" s="11"/>
      <c r="AO42" s="12"/>
      <c r="AP42" s="10"/>
      <c r="AQ42" s="11"/>
      <c r="AR42" s="12"/>
      <c r="AS42" s="10"/>
      <c r="AT42" s="11"/>
      <c r="AU42" s="12"/>
      <c r="AV42" s="10"/>
      <c r="AW42" s="11"/>
      <c r="AX42" s="12"/>
      <c r="AY42" s="10"/>
      <c r="AZ42" s="11"/>
      <c r="BA42" s="12"/>
      <c r="BB42" s="10"/>
      <c r="BC42" s="11"/>
      <c r="BD42" s="12"/>
      <c r="BE42" s="10"/>
      <c r="BF42" s="11"/>
      <c r="BG42" s="12"/>
      <c r="BH42" s="10"/>
      <c r="BI42" s="11"/>
      <c r="BJ42" s="12"/>
      <c r="BK42" s="10"/>
      <c r="BL42" s="11"/>
      <c r="BM42" s="12"/>
      <c r="BN42" s="10"/>
      <c r="BO42" s="11"/>
      <c r="BP42" s="12"/>
      <c r="BQ42" s="10"/>
      <c r="BR42" s="11"/>
      <c r="BS42" s="12"/>
      <c r="BT42" s="10"/>
      <c r="BU42" s="11"/>
      <c r="BV42" s="12"/>
      <c r="BW42" s="10"/>
      <c r="BX42" s="11"/>
      <c r="BY42" s="12"/>
      <c r="BZ42" s="10"/>
      <c r="CA42" s="11"/>
      <c r="CB42" s="12"/>
      <c r="CC42" s="10"/>
      <c r="CD42" s="11"/>
      <c r="CE42" s="12"/>
      <c r="CF42" s="10"/>
      <c r="CG42" s="11"/>
      <c r="CH42" s="12"/>
      <c r="CI42" s="10"/>
      <c r="CJ42" s="11"/>
      <c r="CK42" s="12"/>
      <c r="CL42" s="10"/>
      <c r="CM42" s="11"/>
      <c r="CN42" s="12"/>
      <c r="CO42" s="10"/>
      <c r="CP42" s="11"/>
      <c r="CQ42" s="12"/>
      <c r="CR42" s="10"/>
      <c r="CS42" s="11"/>
      <c r="CT42" s="12"/>
      <c r="CU42" s="10"/>
      <c r="CV42" s="11"/>
      <c r="CW42" s="12"/>
    </row>
    <row r="43" spans="1:101">
      <c r="A43" s="3" t="s">
        <v>71</v>
      </c>
      <c r="B43" s="3" t="s">
        <v>72</v>
      </c>
      <c r="C43" s="29">
        <v>-591736</v>
      </c>
      <c r="D43" s="30">
        <f t="shared" si="0"/>
        <v>591736</v>
      </c>
      <c r="E43" s="31">
        <f t="shared" ref="E43:E59" si="3">+C43+D43</f>
        <v>0</v>
      </c>
      <c r="F43" s="22" t="s">
        <v>162</v>
      </c>
      <c r="G43">
        <v>591736</v>
      </c>
      <c r="H43" s="13" t="s">
        <v>147</v>
      </c>
      <c r="I43" s="10"/>
      <c r="J43" s="11"/>
      <c r="K43" s="12"/>
      <c r="L43" s="10"/>
      <c r="M43" s="11"/>
      <c r="N43" s="12"/>
      <c r="O43" s="10"/>
      <c r="P43" s="11"/>
      <c r="Q43" s="12"/>
      <c r="R43" s="10"/>
      <c r="S43" s="11"/>
      <c r="T43" s="12"/>
      <c r="U43" s="10"/>
      <c r="V43" s="11"/>
      <c r="W43" s="12"/>
      <c r="X43" s="10"/>
      <c r="Y43" s="11"/>
      <c r="Z43" s="12"/>
      <c r="AA43" s="10"/>
      <c r="AB43" s="11"/>
      <c r="AC43" s="12"/>
      <c r="AD43" s="10"/>
      <c r="AE43" s="11"/>
      <c r="AF43" s="12"/>
      <c r="AG43" s="10"/>
      <c r="AH43" s="11"/>
      <c r="AI43" s="12"/>
      <c r="AJ43" s="10"/>
      <c r="AK43" s="11"/>
      <c r="AL43" s="12"/>
      <c r="AM43" s="10"/>
      <c r="AN43" s="11"/>
      <c r="AO43" s="12"/>
      <c r="AP43" s="10"/>
      <c r="AQ43" s="11"/>
      <c r="AR43" s="12"/>
      <c r="AS43" s="10"/>
      <c r="AT43" s="11"/>
      <c r="AU43" s="12"/>
      <c r="AV43" s="10"/>
      <c r="AW43" s="11"/>
      <c r="AX43" s="12"/>
      <c r="AY43" s="10"/>
      <c r="AZ43" s="11"/>
      <c r="BA43" s="12"/>
      <c r="BB43" s="10"/>
      <c r="BC43" s="11"/>
      <c r="BD43" s="12"/>
      <c r="BE43" s="10"/>
      <c r="BF43" s="11"/>
      <c r="BG43" s="12"/>
      <c r="BH43" s="10"/>
      <c r="BI43" s="11"/>
      <c r="BJ43" s="12"/>
      <c r="BK43" s="10"/>
      <c r="BL43" s="11"/>
      <c r="BM43" s="12"/>
      <c r="BN43" s="10"/>
      <c r="BO43" s="11"/>
      <c r="BP43" s="12"/>
      <c r="BQ43" s="10"/>
      <c r="BR43" s="11"/>
      <c r="BS43" s="12"/>
      <c r="BT43" s="10"/>
      <c r="BU43" s="11"/>
      <c r="BV43" s="12"/>
      <c r="BW43" s="10"/>
      <c r="BX43" s="11"/>
      <c r="BY43" s="12"/>
      <c r="BZ43" s="10"/>
      <c r="CA43" s="11"/>
      <c r="CB43" s="12"/>
      <c r="CC43" s="10"/>
      <c r="CD43" s="11"/>
      <c r="CE43" s="12"/>
      <c r="CF43" s="10"/>
      <c r="CG43" s="11"/>
      <c r="CH43" s="12"/>
      <c r="CI43" s="10"/>
      <c r="CJ43" s="11"/>
      <c r="CK43" s="12"/>
      <c r="CL43" s="10"/>
      <c r="CM43" s="11"/>
      <c r="CN43" s="12"/>
      <c r="CO43" s="10"/>
      <c r="CP43" s="11"/>
      <c r="CQ43" s="12"/>
      <c r="CR43" s="10"/>
      <c r="CS43" s="11"/>
      <c r="CT43" s="12"/>
      <c r="CU43" s="10"/>
      <c r="CV43" s="11"/>
      <c r="CW43" s="12"/>
    </row>
    <row r="44" spans="1:101">
      <c r="A44" s="3" t="s">
        <v>73</v>
      </c>
      <c r="B44" s="3" t="s">
        <v>74</v>
      </c>
      <c r="C44" s="29">
        <v>-60958</v>
      </c>
      <c r="D44" s="30">
        <f>+G44+J44+M44+P44+S44+V44+Y44+AB44+AE44+AH44+AK44+AN44+AQ44+AT44+AW44+AZ44+BC44+BF44+BI44+BL44+BO44+BR44+BU44+BX44+CA44+CD44+CG44+CJ44+CM44+CP44+CS44</f>
        <v>60958</v>
      </c>
      <c r="E44" s="31">
        <f t="shared" si="3"/>
        <v>0</v>
      </c>
      <c r="F44" s="22" t="s">
        <v>140</v>
      </c>
      <c r="G44">
        <v>60958</v>
      </c>
      <c r="H44" s="13">
        <v>190</v>
      </c>
      <c r="I44" s="22"/>
      <c r="K44" s="13"/>
      <c r="L44" s="10"/>
      <c r="M44" s="11"/>
      <c r="N44" s="12"/>
      <c r="O44" s="10"/>
      <c r="P44" s="11"/>
      <c r="Q44" s="12"/>
      <c r="R44" s="10"/>
      <c r="S44" s="11"/>
      <c r="T44" s="12"/>
      <c r="U44" s="10"/>
      <c r="V44" s="11"/>
      <c r="W44" s="12"/>
      <c r="X44" s="10"/>
      <c r="Y44" s="11"/>
      <c r="Z44" s="12"/>
      <c r="AA44" s="10"/>
      <c r="AB44" s="11"/>
      <c r="AC44" s="12"/>
      <c r="AD44" s="10"/>
      <c r="AE44" s="11"/>
      <c r="AF44" s="12"/>
      <c r="AG44" s="10"/>
      <c r="AH44" s="11"/>
      <c r="AI44" s="12"/>
      <c r="AJ44" s="10"/>
      <c r="AK44" s="11"/>
      <c r="AL44" s="12"/>
      <c r="AM44" s="10"/>
      <c r="AN44" s="11"/>
      <c r="AO44" s="12"/>
      <c r="AP44" s="10"/>
      <c r="AQ44" s="11"/>
      <c r="AR44" s="12"/>
      <c r="AS44" s="10"/>
      <c r="AT44" s="11"/>
      <c r="AU44" s="12"/>
      <c r="AV44" s="10"/>
      <c r="AW44" s="11"/>
      <c r="AX44" s="12"/>
      <c r="AY44" s="10"/>
      <c r="AZ44" s="11"/>
      <c r="BA44" s="12"/>
      <c r="BB44" s="10"/>
      <c r="BC44" s="11"/>
      <c r="BD44" s="12"/>
      <c r="BE44" s="10"/>
      <c r="BF44" s="11"/>
      <c r="BG44" s="12"/>
      <c r="BH44" s="10"/>
      <c r="BI44" s="11"/>
      <c r="BJ44" s="12"/>
      <c r="BK44" s="10"/>
      <c r="BL44" s="11"/>
      <c r="BM44" s="12"/>
      <c r="BN44" s="10"/>
      <c r="BO44" s="11"/>
      <c r="BP44" s="12"/>
      <c r="BQ44" s="10"/>
      <c r="BR44" s="11"/>
      <c r="BS44" s="12"/>
      <c r="BT44" s="10"/>
      <c r="BU44" s="11"/>
      <c r="BV44" s="12"/>
      <c r="BW44" s="10"/>
      <c r="BX44" s="11"/>
      <c r="BY44" s="12"/>
      <c r="BZ44" s="10"/>
      <c r="CA44" s="11"/>
      <c r="CB44" s="12"/>
      <c r="CC44" s="10"/>
      <c r="CD44" s="11"/>
      <c r="CE44" s="12"/>
      <c r="CF44" s="10"/>
      <c r="CG44" s="11"/>
      <c r="CH44" s="12"/>
      <c r="CI44" s="10"/>
      <c r="CJ44" s="11"/>
      <c r="CK44" s="12"/>
      <c r="CL44" s="10"/>
      <c r="CM44" s="11"/>
      <c r="CN44" s="12"/>
      <c r="CO44" s="10"/>
      <c r="CP44" s="11"/>
      <c r="CQ44" s="12"/>
      <c r="CR44" s="10"/>
      <c r="CS44" s="11"/>
      <c r="CT44" s="12"/>
      <c r="CU44" s="10"/>
      <c r="CV44" s="11"/>
      <c r="CW44" s="12"/>
    </row>
    <row r="45" spans="1:101">
      <c r="A45" s="3" t="s">
        <v>75</v>
      </c>
      <c r="B45" s="3" t="s">
        <v>76</v>
      </c>
      <c r="C45" s="29">
        <v>-1513113</v>
      </c>
      <c r="D45" s="30">
        <f>+G45+J45+M45+P45+S45+V45+Y45+AB45+AE45+AH45+AK45+AN45+AQ45+AT45+AW45+AZ45+BC45+BF45+BI45+BL45+BO45+BR45+BU45+BX45+CA45+CD45+CG45+CJ45+CM45+CP45+CS45</f>
        <v>1513113</v>
      </c>
      <c r="E45" s="31">
        <f t="shared" si="3"/>
        <v>0</v>
      </c>
      <c r="F45" s="22" t="s">
        <v>169</v>
      </c>
      <c r="G45">
        <v>47198</v>
      </c>
      <c r="H45" s="13">
        <v>210</v>
      </c>
      <c r="I45" s="22" t="s">
        <v>225</v>
      </c>
      <c r="J45">
        <v>403540</v>
      </c>
      <c r="K45" s="13">
        <v>190</v>
      </c>
      <c r="L45" s="22" t="s">
        <v>225</v>
      </c>
      <c r="M45">
        <v>355316</v>
      </c>
      <c r="N45" s="13">
        <v>190</v>
      </c>
      <c r="O45" s="22" t="s">
        <v>225</v>
      </c>
      <c r="P45">
        <v>328850</v>
      </c>
      <c r="Q45" s="13">
        <v>190</v>
      </c>
      <c r="R45" s="22" t="s">
        <v>168</v>
      </c>
      <c r="S45">
        <v>17699</v>
      </c>
      <c r="T45" s="13">
        <v>180</v>
      </c>
      <c r="U45" s="22" t="s">
        <v>169</v>
      </c>
      <c r="V45">
        <v>47198</v>
      </c>
      <c r="W45" s="13">
        <v>170</v>
      </c>
      <c r="X45" s="22" t="s">
        <v>170</v>
      </c>
      <c r="Y45">
        <v>17699</v>
      </c>
      <c r="Z45" s="13">
        <v>150</v>
      </c>
      <c r="AA45" s="22" t="s">
        <v>199</v>
      </c>
      <c r="AB45">
        <v>35000</v>
      </c>
      <c r="AC45" s="13">
        <v>195</v>
      </c>
      <c r="AD45" s="22" t="s">
        <v>199</v>
      </c>
      <c r="AE45">
        <v>41325</v>
      </c>
      <c r="AF45" s="13">
        <v>195</v>
      </c>
      <c r="AG45" s="22" t="s">
        <v>171</v>
      </c>
      <c r="AH45">
        <v>23599</v>
      </c>
      <c r="AI45" s="13">
        <v>200</v>
      </c>
      <c r="AJ45" s="22" t="s">
        <v>168</v>
      </c>
      <c r="AK45">
        <v>21239</v>
      </c>
      <c r="AL45" s="13">
        <v>130</v>
      </c>
      <c r="AM45" s="22" t="s">
        <v>210</v>
      </c>
      <c r="AN45">
        <v>174450</v>
      </c>
      <c r="AO45" s="13" t="s">
        <v>167</v>
      </c>
      <c r="AP45" s="22"/>
      <c r="AR45" s="13"/>
      <c r="AS45" s="22"/>
      <c r="AU45" s="13"/>
      <c r="AV45" s="22"/>
      <c r="AX45" s="13"/>
      <c r="AY45" s="10"/>
      <c r="AZ45" s="11"/>
      <c r="BA45" s="12"/>
      <c r="BB45" s="10"/>
      <c r="BC45" s="11"/>
      <c r="BD45" s="12"/>
      <c r="BE45" s="10"/>
      <c r="BF45" s="11"/>
      <c r="BG45" s="12"/>
      <c r="BH45" s="10"/>
      <c r="BI45" s="11"/>
      <c r="BJ45" s="12"/>
      <c r="BK45" s="10"/>
      <c r="BL45" s="11"/>
      <c r="BM45" s="12"/>
      <c r="BN45" s="10"/>
      <c r="BO45" s="11"/>
      <c r="BP45" s="12"/>
      <c r="BQ45" s="10"/>
      <c r="BR45" s="11"/>
      <c r="BS45" s="12"/>
      <c r="BT45" s="10"/>
      <c r="BU45" s="11"/>
      <c r="BV45" s="12"/>
      <c r="BW45" s="10"/>
      <c r="BX45" s="11"/>
      <c r="BY45" s="12"/>
      <c r="BZ45" s="10"/>
      <c r="CA45" s="11"/>
      <c r="CB45" s="12"/>
      <c r="CC45" s="10"/>
      <c r="CD45" s="11"/>
      <c r="CE45" s="12"/>
      <c r="CF45" s="10"/>
      <c r="CG45" s="11"/>
      <c r="CH45" s="12"/>
      <c r="CI45" s="10"/>
      <c r="CJ45" s="11"/>
      <c r="CK45" s="12"/>
      <c r="CL45" s="10"/>
      <c r="CM45" s="11"/>
      <c r="CN45" s="12"/>
      <c r="CO45" s="10"/>
      <c r="CP45" s="11"/>
      <c r="CQ45" s="12"/>
      <c r="CR45" s="10"/>
      <c r="CS45" s="11"/>
      <c r="CT45" s="12"/>
      <c r="CU45" s="10"/>
      <c r="CV45" s="11"/>
      <c r="CW45" s="12"/>
    </row>
    <row r="46" spans="1:101">
      <c r="A46" s="3" t="s">
        <v>77</v>
      </c>
      <c r="B46" s="3" t="s">
        <v>78</v>
      </c>
      <c r="C46" s="29">
        <v>-642168</v>
      </c>
      <c r="D46" s="30">
        <f>+G46+J46+M46+P46+S46+V46+Y46+AB46+AE46+AH46+AK46+AN46+AQ46+AT46+AW46+AZ46+BC46+BF46+BI46+BL46+BO46+BR46+BU46+BX46+CA46+CD46+CG46+CJ46+CM46+CP46+CS46</f>
        <v>642168</v>
      </c>
      <c r="E46" s="31">
        <f t="shared" si="3"/>
        <v>0</v>
      </c>
      <c r="F46" s="22" t="s">
        <v>163</v>
      </c>
      <c r="G46">
        <v>642168</v>
      </c>
      <c r="H46" s="13" t="s">
        <v>175</v>
      </c>
      <c r="I46" s="22"/>
      <c r="K46" s="13"/>
      <c r="L46" s="10"/>
      <c r="M46" s="11"/>
      <c r="N46" s="12"/>
      <c r="O46" s="10"/>
      <c r="P46" s="11"/>
      <c r="Q46" s="12"/>
      <c r="R46" s="10"/>
      <c r="S46" s="11"/>
      <c r="T46" s="12"/>
      <c r="U46" s="10"/>
      <c r="V46" s="11"/>
      <c r="W46" s="12"/>
      <c r="X46" s="10"/>
      <c r="Y46" s="11"/>
      <c r="Z46" s="12"/>
      <c r="AA46" s="10"/>
      <c r="AB46" s="11"/>
      <c r="AC46" s="12"/>
      <c r="AD46" s="10"/>
      <c r="AE46" s="11"/>
      <c r="AF46" s="12"/>
      <c r="AG46" s="10"/>
      <c r="AH46" s="11"/>
      <c r="AI46" s="12"/>
      <c r="AJ46" s="10"/>
      <c r="AK46" s="11"/>
      <c r="AL46" s="12"/>
      <c r="AM46" s="10"/>
      <c r="AN46" s="11"/>
      <c r="AO46" s="12"/>
      <c r="AP46" s="10"/>
      <c r="AQ46" s="11"/>
      <c r="AR46" s="12"/>
      <c r="AS46" s="10"/>
      <c r="AT46" s="11"/>
      <c r="AU46" s="12"/>
      <c r="AV46" s="10"/>
      <c r="AW46" s="11"/>
      <c r="AX46" s="12"/>
      <c r="AY46" s="10"/>
      <c r="AZ46" s="11"/>
      <c r="BA46" s="12"/>
      <c r="BB46" s="10"/>
      <c r="BC46" s="11"/>
      <c r="BD46" s="12"/>
      <c r="BE46" s="10"/>
      <c r="BF46" s="11"/>
      <c r="BG46" s="12"/>
      <c r="BH46" s="10"/>
      <c r="BI46" s="11"/>
      <c r="BJ46" s="12"/>
      <c r="BK46" s="10"/>
      <c r="BL46" s="11"/>
      <c r="BM46" s="12"/>
      <c r="BN46" s="10"/>
      <c r="BO46" s="11"/>
      <c r="BP46" s="12"/>
      <c r="BQ46" s="10"/>
      <c r="BR46" s="11"/>
      <c r="BS46" s="12"/>
      <c r="BT46" s="10"/>
      <c r="BU46" s="11"/>
      <c r="BV46" s="12"/>
      <c r="BW46" s="10"/>
      <c r="BX46" s="11"/>
      <c r="BY46" s="12"/>
      <c r="BZ46" s="10"/>
      <c r="CA46" s="11"/>
      <c r="CB46" s="12"/>
      <c r="CC46" s="10"/>
      <c r="CD46" s="11"/>
      <c r="CE46" s="12"/>
      <c r="CF46" s="10"/>
      <c r="CG46" s="11"/>
      <c r="CH46" s="12"/>
      <c r="CI46" s="10"/>
      <c r="CJ46" s="11"/>
      <c r="CK46" s="12"/>
      <c r="CL46" s="10"/>
      <c r="CM46" s="11"/>
      <c r="CN46" s="12"/>
      <c r="CO46" s="10"/>
      <c r="CP46" s="11"/>
      <c r="CQ46" s="12"/>
      <c r="CR46" s="10"/>
      <c r="CS46" s="11"/>
      <c r="CT46" s="12"/>
      <c r="CU46" s="10"/>
      <c r="CV46" s="11"/>
      <c r="CW46" s="12"/>
    </row>
    <row r="47" spans="1:101">
      <c r="A47" s="3" t="s">
        <v>79</v>
      </c>
      <c r="B47" s="3" t="s">
        <v>80</v>
      </c>
      <c r="C47" s="29">
        <v>0</v>
      </c>
      <c r="D47" s="30">
        <f t="shared" si="0"/>
        <v>0</v>
      </c>
      <c r="E47" s="31">
        <f t="shared" si="3"/>
        <v>0</v>
      </c>
      <c r="F47" s="10"/>
      <c r="G47" s="11"/>
      <c r="H47" s="12"/>
      <c r="I47" s="10"/>
      <c r="J47" s="11"/>
      <c r="K47" s="12"/>
      <c r="L47" s="10"/>
      <c r="M47" s="11"/>
      <c r="N47" s="12"/>
      <c r="O47" s="10"/>
      <c r="P47" s="11"/>
      <c r="Q47" s="12"/>
      <c r="R47" s="10"/>
      <c r="S47" s="11"/>
      <c r="T47" s="12"/>
      <c r="U47" s="10"/>
      <c r="V47" s="11"/>
      <c r="W47" s="12"/>
      <c r="X47" s="10"/>
      <c r="Y47" s="11"/>
      <c r="Z47" s="12"/>
      <c r="AA47" s="10"/>
      <c r="AB47" s="11"/>
      <c r="AC47" s="12"/>
      <c r="AD47" s="10"/>
      <c r="AE47" s="11"/>
      <c r="AF47" s="12"/>
      <c r="AG47" s="10"/>
      <c r="AH47" s="11"/>
      <c r="AI47" s="12"/>
      <c r="AJ47" s="10"/>
      <c r="AK47" s="11"/>
      <c r="AL47" s="12"/>
      <c r="AM47" s="10"/>
      <c r="AN47" s="11"/>
      <c r="AO47" s="12"/>
      <c r="AP47" s="10"/>
      <c r="AQ47" s="11"/>
      <c r="AR47" s="12"/>
      <c r="AS47" s="10"/>
      <c r="AT47" s="11"/>
      <c r="AU47" s="12"/>
      <c r="AV47" s="10"/>
      <c r="AW47" s="11"/>
      <c r="AX47" s="12"/>
      <c r="AY47" s="10"/>
      <c r="AZ47" s="11"/>
      <c r="BA47" s="12"/>
      <c r="BB47" s="10"/>
      <c r="BC47" s="11"/>
      <c r="BD47" s="12"/>
      <c r="BE47" s="10"/>
      <c r="BF47" s="11"/>
      <c r="BG47" s="12"/>
      <c r="BH47" s="10"/>
      <c r="BI47" s="11"/>
      <c r="BJ47" s="12"/>
      <c r="BK47" s="10"/>
      <c r="BL47" s="11"/>
      <c r="BM47" s="12"/>
      <c r="BN47" s="10"/>
      <c r="BO47" s="11"/>
      <c r="BP47" s="12"/>
      <c r="BQ47" s="10"/>
      <c r="BR47" s="11"/>
      <c r="BS47" s="12"/>
      <c r="BT47" s="10"/>
      <c r="BU47" s="11"/>
      <c r="BV47" s="12"/>
      <c r="BW47" s="10"/>
      <c r="BX47" s="11"/>
      <c r="BY47" s="12"/>
      <c r="BZ47" s="10"/>
      <c r="CA47" s="11"/>
      <c r="CB47" s="12"/>
      <c r="CC47" s="10"/>
      <c r="CD47" s="11"/>
      <c r="CE47" s="12"/>
      <c r="CF47" s="10"/>
      <c r="CG47" s="11"/>
      <c r="CH47" s="12"/>
      <c r="CI47" s="10"/>
      <c r="CJ47" s="11"/>
      <c r="CK47" s="12"/>
      <c r="CL47" s="10"/>
      <c r="CM47" s="11"/>
      <c r="CN47" s="12"/>
      <c r="CO47" s="10"/>
      <c r="CP47" s="11"/>
      <c r="CQ47" s="12"/>
      <c r="CR47" s="10"/>
      <c r="CS47" s="11"/>
      <c r="CT47" s="12"/>
      <c r="CU47" s="10"/>
      <c r="CV47" s="11"/>
      <c r="CW47" s="12"/>
    </row>
    <row r="48" spans="1:101">
      <c r="A48" s="3" t="s">
        <v>81</v>
      </c>
      <c r="B48" s="3" t="s">
        <v>82</v>
      </c>
      <c r="C48" s="29">
        <v>-295630</v>
      </c>
      <c r="D48" s="30">
        <f>+G48+J48+M48+P48+S48+V48+Y48+AB48+AE48+AH48+AK48+AN48+AQ48+AT48+AW48+AZ48+BC48+BF48+BI48+BL48+BO48+BR48+BU48+BX48+CA48+CD48+CG48+CJ48+CM48+CP48+CS48</f>
        <v>295630</v>
      </c>
      <c r="E48" s="31">
        <f t="shared" si="3"/>
        <v>0</v>
      </c>
      <c r="F48" s="22" t="s">
        <v>218</v>
      </c>
      <c r="G48">
        <v>142640</v>
      </c>
      <c r="H48">
        <v>300</v>
      </c>
      <c r="I48" s="22" t="s">
        <v>358</v>
      </c>
      <c r="J48">
        <v>152990</v>
      </c>
      <c r="K48">
        <v>210</v>
      </c>
      <c r="L48" s="10"/>
      <c r="M48" s="11"/>
      <c r="N48" s="12"/>
      <c r="O48" s="10"/>
      <c r="P48" s="11"/>
      <c r="Q48" s="12"/>
      <c r="R48" s="10"/>
      <c r="S48" s="11"/>
      <c r="T48" s="12"/>
      <c r="U48" s="10"/>
      <c r="V48" s="11"/>
      <c r="W48" s="12"/>
      <c r="X48" s="10"/>
      <c r="Y48" s="11"/>
      <c r="Z48" s="12"/>
      <c r="AA48" s="10"/>
      <c r="AB48" s="11"/>
      <c r="AC48" s="12"/>
      <c r="AD48" s="10"/>
      <c r="AE48" s="11"/>
      <c r="AF48" s="12"/>
      <c r="AG48" s="10"/>
      <c r="AH48" s="11"/>
      <c r="AI48" s="12"/>
      <c r="AJ48" s="10"/>
      <c r="AK48" s="11"/>
      <c r="AL48" s="12"/>
      <c r="AM48" s="10"/>
      <c r="AN48" s="11"/>
      <c r="AO48" s="12"/>
      <c r="AP48" s="10"/>
      <c r="AQ48" s="11"/>
      <c r="AR48" s="12"/>
      <c r="AS48" s="10"/>
      <c r="AT48" s="11"/>
      <c r="AU48" s="12"/>
      <c r="AV48" s="10"/>
      <c r="AW48" s="11"/>
      <c r="AX48" s="12"/>
      <c r="AY48" s="10"/>
      <c r="AZ48" s="11"/>
      <c r="BA48" s="12"/>
      <c r="BB48" s="10"/>
      <c r="BC48" s="11"/>
      <c r="BD48" s="12"/>
      <c r="BE48" s="10"/>
      <c r="BF48" s="11"/>
      <c r="BG48" s="12"/>
      <c r="BH48" s="10"/>
      <c r="BI48" s="11"/>
      <c r="BJ48" s="12"/>
      <c r="BK48" s="10"/>
      <c r="BL48" s="11"/>
      <c r="BM48" s="12"/>
      <c r="BN48" s="10"/>
      <c r="BO48" s="11"/>
      <c r="BP48" s="12"/>
      <c r="BQ48" s="10"/>
      <c r="BR48" s="11"/>
      <c r="BS48" s="12"/>
      <c r="BT48" s="10"/>
      <c r="BU48" s="11"/>
      <c r="BV48" s="12"/>
      <c r="BW48" s="10"/>
      <c r="BX48" s="11"/>
      <c r="BY48" s="12"/>
      <c r="BZ48" s="10"/>
      <c r="CA48" s="11"/>
      <c r="CB48" s="12"/>
      <c r="CC48" s="10"/>
      <c r="CD48" s="11"/>
      <c r="CE48" s="12"/>
      <c r="CF48" s="10"/>
      <c r="CG48" s="11"/>
      <c r="CH48" s="12"/>
      <c r="CI48" s="10"/>
      <c r="CJ48" s="11"/>
      <c r="CK48" s="12"/>
      <c r="CL48" s="10"/>
      <c r="CM48" s="11"/>
      <c r="CN48" s="12"/>
      <c r="CO48" s="10"/>
      <c r="CP48" s="11"/>
      <c r="CQ48" s="12"/>
      <c r="CR48" s="10"/>
      <c r="CS48" s="11"/>
      <c r="CT48" s="12"/>
      <c r="CU48" s="10"/>
      <c r="CV48" s="11"/>
      <c r="CW48" s="12"/>
    </row>
    <row r="49" spans="1:101">
      <c r="A49" s="3" t="s">
        <v>83</v>
      </c>
      <c r="B49" s="3" t="s">
        <v>84</v>
      </c>
      <c r="C49" s="29">
        <v>-395336</v>
      </c>
      <c r="D49" s="30">
        <f>+G49+J49+M49+P49+S49+V49+Y49+AB49+AE49+AH49+AK49+AN49+AQ49+AT49+AW49+AZ49+BC49+BF49+BI49+BL49+BO49+BR49+BU49+BX49+CA49+CD49+CG49+CJ49+CM49+CP49+CS49</f>
        <v>395336</v>
      </c>
      <c r="E49" s="31">
        <f t="shared" si="3"/>
        <v>0</v>
      </c>
      <c r="F49" s="22" t="s">
        <v>141</v>
      </c>
      <c r="G49">
        <v>58184</v>
      </c>
      <c r="H49" t="s">
        <v>167</v>
      </c>
      <c r="I49" s="22" t="s">
        <v>141</v>
      </c>
      <c r="J49">
        <v>58806</v>
      </c>
      <c r="K49" s="13" t="s">
        <v>167</v>
      </c>
      <c r="L49" s="22" t="s">
        <v>141</v>
      </c>
      <c r="M49">
        <v>41730</v>
      </c>
      <c r="N49" s="13" t="s">
        <v>167</v>
      </c>
      <c r="O49" s="22" t="s">
        <v>141</v>
      </c>
      <c r="P49">
        <v>27204</v>
      </c>
      <c r="Q49" s="13" t="s">
        <v>167</v>
      </c>
      <c r="R49" s="22" t="s">
        <v>141</v>
      </c>
      <c r="S49">
        <v>41516</v>
      </c>
      <c r="T49" s="13" t="s">
        <v>167</v>
      </c>
      <c r="U49" s="22" t="s">
        <v>141</v>
      </c>
      <c r="V49">
        <v>20649</v>
      </c>
      <c r="W49" s="13" t="s">
        <v>167</v>
      </c>
      <c r="X49" s="22" t="s">
        <v>141</v>
      </c>
      <c r="Y49">
        <v>43956</v>
      </c>
      <c r="Z49" s="13" t="s">
        <v>167</v>
      </c>
      <c r="AA49" s="22" t="s">
        <v>141</v>
      </c>
      <c r="AB49">
        <v>32001</v>
      </c>
      <c r="AC49" s="13" t="s">
        <v>167</v>
      </c>
      <c r="AD49" s="22" t="s">
        <v>141</v>
      </c>
      <c r="AE49">
        <v>71290</v>
      </c>
      <c r="AF49" s="13" t="s">
        <v>167</v>
      </c>
      <c r="AG49" s="10"/>
      <c r="AH49" s="11"/>
      <c r="AI49" s="12"/>
      <c r="AJ49" s="10"/>
      <c r="AK49" s="11"/>
      <c r="AL49" s="12"/>
      <c r="AM49" s="10"/>
      <c r="AN49" s="11"/>
      <c r="AO49" s="12"/>
      <c r="AP49" s="10"/>
      <c r="AQ49" s="11"/>
      <c r="AR49" s="12"/>
      <c r="AS49" s="10"/>
      <c r="AT49" s="11"/>
      <c r="AU49" s="12"/>
      <c r="AV49" s="10"/>
      <c r="AW49" s="11"/>
      <c r="AX49" s="12"/>
      <c r="AY49" s="10"/>
      <c r="AZ49" s="11"/>
      <c r="BA49" s="12"/>
      <c r="BB49" s="10"/>
      <c r="BC49" s="11"/>
      <c r="BD49" s="12"/>
      <c r="BE49" s="10"/>
      <c r="BF49" s="11"/>
      <c r="BG49" s="12"/>
      <c r="BH49" s="10"/>
      <c r="BI49" s="11"/>
      <c r="BJ49" s="12"/>
      <c r="BK49" s="10"/>
      <c r="BL49" s="11"/>
      <c r="BM49" s="12"/>
      <c r="BN49" s="10"/>
      <c r="BO49" s="11"/>
      <c r="BP49" s="12"/>
      <c r="BQ49" s="10"/>
      <c r="BR49" s="11"/>
      <c r="BS49" s="12"/>
      <c r="BT49" s="10"/>
      <c r="BU49" s="11"/>
      <c r="BV49" s="12"/>
      <c r="BW49" s="10"/>
      <c r="BX49" s="11"/>
      <c r="BY49" s="12"/>
      <c r="BZ49" s="10"/>
      <c r="CA49" s="11"/>
      <c r="CB49" s="12"/>
      <c r="CC49" s="10"/>
      <c r="CD49" s="11"/>
      <c r="CE49" s="12"/>
      <c r="CF49" s="10"/>
      <c r="CG49" s="11"/>
      <c r="CH49" s="12"/>
      <c r="CI49" s="10"/>
      <c r="CJ49" s="11"/>
      <c r="CK49" s="12"/>
      <c r="CL49" s="10"/>
      <c r="CM49" s="11"/>
      <c r="CN49" s="12"/>
      <c r="CO49" s="10"/>
      <c r="CP49" s="11"/>
      <c r="CQ49" s="12"/>
      <c r="CR49" s="10"/>
      <c r="CS49" s="11"/>
      <c r="CT49" s="12"/>
      <c r="CU49" s="10"/>
      <c r="CV49" s="11"/>
      <c r="CW49" s="12"/>
    </row>
    <row r="50" spans="1:101">
      <c r="A50" s="3" t="s">
        <v>145</v>
      </c>
      <c r="B50" s="3" t="s">
        <v>146</v>
      </c>
      <c r="C50" s="29">
        <v>0</v>
      </c>
      <c r="D50" s="30">
        <f>+G50+J50+M50+P50+S50+V50+Y50+AB50+AE50+AH50+AK50+AN50+AQ50+AT50+AW50+AZ50+BC50+BF50+BI50+BL50+BO50+BR50+BU50+BX50+CA50+CD50+CG50+CJ50+CM50+CP50+CS50</f>
        <v>0</v>
      </c>
      <c r="E50" s="31">
        <f t="shared" si="3"/>
        <v>0</v>
      </c>
      <c r="F50" s="10"/>
      <c r="G50" s="11"/>
      <c r="H50" s="12"/>
      <c r="I50" s="10"/>
      <c r="J50" s="11"/>
      <c r="K50" s="12"/>
      <c r="L50" s="10"/>
      <c r="M50" s="11"/>
      <c r="N50" s="12"/>
      <c r="O50" s="10"/>
      <c r="P50" s="11"/>
      <c r="Q50" s="12"/>
      <c r="R50" s="10"/>
      <c r="S50" s="11"/>
      <c r="T50" s="12"/>
      <c r="U50" s="10"/>
      <c r="V50" s="11"/>
      <c r="W50" s="12"/>
      <c r="X50" s="10"/>
      <c r="Y50" s="11"/>
      <c r="Z50" s="12"/>
      <c r="AA50" s="10"/>
      <c r="AB50" s="11"/>
      <c r="AC50" s="12"/>
      <c r="AD50" s="10"/>
      <c r="AE50" s="11"/>
      <c r="AF50" s="12"/>
      <c r="AG50" s="10"/>
      <c r="AH50" s="11"/>
      <c r="AI50" s="12"/>
      <c r="AJ50" s="10"/>
      <c r="AK50" s="11"/>
      <c r="AL50" s="12"/>
      <c r="AM50" s="10"/>
      <c r="AN50" s="11"/>
      <c r="AO50" s="12"/>
      <c r="AP50" s="10"/>
      <c r="AQ50" s="11"/>
      <c r="AR50" s="12"/>
      <c r="AS50" s="10"/>
      <c r="AT50" s="11"/>
      <c r="AU50" s="12"/>
      <c r="AV50" s="10"/>
      <c r="AW50" s="11"/>
      <c r="AX50" s="12"/>
      <c r="AY50" s="10"/>
      <c r="AZ50" s="11"/>
      <c r="BA50" s="12"/>
      <c r="BB50" s="10"/>
      <c r="BC50" s="11"/>
      <c r="BD50" s="12"/>
      <c r="BE50" s="10"/>
      <c r="BF50" s="11"/>
      <c r="BG50" s="12"/>
      <c r="BH50" s="10"/>
      <c r="BI50" s="11"/>
      <c r="BJ50" s="12"/>
      <c r="BK50" s="10"/>
      <c r="BL50" s="11"/>
      <c r="BM50" s="12"/>
      <c r="BN50" s="10"/>
      <c r="BO50" s="11"/>
      <c r="BP50" s="12"/>
      <c r="BQ50" s="10"/>
      <c r="BR50" s="11"/>
      <c r="BS50" s="12"/>
      <c r="BT50" s="10"/>
      <c r="BU50" s="11"/>
      <c r="BV50" s="12"/>
      <c r="BW50" s="10"/>
      <c r="BX50" s="11"/>
      <c r="BY50" s="12"/>
      <c r="BZ50" s="10"/>
      <c r="CA50" s="11"/>
      <c r="CB50" s="12"/>
      <c r="CC50" s="10"/>
      <c r="CD50" s="11"/>
      <c r="CE50" s="12"/>
      <c r="CF50" s="10"/>
      <c r="CG50" s="11"/>
      <c r="CH50" s="12"/>
      <c r="CI50" s="10"/>
      <c r="CJ50" s="11"/>
      <c r="CK50" s="12"/>
      <c r="CL50" s="10"/>
      <c r="CM50" s="11"/>
      <c r="CN50" s="12"/>
      <c r="CO50" s="10"/>
      <c r="CP50" s="11"/>
      <c r="CQ50" s="12"/>
      <c r="CR50" s="10"/>
      <c r="CS50" s="11"/>
      <c r="CT50" s="12"/>
      <c r="CU50" s="10"/>
      <c r="CV50" s="11"/>
      <c r="CW50" s="12"/>
    </row>
    <row r="51" spans="1:101">
      <c r="A51" s="3" t="s">
        <v>85</v>
      </c>
      <c r="B51" s="3" t="s">
        <v>86</v>
      </c>
      <c r="C51" s="29">
        <v>-396238</v>
      </c>
      <c r="D51" s="30">
        <f t="shared" si="0"/>
        <v>396238</v>
      </c>
      <c r="E51" s="31">
        <f t="shared" si="3"/>
        <v>0</v>
      </c>
      <c r="F51" s="22" t="s">
        <v>142</v>
      </c>
      <c r="G51">
        <f>317221-101644</f>
        <v>215577</v>
      </c>
      <c r="H51">
        <v>2</v>
      </c>
      <c r="I51" s="22" t="s">
        <v>142</v>
      </c>
      <c r="J51">
        <v>132861</v>
      </c>
      <c r="K51">
        <v>2</v>
      </c>
      <c r="L51" s="22" t="s">
        <v>142</v>
      </c>
      <c r="M51">
        <v>25110</v>
      </c>
      <c r="N51">
        <v>2</v>
      </c>
      <c r="O51" s="22" t="s">
        <v>142</v>
      </c>
      <c r="P51">
        <v>13526</v>
      </c>
      <c r="Q51">
        <v>2</v>
      </c>
      <c r="R51" s="22" t="s">
        <v>359</v>
      </c>
      <c r="S51">
        <v>9164</v>
      </c>
      <c r="T51">
        <v>2</v>
      </c>
      <c r="U51" s="22"/>
      <c r="X51" s="22"/>
      <c r="AA51" s="10"/>
      <c r="AB51" s="11"/>
      <c r="AC51" s="12"/>
      <c r="AD51" s="10"/>
      <c r="AE51" s="11"/>
      <c r="AF51" s="12"/>
      <c r="AG51" s="10"/>
      <c r="AH51" s="11"/>
      <c r="AI51" s="12"/>
      <c r="AJ51" s="10"/>
      <c r="AK51" s="11"/>
      <c r="AL51" s="12"/>
      <c r="AM51" s="10"/>
      <c r="AN51" s="11"/>
      <c r="AO51" s="12"/>
      <c r="AP51" s="10"/>
      <c r="AQ51" s="11"/>
      <c r="AR51" s="12"/>
      <c r="AS51" s="10"/>
      <c r="AT51" s="11"/>
      <c r="AU51" s="12"/>
      <c r="AV51" s="10"/>
      <c r="AW51" s="11"/>
      <c r="AX51" s="12"/>
      <c r="AY51" s="10"/>
      <c r="AZ51" s="11"/>
      <c r="BA51" s="12"/>
      <c r="BB51" s="10"/>
      <c r="BC51" s="11"/>
      <c r="BD51" s="12"/>
      <c r="BE51" s="10"/>
      <c r="BF51" s="11"/>
      <c r="BG51" s="12"/>
      <c r="BH51" s="10"/>
      <c r="BI51" s="11"/>
      <c r="BJ51" s="12"/>
      <c r="BK51" s="10"/>
      <c r="BL51" s="11"/>
      <c r="BM51" s="12"/>
      <c r="BN51" s="10"/>
      <c r="BO51" s="11"/>
      <c r="BP51" s="12"/>
      <c r="BQ51" s="10"/>
      <c r="BR51" s="11"/>
      <c r="BS51" s="12"/>
      <c r="BT51" s="10"/>
      <c r="BU51" s="11"/>
      <c r="BV51" s="12"/>
      <c r="BW51" s="10"/>
      <c r="BX51" s="11"/>
      <c r="BY51" s="12"/>
      <c r="BZ51" s="10"/>
      <c r="CA51" s="11"/>
      <c r="CB51" s="12"/>
      <c r="CC51" s="10"/>
      <c r="CD51" s="11"/>
      <c r="CE51" s="12"/>
      <c r="CF51" s="10"/>
      <c r="CG51" s="11"/>
      <c r="CH51" s="12"/>
      <c r="CI51" s="10"/>
      <c r="CJ51" s="11"/>
      <c r="CK51" s="12"/>
      <c r="CL51" s="10"/>
      <c r="CM51" s="11"/>
      <c r="CN51" s="12"/>
      <c r="CO51" s="10"/>
      <c r="CP51" s="11"/>
      <c r="CQ51" s="12"/>
      <c r="CR51" s="10"/>
      <c r="CS51" s="11"/>
      <c r="CT51" s="12"/>
      <c r="CU51" s="10"/>
      <c r="CV51" s="11"/>
      <c r="CW51" s="12"/>
    </row>
    <row r="52" spans="1:101">
      <c r="A52" s="3" t="s">
        <v>87</v>
      </c>
      <c r="B52" s="3" t="s">
        <v>88</v>
      </c>
      <c r="C52" s="29">
        <v>-2544797</v>
      </c>
      <c r="D52" s="30">
        <f t="shared" si="0"/>
        <v>2544797</v>
      </c>
      <c r="E52" s="31">
        <f t="shared" si="3"/>
        <v>0</v>
      </c>
      <c r="F52" s="22" t="s">
        <v>165</v>
      </c>
      <c r="G52">
        <v>-25715</v>
      </c>
      <c r="H52" t="s">
        <v>143</v>
      </c>
      <c r="I52" s="22" t="s">
        <v>165</v>
      </c>
      <c r="J52">
        <v>-11758</v>
      </c>
      <c r="K52" s="13" t="s">
        <v>143</v>
      </c>
      <c r="L52" s="22" t="s">
        <v>178</v>
      </c>
      <c r="M52">
        <v>1813774</v>
      </c>
      <c r="N52" s="13" t="s">
        <v>143</v>
      </c>
      <c r="O52" t="s">
        <v>178</v>
      </c>
      <c r="P52">
        <v>-343</v>
      </c>
      <c r="Q52" s="13" t="s">
        <v>143</v>
      </c>
      <c r="R52" t="s">
        <v>203</v>
      </c>
      <c r="S52">
        <v>768839</v>
      </c>
      <c r="T52" t="s">
        <v>167</v>
      </c>
      <c r="U52" s="10"/>
      <c r="V52" s="11"/>
      <c r="W52" s="12"/>
      <c r="X52" s="10"/>
      <c r="Y52" s="11"/>
      <c r="Z52" s="12"/>
      <c r="AA52" s="10"/>
      <c r="AB52" s="11"/>
      <c r="AC52" s="12"/>
      <c r="AD52" s="10"/>
      <c r="AE52" s="11"/>
      <c r="AF52" s="12"/>
      <c r="AG52" s="10"/>
      <c r="AH52" s="11"/>
      <c r="AI52" s="12"/>
      <c r="AJ52" s="10"/>
      <c r="AK52" s="11"/>
      <c r="AL52" s="12"/>
      <c r="AM52" s="10"/>
      <c r="AN52" s="11"/>
      <c r="AO52" s="12"/>
      <c r="AP52" s="10"/>
      <c r="AQ52" s="11"/>
      <c r="AR52" s="12"/>
      <c r="AS52" s="10"/>
      <c r="AT52" s="11"/>
      <c r="AU52" s="12"/>
      <c r="AV52" s="10"/>
      <c r="AW52" s="11"/>
      <c r="AX52" s="12"/>
      <c r="AY52" s="10"/>
      <c r="AZ52" s="11"/>
      <c r="BA52" s="12"/>
      <c r="BB52" s="10"/>
      <c r="BC52" s="11"/>
      <c r="BD52" s="12"/>
      <c r="BE52" s="10"/>
      <c r="BF52" s="11"/>
      <c r="BG52" s="12"/>
      <c r="BH52" s="10"/>
      <c r="BI52" s="11"/>
      <c r="BJ52" s="12"/>
      <c r="BK52" s="10"/>
      <c r="BL52" s="11"/>
      <c r="BM52" s="12"/>
      <c r="BN52" s="10"/>
      <c r="BO52" s="11"/>
      <c r="BP52" s="12"/>
      <c r="BQ52" s="10"/>
      <c r="BR52" s="11"/>
      <c r="BS52" s="12"/>
      <c r="BT52" s="10"/>
      <c r="BU52" s="11"/>
      <c r="BV52" s="12"/>
      <c r="BW52" s="10"/>
      <c r="BX52" s="11"/>
      <c r="BY52" s="12"/>
      <c r="BZ52" s="10"/>
      <c r="CA52" s="11"/>
      <c r="CB52" s="12"/>
      <c r="CC52" s="10"/>
      <c r="CD52" s="11"/>
      <c r="CE52" s="12"/>
      <c r="CF52" s="10"/>
      <c r="CG52" s="11"/>
      <c r="CH52" s="12"/>
      <c r="CI52" s="10"/>
      <c r="CJ52" s="11"/>
      <c r="CK52" s="12"/>
      <c r="CL52" s="10"/>
      <c r="CM52" s="11"/>
      <c r="CN52" s="12"/>
      <c r="CO52" s="10"/>
      <c r="CP52" s="11"/>
      <c r="CQ52" s="12"/>
      <c r="CR52" s="10"/>
      <c r="CS52" s="11"/>
      <c r="CT52" s="12"/>
      <c r="CU52" s="10"/>
      <c r="CV52" s="11"/>
      <c r="CW52" s="12"/>
    </row>
    <row r="53" spans="1:101">
      <c r="A53" s="3" t="s">
        <v>158</v>
      </c>
      <c r="B53" s="3" t="s">
        <v>159</v>
      </c>
      <c r="C53" s="29">
        <v>-801612</v>
      </c>
      <c r="D53" s="30">
        <f t="shared" si="0"/>
        <v>801612</v>
      </c>
      <c r="E53" s="31">
        <f t="shared" si="3"/>
        <v>0</v>
      </c>
      <c r="F53" s="22" t="s">
        <v>125</v>
      </c>
      <c r="G53">
        <v>196439</v>
      </c>
      <c r="H53">
        <v>140</v>
      </c>
      <c r="I53" s="22" t="s">
        <v>125</v>
      </c>
      <c r="J53">
        <v>299160</v>
      </c>
      <c r="K53">
        <v>200</v>
      </c>
      <c r="L53" s="22" t="s">
        <v>125</v>
      </c>
      <c r="M53">
        <v>306013</v>
      </c>
      <c r="N53">
        <v>210</v>
      </c>
      <c r="O53" s="10"/>
      <c r="P53" s="11"/>
      <c r="Q53" s="12"/>
      <c r="R53" s="10"/>
      <c r="S53" s="11"/>
      <c r="T53" s="12"/>
      <c r="U53" s="10"/>
      <c r="V53" s="11"/>
      <c r="W53" s="12"/>
      <c r="X53" s="10"/>
      <c r="Y53" s="11"/>
      <c r="Z53" s="12"/>
      <c r="AA53" s="10"/>
      <c r="AB53" s="11"/>
      <c r="AC53" s="12"/>
      <c r="AD53" s="10"/>
      <c r="AE53" s="11"/>
      <c r="AF53" s="12"/>
      <c r="AG53" s="10"/>
      <c r="AH53" s="11"/>
      <c r="AI53" s="12"/>
      <c r="AJ53" s="10"/>
      <c r="AK53" s="11"/>
      <c r="AL53" s="12"/>
      <c r="AM53" s="10"/>
      <c r="AN53" s="11"/>
      <c r="AO53" s="12"/>
      <c r="AP53" s="10"/>
      <c r="AQ53" s="11"/>
      <c r="AR53" s="12"/>
      <c r="AS53" s="10"/>
      <c r="AT53" s="11"/>
      <c r="AU53" s="12"/>
      <c r="AV53" s="10"/>
      <c r="AW53" s="11"/>
      <c r="AX53" s="12"/>
      <c r="AY53" s="10"/>
      <c r="AZ53" s="11"/>
      <c r="BA53" s="12"/>
      <c r="BB53" s="10"/>
      <c r="BC53" s="11"/>
      <c r="BD53" s="12"/>
      <c r="BE53" s="10"/>
      <c r="BF53" s="11"/>
      <c r="BG53" s="12"/>
      <c r="BH53" s="10"/>
      <c r="BI53" s="11"/>
      <c r="BJ53" s="12"/>
      <c r="BK53" s="10"/>
      <c r="BL53" s="11"/>
      <c r="BM53" s="12"/>
      <c r="BN53" s="10"/>
      <c r="BO53" s="11"/>
      <c r="BP53" s="12"/>
      <c r="BQ53" s="10"/>
      <c r="BR53" s="11"/>
      <c r="BS53" s="12"/>
      <c r="BT53" s="10"/>
      <c r="BU53" s="11"/>
      <c r="BV53" s="12"/>
      <c r="BW53" s="10"/>
      <c r="BX53" s="11"/>
      <c r="BY53" s="12"/>
      <c r="BZ53" s="10"/>
      <c r="CA53" s="11"/>
      <c r="CB53" s="12"/>
      <c r="CC53" s="10"/>
      <c r="CD53" s="11"/>
      <c r="CE53" s="12"/>
      <c r="CF53" s="10"/>
      <c r="CG53" s="11"/>
      <c r="CH53" s="12"/>
      <c r="CI53" s="10"/>
      <c r="CJ53" s="11"/>
      <c r="CK53" s="12"/>
      <c r="CL53" s="10"/>
      <c r="CM53" s="11"/>
      <c r="CN53" s="12"/>
      <c r="CO53" s="10"/>
      <c r="CP53" s="11"/>
      <c r="CQ53" s="12"/>
      <c r="CR53" s="10"/>
      <c r="CS53" s="11"/>
      <c r="CT53" s="12"/>
      <c r="CU53" s="10"/>
      <c r="CV53" s="11"/>
      <c r="CW53" s="12"/>
    </row>
    <row r="54" spans="1:101">
      <c r="A54" s="3" t="s">
        <v>89</v>
      </c>
      <c r="B54" s="3" t="s">
        <v>90</v>
      </c>
      <c r="C54" s="29">
        <v>-125930</v>
      </c>
      <c r="D54" s="30">
        <f>+G54+J54+M54+P54+S54+V54+Y54+AB54+AE54+AH54+AK54+AN54+AQ54+AT54+AW54+AZ54+BC54+BF54+BI54+BL54+BO54+BR54+BU54+BX54+CA54+CD54+CG54+CJ54+CM54+CP54+CS54</f>
        <v>125930</v>
      </c>
      <c r="E54" s="31">
        <f t="shared" si="3"/>
        <v>0</v>
      </c>
      <c r="F54" s="22" t="s">
        <v>360</v>
      </c>
      <c r="G54">
        <v>125930</v>
      </c>
      <c r="H54" s="13">
        <v>2</v>
      </c>
      <c r="I54" s="22"/>
      <c r="K54" s="13"/>
      <c r="L54" s="22"/>
      <c r="N54" s="13"/>
      <c r="O54" s="22"/>
      <c r="Q54" s="13"/>
      <c r="R54" s="22"/>
      <c r="T54" s="13"/>
      <c r="U54" s="22"/>
      <c r="W54" s="13"/>
      <c r="X54" s="10"/>
      <c r="Y54" s="11"/>
      <c r="Z54" s="12"/>
      <c r="AA54" s="10"/>
      <c r="AB54" s="11"/>
      <c r="AC54" s="12"/>
      <c r="AD54" s="10"/>
      <c r="AE54" s="11"/>
      <c r="AF54" s="12"/>
      <c r="AG54" s="10"/>
      <c r="AH54" s="11"/>
      <c r="AI54" s="12"/>
      <c r="AJ54" s="10"/>
      <c r="AK54" s="11"/>
      <c r="AL54" s="12"/>
      <c r="AM54" s="10"/>
      <c r="AN54" s="11"/>
      <c r="AO54" s="12"/>
      <c r="AP54" s="10"/>
      <c r="AQ54" s="11"/>
      <c r="AR54" s="12"/>
      <c r="AS54" s="10"/>
      <c r="AT54" s="11"/>
      <c r="AU54" s="12"/>
      <c r="AV54" s="10"/>
      <c r="AW54" s="11"/>
      <c r="AX54" s="12"/>
      <c r="AY54" s="10"/>
      <c r="AZ54" s="11"/>
      <c r="BA54" s="12"/>
      <c r="BB54" s="10"/>
      <c r="BC54" s="11"/>
      <c r="BD54" s="12"/>
      <c r="BE54" s="10"/>
      <c r="BF54" s="11"/>
      <c r="BG54" s="12"/>
      <c r="BH54" s="10"/>
      <c r="BI54" s="11"/>
      <c r="BJ54" s="12"/>
      <c r="BK54" s="10"/>
      <c r="BL54" s="11"/>
      <c r="BM54" s="12"/>
      <c r="BN54" s="10"/>
      <c r="BO54" s="11"/>
      <c r="BP54" s="12"/>
      <c r="BQ54" s="10"/>
      <c r="BR54" s="11"/>
      <c r="BS54" s="12"/>
      <c r="BT54" s="10"/>
      <c r="BU54" s="11"/>
      <c r="BV54" s="12"/>
      <c r="BW54" s="10"/>
      <c r="BX54" s="11"/>
      <c r="BY54" s="12"/>
      <c r="BZ54" s="10"/>
      <c r="CA54" s="11"/>
      <c r="CB54" s="12"/>
      <c r="CC54" s="10"/>
      <c r="CD54" s="11"/>
      <c r="CE54" s="12"/>
      <c r="CF54" s="10"/>
      <c r="CG54" s="11"/>
      <c r="CH54" s="12"/>
      <c r="CI54" s="10"/>
      <c r="CJ54" s="11"/>
      <c r="CK54" s="12"/>
      <c r="CL54" s="10"/>
      <c r="CM54" s="11"/>
      <c r="CN54" s="12"/>
      <c r="CO54" s="10"/>
      <c r="CP54" s="11"/>
      <c r="CQ54" s="12"/>
      <c r="CR54" s="10"/>
      <c r="CS54" s="11"/>
      <c r="CT54" s="12"/>
      <c r="CU54" s="10"/>
      <c r="CV54" s="11"/>
      <c r="CW54" s="12"/>
    </row>
    <row r="55" spans="1:101">
      <c r="A55" s="3" t="s">
        <v>91</v>
      </c>
      <c r="B55" s="3" t="s">
        <v>92</v>
      </c>
      <c r="C55" s="29">
        <v>-1940660</v>
      </c>
      <c r="D55" s="30">
        <f>+G55+J55+M55+P55+S55+V55+Y55+AB55+AE55+AH55+AK55+AN55+AQ55+AT55+AW55+AZ55+BC55+BF55+BI55+BL55+BO55+BR55+BU55+BX55+CA55+CD55+CG55+CJ55+CM55+CP55+CS55</f>
        <v>1940660</v>
      </c>
      <c r="E55" s="31">
        <f t="shared" si="3"/>
        <v>0</v>
      </c>
      <c r="F55" s="22" t="s">
        <v>181</v>
      </c>
      <c r="G55">
        <v>1577609</v>
      </c>
      <c r="H55" s="13" t="s">
        <v>139</v>
      </c>
      <c r="I55" s="22" t="s">
        <v>182</v>
      </c>
      <c r="J55">
        <v>199407</v>
      </c>
      <c r="K55" s="13">
        <v>100</v>
      </c>
      <c r="L55" t="s">
        <v>361</v>
      </c>
      <c r="M55" s="25">
        <v>163644</v>
      </c>
      <c r="N55">
        <v>2</v>
      </c>
      <c r="O55" s="22"/>
      <c r="Q55" s="13"/>
      <c r="R55" s="22"/>
      <c r="T55" s="13"/>
      <c r="U55" s="22"/>
      <c r="W55" s="13"/>
      <c r="X55" s="22"/>
      <c r="AA55" s="22"/>
      <c r="AD55" s="10"/>
      <c r="AE55" s="11"/>
      <c r="AF55" s="12"/>
      <c r="AG55" s="10"/>
      <c r="AH55" s="11"/>
      <c r="AI55" s="12"/>
      <c r="AJ55" s="10"/>
      <c r="AK55" s="11"/>
      <c r="AL55" s="12"/>
      <c r="AM55" s="10"/>
      <c r="AN55" s="11"/>
      <c r="AO55" s="12"/>
      <c r="AP55" s="10"/>
      <c r="AQ55" s="11"/>
      <c r="AR55" s="12"/>
      <c r="AS55" s="10"/>
      <c r="AT55" s="11"/>
      <c r="AU55" s="12"/>
      <c r="AV55" s="10"/>
      <c r="AW55" s="11"/>
      <c r="AX55" s="12"/>
      <c r="AY55" s="10"/>
      <c r="AZ55" s="11"/>
      <c r="BA55" s="12"/>
      <c r="BB55" s="10"/>
      <c r="BC55" s="11"/>
      <c r="BD55" s="12"/>
      <c r="BE55" s="10"/>
      <c r="BF55" s="11"/>
      <c r="BG55" s="12"/>
      <c r="BH55" s="10"/>
      <c r="BI55" s="11"/>
      <c r="BJ55" s="12"/>
      <c r="BK55" s="10"/>
      <c r="BL55" s="11"/>
      <c r="BM55" s="12"/>
      <c r="BN55" s="10"/>
      <c r="BO55" s="11"/>
      <c r="BP55" s="12"/>
      <c r="BQ55" s="10"/>
      <c r="BR55" s="11"/>
      <c r="BS55" s="12"/>
      <c r="BT55" s="10"/>
      <c r="BU55" s="11"/>
      <c r="BV55" s="12"/>
      <c r="BW55" s="10"/>
      <c r="BX55" s="11"/>
      <c r="BY55" s="12"/>
      <c r="BZ55" s="10"/>
      <c r="CA55" s="11"/>
      <c r="CB55" s="12"/>
      <c r="CC55" s="10"/>
      <c r="CD55" s="11"/>
      <c r="CE55" s="12"/>
      <c r="CF55" s="10"/>
      <c r="CG55" s="11"/>
      <c r="CH55" s="12"/>
      <c r="CI55" s="10"/>
      <c r="CJ55" s="11"/>
      <c r="CK55" s="12"/>
      <c r="CL55" s="10"/>
      <c r="CM55" s="11"/>
      <c r="CN55" s="12"/>
      <c r="CO55" s="10"/>
      <c r="CP55" s="11"/>
      <c r="CQ55" s="12"/>
      <c r="CR55" s="10"/>
      <c r="CS55" s="11"/>
      <c r="CT55" s="12"/>
      <c r="CU55" s="10"/>
      <c r="CV55" s="11"/>
      <c r="CW55" s="12"/>
    </row>
    <row r="56" spans="1:101">
      <c r="A56" s="3" t="s">
        <v>93</v>
      </c>
      <c r="B56" s="3" t="s">
        <v>94</v>
      </c>
      <c r="C56" s="29">
        <v>-268932</v>
      </c>
      <c r="D56" s="30">
        <f t="shared" si="0"/>
        <v>268932</v>
      </c>
      <c r="E56" s="31">
        <f t="shared" si="3"/>
        <v>0</v>
      </c>
      <c r="F56" s="22" t="s">
        <v>219</v>
      </c>
      <c r="G56">
        <v>268932</v>
      </c>
      <c r="H56" s="13">
        <v>2</v>
      </c>
      <c r="I56" s="10"/>
      <c r="J56" s="11"/>
      <c r="K56" s="12"/>
      <c r="L56" s="10"/>
      <c r="M56" s="11"/>
      <c r="N56" s="12"/>
      <c r="O56" s="10"/>
      <c r="P56" s="11"/>
      <c r="Q56" s="12"/>
      <c r="R56" s="10"/>
      <c r="S56" s="11"/>
      <c r="T56" s="12"/>
      <c r="U56" s="10"/>
      <c r="V56" s="11"/>
      <c r="W56" s="12"/>
      <c r="X56" s="10"/>
      <c r="Y56" s="11"/>
      <c r="Z56" s="12"/>
      <c r="AA56" s="10"/>
      <c r="AB56" s="11"/>
      <c r="AC56" s="12"/>
      <c r="AD56" s="10"/>
      <c r="AE56" s="11"/>
      <c r="AF56" s="12"/>
      <c r="AG56" s="10"/>
      <c r="AH56" s="11"/>
      <c r="AI56" s="12"/>
      <c r="AJ56" s="10"/>
      <c r="AK56" s="11"/>
      <c r="AL56" s="12"/>
      <c r="AM56" s="10"/>
      <c r="AN56" s="11"/>
      <c r="AO56" s="12"/>
      <c r="AP56" s="10"/>
      <c r="AQ56" s="11"/>
      <c r="AR56" s="12"/>
      <c r="AS56" s="10"/>
      <c r="AT56" s="11"/>
      <c r="AU56" s="12"/>
      <c r="AV56" s="10"/>
      <c r="AW56" s="11"/>
      <c r="AX56" s="12"/>
      <c r="AY56" s="10"/>
      <c r="AZ56" s="11"/>
      <c r="BA56" s="12"/>
      <c r="BB56" s="10"/>
      <c r="BC56" s="11"/>
      <c r="BD56" s="12"/>
      <c r="BE56" s="10"/>
      <c r="BF56" s="11"/>
      <c r="BG56" s="12"/>
      <c r="BH56" s="10"/>
      <c r="BI56" s="11"/>
      <c r="BJ56" s="12"/>
      <c r="BK56" s="10"/>
      <c r="BL56" s="11"/>
      <c r="BM56" s="12"/>
      <c r="BN56" s="10"/>
      <c r="BO56" s="11"/>
      <c r="BP56" s="12"/>
      <c r="BQ56" s="10"/>
      <c r="BR56" s="11"/>
      <c r="BS56" s="12"/>
      <c r="BT56" s="10"/>
      <c r="BU56" s="11"/>
      <c r="BV56" s="12"/>
      <c r="BW56" s="10"/>
      <c r="BX56" s="11"/>
      <c r="BY56" s="12"/>
      <c r="BZ56" s="10"/>
      <c r="CA56" s="11"/>
      <c r="CB56" s="12"/>
      <c r="CC56" s="10"/>
      <c r="CD56" s="11"/>
      <c r="CE56" s="12"/>
      <c r="CF56" s="10"/>
      <c r="CG56" s="11"/>
      <c r="CH56" s="12"/>
      <c r="CI56" s="10"/>
      <c r="CJ56" s="11"/>
      <c r="CK56" s="12"/>
      <c r="CL56" s="10"/>
      <c r="CM56" s="11"/>
      <c r="CN56" s="12"/>
      <c r="CO56" s="10"/>
      <c r="CP56" s="11"/>
      <c r="CQ56" s="12"/>
      <c r="CR56" s="10"/>
      <c r="CS56" s="11"/>
      <c r="CT56" s="12"/>
      <c r="CU56" s="10"/>
      <c r="CV56" s="11"/>
      <c r="CW56" s="12"/>
    </row>
    <row r="57" spans="1:101">
      <c r="A57" s="3" t="s">
        <v>95</v>
      </c>
      <c r="B57" s="3" t="s">
        <v>96</v>
      </c>
      <c r="C57" s="29">
        <v>-541847</v>
      </c>
      <c r="D57" s="30">
        <f t="shared" si="0"/>
        <v>541847</v>
      </c>
      <c r="E57" s="31">
        <f t="shared" si="3"/>
        <v>0</v>
      </c>
      <c r="F57" s="22" t="s">
        <v>144</v>
      </c>
      <c r="G57">
        <v>541847</v>
      </c>
      <c r="H57" t="s">
        <v>167</v>
      </c>
      <c r="I57" s="22"/>
      <c r="L57" s="22"/>
      <c r="O57" s="22"/>
      <c r="R57" s="10"/>
      <c r="S57" s="11"/>
      <c r="T57" s="12"/>
      <c r="U57" s="10"/>
      <c r="V57" s="11"/>
      <c r="W57" s="12"/>
      <c r="X57" s="10"/>
      <c r="Y57" s="11"/>
      <c r="Z57" s="12"/>
      <c r="AA57" s="10"/>
      <c r="AB57" s="11"/>
      <c r="AC57" s="12"/>
      <c r="AD57" s="10"/>
      <c r="AE57" s="11"/>
      <c r="AF57" s="12"/>
      <c r="AG57" s="10"/>
      <c r="AH57" s="11"/>
      <c r="AI57" s="12"/>
      <c r="AJ57" s="10"/>
      <c r="AK57" s="11"/>
      <c r="AL57" s="12"/>
      <c r="AM57" s="10"/>
      <c r="AN57" s="11"/>
      <c r="AO57" s="12"/>
      <c r="AP57" s="10"/>
      <c r="AQ57" s="11"/>
      <c r="AR57" s="12"/>
      <c r="AS57" s="10"/>
      <c r="AT57" s="11"/>
      <c r="AU57" s="12"/>
      <c r="AV57" s="10"/>
      <c r="AW57" s="11"/>
      <c r="AX57" s="12"/>
      <c r="AY57" s="10"/>
      <c r="AZ57" s="11"/>
      <c r="BA57" s="12"/>
      <c r="BB57" s="10"/>
      <c r="BC57" s="11"/>
      <c r="BD57" s="12"/>
      <c r="BE57" s="10"/>
      <c r="BF57" s="11"/>
      <c r="BG57" s="12"/>
      <c r="BH57" s="10"/>
      <c r="BI57" s="11"/>
      <c r="BJ57" s="12"/>
      <c r="BK57" s="10"/>
      <c r="BL57" s="11"/>
      <c r="BM57" s="12"/>
      <c r="BN57" s="10"/>
      <c r="BO57" s="11"/>
      <c r="BP57" s="12"/>
      <c r="BQ57" s="10"/>
      <c r="BR57" s="11"/>
      <c r="BS57" s="12"/>
      <c r="BT57" s="10"/>
      <c r="BU57" s="11"/>
      <c r="BV57" s="12"/>
      <c r="BW57" s="10"/>
      <c r="BX57" s="11"/>
      <c r="BY57" s="12"/>
      <c r="BZ57" s="10"/>
      <c r="CA57" s="11"/>
      <c r="CB57" s="12"/>
      <c r="CC57" s="10"/>
      <c r="CD57" s="11"/>
      <c r="CE57" s="12"/>
      <c r="CF57" s="10"/>
      <c r="CG57" s="11"/>
      <c r="CH57" s="12"/>
      <c r="CI57" s="10"/>
      <c r="CJ57" s="11"/>
      <c r="CK57" s="12"/>
      <c r="CL57" s="10"/>
      <c r="CM57" s="11"/>
      <c r="CN57" s="12"/>
      <c r="CO57" s="10"/>
      <c r="CP57" s="11"/>
      <c r="CQ57" s="12"/>
      <c r="CR57" s="10"/>
      <c r="CS57" s="11"/>
      <c r="CT57" s="12"/>
      <c r="CU57" s="10"/>
      <c r="CV57" s="11"/>
      <c r="CW57" s="12"/>
    </row>
    <row r="58" spans="1:101">
      <c r="A58" s="3" t="s">
        <v>113</v>
      </c>
      <c r="B58" s="3" t="s">
        <v>114</v>
      </c>
      <c r="C58" s="29">
        <v>-3489821</v>
      </c>
      <c r="D58" s="30">
        <f t="shared" si="0"/>
        <v>3489821</v>
      </c>
      <c r="E58" s="31">
        <f t="shared" si="3"/>
        <v>0</v>
      </c>
      <c r="F58" s="22" t="s">
        <v>149</v>
      </c>
      <c r="G58">
        <v>270000</v>
      </c>
      <c r="H58">
        <v>3</v>
      </c>
      <c r="I58" s="22" t="s">
        <v>224</v>
      </c>
      <c r="J58">
        <v>47198</v>
      </c>
      <c r="K58">
        <v>3</v>
      </c>
      <c r="L58" s="22" t="s">
        <v>183</v>
      </c>
      <c r="M58">
        <v>471976</v>
      </c>
      <c r="N58">
        <v>3</v>
      </c>
      <c r="O58" s="22" t="s">
        <v>361</v>
      </c>
      <c r="P58">
        <v>2105180</v>
      </c>
      <c r="Q58">
        <v>3</v>
      </c>
      <c r="R58" s="22" t="s">
        <v>362</v>
      </c>
      <c r="S58">
        <v>595467</v>
      </c>
      <c r="T58">
        <v>3</v>
      </c>
      <c r="V58" s="25"/>
      <c r="X58" s="22"/>
      <c r="AA58" s="22"/>
      <c r="AD58" s="10"/>
      <c r="AE58" s="11"/>
      <c r="AF58" s="12"/>
      <c r="AG58" s="10"/>
      <c r="AH58" s="11"/>
      <c r="AI58" s="12"/>
      <c r="AJ58" s="10"/>
      <c r="AK58" s="11"/>
      <c r="AL58" s="12"/>
      <c r="AM58" s="10"/>
      <c r="AN58" s="11"/>
      <c r="AO58" s="12"/>
      <c r="AP58" s="10"/>
      <c r="AQ58" s="11"/>
      <c r="AR58" s="12"/>
      <c r="AS58" s="10"/>
      <c r="AT58" s="11"/>
      <c r="AU58" s="12"/>
      <c r="AV58" s="10"/>
      <c r="AW58" s="11"/>
      <c r="AX58" s="12"/>
      <c r="AY58" s="10"/>
      <c r="AZ58" s="11"/>
      <c r="BA58" s="12"/>
      <c r="BB58" s="10"/>
      <c r="BC58" s="11"/>
      <c r="BD58" s="12"/>
      <c r="BE58" s="10"/>
      <c r="BF58" s="11"/>
      <c r="BG58" s="12"/>
      <c r="BH58" s="10"/>
      <c r="BI58" s="11"/>
      <c r="BJ58" s="12"/>
      <c r="BK58" s="10"/>
      <c r="BL58" s="11"/>
      <c r="BM58" s="12"/>
      <c r="BN58" s="10"/>
      <c r="BO58" s="11"/>
      <c r="BP58" s="12"/>
      <c r="BQ58" s="10"/>
      <c r="BR58" s="11"/>
      <c r="BS58" s="12"/>
      <c r="BT58" s="10"/>
      <c r="BU58" s="11"/>
      <c r="BV58" s="12"/>
      <c r="BW58" s="10"/>
      <c r="BX58" s="11"/>
      <c r="BY58" s="12"/>
      <c r="BZ58" s="10"/>
      <c r="CA58" s="11"/>
      <c r="CB58" s="12"/>
      <c r="CC58" s="10"/>
      <c r="CD58" s="11"/>
      <c r="CE58" s="12"/>
      <c r="CF58" s="10"/>
      <c r="CG58" s="11"/>
      <c r="CH58" s="12"/>
      <c r="CI58" s="10"/>
      <c r="CJ58" s="11"/>
      <c r="CK58" s="12"/>
      <c r="CL58" s="10"/>
      <c r="CM58" s="11"/>
      <c r="CN58" s="12"/>
      <c r="CO58" s="10"/>
      <c r="CP58" s="11"/>
      <c r="CQ58" s="12"/>
      <c r="CR58" s="10"/>
      <c r="CS58" s="11"/>
      <c r="CT58" s="12"/>
      <c r="CU58" s="10"/>
      <c r="CV58" s="11"/>
      <c r="CW58" s="12"/>
    </row>
    <row r="59" spans="1:101">
      <c r="A59" s="3" t="s">
        <v>115</v>
      </c>
      <c r="B59" s="3" t="s">
        <v>116</v>
      </c>
      <c r="C59" s="29">
        <v>4004243</v>
      </c>
      <c r="D59" s="30">
        <f t="shared" si="0"/>
        <v>-4004243</v>
      </c>
      <c r="E59" s="31">
        <f t="shared" si="3"/>
        <v>0</v>
      </c>
      <c r="F59" s="22" t="s">
        <v>198</v>
      </c>
      <c r="G59">
        <v>56500</v>
      </c>
      <c r="H59" t="s">
        <v>167</v>
      </c>
      <c r="I59" s="22" t="s">
        <v>150</v>
      </c>
      <c r="J59">
        <v>114946</v>
      </c>
      <c r="K59" t="s">
        <v>167</v>
      </c>
      <c r="L59" s="22" t="s">
        <v>363</v>
      </c>
      <c r="M59">
        <v>24399</v>
      </c>
      <c r="N59">
        <v>2</v>
      </c>
      <c r="O59" s="22" t="s">
        <v>364</v>
      </c>
      <c r="P59">
        <v>26580</v>
      </c>
      <c r="Q59">
        <v>2</v>
      </c>
      <c r="R59" s="22" t="s">
        <v>365</v>
      </c>
      <c r="S59">
        <v>15970</v>
      </c>
      <c r="T59">
        <v>2</v>
      </c>
      <c r="U59" s="22" t="s">
        <v>366</v>
      </c>
      <c r="V59">
        <v>62263</v>
      </c>
      <c r="W59">
        <v>2</v>
      </c>
      <c r="X59" s="22" t="s">
        <v>367</v>
      </c>
      <c r="Y59">
        <v>13364</v>
      </c>
      <c r="Z59">
        <v>2</v>
      </c>
      <c r="AA59" s="22" t="s">
        <v>362</v>
      </c>
      <c r="AB59">
        <v>67235</v>
      </c>
      <c r="AC59" t="s">
        <v>167</v>
      </c>
      <c r="AD59" s="41" t="s">
        <v>368</v>
      </c>
      <c r="AE59" s="42">
        <v>-4385500</v>
      </c>
      <c r="AF59" s="13" t="s">
        <v>167</v>
      </c>
      <c r="AG59" s="22"/>
      <c r="AJ59" s="22"/>
      <c r="AM59" s="22"/>
      <c r="AQ59" s="25"/>
      <c r="AT59" s="25"/>
      <c r="AW59" s="25"/>
      <c r="AZ59" s="25"/>
      <c r="BB59" s="10"/>
      <c r="BC59" s="11"/>
      <c r="BD59" s="12"/>
      <c r="BE59" s="10"/>
      <c r="BF59" s="11"/>
      <c r="BG59" s="12"/>
      <c r="BH59" s="10"/>
      <c r="BI59" s="11"/>
      <c r="BJ59" s="12"/>
      <c r="BK59" s="10"/>
      <c r="BL59" s="11"/>
      <c r="BM59" s="12"/>
      <c r="BN59" s="10"/>
      <c r="BO59" s="11"/>
      <c r="BP59" s="12"/>
      <c r="BQ59" s="10"/>
      <c r="BR59" s="11"/>
      <c r="BS59" s="12"/>
      <c r="BT59" s="10"/>
      <c r="BU59" s="11"/>
      <c r="BV59" s="12"/>
      <c r="BW59" s="10"/>
      <c r="BX59" s="11"/>
      <c r="BY59" s="12"/>
      <c r="BZ59" s="10"/>
      <c r="CA59" s="11"/>
      <c r="CB59" s="12"/>
      <c r="CC59" s="10"/>
      <c r="CD59" s="11"/>
      <c r="CE59" s="12"/>
      <c r="CF59" s="10"/>
      <c r="CG59" s="11"/>
      <c r="CH59" s="12"/>
      <c r="CI59" s="10"/>
      <c r="CJ59" s="11"/>
      <c r="CK59" s="12"/>
      <c r="CL59" s="10"/>
      <c r="CM59" s="11"/>
      <c r="CN59" s="12"/>
      <c r="CO59" s="10"/>
      <c r="CP59" s="11"/>
      <c r="CQ59" s="12"/>
      <c r="CR59" s="10"/>
      <c r="CS59" s="11"/>
      <c r="CT59" s="12"/>
      <c r="CU59" s="10"/>
      <c r="CV59" s="11"/>
      <c r="CW59" s="12"/>
    </row>
    <row r="60" spans="1:101">
      <c r="A60" s="3" t="s">
        <v>109</v>
      </c>
      <c r="B60" s="3" t="s">
        <v>110</v>
      </c>
      <c r="C60" s="23">
        <v>-10034282</v>
      </c>
      <c r="D60" s="20"/>
      <c r="E60" s="20"/>
      <c r="F60" s="10"/>
      <c r="G60" s="11"/>
      <c r="H60" s="12"/>
      <c r="I60" s="10"/>
      <c r="J60" s="11"/>
      <c r="K60" s="12"/>
      <c r="L60" s="10"/>
      <c r="M60" s="11"/>
      <c r="N60" s="12"/>
      <c r="O60" s="10"/>
      <c r="P60" s="11"/>
      <c r="Q60" s="12"/>
      <c r="R60" s="10"/>
      <c r="S60" s="11"/>
      <c r="T60" s="12"/>
      <c r="U60" s="10"/>
      <c r="V60" s="11"/>
      <c r="W60" s="12"/>
      <c r="X60" s="10"/>
      <c r="Y60" s="11"/>
      <c r="Z60" s="12"/>
      <c r="AA60" s="10"/>
      <c r="AB60" s="11"/>
      <c r="AC60" s="12"/>
      <c r="AD60" s="10"/>
      <c r="AE60" s="11"/>
      <c r="AF60" s="12"/>
      <c r="AG60" s="10"/>
      <c r="AH60" s="11"/>
      <c r="AI60" s="12"/>
      <c r="AJ60" s="10"/>
      <c r="AK60" s="11"/>
      <c r="AL60" s="12"/>
      <c r="AM60" s="10"/>
      <c r="AN60" s="11"/>
      <c r="AO60" s="12"/>
      <c r="AP60" s="10"/>
      <c r="AQ60" s="11"/>
      <c r="AR60" s="12"/>
      <c r="AS60" s="10"/>
      <c r="AT60" s="11"/>
      <c r="AU60" s="12"/>
      <c r="AV60" s="10"/>
      <c r="AW60" s="11"/>
      <c r="AX60" s="12"/>
      <c r="AY60" s="10"/>
      <c r="AZ60" s="11"/>
      <c r="BA60" s="12"/>
      <c r="BB60" s="10"/>
      <c r="BC60" s="11"/>
      <c r="BD60" s="12"/>
      <c r="BE60" s="10"/>
      <c r="BF60" s="11"/>
      <c r="BG60" s="12"/>
      <c r="BH60" s="10"/>
      <c r="BI60" s="11"/>
      <c r="BJ60" s="12"/>
      <c r="BK60" s="10"/>
      <c r="BL60" s="11"/>
      <c r="BM60" s="12"/>
      <c r="BN60" s="10"/>
      <c r="BO60" s="11"/>
      <c r="BP60" s="12"/>
      <c r="BQ60" s="10"/>
      <c r="BR60" s="11"/>
      <c r="BS60" s="12"/>
      <c r="BT60" s="10"/>
      <c r="BU60" s="11"/>
      <c r="BV60" s="12"/>
      <c r="BW60" s="10"/>
      <c r="BX60" s="11"/>
      <c r="BY60" s="12"/>
      <c r="BZ60" s="10"/>
      <c r="CA60" s="11"/>
      <c r="CB60" s="12"/>
      <c r="CC60" s="10"/>
      <c r="CD60" s="11"/>
      <c r="CE60" s="12"/>
      <c r="CF60" s="10"/>
      <c r="CG60" s="11"/>
      <c r="CH60" s="12"/>
      <c r="CI60" s="10"/>
      <c r="CJ60" s="11"/>
      <c r="CK60" s="12"/>
      <c r="CL60" s="10"/>
      <c r="CM60" s="11"/>
      <c r="CN60" s="12"/>
      <c r="CO60" s="10"/>
      <c r="CP60" s="11"/>
      <c r="CQ60" s="12"/>
      <c r="CR60" s="10"/>
      <c r="CS60" s="11"/>
      <c r="CT60" s="12"/>
      <c r="CU60" s="10"/>
      <c r="CV60" s="11"/>
      <c r="CW60" s="12"/>
    </row>
    <row r="61" spans="1:101">
      <c r="A61" s="3" t="s">
        <v>160</v>
      </c>
      <c r="B61" s="3" t="s">
        <v>164</v>
      </c>
      <c r="C61" s="23">
        <v>-19355</v>
      </c>
      <c r="D61" s="20"/>
      <c r="E61" s="20"/>
      <c r="F61" s="10"/>
      <c r="G61" s="11"/>
      <c r="H61" s="12"/>
      <c r="I61" s="10"/>
      <c r="J61" s="11"/>
      <c r="K61" s="12"/>
      <c r="L61" s="10"/>
      <c r="M61" s="11"/>
      <c r="N61" s="12"/>
      <c r="O61" s="10"/>
      <c r="P61" s="11"/>
      <c r="Q61" s="12"/>
      <c r="R61" s="10"/>
      <c r="S61" s="11"/>
      <c r="T61" s="12"/>
      <c r="U61" s="10"/>
      <c r="V61" s="11"/>
      <c r="W61" s="12"/>
      <c r="X61" s="10"/>
      <c r="Y61" s="11"/>
      <c r="Z61" s="12"/>
      <c r="AA61" s="10"/>
      <c r="AB61" s="11"/>
      <c r="AC61" s="12"/>
      <c r="AD61" s="10"/>
      <c r="AE61" s="11"/>
      <c r="AF61" s="12"/>
      <c r="AG61" s="10"/>
      <c r="AH61" s="11"/>
      <c r="AI61" s="12"/>
      <c r="AJ61" s="10"/>
      <c r="AK61" s="11"/>
      <c r="AL61" s="12"/>
      <c r="AM61" s="10"/>
      <c r="AN61" s="11"/>
      <c r="AO61" s="12"/>
      <c r="AP61" s="10"/>
      <c r="AQ61" s="11"/>
      <c r="AR61" s="12"/>
      <c r="AS61" s="10"/>
      <c r="AT61" s="11"/>
      <c r="AU61" s="12"/>
      <c r="AV61" s="10"/>
      <c r="AW61" s="11"/>
      <c r="AX61" s="12"/>
      <c r="AY61" s="10"/>
      <c r="AZ61" s="11"/>
      <c r="BA61" s="12"/>
      <c r="BB61" s="10"/>
      <c r="BC61" s="11"/>
      <c r="BD61" s="12"/>
      <c r="BE61" s="10"/>
      <c r="BF61" s="11"/>
      <c r="BG61" s="12"/>
      <c r="BH61" s="10"/>
      <c r="BI61" s="11"/>
      <c r="BJ61" s="12"/>
      <c r="BK61" s="10"/>
      <c r="BL61" s="11"/>
      <c r="BM61" s="12"/>
      <c r="BN61" s="10"/>
      <c r="BO61" s="11"/>
      <c r="BP61" s="12"/>
      <c r="BQ61" s="10"/>
      <c r="BR61" s="11"/>
      <c r="BS61" s="12"/>
      <c r="BT61" s="10"/>
      <c r="BU61" s="11"/>
      <c r="BV61" s="12"/>
      <c r="BW61" s="10"/>
      <c r="BX61" s="11"/>
      <c r="BY61" s="12"/>
      <c r="BZ61" s="10"/>
      <c r="CA61" s="11"/>
      <c r="CB61" s="12"/>
      <c r="CC61" s="10"/>
      <c r="CD61" s="11"/>
      <c r="CE61" s="12"/>
      <c r="CF61" s="10"/>
      <c r="CG61" s="11"/>
      <c r="CH61" s="12"/>
      <c r="CI61" s="10"/>
      <c r="CJ61" s="11"/>
      <c r="CK61" s="12"/>
      <c r="CL61" s="10"/>
      <c r="CM61" s="11"/>
      <c r="CN61" s="12"/>
      <c r="CO61" s="10"/>
      <c r="CP61" s="11"/>
      <c r="CQ61" s="12"/>
      <c r="CR61" s="10"/>
      <c r="CS61" s="11"/>
      <c r="CT61" s="12"/>
      <c r="CU61" s="10"/>
      <c r="CV61" s="11"/>
      <c r="CW61" s="12"/>
    </row>
    <row r="62" spans="1:101">
      <c r="A62" s="3" t="s">
        <v>97</v>
      </c>
      <c r="B62" s="3" t="s">
        <v>98</v>
      </c>
      <c r="C62" s="23">
        <v>815105</v>
      </c>
      <c r="D62" s="20"/>
      <c r="E62" s="20"/>
      <c r="F62" s="10"/>
      <c r="G62" s="11"/>
      <c r="H62" s="12"/>
      <c r="I62" s="10"/>
      <c r="J62" s="11"/>
      <c r="K62" s="12"/>
      <c r="L62" s="10"/>
      <c r="M62" s="11"/>
      <c r="N62" s="12"/>
      <c r="O62" s="10"/>
      <c r="P62" s="11"/>
      <c r="Q62" s="12"/>
      <c r="R62" s="10"/>
      <c r="S62" s="11"/>
      <c r="T62" s="12"/>
      <c r="U62" s="10"/>
      <c r="V62" s="11"/>
      <c r="W62" s="12"/>
      <c r="X62" s="10"/>
      <c r="Y62" s="11"/>
      <c r="Z62" s="12"/>
      <c r="AA62" s="10"/>
      <c r="AB62" s="11"/>
      <c r="AC62" s="12"/>
      <c r="AD62" s="10"/>
      <c r="AE62" s="11"/>
      <c r="AF62" s="12"/>
      <c r="AG62" s="10"/>
      <c r="AH62" s="11"/>
      <c r="AI62" s="12"/>
      <c r="AJ62" s="10"/>
      <c r="AK62" s="11"/>
      <c r="AL62" s="12"/>
      <c r="AM62" s="10"/>
      <c r="AN62" s="11"/>
      <c r="AO62" s="12"/>
      <c r="AP62" s="10"/>
      <c r="AQ62" s="11"/>
      <c r="AR62" s="12"/>
      <c r="AS62" s="10"/>
      <c r="AT62" s="11"/>
      <c r="AU62" s="12"/>
      <c r="AV62" s="10"/>
      <c r="AW62" s="11"/>
      <c r="AX62" s="12"/>
      <c r="AY62" s="10"/>
      <c r="AZ62" s="11"/>
      <c r="BA62" s="12"/>
      <c r="BB62" s="10"/>
      <c r="BC62" s="11"/>
      <c r="BD62" s="12"/>
      <c r="BE62" s="10"/>
      <c r="BF62" s="11"/>
      <c r="BG62" s="12"/>
      <c r="BH62" s="10"/>
      <c r="BI62" s="11"/>
      <c r="BJ62" s="12"/>
      <c r="BK62" s="10"/>
      <c r="BL62" s="11"/>
      <c r="BM62" s="12"/>
      <c r="BN62" s="10"/>
      <c r="BO62" s="11"/>
      <c r="BP62" s="12"/>
      <c r="BQ62" s="10"/>
      <c r="BR62" s="11"/>
      <c r="BS62" s="12"/>
      <c r="BT62" s="10"/>
      <c r="BU62" s="11"/>
      <c r="BV62" s="12"/>
      <c r="BW62" s="10"/>
      <c r="BX62" s="11"/>
      <c r="BY62" s="12"/>
      <c r="BZ62" s="10"/>
      <c r="CA62" s="11"/>
      <c r="CB62" s="12"/>
      <c r="CC62" s="10"/>
      <c r="CD62" s="11"/>
      <c r="CE62" s="12"/>
      <c r="CF62" s="10"/>
      <c r="CG62" s="11"/>
      <c r="CH62" s="12"/>
      <c r="CI62" s="10"/>
      <c r="CJ62" s="11"/>
      <c r="CK62" s="12"/>
      <c r="CL62" s="10"/>
      <c r="CM62" s="11"/>
      <c r="CN62" s="12"/>
      <c r="CO62" s="10"/>
      <c r="CP62" s="11"/>
      <c r="CQ62" s="12"/>
      <c r="CR62" s="10"/>
      <c r="CS62" s="11"/>
      <c r="CT62" s="12"/>
      <c r="CU62" s="10"/>
      <c r="CV62" s="11"/>
      <c r="CW62" s="12"/>
    </row>
    <row r="63" spans="1:101">
      <c r="A63" s="3" t="s">
        <v>99</v>
      </c>
      <c r="B63" s="3" t="s">
        <v>100</v>
      </c>
      <c r="C63" s="23">
        <v>10248</v>
      </c>
      <c r="D63" s="20"/>
      <c r="E63" s="20"/>
      <c r="F63" s="10"/>
      <c r="G63" s="11"/>
      <c r="H63" s="12"/>
      <c r="I63" s="10"/>
      <c r="J63" s="11"/>
      <c r="K63" s="12"/>
      <c r="L63" s="10"/>
      <c r="M63" s="11"/>
      <c r="N63" s="12"/>
      <c r="O63" s="10"/>
      <c r="P63" s="11"/>
      <c r="Q63" s="12"/>
      <c r="R63" s="10"/>
      <c r="S63" s="11"/>
      <c r="T63" s="12"/>
      <c r="U63" s="10"/>
      <c r="V63" s="11"/>
      <c r="W63" s="12"/>
      <c r="X63" s="10"/>
      <c r="Y63" s="11"/>
      <c r="Z63" s="12"/>
      <c r="AA63" s="10"/>
      <c r="AB63" s="11"/>
      <c r="AC63" s="12"/>
      <c r="AD63" s="10"/>
      <c r="AE63" s="11"/>
      <c r="AF63" s="12"/>
      <c r="AG63" s="10"/>
      <c r="AH63" s="11"/>
      <c r="AI63" s="12"/>
      <c r="AJ63" s="10"/>
      <c r="AK63" s="11"/>
      <c r="AL63" s="12"/>
      <c r="AM63" s="10"/>
      <c r="AN63" s="11"/>
      <c r="AO63" s="12"/>
      <c r="AP63" s="10"/>
      <c r="AQ63" s="11"/>
      <c r="AR63" s="12"/>
      <c r="AS63" s="10"/>
      <c r="AT63" s="11"/>
      <c r="AU63" s="12"/>
      <c r="AV63" s="10"/>
      <c r="AW63" s="11"/>
      <c r="AX63" s="12"/>
      <c r="AY63" s="10"/>
      <c r="AZ63" s="11"/>
      <c r="BA63" s="12"/>
      <c r="BB63" s="10"/>
      <c r="BC63" s="11"/>
      <c r="BD63" s="12"/>
      <c r="BE63" s="10"/>
      <c r="BF63" s="11"/>
      <c r="BG63" s="12"/>
      <c r="BH63" s="10"/>
      <c r="BI63" s="11"/>
      <c r="BJ63" s="12"/>
      <c r="BK63" s="10"/>
      <c r="BL63" s="11"/>
      <c r="BM63" s="12"/>
      <c r="BN63" s="10"/>
      <c r="BO63" s="11"/>
      <c r="BP63" s="12"/>
      <c r="BQ63" s="10"/>
      <c r="BR63" s="11"/>
      <c r="BS63" s="12"/>
      <c r="BT63" s="10"/>
      <c r="BU63" s="11"/>
      <c r="BV63" s="12"/>
      <c r="BW63" s="10"/>
      <c r="BX63" s="11"/>
      <c r="BY63" s="12"/>
      <c r="BZ63" s="10"/>
      <c r="CA63" s="11"/>
      <c r="CB63" s="12"/>
      <c r="CC63" s="10"/>
      <c r="CD63" s="11"/>
      <c r="CE63" s="12"/>
      <c r="CF63" s="10"/>
      <c r="CG63" s="11"/>
      <c r="CH63" s="12"/>
      <c r="CI63" s="10"/>
      <c r="CJ63" s="11"/>
      <c r="CK63" s="12"/>
      <c r="CL63" s="10"/>
      <c r="CM63" s="11"/>
      <c r="CN63" s="12"/>
      <c r="CO63" s="10"/>
      <c r="CP63" s="11"/>
      <c r="CQ63" s="12"/>
      <c r="CR63" s="10"/>
      <c r="CS63" s="11"/>
      <c r="CT63" s="12"/>
      <c r="CU63" s="10"/>
      <c r="CV63" s="11"/>
      <c r="CW63" s="12"/>
    </row>
    <row r="64" spans="1:101">
      <c r="A64" s="3" t="s">
        <v>101</v>
      </c>
      <c r="B64" s="3" t="s">
        <v>102</v>
      </c>
      <c r="C64" s="23">
        <v>775274</v>
      </c>
      <c r="D64" s="20"/>
      <c r="E64" s="20"/>
      <c r="F64" s="10"/>
      <c r="G64" s="11"/>
      <c r="H64" s="12"/>
      <c r="I64" s="10"/>
      <c r="J64" s="11"/>
      <c r="K64" s="12"/>
      <c r="L64" s="10"/>
      <c r="M64" s="11"/>
      <c r="N64" s="12"/>
      <c r="O64" s="10"/>
      <c r="P64" s="11"/>
      <c r="Q64" s="12"/>
      <c r="R64" s="10"/>
      <c r="S64" s="11"/>
      <c r="T64" s="12"/>
      <c r="U64" s="10"/>
      <c r="V64" s="11"/>
      <c r="W64" s="12"/>
      <c r="X64" s="10"/>
      <c r="Y64" s="11"/>
      <c r="Z64" s="12"/>
      <c r="AA64" s="10"/>
      <c r="AB64" s="11"/>
      <c r="AC64" s="12"/>
      <c r="AD64" s="10"/>
      <c r="AE64" s="11"/>
      <c r="AF64" s="12"/>
      <c r="AG64" s="10"/>
      <c r="AH64" s="11"/>
      <c r="AI64" s="12"/>
      <c r="AJ64" s="10"/>
      <c r="AK64" s="11"/>
      <c r="AL64" s="12"/>
      <c r="AM64" s="10"/>
      <c r="AN64" s="11"/>
      <c r="AO64" s="12"/>
      <c r="AP64" s="10"/>
      <c r="AQ64" s="11"/>
      <c r="AR64" s="12"/>
      <c r="AS64" s="10"/>
      <c r="AT64" s="11"/>
      <c r="AU64" s="12"/>
      <c r="AV64" s="10"/>
      <c r="AW64" s="11"/>
      <c r="AX64" s="12"/>
      <c r="AY64" s="10"/>
      <c r="AZ64" s="11"/>
      <c r="BA64" s="12"/>
      <c r="BB64" s="10"/>
      <c r="BC64" s="11"/>
      <c r="BD64" s="12"/>
      <c r="BE64" s="10"/>
      <c r="BF64" s="11"/>
      <c r="BG64" s="12"/>
      <c r="BH64" s="10"/>
      <c r="BI64" s="11"/>
      <c r="BJ64" s="12"/>
      <c r="BK64" s="10"/>
      <c r="BL64" s="11"/>
      <c r="BM64" s="12"/>
      <c r="BN64" s="10"/>
      <c r="BO64" s="11"/>
      <c r="BP64" s="12"/>
      <c r="BQ64" s="10"/>
      <c r="BR64" s="11"/>
      <c r="BS64" s="12"/>
      <c r="BT64" s="10"/>
      <c r="BU64" s="11"/>
      <c r="BV64" s="12"/>
      <c r="BW64" s="10"/>
      <c r="BX64" s="11"/>
      <c r="BY64" s="12"/>
      <c r="BZ64" s="10"/>
      <c r="CA64" s="11"/>
      <c r="CB64" s="12"/>
      <c r="CC64" s="10"/>
      <c r="CD64" s="11"/>
      <c r="CE64" s="12"/>
      <c r="CF64" s="10"/>
      <c r="CG64" s="11"/>
      <c r="CH64" s="12"/>
      <c r="CI64" s="10"/>
      <c r="CJ64" s="11"/>
      <c r="CK64" s="12"/>
      <c r="CL64" s="10"/>
      <c r="CM64" s="11"/>
      <c r="CN64" s="12"/>
      <c r="CO64" s="10"/>
      <c r="CP64" s="11"/>
      <c r="CQ64" s="12"/>
      <c r="CR64" s="10"/>
      <c r="CS64" s="11"/>
      <c r="CT64" s="12"/>
      <c r="CU64" s="10"/>
      <c r="CV64" s="11"/>
      <c r="CW64" s="12"/>
    </row>
    <row r="65" spans="1:101">
      <c r="A65" s="3" t="s">
        <v>103</v>
      </c>
      <c r="B65" s="3" t="s">
        <v>104</v>
      </c>
      <c r="C65" s="23">
        <v>21664599</v>
      </c>
      <c r="D65" s="20"/>
      <c r="E65" s="20"/>
      <c r="F65" s="10"/>
      <c r="G65" s="11"/>
      <c r="H65" s="12"/>
      <c r="I65" s="10"/>
      <c r="J65" s="11"/>
      <c r="K65" s="12"/>
      <c r="L65" s="10"/>
      <c r="M65" s="11"/>
      <c r="N65" s="12"/>
      <c r="O65" s="10"/>
      <c r="P65" s="11"/>
      <c r="Q65" s="12"/>
      <c r="R65" s="10"/>
      <c r="S65" s="11"/>
      <c r="T65" s="12"/>
      <c r="U65" s="10"/>
      <c r="V65" s="11"/>
      <c r="W65" s="12"/>
      <c r="X65" s="10"/>
      <c r="Y65" s="11"/>
      <c r="Z65" s="12"/>
      <c r="AA65" s="10"/>
      <c r="AB65" s="11"/>
      <c r="AC65" s="12"/>
      <c r="AD65" s="10"/>
      <c r="AE65" s="11"/>
      <c r="AF65" s="12"/>
      <c r="AG65" s="10"/>
      <c r="AH65" s="11"/>
      <c r="AI65" s="12"/>
      <c r="AJ65" s="10"/>
      <c r="AK65" s="11"/>
      <c r="AL65" s="12"/>
      <c r="AM65" s="10"/>
      <c r="AN65" s="11"/>
      <c r="AO65" s="12"/>
      <c r="AP65" s="10"/>
      <c r="AQ65" s="11"/>
      <c r="AR65" s="12"/>
      <c r="AS65" s="10"/>
      <c r="AT65" s="11"/>
      <c r="AU65" s="12"/>
      <c r="AV65" s="10"/>
      <c r="AW65" s="11"/>
      <c r="AX65" s="12"/>
      <c r="AY65" s="10"/>
      <c r="AZ65" s="11"/>
      <c r="BA65" s="12"/>
      <c r="BB65" s="10"/>
      <c r="BC65" s="11"/>
      <c r="BD65" s="12"/>
      <c r="BE65" s="10"/>
      <c r="BF65" s="11"/>
      <c r="BG65" s="12"/>
      <c r="BH65" s="10"/>
      <c r="BI65" s="11"/>
      <c r="BJ65" s="12"/>
      <c r="BK65" s="10"/>
      <c r="BL65" s="11"/>
      <c r="BM65" s="12"/>
      <c r="BN65" s="10"/>
      <c r="BO65" s="11"/>
      <c r="BP65" s="12"/>
      <c r="BQ65" s="10"/>
      <c r="BR65" s="11"/>
      <c r="BS65" s="12"/>
      <c r="BT65" s="10"/>
      <c r="BU65" s="11"/>
      <c r="BV65" s="12"/>
      <c r="BW65" s="10"/>
      <c r="BX65" s="11"/>
      <c r="BY65" s="12"/>
      <c r="BZ65" s="10"/>
      <c r="CA65" s="11"/>
      <c r="CB65" s="12"/>
      <c r="CC65" s="10"/>
      <c r="CD65" s="11"/>
      <c r="CE65" s="12"/>
      <c r="CF65" s="10"/>
      <c r="CG65" s="11"/>
      <c r="CH65" s="12"/>
      <c r="CI65" s="10"/>
      <c r="CJ65" s="11"/>
      <c r="CK65" s="12"/>
      <c r="CL65" s="10"/>
      <c r="CM65" s="11"/>
      <c r="CN65" s="12"/>
      <c r="CO65" s="10"/>
      <c r="CP65" s="11"/>
      <c r="CQ65" s="12"/>
      <c r="CR65" s="10"/>
      <c r="CS65" s="11"/>
      <c r="CT65" s="12"/>
      <c r="CU65" s="10"/>
      <c r="CV65" s="11"/>
      <c r="CW65" s="12"/>
    </row>
    <row r="66" spans="1:101">
      <c r="A66" s="3" t="s">
        <v>117</v>
      </c>
      <c r="B66" s="3" t="s">
        <v>118</v>
      </c>
      <c r="C66" s="23">
        <v>3711811</v>
      </c>
      <c r="D66" s="20"/>
      <c r="E66" s="20"/>
      <c r="F66" s="10"/>
      <c r="G66" s="11"/>
      <c r="H66" s="12"/>
      <c r="I66" s="10"/>
      <c r="J66" s="11"/>
      <c r="K66" s="12"/>
      <c r="L66" s="10"/>
      <c r="M66" s="11"/>
      <c r="N66" s="12"/>
      <c r="O66" s="10"/>
      <c r="P66" s="11"/>
      <c r="Q66" s="12"/>
      <c r="R66" s="10"/>
      <c r="S66" s="11"/>
      <c r="T66" s="12"/>
      <c r="U66" s="10"/>
      <c r="V66" s="11"/>
      <c r="W66" s="12"/>
      <c r="X66" s="10"/>
      <c r="Y66" s="11"/>
      <c r="Z66" s="12"/>
      <c r="AA66" s="10"/>
      <c r="AB66" s="11"/>
      <c r="AC66" s="12"/>
      <c r="AD66" s="10"/>
      <c r="AE66" s="11"/>
      <c r="AF66" s="12"/>
      <c r="AG66" s="10"/>
      <c r="AH66" s="11"/>
      <c r="AI66" s="12"/>
      <c r="AJ66" s="10"/>
      <c r="AK66" s="11"/>
      <c r="AL66" s="12"/>
      <c r="AM66" s="10"/>
      <c r="AN66" s="11"/>
      <c r="AO66" s="12"/>
      <c r="AP66" s="10"/>
      <c r="AQ66" s="11"/>
      <c r="AR66" s="12"/>
      <c r="AS66" s="10"/>
      <c r="AT66" s="11"/>
      <c r="AU66" s="12"/>
      <c r="AV66" s="10"/>
      <c r="AW66" s="11"/>
      <c r="AX66" s="12"/>
      <c r="AY66" s="10"/>
      <c r="AZ66" s="11"/>
      <c r="BA66" s="12"/>
      <c r="BB66" s="10"/>
      <c r="BC66" s="11"/>
      <c r="BD66" s="12"/>
      <c r="BE66" s="10"/>
      <c r="BF66" s="11"/>
      <c r="BG66" s="12"/>
      <c r="BH66" s="10"/>
      <c r="BI66" s="11"/>
      <c r="BJ66" s="12"/>
      <c r="BK66" s="10"/>
      <c r="BL66" s="11"/>
      <c r="BM66" s="12"/>
      <c r="BN66" s="10"/>
      <c r="BO66" s="11"/>
      <c r="BP66" s="12"/>
      <c r="BQ66" s="10"/>
      <c r="BR66" s="11"/>
      <c r="BS66" s="12"/>
      <c r="BT66" s="10"/>
      <c r="BU66" s="11"/>
      <c r="BV66" s="12"/>
      <c r="BW66" s="10"/>
      <c r="BX66" s="11"/>
      <c r="BY66" s="12"/>
      <c r="BZ66" s="10"/>
      <c r="CA66" s="11"/>
      <c r="CB66" s="12"/>
      <c r="CC66" s="10"/>
      <c r="CD66" s="11"/>
      <c r="CE66" s="12"/>
      <c r="CF66" s="10"/>
      <c r="CG66" s="11"/>
      <c r="CH66" s="12"/>
      <c r="CI66" s="10"/>
      <c r="CJ66" s="11"/>
      <c r="CK66" s="12"/>
      <c r="CL66" s="10"/>
      <c r="CM66" s="11"/>
      <c r="CN66" s="12"/>
      <c r="CO66" s="10"/>
      <c r="CP66" s="11"/>
      <c r="CQ66" s="12"/>
      <c r="CR66" s="10"/>
      <c r="CS66" s="11"/>
      <c r="CT66" s="12"/>
      <c r="CU66" s="10"/>
      <c r="CV66" s="11"/>
      <c r="CW66" s="12"/>
    </row>
    <row r="67" spans="1:101">
      <c r="A67" s="3" t="s">
        <v>111</v>
      </c>
      <c r="B67" s="3" t="s">
        <v>112</v>
      </c>
      <c r="C67" s="23">
        <v>1</v>
      </c>
      <c r="D67" s="20"/>
      <c r="E67" s="20"/>
      <c r="F67" s="10"/>
      <c r="G67" s="11"/>
      <c r="H67" s="12"/>
      <c r="I67" s="10"/>
      <c r="J67" s="11"/>
      <c r="K67" s="12"/>
      <c r="L67" s="10"/>
      <c r="M67" s="11"/>
      <c r="N67" s="12"/>
      <c r="O67" s="10"/>
      <c r="P67" s="11"/>
      <c r="Q67" s="12"/>
      <c r="R67" s="10"/>
      <c r="S67" s="11"/>
      <c r="T67" s="12"/>
      <c r="U67" s="10"/>
      <c r="V67" s="11"/>
      <c r="W67" s="12"/>
      <c r="X67" s="10"/>
      <c r="Y67" s="11"/>
      <c r="Z67" s="12"/>
      <c r="AA67" s="10"/>
      <c r="AB67" s="11"/>
      <c r="AC67" s="12"/>
      <c r="AD67" s="10"/>
      <c r="AE67" s="11"/>
      <c r="AF67" s="12"/>
      <c r="AG67" s="10"/>
      <c r="AH67" s="11"/>
      <c r="AI67" s="12"/>
      <c r="AJ67" s="10"/>
      <c r="AK67" s="11"/>
      <c r="AL67" s="12"/>
      <c r="AM67" s="10"/>
      <c r="AN67" s="11"/>
      <c r="AO67" s="12"/>
      <c r="AP67" s="10"/>
      <c r="AQ67" s="11"/>
      <c r="AR67" s="12"/>
      <c r="AS67" s="10"/>
      <c r="AT67" s="11"/>
      <c r="AU67" s="12"/>
      <c r="AV67" s="10"/>
      <c r="AW67" s="11"/>
      <c r="AX67" s="12"/>
      <c r="AY67" s="10"/>
      <c r="AZ67" s="11"/>
      <c r="BA67" s="12"/>
      <c r="BB67" s="10"/>
      <c r="BC67" s="11"/>
      <c r="BD67" s="12"/>
      <c r="BE67" s="10"/>
      <c r="BF67" s="11"/>
      <c r="BG67" s="12"/>
      <c r="BH67" s="10"/>
      <c r="BI67" s="11"/>
      <c r="BJ67" s="12"/>
      <c r="BK67" s="10"/>
      <c r="BL67" s="11"/>
      <c r="BM67" s="12"/>
      <c r="BN67" s="10"/>
      <c r="BO67" s="11"/>
      <c r="BP67" s="12"/>
      <c r="BQ67" s="10"/>
      <c r="BR67" s="11"/>
      <c r="BS67" s="12"/>
      <c r="BT67" s="10"/>
      <c r="BU67" s="11"/>
      <c r="BV67" s="12"/>
      <c r="BW67" s="10"/>
      <c r="BX67" s="11"/>
      <c r="BY67" s="12"/>
      <c r="BZ67" s="10"/>
      <c r="CA67" s="11"/>
      <c r="CB67" s="12"/>
      <c r="CC67" s="10"/>
      <c r="CD67" s="11"/>
      <c r="CE67" s="12"/>
      <c r="CF67" s="10"/>
      <c r="CG67" s="11"/>
      <c r="CH67" s="12"/>
      <c r="CI67" s="10"/>
      <c r="CJ67" s="11"/>
      <c r="CK67" s="12"/>
      <c r="CL67" s="10"/>
      <c r="CM67" s="11"/>
      <c r="CN67" s="12"/>
      <c r="CO67" s="10"/>
      <c r="CP67" s="11"/>
      <c r="CQ67" s="12"/>
      <c r="CR67" s="10"/>
      <c r="CS67" s="11"/>
      <c r="CT67" s="12"/>
      <c r="CU67" s="10"/>
      <c r="CV67" s="11"/>
      <c r="CW67" s="12"/>
    </row>
    <row r="68" spans="1:101" ht="14.55" thickBot="1">
      <c r="A68" s="4"/>
      <c r="B68" s="5"/>
      <c r="C68" s="6"/>
      <c r="D68" s="21"/>
      <c r="E68" s="21"/>
    </row>
    <row r="69" spans="1:101" ht="14.55" thickTop="1"/>
    <row r="72" spans="1:101">
      <c r="G72" s="24"/>
      <c r="J72" s="24"/>
    </row>
  </sheetData>
  <sortState xmlns:xlrd2="http://schemas.microsoft.com/office/spreadsheetml/2017/richdata2" ref="A2:C97">
    <sortCondition ref="A2:A97"/>
  </sortState>
  <mergeCells count="3">
    <mergeCell ref="A1:A3"/>
    <mergeCell ref="B1:B3"/>
    <mergeCell ref="C1:C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74D4-37F4-4084-A984-A33C92BD33BE}">
  <dimension ref="A1:K71"/>
  <sheetViews>
    <sheetView workbookViewId="0">
      <selection activeCell="E65" sqref="E2:E65"/>
    </sheetView>
  </sheetViews>
  <sheetFormatPr baseColWidth="10" defaultColWidth="10.8984375" defaultRowHeight="14"/>
  <cols>
    <col min="1" max="1" width="10.8984375" style="26"/>
    <col min="2" max="3" width="10.8984375" style="24"/>
    <col min="4" max="4" width="15.09765625" style="26" customWidth="1"/>
    <col min="5" max="5" width="11.5" style="24" bestFit="1" customWidth="1"/>
    <col min="11" max="11" width="11.09765625" bestFit="1" customWidth="1"/>
  </cols>
  <sheetData>
    <row r="1" spans="1:11" s="28" customFormat="1" ht="13.45">
      <c r="A1" s="33" t="s">
        <v>151</v>
      </c>
      <c r="B1" s="34" t="s">
        <v>151</v>
      </c>
      <c r="C1" s="34" t="s">
        <v>152</v>
      </c>
      <c r="D1" s="33" t="s">
        <v>153</v>
      </c>
      <c r="E1" s="34" t="s">
        <v>2</v>
      </c>
    </row>
    <row r="2" spans="1:11">
      <c r="A2"/>
      <c r="B2" s="24">
        <v>4</v>
      </c>
      <c r="C2" s="24" t="s">
        <v>7</v>
      </c>
      <c r="D2" s="26" t="s">
        <v>8</v>
      </c>
      <c r="E2" s="27">
        <v>272107866</v>
      </c>
      <c r="G2" s="3" t="s">
        <v>7</v>
      </c>
      <c r="H2" s="3" t="s">
        <v>8</v>
      </c>
      <c r="K2" t="b">
        <f>C2=G2</f>
        <v>1</v>
      </c>
    </row>
    <row r="3" spans="1:11">
      <c r="A3"/>
      <c r="B3" s="24">
        <v>7</v>
      </c>
      <c r="C3" s="24" t="s">
        <v>10</v>
      </c>
      <c r="D3" s="26" t="s">
        <v>11</v>
      </c>
      <c r="E3" s="27">
        <v>2848513</v>
      </c>
      <c r="G3" s="3" t="s">
        <v>10</v>
      </c>
      <c r="H3" s="3" t="s">
        <v>11</v>
      </c>
      <c r="K3" t="b">
        <f t="shared" ref="K3:K66" si="0">C3=G3</f>
        <v>1</v>
      </c>
    </row>
    <row r="4" spans="1:11">
      <c r="A4"/>
      <c r="B4" s="24">
        <v>9</v>
      </c>
      <c r="C4" s="24" t="s">
        <v>12</v>
      </c>
      <c r="D4" s="26" t="s">
        <v>13</v>
      </c>
      <c r="E4" s="27">
        <v>-125738337</v>
      </c>
      <c r="G4" s="3" t="s">
        <v>12</v>
      </c>
      <c r="H4" s="3" t="s">
        <v>13</v>
      </c>
      <c r="K4" t="b">
        <f t="shared" si="0"/>
        <v>1</v>
      </c>
    </row>
    <row r="5" spans="1:11">
      <c r="A5"/>
      <c r="B5" s="24">
        <v>113</v>
      </c>
      <c r="C5" s="24" t="s">
        <v>105</v>
      </c>
      <c r="D5" s="26" t="s">
        <v>106</v>
      </c>
      <c r="E5" s="27">
        <v>-7337342</v>
      </c>
      <c r="G5" s="3" t="s">
        <v>105</v>
      </c>
      <c r="H5" s="3" t="s">
        <v>106</v>
      </c>
      <c r="K5" t="b">
        <f t="shared" si="0"/>
        <v>1</v>
      </c>
    </row>
    <row r="6" spans="1:11">
      <c r="A6"/>
      <c r="B6" s="24">
        <v>11</v>
      </c>
      <c r="C6" s="24" t="s">
        <v>14</v>
      </c>
      <c r="D6" s="26" t="s">
        <v>15</v>
      </c>
      <c r="E6" s="27">
        <v>-1190811</v>
      </c>
      <c r="G6" s="3" t="s">
        <v>14</v>
      </c>
      <c r="H6" s="3" t="s">
        <v>15</v>
      </c>
      <c r="K6" t="b">
        <f t="shared" si="0"/>
        <v>1</v>
      </c>
    </row>
    <row r="7" spans="1:11">
      <c r="B7" s="24">
        <v>114</v>
      </c>
      <c r="C7" s="24" t="s">
        <v>107</v>
      </c>
      <c r="D7" s="26" t="s">
        <v>108</v>
      </c>
      <c r="E7" s="27">
        <v>-8646816</v>
      </c>
      <c r="G7" s="3" t="s">
        <v>107</v>
      </c>
      <c r="H7" s="3" t="s">
        <v>108</v>
      </c>
      <c r="K7" t="b">
        <f t="shared" si="0"/>
        <v>1</v>
      </c>
    </row>
    <row r="8" spans="1:11">
      <c r="B8" s="24">
        <v>12</v>
      </c>
      <c r="C8" s="24" t="s">
        <v>16</v>
      </c>
      <c r="D8" s="26" t="s">
        <v>17</v>
      </c>
      <c r="E8" s="27">
        <v>-2534290</v>
      </c>
      <c r="G8" s="3" t="s">
        <v>16</v>
      </c>
      <c r="H8" s="3" t="s">
        <v>17</v>
      </c>
      <c r="K8" t="b">
        <f t="shared" si="0"/>
        <v>1</v>
      </c>
    </row>
    <row r="9" spans="1:11">
      <c r="B9" s="24">
        <v>13</v>
      </c>
      <c r="C9" s="24" t="s">
        <v>18</v>
      </c>
      <c r="D9" s="26" t="s">
        <v>9</v>
      </c>
      <c r="E9" s="27">
        <v>-60000</v>
      </c>
      <c r="G9" s="3" t="s">
        <v>18</v>
      </c>
      <c r="H9" s="3" t="s">
        <v>9</v>
      </c>
      <c r="K9" t="b">
        <f t="shared" si="0"/>
        <v>1</v>
      </c>
    </row>
    <row r="10" spans="1:11">
      <c r="B10" s="24">
        <v>14</v>
      </c>
      <c r="C10" s="24" t="s">
        <v>19</v>
      </c>
      <c r="D10" s="26" t="s">
        <v>20</v>
      </c>
      <c r="E10" s="27">
        <v>-38829</v>
      </c>
      <c r="G10" s="3" t="s">
        <v>19</v>
      </c>
      <c r="H10" s="3" t="s">
        <v>20</v>
      </c>
      <c r="K10" t="b">
        <f t="shared" si="0"/>
        <v>1</v>
      </c>
    </row>
    <row r="11" spans="1:11">
      <c r="B11" s="24">
        <v>17</v>
      </c>
      <c r="C11" s="24" t="s">
        <v>21</v>
      </c>
      <c r="D11" s="26" t="s">
        <v>22</v>
      </c>
      <c r="E11" s="27">
        <v>-42681070</v>
      </c>
      <c r="G11" s="3" t="s">
        <v>21</v>
      </c>
      <c r="H11" s="3" t="s">
        <v>22</v>
      </c>
      <c r="K11" t="b">
        <f t="shared" si="0"/>
        <v>1</v>
      </c>
    </row>
    <row r="12" spans="1:11">
      <c r="B12" s="24">
        <v>18</v>
      </c>
      <c r="C12" s="24" t="s">
        <v>23</v>
      </c>
      <c r="D12" s="26" t="s">
        <v>24</v>
      </c>
      <c r="E12" s="27">
        <v>-1050657</v>
      </c>
      <c r="G12" s="3" t="s">
        <v>23</v>
      </c>
      <c r="H12" s="3" t="s">
        <v>24</v>
      </c>
      <c r="K12" t="b">
        <f t="shared" si="0"/>
        <v>1</v>
      </c>
    </row>
    <row r="13" spans="1:11">
      <c r="B13" s="24">
        <v>19</v>
      </c>
      <c r="C13" s="24" t="s">
        <v>25</v>
      </c>
      <c r="D13" s="26" t="s">
        <v>26</v>
      </c>
      <c r="E13" s="27">
        <v>-1551819</v>
      </c>
      <c r="G13" s="3" t="s">
        <v>25</v>
      </c>
      <c r="H13" s="3" t="s">
        <v>26</v>
      </c>
      <c r="K13" t="b">
        <f t="shared" si="0"/>
        <v>1</v>
      </c>
    </row>
    <row r="14" spans="1:11">
      <c r="B14" s="24">
        <v>20</v>
      </c>
      <c r="C14" s="24" t="s">
        <v>27</v>
      </c>
      <c r="D14" s="26" t="s">
        <v>28</v>
      </c>
      <c r="E14" s="27">
        <v>-10620516</v>
      </c>
      <c r="G14" s="3" t="s">
        <v>27</v>
      </c>
      <c r="H14" s="3" t="s">
        <v>28</v>
      </c>
      <c r="K14" t="b">
        <f t="shared" si="0"/>
        <v>1</v>
      </c>
    </row>
    <row r="15" spans="1:11">
      <c r="E15" s="27"/>
      <c r="G15" s="3" t="s">
        <v>29</v>
      </c>
      <c r="H15" s="3" t="s">
        <v>30</v>
      </c>
      <c r="K15" t="b">
        <f t="shared" si="0"/>
        <v>0</v>
      </c>
    </row>
    <row r="16" spans="1:11">
      <c r="B16" s="24">
        <v>23</v>
      </c>
      <c r="C16" s="24" t="s">
        <v>31</v>
      </c>
      <c r="D16" s="26" t="s">
        <v>32</v>
      </c>
      <c r="E16" s="27">
        <v>-572870</v>
      </c>
      <c r="G16" s="3" t="s">
        <v>31</v>
      </c>
      <c r="H16" s="3" t="s">
        <v>32</v>
      </c>
      <c r="K16" t="b">
        <f t="shared" si="0"/>
        <v>1</v>
      </c>
    </row>
    <row r="17" spans="2:11">
      <c r="B17" s="24">
        <v>24</v>
      </c>
      <c r="C17" s="24" t="s">
        <v>33</v>
      </c>
      <c r="D17" s="26" t="s">
        <v>34</v>
      </c>
      <c r="E17" s="27">
        <v>-997898</v>
      </c>
      <c r="G17" s="3" t="s">
        <v>33</v>
      </c>
      <c r="H17" s="3" t="s">
        <v>34</v>
      </c>
      <c r="K17" t="b">
        <f t="shared" si="0"/>
        <v>1</v>
      </c>
    </row>
    <row r="18" spans="2:11">
      <c r="B18" s="24">
        <v>25</v>
      </c>
      <c r="C18" s="24" t="s">
        <v>154</v>
      </c>
      <c r="D18" s="26" t="s">
        <v>155</v>
      </c>
      <c r="E18" s="27">
        <v>-61599</v>
      </c>
      <c r="G18" s="3" t="s">
        <v>154</v>
      </c>
      <c r="H18" s="3" t="s">
        <v>155</v>
      </c>
      <c r="K18" t="b">
        <f t="shared" si="0"/>
        <v>1</v>
      </c>
    </row>
    <row r="19" spans="2:11">
      <c r="B19" s="24">
        <v>26</v>
      </c>
      <c r="C19" s="24" t="s">
        <v>156</v>
      </c>
      <c r="D19" s="26" t="s">
        <v>157</v>
      </c>
      <c r="E19" s="27">
        <v>-554390</v>
      </c>
      <c r="G19" s="3" t="s">
        <v>156</v>
      </c>
      <c r="H19" s="3" t="s">
        <v>157</v>
      </c>
      <c r="K19" t="b">
        <f t="shared" si="0"/>
        <v>1</v>
      </c>
    </row>
    <row r="20" spans="2:11">
      <c r="E20" s="27"/>
      <c r="G20" s="3" t="s">
        <v>35</v>
      </c>
      <c r="H20" s="3" t="s">
        <v>36</v>
      </c>
      <c r="K20" t="b">
        <f t="shared" si="0"/>
        <v>0</v>
      </c>
    </row>
    <row r="21" spans="2:11">
      <c r="B21" s="24">
        <v>30</v>
      </c>
      <c r="C21" s="24" t="s">
        <v>37</v>
      </c>
      <c r="D21" s="26" t="s">
        <v>38</v>
      </c>
      <c r="E21" s="27">
        <v>-3040706</v>
      </c>
      <c r="G21" s="3" t="s">
        <v>37</v>
      </c>
      <c r="H21" s="3" t="s">
        <v>38</v>
      </c>
      <c r="K21" t="b">
        <f t="shared" si="0"/>
        <v>1</v>
      </c>
    </row>
    <row r="22" spans="2:11">
      <c r="B22" s="24">
        <v>32</v>
      </c>
      <c r="C22" s="24" t="s">
        <v>39</v>
      </c>
      <c r="D22" s="26" t="s">
        <v>40</v>
      </c>
      <c r="E22" s="27">
        <v>-1618438</v>
      </c>
      <c r="G22" s="3" t="s">
        <v>39</v>
      </c>
      <c r="H22" s="3" t="s">
        <v>40</v>
      </c>
      <c r="K22" t="b">
        <f t="shared" si="0"/>
        <v>1</v>
      </c>
    </row>
    <row r="23" spans="2:11">
      <c r="B23" s="24">
        <v>33</v>
      </c>
      <c r="C23" s="24" t="s">
        <v>41</v>
      </c>
      <c r="D23" s="26" t="s">
        <v>42</v>
      </c>
      <c r="E23" s="27">
        <v>-6226758</v>
      </c>
      <c r="G23" s="3" t="s">
        <v>41</v>
      </c>
      <c r="H23" s="3" t="s">
        <v>42</v>
      </c>
      <c r="K23" t="b">
        <f t="shared" si="0"/>
        <v>1</v>
      </c>
    </row>
    <row r="24" spans="2:11">
      <c r="B24" s="24">
        <v>49</v>
      </c>
      <c r="C24" s="24" t="s">
        <v>43</v>
      </c>
      <c r="D24" s="26" t="s">
        <v>44</v>
      </c>
      <c r="E24" s="27">
        <v>-2265000</v>
      </c>
      <c r="G24" s="3" t="s">
        <v>43</v>
      </c>
      <c r="H24" s="3" t="s">
        <v>44</v>
      </c>
      <c r="K24" t="b">
        <f t="shared" si="0"/>
        <v>1</v>
      </c>
    </row>
    <row r="25" spans="2:11">
      <c r="B25" s="24">
        <v>50</v>
      </c>
      <c r="C25" s="24" t="s">
        <v>45</v>
      </c>
      <c r="D25" s="26" t="s">
        <v>46</v>
      </c>
      <c r="E25" s="27">
        <v>-2265000</v>
      </c>
      <c r="G25" s="3" t="s">
        <v>45</v>
      </c>
      <c r="H25" s="3" t="s">
        <v>46</v>
      </c>
      <c r="K25" t="b">
        <f t="shared" si="0"/>
        <v>1</v>
      </c>
    </row>
    <row r="26" spans="2:11">
      <c r="B26" s="24">
        <v>52</v>
      </c>
      <c r="C26" s="24" t="s">
        <v>47</v>
      </c>
      <c r="D26" s="26" t="s">
        <v>48</v>
      </c>
      <c r="E26" s="27">
        <v>-3761294</v>
      </c>
      <c r="G26" s="3" t="s">
        <v>47</v>
      </c>
      <c r="H26" s="3" t="s">
        <v>48</v>
      </c>
      <c r="K26" t="b">
        <f t="shared" si="0"/>
        <v>1</v>
      </c>
    </row>
    <row r="27" spans="2:11">
      <c r="B27" s="24">
        <v>57</v>
      </c>
      <c r="C27" s="24" t="s">
        <v>49</v>
      </c>
      <c r="D27" s="26" t="s">
        <v>50</v>
      </c>
      <c r="E27" s="27">
        <v>-2560350</v>
      </c>
      <c r="G27" s="3" t="s">
        <v>49</v>
      </c>
      <c r="H27" s="3" t="s">
        <v>50</v>
      </c>
      <c r="K27" t="b">
        <f t="shared" si="0"/>
        <v>1</v>
      </c>
    </row>
    <row r="28" spans="2:11">
      <c r="B28" s="24">
        <v>59</v>
      </c>
      <c r="C28" s="24" t="s">
        <v>51</v>
      </c>
      <c r="D28" s="26" t="s">
        <v>52</v>
      </c>
      <c r="E28" s="27">
        <v>-5498158</v>
      </c>
      <c r="G28" s="3" t="s">
        <v>51</v>
      </c>
      <c r="H28" s="3" t="s">
        <v>52</v>
      </c>
      <c r="K28" t="b">
        <f t="shared" si="0"/>
        <v>1</v>
      </c>
    </row>
    <row r="29" spans="2:11">
      <c r="B29" s="24">
        <v>60</v>
      </c>
      <c r="C29" s="24" t="s">
        <v>53</v>
      </c>
      <c r="D29" s="26" t="s">
        <v>54</v>
      </c>
      <c r="E29" s="27">
        <v>-415872</v>
      </c>
      <c r="G29" s="3" t="s">
        <v>53</v>
      </c>
      <c r="H29" s="3" t="s">
        <v>54</v>
      </c>
      <c r="K29" t="b">
        <f t="shared" si="0"/>
        <v>1</v>
      </c>
    </row>
    <row r="30" spans="2:11">
      <c r="B30" s="24">
        <v>61</v>
      </c>
      <c r="C30" s="24" t="s">
        <v>212</v>
      </c>
      <c r="D30" s="26" t="s">
        <v>213</v>
      </c>
      <c r="E30" s="27">
        <v>-1886536</v>
      </c>
      <c r="G30" s="3" t="s">
        <v>212</v>
      </c>
      <c r="H30" s="32" t="s">
        <v>213</v>
      </c>
      <c r="K30" t="b">
        <f t="shared" si="0"/>
        <v>1</v>
      </c>
    </row>
    <row r="31" spans="2:11">
      <c r="B31" s="24">
        <v>62</v>
      </c>
      <c r="C31" s="24" t="s">
        <v>55</v>
      </c>
      <c r="D31" s="26" t="s">
        <v>56</v>
      </c>
      <c r="E31" s="27">
        <v>-62014152</v>
      </c>
      <c r="G31" s="3" t="s">
        <v>55</v>
      </c>
      <c r="H31" s="3" t="s">
        <v>56</v>
      </c>
      <c r="K31" t="b">
        <f t="shared" si="0"/>
        <v>1</v>
      </c>
    </row>
    <row r="32" spans="2:11">
      <c r="B32" s="24">
        <v>63</v>
      </c>
      <c r="C32" s="24" t="s">
        <v>57</v>
      </c>
      <c r="D32" s="26" t="s">
        <v>58</v>
      </c>
      <c r="E32" s="27">
        <v>-3094438</v>
      </c>
      <c r="G32" s="3" t="s">
        <v>57</v>
      </c>
      <c r="H32" s="3" t="s">
        <v>58</v>
      </c>
      <c r="K32" t="b">
        <f t="shared" si="0"/>
        <v>1</v>
      </c>
    </row>
    <row r="33" spans="2:11">
      <c r="B33" s="24">
        <v>66</v>
      </c>
      <c r="C33" s="24" t="s">
        <v>59</v>
      </c>
      <c r="D33" s="26" t="s">
        <v>60</v>
      </c>
      <c r="E33" s="27">
        <v>-727799</v>
      </c>
      <c r="G33" s="3" t="s">
        <v>59</v>
      </c>
      <c r="H33" s="3" t="s">
        <v>60</v>
      </c>
      <c r="K33" t="b">
        <f t="shared" si="0"/>
        <v>1</v>
      </c>
    </row>
    <row r="34" spans="2:11">
      <c r="B34" s="24">
        <v>67</v>
      </c>
      <c r="C34" s="24" t="s">
        <v>61</v>
      </c>
      <c r="D34" s="26" t="s">
        <v>62</v>
      </c>
      <c r="E34" s="27">
        <v>-234000</v>
      </c>
      <c r="G34" s="3" t="s">
        <v>61</v>
      </c>
      <c r="H34" s="3" t="s">
        <v>62</v>
      </c>
      <c r="K34" t="b">
        <f t="shared" si="0"/>
        <v>1</v>
      </c>
    </row>
    <row r="35" spans="2:11">
      <c r="E35" s="27"/>
      <c r="G35" s="3" t="s">
        <v>200</v>
      </c>
      <c r="H35" s="3" t="s">
        <v>201</v>
      </c>
      <c r="K35" t="b">
        <f t="shared" si="0"/>
        <v>0</v>
      </c>
    </row>
    <row r="36" spans="2:11">
      <c r="B36" s="24">
        <v>70</v>
      </c>
      <c r="C36" s="24" t="s">
        <v>63</v>
      </c>
      <c r="D36" s="26" t="s">
        <v>64</v>
      </c>
      <c r="E36" s="27">
        <v>-751610</v>
      </c>
      <c r="G36" s="1" t="s">
        <v>63</v>
      </c>
      <c r="H36" s="1" t="s">
        <v>64</v>
      </c>
      <c r="K36" t="b">
        <f t="shared" si="0"/>
        <v>1</v>
      </c>
    </row>
    <row r="37" spans="2:11">
      <c r="B37" s="24">
        <v>72</v>
      </c>
      <c r="C37" s="24" t="s">
        <v>65</v>
      </c>
      <c r="D37" s="26" t="s">
        <v>66</v>
      </c>
      <c r="E37" s="27">
        <v>-132656</v>
      </c>
      <c r="G37" s="3" t="s">
        <v>65</v>
      </c>
      <c r="H37" s="3" t="s">
        <v>66</v>
      </c>
      <c r="K37" t="b">
        <f t="shared" si="0"/>
        <v>1</v>
      </c>
    </row>
    <row r="38" spans="2:11">
      <c r="B38" s="24">
        <v>73</v>
      </c>
      <c r="C38" s="24" t="s">
        <v>67</v>
      </c>
      <c r="D38" s="26" t="s">
        <v>68</v>
      </c>
      <c r="E38" s="27">
        <v>-839257</v>
      </c>
      <c r="G38" s="3" t="s">
        <v>67</v>
      </c>
      <c r="H38" s="3" t="s">
        <v>68</v>
      </c>
      <c r="K38" t="b">
        <f t="shared" si="0"/>
        <v>1</v>
      </c>
    </row>
    <row r="39" spans="2:11">
      <c r="E39" s="27"/>
      <c r="G39" s="3" t="s">
        <v>176</v>
      </c>
      <c r="H39" s="3" t="s">
        <v>177</v>
      </c>
      <c r="K39" t="b">
        <f t="shared" si="0"/>
        <v>0</v>
      </c>
    </row>
    <row r="40" spans="2:11">
      <c r="E40" s="27"/>
      <c r="G40" s="3" t="s">
        <v>69</v>
      </c>
      <c r="H40" s="3" t="s">
        <v>70</v>
      </c>
      <c r="K40" t="b">
        <f t="shared" si="0"/>
        <v>0</v>
      </c>
    </row>
    <row r="41" spans="2:11">
      <c r="B41" s="24">
        <v>76</v>
      </c>
      <c r="C41" s="24" t="s">
        <v>71</v>
      </c>
      <c r="D41" s="26" t="s">
        <v>72</v>
      </c>
      <c r="E41" s="27">
        <v>-591736</v>
      </c>
      <c r="G41" s="3" t="s">
        <v>71</v>
      </c>
      <c r="H41" s="3" t="s">
        <v>72</v>
      </c>
      <c r="K41" t="b">
        <f t="shared" si="0"/>
        <v>1</v>
      </c>
    </row>
    <row r="42" spans="2:11">
      <c r="B42" s="24">
        <v>77</v>
      </c>
      <c r="C42" s="24" t="s">
        <v>73</v>
      </c>
      <c r="D42" s="26" t="s">
        <v>74</v>
      </c>
      <c r="E42" s="27">
        <v>-60958</v>
      </c>
      <c r="G42" s="3" t="s">
        <v>73</v>
      </c>
      <c r="H42" s="3" t="s">
        <v>74</v>
      </c>
      <c r="K42" t="b">
        <f t="shared" si="0"/>
        <v>1</v>
      </c>
    </row>
    <row r="43" spans="2:11">
      <c r="B43" s="24">
        <v>78</v>
      </c>
      <c r="C43" s="24" t="s">
        <v>75</v>
      </c>
      <c r="D43" s="26" t="s">
        <v>76</v>
      </c>
      <c r="E43" s="27">
        <v>-1338663</v>
      </c>
      <c r="G43" s="3" t="s">
        <v>75</v>
      </c>
      <c r="H43" s="3" t="s">
        <v>76</v>
      </c>
      <c r="K43" t="b">
        <f t="shared" si="0"/>
        <v>1</v>
      </c>
    </row>
    <row r="44" spans="2:11">
      <c r="B44" s="24">
        <v>79</v>
      </c>
      <c r="C44" s="24" t="s">
        <v>77</v>
      </c>
      <c r="D44" s="26" t="s">
        <v>78</v>
      </c>
      <c r="E44" s="27">
        <v>-642168</v>
      </c>
      <c r="G44" s="3" t="s">
        <v>77</v>
      </c>
      <c r="H44" s="3" t="s">
        <v>78</v>
      </c>
      <c r="K44" t="b">
        <f t="shared" si="0"/>
        <v>1</v>
      </c>
    </row>
    <row r="45" spans="2:11">
      <c r="E45" s="27"/>
      <c r="G45" s="3" t="s">
        <v>79</v>
      </c>
      <c r="H45" s="3" t="s">
        <v>80</v>
      </c>
      <c r="K45" t="b">
        <f t="shared" si="0"/>
        <v>0</v>
      </c>
    </row>
    <row r="46" spans="2:11">
      <c r="B46" s="24">
        <v>82</v>
      </c>
      <c r="C46" s="24" t="s">
        <v>81</v>
      </c>
      <c r="D46" s="26" t="s">
        <v>82</v>
      </c>
      <c r="E46" s="27">
        <v>-295630</v>
      </c>
      <c r="G46" s="3" t="s">
        <v>81</v>
      </c>
      <c r="H46" s="3" t="s">
        <v>82</v>
      </c>
      <c r="K46" t="b">
        <f t="shared" si="0"/>
        <v>1</v>
      </c>
    </row>
    <row r="47" spans="2:11">
      <c r="B47" s="24">
        <v>83</v>
      </c>
      <c r="C47" s="24" t="s">
        <v>83</v>
      </c>
      <c r="D47" s="26" t="s">
        <v>84</v>
      </c>
      <c r="E47" s="27">
        <v>-395336</v>
      </c>
      <c r="G47" s="3" t="s">
        <v>83</v>
      </c>
      <c r="H47" s="3" t="s">
        <v>84</v>
      </c>
      <c r="K47" t="b">
        <f t="shared" si="0"/>
        <v>1</v>
      </c>
    </row>
    <row r="48" spans="2:11">
      <c r="E48" s="27"/>
      <c r="G48" s="3" t="s">
        <v>145</v>
      </c>
      <c r="H48" s="3" t="s">
        <v>146</v>
      </c>
      <c r="K48" t="b">
        <f t="shared" si="0"/>
        <v>0</v>
      </c>
    </row>
    <row r="49" spans="2:11">
      <c r="B49" s="24">
        <v>85</v>
      </c>
      <c r="C49" s="24" t="s">
        <v>85</v>
      </c>
      <c r="D49" s="26" t="s">
        <v>86</v>
      </c>
      <c r="E49" s="27">
        <v>-497882</v>
      </c>
      <c r="G49" s="3" t="s">
        <v>85</v>
      </c>
      <c r="H49" s="3" t="s">
        <v>86</v>
      </c>
      <c r="K49" t="b">
        <f t="shared" si="0"/>
        <v>1</v>
      </c>
    </row>
    <row r="50" spans="2:11">
      <c r="B50" s="24">
        <v>88</v>
      </c>
      <c r="C50" s="24" t="s">
        <v>87</v>
      </c>
      <c r="D50" s="26" t="s">
        <v>88</v>
      </c>
      <c r="E50" s="27">
        <v>-2544797</v>
      </c>
      <c r="G50" s="3" t="s">
        <v>87</v>
      </c>
      <c r="H50" s="3" t="s">
        <v>88</v>
      </c>
      <c r="K50" t="b">
        <f t="shared" si="0"/>
        <v>1</v>
      </c>
    </row>
    <row r="51" spans="2:11">
      <c r="B51" s="24">
        <v>89</v>
      </c>
      <c r="C51" s="24" t="s">
        <v>158</v>
      </c>
      <c r="D51" s="26" t="s">
        <v>159</v>
      </c>
      <c r="E51" s="27">
        <v>-801612</v>
      </c>
      <c r="G51" s="3" t="s">
        <v>158</v>
      </c>
      <c r="H51" s="3" t="s">
        <v>159</v>
      </c>
      <c r="K51" t="b">
        <f t="shared" si="0"/>
        <v>1</v>
      </c>
    </row>
    <row r="52" spans="2:11">
      <c r="B52" s="24">
        <v>92</v>
      </c>
      <c r="C52" s="24" t="s">
        <v>89</v>
      </c>
      <c r="D52" s="26" t="s">
        <v>90</v>
      </c>
      <c r="E52" s="27">
        <v>-125930</v>
      </c>
      <c r="G52" s="3" t="s">
        <v>89</v>
      </c>
      <c r="H52" s="3" t="s">
        <v>90</v>
      </c>
      <c r="K52" t="b">
        <f t="shared" si="0"/>
        <v>1</v>
      </c>
    </row>
    <row r="53" spans="2:11">
      <c r="B53" s="24">
        <v>93</v>
      </c>
      <c r="C53" s="24" t="s">
        <v>91</v>
      </c>
      <c r="D53" s="26" t="s">
        <v>92</v>
      </c>
      <c r="E53" s="27">
        <v>-1940660</v>
      </c>
      <c r="G53" s="3" t="s">
        <v>91</v>
      </c>
      <c r="H53" s="3" t="s">
        <v>92</v>
      </c>
      <c r="K53" t="b">
        <f t="shared" si="0"/>
        <v>1</v>
      </c>
    </row>
    <row r="54" spans="2:11">
      <c r="B54" s="24">
        <v>97</v>
      </c>
      <c r="C54" s="24" t="s">
        <v>93</v>
      </c>
      <c r="D54" s="26" t="s">
        <v>94</v>
      </c>
      <c r="E54" s="27">
        <v>-268932</v>
      </c>
      <c r="G54" s="3" t="s">
        <v>93</v>
      </c>
      <c r="H54" s="3" t="s">
        <v>94</v>
      </c>
      <c r="K54" t="b">
        <f t="shared" si="0"/>
        <v>1</v>
      </c>
    </row>
    <row r="55" spans="2:11">
      <c r="B55" s="24">
        <v>101</v>
      </c>
      <c r="C55" s="24" t="s">
        <v>95</v>
      </c>
      <c r="D55" s="26" t="s">
        <v>96</v>
      </c>
      <c r="E55" s="27">
        <v>-541847</v>
      </c>
      <c r="G55" s="3" t="s">
        <v>95</v>
      </c>
      <c r="H55" s="3" t="s">
        <v>96</v>
      </c>
      <c r="K55" t="b">
        <f t="shared" si="0"/>
        <v>1</v>
      </c>
    </row>
    <row r="56" spans="2:11">
      <c r="B56" s="24">
        <v>119</v>
      </c>
      <c r="C56" s="24" t="s">
        <v>113</v>
      </c>
      <c r="D56" s="26" t="s">
        <v>114</v>
      </c>
      <c r="E56" s="27">
        <v>-3489821</v>
      </c>
      <c r="G56" s="3" t="s">
        <v>113</v>
      </c>
      <c r="H56" s="3" t="s">
        <v>114</v>
      </c>
      <c r="K56" t="b">
        <f t="shared" si="0"/>
        <v>1</v>
      </c>
    </row>
    <row r="57" spans="2:11">
      <c r="B57" s="24">
        <v>120</v>
      </c>
      <c r="C57" s="24" t="s">
        <v>115</v>
      </c>
      <c r="D57" s="26" t="s">
        <v>116</v>
      </c>
      <c r="E57" s="27">
        <v>-1581257</v>
      </c>
      <c r="G57" s="3" t="s">
        <v>115</v>
      </c>
      <c r="H57" s="3" t="s">
        <v>116</v>
      </c>
      <c r="K57" t="b">
        <f t="shared" si="0"/>
        <v>1</v>
      </c>
    </row>
    <row r="58" spans="2:11">
      <c r="B58" s="24">
        <v>116</v>
      </c>
      <c r="C58" s="24" t="s">
        <v>109</v>
      </c>
      <c r="D58" s="26" t="s">
        <v>110</v>
      </c>
      <c r="E58" s="27">
        <v>-10034282</v>
      </c>
      <c r="G58" s="3" t="s">
        <v>109</v>
      </c>
      <c r="H58" s="3" t="s">
        <v>110</v>
      </c>
      <c r="K58" t="b">
        <f t="shared" si="0"/>
        <v>1</v>
      </c>
    </row>
    <row r="59" spans="2:11">
      <c r="B59" s="24">
        <v>103</v>
      </c>
      <c r="C59" s="24" t="s">
        <v>160</v>
      </c>
      <c r="D59" s="26" t="s">
        <v>164</v>
      </c>
      <c r="E59" s="27">
        <v>-19355</v>
      </c>
      <c r="G59" s="3" t="s">
        <v>160</v>
      </c>
      <c r="H59" s="3" t="s">
        <v>164</v>
      </c>
      <c r="K59" t="b">
        <f t="shared" si="0"/>
        <v>1</v>
      </c>
    </row>
    <row r="60" spans="2:11">
      <c r="B60" s="24">
        <v>104</v>
      </c>
      <c r="C60" s="24" t="s">
        <v>97</v>
      </c>
      <c r="D60" s="26" t="s">
        <v>98</v>
      </c>
      <c r="E60" s="27">
        <v>815105</v>
      </c>
      <c r="G60" s="3" t="s">
        <v>97</v>
      </c>
      <c r="H60" s="3" t="s">
        <v>98</v>
      </c>
      <c r="K60" t="b">
        <f t="shared" si="0"/>
        <v>1</v>
      </c>
    </row>
    <row r="61" spans="2:11">
      <c r="B61" s="24">
        <v>105</v>
      </c>
      <c r="C61" s="24" t="s">
        <v>99</v>
      </c>
      <c r="D61" s="26" t="s">
        <v>100</v>
      </c>
      <c r="E61" s="27">
        <v>10248</v>
      </c>
      <c r="G61" s="3" t="s">
        <v>99</v>
      </c>
      <c r="H61" s="3" t="s">
        <v>100</v>
      </c>
      <c r="K61" t="b">
        <f t="shared" si="0"/>
        <v>1</v>
      </c>
    </row>
    <row r="62" spans="2:11">
      <c r="B62" s="24">
        <v>106</v>
      </c>
      <c r="C62" s="24" t="s">
        <v>101</v>
      </c>
      <c r="D62" s="26" t="s">
        <v>102</v>
      </c>
      <c r="E62" s="27">
        <v>775274</v>
      </c>
      <c r="G62" s="3" t="s">
        <v>101</v>
      </c>
      <c r="H62" s="3" t="s">
        <v>102</v>
      </c>
      <c r="K62" t="b">
        <f t="shared" si="0"/>
        <v>1</v>
      </c>
    </row>
    <row r="63" spans="2:11">
      <c r="B63" s="24">
        <v>111</v>
      </c>
      <c r="C63" s="24" t="s">
        <v>103</v>
      </c>
      <c r="D63" s="26" t="s">
        <v>104</v>
      </c>
      <c r="E63" s="27">
        <v>21664599</v>
      </c>
      <c r="G63" s="3" t="s">
        <v>103</v>
      </c>
      <c r="H63" s="3" t="s">
        <v>104</v>
      </c>
      <c r="K63" t="b">
        <f t="shared" si="0"/>
        <v>1</v>
      </c>
    </row>
    <row r="64" spans="2:11">
      <c r="B64" s="24">
        <v>123</v>
      </c>
      <c r="C64" s="24" t="s">
        <v>117</v>
      </c>
      <c r="D64" s="26" t="s">
        <v>118</v>
      </c>
      <c r="E64" s="27">
        <v>3711811</v>
      </c>
      <c r="G64" s="3" t="s">
        <v>117</v>
      </c>
      <c r="H64" s="3" t="s">
        <v>118</v>
      </c>
      <c r="K64" t="b">
        <f t="shared" si="0"/>
        <v>1</v>
      </c>
    </row>
    <row r="65" spans="2:11">
      <c r="B65" s="24">
        <v>117</v>
      </c>
      <c r="C65" s="24" t="s">
        <v>111</v>
      </c>
      <c r="D65" s="26" t="s">
        <v>112</v>
      </c>
      <c r="E65" s="24">
        <v>1</v>
      </c>
      <c r="G65" s="3" t="s">
        <v>111</v>
      </c>
      <c r="H65" s="3" t="s">
        <v>112</v>
      </c>
      <c r="K65" t="b">
        <f t="shared" si="0"/>
        <v>1</v>
      </c>
    </row>
    <row r="66" spans="2:11">
      <c r="K66" t="b">
        <f t="shared" si="0"/>
        <v>1</v>
      </c>
    </row>
    <row r="71" spans="2:11">
      <c r="B71"/>
      <c r="C71"/>
      <c r="D71"/>
      <c r="E71" s="27"/>
    </row>
  </sheetData>
  <autoFilter ref="A1:E29888" xr:uid="{5C5E74D4-37F4-4084-A984-A33C92BD33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CC7B-1A0B-444E-82C7-EBEBCD91C423}">
  <dimension ref="A1:E30002"/>
  <sheetViews>
    <sheetView workbookViewId="0">
      <selection sqref="A1:XFD1048576"/>
    </sheetView>
  </sheetViews>
  <sheetFormatPr baseColWidth="10" defaultRowHeight="14"/>
  <cols>
    <col min="1" max="1" width="10.8984375" style="26"/>
    <col min="2" max="3" width="10.8984375" style="24"/>
    <col min="4" max="4" width="15.09765625" style="26" customWidth="1"/>
    <col min="5" max="5" width="11.5" style="24" bestFit="1" customWidth="1"/>
  </cols>
  <sheetData>
    <row r="1" spans="1:5" s="28" customFormat="1" ht="13.45">
      <c r="A1" s="33" t="s">
        <v>151</v>
      </c>
      <c r="B1" s="34" t="s">
        <v>151</v>
      </c>
      <c r="C1" s="34" t="s">
        <v>152</v>
      </c>
      <c r="D1" s="33" t="s">
        <v>153</v>
      </c>
      <c r="E1" s="34" t="s">
        <v>2</v>
      </c>
    </row>
    <row r="2" spans="1:5">
      <c r="A2"/>
      <c r="B2" s="24" t="s">
        <v>184</v>
      </c>
      <c r="C2" s="24">
        <v>11.000999999999999</v>
      </c>
      <c r="D2" s="26" t="s">
        <v>226</v>
      </c>
      <c r="E2"/>
    </row>
    <row r="3" spans="1:5">
      <c r="A3"/>
      <c r="B3" s="24">
        <v>2</v>
      </c>
      <c r="C3" s="24" t="s">
        <v>3</v>
      </c>
      <c r="D3" s="26" t="s">
        <v>4</v>
      </c>
      <c r="E3" s="24">
        <v>0</v>
      </c>
    </row>
    <row r="4" spans="1:5">
      <c r="A4"/>
      <c r="B4" s="24">
        <v>3</v>
      </c>
      <c r="C4" s="24" t="s">
        <v>5</v>
      </c>
      <c r="D4" s="26" t="s">
        <v>6</v>
      </c>
      <c r="E4" s="24">
        <v>0</v>
      </c>
    </row>
    <row r="5" spans="1:5">
      <c r="A5"/>
      <c r="B5" s="24">
        <v>4</v>
      </c>
      <c r="C5" s="24" t="s">
        <v>7</v>
      </c>
      <c r="D5" s="26" t="s">
        <v>8</v>
      </c>
      <c r="E5" s="27">
        <v>272107866</v>
      </c>
    </row>
    <row r="6" spans="1:5">
      <c r="A6"/>
      <c r="B6" s="24">
        <v>5</v>
      </c>
      <c r="C6" s="24" t="s">
        <v>227</v>
      </c>
      <c r="D6" s="26" t="s">
        <v>228</v>
      </c>
      <c r="E6" s="24">
        <v>0</v>
      </c>
    </row>
    <row r="7" spans="1:5">
      <c r="A7"/>
      <c r="B7" s="24">
        <v>6</v>
      </c>
      <c r="C7" s="24" t="s">
        <v>229</v>
      </c>
      <c r="D7" s="26" t="s">
        <v>9</v>
      </c>
      <c r="E7" s="24">
        <v>0</v>
      </c>
    </row>
    <row r="8" spans="1:5">
      <c r="A8"/>
      <c r="B8" s="24">
        <v>7</v>
      </c>
      <c r="C8" s="24" t="s">
        <v>10</v>
      </c>
      <c r="D8" s="26" t="s">
        <v>11</v>
      </c>
      <c r="E8" s="27">
        <v>2848513</v>
      </c>
    </row>
    <row r="9" spans="1:5">
      <c r="A9"/>
      <c r="B9" s="24" t="s">
        <v>184</v>
      </c>
      <c r="C9"/>
      <c r="D9" s="26" t="s">
        <v>185</v>
      </c>
      <c r="E9" s="27">
        <v>274956379</v>
      </c>
    </row>
    <row r="10" spans="1:5">
      <c r="E10" s="27"/>
    </row>
    <row r="11" spans="1:5">
      <c r="E11" s="27"/>
    </row>
    <row r="12" spans="1:5">
      <c r="A12"/>
      <c r="B12" s="24" t="s">
        <v>184</v>
      </c>
      <c r="C12" s="24">
        <v>11.002000000000001</v>
      </c>
      <c r="D12" s="26" t="s">
        <v>230</v>
      </c>
      <c r="E12"/>
    </row>
    <row r="13" spans="1:5">
      <c r="A13"/>
      <c r="B13" s="24">
        <v>9</v>
      </c>
      <c r="C13" s="24" t="s">
        <v>12</v>
      </c>
      <c r="D13" s="26" t="s">
        <v>13</v>
      </c>
      <c r="E13" s="27">
        <v>-125738337</v>
      </c>
    </row>
    <row r="14" spans="1:5">
      <c r="A14"/>
      <c r="B14" s="24">
        <v>10</v>
      </c>
      <c r="C14" s="24" t="s">
        <v>231</v>
      </c>
      <c r="D14" s="26" t="s">
        <v>232</v>
      </c>
      <c r="E14" s="24">
        <v>0</v>
      </c>
    </row>
    <row r="15" spans="1:5">
      <c r="A15"/>
      <c r="B15" s="24">
        <v>11</v>
      </c>
      <c r="C15" s="24" t="s">
        <v>14</v>
      </c>
      <c r="D15" s="26" t="s">
        <v>15</v>
      </c>
      <c r="E15" s="27">
        <v>-1190811</v>
      </c>
    </row>
    <row r="16" spans="1:5">
      <c r="A16"/>
      <c r="B16" s="24">
        <v>12</v>
      </c>
      <c r="C16" s="24" t="s">
        <v>16</v>
      </c>
      <c r="D16" s="26" t="s">
        <v>17</v>
      </c>
      <c r="E16" s="27">
        <v>-2534290</v>
      </c>
    </row>
    <row r="17" spans="2:5">
      <c r="B17" s="24">
        <v>13</v>
      </c>
      <c r="C17" s="24" t="s">
        <v>18</v>
      </c>
      <c r="D17" s="26" t="s">
        <v>9</v>
      </c>
      <c r="E17" s="27">
        <v>-60000</v>
      </c>
    </row>
    <row r="18" spans="2:5">
      <c r="B18" s="24">
        <v>14</v>
      </c>
      <c r="C18" s="24" t="s">
        <v>19</v>
      </c>
      <c r="D18" s="26" t="s">
        <v>20</v>
      </c>
      <c r="E18" s="27">
        <v>-38829</v>
      </c>
    </row>
    <row r="19" spans="2:5">
      <c r="B19" s="24" t="s">
        <v>184</v>
      </c>
      <c r="C19"/>
      <c r="D19" s="26" t="s">
        <v>186</v>
      </c>
      <c r="E19" s="27">
        <v>-129562267</v>
      </c>
    </row>
    <row r="21" spans="2:5">
      <c r="B21" s="24" t="s">
        <v>184</v>
      </c>
      <c r="C21"/>
      <c r="D21" s="26" t="s">
        <v>187</v>
      </c>
      <c r="E21" s="35">
        <v>0.52880000000000005</v>
      </c>
    </row>
    <row r="22" spans="2:5">
      <c r="B22" s="24" t="s">
        <v>184</v>
      </c>
      <c r="C22"/>
      <c r="D22" s="26" t="s">
        <v>188</v>
      </c>
      <c r="E22" s="27">
        <v>145394112</v>
      </c>
    </row>
    <row r="23" spans="2:5">
      <c r="E23" s="27"/>
    </row>
    <row r="24" spans="2:5">
      <c r="B24" s="24" t="s">
        <v>184</v>
      </c>
      <c r="C24" s="24">
        <v>11.003</v>
      </c>
      <c r="D24" s="26" t="s">
        <v>233</v>
      </c>
      <c r="E24"/>
    </row>
    <row r="25" spans="2:5">
      <c r="B25" s="24">
        <v>16</v>
      </c>
      <c r="C25" s="24" t="s">
        <v>234</v>
      </c>
      <c r="D25" s="26" t="s">
        <v>235</v>
      </c>
      <c r="E25" s="24">
        <v>0</v>
      </c>
    </row>
    <row r="26" spans="2:5">
      <c r="B26" s="24">
        <v>17</v>
      </c>
      <c r="C26" s="24" t="s">
        <v>21</v>
      </c>
      <c r="D26" s="26" t="s">
        <v>22</v>
      </c>
      <c r="E26" s="27">
        <v>-42681070</v>
      </c>
    </row>
    <row r="27" spans="2:5">
      <c r="B27" s="24">
        <v>18</v>
      </c>
      <c r="C27" s="24" t="s">
        <v>23</v>
      </c>
      <c r="D27" s="26" t="s">
        <v>24</v>
      </c>
      <c r="E27" s="27">
        <v>-1050657</v>
      </c>
    </row>
    <row r="28" spans="2:5">
      <c r="B28" s="24">
        <v>19</v>
      </c>
      <c r="C28" s="24" t="s">
        <v>25</v>
      </c>
      <c r="D28" s="26" t="s">
        <v>26</v>
      </c>
      <c r="E28" s="27">
        <v>-1551819</v>
      </c>
    </row>
    <row r="29" spans="2:5">
      <c r="B29" s="24">
        <v>20</v>
      </c>
      <c r="C29" s="24" t="s">
        <v>27</v>
      </c>
      <c r="D29" s="26" t="s">
        <v>28</v>
      </c>
      <c r="E29" s="27">
        <v>-10620516</v>
      </c>
    </row>
    <row r="30" spans="2:5">
      <c r="B30" s="24">
        <v>21</v>
      </c>
      <c r="C30" s="24" t="s">
        <v>236</v>
      </c>
      <c r="D30" s="26" t="s">
        <v>237</v>
      </c>
      <c r="E30" s="24">
        <v>0</v>
      </c>
    </row>
    <row r="31" spans="2:5">
      <c r="B31" s="24">
        <v>22</v>
      </c>
      <c r="C31" s="24" t="s">
        <v>29</v>
      </c>
      <c r="D31" s="26" t="s">
        <v>30</v>
      </c>
      <c r="E31" s="24">
        <v>0</v>
      </c>
    </row>
    <row r="32" spans="2:5">
      <c r="B32" s="24">
        <v>23</v>
      </c>
      <c r="C32" s="24" t="s">
        <v>31</v>
      </c>
      <c r="D32" s="26" t="s">
        <v>32</v>
      </c>
      <c r="E32" s="27">
        <v>-572870</v>
      </c>
    </row>
    <row r="33" spans="2:5">
      <c r="B33" s="24">
        <v>24</v>
      </c>
      <c r="C33" s="24" t="s">
        <v>33</v>
      </c>
      <c r="D33" s="26" t="s">
        <v>34</v>
      </c>
      <c r="E33" s="27">
        <v>-997898</v>
      </c>
    </row>
    <row r="34" spans="2:5">
      <c r="B34" s="24">
        <v>25</v>
      </c>
      <c r="C34" s="24" t="s">
        <v>154</v>
      </c>
      <c r="D34" s="26" t="s">
        <v>155</v>
      </c>
      <c r="E34" s="27">
        <v>-61599</v>
      </c>
    </row>
    <row r="35" spans="2:5">
      <c r="B35" s="24">
        <v>26</v>
      </c>
      <c r="C35" s="24" t="s">
        <v>156</v>
      </c>
      <c r="D35" s="26" t="s">
        <v>157</v>
      </c>
      <c r="E35" s="27">
        <v>-554390</v>
      </c>
    </row>
    <row r="36" spans="2:5">
      <c r="B36" s="24">
        <v>27</v>
      </c>
      <c r="C36" s="24" t="s">
        <v>35</v>
      </c>
      <c r="D36" s="26" t="s">
        <v>36</v>
      </c>
      <c r="E36" s="24">
        <v>0</v>
      </c>
    </row>
    <row r="37" spans="2:5">
      <c r="B37" s="24">
        <v>28</v>
      </c>
      <c r="C37" s="24" t="s">
        <v>238</v>
      </c>
      <c r="D37" s="26" t="s">
        <v>239</v>
      </c>
      <c r="E37" s="24">
        <v>0</v>
      </c>
    </row>
    <row r="38" spans="2:5">
      <c r="B38" s="24">
        <v>29</v>
      </c>
      <c r="C38" s="24" t="s">
        <v>240</v>
      </c>
      <c r="D38" s="26" t="s">
        <v>239</v>
      </c>
      <c r="E38" s="24">
        <v>0</v>
      </c>
    </row>
    <row r="39" spans="2:5">
      <c r="B39" s="24">
        <v>30</v>
      </c>
      <c r="C39" s="24" t="s">
        <v>37</v>
      </c>
      <c r="D39" s="26" t="s">
        <v>38</v>
      </c>
      <c r="E39" s="27">
        <v>-3040706</v>
      </c>
    </row>
    <row r="40" spans="2:5">
      <c r="B40" s="24">
        <v>31</v>
      </c>
      <c r="C40" s="24" t="s">
        <v>241</v>
      </c>
      <c r="D40" s="26" t="s">
        <v>242</v>
      </c>
      <c r="E40" s="24">
        <v>0</v>
      </c>
    </row>
    <row r="41" spans="2:5">
      <c r="B41" s="24">
        <v>32</v>
      </c>
      <c r="C41" s="24" t="s">
        <v>39</v>
      </c>
      <c r="D41" s="26" t="s">
        <v>40</v>
      </c>
      <c r="E41" s="27">
        <v>-1618438</v>
      </c>
    </row>
    <row r="42" spans="2:5">
      <c r="B42" s="24">
        <v>33</v>
      </c>
      <c r="C42" s="24" t="s">
        <v>41</v>
      </c>
      <c r="D42" s="26" t="s">
        <v>42</v>
      </c>
      <c r="E42" s="27">
        <v>-6226758</v>
      </c>
    </row>
    <row r="43" spans="2:5">
      <c r="B43" s="24">
        <v>34</v>
      </c>
      <c r="C43" s="24" t="s">
        <v>243</v>
      </c>
      <c r="D43" s="26" t="s">
        <v>244</v>
      </c>
      <c r="E43" s="24">
        <v>0</v>
      </c>
    </row>
    <row r="44" spans="2:5">
      <c r="B44" s="24">
        <v>35</v>
      </c>
      <c r="C44" s="24" t="s">
        <v>245</v>
      </c>
      <c r="D44" s="26" t="s">
        <v>246</v>
      </c>
      <c r="E44" s="24">
        <v>0</v>
      </c>
    </row>
    <row r="45" spans="2:5">
      <c r="B45" s="24">
        <v>36</v>
      </c>
      <c r="C45" s="24" t="s">
        <v>247</v>
      </c>
      <c r="D45" s="26" t="s">
        <v>248</v>
      </c>
      <c r="E45" s="24">
        <v>0</v>
      </c>
    </row>
    <row r="46" spans="2:5">
      <c r="B46" s="24">
        <v>37</v>
      </c>
      <c r="C46" s="24" t="s">
        <v>249</v>
      </c>
      <c r="D46" s="26" t="s">
        <v>250</v>
      </c>
      <c r="E46" s="24">
        <v>0</v>
      </c>
    </row>
    <row r="47" spans="2:5">
      <c r="B47" s="24">
        <v>38</v>
      </c>
      <c r="C47" s="24" t="s">
        <v>251</v>
      </c>
      <c r="D47" s="26" t="s">
        <v>252</v>
      </c>
      <c r="E47" s="24">
        <v>0</v>
      </c>
    </row>
    <row r="48" spans="2:5">
      <c r="B48" s="24">
        <v>39</v>
      </c>
      <c r="C48" s="24" t="s">
        <v>253</v>
      </c>
      <c r="D48" s="26" t="s">
        <v>254</v>
      </c>
      <c r="E48" s="24">
        <v>0</v>
      </c>
    </row>
    <row r="49" spans="2:5">
      <c r="B49" s="24">
        <v>40</v>
      </c>
      <c r="C49" s="24" t="s">
        <v>255</v>
      </c>
      <c r="D49" s="26" t="s">
        <v>256</v>
      </c>
      <c r="E49" s="24">
        <v>0</v>
      </c>
    </row>
    <row r="50" spans="2:5">
      <c r="B50" s="24">
        <v>41</v>
      </c>
      <c r="C50" s="24" t="s">
        <v>257</v>
      </c>
      <c r="D50" s="26" t="s">
        <v>258</v>
      </c>
      <c r="E50" s="24">
        <v>0</v>
      </c>
    </row>
    <row r="51" spans="2:5">
      <c r="B51" s="24">
        <v>42</v>
      </c>
      <c r="C51" s="24" t="s">
        <v>259</v>
      </c>
      <c r="D51" s="26" t="s">
        <v>260</v>
      </c>
      <c r="E51" s="24">
        <v>0</v>
      </c>
    </row>
    <row r="52" spans="2:5">
      <c r="B52" s="24">
        <v>43</v>
      </c>
      <c r="C52" s="24" t="s">
        <v>261</v>
      </c>
      <c r="D52" s="26" t="s">
        <v>262</v>
      </c>
      <c r="E52" s="24">
        <v>0</v>
      </c>
    </row>
    <row r="53" spans="2:5">
      <c r="B53" s="24">
        <v>44</v>
      </c>
      <c r="C53" s="24" t="s">
        <v>263</v>
      </c>
      <c r="D53" s="26" t="s">
        <v>264</v>
      </c>
      <c r="E53" s="24">
        <v>0</v>
      </c>
    </row>
    <row r="54" spans="2:5">
      <c r="B54" s="24">
        <v>45</v>
      </c>
      <c r="C54" s="24" t="s">
        <v>265</v>
      </c>
      <c r="D54" s="26" t="s">
        <v>266</v>
      </c>
      <c r="E54" s="24">
        <v>0</v>
      </c>
    </row>
    <row r="55" spans="2:5">
      <c r="B55" s="24">
        <v>46</v>
      </c>
      <c r="C55" s="24" t="s">
        <v>267</v>
      </c>
      <c r="D55" s="26" t="s">
        <v>268</v>
      </c>
      <c r="E55" s="24">
        <v>0</v>
      </c>
    </row>
    <row r="56" spans="2:5">
      <c r="B56" s="24">
        <v>47</v>
      </c>
      <c r="C56" s="24" t="s">
        <v>269</v>
      </c>
      <c r="D56" s="26" t="s">
        <v>270</v>
      </c>
      <c r="E56" s="24">
        <v>0</v>
      </c>
    </row>
    <row r="57" spans="2:5">
      <c r="B57" s="24">
        <v>48</v>
      </c>
      <c r="C57" s="24" t="s">
        <v>271</v>
      </c>
      <c r="D57" s="26" t="s">
        <v>272</v>
      </c>
      <c r="E57" s="24">
        <v>0</v>
      </c>
    </row>
    <row r="58" spans="2:5">
      <c r="B58" s="24">
        <v>49</v>
      </c>
      <c r="C58" s="24" t="s">
        <v>43</v>
      </c>
      <c r="D58" s="26" t="s">
        <v>44</v>
      </c>
      <c r="E58" s="27">
        <v>-2265000</v>
      </c>
    </row>
    <row r="59" spans="2:5">
      <c r="B59" s="24">
        <v>50</v>
      </c>
      <c r="C59" s="24" t="s">
        <v>45</v>
      </c>
      <c r="D59" s="26" t="s">
        <v>46</v>
      </c>
      <c r="E59" s="27">
        <v>-2265000</v>
      </c>
    </row>
    <row r="60" spans="2:5">
      <c r="B60" s="24">
        <v>51</v>
      </c>
      <c r="C60" s="24" t="s">
        <v>273</v>
      </c>
      <c r="D60" s="26" t="s">
        <v>274</v>
      </c>
      <c r="E60" s="24">
        <v>0</v>
      </c>
    </row>
    <row r="61" spans="2:5">
      <c r="B61" s="24">
        <v>52</v>
      </c>
      <c r="C61" s="24" t="s">
        <v>47</v>
      </c>
      <c r="D61" s="26" t="s">
        <v>48</v>
      </c>
      <c r="E61" s="27">
        <v>-3761294</v>
      </c>
    </row>
    <row r="62" spans="2:5">
      <c r="B62" s="24">
        <v>53</v>
      </c>
      <c r="C62" s="24" t="s">
        <v>275</v>
      </c>
      <c r="D62" s="26" t="s">
        <v>276</v>
      </c>
      <c r="E62" s="24">
        <v>0</v>
      </c>
    </row>
    <row r="63" spans="2:5">
      <c r="B63" s="24">
        <v>54</v>
      </c>
      <c r="C63" s="24" t="s">
        <v>277</v>
      </c>
      <c r="D63" s="26" t="s">
        <v>278</v>
      </c>
      <c r="E63" s="24">
        <v>0</v>
      </c>
    </row>
    <row r="64" spans="2:5">
      <c r="B64" s="24">
        <v>55</v>
      </c>
      <c r="C64" s="24" t="s">
        <v>279</v>
      </c>
      <c r="D64" s="26" t="s">
        <v>280</v>
      </c>
      <c r="E64" s="24">
        <v>0</v>
      </c>
    </row>
    <row r="65" spans="2:5">
      <c r="B65" s="24">
        <v>56</v>
      </c>
      <c r="C65" s="24" t="s">
        <v>281</v>
      </c>
      <c r="D65" s="26" t="s">
        <v>282</v>
      </c>
      <c r="E65" s="24">
        <v>0</v>
      </c>
    </row>
    <row r="66" spans="2:5">
      <c r="B66" s="24">
        <v>57</v>
      </c>
      <c r="C66" s="24" t="s">
        <v>49</v>
      </c>
      <c r="D66" s="26" t="s">
        <v>50</v>
      </c>
      <c r="E66" s="27">
        <v>-2560350</v>
      </c>
    </row>
    <row r="67" spans="2:5">
      <c r="B67" s="24">
        <v>58</v>
      </c>
      <c r="C67" s="24" t="s">
        <v>283</v>
      </c>
      <c r="D67" s="26" t="s">
        <v>284</v>
      </c>
      <c r="E67" s="24">
        <v>0</v>
      </c>
    </row>
    <row r="68" spans="2:5">
      <c r="B68" s="24">
        <v>59</v>
      </c>
      <c r="C68" s="24" t="s">
        <v>51</v>
      </c>
      <c r="D68" s="26" t="s">
        <v>52</v>
      </c>
      <c r="E68" s="27">
        <v>-5498158</v>
      </c>
    </row>
    <row r="69" spans="2:5">
      <c r="B69" s="24">
        <v>60</v>
      </c>
      <c r="C69" s="24" t="s">
        <v>53</v>
      </c>
      <c r="D69" s="26" t="s">
        <v>54</v>
      </c>
      <c r="E69" s="27">
        <v>-415872</v>
      </c>
    </row>
    <row r="70" spans="2:5">
      <c r="B70" s="24">
        <v>61</v>
      </c>
      <c r="C70" s="24" t="s">
        <v>212</v>
      </c>
      <c r="D70" s="26" t="s">
        <v>213</v>
      </c>
      <c r="E70" s="27">
        <v>-1886536</v>
      </c>
    </row>
    <row r="71" spans="2:5">
      <c r="B71" s="24">
        <v>62</v>
      </c>
      <c r="C71" s="24" t="s">
        <v>55</v>
      </c>
      <c r="D71" s="26" t="s">
        <v>56</v>
      </c>
      <c r="E71" s="27">
        <v>-62014152</v>
      </c>
    </row>
    <row r="72" spans="2:5">
      <c r="B72" s="24">
        <v>63</v>
      </c>
      <c r="C72" s="24" t="s">
        <v>57</v>
      </c>
      <c r="D72" s="26" t="s">
        <v>58</v>
      </c>
      <c r="E72" s="27">
        <v>-3094438</v>
      </c>
    </row>
    <row r="73" spans="2:5">
      <c r="B73" s="24">
        <v>64</v>
      </c>
      <c r="C73" s="24" t="s">
        <v>285</v>
      </c>
      <c r="D73" s="26" t="s">
        <v>286</v>
      </c>
      <c r="E73" s="24">
        <v>0</v>
      </c>
    </row>
    <row r="74" spans="2:5">
      <c r="B74" s="24">
        <v>65</v>
      </c>
      <c r="C74" s="24" t="s">
        <v>287</v>
      </c>
      <c r="D74" s="26" t="s">
        <v>288</v>
      </c>
      <c r="E74" s="24">
        <v>0</v>
      </c>
    </row>
    <row r="75" spans="2:5">
      <c r="B75" s="24">
        <v>66</v>
      </c>
      <c r="C75" s="24" t="s">
        <v>59</v>
      </c>
      <c r="D75" s="26" t="s">
        <v>60</v>
      </c>
      <c r="E75" s="27">
        <v>-727799</v>
      </c>
    </row>
    <row r="76" spans="2:5">
      <c r="B76" s="24">
        <v>67</v>
      </c>
      <c r="C76" s="24" t="s">
        <v>61</v>
      </c>
      <c r="D76" s="26" t="s">
        <v>62</v>
      </c>
      <c r="E76" s="27">
        <v>-234000</v>
      </c>
    </row>
    <row r="77" spans="2:5">
      <c r="B77" s="24">
        <v>68</v>
      </c>
      <c r="C77" s="24" t="s">
        <v>200</v>
      </c>
      <c r="D77" s="26" t="s">
        <v>201</v>
      </c>
      <c r="E77" s="24">
        <v>0</v>
      </c>
    </row>
    <row r="78" spans="2:5">
      <c r="B78" s="24">
        <v>69</v>
      </c>
      <c r="C78" s="24" t="s">
        <v>289</v>
      </c>
      <c r="D78" s="26" t="s">
        <v>290</v>
      </c>
      <c r="E78" s="24">
        <v>0</v>
      </c>
    </row>
    <row r="79" spans="2:5">
      <c r="B79" s="24">
        <v>70</v>
      </c>
      <c r="C79" s="24" t="s">
        <v>63</v>
      </c>
      <c r="D79" s="26" t="s">
        <v>64</v>
      </c>
      <c r="E79" s="27">
        <v>-751610</v>
      </c>
    </row>
    <row r="80" spans="2:5">
      <c r="B80" s="24">
        <v>71</v>
      </c>
      <c r="C80" s="24" t="s">
        <v>291</v>
      </c>
      <c r="D80" s="26" t="s">
        <v>292</v>
      </c>
      <c r="E80" s="24">
        <v>0</v>
      </c>
    </row>
    <row r="81" spans="2:5">
      <c r="B81" s="24">
        <v>72</v>
      </c>
      <c r="C81" s="24" t="s">
        <v>65</v>
      </c>
      <c r="D81" s="26" t="s">
        <v>66</v>
      </c>
      <c r="E81" s="27">
        <v>-132656</v>
      </c>
    </row>
    <row r="82" spans="2:5">
      <c r="B82" s="24">
        <v>73</v>
      </c>
      <c r="C82" s="24" t="s">
        <v>67</v>
      </c>
      <c r="D82" s="26" t="s">
        <v>68</v>
      </c>
      <c r="E82" s="27">
        <v>-839257</v>
      </c>
    </row>
    <row r="83" spans="2:5">
      <c r="B83" s="24">
        <v>74</v>
      </c>
      <c r="C83" s="24" t="s">
        <v>176</v>
      </c>
      <c r="D83" s="26" t="s">
        <v>177</v>
      </c>
      <c r="E83" s="24">
        <v>0</v>
      </c>
    </row>
    <row r="84" spans="2:5">
      <c r="B84" s="24">
        <v>75</v>
      </c>
      <c r="C84" s="24" t="s">
        <v>69</v>
      </c>
      <c r="D84" s="26" t="s">
        <v>70</v>
      </c>
      <c r="E84" s="24">
        <v>0</v>
      </c>
    </row>
    <row r="85" spans="2:5">
      <c r="B85" s="24">
        <v>76</v>
      </c>
      <c r="C85" s="24" t="s">
        <v>71</v>
      </c>
      <c r="D85" s="26" t="s">
        <v>72</v>
      </c>
      <c r="E85" s="27">
        <v>-591736</v>
      </c>
    </row>
    <row r="86" spans="2:5">
      <c r="B86" s="24">
        <v>77</v>
      </c>
      <c r="C86" s="24" t="s">
        <v>73</v>
      </c>
      <c r="D86" s="26" t="s">
        <v>74</v>
      </c>
      <c r="E86" s="27">
        <v>-60958</v>
      </c>
    </row>
    <row r="87" spans="2:5">
      <c r="B87" s="24">
        <v>78</v>
      </c>
      <c r="C87" s="24" t="s">
        <v>75</v>
      </c>
      <c r="D87" s="26" t="s">
        <v>76</v>
      </c>
      <c r="E87" s="27">
        <v>-1338663</v>
      </c>
    </row>
    <row r="88" spans="2:5">
      <c r="B88" s="24">
        <v>79</v>
      </c>
      <c r="C88" s="24" t="s">
        <v>77</v>
      </c>
      <c r="D88" s="26" t="s">
        <v>78</v>
      </c>
      <c r="E88" s="27">
        <v>-642168</v>
      </c>
    </row>
    <row r="89" spans="2:5">
      <c r="B89" s="24">
        <v>80</v>
      </c>
      <c r="C89" s="24" t="s">
        <v>79</v>
      </c>
      <c r="D89" s="26" t="s">
        <v>80</v>
      </c>
      <c r="E89" s="24">
        <v>0</v>
      </c>
    </row>
    <row r="90" spans="2:5">
      <c r="B90" s="24">
        <v>81</v>
      </c>
      <c r="C90" s="24" t="s">
        <v>293</v>
      </c>
      <c r="D90" s="26" t="s">
        <v>294</v>
      </c>
      <c r="E90" s="24">
        <v>0</v>
      </c>
    </row>
    <row r="91" spans="2:5">
      <c r="B91" s="24">
        <v>82</v>
      </c>
      <c r="C91" s="24" t="s">
        <v>81</v>
      </c>
      <c r="D91" s="26" t="s">
        <v>82</v>
      </c>
      <c r="E91" s="27">
        <v>-295630</v>
      </c>
    </row>
    <row r="92" spans="2:5">
      <c r="B92" s="24">
        <v>83</v>
      </c>
      <c r="C92" s="24" t="s">
        <v>83</v>
      </c>
      <c r="D92" s="26" t="s">
        <v>84</v>
      </c>
      <c r="E92" s="27">
        <v>-395336</v>
      </c>
    </row>
    <row r="93" spans="2:5">
      <c r="B93" s="24">
        <v>84</v>
      </c>
      <c r="C93" s="24" t="s">
        <v>145</v>
      </c>
      <c r="D93" s="26" t="s">
        <v>146</v>
      </c>
      <c r="E93" s="24">
        <v>0</v>
      </c>
    </row>
    <row r="94" spans="2:5">
      <c r="B94" s="24">
        <v>85</v>
      </c>
      <c r="C94" s="24" t="s">
        <v>85</v>
      </c>
      <c r="D94" s="26" t="s">
        <v>86</v>
      </c>
      <c r="E94" s="27">
        <v>-497882</v>
      </c>
    </row>
    <row r="95" spans="2:5">
      <c r="B95" s="24">
        <v>86</v>
      </c>
      <c r="C95" s="24" t="s">
        <v>295</v>
      </c>
      <c r="D95" s="26" t="s">
        <v>296</v>
      </c>
      <c r="E95" s="24">
        <v>0</v>
      </c>
    </row>
    <row r="96" spans="2:5">
      <c r="B96" s="24">
        <v>87</v>
      </c>
      <c r="C96" s="24" t="s">
        <v>297</v>
      </c>
      <c r="D96" s="26" t="s">
        <v>298</v>
      </c>
      <c r="E96" s="24">
        <v>0</v>
      </c>
    </row>
    <row r="97" spans="2:5">
      <c r="B97" s="24">
        <v>88</v>
      </c>
      <c r="C97" s="24" t="s">
        <v>87</v>
      </c>
      <c r="D97" s="26" t="s">
        <v>88</v>
      </c>
      <c r="E97" s="27">
        <v>-2544797</v>
      </c>
    </row>
    <row r="98" spans="2:5">
      <c r="B98" s="24">
        <v>89</v>
      </c>
      <c r="C98" s="24" t="s">
        <v>158</v>
      </c>
      <c r="D98" s="26" t="s">
        <v>159</v>
      </c>
      <c r="E98" s="27">
        <v>-801612</v>
      </c>
    </row>
    <row r="99" spans="2:5">
      <c r="B99" s="24">
        <v>90</v>
      </c>
      <c r="C99" s="24" t="s">
        <v>299</v>
      </c>
      <c r="D99" s="26" t="s">
        <v>300</v>
      </c>
      <c r="E99" s="24">
        <v>0</v>
      </c>
    </row>
    <row r="100" spans="2:5">
      <c r="B100" s="24">
        <v>91</v>
      </c>
      <c r="C100" s="24" t="s">
        <v>301</v>
      </c>
      <c r="D100" s="26" t="s">
        <v>302</v>
      </c>
      <c r="E100" s="24">
        <v>0</v>
      </c>
    </row>
    <row r="101" spans="2:5">
      <c r="B101" s="24">
        <v>92</v>
      </c>
      <c r="C101" s="24" t="s">
        <v>89</v>
      </c>
      <c r="D101" s="26" t="s">
        <v>90</v>
      </c>
      <c r="E101" s="27">
        <v>-125930</v>
      </c>
    </row>
    <row r="102" spans="2:5">
      <c r="B102" s="24">
        <v>93</v>
      </c>
      <c r="C102" s="24" t="s">
        <v>91</v>
      </c>
      <c r="D102" s="26" t="s">
        <v>92</v>
      </c>
      <c r="E102" s="27">
        <v>-1940660</v>
      </c>
    </row>
    <row r="103" spans="2:5">
      <c r="B103" s="24">
        <v>94</v>
      </c>
      <c r="C103" s="24" t="s">
        <v>303</v>
      </c>
      <c r="D103" s="26" t="s">
        <v>304</v>
      </c>
      <c r="E103" s="24">
        <v>0</v>
      </c>
    </row>
    <row r="104" spans="2:5">
      <c r="B104" s="24">
        <v>95</v>
      </c>
      <c r="C104" s="24" t="s">
        <v>305</v>
      </c>
      <c r="D104" s="26" t="s">
        <v>306</v>
      </c>
      <c r="E104" s="24">
        <v>0</v>
      </c>
    </row>
    <row r="105" spans="2:5">
      <c r="B105" s="24">
        <v>96</v>
      </c>
      <c r="C105" s="24" t="s">
        <v>307</v>
      </c>
      <c r="D105" s="26" t="s">
        <v>308</v>
      </c>
      <c r="E105" s="24">
        <v>0</v>
      </c>
    </row>
    <row r="106" spans="2:5">
      <c r="B106" s="24">
        <v>97</v>
      </c>
      <c r="C106" s="24" t="s">
        <v>93</v>
      </c>
      <c r="D106" s="26" t="s">
        <v>94</v>
      </c>
      <c r="E106" s="27">
        <v>-268932</v>
      </c>
    </row>
    <row r="107" spans="2:5">
      <c r="B107" s="24">
        <v>98</v>
      </c>
      <c r="C107" s="24" t="s">
        <v>309</v>
      </c>
      <c r="D107" s="26" t="s">
        <v>310</v>
      </c>
      <c r="E107" s="24">
        <v>0</v>
      </c>
    </row>
    <row r="108" spans="2:5">
      <c r="B108" s="24">
        <v>99</v>
      </c>
      <c r="C108" s="24" t="s">
        <v>311</v>
      </c>
      <c r="D108" s="26" t="s">
        <v>312</v>
      </c>
      <c r="E108" s="24">
        <v>0</v>
      </c>
    </row>
    <row r="109" spans="2:5">
      <c r="B109" s="24">
        <v>100</v>
      </c>
      <c r="C109" s="24" t="s">
        <v>313</v>
      </c>
      <c r="D109" s="26" t="s">
        <v>314</v>
      </c>
      <c r="E109" s="24">
        <v>0</v>
      </c>
    </row>
    <row r="110" spans="2:5">
      <c r="B110" s="24">
        <v>101</v>
      </c>
      <c r="C110" s="24" t="s">
        <v>95</v>
      </c>
      <c r="D110" s="26" t="s">
        <v>96</v>
      </c>
      <c r="E110" s="27">
        <v>-541847</v>
      </c>
    </row>
    <row r="111" spans="2:5">
      <c r="B111" s="24" t="s">
        <v>184</v>
      </c>
      <c r="C111"/>
      <c r="D111" s="26" t="s">
        <v>189</v>
      </c>
      <c r="E111" s="27">
        <v>-165468994</v>
      </c>
    </row>
    <row r="113" spans="2:5">
      <c r="B113" s="24" t="s">
        <v>184</v>
      </c>
      <c r="C113"/>
      <c r="D113" s="26" t="s">
        <v>190</v>
      </c>
      <c r="E113" s="27">
        <v>-20074882</v>
      </c>
    </row>
    <row r="115" spans="2:5">
      <c r="B115" s="24" t="s">
        <v>184</v>
      </c>
      <c r="C115" s="24">
        <v>11.004</v>
      </c>
      <c r="D115" s="26" t="s">
        <v>315</v>
      </c>
      <c r="E115"/>
    </row>
    <row r="116" spans="2:5">
      <c r="B116" s="24">
        <v>103</v>
      </c>
      <c r="C116" s="24" t="s">
        <v>160</v>
      </c>
      <c r="D116" s="26" t="s">
        <v>164</v>
      </c>
      <c r="E116" s="27">
        <v>-19355</v>
      </c>
    </row>
    <row r="117" spans="2:5">
      <c r="B117" s="24">
        <v>104</v>
      </c>
      <c r="C117" s="24" t="s">
        <v>97</v>
      </c>
      <c r="D117" s="26" t="s">
        <v>98</v>
      </c>
      <c r="E117" s="27">
        <v>815105</v>
      </c>
    </row>
    <row r="118" spans="2:5">
      <c r="B118" s="24">
        <v>105</v>
      </c>
      <c r="C118" s="24" t="s">
        <v>99</v>
      </c>
      <c r="D118" s="26" t="s">
        <v>100</v>
      </c>
      <c r="E118" s="27">
        <v>10248</v>
      </c>
    </row>
    <row r="119" spans="2:5">
      <c r="B119" s="24">
        <v>106</v>
      </c>
      <c r="C119" s="24" t="s">
        <v>101</v>
      </c>
      <c r="D119" s="26" t="s">
        <v>102</v>
      </c>
      <c r="E119" s="27">
        <v>775274</v>
      </c>
    </row>
    <row r="120" spans="2:5">
      <c r="B120" s="24">
        <v>107</v>
      </c>
      <c r="C120" s="24" t="s">
        <v>316</v>
      </c>
      <c r="D120" s="26" t="s">
        <v>317</v>
      </c>
      <c r="E120" s="24">
        <v>0</v>
      </c>
    </row>
    <row r="121" spans="2:5">
      <c r="B121" s="24">
        <v>108</v>
      </c>
      <c r="C121" s="24" t="s">
        <v>318</v>
      </c>
      <c r="D121" s="26" t="s">
        <v>319</v>
      </c>
      <c r="E121" s="24">
        <v>0</v>
      </c>
    </row>
    <row r="122" spans="2:5">
      <c r="B122" s="24">
        <v>109</v>
      </c>
      <c r="C122" s="24" t="s">
        <v>320</v>
      </c>
      <c r="D122" s="26" t="s">
        <v>321</v>
      </c>
      <c r="E122" s="24">
        <v>0</v>
      </c>
    </row>
    <row r="123" spans="2:5">
      <c r="B123" s="24">
        <v>110</v>
      </c>
      <c r="C123" s="24" t="s">
        <v>322</v>
      </c>
      <c r="D123" s="26" t="s">
        <v>323</v>
      </c>
      <c r="E123" s="24">
        <v>0</v>
      </c>
    </row>
    <row r="124" spans="2:5">
      <c r="B124" s="24">
        <v>111</v>
      </c>
      <c r="C124" s="24" t="s">
        <v>103</v>
      </c>
      <c r="D124" s="26" t="s">
        <v>104</v>
      </c>
      <c r="E124" s="27">
        <v>21664599</v>
      </c>
    </row>
    <row r="125" spans="2:5">
      <c r="B125" s="24" t="s">
        <v>184</v>
      </c>
      <c r="C125"/>
      <c r="D125" s="26" t="s">
        <v>191</v>
      </c>
      <c r="E125" s="27">
        <v>23245871</v>
      </c>
    </row>
    <row r="128" spans="2:5">
      <c r="B128" s="24" t="s">
        <v>184</v>
      </c>
      <c r="C128" s="24">
        <v>11.005000000000001</v>
      </c>
      <c r="D128" s="26" t="s">
        <v>324</v>
      </c>
      <c r="E128"/>
    </row>
    <row r="129" spans="2:5">
      <c r="B129" s="24">
        <v>113</v>
      </c>
      <c r="C129" s="24" t="s">
        <v>105</v>
      </c>
      <c r="D129" s="26" t="s">
        <v>106</v>
      </c>
      <c r="E129" s="27">
        <v>-7337342</v>
      </c>
    </row>
    <row r="130" spans="2:5">
      <c r="B130" s="24">
        <v>114</v>
      </c>
      <c r="C130" s="24" t="s">
        <v>107</v>
      </c>
      <c r="D130" s="26" t="s">
        <v>108</v>
      </c>
      <c r="E130" s="27">
        <v>-8646816</v>
      </c>
    </row>
    <row r="131" spans="2:5">
      <c r="B131" s="24">
        <v>115</v>
      </c>
      <c r="C131" s="24" t="s">
        <v>325</v>
      </c>
      <c r="D131" s="26" t="s">
        <v>326</v>
      </c>
      <c r="E131" s="24">
        <v>0</v>
      </c>
    </row>
    <row r="132" spans="2:5">
      <c r="B132" s="24">
        <v>116</v>
      </c>
      <c r="C132" s="24" t="s">
        <v>109</v>
      </c>
      <c r="D132" s="26" t="s">
        <v>110</v>
      </c>
      <c r="E132" s="27">
        <v>-10034282</v>
      </c>
    </row>
    <row r="133" spans="2:5">
      <c r="B133" s="24">
        <v>117</v>
      </c>
      <c r="C133" s="24" t="s">
        <v>111</v>
      </c>
      <c r="D133" s="26" t="s">
        <v>112</v>
      </c>
      <c r="E133" s="24">
        <v>1</v>
      </c>
    </row>
    <row r="134" spans="2:5">
      <c r="B134" s="24" t="s">
        <v>184</v>
      </c>
      <c r="C134"/>
      <c r="D134" s="26" t="s">
        <v>192</v>
      </c>
      <c r="E134" s="27">
        <v>-26018439</v>
      </c>
    </row>
    <row r="136" spans="2:5">
      <c r="B136" s="24" t="s">
        <v>184</v>
      </c>
      <c r="C136"/>
      <c r="D136" s="26" t="s">
        <v>193</v>
      </c>
      <c r="E136" s="27">
        <v>-2772568</v>
      </c>
    </row>
    <row r="138" spans="2:5">
      <c r="B138" s="24" t="s">
        <v>184</v>
      </c>
      <c r="C138" s="24">
        <v>11.006</v>
      </c>
      <c r="D138" s="26" t="s">
        <v>327</v>
      </c>
      <c r="E138"/>
    </row>
    <row r="139" spans="2:5">
      <c r="B139" s="24">
        <v>119</v>
      </c>
      <c r="C139" s="24" t="s">
        <v>113</v>
      </c>
      <c r="D139" s="26" t="s">
        <v>114</v>
      </c>
      <c r="E139" s="27">
        <v>-3489821</v>
      </c>
    </row>
    <row r="140" spans="2:5">
      <c r="B140" s="24">
        <v>120</v>
      </c>
      <c r="C140" s="24" t="s">
        <v>115</v>
      </c>
      <c r="D140" s="26" t="s">
        <v>116</v>
      </c>
      <c r="E140" s="27">
        <v>-1581257</v>
      </c>
    </row>
    <row r="141" spans="2:5">
      <c r="B141" s="24">
        <v>121</v>
      </c>
      <c r="C141" s="24" t="s">
        <v>328</v>
      </c>
      <c r="D141" s="26" t="s">
        <v>329</v>
      </c>
      <c r="E141" s="24">
        <v>0</v>
      </c>
    </row>
    <row r="142" spans="2:5">
      <c r="B142" s="24" t="s">
        <v>184</v>
      </c>
      <c r="C142"/>
      <c r="D142" s="26" t="s">
        <v>194</v>
      </c>
      <c r="E142" s="27">
        <v>-5071078</v>
      </c>
    </row>
    <row r="144" spans="2:5">
      <c r="B144" s="24" t="s">
        <v>184</v>
      </c>
      <c r="C144"/>
      <c r="D144" s="26" t="s">
        <v>195</v>
      </c>
      <c r="E144" s="27">
        <v>-27918528</v>
      </c>
    </row>
    <row r="146" spans="2:5">
      <c r="B146" s="24" t="s">
        <v>184</v>
      </c>
      <c r="C146" s="24">
        <v>11.007</v>
      </c>
      <c r="D146" s="26" t="s">
        <v>330</v>
      </c>
      <c r="E146"/>
    </row>
    <row r="147" spans="2:5">
      <c r="B147" s="24">
        <v>123</v>
      </c>
      <c r="C147" s="24" t="s">
        <v>117</v>
      </c>
      <c r="D147" s="26" t="s">
        <v>118</v>
      </c>
      <c r="E147" s="27">
        <v>3711811</v>
      </c>
    </row>
    <row r="148" spans="2:5">
      <c r="B148"/>
      <c r="C148"/>
      <c r="D148"/>
      <c r="E148" s="27">
        <v>3711811</v>
      </c>
    </row>
    <row r="151" spans="2:5">
      <c r="B151" s="24" t="s">
        <v>184</v>
      </c>
      <c r="C151"/>
      <c r="D151" s="26" t="s">
        <v>196</v>
      </c>
      <c r="E151" s="27">
        <v>-24206717</v>
      </c>
    </row>
    <row r="30002" spans="1:5">
      <c r="A30002" s="26" t="e">
        <v>#N/A</v>
      </c>
      <c r="B30002" s="24" t="e">
        <v>#N/A</v>
      </c>
      <c r="C30002" s="24" t="e">
        <v>#N/A</v>
      </c>
      <c r="D30002" s="26" t="e">
        <v>#N/A</v>
      </c>
      <c r="E30002" s="24" t="e"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EDD4B8-25CB-4980-8687-01DB266AB1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0882D2-0088-4078-B88C-64DD2299A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CDC688-83D4-46BD-9FA2-26B7D38E456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EERR COMPACTO</vt:lpstr>
      <vt:lpstr>EERR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2025-05-14T17:43:20Z</dcterms:created>
  <dcterms:modified xsi:type="dcterms:W3CDTF">2026-05-14T21:10:54Z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