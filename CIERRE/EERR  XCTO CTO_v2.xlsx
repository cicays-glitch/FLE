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A132AC08-9C88-459D-94AB-7D8C98C2A3FF}" xr6:coauthVersionLast="47" xr6:coauthVersionMax="47" xr10:uidLastSave="{00000000-0000-0000-0000-000000000000}"/>
  <bookViews>
    <workbookView xWindow="-107" yWindow="-107" windowWidth="20847" windowHeight="11111" xr2:uid="{AF331FDE-83F6-4A8E-969F-1CF11F8E247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9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8" i="1"/>
  <c r="AB5" i="1"/>
  <c r="AB4" i="1"/>
  <c r="U3" i="1"/>
  <c r="U4" i="1"/>
  <c r="U5" i="1"/>
  <c r="U6" i="1"/>
  <c r="U7" i="1"/>
  <c r="U8" i="1"/>
  <c r="U9" i="1"/>
  <c r="U71" i="1" s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P64" i="1"/>
  <c r="P65" i="1"/>
  <c r="P66" i="1"/>
  <c r="P67" i="1"/>
  <c r="P68" i="1"/>
  <c r="P6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2" i="1"/>
  <c r="Q71" i="1"/>
  <c r="R71" i="1"/>
  <c r="F71" i="1"/>
  <c r="G71" i="1"/>
  <c r="G72" i="1" s="1"/>
  <c r="H71" i="1"/>
  <c r="J71" i="1"/>
  <c r="K71" i="1"/>
  <c r="L71" i="1"/>
  <c r="M71" i="1"/>
  <c r="E71" i="1"/>
  <c r="S71" i="1"/>
  <c r="V71" i="1"/>
  <c r="W71" i="1"/>
  <c r="T71" i="1"/>
  <c r="X71" i="1"/>
  <c r="Y71" i="1"/>
  <c r="Z71" i="1"/>
  <c r="N71" i="1"/>
  <c r="O71" i="1"/>
  <c r="AA71" i="1"/>
  <c r="I71" i="1"/>
  <c r="B67" i="1"/>
  <c r="A67" i="1" s="1"/>
  <c r="B68" i="1"/>
  <c r="A68" i="1" s="1"/>
  <c r="B69" i="1"/>
  <c r="A69" i="1" s="1"/>
  <c r="B70" i="1"/>
  <c r="A70" i="1" s="1"/>
  <c r="B63" i="1"/>
  <c r="A63" i="1" s="1"/>
  <c r="B64" i="1"/>
  <c r="A64" i="1" s="1"/>
  <c r="B65" i="1"/>
  <c r="A65" i="1" s="1"/>
  <c r="B66" i="1"/>
  <c r="A66" i="1" s="1"/>
  <c r="B59" i="1"/>
  <c r="A59" i="1" s="1"/>
  <c r="B60" i="1"/>
  <c r="A60" i="1" s="1"/>
  <c r="B61" i="1"/>
  <c r="A61" i="1" s="1"/>
  <c r="B62" i="1"/>
  <c r="A62" i="1" s="1"/>
  <c r="B58" i="1"/>
  <c r="A58" i="1" s="1"/>
  <c r="B56" i="1"/>
  <c r="A56" i="1" s="1"/>
  <c r="B57" i="1"/>
  <c r="A57" i="1" s="1"/>
  <c r="B54" i="1"/>
  <c r="A54" i="1" s="1"/>
  <c r="B55" i="1"/>
  <c r="A55" i="1" s="1"/>
  <c r="B50" i="1"/>
  <c r="A50" i="1" s="1"/>
  <c r="B51" i="1"/>
  <c r="A51" i="1" s="1"/>
  <c r="B52" i="1"/>
  <c r="A52" i="1" s="1"/>
  <c r="B53" i="1"/>
  <c r="A53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40" i="1"/>
  <c r="A40" i="1" s="1"/>
  <c r="B37" i="1"/>
  <c r="A37" i="1" s="1"/>
  <c r="B38" i="1"/>
  <c r="A38" i="1" s="1"/>
  <c r="B39" i="1"/>
  <c r="A39" i="1" s="1"/>
  <c r="B32" i="1"/>
  <c r="A32" i="1" s="1"/>
  <c r="B33" i="1"/>
  <c r="A33" i="1" s="1"/>
  <c r="B34" i="1"/>
  <c r="A34" i="1" s="1"/>
  <c r="B35" i="1"/>
  <c r="A35" i="1" s="1"/>
  <c r="B36" i="1"/>
  <c r="A36" i="1" s="1"/>
  <c r="B31" i="1"/>
  <c r="A31" i="1" s="1"/>
  <c r="B30" i="1"/>
  <c r="A30" i="1" s="1"/>
  <c r="B28" i="1"/>
  <c r="A28" i="1" s="1"/>
  <c r="B29" i="1"/>
  <c r="A29" i="1" s="1"/>
  <c r="B26" i="1"/>
  <c r="A26" i="1" s="1"/>
  <c r="B27" i="1"/>
  <c r="A27" i="1" s="1"/>
  <c r="B25" i="1"/>
  <c r="A25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15" i="1"/>
  <c r="A15" i="1" s="1"/>
  <c r="B16" i="1"/>
  <c r="A16" i="1" s="1"/>
  <c r="B17" i="1"/>
  <c r="A17" i="1" s="1"/>
  <c r="B18" i="1"/>
  <c r="A18" i="1" s="1"/>
  <c r="B12" i="1"/>
  <c r="A12" i="1" s="1"/>
  <c r="B13" i="1"/>
  <c r="A13" i="1" s="1"/>
  <c r="B14" i="1"/>
  <c r="A14" i="1" s="1"/>
  <c r="B10" i="1"/>
  <c r="A10" i="1" s="1"/>
  <c r="B11" i="1"/>
  <c r="A11" i="1" s="1"/>
  <c r="B9" i="1"/>
  <c r="A9" i="1" s="1"/>
  <c r="B5" i="1"/>
  <c r="B8" i="1"/>
  <c r="A8" i="1" s="1"/>
  <c r="P71" i="1" l="1"/>
</calcChain>
</file>

<file path=xl/sharedStrings.xml><?xml version="1.0" encoding="utf-8"?>
<sst xmlns="http://schemas.openxmlformats.org/spreadsheetml/2006/main" count="238" uniqueCount="173">
  <si>
    <t>CUENTA</t>
  </si>
  <si>
    <t>DESCRIPCION</t>
  </si>
  <si>
    <t>ADMINISTRACION</t>
  </si>
  <si>
    <t>TRANSITO</t>
  </si>
  <si>
    <t>MARKETING</t>
  </si>
  <si>
    <t>FLEXI ECOMMERCE</t>
  </si>
  <si>
    <t>FLEXI PLAZA EGAÑA</t>
  </si>
  <si>
    <t>FLEXI PLAZA VESPUCIO</t>
  </si>
  <si>
    <t>FLEXI EL TREBOL</t>
  </si>
  <si>
    <t>FLEXI COSTANERA CENTER</t>
  </si>
  <si>
    <t>FLEXI FLORIDA CENTER</t>
  </si>
  <si>
    <t>FLEXI ESTADO</t>
  </si>
  <si>
    <t>FLEXI TALCA</t>
  </si>
  <si>
    <t>CEDIS CHILE</t>
  </si>
  <si>
    <t>MARKETPLACE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</si>
  <si>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</si>
  <si>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</si>
  <si>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</si>
  <si>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</si>
  <si>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</si>
  <si>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</si>
  <si>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</si>
  <si>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</si>
  <si>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</si>
  <si>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</si>
  <si>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</si>
  <si>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</si>
  <si>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</si>
  <si>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</si>
  <si>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</si>
  <si>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</si>
  <si>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</si>
  <si>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</si>
  <si>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</si>
  <si>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</si>
  <si>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</si>
  <si>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</si>
  <si>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</si>
  <si>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</si>
  <si>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</si>
  <si>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</si>
  <si>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</si>
  <si>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</si>
  <si>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</si>
  <si>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</si>
  <si>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</si>
  <si>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</si>
  <si>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</si>
  <si>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</si>
  <si>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</si>
  <si>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</si>
  <si>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</si>
  <si>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</si>
  <si>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</si>
  <si>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</si>
  <si>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</si>
  <si>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</si>
  <si>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</si>
  <si>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</si>
  <si>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</si>
  <si>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</si>
  <si>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</si>
  <si>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</si>
  <si>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</si>
  <si>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</si>
  <si>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</si>
  <si>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</si>
  <si>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</si>
  <si>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</si>
  <si>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</si>
  <si>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</si>
  <si>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</si>
  <si>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</si>
  <si>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</si>
  <si>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</si>
  <si>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</si>
  <si>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</si>
  <si>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</si>
  <si>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</si>
  <si>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</si>
  <si>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</si>
  <si>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</si>
  <si>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</si>
  <si>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</si>
  <si>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</si>
  <si>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</si>
  <si>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</si>
  <si>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</si>
  <si>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</si>
  <si>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</si>
  <si>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</si>
  <si>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</si>
  <si>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</si>
  <si>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</si>
  <si>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</si>
  <si>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</si>
  <si>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</si>
  <si>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</si>
  <si>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</si>
  <si>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</si>
  <si>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</si>
  <si>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</si>
  <si>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</si>
  <si>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</si>
  <si>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</si>
  <si>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</si>
  <si>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</si>
  <si>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</si>
  <si>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</si>
  <si>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</si>
  <si>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</si>
  <si>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</si>
  <si>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</si>
  <si>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</si>
  <si>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</si>
  <si>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</si>
  <si>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</si>
  <si>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</si>
  <si>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</si>
  <si>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</si>
  <si>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</si>
  <si>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</si>
  <si>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</si>
  <si>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</si>
  <si>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</si>
  <si>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</si>
  <si>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</si>
  <si>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</si>
  <si>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</si>
  <si>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</si>
  <si>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</si>
  <si>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</si>
  <si>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</si>
  <si>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</si>
  <si>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</si>
  <si>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</si>
  <si>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</si>
  <si>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</si>
  <si>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</si>
  <si>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</si>
  <si>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</si>
  <si>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</si>
  <si>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</si>
  <si>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</si>
  <si>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</si>
  <si>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</si>
  <si>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</si>
  <si>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</si>
  <si>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</si>
  <si>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</si>
  <si>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</si>
  <si>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</si>
  <si>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</si>
  <si>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</si>
  <si>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</si>
  <si>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</si>
  <si>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</si>
  <si>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</si>
  <si>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</si>
  <si>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</si>
  <si>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</si>
  <si>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</si>
  <si>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</si>
  <si>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</si>
  <si>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</si>
  <si>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</si>
  <si>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</si>
  <si>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</si>
  <si>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</si>
  <si>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</si>
  <si>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</si>
  <si>
    <t>depa</t>
  </si>
  <si>
    <t xml:space="preserve">                                -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</si>
</sst>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8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2" fillId="0" borderId="0"/>
    <xf numFmtId="0" fontId="21" fillId="0" borderId="0" applyNumberFormat="0" applyFill="0" applyBorder="0">
      <alignment vertical="center"/>
    </xf>
    <xf numFmtId="0" fontId="23" fillId="0" borderId="0"/>
    <xf numFmtId="0" fontId="1" fillId="0" borderId="0"/>
    <xf numFmtId="0" fontId="21" fillId="0" borderId="0" applyNumberFormat="0" applyFill="0" applyBorder="0">
      <alignment vertical="center"/>
    </xf>
    <xf numFmtId="0" fontId="25" fillId="0" borderId="0"/>
    <xf numFmtId="169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4" fillId="4" borderId="0" applyNumberFormat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3" fontId="0" fillId="0" borderId="0" xfId="0" applyNumberFormat="1"/>
    <xf numFmtId="10" fontId="0" fillId="0" borderId="0" xfId="0" applyNumberFormat="1"/>
    <xf numFmtId="0" fontId="17" fillId="0" borderId="10" xfId="0" applyFont="1" applyBorder="1"/>
    <xf numFmtId="0" fontId="18" fillId="0" borderId="0" xfId="0" applyFont="1"/>
    <xf numFmtId="0" fontId="17" fillId="33" borderId="10" xfId="0" applyFont="1" applyFill="1" applyBorder="1" applyAlignment="1">
      <alignment horizontal="center" wrapText="1"/>
    </xf>
    <xf numFmtId="0" fontId="0" fillId="33" borderId="0" xfId="0" applyFill="1"/>
    <xf numFmtId="3" fontId="0" fillId="33" borderId="0" xfId="0" applyNumberFormat="1" applyFill="1"/>
    <xf numFmtId="10" fontId="0" fillId="33" borderId="0" xfId="0" applyNumberFormat="1" applyFill="1"/>
    <xf numFmtId="41" fontId="13" fillId="38" borderId="0" xfId="1" applyFont="1" applyFill="1"/>
    <xf numFmtId="3" fontId="0" fillId="36" borderId="0" xfId="0" applyNumberFormat="1" applyFill="1"/>
    <xf numFmtId="0" fontId="0" fillId="36" borderId="0" xfId="0" applyFill="1"/>
    <xf numFmtId="10" fontId="0" fillId="39" borderId="0" xfId="0" applyNumberFormat="1" applyFill="1"/>
    <xf numFmtId="41" fontId="13" fillId="39" borderId="0" xfId="1" applyFont="1" applyFill="1"/>
    <xf numFmtId="0" fontId="0" fillId="39" borderId="0" xfId="0" applyFill="1"/>
    <xf numFmtId="0" fontId="17" fillId="39" borderId="10" xfId="0" applyFont="1" applyFill="1" applyBorder="1" applyAlignment="1">
      <alignment horizontal="center" wrapText="1"/>
    </xf>
    <xf numFmtId="10" fontId="0" fillId="38" borderId="0" xfId="0" applyNumberFormat="1" applyFill="1"/>
    <xf numFmtId="0" fontId="17" fillId="38" borderId="10" xfId="0" applyFont="1" applyFill="1" applyBorder="1" applyAlignment="1">
      <alignment horizontal="center" wrapText="1"/>
    </xf>
    <xf numFmtId="41" fontId="0" fillId="33" borderId="0" xfId="0" applyNumberFormat="1" applyFill="1"/>
    <xf numFmtId="41" fontId="13" fillId="33" borderId="0" xfId="1" applyFont="1" applyFill="1"/>
    <xf numFmtId="0" fontId="0" fillId="33" borderId="11" xfId="0" applyFill="1" applyBorder="1"/>
    <xf numFmtId="0" fontId="0" fillId="0" borderId="11" xfId="0" applyBorder="1"/>
    <xf numFmtId="41" fontId="13" fillId="0" borderId="0" xfId="1" applyFont="1"/>
    <xf numFmtId="0" fontId="0" fillId="38" borderId="0" xfId="0" applyFill="1"/>
    <xf numFmtId="0" fontId="0" fillId="0" borderId="0" xfId="0"/>
    <xf numFmtId="0" fontId="26" fillId="0" borderId="10" xfId="0" applyFont="1" applyBorder="1"/>
    <xf numFmtId="3" fontId="0" fillId="0" borderId="0" xfId="0" applyNumberFormat="1"/>
    <xf numFmtId="0" fontId="26" fillId="35" borderId="10" xfId="0" applyFont="1" applyFill="1" applyBorder="1"/>
    <xf numFmtId="0" fontId="26" fillId="37" borderId="10" xfId="0" applyFont="1" applyFill="1" applyBorder="1"/>
  </cellXfs>
  <cellStyles count="2784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akcent 1" xfId="36" xr:uid="{EAA273F8-781D-4B71-8517-771ADFF9B4A8}"/>
    <cellStyle name="60% - Énfasis1 10" xfId="1449" xr:uid="{47B9139F-DF26-4F77-AA3A-C37C46408016}"/>
    <cellStyle name="60% - Énfasis1 11" xfId="37" xr:uid="{2983B89C-7AD0-4C83-81E2-392538C60F55}"/>
    <cellStyle name="60% - Énfasis1 2" xfId="65" xr:uid="{503AD181-DE13-4216-8246-932AEB08E5C6}"/>
    <cellStyle name="60% - Énfasis1 3" xfId="83" xr:uid="{B08E58E0-6285-44B1-8CC5-D627FB93202E}"/>
    <cellStyle name="60% - Énfasis1 4" xfId="112" xr:uid="{328EEC30-09CC-42ED-99D1-B2B8F7B513D5}"/>
    <cellStyle name="60% - Énfasis1 5" xfId="162" xr:uid="{ED4A958D-BFE3-4662-97F3-27DC3CACABE9}"/>
    <cellStyle name="60% - Énfasis1 6" xfId="251" xr:uid="{5D6D6A99-4A32-4897-B5D9-773DD017818C}"/>
    <cellStyle name="60% - Énfasis1 7" xfId="266" xr:uid="{BBB9EF9F-B192-41A7-8CC4-F2609B714C57}"/>
    <cellStyle name="60% - Énfasis1 8" xfId="439" xr:uid="{5179E1DE-7ABF-4A24-88A9-1A223FD277BB}"/>
    <cellStyle name="60% - Énfasis1 9" xfId="778" xr:uid="{D4BCE83F-152D-46FF-8A1E-84819BFCB717}"/>
    <cellStyle name="60% - Énfasis2 10" xfId="1450" xr:uid="{D29EEE0C-0CB5-47FF-BDB5-AA5368154774}"/>
    <cellStyle name="60% - Énfasis2 11" xfId="38" xr:uid="{8E4450BF-E0B9-44B0-91CC-CECD22B2C004}"/>
    <cellStyle name="60% - Énfasis2 2" xfId="66" xr:uid="{44DB5613-393B-40FA-ACA8-73E002F8655F}"/>
    <cellStyle name="60% - Énfasis2 3" xfId="84" xr:uid="{71F255A0-FB44-456C-A977-6D3404186D8D}"/>
    <cellStyle name="60% - Énfasis2 4" xfId="113" xr:uid="{3EA3CA62-0E77-4FF1-B31C-C81767A34D1B}"/>
    <cellStyle name="60% - Énfasis2 5" xfId="163" xr:uid="{88420DFE-D85E-4D92-B7AE-A713D87185C9}"/>
    <cellStyle name="60% - Énfasis2 6" xfId="252" xr:uid="{8AF9FD11-5BFB-46C5-BC37-2CFB559076B5}"/>
    <cellStyle name="60% - Énfasis2 7" xfId="267" xr:uid="{8B21ED16-F9D0-48D6-B4ED-D7A5AFF880BE}"/>
    <cellStyle name="60% - Énfasis2 8" xfId="440" xr:uid="{FD30F6B0-3E0C-47CD-B383-5FCE59321E75}"/>
    <cellStyle name="60% - Énfasis2 9" xfId="779" xr:uid="{FF3EDE3D-0AC7-4960-97DC-0208CC18F561}"/>
    <cellStyle name="60% - Énfasis3 10" xfId="1451" xr:uid="{E7C0AC76-E667-4109-BCB2-5B670A6B877E}"/>
    <cellStyle name="60% - Énfasis3 11" xfId="39" xr:uid="{06EBAC5C-A64C-43EE-899C-3E3299131116}"/>
    <cellStyle name="60% - Énfasis3 2" xfId="67" xr:uid="{BE89775E-F29A-4157-B2FF-620FCEF1B5B7}"/>
    <cellStyle name="60% - Énfasis3 3" xfId="85" xr:uid="{78602B7D-36E1-4FF5-A93A-919DC7142B25}"/>
    <cellStyle name="60% - Énfasis3 4" xfId="114" xr:uid="{4AD4171B-531A-479C-A34F-EF69EA8603EB}"/>
    <cellStyle name="60% - Énfasis3 5" xfId="164" xr:uid="{5D4513EB-0A11-465A-8E57-90164370C503}"/>
    <cellStyle name="60% - Énfasis3 6" xfId="253" xr:uid="{3927C8D2-FE2A-4127-821C-79A777CCF5E6}"/>
    <cellStyle name="60% - Énfasis3 7" xfId="268" xr:uid="{D0957359-A98A-4312-96BE-563180D3B86C}"/>
    <cellStyle name="60% - Énfasis3 8" xfId="441" xr:uid="{2D473D96-A154-47F7-8C58-C70019103003}"/>
    <cellStyle name="60% - Énfasis3 9" xfId="780" xr:uid="{0BA624EC-37A4-4728-B91A-880E751DF40F}"/>
    <cellStyle name="60% - Énfasis4 10" xfId="1452" xr:uid="{7CF73C59-A765-4708-810B-D05D4E4249C1}"/>
    <cellStyle name="60% - Énfasis4 11" xfId="40" xr:uid="{966B4F9F-C22C-4903-A1DA-079BAD3DEA71}"/>
    <cellStyle name="60% - Énfasis4 2" xfId="68" xr:uid="{42DD2120-BBB7-45B6-9551-3B5823F75FC3}"/>
    <cellStyle name="60% - Énfasis4 3" xfId="86" xr:uid="{E803EBC3-8C11-4663-8CEB-F903970436E6}"/>
    <cellStyle name="60% - Énfasis4 4" xfId="115" xr:uid="{AB859B86-A774-4251-99DF-45D337F6B586}"/>
    <cellStyle name="60% - Énfasis4 5" xfId="165" xr:uid="{43F28905-F347-47E6-8E08-4B57FCDF26F2}"/>
    <cellStyle name="60% - Énfasis4 6" xfId="254" xr:uid="{C81966B5-8718-4A67-AEED-8E5219AFC64F}"/>
    <cellStyle name="60% - Énfasis4 7" xfId="269" xr:uid="{A569312A-E75C-42FD-BEA0-B91988817A1B}"/>
    <cellStyle name="60% - Énfasis4 8" xfId="442" xr:uid="{71C4F0B9-A439-49A8-98EF-DF4249E74D29}"/>
    <cellStyle name="60% - Énfasis4 9" xfId="781" xr:uid="{5EF3F083-3CFD-4100-B5BC-5E6020309A7C}"/>
    <cellStyle name="60% - Énfasis5 10" xfId="1453" xr:uid="{A050F0AC-60C5-4E4F-84B4-2CED6F2B538C}"/>
    <cellStyle name="60% - Énfasis5 11" xfId="41" xr:uid="{52F40D65-F878-48FC-9EAF-86F82178B379}"/>
    <cellStyle name="60% - Énfasis5 2" xfId="69" xr:uid="{09860F08-6BC5-4050-84B5-385C962A9E39}"/>
    <cellStyle name="60% - Énfasis5 3" xfId="87" xr:uid="{E447F76F-C595-418C-8C61-E5E23BEC241B}"/>
    <cellStyle name="60% - Énfasis5 4" xfId="116" xr:uid="{77DD1233-3494-4639-934C-585E7B0269C0}"/>
    <cellStyle name="60% - Énfasis5 5" xfId="166" xr:uid="{7F5CA6A1-3312-4555-B33D-96E86B1C7428}"/>
    <cellStyle name="60% - Énfasis5 6" xfId="255" xr:uid="{5E28D1F9-F072-47C5-9977-75B487D14760}"/>
    <cellStyle name="60% - Énfasis5 7" xfId="270" xr:uid="{796B10E0-3207-464B-BD35-DE3C834BC643}"/>
    <cellStyle name="60% - Énfasis5 8" xfId="443" xr:uid="{C870D094-E975-4964-9E76-13056A617775}"/>
    <cellStyle name="60% - Énfasis5 9" xfId="782" xr:uid="{2BF44792-7A2C-4A2D-A4F5-7D83483C1E7F}"/>
    <cellStyle name="60% - Énfasis6 10" xfId="1454" xr:uid="{1F710FA6-C8A7-437F-88D8-19B80C3C6F53}"/>
    <cellStyle name="60% - Énfasis6 11" xfId="42" xr:uid="{D9837223-3D0A-4119-8E80-A9381D8A108D}"/>
    <cellStyle name="60% - Énfasis6 2" xfId="70" xr:uid="{10D89517-9E32-46A4-A35C-70839CB01C80}"/>
    <cellStyle name="60% - Énfasis6 3" xfId="88" xr:uid="{4CBCCCFD-AA69-4972-AA07-98C379B54660}"/>
    <cellStyle name="60% - Énfasis6 4" xfId="117" xr:uid="{6430EDD5-4ADE-4CED-895B-8244A9439577}"/>
    <cellStyle name="60% - Énfasis6 5" xfId="167" xr:uid="{CCD799F4-A0AC-43FC-AFE6-F8D47BB59E4E}"/>
    <cellStyle name="60% - Énfasis6 6" xfId="256" xr:uid="{4DCA412B-AC6B-4D9A-BAA6-0035B6085BEC}"/>
    <cellStyle name="60% - Énfasis6 7" xfId="271" xr:uid="{B5632D3D-ACB9-480D-B8DA-6D750FC03757}"/>
    <cellStyle name="60% - Énfasis6 8" xfId="444" xr:uid="{2BF55405-1399-40CD-9335-A4051F1ED6D5}"/>
    <cellStyle name="60% - Énfasis6 9" xfId="783" xr:uid="{CA1D297F-ABED-4098-82DB-7F63839EF681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Millares [0]" xfId="1" builtinId="6"/>
    <cellStyle name="Millares [0] 10" xfId="175" xr:uid="{B1C9B019-5165-4672-BE15-B616A2870DB3}"/>
    <cellStyle name="Millares [0] 10 2" xfId="361" xr:uid="{FB1BBD1A-222B-43C8-9383-A5E30969DC63}"/>
    <cellStyle name="Millares [0] 10 2 2" xfId="700" xr:uid="{BD06754F-6B7E-4578-B399-DD599B1CC107}"/>
    <cellStyle name="Millares [0] 10 2 2 2" xfId="1371" xr:uid="{256171BB-A11D-4C9B-A17A-9659C106D933}"/>
    <cellStyle name="Millares [0] 10 2 2 2 2" xfId="2706" xr:uid="{166194B7-6DB1-4C9E-BD6C-7E08AB793A9A}"/>
    <cellStyle name="Millares [0] 10 2 2 3" xfId="2042" xr:uid="{C7152FB4-147F-4927-ACE4-AB9947AB49E7}"/>
    <cellStyle name="Millares [0] 10 2 3" xfId="1039" xr:uid="{BEE725AD-BD85-44D0-833F-B9EBEDEF17CA}"/>
    <cellStyle name="Millares [0] 10 2 3 2" xfId="2374" xr:uid="{9C29FE4A-A624-4470-B889-743B7211BCD3}"/>
    <cellStyle name="Millares [0] 10 2 4" xfId="1710" xr:uid="{929F63A5-96A8-42BA-86E7-69A4884AF95A}"/>
    <cellStyle name="Millares [0] 10 3" xfId="534" xr:uid="{A21CC1F3-7B36-46C9-9F48-4414BB229F3A}"/>
    <cellStyle name="Millares [0] 10 3 2" xfId="1205" xr:uid="{5E2509B1-BB71-4287-8123-B6B1B9E65A0B}"/>
    <cellStyle name="Millares [0] 10 3 2 2" xfId="2540" xr:uid="{34AEEBBB-3D28-430C-B055-395B90EEC2CD}"/>
    <cellStyle name="Millares [0] 10 3 3" xfId="1876" xr:uid="{78E9FBD4-A0FB-4A28-BCAD-9FE62754DCA2}"/>
    <cellStyle name="Millares [0] 10 4" xfId="873" xr:uid="{9B7609AF-DC00-437B-91CB-C2D7EEA72F57}"/>
    <cellStyle name="Millares [0] 10 4 2" xfId="2208" xr:uid="{5F19B913-9424-4C92-928B-5224C88F7EF7}"/>
    <cellStyle name="Millares [0] 10 5" xfId="1544" xr:uid="{D91B4D2A-D14F-44C7-AA67-21138BC073A8}"/>
    <cellStyle name="Millares [0] 11" xfId="265" xr:uid="{27105A79-4C9D-455E-8232-5C4077B31CEB}"/>
    <cellStyle name="Millares [0] 11 2" xfId="438" xr:uid="{FE61CCBA-BD4D-49C5-A434-98DB00BBD279}"/>
    <cellStyle name="Millares [0] 11 2 2" xfId="777" xr:uid="{995EF546-7508-42E8-85F5-4CC75F714B50}"/>
    <cellStyle name="Millares [0] 11 2 2 2" xfId="1448" xr:uid="{4F26A456-61F5-4AB1-BE05-3CACB61A9EAD}"/>
    <cellStyle name="Millares [0] 11 2 2 2 2" xfId="2783" xr:uid="{03D9C684-73AF-4649-AE07-2C1EFC0E88F2}"/>
    <cellStyle name="Millares [0] 11 2 2 3" xfId="2119" xr:uid="{C9AB11E0-9D8F-452E-B5E4-4D7E19781C7B}"/>
    <cellStyle name="Millares [0] 11 2 3" xfId="1116" xr:uid="{04E87656-2DDF-4137-9622-78451904E37E}"/>
    <cellStyle name="Millares [0] 11 2 3 2" xfId="2451" xr:uid="{D16C9511-89B5-4C31-BC14-24290447E9EE}"/>
    <cellStyle name="Millares [0] 11 2 4" xfId="1787" xr:uid="{22D73753-022B-4D18-8F43-4E66727FBC32}"/>
    <cellStyle name="Millares [0] 11 3" xfId="611" xr:uid="{0DBAA567-D10F-46F9-ADA2-8C8BF9F01157}"/>
    <cellStyle name="Millares [0] 11 3 2" xfId="1282" xr:uid="{6CD36790-6DEA-428D-A41C-7097143A27E3}"/>
    <cellStyle name="Millares [0] 11 3 2 2" xfId="2617" xr:uid="{45ACCDA4-76D4-466B-AE4F-94866D6B799A}"/>
    <cellStyle name="Millares [0] 11 3 3" xfId="1953" xr:uid="{5316C778-C813-4CA0-A2DC-198A92A812B7}"/>
    <cellStyle name="Millares [0] 11 4" xfId="950" xr:uid="{4BCAE3F8-839B-41D6-954E-767867DAAD4E}"/>
    <cellStyle name="Millares [0] 11 4 2" xfId="2285" xr:uid="{9F1DDE82-DDD2-4EB8-AD85-137DF1384ED2}"/>
    <cellStyle name="Millares [0] 11 5" xfId="1621" xr:uid="{B9C6C461-2B4F-4FAC-AE1A-D57B25158EE6}"/>
    <cellStyle name="Millares [0] 12" xfId="279" xr:uid="{D72E42F6-8B2A-4815-94F3-EA3D7D3BBC0C}"/>
    <cellStyle name="Millares [0] 12 2" xfId="618" xr:uid="{B50B6BDB-A729-4C78-81CC-9A56FEFCEC55}"/>
    <cellStyle name="Millares [0] 12 2 2" xfId="1289" xr:uid="{9D39CBA4-BCF2-423F-8A36-A54F64020B7F}"/>
    <cellStyle name="Millares [0] 12 2 2 2" xfId="2624" xr:uid="{DBE16ED8-731E-46F5-96A6-0C738618481E}"/>
    <cellStyle name="Millares [0] 12 2 3" xfId="1960" xr:uid="{C3E1AD36-A227-46EF-A165-9155843129EF}"/>
    <cellStyle name="Millares [0] 12 3" xfId="957" xr:uid="{B021E492-2B45-4919-8F5B-65ACF943C77C}"/>
    <cellStyle name="Millares [0] 12 3 2" xfId="2292" xr:uid="{61431E77-AFEF-4FB5-8BDF-13EA9E163120}"/>
    <cellStyle name="Millares [0] 12 4" xfId="1628" xr:uid="{13EEE975-4B43-461A-A6FE-18633410221D}"/>
    <cellStyle name="Millares [0] 13" xfId="452" xr:uid="{AB1FBB88-915E-4144-AFF7-1D82A9D5D3C0}"/>
    <cellStyle name="Millares [0] 13 2" xfId="1123" xr:uid="{82DD84CF-ECB1-4960-AFFC-42D6E4A62C17}"/>
    <cellStyle name="Millares [0] 13 2 2" xfId="2458" xr:uid="{0BA88EDB-435F-421B-A7DA-C5959B2FA272}"/>
    <cellStyle name="Millares [0] 13 3" xfId="1794" xr:uid="{71409A4F-CD93-428A-B485-D4B7F8FCBE9B}"/>
    <cellStyle name="Millares [0] 14" xfId="791" xr:uid="{1CC0A5C6-F34F-4372-A644-23B73656BBFB}"/>
    <cellStyle name="Millares [0] 14 2" xfId="2126" xr:uid="{6EC9440E-6791-4A27-8A07-53049823AA58}"/>
    <cellStyle name="Millares [0] 15" xfId="1462" xr:uid="{9C83FBED-1BC5-4DFD-9E22-8A602DFA4290}"/>
    <cellStyle name="Millares [0] 16" xfId="61" xr:uid="{32547AE6-C266-4230-8EED-DC0AAE6E68C0}"/>
    <cellStyle name="Millares [0] 2" xfId="44" xr:uid="{7D2028B8-F44B-4097-9500-C76E1F35FD79}"/>
    <cellStyle name="Millares [0] 2 2" xfId="258" xr:uid="{47053AF8-3295-4000-B208-D6D298B5B791}"/>
    <cellStyle name="Millares [0] 3" xfId="45" xr:uid="{CE818CEE-1B87-47AD-BA7B-4DBA5AF119E5}"/>
    <cellStyle name="Millares [0] 3 2" xfId="72" xr:uid="{18A92DA0-6A69-4D80-A4D2-218F654CA132}"/>
    <cellStyle name="Millares [0] 3 2 2" xfId="101" xr:uid="{5EA76F15-E7D6-4378-9792-7021635DE82C}"/>
    <cellStyle name="Millares [0] 3 2 2 2" xfId="149" xr:uid="{86B5E5D6-E540-4FA4-9FD4-EC13FE329BE8}"/>
    <cellStyle name="Millares [0] 3 2 2 2 2" xfId="238" xr:uid="{984E147E-A337-43EB-8E33-DE48A7FACE5E}"/>
    <cellStyle name="Millares [0] 3 2 2 2 2 2" xfId="424" xr:uid="{00531033-3E14-4E0C-BEE0-F0D7765EFA0B}"/>
    <cellStyle name="Millares [0] 3 2 2 2 2 2 2" xfId="763" xr:uid="{A860290D-C6C8-463F-86CA-DD34B997A4EE}"/>
    <cellStyle name="Millares [0] 3 2 2 2 2 2 2 2" xfId="1434" xr:uid="{31D87501-2041-4C22-A242-55C78C9FCDC3}"/>
    <cellStyle name="Millares [0] 3 2 2 2 2 2 2 2 2" xfId="2769" xr:uid="{CB647C1C-F722-400F-9171-FB33D91997D1}"/>
    <cellStyle name="Millares [0] 3 2 2 2 2 2 2 3" xfId="2105" xr:uid="{F2CE841F-0CF4-4C59-A796-6C9E1DA34369}"/>
    <cellStyle name="Millares [0] 3 2 2 2 2 2 3" xfId="1102" xr:uid="{01E3AB30-E411-4122-BE24-A71D3517B487}"/>
    <cellStyle name="Millares [0] 3 2 2 2 2 2 3 2" xfId="2437" xr:uid="{E6A79819-6195-43AB-A6D7-B10483C6C48F}"/>
    <cellStyle name="Millares [0] 3 2 2 2 2 2 4" xfId="1773" xr:uid="{EE0769CE-4A12-469C-B826-0C44D5D0BA5B}"/>
    <cellStyle name="Millares [0] 3 2 2 2 2 3" xfId="597" xr:uid="{AA161B7F-8FD2-48B0-B0E1-14EEC847F93D}"/>
    <cellStyle name="Millares [0] 3 2 2 2 2 3 2" xfId="1268" xr:uid="{1EE679D8-E720-456A-B79A-119EBED0631E}"/>
    <cellStyle name="Millares [0] 3 2 2 2 2 3 2 2" xfId="2603" xr:uid="{500B8852-0A58-4127-8F76-DAB5BF17B7D8}"/>
    <cellStyle name="Millares [0] 3 2 2 2 2 3 3" xfId="1939" xr:uid="{F8B22043-465F-4B4C-A22E-4B23C64C07A2}"/>
    <cellStyle name="Millares [0] 3 2 2 2 2 4" xfId="936" xr:uid="{F004E47F-3141-48AA-B0F2-8E5C2C8752B6}"/>
    <cellStyle name="Millares [0] 3 2 2 2 2 4 2" xfId="2271" xr:uid="{3BDA42DD-6F84-458E-94FE-AE51628609E1}"/>
    <cellStyle name="Millares [0] 3 2 2 2 2 5" xfId="1607" xr:uid="{3187CD4D-4BE7-43C4-A9F8-9E395FC955AE}"/>
    <cellStyle name="Millares [0] 3 2 2 2 3" xfId="342" xr:uid="{35C6BD86-65BB-4409-B100-67FBF5D06A9B}"/>
    <cellStyle name="Millares [0] 3 2 2 2 3 2" xfId="681" xr:uid="{EA95023B-7846-45D8-9D05-079A5278B4A7}"/>
    <cellStyle name="Millares [0] 3 2 2 2 3 2 2" xfId="1352" xr:uid="{6BD86B4E-4AF2-425F-A423-3850047B2C4B}"/>
    <cellStyle name="Millares [0] 3 2 2 2 3 2 2 2" xfId="2687" xr:uid="{7C465639-936D-4914-9505-594C3587CED3}"/>
    <cellStyle name="Millares [0] 3 2 2 2 3 2 3" xfId="2023" xr:uid="{0DEFCDF4-CF2C-4884-AAB3-EF06E522CEF5}"/>
    <cellStyle name="Millares [0] 3 2 2 2 3 3" xfId="1020" xr:uid="{6ADE2159-DC0E-45AA-AE27-868655029489}"/>
    <cellStyle name="Millares [0] 3 2 2 2 3 3 2" xfId="2355" xr:uid="{741A9EBA-7063-4307-9094-2FD01C4A1B5F}"/>
    <cellStyle name="Millares [0] 3 2 2 2 3 4" xfId="1691" xr:uid="{4A55F7F3-1002-4A3A-B857-3D0560021603}"/>
    <cellStyle name="Millares [0] 3 2 2 2 4" xfId="515" xr:uid="{FC6280E0-666B-44DE-AADA-E0E7F54B3143}"/>
    <cellStyle name="Millares [0] 3 2 2 2 4 2" xfId="1186" xr:uid="{12366845-F51C-4773-87D7-619932989385}"/>
    <cellStyle name="Millares [0] 3 2 2 2 4 2 2" xfId="2521" xr:uid="{B2751920-3487-44DF-97AA-DCD484D79C54}"/>
    <cellStyle name="Millares [0] 3 2 2 2 4 3" xfId="1857" xr:uid="{F3349BCB-601F-4B75-B4B8-2AC466562785}"/>
    <cellStyle name="Millares [0] 3 2 2 2 5" xfId="854" xr:uid="{BD1EA045-A62C-40D5-AFA0-7F5CF4C47AFF}"/>
    <cellStyle name="Millares [0] 3 2 2 2 5 2" xfId="2189" xr:uid="{49ABACFB-8AD4-4174-96E4-CEF8CC31B19D}"/>
    <cellStyle name="Millares [0] 3 2 2 2 6" xfId="1525" xr:uid="{96505894-80DF-4866-A1A2-40C95055BDB1}"/>
    <cellStyle name="Millares [0] 3 2 2 3" xfId="198" xr:uid="{239A03A5-D07C-42E6-94DD-C258E42100E4}"/>
    <cellStyle name="Millares [0] 3 2 2 3 2" xfId="384" xr:uid="{7160E7E0-45CD-4F4C-BECF-348022A65ACE}"/>
    <cellStyle name="Millares [0] 3 2 2 3 2 2" xfId="723" xr:uid="{8449EB16-635F-468A-9DE1-D1C016DEF20B}"/>
    <cellStyle name="Millares [0] 3 2 2 3 2 2 2" xfId="1394" xr:uid="{E8E8A5B6-5DA8-4681-B6FD-C445307BA981}"/>
    <cellStyle name="Millares [0] 3 2 2 3 2 2 2 2" xfId="2729" xr:uid="{4499FE12-A4EA-4EFE-908F-D90DFF4CE7B2}"/>
    <cellStyle name="Millares [0] 3 2 2 3 2 2 3" xfId="2065" xr:uid="{2215988E-77C0-4992-AD5B-D5BA170BD7AC}"/>
    <cellStyle name="Millares [0] 3 2 2 3 2 3" xfId="1062" xr:uid="{B79A4EAE-BC62-4392-B449-D25ACC66981F}"/>
    <cellStyle name="Millares [0] 3 2 2 3 2 3 2" xfId="2397" xr:uid="{0E2721C6-6355-4817-8733-7F1EC5401A35}"/>
    <cellStyle name="Millares [0] 3 2 2 3 2 4" xfId="1733" xr:uid="{F5EDE37F-7167-4949-ADEC-27313A3B9887}"/>
    <cellStyle name="Millares [0] 3 2 2 3 3" xfId="557" xr:uid="{96BF08FE-141C-4F1B-AEA5-8627E788B8AB}"/>
    <cellStyle name="Millares [0] 3 2 2 3 3 2" xfId="1228" xr:uid="{F5755970-B92B-451C-9BC4-A1AA0B6156DD}"/>
    <cellStyle name="Millares [0] 3 2 2 3 3 2 2" xfId="2563" xr:uid="{2C385C5F-04AE-499B-867B-235A24E0422F}"/>
    <cellStyle name="Millares [0] 3 2 2 3 3 3" xfId="1899" xr:uid="{B54EE7F2-8853-4AA9-BD6B-03563A153FAF}"/>
    <cellStyle name="Millares [0] 3 2 2 3 4" xfId="896" xr:uid="{C8B479C4-F181-4FBA-9BE8-C5ADD746AFA6}"/>
    <cellStyle name="Millares [0] 3 2 2 3 4 2" xfId="2231" xr:uid="{EC9AF345-1F70-4EA7-B816-C2F9D33F56BB}"/>
    <cellStyle name="Millares [0] 3 2 2 3 5" xfId="1567" xr:uid="{BC543010-7586-4480-B97B-C974DE88BF99}"/>
    <cellStyle name="Millares [0] 3 2 2 4" xfId="302" xr:uid="{70544F2B-179F-40F5-9BE4-13ADE684AE04}"/>
    <cellStyle name="Millares [0] 3 2 2 4 2" xfId="641" xr:uid="{FBDCC399-94CB-4BA1-A302-D326B2FA11FC}"/>
    <cellStyle name="Millares [0] 3 2 2 4 2 2" xfId="1312" xr:uid="{FFB91F13-1681-4B13-A092-2051E084DBE0}"/>
    <cellStyle name="Millares [0] 3 2 2 4 2 2 2" xfId="2647" xr:uid="{D4C4FD87-40DA-482A-B87D-7F0A578C7C3E}"/>
    <cellStyle name="Millares [0] 3 2 2 4 2 3" xfId="1983" xr:uid="{2F3771FA-C63E-46C7-BA9B-3C3A67307238}"/>
    <cellStyle name="Millares [0] 3 2 2 4 3" xfId="980" xr:uid="{6FE63A5A-FBF9-485D-A598-DAE8DDB5A296}"/>
    <cellStyle name="Millares [0] 3 2 2 4 3 2" xfId="2315" xr:uid="{08149AD7-3195-4B6B-9D24-93C7A3942AFE}"/>
    <cellStyle name="Millares [0] 3 2 2 4 4" xfId="1651" xr:uid="{64A58CC8-0B03-4737-A386-8ED2114F20B3}"/>
    <cellStyle name="Millares [0] 3 2 2 5" xfId="475" xr:uid="{53D44209-16D3-4843-B8CC-68E069A21EDC}"/>
    <cellStyle name="Millares [0] 3 2 2 5 2" xfId="1146" xr:uid="{3ACF6DDD-051D-42CB-AD15-40905A26F540}"/>
    <cellStyle name="Millares [0] 3 2 2 5 2 2" xfId="2481" xr:uid="{D2922876-DB7E-40B2-B58F-00A8FCFD3DD3}"/>
    <cellStyle name="Millares [0] 3 2 2 5 3" xfId="1817" xr:uid="{5FB49E1F-28C9-4F8A-89B0-68881364B1E5}"/>
    <cellStyle name="Millares [0] 3 2 2 6" xfId="814" xr:uid="{743EEF6C-5AAE-46D8-AE00-8570E9127E78}"/>
    <cellStyle name="Millares [0] 3 2 2 6 2" xfId="2149" xr:uid="{7C7F25D2-E6BD-43C3-A6BE-CDE3E03F5D82}"/>
    <cellStyle name="Millares [0] 3 2 2 7" xfId="1485" xr:uid="{441283DD-FB76-4781-8F98-F2F81DD6C6DA}"/>
    <cellStyle name="Millares [0] 3 2 3" xfId="130" xr:uid="{ABAB2244-A12C-48A1-8EDC-76E83EE53ABE}"/>
    <cellStyle name="Millares [0] 3 2 3 2" xfId="219" xr:uid="{941D7488-A797-422A-8F1B-3DB8C7EBCCD9}"/>
    <cellStyle name="Millares [0] 3 2 3 2 2" xfId="405" xr:uid="{139FA446-0CBD-4C96-9D29-D75A2277DA09}"/>
    <cellStyle name="Millares [0] 3 2 3 2 2 2" xfId="744" xr:uid="{A47F176C-7A73-40BD-A74E-E62D8BD44E58}"/>
    <cellStyle name="Millares [0] 3 2 3 2 2 2 2" xfId="1415" xr:uid="{97E4600C-DC7C-411D-ABDA-2152D3FAE1B7}"/>
    <cellStyle name="Millares [0] 3 2 3 2 2 2 2 2" xfId="2750" xr:uid="{0E78DDEC-F2BE-4E38-9F5D-12F8C1D95188}"/>
    <cellStyle name="Millares [0] 3 2 3 2 2 2 3" xfId="2086" xr:uid="{D0425B84-1EDC-43FF-AA0D-EA3563E94832}"/>
    <cellStyle name="Millares [0] 3 2 3 2 2 3" xfId="1083" xr:uid="{081C5680-9F5A-4B75-BC0F-D9181450E836}"/>
    <cellStyle name="Millares [0] 3 2 3 2 2 3 2" xfId="2418" xr:uid="{50531364-E455-4407-9538-0B532486B807}"/>
    <cellStyle name="Millares [0] 3 2 3 2 2 4" xfId="1754" xr:uid="{6D4C9F70-79F7-4D91-A5BC-16ED529BD2B3}"/>
    <cellStyle name="Millares [0] 3 2 3 2 3" xfId="578" xr:uid="{C4A47905-FBCF-4231-BC5A-05803EC44E17}"/>
    <cellStyle name="Millares [0] 3 2 3 2 3 2" xfId="1249" xr:uid="{38CECAD7-B02A-4C7A-A596-E9B3F0DFA648}"/>
    <cellStyle name="Millares [0] 3 2 3 2 3 2 2" xfId="2584" xr:uid="{32B6D509-99EA-4A00-A291-96480A995599}"/>
    <cellStyle name="Millares [0] 3 2 3 2 3 3" xfId="1920" xr:uid="{42F7282A-783D-41ED-A87F-60D32A533E02}"/>
    <cellStyle name="Millares [0] 3 2 3 2 4" xfId="917" xr:uid="{9BEDAF68-00D8-4D7B-85A5-B16AC8ECFB46}"/>
    <cellStyle name="Millares [0] 3 2 3 2 4 2" xfId="2252" xr:uid="{A38B419B-E64D-4C6C-91D3-A7FE8EA7BC6B}"/>
    <cellStyle name="Millares [0] 3 2 3 2 5" xfId="1588" xr:uid="{E9CEAEC8-8B83-448D-8166-DB326B8F05C6}"/>
    <cellStyle name="Millares [0] 3 2 3 3" xfId="323" xr:uid="{148DE3A7-3BBC-4379-A685-5B844D1F3F44}"/>
    <cellStyle name="Millares [0] 3 2 3 3 2" xfId="662" xr:uid="{41F03791-8C9E-4FF2-BBE1-009B081FD5FD}"/>
    <cellStyle name="Millares [0] 3 2 3 3 2 2" xfId="1333" xr:uid="{F29C5BBF-862D-4B10-9EAD-44255FDD95F4}"/>
    <cellStyle name="Millares [0] 3 2 3 3 2 2 2" xfId="2668" xr:uid="{8E7372EE-9F68-47E3-8E70-6FB68D0C896D}"/>
    <cellStyle name="Millares [0] 3 2 3 3 2 3" xfId="2004" xr:uid="{637005D7-2733-43E8-B216-0CFA1F3ABE47}"/>
    <cellStyle name="Millares [0] 3 2 3 3 3" xfId="1001" xr:uid="{860C0383-D412-4245-8ADA-6C6CE80B2DAC}"/>
    <cellStyle name="Millares [0] 3 2 3 3 3 2" xfId="2336" xr:uid="{EB3BFFCB-2569-45C3-A77A-BA911808298D}"/>
    <cellStyle name="Millares [0] 3 2 3 3 4" xfId="1672" xr:uid="{96CC35DC-CEEE-4C19-AA52-D5D928FBC8D1}"/>
    <cellStyle name="Millares [0] 3 2 3 4" xfId="496" xr:uid="{747775C5-8B13-41C3-B96E-8D9D21EC7393}"/>
    <cellStyle name="Millares [0] 3 2 3 4 2" xfId="1167" xr:uid="{DE3CCB3B-E8A9-4FBB-980A-10476D6C9452}"/>
    <cellStyle name="Millares [0] 3 2 3 4 2 2" xfId="2502" xr:uid="{0F1C1053-B082-4D45-9375-08FA243560A6}"/>
    <cellStyle name="Millares [0] 3 2 3 4 3" xfId="1838" xr:uid="{B8EE063F-D9E3-477C-AF97-749D7160291B}"/>
    <cellStyle name="Millares [0] 3 2 3 5" xfId="835" xr:uid="{374AB17D-EB93-426A-83D0-1BDDE2DCD70D}"/>
    <cellStyle name="Millares [0] 3 2 3 5 2" xfId="2170" xr:uid="{82D6F9E7-E9B5-44C6-A475-125861CF2780}"/>
    <cellStyle name="Millares [0] 3 2 3 6" xfId="1506" xr:uid="{95451D0F-5AF8-4DDE-A039-2142C60922E8}"/>
    <cellStyle name="Millares [0] 3 2 4" xfId="179" xr:uid="{C067E43A-0629-4201-B246-F0AB6E9D9278}"/>
    <cellStyle name="Millares [0] 3 2 4 2" xfId="365" xr:uid="{D53D26E6-F2F3-4A50-A090-B913F6AA1450}"/>
    <cellStyle name="Millares [0] 3 2 4 2 2" xfId="704" xr:uid="{87306793-BC25-4149-9B48-97CC4DA4007F}"/>
    <cellStyle name="Millares [0] 3 2 4 2 2 2" xfId="1375" xr:uid="{82B7393D-95A4-4D60-9283-E0029B006524}"/>
    <cellStyle name="Millares [0] 3 2 4 2 2 2 2" xfId="2710" xr:uid="{38A7D060-BAFA-4667-9198-AEBFC9B94592}"/>
    <cellStyle name="Millares [0] 3 2 4 2 2 3" xfId="2046" xr:uid="{66F2E2EC-D10C-4733-AAC6-9DD34C2E529D}"/>
    <cellStyle name="Millares [0] 3 2 4 2 3" xfId="1043" xr:uid="{223F6C06-C1B7-4EE4-8487-9C273F21B8BE}"/>
    <cellStyle name="Millares [0] 3 2 4 2 3 2" xfId="2378" xr:uid="{FF18E10E-92A3-449E-A75B-CA8DA21D5A3A}"/>
    <cellStyle name="Millares [0] 3 2 4 2 4" xfId="1714" xr:uid="{66D6CB61-B1C8-4474-B279-345EDF8CAF31}"/>
    <cellStyle name="Millares [0] 3 2 4 3" xfId="538" xr:uid="{D5496652-D83C-4DDA-87A9-AAD5CE3B161B}"/>
    <cellStyle name="Millares [0] 3 2 4 3 2" xfId="1209" xr:uid="{1D7FBD45-6155-4AD1-AFB5-1838B8BE1846}"/>
    <cellStyle name="Millares [0] 3 2 4 3 2 2" xfId="2544" xr:uid="{288F019F-1008-4B89-9268-656D10F7864F}"/>
    <cellStyle name="Millares [0] 3 2 4 3 3" xfId="1880" xr:uid="{D3099A6C-9761-4655-B8DD-D93053E2A9C3}"/>
    <cellStyle name="Millares [0] 3 2 4 4" xfId="877" xr:uid="{35298072-4C37-4B06-9E2D-0BAF49B7649B}"/>
    <cellStyle name="Millares [0] 3 2 4 4 2" xfId="2212" xr:uid="{AF808CDE-D1EF-4067-B3A1-9DE59BC9F930}"/>
    <cellStyle name="Millares [0] 3 2 4 5" xfId="1548" xr:uid="{D486ED8B-3452-40DF-B225-A6DCD74037F1}"/>
    <cellStyle name="Millares [0] 3 2 5" xfId="283" xr:uid="{7B573421-70FC-48E8-9099-68E1A1CC79F9}"/>
    <cellStyle name="Millares [0] 3 2 5 2" xfId="622" xr:uid="{E5759DFD-5AED-45D9-A7A1-D3F792F867BD}"/>
    <cellStyle name="Millares [0] 3 2 5 2 2" xfId="1293" xr:uid="{C5B5D303-06F3-4661-9DA7-EEAD21BD5153}"/>
    <cellStyle name="Millares [0] 3 2 5 2 2 2" xfId="2628" xr:uid="{654B9987-7982-43BC-9EEB-B1128C1B752B}"/>
    <cellStyle name="Millares [0] 3 2 5 2 3" xfId="1964" xr:uid="{90DF7DB9-3759-48DC-ACCD-FE5366A5AD03}"/>
    <cellStyle name="Millares [0] 3 2 5 3" xfId="961" xr:uid="{2B7A666A-3EE0-4F22-9E4D-B23982BB26F0}"/>
    <cellStyle name="Millares [0] 3 2 5 3 2" xfId="2296" xr:uid="{1F9894E7-906F-43EC-9448-496C9F130049}"/>
    <cellStyle name="Millares [0] 3 2 5 4" xfId="1632" xr:uid="{31115281-AEF3-45A5-9CA5-409D2E76D72F}"/>
    <cellStyle name="Millares [0] 3 2 6" xfId="456" xr:uid="{07195FC7-BA3F-45E5-9149-B82DBFAACB30}"/>
    <cellStyle name="Millares [0] 3 2 6 2" xfId="1127" xr:uid="{F7556701-90E3-466B-A485-33F0F7A89997}"/>
    <cellStyle name="Millares [0] 3 2 6 2 2" xfId="2462" xr:uid="{09F2EC8E-385C-461E-893E-E82F0D53D9A0}"/>
    <cellStyle name="Millares [0] 3 2 6 3" xfId="1798" xr:uid="{276FBE55-9956-47FD-A89F-83F2A5A37613}"/>
    <cellStyle name="Millares [0] 3 2 7" xfId="795" xr:uid="{9719598D-D697-4202-A85C-8780C7ED7540}"/>
    <cellStyle name="Millares [0] 3 2 7 2" xfId="2130" xr:uid="{F75C4642-6AF5-4D93-A001-1F259506F781}"/>
    <cellStyle name="Millares [0] 3 2 8" xfId="1466" xr:uid="{966C391D-4385-43E6-B211-E6FC51940823}"/>
    <cellStyle name="Millares [0] 3 3" xfId="90" xr:uid="{902D4FBE-EF5D-46CC-8AE9-6FE543F59CEF}"/>
    <cellStyle name="Millares [0] 3 3 2" xfId="140" xr:uid="{E6D704B0-3BDC-4A38-BDB2-95EF207A284D}"/>
    <cellStyle name="Millares [0] 3 3 2 2" xfId="229" xr:uid="{DA03A92F-3E0D-4AD4-885F-4ED5CC07FFA0}"/>
    <cellStyle name="Millares [0] 3 3 2 2 2" xfId="415" xr:uid="{F3E61D0D-4475-4F70-B217-62661F7F9C66}"/>
    <cellStyle name="Millares [0] 3 3 2 2 2 2" xfId="754" xr:uid="{162114AB-1C74-490E-9CE9-B4C1FFC4DA11}"/>
    <cellStyle name="Millares [0] 3 3 2 2 2 2 2" xfId="1425" xr:uid="{FF75D873-DB88-4322-A2EC-9289FD1F9294}"/>
    <cellStyle name="Millares [0] 3 3 2 2 2 2 2 2" xfId="2760" xr:uid="{E9AE27BD-1A5F-4A6C-9FD7-6E4895165FAC}"/>
    <cellStyle name="Millares [0] 3 3 2 2 2 2 3" xfId="2096" xr:uid="{9B14BC3B-D30A-43BD-8B9E-3B4C7E02D659}"/>
    <cellStyle name="Millares [0] 3 3 2 2 2 3" xfId="1093" xr:uid="{2E5F3A0D-A08F-480C-A826-104ED05B9350}"/>
    <cellStyle name="Millares [0] 3 3 2 2 2 3 2" xfId="2428" xr:uid="{AD6101ED-B37F-4FDB-B58D-131D3005E1A8}"/>
    <cellStyle name="Millares [0] 3 3 2 2 2 4" xfId="1764" xr:uid="{7665204A-CEAA-4EB9-B24A-5C5750D53205}"/>
    <cellStyle name="Millares [0] 3 3 2 2 3" xfId="588" xr:uid="{725515C7-15B8-4F55-BE5E-57FC5FB9C097}"/>
    <cellStyle name="Millares [0] 3 3 2 2 3 2" xfId="1259" xr:uid="{77FA3C34-6929-4C22-A788-47C2B73D3B9F}"/>
    <cellStyle name="Millares [0] 3 3 2 2 3 2 2" xfId="2594" xr:uid="{F6E0C5AD-30D7-4066-AA4C-101A17E97970}"/>
    <cellStyle name="Millares [0] 3 3 2 2 3 3" xfId="1930" xr:uid="{9B60CD19-BFA4-4A52-AE0D-71913C03BE36}"/>
    <cellStyle name="Millares [0] 3 3 2 2 4" xfId="927" xr:uid="{1D207C44-541C-4185-A9FA-BA3BA2A0888C}"/>
    <cellStyle name="Millares [0] 3 3 2 2 4 2" xfId="2262" xr:uid="{DA46ADA6-9706-48C6-9642-C1C6B9A4F738}"/>
    <cellStyle name="Millares [0] 3 3 2 2 5" xfId="1598" xr:uid="{B0B3B8A3-BC25-4FAB-B5E1-74A99214F626}"/>
    <cellStyle name="Millares [0] 3 3 2 3" xfId="333" xr:uid="{44D506F2-9959-48B7-B78B-0F3F9733745A}"/>
    <cellStyle name="Millares [0] 3 3 2 3 2" xfId="672" xr:uid="{45A5614C-E97C-4E20-8AE7-02D8BF24114D}"/>
    <cellStyle name="Millares [0] 3 3 2 3 2 2" xfId="1343" xr:uid="{76DBD6F8-C57E-496E-A791-B9DF19B9B22D}"/>
    <cellStyle name="Millares [0] 3 3 2 3 2 2 2" xfId="2678" xr:uid="{AF4DD0E2-AD40-4699-824D-832DC24DF648}"/>
    <cellStyle name="Millares [0] 3 3 2 3 2 3" xfId="2014" xr:uid="{E6380EC5-3718-462A-8461-6195AE47788A}"/>
    <cellStyle name="Millares [0] 3 3 2 3 3" xfId="1011" xr:uid="{92FC7E2A-EA78-48D3-A40A-1197625B78C0}"/>
    <cellStyle name="Millares [0] 3 3 2 3 3 2" xfId="2346" xr:uid="{C4668275-F0DC-43FF-9121-DDF0ABF1D9E9}"/>
    <cellStyle name="Millares [0] 3 3 2 3 4" xfId="1682" xr:uid="{F79778D2-CA4C-4C7E-8CA0-B5B73EC4592D}"/>
    <cellStyle name="Millares [0] 3 3 2 4" xfId="506" xr:uid="{93DAAEB2-2A52-4A2A-A8F3-82F0A1EB7BDE}"/>
    <cellStyle name="Millares [0] 3 3 2 4 2" xfId="1177" xr:uid="{FF49C180-9888-4EC9-BC6A-A503ED25953B}"/>
    <cellStyle name="Millares [0] 3 3 2 4 2 2" xfId="2512" xr:uid="{82272ADE-0B7D-4B0F-9DB9-50797DCCF1F5}"/>
    <cellStyle name="Millares [0] 3 3 2 4 3" xfId="1848" xr:uid="{3496CF8A-A9A0-49D7-9337-37E867033CD9}"/>
    <cellStyle name="Millares [0] 3 3 2 5" xfId="845" xr:uid="{1F149F60-7C3C-4A26-8641-1DDB3708CDF8}"/>
    <cellStyle name="Millares [0] 3 3 2 5 2" xfId="2180" xr:uid="{013D7FC2-4572-494D-B296-F267CE423F49}"/>
    <cellStyle name="Millares [0] 3 3 2 6" xfId="1516" xr:uid="{EB43F4FF-344B-422F-AB67-3C92A0C61B0D}"/>
    <cellStyle name="Millares [0] 3 3 3" xfId="189" xr:uid="{0014396C-33A9-4473-AECB-1C84C2CE0C1C}"/>
    <cellStyle name="Millares [0] 3 3 3 2" xfId="375" xr:uid="{3940B1AD-91DF-40EA-8F33-6557DF1698D1}"/>
    <cellStyle name="Millares [0] 3 3 3 2 2" xfId="714" xr:uid="{0061E1C8-B332-4F24-BEFA-9ADBBC640E72}"/>
    <cellStyle name="Millares [0] 3 3 3 2 2 2" xfId="1385" xr:uid="{0C5D5940-33F0-4201-85F6-CF984C1A624F}"/>
    <cellStyle name="Millares [0] 3 3 3 2 2 2 2" xfId="2720" xr:uid="{A00E5716-98E2-43F1-91A1-B80C4D647A4A}"/>
    <cellStyle name="Millares [0] 3 3 3 2 2 3" xfId="2056" xr:uid="{C48A4208-177E-4B02-8F55-421A5B7256B8}"/>
    <cellStyle name="Millares [0] 3 3 3 2 3" xfId="1053" xr:uid="{68475D41-DC53-4477-B8B0-57AA2AB73571}"/>
    <cellStyle name="Millares [0] 3 3 3 2 3 2" xfId="2388" xr:uid="{951F0A1E-C01D-43E6-8DAA-9117FB6D7B0F}"/>
    <cellStyle name="Millares [0] 3 3 3 2 4" xfId="1724" xr:uid="{B5578422-C62C-4C1E-93E3-7E41A54CB72E}"/>
    <cellStyle name="Millares [0] 3 3 3 3" xfId="548" xr:uid="{F184ADAB-516B-4369-ADBB-9ED2B99F122E}"/>
    <cellStyle name="Millares [0] 3 3 3 3 2" xfId="1219" xr:uid="{2CB7CD96-ED4D-4DE5-9B77-B90CEC821E4E}"/>
    <cellStyle name="Millares [0] 3 3 3 3 2 2" xfId="2554" xr:uid="{790FA4DA-7B10-4C90-9D7C-9935D02603BC}"/>
    <cellStyle name="Millares [0] 3 3 3 3 3" xfId="1890" xr:uid="{4AF9B133-FF01-4B10-961D-E4AD3618256E}"/>
    <cellStyle name="Millares [0] 3 3 3 4" xfId="887" xr:uid="{9A3E0CD3-08E4-4D24-BE7B-514CB2CF09C1}"/>
    <cellStyle name="Millares [0] 3 3 3 4 2" xfId="2222" xr:uid="{B9283C49-9300-43CF-A603-CE51AF13094E}"/>
    <cellStyle name="Millares [0] 3 3 3 5" xfId="1558" xr:uid="{071A92C5-AA2D-4F91-971F-16C1242D9510}"/>
    <cellStyle name="Millares [0] 3 3 4" xfId="293" xr:uid="{921A1152-0A99-4080-B41D-BF4F77AAD7C5}"/>
    <cellStyle name="Millares [0] 3 3 4 2" xfId="632" xr:uid="{5435DF09-7295-4C86-9718-B71A2F307147}"/>
    <cellStyle name="Millares [0] 3 3 4 2 2" xfId="1303" xr:uid="{B3B9F9FA-D47A-451F-9888-3A8F11858B33}"/>
    <cellStyle name="Millares [0] 3 3 4 2 2 2" xfId="2638" xr:uid="{E005BFA0-CD23-4967-89F1-ED89466D8C8A}"/>
    <cellStyle name="Millares [0] 3 3 4 2 3" xfId="1974" xr:uid="{53119540-8D43-4250-A2E6-CB2FFA2BB2C9}"/>
    <cellStyle name="Millares [0] 3 3 4 3" xfId="971" xr:uid="{C285EDD5-6290-47D3-8578-44E2FC79367E}"/>
    <cellStyle name="Millares [0] 3 3 4 3 2" xfId="2306" xr:uid="{F4001AE9-1F8A-40A4-8266-8FB66D1C2551}"/>
    <cellStyle name="Millares [0] 3 3 4 4" xfId="1642" xr:uid="{A2FC502B-0FB8-43B2-9C30-99B333CD559B}"/>
    <cellStyle name="Millares [0] 3 3 5" xfId="466" xr:uid="{97E5DFFB-86B7-45DF-A443-F796F2C6C819}"/>
    <cellStyle name="Millares [0] 3 3 5 2" xfId="1137" xr:uid="{93EDEEBD-6645-485C-BBCD-BAC9F5B1A069}"/>
    <cellStyle name="Millares [0] 3 3 5 2 2" xfId="2472" xr:uid="{569630DE-4AF8-4D6B-968B-0DF461CF21A9}"/>
    <cellStyle name="Millares [0] 3 3 5 3" xfId="1808" xr:uid="{F433DCF6-DC52-47E8-BE39-5073B99C04E9}"/>
    <cellStyle name="Millares [0] 3 3 6" xfId="805" xr:uid="{7922E5D0-621C-4C52-B59B-D1AF654CD73D}"/>
    <cellStyle name="Millares [0] 3 3 6 2" xfId="2140" xr:uid="{88FBD77A-9E3E-419F-BB80-B98724DF0E00}"/>
    <cellStyle name="Millares [0] 3 3 7" xfId="1476" xr:uid="{7D43BC28-B01B-4B24-91AC-4DB6A2D9F3E0}"/>
    <cellStyle name="Millares [0] 3 4" xfId="119" xr:uid="{0B82E6DC-AC57-4606-A485-9AE198936950}"/>
    <cellStyle name="Millares [0] 3 4 2" xfId="210" xr:uid="{ECEC06AF-CD86-40EA-A217-2FFBBB66CB39}"/>
    <cellStyle name="Millares [0] 3 4 2 2" xfId="396" xr:uid="{273D02EE-C284-4894-8330-64086C17DFA9}"/>
    <cellStyle name="Millares [0] 3 4 2 2 2" xfId="735" xr:uid="{B8C84A5D-DB89-42E0-9F5D-3425F7B4B459}"/>
    <cellStyle name="Millares [0] 3 4 2 2 2 2" xfId="1406" xr:uid="{1D20CC04-172A-406E-9851-2E9BC86BCB30}"/>
    <cellStyle name="Millares [0] 3 4 2 2 2 2 2" xfId="2741" xr:uid="{BAEC4113-4D1D-475D-858F-F2CEACC7B1AA}"/>
    <cellStyle name="Millares [0] 3 4 2 2 2 3" xfId="2077" xr:uid="{4668FD4A-6BE1-44E1-A610-BB7907C3757E}"/>
    <cellStyle name="Millares [0] 3 4 2 2 3" xfId="1074" xr:uid="{A76030E6-2C12-4055-8195-2FE101E128E5}"/>
    <cellStyle name="Millares [0] 3 4 2 2 3 2" xfId="2409" xr:uid="{2210E3C2-F9F7-4016-B1F3-F2086981B460}"/>
    <cellStyle name="Millares [0] 3 4 2 2 4" xfId="1745" xr:uid="{DDA6499F-C6A0-43A4-BB60-F97F85E2A89A}"/>
    <cellStyle name="Millares [0] 3 4 2 3" xfId="569" xr:uid="{8CE338DE-5703-4C1E-89F5-55454C4BFBD4}"/>
    <cellStyle name="Millares [0] 3 4 2 3 2" xfId="1240" xr:uid="{ADCCA39C-A91A-49D3-9400-A16163D007BE}"/>
    <cellStyle name="Millares [0] 3 4 2 3 2 2" xfId="2575" xr:uid="{6351599C-CBC1-47AF-9670-3149D87FC74C}"/>
    <cellStyle name="Millares [0] 3 4 2 3 3" xfId="1911" xr:uid="{89DD1D80-8546-45A7-AE3D-F2EB34EDC9EE}"/>
    <cellStyle name="Millares [0] 3 4 2 4" xfId="908" xr:uid="{92198B42-F190-4597-9178-BA3D9A88E111}"/>
    <cellStyle name="Millares [0] 3 4 2 4 2" xfId="2243" xr:uid="{9FDF1D9E-D966-4F7F-AE41-D343F40AFB4E}"/>
    <cellStyle name="Millares [0] 3 4 2 5" xfId="1579" xr:uid="{EBA9E163-E5A3-408D-8573-D88B759715BF}"/>
    <cellStyle name="Millares [0] 3 4 3" xfId="314" xr:uid="{928BE6D6-028D-412D-8A2D-89A5B868B364}"/>
    <cellStyle name="Millares [0] 3 4 3 2" xfId="653" xr:uid="{032E8B9F-C128-4E04-98C0-D2CF5FE37A9D}"/>
    <cellStyle name="Millares [0] 3 4 3 2 2" xfId="1324" xr:uid="{6622295A-1F03-4588-A7AE-BAEB00AF0048}"/>
    <cellStyle name="Millares [0] 3 4 3 2 2 2" xfId="2659" xr:uid="{9001BD70-F8D8-4AB8-9E53-5A802D9A08D2}"/>
    <cellStyle name="Millares [0] 3 4 3 2 3" xfId="1995" xr:uid="{D6653DD3-26F3-4E5A-80A3-675338637467}"/>
    <cellStyle name="Millares [0] 3 4 3 3" xfId="992" xr:uid="{515807C2-2FF9-487A-93C3-5566D5C82141}"/>
    <cellStyle name="Millares [0] 3 4 3 3 2" xfId="2327" xr:uid="{0B643289-0B7D-444C-BA46-2E555459E1DD}"/>
    <cellStyle name="Millares [0] 3 4 3 4" xfId="1663" xr:uid="{852EB2E4-2559-4C81-AC5C-6F52DBEAE361}"/>
    <cellStyle name="Millares [0] 3 4 4" xfId="487" xr:uid="{86E1DD4D-1AA4-43B4-9359-C414FB077B3E}"/>
    <cellStyle name="Millares [0] 3 4 4 2" xfId="1158" xr:uid="{40D45CAD-8845-4818-B754-CB37C3364749}"/>
    <cellStyle name="Millares [0] 3 4 4 2 2" xfId="2493" xr:uid="{36757FF4-CFC6-4050-8BF1-DFFAA760669E}"/>
    <cellStyle name="Millares [0] 3 4 4 3" xfId="1829" xr:uid="{20D3D38B-0A61-474F-A56C-990ACD75DC54}"/>
    <cellStyle name="Millares [0] 3 4 5" xfId="826" xr:uid="{4B05E9D7-6D88-4413-90EB-757CBACEDEC8}"/>
    <cellStyle name="Millares [0] 3 4 5 2" xfId="2161" xr:uid="{9E9E0C9F-4BBE-45F0-8904-09CE82F11244}"/>
    <cellStyle name="Millares [0] 3 4 6" xfId="1497" xr:uid="{06A8AE5B-CF03-4F0D-94AE-9F79F17C63B5}"/>
    <cellStyle name="Millares [0] 3 5" xfId="169" xr:uid="{4D241E44-B2F5-4EE5-AEAB-4A96E13B9C3F}"/>
    <cellStyle name="Millares [0] 3 5 2" xfId="356" xr:uid="{8B235BED-978E-40D4-B826-F156CF632F9C}"/>
    <cellStyle name="Millares [0] 3 5 2 2" xfId="695" xr:uid="{170F05E9-2229-4D99-B797-73F2289106FE}"/>
    <cellStyle name="Millares [0] 3 5 2 2 2" xfId="1366" xr:uid="{BFD142E0-7F64-40FB-B09D-AA21DAD60AB5}"/>
    <cellStyle name="Millares [0] 3 5 2 2 2 2" xfId="2701" xr:uid="{5EF14931-39C9-48FC-A6A6-EEFD3FAA4F31}"/>
    <cellStyle name="Millares [0] 3 5 2 2 3" xfId="2037" xr:uid="{B8C8D0F1-2F5D-4A47-B801-03D9CE7145FA}"/>
    <cellStyle name="Millares [0] 3 5 2 3" xfId="1034" xr:uid="{787A5E63-E8AF-4740-A595-B5C0F9E13EE7}"/>
    <cellStyle name="Millares [0] 3 5 2 3 2" xfId="2369" xr:uid="{176525B1-8A0B-4648-ACE2-2E8E1CA14C40}"/>
    <cellStyle name="Millares [0] 3 5 2 4" xfId="1705" xr:uid="{89B0C5A5-E3F9-4C5D-91BA-42BE7E8414AE}"/>
    <cellStyle name="Millares [0] 3 5 3" xfId="529" xr:uid="{EE5CDD5E-4E35-4FB7-9FF1-846922CC280E}"/>
    <cellStyle name="Millares [0] 3 5 3 2" xfId="1200" xr:uid="{F0DAF6F4-355A-450F-9210-48CA10CE21CE}"/>
    <cellStyle name="Millares [0] 3 5 3 2 2" xfId="2535" xr:uid="{531799B4-1001-40B3-8D26-96CDFFCFC9E8}"/>
    <cellStyle name="Millares [0] 3 5 3 3" xfId="1871" xr:uid="{E9E801ED-2959-4922-9194-12CE47185749}"/>
    <cellStyle name="Millares [0] 3 5 4" xfId="868" xr:uid="{5EB0CE47-46D8-46C1-B287-0B3A54569C85}"/>
    <cellStyle name="Millares [0] 3 5 4 2" xfId="2203" xr:uid="{093E4F69-BA95-4AAC-8B67-18A760A3B52E}"/>
    <cellStyle name="Millares [0] 3 5 5" xfId="1539" xr:uid="{BC9EADC6-FA5F-4153-97CE-A8A52D2E9E1A}"/>
    <cellStyle name="Millares [0] 3 6" xfId="273" xr:uid="{A5578237-75A3-45C2-9480-FEC19B2268C1}"/>
    <cellStyle name="Millares [0] 3 6 2" xfId="613" xr:uid="{F37EE838-4301-4DC0-ABE7-253D773D4C2A}"/>
    <cellStyle name="Millares [0] 3 6 2 2" xfId="1284" xr:uid="{D8E7E02A-2AAD-412D-B9C3-D93F81A0C33C}"/>
    <cellStyle name="Millares [0] 3 6 2 2 2" xfId="2619" xr:uid="{D45C3115-01B9-439D-AB28-7C67C28DC0CE}"/>
    <cellStyle name="Millares [0] 3 6 2 3" xfId="1955" xr:uid="{D229A04D-CD0B-4415-B64D-FE603C48252F}"/>
    <cellStyle name="Millares [0] 3 6 3" xfId="952" xr:uid="{F89996EB-68C6-41C4-ADFE-4FBC374F408B}"/>
    <cellStyle name="Millares [0] 3 6 3 2" xfId="2287" xr:uid="{729AC9E9-13B0-4CFE-8BB3-C8AF3C3A4424}"/>
    <cellStyle name="Millares [0] 3 6 4" xfId="1623" xr:uid="{83F6C7E4-C7A1-4746-B702-5EDDD439172F}"/>
    <cellStyle name="Millares [0] 3 7" xfId="446" xr:uid="{15DCF4A2-0300-4D20-8ED8-01A32DF18501}"/>
    <cellStyle name="Millares [0] 3 7 2" xfId="1118" xr:uid="{19AF5F2B-0BA5-4F45-AD50-E2065DD0B3D7}"/>
    <cellStyle name="Millares [0] 3 7 2 2" xfId="2453" xr:uid="{20381FA7-7F42-4259-98CA-C2E25AB97A1F}"/>
    <cellStyle name="Millares [0] 3 7 3" xfId="1789" xr:uid="{8388537E-85C8-4E23-AB24-849A50CADB95}"/>
    <cellStyle name="Millares [0] 3 8" xfId="785" xr:uid="{074F9615-474E-4D4A-802D-5B8A32D57031}"/>
    <cellStyle name="Millares [0] 3 8 2" xfId="2121" xr:uid="{29D04CA4-B742-4DB7-BF8A-0A997322FB00}"/>
    <cellStyle name="Millares [0] 3 9" xfId="1456" xr:uid="{3BB681A3-9033-49E0-8CD5-BF304D357F01}"/>
    <cellStyle name="Millares [0] 34" xfId="46" xr:uid="{6D208838-2C72-4EB1-8FBD-D49339239DD8}"/>
    <cellStyle name="Millares [0] 34 2" xfId="73" xr:uid="{AF3BE328-7FD1-476C-8929-81652D043D43}"/>
    <cellStyle name="Millares [0] 34 2 2" xfId="102" xr:uid="{8A317622-468C-4070-9A18-4D24B34E989D}"/>
    <cellStyle name="Millares [0] 34 2 2 2" xfId="150" xr:uid="{6750B344-BC11-471E-9C7C-F634D8BA2754}"/>
    <cellStyle name="Millares [0] 34 2 2 2 2" xfId="239" xr:uid="{1D7A6349-4B46-4D0E-83A3-1390A6F63E98}"/>
    <cellStyle name="Millares [0] 34 2 2 2 2 2" xfId="425" xr:uid="{E65A7C38-5238-4DC3-BE84-058BE04757CE}"/>
    <cellStyle name="Millares [0] 34 2 2 2 2 2 2" xfId="764" xr:uid="{A714E295-9C7C-4200-838C-979FF07A8DDC}"/>
    <cellStyle name="Millares [0] 34 2 2 2 2 2 2 2" xfId="1435" xr:uid="{8BDBEE68-6D92-4AF8-914E-5D6E793E8CAA}"/>
    <cellStyle name="Millares [0] 34 2 2 2 2 2 2 2 2" xfId="2770" xr:uid="{F0551732-FE1A-4FEF-B9B7-89FE06036786}"/>
    <cellStyle name="Millares [0] 34 2 2 2 2 2 2 3" xfId="2106" xr:uid="{B915C82B-ED57-47C0-8695-208C949B0A3C}"/>
    <cellStyle name="Millares [0] 34 2 2 2 2 2 3" xfId="1103" xr:uid="{8B276BA1-CDF3-45B3-A447-67E53FCEF9A0}"/>
    <cellStyle name="Millares [0] 34 2 2 2 2 2 3 2" xfId="2438" xr:uid="{1039C3B4-CF31-4010-A1FF-B8AC6376BD60}"/>
    <cellStyle name="Millares [0] 34 2 2 2 2 2 4" xfId="1774" xr:uid="{48F12E7E-7DAE-4A43-A01E-E7359D4D3167}"/>
    <cellStyle name="Millares [0] 34 2 2 2 2 3" xfId="598" xr:uid="{F433B887-A44E-4995-9DB1-503E353F9611}"/>
    <cellStyle name="Millares [0] 34 2 2 2 2 3 2" xfId="1269" xr:uid="{141F5AC7-39E2-4A95-A714-983A2F3EFAEB}"/>
    <cellStyle name="Millares [0] 34 2 2 2 2 3 2 2" xfId="2604" xr:uid="{DEC9D8A7-9BE0-4D53-A3FD-013B6FEFEF6F}"/>
    <cellStyle name="Millares [0] 34 2 2 2 2 3 3" xfId="1940" xr:uid="{CA6EFB42-BADF-4015-9364-D87F88645DFE}"/>
    <cellStyle name="Millares [0] 34 2 2 2 2 4" xfId="937" xr:uid="{E531A85E-9D73-4CA0-9BE3-5A777D1AD522}"/>
    <cellStyle name="Millares [0] 34 2 2 2 2 4 2" xfId="2272" xr:uid="{A20BBAA5-C4F2-432A-A8E3-0486CDB38039}"/>
    <cellStyle name="Millares [0] 34 2 2 2 2 5" xfId="1608" xr:uid="{047354B9-9E3C-4CCC-8AD6-ACF1C3044511}"/>
    <cellStyle name="Millares [0] 34 2 2 2 3" xfId="343" xr:uid="{8CBAA7A3-72EB-49C3-ABC7-3C5C26E84B24}"/>
    <cellStyle name="Millares [0] 34 2 2 2 3 2" xfId="682" xr:uid="{144BA5BE-3196-4328-B75E-4E5F19E31E97}"/>
    <cellStyle name="Millares [0] 34 2 2 2 3 2 2" xfId="1353" xr:uid="{7C8179ED-D753-4962-B0A1-D8D7BE6E4F16}"/>
    <cellStyle name="Millares [0] 34 2 2 2 3 2 2 2" xfId="2688" xr:uid="{B01063FB-15AF-433F-82A1-95512AE4A03D}"/>
    <cellStyle name="Millares [0] 34 2 2 2 3 2 3" xfId="2024" xr:uid="{6BECA4BC-A149-47C2-A58C-FDA579E2B8C5}"/>
    <cellStyle name="Millares [0] 34 2 2 2 3 3" xfId="1021" xr:uid="{FA80BA82-6139-4AF6-B0F5-F3B02A7CB47A}"/>
    <cellStyle name="Millares [0] 34 2 2 2 3 3 2" xfId="2356" xr:uid="{D76D80D2-880E-45AF-95DD-336CF611350F}"/>
    <cellStyle name="Millares [0] 34 2 2 2 3 4" xfId="1692" xr:uid="{167B6AA2-F14F-44A2-9059-6498F2FA456F}"/>
    <cellStyle name="Millares [0] 34 2 2 2 4" xfId="516" xr:uid="{0F519E8C-461A-4BC0-BA95-32A4C8F162CC}"/>
    <cellStyle name="Millares [0] 34 2 2 2 4 2" xfId="1187" xr:uid="{CE065535-2582-4242-B87E-DBEABFB80D1A}"/>
    <cellStyle name="Millares [0] 34 2 2 2 4 2 2" xfId="2522" xr:uid="{71A47A47-A104-494C-90D7-329B4794B62E}"/>
    <cellStyle name="Millares [0] 34 2 2 2 4 3" xfId="1858" xr:uid="{CB04B5B4-63EB-432F-9AA2-D08F4513BEE5}"/>
    <cellStyle name="Millares [0] 34 2 2 2 5" xfId="855" xr:uid="{8A89DB07-49AB-4CFD-B7C2-89F99AEB7028}"/>
    <cellStyle name="Millares [0] 34 2 2 2 5 2" xfId="2190" xr:uid="{40BF1783-AD9E-4373-941B-DFB242DB104B}"/>
    <cellStyle name="Millares [0] 34 2 2 2 6" xfId="1526" xr:uid="{F624D274-4A0C-47E6-B98C-AF9394A78256}"/>
    <cellStyle name="Millares [0] 34 2 2 3" xfId="199" xr:uid="{EA1CA599-5DDC-47CC-B8D7-76F315476188}"/>
    <cellStyle name="Millares [0] 34 2 2 3 2" xfId="385" xr:uid="{019C6B96-A644-4461-9245-1B4C2959B468}"/>
    <cellStyle name="Millares [0] 34 2 2 3 2 2" xfId="724" xr:uid="{818B0B9F-49B2-4356-B907-51A87DFDC989}"/>
    <cellStyle name="Millares [0] 34 2 2 3 2 2 2" xfId="1395" xr:uid="{49184BD2-E646-4E31-81F0-0442ADBDBF3E}"/>
    <cellStyle name="Millares [0] 34 2 2 3 2 2 2 2" xfId="2730" xr:uid="{6737B1B4-467D-447F-A212-FA947827892C}"/>
    <cellStyle name="Millares [0] 34 2 2 3 2 2 3" xfId="2066" xr:uid="{FA6BFAA0-FC3B-4B5D-AFEC-7A5D7010F4B7}"/>
    <cellStyle name="Millares [0] 34 2 2 3 2 3" xfId="1063" xr:uid="{C50AB9DE-197D-45DE-B3C6-BB26C5785CA5}"/>
    <cellStyle name="Millares [0] 34 2 2 3 2 3 2" xfId="2398" xr:uid="{823B6004-ABA7-4267-BCBA-57A4EF66B24D}"/>
    <cellStyle name="Millares [0] 34 2 2 3 2 4" xfId="1734" xr:uid="{1AF250D5-C686-4F31-9FCC-2BB16F077772}"/>
    <cellStyle name="Millares [0] 34 2 2 3 3" xfId="558" xr:uid="{70AEE098-5AAB-4399-8CD8-A721B608B952}"/>
    <cellStyle name="Millares [0] 34 2 2 3 3 2" xfId="1229" xr:uid="{C818D7C7-2426-47CB-A540-5ED973603C9C}"/>
    <cellStyle name="Millares [0] 34 2 2 3 3 2 2" xfId="2564" xr:uid="{F86B93D2-9EC2-442B-B450-25B4E3B1F3AE}"/>
    <cellStyle name="Millares [0] 34 2 2 3 3 3" xfId="1900" xr:uid="{2B4DFAAB-D727-48DE-B9F7-B9BB41E8CA7D}"/>
    <cellStyle name="Millares [0] 34 2 2 3 4" xfId="897" xr:uid="{675D3AAF-EF4E-4E7E-BEC2-FCBB58BBD93B}"/>
    <cellStyle name="Millares [0] 34 2 2 3 4 2" xfId="2232" xr:uid="{E12D8A93-5A4F-4B00-8803-3910371C67FA}"/>
    <cellStyle name="Millares [0] 34 2 2 3 5" xfId="1568" xr:uid="{FAFA6808-C6FE-4A32-8CA6-D595A4D8D32F}"/>
    <cellStyle name="Millares [0] 34 2 2 4" xfId="303" xr:uid="{A06900BF-B1D6-4C17-8DBF-5CD1E7CFB340}"/>
    <cellStyle name="Millares [0] 34 2 2 4 2" xfId="642" xr:uid="{36D6330B-CF0A-4D17-BA53-A44AA7ADE556}"/>
    <cellStyle name="Millares [0] 34 2 2 4 2 2" xfId="1313" xr:uid="{49F3FFB5-C7A3-42EE-BD27-506192A91F1F}"/>
    <cellStyle name="Millares [0] 34 2 2 4 2 2 2" xfId="2648" xr:uid="{B609B898-67AA-45F3-A731-4E9A2E2769FA}"/>
    <cellStyle name="Millares [0] 34 2 2 4 2 3" xfId="1984" xr:uid="{2092F18B-A905-4D81-8501-B0E7CA22EFE8}"/>
    <cellStyle name="Millares [0] 34 2 2 4 3" xfId="981" xr:uid="{63B2002F-A169-47E8-B023-B8A17627F18E}"/>
    <cellStyle name="Millares [0] 34 2 2 4 3 2" xfId="2316" xr:uid="{BECE8C63-7A29-4F7E-8038-123571E0FDE9}"/>
    <cellStyle name="Millares [0] 34 2 2 4 4" xfId="1652" xr:uid="{DFE1AACF-91CE-4474-8DA9-1616350B3950}"/>
    <cellStyle name="Millares [0] 34 2 2 5" xfId="476" xr:uid="{E79AC3EA-B469-4DFB-BDD9-66F6928FE914}"/>
    <cellStyle name="Millares [0] 34 2 2 5 2" xfId="1147" xr:uid="{99FBA015-D3A6-4D29-8016-6DA0F453B6C6}"/>
    <cellStyle name="Millares [0] 34 2 2 5 2 2" xfId="2482" xr:uid="{543322C9-0D3C-4BBA-AC8B-8EF6DE88851C}"/>
    <cellStyle name="Millares [0] 34 2 2 5 3" xfId="1818" xr:uid="{6D14457C-5220-4735-8D78-6C69C475754A}"/>
    <cellStyle name="Millares [0] 34 2 2 6" xfId="815" xr:uid="{02CE9486-F49F-4CA4-BF20-E5A9F9EC7166}"/>
    <cellStyle name="Millares [0] 34 2 2 6 2" xfId="2150" xr:uid="{12367415-EB58-42BC-977D-C01EC1F9278D}"/>
    <cellStyle name="Millares [0] 34 2 2 7" xfId="1486" xr:uid="{DDC33D3F-87D4-40A7-984C-7C6891489D82}"/>
    <cellStyle name="Millares [0] 34 2 3" xfId="131" xr:uid="{1B678359-D115-4604-A02C-7367F8B7F933}"/>
    <cellStyle name="Millares [0] 34 2 3 2" xfId="220" xr:uid="{D58D42D7-16C3-4F96-8E28-A3D53CFB7C07}"/>
    <cellStyle name="Millares [0] 34 2 3 2 2" xfId="406" xr:uid="{E2D406DC-3013-4987-A97E-45D53DD31D10}"/>
    <cellStyle name="Millares [0] 34 2 3 2 2 2" xfId="745" xr:uid="{6FB680E6-8C9F-4B1E-8246-84E066E7D7A4}"/>
    <cellStyle name="Millares [0] 34 2 3 2 2 2 2" xfId="1416" xr:uid="{2332AB1F-331D-4D1B-9E69-19E7727FDCA3}"/>
    <cellStyle name="Millares [0] 34 2 3 2 2 2 2 2" xfId="2751" xr:uid="{062AE4C9-A9E8-4B45-BC24-7E24AAEEAF5C}"/>
    <cellStyle name="Millares [0] 34 2 3 2 2 2 3" xfId="2087" xr:uid="{B7559F63-1112-474B-82AF-4624036D7419}"/>
    <cellStyle name="Millares [0] 34 2 3 2 2 3" xfId="1084" xr:uid="{0024D242-B5D3-41D2-A172-94048ACC3FDC}"/>
    <cellStyle name="Millares [0] 34 2 3 2 2 3 2" xfId="2419" xr:uid="{4B7FD6EF-D851-404F-BA95-0686FE2E6A6D}"/>
    <cellStyle name="Millares [0] 34 2 3 2 2 4" xfId="1755" xr:uid="{2994DE87-D025-424E-A12E-EA587114FE96}"/>
    <cellStyle name="Millares [0] 34 2 3 2 3" xfId="579" xr:uid="{5C05AFCF-D61A-4C21-9A0C-1A25C96337DF}"/>
    <cellStyle name="Millares [0] 34 2 3 2 3 2" xfId="1250" xr:uid="{94CDF30F-E9C3-4C7D-A451-FA5C2C45AAE0}"/>
    <cellStyle name="Millares [0] 34 2 3 2 3 2 2" xfId="2585" xr:uid="{F6569BB9-5152-4D57-ACF3-53C8328E4D17}"/>
    <cellStyle name="Millares [0] 34 2 3 2 3 3" xfId="1921" xr:uid="{4CE8BB2A-88A6-425C-9FBE-7AB27B4DF3EB}"/>
    <cellStyle name="Millares [0] 34 2 3 2 4" xfId="918" xr:uid="{68E8F6B5-475E-40EC-97A7-F827B8829311}"/>
    <cellStyle name="Millares [0] 34 2 3 2 4 2" xfId="2253" xr:uid="{218FB494-1263-43D6-B99C-9EB73DD0D71E}"/>
    <cellStyle name="Millares [0] 34 2 3 2 5" xfId="1589" xr:uid="{E4D3A4EC-DAC9-4494-A1D7-AA58951D649D}"/>
    <cellStyle name="Millares [0] 34 2 3 3" xfId="324" xr:uid="{BAB20D25-360E-4888-8226-5A75B4BD6B02}"/>
    <cellStyle name="Millares [0] 34 2 3 3 2" xfId="663" xr:uid="{6480FD47-54B8-4544-A58E-3378D1E3AB9A}"/>
    <cellStyle name="Millares [0] 34 2 3 3 2 2" xfId="1334" xr:uid="{2661D90F-F3D0-4616-B583-2BB733B3D445}"/>
    <cellStyle name="Millares [0] 34 2 3 3 2 2 2" xfId="2669" xr:uid="{796D0DBB-528A-452E-ACF2-EEE747E86FB2}"/>
    <cellStyle name="Millares [0] 34 2 3 3 2 3" xfId="2005" xr:uid="{22C266B3-2D87-4469-B478-2BBB9F71006F}"/>
    <cellStyle name="Millares [0] 34 2 3 3 3" xfId="1002" xr:uid="{20B69339-D1D6-45A9-8C37-FB4F4B814AA0}"/>
    <cellStyle name="Millares [0] 34 2 3 3 3 2" xfId="2337" xr:uid="{5A571BD0-22A1-4508-80C3-86FD9CDFEFD6}"/>
    <cellStyle name="Millares [0] 34 2 3 3 4" xfId="1673" xr:uid="{F5150594-01E9-4AF8-BD33-608808D6B84C}"/>
    <cellStyle name="Millares [0] 34 2 3 4" xfId="497" xr:uid="{AAB17467-EC0B-499A-B106-B29BF1D01A76}"/>
    <cellStyle name="Millares [0] 34 2 3 4 2" xfId="1168" xr:uid="{AC0C06D8-057C-4854-9240-9DE9C0F70196}"/>
    <cellStyle name="Millares [0] 34 2 3 4 2 2" xfId="2503" xr:uid="{C47FB7CA-35CD-448E-925B-DF98BC54A9DD}"/>
    <cellStyle name="Millares [0] 34 2 3 4 3" xfId="1839" xr:uid="{4B0A76B4-A8A6-4F4F-814F-730B9A5D1503}"/>
    <cellStyle name="Millares [0] 34 2 3 5" xfId="836" xr:uid="{14BA1432-B913-41B7-81B0-6E9C21CA67C5}"/>
    <cellStyle name="Millares [0] 34 2 3 5 2" xfId="2171" xr:uid="{29672887-1674-4B45-A926-964CE78C0F0E}"/>
    <cellStyle name="Millares [0] 34 2 3 6" xfId="1507" xr:uid="{616F79D8-B5D0-4BCD-BDEF-6F3CCC636545}"/>
    <cellStyle name="Millares [0] 34 2 4" xfId="180" xr:uid="{AE53E2D7-5300-4490-8CA7-C43488866A97}"/>
    <cellStyle name="Millares [0] 34 2 4 2" xfId="366" xr:uid="{3E9F21EE-B265-40A3-8B86-1458A2EFD966}"/>
    <cellStyle name="Millares [0] 34 2 4 2 2" xfId="705" xr:uid="{E89E66C3-B951-4305-8273-CED3C3DE6EED}"/>
    <cellStyle name="Millares [0] 34 2 4 2 2 2" xfId="1376" xr:uid="{F386F14E-F8F4-487D-9526-C2ABB165B9AB}"/>
    <cellStyle name="Millares [0] 34 2 4 2 2 2 2" xfId="2711" xr:uid="{F61D8C31-1035-466C-9634-BBF5335E2B97}"/>
    <cellStyle name="Millares [0] 34 2 4 2 2 3" xfId="2047" xr:uid="{3BCF4C56-1ACB-4DF0-A0C3-5BE70D7A3053}"/>
    <cellStyle name="Millares [0] 34 2 4 2 3" xfId="1044" xr:uid="{6559F603-D880-408F-8AE8-B173D9F77FB7}"/>
    <cellStyle name="Millares [0] 34 2 4 2 3 2" xfId="2379" xr:uid="{015EE567-5F63-46DA-AB6C-709116E770D2}"/>
    <cellStyle name="Millares [0] 34 2 4 2 4" xfId="1715" xr:uid="{069B3145-FDB6-4893-94A9-8EBED5A8360F}"/>
    <cellStyle name="Millares [0] 34 2 4 3" xfId="539" xr:uid="{E5091BF5-B704-43CE-8301-4F7611267B96}"/>
    <cellStyle name="Millares [0] 34 2 4 3 2" xfId="1210" xr:uid="{C547EB3C-F66A-4278-B597-72CE11F9AABE}"/>
    <cellStyle name="Millares [0] 34 2 4 3 2 2" xfId="2545" xr:uid="{B89AEA1D-714E-48A3-A46C-B63925B9958C}"/>
    <cellStyle name="Millares [0] 34 2 4 3 3" xfId="1881" xr:uid="{481CD8A0-0FF8-4CFF-B8B0-2BC593B28B67}"/>
    <cellStyle name="Millares [0] 34 2 4 4" xfId="878" xr:uid="{606EBBDF-D961-4788-AFA5-883C0C604723}"/>
    <cellStyle name="Millares [0] 34 2 4 4 2" xfId="2213" xr:uid="{91098C1E-4F34-483A-9BA3-1D90F941AE2E}"/>
    <cellStyle name="Millares [0] 34 2 4 5" xfId="1549" xr:uid="{71DE4BF2-28F5-492E-B1F8-C763B9AC49AB}"/>
    <cellStyle name="Millares [0] 34 2 5" xfId="284" xr:uid="{BC12B6A0-E0A3-464C-9D0F-96767D511A8C}"/>
    <cellStyle name="Millares [0] 34 2 5 2" xfId="623" xr:uid="{B9A07A3C-D3CD-4828-97C5-C5382958CFBC}"/>
    <cellStyle name="Millares [0] 34 2 5 2 2" xfId="1294" xr:uid="{AF9D2E2D-E894-4414-92AB-663B88AC5C4E}"/>
    <cellStyle name="Millares [0] 34 2 5 2 2 2" xfId="2629" xr:uid="{1301E8CD-F11D-4B83-8F46-C4149EABBBC5}"/>
    <cellStyle name="Millares [0] 34 2 5 2 3" xfId="1965" xr:uid="{92E39B87-27CC-4535-B10C-099E3678CE57}"/>
    <cellStyle name="Millares [0] 34 2 5 3" xfId="962" xr:uid="{9B5B71DE-C5D9-4CD8-A9A6-7D99B69F625B}"/>
    <cellStyle name="Millares [0] 34 2 5 3 2" xfId="2297" xr:uid="{2C7D0B9C-3206-440E-9787-1C05A7685F82}"/>
    <cellStyle name="Millares [0] 34 2 5 4" xfId="1633" xr:uid="{908D5894-945A-4434-8447-333A86BE5B95}"/>
    <cellStyle name="Millares [0] 34 2 6" xfId="457" xr:uid="{2510F81E-8DC6-40AC-8F47-B04FF044E8A6}"/>
    <cellStyle name="Millares [0] 34 2 6 2" xfId="1128" xr:uid="{16A3FA54-332C-4552-896D-8C699C32BF53}"/>
    <cellStyle name="Millares [0] 34 2 6 2 2" xfId="2463" xr:uid="{FEC96774-A7F9-4BE2-96EA-C2E2214C9C41}"/>
    <cellStyle name="Millares [0] 34 2 6 3" xfId="1799" xr:uid="{D6C1154C-C010-4309-A77C-2D61CADE7253}"/>
    <cellStyle name="Millares [0] 34 2 7" xfId="796" xr:uid="{15761328-9F11-4E88-AA06-570F5BC211A6}"/>
    <cellStyle name="Millares [0] 34 2 7 2" xfId="2131" xr:uid="{9DDBCB7B-F382-4DF9-A016-0D1F6A5AE381}"/>
    <cellStyle name="Millares [0] 34 2 8" xfId="1467" xr:uid="{A03C8000-9CAA-4024-A00D-84D576FB9A8C}"/>
    <cellStyle name="Millares [0] 34 3" xfId="91" xr:uid="{02419711-E48C-4BEF-BAA0-67AD6AD1CE0B}"/>
    <cellStyle name="Millares [0] 34 3 2" xfId="141" xr:uid="{F4617B6F-5092-4724-8EC3-C1D1F21A7FCF}"/>
    <cellStyle name="Millares [0] 34 3 2 2" xfId="230" xr:uid="{CC970954-0BE2-4D6C-A701-BA646EC97A93}"/>
    <cellStyle name="Millares [0] 34 3 2 2 2" xfId="416" xr:uid="{3EBC32D4-6B61-4D48-9875-6A6CB64D6302}"/>
    <cellStyle name="Millares [0] 34 3 2 2 2 2" xfId="755" xr:uid="{30C5335E-4F7C-4A2A-8CD3-A7FBB7BDDEA6}"/>
    <cellStyle name="Millares [0] 34 3 2 2 2 2 2" xfId="1426" xr:uid="{46902A27-33FB-4C69-90A9-F1354209A09F}"/>
    <cellStyle name="Millares [0] 34 3 2 2 2 2 2 2" xfId="2761" xr:uid="{700E28F3-33A9-449D-9BE4-54CA2E4D191E}"/>
    <cellStyle name="Millares [0] 34 3 2 2 2 2 3" xfId="2097" xr:uid="{65800BBD-4FC3-44D7-A5B5-9581E30601F5}"/>
    <cellStyle name="Millares [0] 34 3 2 2 2 3" xfId="1094" xr:uid="{9D8E39A7-EEE6-4F4F-80AD-8E4EF0F2DC4B}"/>
    <cellStyle name="Millares [0] 34 3 2 2 2 3 2" xfId="2429" xr:uid="{DD722E6B-13E0-4CE1-BFF9-1C7C338E030C}"/>
    <cellStyle name="Millares [0] 34 3 2 2 2 4" xfId="1765" xr:uid="{919648B8-4B82-49D4-91A6-1E14B1745C49}"/>
    <cellStyle name="Millares [0] 34 3 2 2 3" xfId="589" xr:uid="{67A56E47-769A-4D17-B2D2-9AA3EC4563BC}"/>
    <cellStyle name="Millares [0] 34 3 2 2 3 2" xfId="1260" xr:uid="{D9DED840-46B5-4A96-B44D-91D094539DF7}"/>
    <cellStyle name="Millares [0] 34 3 2 2 3 2 2" xfId="2595" xr:uid="{B99CE913-514B-4416-B698-D63E480B74E2}"/>
    <cellStyle name="Millares [0] 34 3 2 2 3 3" xfId="1931" xr:uid="{49750AC3-62D4-487F-A70C-211021840053}"/>
    <cellStyle name="Millares [0] 34 3 2 2 4" xfId="928" xr:uid="{9FA557B3-20C9-40BC-918A-17B09E7D1DCC}"/>
    <cellStyle name="Millares [0] 34 3 2 2 4 2" xfId="2263" xr:uid="{800209D1-5F11-404E-89E1-803E1D5BBDE4}"/>
    <cellStyle name="Millares [0] 34 3 2 2 5" xfId="1599" xr:uid="{AEDE88C3-F7F7-4897-832B-297904C592B0}"/>
    <cellStyle name="Millares [0] 34 3 2 3" xfId="334" xr:uid="{48617222-EBA9-4BA4-A025-C58774321325}"/>
    <cellStyle name="Millares [0] 34 3 2 3 2" xfId="673" xr:uid="{C9BA1DE7-7913-4180-A6DC-7878F837DBA4}"/>
    <cellStyle name="Millares [0] 34 3 2 3 2 2" xfId="1344" xr:uid="{7DF13772-890C-4E38-A22D-7E78EF96D89D}"/>
    <cellStyle name="Millares [0] 34 3 2 3 2 2 2" xfId="2679" xr:uid="{3C06BB46-F6E7-403A-B68E-45040FF60CAC}"/>
    <cellStyle name="Millares [0] 34 3 2 3 2 3" xfId="2015" xr:uid="{B9C7495F-EEF0-45B2-9194-98B638D46E2F}"/>
    <cellStyle name="Millares [0] 34 3 2 3 3" xfId="1012" xr:uid="{8D1C8B9E-C61A-436C-9CFB-441ABA7230C4}"/>
    <cellStyle name="Millares [0] 34 3 2 3 3 2" xfId="2347" xr:uid="{025169B9-DB86-4CD0-901A-E6DC9432E931}"/>
    <cellStyle name="Millares [0] 34 3 2 3 4" xfId="1683" xr:uid="{402FF31B-20A8-4B54-BF04-1B2B0EB26ED1}"/>
    <cellStyle name="Millares [0] 34 3 2 4" xfId="507" xr:uid="{1F18C3A1-6DBC-4A75-A2AF-523F49E58387}"/>
    <cellStyle name="Millares [0] 34 3 2 4 2" xfId="1178" xr:uid="{6901A842-531C-4DC0-B7C3-ADC23C3D2E85}"/>
    <cellStyle name="Millares [0] 34 3 2 4 2 2" xfId="2513" xr:uid="{1521FCAC-C5D0-431F-99E8-E4C73F1D5BFF}"/>
    <cellStyle name="Millares [0] 34 3 2 4 3" xfId="1849" xr:uid="{0968436E-AB36-4280-943F-305DA6C459E3}"/>
    <cellStyle name="Millares [0] 34 3 2 5" xfId="846" xr:uid="{325F51A7-74BF-41D7-ACB2-88824A0CC2A9}"/>
    <cellStyle name="Millares [0] 34 3 2 5 2" xfId="2181" xr:uid="{1768CCA6-F1E4-4376-9A87-60ECC1C56629}"/>
    <cellStyle name="Millares [0] 34 3 2 6" xfId="1517" xr:uid="{DA425DDF-420B-4F3D-AA35-EF8A53EFE6CD}"/>
    <cellStyle name="Millares [0] 34 3 3" xfId="190" xr:uid="{AFC51645-C09A-49FC-A12E-6C15B346781B}"/>
    <cellStyle name="Millares [0] 34 3 3 2" xfId="376" xr:uid="{CDCEDED0-1DE0-4EEB-9F49-6CA182CABE83}"/>
    <cellStyle name="Millares [0] 34 3 3 2 2" xfId="715" xr:uid="{85817D51-AEBF-43C1-B397-3DA72BEE17B6}"/>
    <cellStyle name="Millares [0] 34 3 3 2 2 2" xfId="1386" xr:uid="{8F3DF932-6235-4F48-B95A-67DE120D5B3A}"/>
    <cellStyle name="Millares [0] 34 3 3 2 2 2 2" xfId="2721" xr:uid="{809727D5-6E21-49C8-9A79-7956A1133FB2}"/>
    <cellStyle name="Millares [0] 34 3 3 2 2 3" xfId="2057" xr:uid="{11434EF9-5B15-46D6-BEE3-33D4089946EE}"/>
    <cellStyle name="Millares [0] 34 3 3 2 3" xfId="1054" xr:uid="{2A515E05-E838-4BAC-8B84-10AE04E80397}"/>
    <cellStyle name="Millares [0] 34 3 3 2 3 2" xfId="2389" xr:uid="{E692F8AB-E972-4D28-B2D0-378CC6D7B3F4}"/>
    <cellStyle name="Millares [0] 34 3 3 2 4" xfId="1725" xr:uid="{AC5D852B-9051-4CAE-8F30-61EDEE57D2FA}"/>
    <cellStyle name="Millares [0] 34 3 3 3" xfId="549" xr:uid="{F971B606-B90A-4AE2-9C65-E21CA1E874BC}"/>
    <cellStyle name="Millares [0] 34 3 3 3 2" xfId="1220" xr:uid="{807EFD77-A113-48E7-9EA2-5C56A53796C1}"/>
    <cellStyle name="Millares [0] 34 3 3 3 2 2" xfId="2555" xr:uid="{B5B6D558-6EA6-4713-A3D9-FB0265D13183}"/>
    <cellStyle name="Millares [0] 34 3 3 3 3" xfId="1891" xr:uid="{91A495E0-4FB6-4C9C-B855-F154A5C5A0EF}"/>
    <cellStyle name="Millares [0] 34 3 3 4" xfId="888" xr:uid="{D0A68F72-D413-4705-B6B3-D8A4BBE56E37}"/>
    <cellStyle name="Millares [0] 34 3 3 4 2" xfId="2223" xr:uid="{53C1B19F-9826-42C5-992B-1257A6CA169D}"/>
    <cellStyle name="Millares [0] 34 3 3 5" xfId="1559" xr:uid="{ECC68BAD-780C-420D-846A-6CE782C778F8}"/>
    <cellStyle name="Millares [0] 34 3 4" xfId="294" xr:uid="{D1136BF5-8717-4848-8CC6-3BECD3F90472}"/>
    <cellStyle name="Millares [0] 34 3 4 2" xfId="633" xr:uid="{0B7E4636-BB44-4FEE-99B1-A040046EC719}"/>
    <cellStyle name="Millares [0] 34 3 4 2 2" xfId="1304" xr:uid="{BF1C9E74-74F0-402F-95F3-ECE9D112CAF5}"/>
    <cellStyle name="Millares [0] 34 3 4 2 2 2" xfId="2639" xr:uid="{B1D00289-0083-44E2-A157-1E7578D6C65B}"/>
    <cellStyle name="Millares [0] 34 3 4 2 3" xfId="1975" xr:uid="{12D379A8-EC4F-409F-A761-46A0D06D071C}"/>
    <cellStyle name="Millares [0] 34 3 4 3" xfId="972" xr:uid="{2A04B74D-681C-48CD-A168-D9DB512A8E04}"/>
    <cellStyle name="Millares [0] 34 3 4 3 2" xfId="2307" xr:uid="{92F57978-0C46-474E-871B-7D8A59AB8D8C}"/>
    <cellStyle name="Millares [0] 34 3 4 4" xfId="1643" xr:uid="{2EBD6A53-6306-49CA-8F15-076468C78810}"/>
    <cellStyle name="Millares [0] 34 3 5" xfId="467" xr:uid="{7317CED3-D685-4214-9FC2-A3D1A3355972}"/>
    <cellStyle name="Millares [0] 34 3 5 2" xfId="1138" xr:uid="{A7EBD967-EF0B-4A72-BCB4-840B59066C83}"/>
    <cellStyle name="Millares [0] 34 3 5 2 2" xfId="2473" xr:uid="{3D3F5933-CCD8-484C-A04E-D6CE229B45BD}"/>
    <cellStyle name="Millares [0] 34 3 5 3" xfId="1809" xr:uid="{DBA5E7F0-38BD-45F3-9276-85D95D84ABA5}"/>
    <cellStyle name="Millares [0] 34 3 6" xfId="806" xr:uid="{81A442E6-E73B-4191-83DD-1DED0DEC9B24}"/>
    <cellStyle name="Millares [0] 34 3 6 2" xfId="2141" xr:uid="{B3A59767-0478-436E-B385-9DD22827AB5F}"/>
    <cellStyle name="Millares [0] 34 3 7" xfId="1477" xr:uid="{1E8A295F-A347-4359-8673-B4129F041991}"/>
    <cellStyle name="Millares [0] 34 4" xfId="120" xr:uid="{4812063C-A9A7-4330-9888-70534B9007DF}"/>
    <cellStyle name="Millares [0] 34 4 2" xfId="211" xr:uid="{34571112-4F9E-49B4-8D80-54623C0020FA}"/>
    <cellStyle name="Millares [0] 34 4 2 2" xfId="397" xr:uid="{8A8CF86A-157E-4B8F-AAB1-7EACAFAE2378}"/>
    <cellStyle name="Millares [0] 34 4 2 2 2" xfId="736" xr:uid="{6BDD3484-8603-4199-9C69-84DA1093B692}"/>
    <cellStyle name="Millares [0] 34 4 2 2 2 2" xfId="1407" xr:uid="{AD7E9525-746F-4917-9FF5-B245EC9E47E6}"/>
    <cellStyle name="Millares [0] 34 4 2 2 2 2 2" xfId="2742" xr:uid="{616DDFCB-D7F8-409D-AC68-A73A73451832}"/>
    <cellStyle name="Millares [0] 34 4 2 2 2 3" xfId="2078" xr:uid="{2F31022F-629C-434F-9A23-9412ED001E0B}"/>
    <cellStyle name="Millares [0] 34 4 2 2 3" xfId="1075" xr:uid="{01085D30-21D7-497C-8F5F-BA1B8DF6FF53}"/>
    <cellStyle name="Millares [0] 34 4 2 2 3 2" xfId="2410" xr:uid="{7B99BA63-058E-4FF0-AE0D-3E9AB5C9E67F}"/>
    <cellStyle name="Millares [0] 34 4 2 2 4" xfId="1746" xr:uid="{87570385-70D3-4FE4-9E91-C81137AE6E86}"/>
    <cellStyle name="Millares [0] 34 4 2 3" xfId="570" xr:uid="{74B33437-4D68-4BFE-A0B0-2156946C49CE}"/>
    <cellStyle name="Millares [0] 34 4 2 3 2" xfId="1241" xr:uid="{3EEAC225-EFA4-4500-A279-12250036A3B3}"/>
    <cellStyle name="Millares [0] 34 4 2 3 2 2" xfId="2576" xr:uid="{E14C10C6-3120-40E6-A1A8-7F9211C6999E}"/>
    <cellStyle name="Millares [0] 34 4 2 3 3" xfId="1912" xr:uid="{EA7C895A-047B-40E0-84BB-009AE6A6A197}"/>
    <cellStyle name="Millares [0] 34 4 2 4" xfId="909" xr:uid="{EEA9DD04-4BE1-4527-8DFE-D98A11845E98}"/>
    <cellStyle name="Millares [0] 34 4 2 4 2" xfId="2244" xr:uid="{A08A8FC1-7567-46FD-B3F6-B90390F61E19}"/>
    <cellStyle name="Millares [0] 34 4 2 5" xfId="1580" xr:uid="{42D3CFD1-7848-4571-9AAE-C4789822C2DD}"/>
    <cellStyle name="Millares [0] 34 4 3" xfId="315" xr:uid="{BCF112AE-DAFC-47B6-894B-F90C1E582522}"/>
    <cellStyle name="Millares [0] 34 4 3 2" xfId="654" xr:uid="{FAC8B0C0-5AB8-4055-9A63-9EE87F7ECF2F}"/>
    <cellStyle name="Millares [0] 34 4 3 2 2" xfId="1325" xr:uid="{EA5E6DE4-09B2-4C70-A193-83511FFA65E1}"/>
    <cellStyle name="Millares [0] 34 4 3 2 2 2" xfId="2660" xr:uid="{E90A6431-0276-4FB5-A990-D10F9A461CD7}"/>
    <cellStyle name="Millares [0] 34 4 3 2 3" xfId="1996" xr:uid="{74DB56DD-5415-4E12-A7C6-4927DBAF5173}"/>
    <cellStyle name="Millares [0] 34 4 3 3" xfId="993" xr:uid="{C463355A-4EE9-4B77-A852-D6E40084B6DF}"/>
    <cellStyle name="Millares [0] 34 4 3 3 2" xfId="2328" xr:uid="{E985CC86-D731-43F1-AA65-155A8FE976F4}"/>
    <cellStyle name="Millares [0] 34 4 3 4" xfId="1664" xr:uid="{4BBB9032-D912-4A48-9D56-8801252F71D8}"/>
    <cellStyle name="Millares [0] 34 4 4" xfId="488" xr:uid="{D1A81DF4-2A8F-49E5-BE2A-FBDEC7EED132}"/>
    <cellStyle name="Millares [0] 34 4 4 2" xfId="1159" xr:uid="{54C31005-93A0-4883-B602-1915149CF87E}"/>
    <cellStyle name="Millares [0] 34 4 4 2 2" xfId="2494" xr:uid="{E4D1EF3B-03AB-46B4-8249-0BF85038951F}"/>
    <cellStyle name="Millares [0] 34 4 4 3" xfId="1830" xr:uid="{89C3C3CB-E231-464E-BC80-FD3D1C4096B5}"/>
    <cellStyle name="Millares [0] 34 4 5" xfId="827" xr:uid="{2CFCEE99-5CA6-4A4A-B568-82AD5CF4EB0B}"/>
    <cellStyle name="Millares [0] 34 4 5 2" xfId="2162" xr:uid="{28BE2091-573F-4EAD-AFFE-69251917B3F9}"/>
    <cellStyle name="Millares [0] 34 4 6" xfId="1498" xr:uid="{1AA7BAB4-A18D-4013-88FF-B4CA1526F7E9}"/>
    <cellStyle name="Millares [0] 34 5" xfId="170" xr:uid="{5AE74C57-3BD9-4D59-B6F2-6E161FC5BD20}"/>
    <cellStyle name="Millares [0] 34 5 2" xfId="357" xr:uid="{F2964628-B8B5-4E72-AFE4-BC21A0CF9AAA}"/>
    <cellStyle name="Millares [0] 34 5 2 2" xfId="696" xr:uid="{15DBA589-C32B-4803-A034-740A3923997C}"/>
    <cellStyle name="Millares [0] 34 5 2 2 2" xfId="1367" xr:uid="{33862C98-4DA4-4C75-A693-E71237B287F8}"/>
    <cellStyle name="Millares [0] 34 5 2 2 2 2" xfId="2702" xr:uid="{243FE429-93A5-4E05-95BB-69D6610BA562}"/>
    <cellStyle name="Millares [0] 34 5 2 2 3" xfId="2038" xr:uid="{63B97860-AF85-4913-BB7D-E58FFC879474}"/>
    <cellStyle name="Millares [0] 34 5 2 3" xfId="1035" xr:uid="{4B5A77A9-6AE2-4956-B0B3-CA49FD5AF7CA}"/>
    <cellStyle name="Millares [0] 34 5 2 3 2" xfId="2370" xr:uid="{69F9459C-ED01-450A-97E0-7396CF6AD8EB}"/>
    <cellStyle name="Millares [0] 34 5 2 4" xfId="1706" xr:uid="{556C0288-6835-43B3-B20A-793DFF658FC9}"/>
    <cellStyle name="Millares [0] 34 5 3" xfId="530" xr:uid="{3BAD096A-FE91-49D1-9E61-8F0A7541FD7C}"/>
    <cellStyle name="Millares [0] 34 5 3 2" xfId="1201" xr:uid="{93AC7B88-5206-435E-9DE4-8FE34A6C4D11}"/>
    <cellStyle name="Millares [0] 34 5 3 2 2" xfId="2536" xr:uid="{14ACD83E-AC10-4B1A-ACEC-AE56A60CB2ED}"/>
    <cellStyle name="Millares [0] 34 5 3 3" xfId="1872" xr:uid="{FF98B9E2-C0A2-44AB-B23B-49A68F735814}"/>
    <cellStyle name="Millares [0] 34 5 4" xfId="869" xr:uid="{F678C596-B7E9-47EB-BAD0-4D9C4BF2B89B}"/>
    <cellStyle name="Millares [0] 34 5 4 2" xfId="2204" xr:uid="{D1AEBE25-E683-4822-8C6C-ACCCAEFCC809}"/>
    <cellStyle name="Millares [0] 34 5 5" xfId="1540" xr:uid="{CF65C758-0EC0-4CF2-AECA-84BC45F748E6}"/>
    <cellStyle name="Millares [0] 34 6" xfId="274" xr:uid="{AEEF4ACE-08A0-4FE4-AE39-42C6029DCD7F}"/>
    <cellStyle name="Millares [0] 34 6 2" xfId="614" xr:uid="{6780A65C-164F-4EFF-9A76-5D77BBB1C62F}"/>
    <cellStyle name="Millares [0] 34 6 2 2" xfId="1285" xr:uid="{1372D12D-3924-4D31-8CC0-03A3C78F5006}"/>
    <cellStyle name="Millares [0] 34 6 2 2 2" xfId="2620" xr:uid="{764D5DCD-0CFD-45D5-8AA4-52F7E94BAE62}"/>
    <cellStyle name="Millares [0] 34 6 2 3" xfId="1956" xr:uid="{1DC030E1-C6DC-467A-B999-14EB1100DFFC}"/>
    <cellStyle name="Millares [0] 34 6 3" xfId="953" xr:uid="{8F1BB341-294D-47C5-B96D-8287B82D9F3A}"/>
    <cellStyle name="Millares [0] 34 6 3 2" xfId="2288" xr:uid="{FE83EE8A-CC09-46A0-85CA-FA0131FD8949}"/>
    <cellStyle name="Millares [0] 34 6 4" xfId="1624" xr:uid="{698A3F44-5446-426D-B265-6A1B176F4F01}"/>
    <cellStyle name="Millares [0] 34 7" xfId="447" xr:uid="{25D7FD60-9843-42D8-AB39-E6F914D708FD}"/>
    <cellStyle name="Millares [0] 34 7 2" xfId="1119" xr:uid="{BC9E95CB-64FC-481D-B6A8-34E8D1E22B58}"/>
    <cellStyle name="Millares [0] 34 7 2 2" xfId="2454" xr:uid="{951D839A-DB52-45BB-8ED7-44C85B7DC7AA}"/>
    <cellStyle name="Millares [0] 34 7 3" xfId="1790" xr:uid="{65BA30ED-4FF9-4565-8908-33885C9B0531}"/>
    <cellStyle name="Millares [0] 34 8" xfId="786" xr:uid="{07605051-A0B1-44B4-A06F-67260FE7B611}"/>
    <cellStyle name="Millares [0] 34 8 2" xfId="2122" xr:uid="{806EBE6C-1467-4941-9219-40BB9BFCA413}"/>
    <cellStyle name="Millares [0] 34 9" xfId="1457" xr:uid="{D3EF7FF3-9B52-4428-BF76-24814F6215CB}"/>
    <cellStyle name="Millares [0] 4" xfId="78" xr:uid="{72175D94-581E-4D6B-A728-36A3E2C07444}"/>
    <cellStyle name="Millares [0] 4 2" xfId="106" xr:uid="{89770202-236A-4396-B069-B6E8727222EE}"/>
    <cellStyle name="Millares [0] 4 2 2" xfId="154" xr:uid="{2EC2D97A-0BAA-41C6-BCC8-24F1A2ED3702}"/>
    <cellStyle name="Millares [0] 4 2 2 2" xfId="243" xr:uid="{0189E2FC-0484-44B4-B7BD-65108081E02A}"/>
    <cellStyle name="Millares [0] 4 2 2 2 2" xfId="429" xr:uid="{EF23E292-8471-4F68-A90A-A501EFDE6F98}"/>
    <cellStyle name="Millares [0] 4 2 2 2 2 2" xfId="768" xr:uid="{FB622F6F-A862-4981-B72F-3A7B692D86FE}"/>
    <cellStyle name="Millares [0] 4 2 2 2 2 2 2" xfId="1439" xr:uid="{899EA7F7-A346-47DB-9392-7EECAFCFBC12}"/>
    <cellStyle name="Millares [0] 4 2 2 2 2 2 2 2" xfId="2774" xr:uid="{DAE590A1-0832-4B60-A18B-EF31961EA33D}"/>
    <cellStyle name="Millares [0] 4 2 2 2 2 2 3" xfId="2110" xr:uid="{52DC5A8B-B5B2-4B41-8D6A-2F4615C44598}"/>
    <cellStyle name="Millares [0] 4 2 2 2 2 3" xfId="1107" xr:uid="{888ED91E-BAB6-40F4-8797-397F7C1C4A3F}"/>
    <cellStyle name="Millares [0] 4 2 2 2 2 3 2" xfId="2442" xr:uid="{B3CC08D7-3B47-4498-BD23-D0CFA3C2586D}"/>
    <cellStyle name="Millares [0] 4 2 2 2 2 4" xfId="1778" xr:uid="{A9B9D0B8-3E8D-4026-88B8-AA32EF00D6FB}"/>
    <cellStyle name="Millares [0] 4 2 2 2 3" xfId="602" xr:uid="{127253F4-DD2D-437D-90AB-6A85230121BD}"/>
    <cellStyle name="Millares [0] 4 2 2 2 3 2" xfId="1273" xr:uid="{BF3610EF-29DC-402F-8B8B-412A2C33AE9E}"/>
    <cellStyle name="Millares [0] 4 2 2 2 3 2 2" xfId="2608" xr:uid="{0F61DDE1-9FEA-4CB9-8136-0924340FAD2A}"/>
    <cellStyle name="Millares [0] 4 2 2 2 3 3" xfId="1944" xr:uid="{F9DB9254-CF9A-48F2-A361-8655A05A1DEB}"/>
    <cellStyle name="Millares [0] 4 2 2 2 4" xfId="941" xr:uid="{FD0049F0-24D2-482B-8A53-9784B5BB6F12}"/>
    <cellStyle name="Millares [0] 4 2 2 2 4 2" xfId="2276" xr:uid="{554A0B47-9C25-42D0-AD76-3E9F331D3F19}"/>
    <cellStyle name="Millares [0] 4 2 2 2 5" xfId="1612" xr:uid="{FD5C75AD-6072-4244-ABC7-BF5933190E97}"/>
    <cellStyle name="Millares [0] 4 2 2 3" xfId="347" xr:uid="{967A5791-7DF1-45C9-B64B-2B1E2A3796E6}"/>
    <cellStyle name="Millares [0] 4 2 2 3 2" xfId="686" xr:uid="{BCA8F66E-F8C4-410B-A869-02EC125DC122}"/>
    <cellStyle name="Millares [0] 4 2 2 3 2 2" xfId="1357" xr:uid="{D2E26389-651A-4F2E-807B-655EB346A742}"/>
    <cellStyle name="Millares [0] 4 2 2 3 2 2 2" xfId="2692" xr:uid="{F20B2EA1-9259-4F41-8D5A-268E1BE743F7}"/>
    <cellStyle name="Millares [0] 4 2 2 3 2 3" xfId="2028" xr:uid="{D8ABCEE2-E952-4341-9902-410ECCB80178}"/>
    <cellStyle name="Millares [0] 4 2 2 3 3" xfId="1025" xr:uid="{F779E069-F08D-410B-8692-E9E6A94466F6}"/>
    <cellStyle name="Millares [0] 4 2 2 3 3 2" xfId="2360" xr:uid="{488E9A1F-0F8B-44E5-B5C3-69CB441F97B0}"/>
    <cellStyle name="Millares [0] 4 2 2 3 4" xfId="1696" xr:uid="{1A7FB32B-F8C4-41E6-89C2-1D7491C8EC77}"/>
    <cellStyle name="Millares [0] 4 2 2 4" xfId="520" xr:uid="{4E48C7B0-22E9-4375-AB7F-8FE5563491E3}"/>
    <cellStyle name="Millares [0] 4 2 2 4 2" xfId="1191" xr:uid="{84BA0809-2219-4E3C-81DA-130B7C68B1BF}"/>
    <cellStyle name="Millares [0] 4 2 2 4 2 2" xfId="2526" xr:uid="{5125426C-85E8-4C42-AADF-1CC040312C73}"/>
    <cellStyle name="Millares [0] 4 2 2 4 3" xfId="1862" xr:uid="{FC317B0E-5C0B-41B3-B9DB-5BAE3375220F}"/>
    <cellStyle name="Millares [0] 4 2 2 5" xfId="859" xr:uid="{9C72C39C-327C-4453-9AB8-E09CEEE32598}"/>
    <cellStyle name="Millares [0] 4 2 2 5 2" xfId="2194" xr:uid="{27A04A5F-052F-42E1-99EB-C183AF7798F9}"/>
    <cellStyle name="Millares [0] 4 2 2 6" xfId="1530" xr:uid="{16559E8F-787A-4C90-A1BF-34259BCE3B9D}"/>
    <cellStyle name="Millares [0] 4 2 3" xfId="203" xr:uid="{2D97E48B-0FC4-4806-8748-F76366281C44}"/>
    <cellStyle name="Millares [0] 4 2 3 2" xfId="389" xr:uid="{255541AD-2CB0-4E5F-ABAD-8360896DBAFB}"/>
    <cellStyle name="Millares [0] 4 2 3 2 2" xfId="728" xr:uid="{24880272-8060-4D8A-806A-448570262FF1}"/>
    <cellStyle name="Millares [0] 4 2 3 2 2 2" xfId="1399" xr:uid="{8F96EC8D-4C15-4CE7-9DCD-0E28DED474C5}"/>
    <cellStyle name="Millares [0] 4 2 3 2 2 2 2" xfId="2734" xr:uid="{F73FF234-FCA9-49CB-8952-2948608D8F4E}"/>
    <cellStyle name="Millares [0] 4 2 3 2 2 3" xfId="2070" xr:uid="{A702E704-4C31-40B0-9253-B938476B82DA}"/>
    <cellStyle name="Millares [0] 4 2 3 2 3" xfId="1067" xr:uid="{F5A4B6D4-66C1-4E22-8F70-ECBBADA670DD}"/>
    <cellStyle name="Millares [0] 4 2 3 2 3 2" xfId="2402" xr:uid="{80060C23-23BD-48FE-ABA0-7D6754F5F153}"/>
    <cellStyle name="Millares [0] 4 2 3 2 4" xfId="1738" xr:uid="{691ED6F9-2B52-4D22-9342-4EC7E25DEBE6}"/>
    <cellStyle name="Millares [0] 4 2 3 3" xfId="562" xr:uid="{EFFBFE9B-7866-4F8B-8141-AA346C284F71}"/>
    <cellStyle name="Millares [0] 4 2 3 3 2" xfId="1233" xr:uid="{E4671EE8-37A7-4171-A123-FB692A8E1097}"/>
    <cellStyle name="Millares [0] 4 2 3 3 2 2" xfId="2568" xr:uid="{07BB8CFF-E38A-491E-8821-54F7396C8B29}"/>
    <cellStyle name="Millares [0] 4 2 3 3 3" xfId="1904" xr:uid="{CAC372B1-B8C5-403F-A6E4-C73DB3CD1719}"/>
    <cellStyle name="Millares [0] 4 2 3 4" xfId="901" xr:uid="{DDDCF320-DE0B-4664-9BF5-2645FCCF514B}"/>
    <cellStyle name="Millares [0] 4 2 3 4 2" xfId="2236" xr:uid="{B3AB1E09-7A0A-412E-ABFF-D27427A5AD91}"/>
    <cellStyle name="Millares [0] 4 2 3 5" xfId="1572" xr:uid="{F53B0235-2AEC-44A1-8EE2-1581687AEA00}"/>
    <cellStyle name="Millares [0] 4 2 4" xfId="307" xr:uid="{5B1C5BDF-4A9B-420D-96EB-010221A95E9D}"/>
    <cellStyle name="Millares [0] 4 2 4 2" xfId="646" xr:uid="{17E1BF4B-33C0-496E-9E5F-362EC7CF5B4F}"/>
    <cellStyle name="Millares [0] 4 2 4 2 2" xfId="1317" xr:uid="{5274F449-2400-4DAA-B16E-F7970F901D39}"/>
    <cellStyle name="Millares [0] 4 2 4 2 2 2" xfId="2652" xr:uid="{1FFE8C50-23D1-481A-B00E-93945B98F8C9}"/>
    <cellStyle name="Millares [0] 4 2 4 2 3" xfId="1988" xr:uid="{FF9A300A-BD94-47F9-BB5B-D3BAE730287D}"/>
    <cellStyle name="Millares [0] 4 2 4 3" xfId="985" xr:uid="{A66117A0-FBE8-40D0-8465-78577FC807B6}"/>
    <cellStyle name="Millares [0] 4 2 4 3 2" xfId="2320" xr:uid="{FE974B75-34A6-4A82-8CEA-EE87B47C9EF5}"/>
    <cellStyle name="Millares [0] 4 2 4 4" xfId="1656" xr:uid="{F1928E14-AE32-4C69-888B-BEE4F39D0804}"/>
    <cellStyle name="Millares [0] 4 2 5" xfId="480" xr:uid="{C6FE4324-C1DE-476F-BBD4-B303351DC73F}"/>
    <cellStyle name="Millares [0] 4 2 5 2" xfId="1151" xr:uid="{6D2441FC-310B-411C-8FCC-7448FED59C16}"/>
    <cellStyle name="Millares [0] 4 2 5 2 2" xfId="2486" xr:uid="{FA87CFB8-1061-417B-84B0-4A6E57849420}"/>
    <cellStyle name="Millares [0] 4 2 5 3" xfId="1822" xr:uid="{2242FE77-AF4F-46AE-9BA5-85551866F9CC}"/>
    <cellStyle name="Millares [0] 4 2 6" xfId="819" xr:uid="{66CB4C46-22E2-4359-8E06-00AD96ED8998}"/>
    <cellStyle name="Millares [0] 4 2 6 2" xfId="2154" xr:uid="{B7D4C20F-5D32-4893-BB6C-34D397521C16}"/>
    <cellStyle name="Millares [0] 4 2 7" xfId="1490" xr:uid="{C2CC634A-1E9C-494D-93FC-13116FABF5DE}"/>
    <cellStyle name="Millares [0] 4 3" xfId="135" xr:uid="{B4720695-BBA6-46C3-A217-51CB7982700C}"/>
    <cellStyle name="Millares [0] 4 3 2" xfId="224" xr:uid="{872D86DE-AB4B-4152-959C-377948464EDC}"/>
    <cellStyle name="Millares [0] 4 3 2 2" xfId="410" xr:uid="{668AD9D9-03F1-4E66-869D-69D7641FE34B}"/>
    <cellStyle name="Millares [0] 4 3 2 2 2" xfId="749" xr:uid="{133E9991-346B-4D62-B71F-A79030C94482}"/>
    <cellStyle name="Millares [0] 4 3 2 2 2 2" xfId="1420" xr:uid="{DD9EB49E-5D6A-4D27-B88A-3A27F2FA3DC8}"/>
    <cellStyle name="Millares [0] 4 3 2 2 2 2 2" xfId="2755" xr:uid="{A45BE984-DF52-4BDB-8A34-D551781F0B75}"/>
    <cellStyle name="Millares [0] 4 3 2 2 2 3" xfId="2091" xr:uid="{DD39BFE4-826C-4FD8-98E4-B40E7EF3E41A}"/>
    <cellStyle name="Millares [0] 4 3 2 2 3" xfId="1088" xr:uid="{B979CEB0-CEF1-4CAD-8AD4-2A01DB4AAC1B}"/>
    <cellStyle name="Millares [0] 4 3 2 2 3 2" xfId="2423" xr:uid="{1D138294-9F02-40AC-BEE6-7601DFBE0CBE}"/>
    <cellStyle name="Millares [0] 4 3 2 2 4" xfId="1759" xr:uid="{8B963C67-109D-498F-B3B6-093E807E5F64}"/>
    <cellStyle name="Millares [0] 4 3 2 3" xfId="583" xr:uid="{0C4A0116-3983-4A6F-A588-25DDB52CFC12}"/>
    <cellStyle name="Millares [0] 4 3 2 3 2" xfId="1254" xr:uid="{4481F019-5C5A-48E3-9883-6F81FC0CA7D5}"/>
    <cellStyle name="Millares [0] 4 3 2 3 2 2" xfId="2589" xr:uid="{5377D392-66E4-4C46-88C1-01383052D893}"/>
    <cellStyle name="Millares [0] 4 3 2 3 3" xfId="1925" xr:uid="{A55E5E88-8CEE-404E-BB69-BB25E92CC7F8}"/>
    <cellStyle name="Millares [0] 4 3 2 4" xfId="922" xr:uid="{8841B71D-D588-4C8D-8817-6ED553BC907F}"/>
    <cellStyle name="Millares [0] 4 3 2 4 2" xfId="2257" xr:uid="{2485D171-343F-4693-92CB-379FB2582911}"/>
    <cellStyle name="Millares [0] 4 3 2 5" xfId="1593" xr:uid="{E78D7D72-AE75-46C9-8FF7-07B524FFE24F}"/>
    <cellStyle name="Millares [0] 4 3 3" xfId="328" xr:uid="{AF4CB550-17B2-4ADE-AE68-A6E7B019955A}"/>
    <cellStyle name="Millares [0] 4 3 3 2" xfId="667" xr:uid="{6C7546BE-5F9F-48EF-983E-4FD4B1C163B7}"/>
    <cellStyle name="Millares [0] 4 3 3 2 2" xfId="1338" xr:uid="{078942F5-6B20-4D99-AD74-959A789F9D4C}"/>
    <cellStyle name="Millares [0] 4 3 3 2 2 2" xfId="2673" xr:uid="{2F3628B2-E7B1-4824-B4E8-7A49DFC3129F}"/>
    <cellStyle name="Millares [0] 4 3 3 2 3" xfId="2009" xr:uid="{9D9D2919-0D8D-41FE-9A72-72B7D02CB826}"/>
    <cellStyle name="Millares [0] 4 3 3 3" xfId="1006" xr:uid="{E6EFBB9C-F208-454B-910D-DD4BFE2AFECF}"/>
    <cellStyle name="Millares [0] 4 3 3 3 2" xfId="2341" xr:uid="{63CE2649-EA73-40FF-B5E8-D5BF6B40DCAE}"/>
    <cellStyle name="Millares [0] 4 3 3 4" xfId="1677" xr:uid="{12B1307F-6CF0-4C6F-BFE6-45B87328CF68}"/>
    <cellStyle name="Millares [0] 4 3 4" xfId="501" xr:uid="{32D8E843-961F-4D86-8F3C-DB3EEE918FBE}"/>
    <cellStyle name="Millares [0] 4 3 4 2" xfId="1172" xr:uid="{DD793FB5-9C1B-49B9-842B-888EE8E00691}"/>
    <cellStyle name="Millares [0] 4 3 4 2 2" xfId="2507" xr:uid="{259870C3-BA9B-4CFA-8944-CAE39323D034}"/>
    <cellStyle name="Millares [0] 4 3 4 3" xfId="1843" xr:uid="{89CBC9F1-4420-486E-9219-75E0DE0CA367}"/>
    <cellStyle name="Millares [0] 4 3 5" xfId="840" xr:uid="{E21EF91D-56C2-413A-81B7-AD37C494DEE4}"/>
    <cellStyle name="Millares [0] 4 3 5 2" xfId="2175" xr:uid="{665306D5-A24B-469C-83F0-D17664530DE8}"/>
    <cellStyle name="Millares [0] 4 3 6" xfId="1511" xr:uid="{B8B7EC6D-2DCE-458F-B0B0-F25C3F326D26}"/>
    <cellStyle name="Millares [0] 4 4" xfId="184" xr:uid="{0DE4200F-A867-452E-929D-F2E7BE7E8CCC}"/>
    <cellStyle name="Millares [0] 4 4 2" xfId="370" xr:uid="{7DD6FDB3-2356-4856-9D9D-E32E319D6E7D}"/>
    <cellStyle name="Millares [0] 4 4 2 2" xfId="709" xr:uid="{A6251CC0-F689-499A-B4E9-5A74D4061E2E}"/>
    <cellStyle name="Millares [0] 4 4 2 2 2" xfId="1380" xr:uid="{B68B10AB-9AFD-4C82-82BE-0ACB447D79AD}"/>
    <cellStyle name="Millares [0] 4 4 2 2 2 2" xfId="2715" xr:uid="{7CCA4F24-FBEA-47C9-95CF-1D5839E1A3AD}"/>
    <cellStyle name="Millares [0] 4 4 2 2 3" xfId="2051" xr:uid="{30E6DFE9-34C9-4125-BA74-AE6016D912F8}"/>
    <cellStyle name="Millares [0] 4 4 2 3" xfId="1048" xr:uid="{373F0A40-C5D9-44E6-87BA-DE50D26FF82C}"/>
    <cellStyle name="Millares [0] 4 4 2 3 2" xfId="2383" xr:uid="{C4334D5E-B477-4425-8890-FE023E28873F}"/>
    <cellStyle name="Millares [0] 4 4 2 4" xfId="1719" xr:uid="{EFEAAB19-C5BB-4F77-AD2D-495034ABE2EA}"/>
    <cellStyle name="Millares [0] 4 4 3" xfId="543" xr:uid="{F2F0D786-3F27-491D-956A-123A3D0ABF29}"/>
    <cellStyle name="Millares [0] 4 4 3 2" xfId="1214" xr:uid="{1697E3FD-399E-4162-8920-C5B257D5F92E}"/>
    <cellStyle name="Millares [0] 4 4 3 2 2" xfId="2549" xr:uid="{D55928C5-77B3-4C18-9F19-F668F50EB778}"/>
    <cellStyle name="Millares [0] 4 4 3 3" xfId="1885" xr:uid="{D77F669C-CB83-43A3-AD83-B90B56149A5C}"/>
    <cellStyle name="Millares [0] 4 4 4" xfId="882" xr:uid="{6A90003A-1182-4ACB-99DE-96B73EFAE3B8}"/>
    <cellStyle name="Millares [0] 4 4 4 2" xfId="2217" xr:uid="{515A2F3A-095E-4C03-BAB9-4AC2F9B6E3F3}"/>
    <cellStyle name="Millares [0] 4 4 5" xfId="1553" xr:uid="{B56B3135-1E70-4AFB-BA05-EF6FAF989EE9}"/>
    <cellStyle name="Millares [0] 4 5" xfId="288" xr:uid="{A52BBC06-BD0E-4952-9220-6F1D253A28E7}"/>
    <cellStyle name="Millares [0] 4 5 2" xfId="627" xr:uid="{A3F5BDC9-FB68-4C6D-BF12-96D706E0F40F}"/>
    <cellStyle name="Millares [0] 4 5 2 2" xfId="1298" xr:uid="{A2984F03-0E16-4462-8740-9D1444B3BDA4}"/>
    <cellStyle name="Millares [0] 4 5 2 2 2" xfId="2633" xr:uid="{998F9CD9-1369-45F3-8846-E0E182C14B83}"/>
    <cellStyle name="Millares [0] 4 5 2 3" xfId="1969" xr:uid="{1AD89005-C019-45D5-BAF5-E5636DD995AE}"/>
    <cellStyle name="Millares [0] 4 5 3" xfId="966" xr:uid="{1E4A5B8D-82D1-49D6-BF0A-3C05397E6265}"/>
    <cellStyle name="Millares [0] 4 5 3 2" xfId="2301" xr:uid="{30D33955-118A-4CF9-8BBB-BD7FA7C11075}"/>
    <cellStyle name="Millares [0] 4 5 4" xfId="1637" xr:uid="{576563F3-BB2B-49BA-8218-20801823C171}"/>
    <cellStyle name="Millares [0] 4 6" xfId="461" xr:uid="{5D14BDB9-CE28-4731-8420-657F1791A32C}"/>
    <cellStyle name="Millares [0] 4 6 2" xfId="1132" xr:uid="{575C88DF-5BB2-4487-A3E6-43F7BD2C7AC4}"/>
    <cellStyle name="Millares [0] 4 6 2 2" xfId="2467" xr:uid="{10D0C39D-8C7C-4B0F-BE40-5D4A97208EAB}"/>
    <cellStyle name="Millares [0] 4 6 3" xfId="1803" xr:uid="{7F105FA7-9D2D-4763-B73F-BC0DBD6664E7}"/>
    <cellStyle name="Millares [0] 4 7" xfId="800" xr:uid="{9D2969AC-91B5-4D31-8B8F-6794453B77D5}"/>
    <cellStyle name="Millares [0] 4 7 2" xfId="2135" xr:uid="{7E6036DB-ADB1-4E4B-B114-E2F8C5D86FD4}"/>
    <cellStyle name="Millares [0] 4 8" xfId="1471" xr:uid="{40C72B95-DFDA-40D0-8790-A467AF7AF96F}"/>
    <cellStyle name="Millares [0] 5" xfId="63" xr:uid="{1DDB4319-C966-4925-9E52-268499995BD4}"/>
    <cellStyle name="Millares [0] 5 2" xfId="98" xr:uid="{66D18417-8E41-4E0A-A694-2DF09B3B93A9}"/>
    <cellStyle name="Millares [0] 5 2 2" xfId="146" xr:uid="{9FAA5CD8-4492-4487-99C4-6FBE5890DD2B}"/>
    <cellStyle name="Millares [0] 5 2 2 2" xfId="235" xr:uid="{7D14420C-CB25-4268-A6AE-0484F97E3B03}"/>
    <cellStyle name="Millares [0] 5 2 2 2 2" xfId="421" xr:uid="{B3B815D1-8BED-4535-93F4-1B0262AEFF2E}"/>
    <cellStyle name="Millares [0] 5 2 2 2 2 2" xfId="760" xr:uid="{5BC8FB77-C3BB-495D-B6FD-6BC26B32A7B1}"/>
    <cellStyle name="Millares [0] 5 2 2 2 2 2 2" xfId="1431" xr:uid="{1B668E6E-C7B6-4A85-B6DF-47269BF719DB}"/>
    <cellStyle name="Millares [0] 5 2 2 2 2 2 2 2" xfId="2766" xr:uid="{87F24EA1-0033-402C-8A65-024C37E78996}"/>
    <cellStyle name="Millares [0] 5 2 2 2 2 2 3" xfId="2102" xr:uid="{8135EC8A-4423-41FA-AE37-0797AD6E2430}"/>
    <cellStyle name="Millares [0] 5 2 2 2 2 3" xfId="1099" xr:uid="{7B6035C9-E459-4ADB-A0CE-02413CDE79FB}"/>
    <cellStyle name="Millares [0] 5 2 2 2 2 3 2" xfId="2434" xr:uid="{EFEE1A7B-C25A-478F-9D4B-FA4F8C632D7A}"/>
    <cellStyle name="Millares [0] 5 2 2 2 2 4" xfId="1770" xr:uid="{7B86A92F-43C9-491C-9170-6DBB885C0E9C}"/>
    <cellStyle name="Millares [0] 5 2 2 2 3" xfId="594" xr:uid="{3C55E30D-DB05-4869-8CBB-1340C38613B7}"/>
    <cellStyle name="Millares [0] 5 2 2 2 3 2" xfId="1265" xr:uid="{636CFEC7-B524-4576-B5A9-64193633D002}"/>
    <cellStyle name="Millares [0] 5 2 2 2 3 2 2" xfId="2600" xr:uid="{9EE409D6-9A65-48FE-B29B-EB867A9D2B3D}"/>
    <cellStyle name="Millares [0] 5 2 2 2 3 3" xfId="1936" xr:uid="{565D21FC-24A2-459F-99BA-6107E46965AA}"/>
    <cellStyle name="Millares [0] 5 2 2 2 4" xfId="933" xr:uid="{50489D71-54B8-4228-9C6B-0220C6F92F37}"/>
    <cellStyle name="Millares [0] 5 2 2 2 4 2" xfId="2268" xr:uid="{51576494-B7DE-404A-8BBC-D62778E259A0}"/>
    <cellStyle name="Millares [0] 5 2 2 2 5" xfId="1604" xr:uid="{53FA0E2A-F2E2-4E3F-BFDC-DF3D79081FDD}"/>
    <cellStyle name="Millares [0] 5 2 2 3" xfId="339" xr:uid="{47C93B81-77CC-4012-B102-4DFA9B0B8D49}"/>
    <cellStyle name="Millares [0] 5 2 2 3 2" xfId="678" xr:uid="{4F90433C-73CC-40E4-9957-F2D63052E9D8}"/>
    <cellStyle name="Millares [0] 5 2 2 3 2 2" xfId="1349" xr:uid="{F78C5E0C-7855-43F3-A258-3F659D3D1FC4}"/>
    <cellStyle name="Millares [0] 5 2 2 3 2 2 2" xfId="2684" xr:uid="{52F734D4-63FB-47D4-9022-A4DE1A18A4A1}"/>
    <cellStyle name="Millares [0] 5 2 2 3 2 3" xfId="2020" xr:uid="{5433DC45-239B-42D6-894C-7D696811B513}"/>
    <cellStyle name="Millares [0] 5 2 2 3 3" xfId="1017" xr:uid="{C0DEA993-D573-4AEF-9FCB-F874CCE1AACA}"/>
    <cellStyle name="Millares [0] 5 2 2 3 3 2" xfId="2352" xr:uid="{5F098C0F-264A-4295-913A-670D520CB509}"/>
    <cellStyle name="Millares [0] 5 2 2 3 4" xfId="1688" xr:uid="{CA44893A-ADEB-4034-94E2-90A19E38C296}"/>
    <cellStyle name="Millares [0] 5 2 2 4" xfId="512" xr:uid="{B37FBAAE-94AB-4DB6-B2CB-CAF23858E59F}"/>
    <cellStyle name="Millares [0] 5 2 2 4 2" xfId="1183" xr:uid="{8B87FAD2-A22A-4947-B34A-C728FFB261AF}"/>
    <cellStyle name="Millares [0] 5 2 2 4 2 2" xfId="2518" xr:uid="{78E6350F-AC6E-45DA-95CE-69F46CFE5084}"/>
    <cellStyle name="Millares [0] 5 2 2 4 3" xfId="1854" xr:uid="{1D9C7768-8CE2-4E60-A5BB-91F33A24F2B5}"/>
    <cellStyle name="Millares [0] 5 2 2 5" xfId="851" xr:uid="{F2BD7297-E615-4583-A7C9-EBE41623BA19}"/>
    <cellStyle name="Millares [0] 5 2 2 5 2" xfId="2186" xr:uid="{5B13327C-D015-4AD6-90C1-1CE884415F7E}"/>
    <cellStyle name="Millares [0] 5 2 2 6" xfId="1522" xr:uid="{3ACF2B19-86D3-4A38-BC17-08973CB62651}"/>
    <cellStyle name="Millares [0] 5 2 3" xfId="195" xr:uid="{12A28BFA-9C2C-4439-A8B0-9BE70440DAE6}"/>
    <cellStyle name="Millares [0] 5 2 3 2" xfId="381" xr:uid="{338E239A-5A27-433A-9129-A0E30A70A087}"/>
    <cellStyle name="Millares [0] 5 2 3 2 2" xfId="720" xr:uid="{98473788-1F2B-43F3-B72E-51510BBE056C}"/>
    <cellStyle name="Millares [0] 5 2 3 2 2 2" xfId="1391" xr:uid="{7EE83E29-D924-4922-8E43-6671D36685A1}"/>
    <cellStyle name="Millares [0] 5 2 3 2 2 2 2" xfId="2726" xr:uid="{76133C22-26B8-463B-8DC1-A9709AA5AF5E}"/>
    <cellStyle name="Millares [0] 5 2 3 2 2 3" xfId="2062" xr:uid="{67C53935-A3E2-41B4-BE74-B4420EB6AB26}"/>
    <cellStyle name="Millares [0] 5 2 3 2 3" xfId="1059" xr:uid="{2D290195-15A7-4B39-BD39-80F6AF1364C2}"/>
    <cellStyle name="Millares [0] 5 2 3 2 3 2" xfId="2394" xr:uid="{5F031703-C214-48B7-A404-C1A88F488438}"/>
    <cellStyle name="Millares [0] 5 2 3 2 4" xfId="1730" xr:uid="{2F8C5A17-14F1-4142-AA9C-29AD201348A3}"/>
    <cellStyle name="Millares [0] 5 2 3 3" xfId="554" xr:uid="{6D7D7C57-293C-4A9F-84F8-A736BF79AA3A}"/>
    <cellStyle name="Millares [0] 5 2 3 3 2" xfId="1225" xr:uid="{DC4B8CF1-C179-4EBA-957C-ABE5CC75DEC6}"/>
    <cellStyle name="Millares [0] 5 2 3 3 2 2" xfId="2560" xr:uid="{23CB8A40-30C0-4535-8948-028233D4A951}"/>
    <cellStyle name="Millares [0] 5 2 3 3 3" xfId="1896" xr:uid="{D7FF6418-0A9F-499A-847C-840A7C33A0EC}"/>
    <cellStyle name="Millares [0] 5 2 3 4" xfId="893" xr:uid="{E29E4B49-AE4E-4090-9DAF-714D53D34ED1}"/>
    <cellStyle name="Millares [0] 5 2 3 4 2" xfId="2228" xr:uid="{D810BB54-09A4-4C27-990F-DC3D1E943D41}"/>
    <cellStyle name="Millares [0] 5 2 3 5" xfId="1564" xr:uid="{64020439-D409-4578-BC22-E81DF5CDA64F}"/>
    <cellStyle name="Millares [0] 5 2 4" xfId="299" xr:uid="{283B6DF0-2AEC-4446-9FB1-8ADEDFBD8286}"/>
    <cellStyle name="Millares [0] 5 2 4 2" xfId="638" xr:uid="{E8465F36-A9E2-47D8-808C-E036BA117B97}"/>
    <cellStyle name="Millares [0] 5 2 4 2 2" xfId="1309" xr:uid="{8D63E1A0-99FA-4414-BD9D-9247B47C2568}"/>
    <cellStyle name="Millares [0] 5 2 4 2 2 2" xfId="2644" xr:uid="{B732BAD4-A8A9-4C93-8451-387370691153}"/>
    <cellStyle name="Millares [0] 5 2 4 2 3" xfId="1980" xr:uid="{A9868028-8B49-483D-BA87-CA1B70AC85E3}"/>
    <cellStyle name="Millares [0] 5 2 4 3" xfId="977" xr:uid="{3C528676-DF14-454A-B69D-A1E0EDD5D847}"/>
    <cellStyle name="Millares [0] 5 2 4 3 2" xfId="2312" xr:uid="{F688FF9C-BC77-4A60-8A59-4135CFA25CA2}"/>
    <cellStyle name="Millares [0] 5 2 4 4" xfId="1648" xr:uid="{158FF6AC-8867-44DE-A0D4-1F509DEC58B1}"/>
    <cellStyle name="Millares [0] 5 2 5" xfId="472" xr:uid="{DF114C18-D751-4D32-B052-D4BF5F9CD8AA}"/>
    <cellStyle name="Millares [0] 5 2 5 2" xfId="1143" xr:uid="{AA60503F-EBDF-4B93-9F7D-B2623E0AD681}"/>
    <cellStyle name="Millares [0] 5 2 5 2 2" xfId="2478" xr:uid="{AF0F8192-0BF3-4F86-A013-D39CD9DBFDEE}"/>
    <cellStyle name="Millares [0] 5 2 5 3" xfId="1814" xr:uid="{80B0A787-5D3A-4A76-87E5-E71BDCC40918}"/>
    <cellStyle name="Millares [0] 5 2 6" xfId="811" xr:uid="{A0647054-C076-4676-BAC1-7E83A47FFFC7}"/>
    <cellStyle name="Millares [0] 5 2 6 2" xfId="2146" xr:uid="{3D29BFAA-01B0-420F-A4B2-A1B91D85733F}"/>
    <cellStyle name="Millares [0] 5 2 7" xfId="1482" xr:uid="{1E653EA5-CFFB-401D-9F50-15101BB4CF25}"/>
    <cellStyle name="Millares [0] 5 3" xfId="127" xr:uid="{37BB5C39-13E5-47BE-AA9A-6784ACC76A5A}"/>
    <cellStyle name="Millares [0] 5 3 2" xfId="216" xr:uid="{87ACA3D0-59CD-4988-A059-A3EF0BBE0BF0}"/>
    <cellStyle name="Millares [0] 5 3 2 2" xfId="402" xr:uid="{7301E555-CB7B-4F1D-A857-16158E89B71D}"/>
    <cellStyle name="Millares [0] 5 3 2 2 2" xfId="741" xr:uid="{50F9564B-0AC7-4C48-B8F7-290AAFADC55D}"/>
    <cellStyle name="Millares [0] 5 3 2 2 2 2" xfId="1412" xr:uid="{DF2D4C46-6612-42BE-A7C1-988C88808CD4}"/>
    <cellStyle name="Millares [0] 5 3 2 2 2 2 2" xfId="2747" xr:uid="{CDD87521-18A0-4858-8104-A0DE715275A0}"/>
    <cellStyle name="Millares [0] 5 3 2 2 2 3" xfId="2083" xr:uid="{CD2BBC92-6702-4320-BE9F-A4109824E03F}"/>
    <cellStyle name="Millares [0] 5 3 2 2 3" xfId="1080" xr:uid="{23796BE0-AA36-4B02-8672-797D47978DC0}"/>
    <cellStyle name="Millares [0] 5 3 2 2 3 2" xfId="2415" xr:uid="{D8D7ABEE-66A2-4BF3-97A0-182DCECA7F9B}"/>
    <cellStyle name="Millares [0] 5 3 2 2 4" xfId="1751" xr:uid="{6116726C-C8CF-4DA4-BCCC-2C8FB2CBEC5A}"/>
    <cellStyle name="Millares [0] 5 3 2 3" xfId="575" xr:uid="{04804A73-E996-45A0-A839-C44B0D2C1879}"/>
    <cellStyle name="Millares [0] 5 3 2 3 2" xfId="1246" xr:uid="{C5FEC22D-CE31-4A9C-9BD0-F49981A8682F}"/>
    <cellStyle name="Millares [0] 5 3 2 3 2 2" xfId="2581" xr:uid="{3CF88779-3A10-49D0-9D78-6D7527AFADF4}"/>
    <cellStyle name="Millares [0] 5 3 2 3 3" xfId="1917" xr:uid="{9F1D7C42-7166-4044-B481-34AA49204E48}"/>
    <cellStyle name="Millares [0] 5 3 2 4" xfId="914" xr:uid="{BA911A13-59DA-42D5-B388-B9D5C4B8E856}"/>
    <cellStyle name="Millares [0] 5 3 2 4 2" xfId="2249" xr:uid="{F7572D47-3DF5-4B84-BF1A-4D86DBFDB1AF}"/>
    <cellStyle name="Millares [0] 5 3 2 5" xfId="1585" xr:uid="{CB884813-6DE7-41AF-88FF-1A48EED3A619}"/>
    <cellStyle name="Millares [0] 5 3 3" xfId="320" xr:uid="{CB6265ED-98FD-456A-B289-64FCE0344D59}"/>
    <cellStyle name="Millares [0] 5 3 3 2" xfId="659" xr:uid="{75B05EC3-1AD4-4034-9927-E40A6B29C014}"/>
    <cellStyle name="Millares [0] 5 3 3 2 2" xfId="1330" xr:uid="{FD54C05E-D18C-41B7-BC6E-95F3D8AFB65A}"/>
    <cellStyle name="Millares [0] 5 3 3 2 2 2" xfId="2665" xr:uid="{FC5B473E-B367-47BA-B519-D530AA9BABB3}"/>
    <cellStyle name="Millares [0] 5 3 3 2 3" xfId="2001" xr:uid="{8E0A1FC5-5D93-44AA-9840-B92953101C1F}"/>
    <cellStyle name="Millares [0] 5 3 3 3" xfId="998" xr:uid="{546EA424-A4B4-4756-972F-8F9DC7CEFA3F}"/>
    <cellStyle name="Millares [0] 5 3 3 3 2" xfId="2333" xr:uid="{87E35987-EF81-4F0C-8634-1293385C9824}"/>
    <cellStyle name="Millares [0] 5 3 3 4" xfId="1669" xr:uid="{7A5AF1F6-9E5C-42D0-A06F-4EE3BFE6C476}"/>
    <cellStyle name="Millares [0] 5 3 4" xfId="493" xr:uid="{34C32B1D-B089-4A8C-ADF9-5EBDE8ABFE3B}"/>
    <cellStyle name="Millares [0] 5 3 4 2" xfId="1164" xr:uid="{450EDA0D-DCE9-43E3-92E1-624AA0BC63DE}"/>
    <cellStyle name="Millares [0] 5 3 4 2 2" xfId="2499" xr:uid="{3780C245-EA49-44E6-84B7-3D071D355FBD}"/>
    <cellStyle name="Millares [0] 5 3 4 3" xfId="1835" xr:uid="{DB306996-E684-49D9-AF86-D5A112D9FC33}"/>
    <cellStyle name="Millares [0] 5 3 5" xfId="832" xr:uid="{8072DAB8-E50E-46D1-9479-1C424C5FBB21}"/>
    <cellStyle name="Millares [0] 5 3 5 2" xfId="2167" xr:uid="{B32A2EE9-3160-45EF-A8C9-9135B6117775}"/>
    <cellStyle name="Millares [0] 5 3 6" xfId="1503" xr:uid="{BAA1D22E-1003-4F1A-8F65-C803FF097394}"/>
    <cellStyle name="Millares [0] 5 4" xfId="176" xr:uid="{D2030D6B-52E1-476E-8ABD-EE73CF354F06}"/>
    <cellStyle name="Millares [0] 5 4 2" xfId="362" xr:uid="{7CC9003F-9520-448D-A467-09E414F07ECD}"/>
    <cellStyle name="Millares [0] 5 4 2 2" xfId="701" xr:uid="{AB6D76CC-AE74-416D-A30B-3C72D2703E4C}"/>
    <cellStyle name="Millares [0] 5 4 2 2 2" xfId="1372" xr:uid="{FA6A480B-26DA-4B7D-82A4-31F4CA118282}"/>
    <cellStyle name="Millares [0] 5 4 2 2 2 2" xfId="2707" xr:uid="{C259C2E0-87EE-4602-A14F-0D1081886C89}"/>
    <cellStyle name="Millares [0] 5 4 2 2 3" xfId="2043" xr:uid="{B81884B4-E102-4B22-8B4B-939ABEE921D4}"/>
    <cellStyle name="Millares [0] 5 4 2 3" xfId="1040" xr:uid="{A0F12F46-7BD2-4562-A8E9-67E72AD34179}"/>
    <cellStyle name="Millares [0] 5 4 2 3 2" xfId="2375" xr:uid="{04275548-617B-426E-914A-A5F695655AC2}"/>
    <cellStyle name="Millares [0] 5 4 2 4" xfId="1711" xr:uid="{DC3F1B3E-0A85-4E49-A380-3AF18549B7C8}"/>
    <cellStyle name="Millares [0] 5 4 3" xfId="535" xr:uid="{BBB55D46-167A-40C8-9CF2-68CAC94B93D0}"/>
    <cellStyle name="Millares [0] 5 4 3 2" xfId="1206" xr:uid="{F2C60F45-C711-46EA-8071-F35C1820CA9E}"/>
    <cellStyle name="Millares [0] 5 4 3 2 2" xfId="2541" xr:uid="{8AA41765-E638-4868-B81C-CEF1134B29F9}"/>
    <cellStyle name="Millares [0] 5 4 3 3" xfId="1877" xr:uid="{1AE6FA26-2FEC-4E0B-B0FA-B7DF86032751}"/>
    <cellStyle name="Millares [0] 5 4 4" xfId="874" xr:uid="{4CAE7FAD-0EA7-4254-874E-53FA7E67F9D5}"/>
    <cellStyle name="Millares [0] 5 4 4 2" xfId="2209" xr:uid="{2C519BEB-56A4-4251-999C-37EA122F9CFE}"/>
    <cellStyle name="Millares [0] 5 4 5" xfId="1545" xr:uid="{34B6D46D-E9CB-480A-814F-28446B1AB5D3}"/>
    <cellStyle name="Millares [0] 5 5" xfId="280" xr:uid="{0863D79A-DED0-4855-879B-14ECA5C672B8}"/>
    <cellStyle name="Millares [0] 5 5 2" xfId="619" xr:uid="{ABC26926-17B5-477B-B527-DEE053E24F14}"/>
    <cellStyle name="Millares [0] 5 5 2 2" xfId="1290" xr:uid="{4D568935-B376-4873-A02B-CCEC9DEF5DF0}"/>
    <cellStyle name="Millares [0] 5 5 2 2 2" xfId="2625" xr:uid="{A5DDDFC3-71A9-4CFD-B865-FFF3B3CDC533}"/>
    <cellStyle name="Millares [0] 5 5 2 3" xfId="1961" xr:uid="{18194DA3-E603-4A9D-95DF-04E74C8960F3}"/>
    <cellStyle name="Millares [0] 5 5 3" xfId="958" xr:uid="{AFBE3042-2479-4213-B777-A787F79B899F}"/>
    <cellStyle name="Millares [0] 5 5 3 2" xfId="2293" xr:uid="{AEDB79BC-FCD4-493F-AD79-6CC74574C2F4}"/>
    <cellStyle name="Millares [0] 5 5 4" xfId="1629" xr:uid="{60C472B9-F2F7-483F-B92C-790868E6C54E}"/>
    <cellStyle name="Millares [0] 5 6" xfId="453" xr:uid="{6E2AA2D5-AF3F-46DB-B209-0C51AC40ACC2}"/>
    <cellStyle name="Millares [0] 5 6 2" xfId="1124" xr:uid="{5A02E84B-928E-4C2C-BF35-A914A937F4AC}"/>
    <cellStyle name="Millares [0] 5 6 2 2" xfId="2459" xr:uid="{AD3D71D0-18D2-45F6-97C5-CB0E3044358C}"/>
    <cellStyle name="Millares [0] 5 6 3" xfId="1795" xr:uid="{A5F3AAD4-AAEA-4D39-B840-5DA85ABD9AD5}"/>
    <cellStyle name="Millares [0] 5 7" xfId="792" xr:uid="{99F5FF53-80E3-43F8-B77B-19F09B45ED3E}"/>
    <cellStyle name="Millares [0] 5 7 2" xfId="2127" xr:uid="{FD461E2E-3B23-4C08-872F-6EC3860ED39E}"/>
    <cellStyle name="Millares [0] 5 8" xfId="1463" xr:uid="{19135285-B0D5-4CBA-8F78-3E6D70CDD3D1}"/>
    <cellStyle name="Millares [0] 6" xfId="96" xr:uid="{8CA16BDA-C6B6-4576-9750-32A4D5E33A8F}"/>
    <cellStyle name="Millares [0] 6 2" xfId="145" xr:uid="{5AA859E5-CEEF-4022-8D51-3A142AB68E87}"/>
    <cellStyle name="Millares [0] 6 2 2" xfId="234" xr:uid="{5A3F38CF-A71A-452C-A9A1-8043FEFA7FC6}"/>
    <cellStyle name="Millares [0] 6 2 2 2" xfId="420" xr:uid="{3428389D-2562-4CC0-84BA-A9F880947A0F}"/>
    <cellStyle name="Millares [0] 6 2 2 2 2" xfId="759" xr:uid="{AD20B261-B52C-4435-B9F2-E8A6F1791428}"/>
    <cellStyle name="Millares [0] 6 2 2 2 2 2" xfId="1430" xr:uid="{03D0AE93-617C-49F3-AA31-D8E4B3B408A7}"/>
    <cellStyle name="Millares [0] 6 2 2 2 2 2 2" xfId="2765" xr:uid="{0E9CE976-D133-464C-B437-BEBA8DC81EE8}"/>
    <cellStyle name="Millares [0] 6 2 2 2 2 3" xfId="2101" xr:uid="{01E161A2-DFCA-4A69-8DA9-440FED736F48}"/>
    <cellStyle name="Millares [0] 6 2 2 2 3" xfId="1098" xr:uid="{9D72F9D0-3D94-45E9-9C48-01353071EAFD}"/>
    <cellStyle name="Millares [0] 6 2 2 2 3 2" xfId="2433" xr:uid="{07F49ED4-596E-4568-A7D4-157607C78559}"/>
    <cellStyle name="Millares [0] 6 2 2 2 4" xfId="1769" xr:uid="{B5F7477B-753A-4B4E-AE14-125E855E1D5F}"/>
    <cellStyle name="Millares [0] 6 2 2 3" xfId="593" xr:uid="{FB94BC69-C4FE-4CDF-85C6-FCDD0E8887A6}"/>
    <cellStyle name="Millares [0] 6 2 2 3 2" xfId="1264" xr:uid="{5E3CA2C9-47CA-4645-A7B9-763880C3F51A}"/>
    <cellStyle name="Millares [0] 6 2 2 3 2 2" xfId="2599" xr:uid="{218ED778-A070-4AAA-8D4A-B63068A71D6D}"/>
    <cellStyle name="Millares [0] 6 2 2 3 3" xfId="1935" xr:uid="{0AF095D3-1AE4-46D8-B0A9-6D6A7269AC81}"/>
    <cellStyle name="Millares [0] 6 2 2 4" xfId="932" xr:uid="{87848167-1817-4141-AADC-C574D35C6F3E}"/>
    <cellStyle name="Millares [0] 6 2 2 4 2" xfId="2267" xr:uid="{BADBFB81-E052-483B-8AB0-CB29758DEE91}"/>
    <cellStyle name="Millares [0] 6 2 2 5" xfId="1603" xr:uid="{87E7972D-A69D-4F31-BD47-B8B0A75AC31F}"/>
    <cellStyle name="Millares [0] 6 2 3" xfId="338" xr:uid="{46D650DA-B2F3-4DF8-AC1A-4A5A0FB655FF}"/>
    <cellStyle name="Millares [0] 6 2 3 2" xfId="677" xr:uid="{AFA97F32-146D-47E8-8F7F-225FF941ED64}"/>
    <cellStyle name="Millares [0] 6 2 3 2 2" xfId="1348" xr:uid="{97E56EEC-714C-4D33-A1C6-F5EDD38F6EFA}"/>
    <cellStyle name="Millares [0] 6 2 3 2 2 2" xfId="2683" xr:uid="{D37B29A1-96F4-4D7D-A344-2D01F0D52F6D}"/>
    <cellStyle name="Millares [0] 6 2 3 2 3" xfId="2019" xr:uid="{41CA1098-9FB1-45E0-BE97-17488597CB23}"/>
    <cellStyle name="Millares [0] 6 2 3 3" xfId="1016" xr:uid="{79756776-9058-4687-9CD8-9B5DAFA3E1B2}"/>
    <cellStyle name="Millares [0] 6 2 3 3 2" xfId="2351" xr:uid="{5F129DA9-0FA1-4E29-84AC-83F9FF5960F6}"/>
    <cellStyle name="Millares [0] 6 2 3 4" xfId="1687" xr:uid="{856EE225-66CD-451B-A252-EE3C60D27135}"/>
    <cellStyle name="Millares [0] 6 2 4" xfId="511" xr:uid="{CC1EDB2D-B33D-4B66-8C57-F8127F49FFC8}"/>
    <cellStyle name="Millares [0] 6 2 4 2" xfId="1182" xr:uid="{776A5F2A-2915-43CC-9DCC-6D085491F83A}"/>
    <cellStyle name="Millares [0] 6 2 4 2 2" xfId="2517" xr:uid="{B7942657-3E91-46A5-B0ED-832A341754A6}"/>
    <cellStyle name="Millares [0] 6 2 4 3" xfId="1853" xr:uid="{AFEA8FBE-D2C7-4E41-8049-987C875F36C6}"/>
    <cellStyle name="Millares [0] 6 2 5" xfId="850" xr:uid="{FAE3D21F-F58B-4D95-ACCA-19939A6FF56D}"/>
    <cellStyle name="Millares [0] 6 2 5 2" xfId="2185" xr:uid="{92D873C1-1304-49E6-A85C-D4F03F8C324D}"/>
    <cellStyle name="Millares [0] 6 2 6" xfId="1521" xr:uid="{5E368932-4370-45E0-8E9B-3CCDF092C7B1}"/>
    <cellStyle name="Millares [0] 6 3" xfId="194" xr:uid="{DB074EB6-97D1-4F3E-837D-F50D7DD83D38}"/>
    <cellStyle name="Millares [0] 6 3 2" xfId="380" xr:uid="{05C9BF0A-458C-4086-83A0-AADC4E328820}"/>
    <cellStyle name="Millares [0] 6 3 2 2" xfId="719" xr:uid="{F1E0B505-6E53-45F3-AF83-39DA9CA8BD94}"/>
    <cellStyle name="Millares [0] 6 3 2 2 2" xfId="1390" xr:uid="{77416DFD-973C-4420-9165-7626977F09BF}"/>
    <cellStyle name="Millares [0] 6 3 2 2 2 2" xfId="2725" xr:uid="{54CCEFD8-4D56-41F8-8421-BDE335AF6A34}"/>
    <cellStyle name="Millares [0] 6 3 2 2 3" xfId="2061" xr:uid="{E7BCADEE-28FD-4DD5-B3D5-F219EBD95931}"/>
    <cellStyle name="Millares [0] 6 3 2 3" xfId="1058" xr:uid="{C4B22F72-8D27-4E21-A9E8-D0DD823D9156}"/>
    <cellStyle name="Millares [0] 6 3 2 3 2" xfId="2393" xr:uid="{0B5B0B6E-40A7-4EB6-88C5-B17D7A01424F}"/>
    <cellStyle name="Millares [0] 6 3 2 4" xfId="1729" xr:uid="{60BC1008-1B1D-4493-906C-D8B4A54A9B0F}"/>
    <cellStyle name="Millares [0] 6 3 3" xfId="553" xr:uid="{97178FAF-015C-4FDA-A00A-F064F3C9B287}"/>
    <cellStyle name="Millares [0] 6 3 3 2" xfId="1224" xr:uid="{0D823CE6-0BEC-4E5D-86DE-467F4887B8CA}"/>
    <cellStyle name="Millares [0] 6 3 3 2 2" xfId="2559" xr:uid="{E3A95C25-B86B-4AEA-9D58-FFC3238F03A9}"/>
    <cellStyle name="Millares [0] 6 3 3 3" xfId="1895" xr:uid="{37BD27A2-E935-48EE-9FB8-8446BB62AA40}"/>
    <cellStyle name="Millares [0] 6 3 4" xfId="892" xr:uid="{2F516D4C-D37D-44FC-89DB-DCADB9AF8CAA}"/>
    <cellStyle name="Millares [0] 6 3 4 2" xfId="2227" xr:uid="{575B8697-B490-45B8-80DA-B539EDD04B4C}"/>
    <cellStyle name="Millares [0] 6 3 5" xfId="1563" xr:uid="{670D9730-549F-4315-8BE5-0DFABAC15216}"/>
    <cellStyle name="Millares [0] 6 4" xfId="298" xr:uid="{87AE4A34-7CEA-4532-92F8-7CCD8A1D385A}"/>
    <cellStyle name="Millares [0] 6 4 2" xfId="637" xr:uid="{A75DF3F7-90E6-4676-ABCD-75046C7DD125}"/>
    <cellStyle name="Millares [0] 6 4 2 2" xfId="1308" xr:uid="{8DB63772-4738-406B-9E34-47A1744DD4AF}"/>
    <cellStyle name="Millares [0] 6 4 2 2 2" xfId="2643" xr:uid="{BE1E3888-FC19-4C89-BE55-D6DAE85374DB}"/>
    <cellStyle name="Millares [0] 6 4 2 3" xfId="1979" xr:uid="{34A89BD3-A812-44F9-B685-9864FB024214}"/>
    <cellStyle name="Millares [0] 6 4 3" xfId="976" xr:uid="{2799BA20-E824-4197-AFDC-B9629EE1F585}"/>
    <cellStyle name="Millares [0] 6 4 3 2" xfId="2311" xr:uid="{A2A20479-E95F-43BD-8791-CF35645C6134}"/>
    <cellStyle name="Millares [0] 6 4 4" xfId="1647" xr:uid="{D5F5790E-B9F8-4AAE-8879-FCF1AAE9B550}"/>
    <cellStyle name="Millares [0] 6 5" xfId="471" xr:uid="{FEEB15CF-2EE6-451F-BA5E-CB4E2C35CA7E}"/>
    <cellStyle name="Millares [0] 6 5 2" xfId="1142" xr:uid="{67B7873C-44B7-4ED7-8326-3D09E8591BE9}"/>
    <cellStyle name="Millares [0] 6 5 2 2" xfId="2477" xr:uid="{0FFCC28B-C605-4FB7-ABB0-6528E90680E4}"/>
    <cellStyle name="Millares [0] 6 5 3" xfId="1813" xr:uid="{02CDC9D9-5092-4FDD-BB63-BC83971F8488}"/>
    <cellStyle name="Millares [0] 6 6" xfId="810" xr:uid="{F5981331-4D8D-42DB-9731-16F96A193359}"/>
    <cellStyle name="Millares [0] 6 6 2" xfId="2145" xr:uid="{9064F611-43C8-4001-9A57-ABC3C81EB3A3}"/>
    <cellStyle name="Millares [0] 6 7" xfId="1481" xr:uid="{BC4A8F95-0C58-4519-8D9A-A69D125B61D3}"/>
    <cellStyle name="Millares [0] 7" xfId="125" xr:uid="{9B24B04C-27ED-4B3F-BE3D-DAF3C8FD6470}"/>
    <cellStyle name="Millares [0] 7 2" xfId="215" xr:uid="{2F38D4C9-8C07-4A1B-B291-9D31207EEBC4}"/>
    <cellStyle name="Millares [0] 7 2 2" xfId="401" xr:uid="{453C99C8-5AD2-403D-BBEE-17A295211B41}"/>
    <cellStyle name="Millares [0] 7 2 2 2" xfId="740" xr:uid="{D3AB99E3-59E0-4B80-BE9D-32F3313B4A10}"/>
    <cellStyle name="Millares [0] 7 2 2 2 2" xfId="1411" xr:uid="{E7A1EB52-3CD0-484C-8598-2CC2A15239A2}"/>
    <cellStyle name="Millares [0] 7 2 2 2 2 2" xfId="2746" xr:uid="{C26DD781-DBBE-4F25-88F8-969B3733FF90}"/>
    <cellStyle name="Millares [0] 7 2 2 2 3" xfId="2082" xr:uid="{98C90926-9D68-404A-A563-90CB985902BB}"/>
    <cellStyle name="Millares [0] 7 2 2 3" xfId="1079" xr:uid="{50028B2A-5C83-4AD9-A255-F139FDEEF0D0}"/>
    <cellStyle name="Millares [0] 7 2 2 3 2" xfId="2414" xr:uid="{A48AFE73-C802-475C-A68E-E5D627B0D557}"/>
    <cellStyle name="Millares [0] 7 2 2 4" xfId="1750" xr:uid="{4DD89C88-08EA-4095-9AD5-E18B979525FC}"/>
    <cellStyle name="Millares [0] 7 2 3" xfId="574" xr:uid="{6B63CC6F-61A8-4445-A3D2-7F76C74479D9}"/>
    <cellStyle name="Millares [0] 7 2 3 2" xfId="1245" xr:uid="{6F8CAD41-BCAA-4319-9FA8-85D876E7DBD3}"/>
    <cellStyle name="Millares [0] 7 2 3 2 2" xfId="2580" xr:uid="{21C3E64F-24C5-46DD-A7D6-C1304A4E91CA}"/>
    <cellStyle name="Millares [0] 7 2 3 3" xfId="1916" xr:uid="{C7ACA04F-A20C-4C12-9545-74E3F4262FE2}"/>
    <cellStyle name="Millares [0] 7 2 4" xfId="913" xr:uid="{2F0AB4FE-D2D2-4D9D-8734-F1ADA0876260}"/>
    <cellStyle name="Millares [0] 7 2 4 2" xfId="2248" xr:uid="{209061B9-AE3C-4A7D-9EC5-CCD5BFF34D17}"/>
    <cellStyle name="Millares [0] 7 2 5" xfId="1584" xr:uid="{6D4B22F9-1A4F-4542-A04B-5414056DCAD5}"/>
    <cellStyle name="Millares [0] 7 3" xfId="319" xr:uid="{05E18CBB-6DF1-4495-A1C1-86E4646B1815}"/>
    <cellStyle name="Millares [0] 7 3 2" xfId="658" xr:uid="{9AC02DCE-1100-4046-94AC-A033459FE1F6}"/>
    <cellStyle name="Millares [0] 7 3 2 2" xfId="1329" xr:uid="{FA71CE58-EE69-4630-BEA9-B7C7C69BB3FF}"/>
    <cellStyle name="Millares [0] 7 3 2 2 2" xfId="2664" xr:uid="{C9E48324-85B0-47A8-B9C1-15CD70563E48}"/>
    <cellStyle name="Millares [0] 7 3 2 3" xfId="2000" xr:uid="{03984919-5FE3-46DB-9B41-0213E6FA0D4D}"/>
    <cellStyle name="Millares [0] 7 3 3" xfId="997" xr:uid="{167F9101-BCC7-42E8-80E0-8731C427A2D7}"/>
    <cellStyle name="Millares [0] 7 3 3 2" xfId="2332" xr:uid="{641456A4-90AA-4F24-9087-20DA39FC4DB7}"/>
    <cellStyle name="Millares [0] 7 3 4" xfId="1668" xr:uid="{D455E70B-6F0E-4EC0-B579-C712865CCA6E}"/>
    <cellStyle name="Millares [0] 7 4" xfId="492" xr:uid="{7680C4EA-3636-41EF-B439-C67D54CEB948}"/>
    <cellStyle name="Millares [0] 7 4 2" xfId="1163" xr:uid="{5126DDA2-4EE1-40C3-B01B-DD02D3F9D707}"/>
    <cellStyle name="Millares [0] 7 4 2 2" xfId="2498" xr:uid="{90A701D9-548D-435A-9C6B-9F8A9D8FAC6D}"/>
    <cellStyle name="Millares [0] 7 4 3" xfId="1834" xr:uid="{6D052913-EAEB-4A6C-8DAF-12327A8A60D6}"/>
    <cellStyle name="Millares [0] 7 5" xfId="831" xr:uid="{0DA2DCE1-7F4A-418B-8206-7F036DBC832C}"/>
    <cellStyle name="Millares [0] 7 5 2" xfId="2166" xr:uid="{20CC997E-D512-47A0-9EC1-3E14A02859FB}"/>
    <cellStyle name="Millares [0] 7 6" xfId="1502" xr:uid="{4498DF17-F254-4CE9-88F6-D8B02F930CE0}"/>
    <cellStyle name="Millares [0] 8" xfId="111" xr:uid="{35614727-E77F-4449-91F0-BA091758E15F}"/>
    <cellStyle name="Millares [0] 8 2" xfId="208" xr:uid="{34DC2E25-B915-4129-BAF5-C398B2357344}"/>
    <cellStyle name="Millares [0] 8 2 2" xfId="394" xr:uid="{074C8D63-EF65-49FA-ABEC-89C866B0EF4E}"/>
    <cellStyle name="Millares [0] 8 2 2 2" xfId="733" xr:uid="{D646985D-F46E-4977-AAC6-769487862D5D}"/>
    <cellStyle name="Millares [0] 8 2 2 2 2" xfId="1404" xr:uid="{8140CB50-47D0-49F1-BB04-07C19CF4D762}"/>
    <cellStyle name="Millares [0] 8 2 2 2 2 2" xfId="2739" xr:uid="{9A95F058-3346-43C5-BBA8-12BCA8C14775}"/>
    <cellStyle name="Millares [0] 8 2 2 2 3" xfId="2075" xr:uid="{52FABC01-F163-4B10-B957-8F287560EEAB}"/>
    <cellStyle name="Millares [0] 8 2 2 3" xfId="1072" xr:uid="{2EF048B9-C3F7-4AD2-84D2-B39E7957FF5A}"/>
    <cellStyle name="Millares [0] 8 2 2 3 2" xfId="2407" xr:uid="{0D1C872E-2070-4A68-8A95-89D15CDB1254}"/>
    <cellStyle name="Millares [0] 8 2 2 4" xfId="1743" xr:uid="{29B4CF32-F2E3-4404-8E0B-76048CA8DBBC}"/>
    <cellStyle name="Millares [0] 8 2 3" xfId="567" xr:uid="{17C8B7A5-80B9-44E1-AEEA-7F8482FF088A}"/>
    <cellStyle name="Millares [0] 8 2 3 2" xfId="1238" xr:uid="{9883FE5A-589E-4D26-8219-28743F2625CC}"/>
    <cellStyle name="Millares [0] 8 2 3 2 2" xfId="2573" xr:uid="{729296CC-31BC-4F29-95D9-CD1805E27CE0}"/>
    <cellStyle name="Millares [0] 8 2 3 3" xfId="1909" xr:uid="{4C491A89-7E6B-478C-BADC-466B364E2068}"/>
    <cellStyle name="Millares [0] 8 2 4" xfId="906" xr:uid="{D2F87A06-D9B9-4A66-8186-DA792962C91A}"/>
    <cellStyle name="Millares [0] 8 2 4 2" xfId="2241" xr:uid="{5F612607-0986-4CE6-98E3-AC3309725695}"/>
    <cellStyle name="Millares [0] 8 2 5" xfId="1577" xr:uid="{BA7B763A-68F5-43B2-91D2-6AB77A03FCCD}"/>
    <cellStyle name="Millares [0] 8 3" xfId="312" xr:uid="{7BBA93FB-B72C-4CCB-822B-CA7A80DD8781}"/>
    <cellStyle name="Millares [0] 8 3 2" xfId="651" xr:uid="{7F87973B-C105-4AE4-95DE-96AF68884C83}"/>
    <cellStyle name="Millares [0] 8 3 2 2" xfId="1322" xr:uid="{198172D5-8715-4F24-BA9B-BE51E4E38737}"/>
    <cellStyle name="Millares [0] 8 3 2 2 2" xfId="2657" xr:uid="{757A9CAB-AF22-4CB6-911E-9E4C43292F8E}"/>
    <cellStyle name="Millares [0] 8 3 2 3" xfId="1993" xr:uid="{AA58D87E-255C-43F1-8D02-F36A29FF9840}"/>
    <cellStyle name="Millares [0] 8 3 3" xfId="990" xr:uid="{16B0F681-8B19-4CD9-BA77-8ADA8C979ED0}"/>
    <cellStyle name="Millares [0] 8 3 3 2" xfId="2325" xr:uid="{58042324-6883-403C-852D-7F5B9C600683}"/>
    <cellStyle name="Millares [0] 8 3 4" xfId="1661" xr:uid="{AED3CBA3-C68C-41EE-9528-8946C4CA495E}"/>
    <cellStyle name="Millares [0] 8 4" xfId="485" xr:uid="{BD1D935F-4556-4051-81B9-A92DC745781C}"/>
    <cellStyle name="Millares [0] 8 4 2" xfId="1156" xr:uid="{F010CB7D-104C-42C0-A226-1548660B1CA3}"/>
    <cellStyle name="Millares [0] 8 4 2 2" xfId="2491" xr:uid="{75168981-3BE3-4F67-B9FC-374E0E8DF1B1}"/>
    <cellStyle name="Millares [0] 8 4 3" xfId="1827" xr:uid="{0F349C50-3B44-48EC-A3F0-4F3F3CEA17A0}"/>
    <cellStyle name="Millares [0] 8 5" xfId="824" xr:uid="{D0A1759F-4A77-4E03-A0E5-46FF19589F8C}"/>
    <cellStyle name="Millares [0] 8 5 2" xfId="2159" xr:uid="{B57C6A3B-D809-4188-A31D-F20565539DA6}"/>
    <cellStyle name="Millares [0] 8 6" xfId="1495" xr:uid="{C000C654-C02D-4B91-B7E5-FD7543F3EB09}"/>
    <cellStyle name="Millares [0] 9" xfId="161" xr:uid="{9A3F40C6-A648-4D58-990C-05667DA13AB4}"/>
    <cellStyle name="Millares [0] 9 2" xfId="250" xr:uid="{2AF4356A-44D9-4619-A07B-06BAD9F00DA5}"/>
    <cellStyle name="Millares [0] 9 2 2" xfId="436" xr:uid="{446D1248-7F46-438C-9D8B-E2BCF2705038}"/>
    <cellStyle name="Millares [0] 9 2 2 2" xfId="775" xr:uid="{B870DAF3-9B95-4FE8-B471-7A41B5EBBE27}"/>
    <cellStyle name="Millares [0] 9 2 2 2 2" xfId="1446" xr:uid="{26D37A00-1DE4-4871-B8BF-EE631FBDCBA3}"/>
    <cellStyle name="Millares [0] 9 2 2 2 2 2" xfId="2781" xr:uid="{01EE0EEA-D552-42EA-A1B3-92C63B661BAE}"/>
    <cellStyle name="Millares [0] 9 2 2 2 3" xfId="2117" xr:uid="{7063530F-C671-420C-A5CE-27E1003C5A14}"/>
    <cellStyle name="Millares [0] 9 2 2 3" xfId="1114" xr:uid="{E864A8A9-4486-4F4C-AF90-69C1602D6788}"/>
    <cellStyle name="Millares [0] 9 2 2 3 2" xfId="2449" xr:uid="{3E00829A-53EC-4EE3-85F7-DFB3CA2D6DB6}"/>
    <cellStyle name="Millares [0] 9 2 2 4" xfId="1785" xr:uid="{DF752EE8-17B3-457D-B061-51D5DE3973C6}"/>
    <cellStyle name="Millares [0] 9 2 3" xfId="609" xr:uid="{5F29C3DD-E3CD-4A8B-87C4-C8245D21C192}"/>
    <cellStyle name="Millares [0] 9 2 3 2" xfId="1280" xr:uid="{1E173A75-99E6-4203-A2BB-22CDDB6FB4E2}"/>
    <cellStyle name="Millares [0] 9 2 3 2 2" xfId="2615" xr:uid="{7F44BFF8-CE0F-4ECD-BF96-1EE92D74FCD0}"/>
    <cellStyle name="Millares [0] 9 2 3 3" xfId="1951" xr:uid="{598132AB-2B3C-43A1-B595-FC4F68B7536B}"/>
    <cellStyle name="Millares [0] 9 2 4" xfId="948" xr:uid="{B5B5DA3A-D6EA-4068-BC23-C76EEE5A136A}"/>
    <cellStyle name="Millares [0] 9 2 4 2" xfId="2283" xr:uid="{36510E47-B976-4778-A173-E92DE41C07A2}"/>
    <cellStyle name="Millares [0] 9 2 5" xfId="1619" xr:uid="{CB4BF5A7-924D-4DE5-B816-F0BCB9C75AB2}"/>
    <cellStyle name="Millares [0] 9 3" xfId="354" xr:uid="{05D802CE-6FE3-46C0-8849-A9EEB49207DE}"/>
    <cellStyle name="Millares [0] 9 3 2" xfId="693" xr:uid="{6DCB1051-3A82-4F88-8BE3-E7D2A82CF2CC}"/>
    <cellStyle name="Millares [0] 9 3 2 2" xfId="1364" xr:uid="{D77575A0-6BB0-4D59-A635-98CF14FBDEA9}"/>
    <cellStyle name="Millares [0] 9 3 2 2 2" xfId="2699" xr:uid="{3F5DAB5D-26A0-4AA1-9073-9ABFA8DD056C}"/>
    <cellStyle name="Millares [0] 9 3 2 3" xfId="2035" xr:uid="{C28DD1AB-DFDF-4595-9172-0562A4CB648B}"/>
    <cellStyle name="Millares [0] 9 3 3" xfId="1032" xr:uid="{F9909450-969A-44A1-BE7F-AF868F169A84}"/>
    <cellStyle name="Millares [0] 9 3 3 2" xfId="2367" xr:uid="{7A1B73AC-36AA-4C99-8B9D-84E7663DE90C}"/>
    <cellStyle name="Millares [0] 9 3 4" xfId="1703" xr:uid="{9CAF8947-20E0-4C17-8E02-C425B66F8D36}"/>
    <cellStyle name="Millares [0] 9 4" xfId="527" xr:uid="{8912A538-7CE3-4A53-BE33-B957EB1446E6}"/>
    <cellStyle name="Millares [0] 9 4 2" xfId="1198" xr:uid="{3FE35F29-5767-4C48-B31D-1DB794241BCA}"/>
    <cellStyle name="Millares [0] 9 4 2 2" xfId="2533" xr:uid="{E096CDD8-C616-497D-8FB2-B8AA5BB26C58}"/>
    <cellStyle name="Millares [0] 9 4 3" xfId="1869" xr:uid="{10B4AC35-D5B3-4E6A-9503-6F9F4BACF2CB}"/>
    <cellStyle name="Millares [0] 9 5" xfId="866" xr:uid="{0D6842C0-13EE-41EA-BFA6-2810E7D1AA02}"/>
    <cellStyle name="Millares [0] 9 5 2" xfId="2201" xr:uid="{C1CB9CBD-57F8-47C8-80DF-F38C8B96BC01}"/>
    <cellStyle name="Millares [0] 9 6" xfId="1537" xr:uid="{E3B2A6B1-2BE0-4FF8-B826-C0AFE679F30C}"/>
    <cellStyle name="Millares 10" xfId="118" xr:uid="{0D5DC3D1-7BEA-4F33-9E65-D7A542FFC1BF}"/>
    <cellStyle name="Millares 10 2" xfId="209" xr:uid="{33197567-45AF-4B70-BECF-8A12A52559C1}"/>
    <cellStyle name="Millares 10 2 2" xfId="395" xr:uid="{AD01E9B8-B3AD-4C9B-81C1-B4F447593F26}"/>
    <cellStyle name="Millares 10 2 2 2" xfId="734" xr:uid="{EA9A804C-1479-4F08-823A-30CD770D3D79}"/>
    <cellStyle name="Millares 10 2 2 2 2" xfId="1405" xr:uid="{49B6C672-08FF-4656-A1C7-9F2AF833E6AA}"/>
    <cellStyle name="Millares 10 2 2 2 2 2" xfId="2740" xr:uid="{85FFAEEF-FCA9-4002-89DB-9148DE7A7C57}"/>
    <cellStyle name="Millares 10 2 2 2 3" xfId="2076" xr:uid="{5B70F61F-BAB4-4D6D-86CA-D58F5BB887B0}"/>
    <cellStyle name="Millares 10 2 2 3" xfId="1073" xr:uid="{DFB29BA2-7919-49D9-94BE-E3B8133EC1AE}"/>
    <cellStyle name="Millares 10 2 2 3 2" xfId="2408" xr:uid="{62A00469-20DC-4C95-A3BD-85A7439DD0B2}"/>
    <cellStyle name="Millares 10 2 2 4" xfId="1744" xr:uid="{7F4AA7B1-A2DA-405F-A74B-D8496612FF53}"/>
    <cellStyle name="Millares 10 2 3" xfId="568" xr:uid="{2A57B928-CFFE-4BBA-BAA7-3AF10AE2CE58}"/>
    <cellStyle name="Millares 10 2 3 2" xfId="1239" xr:uid="{A2550EAF-9BC6-42EE-8DA6-33D00F121F22}"/>
    <cellStyle name="Millares 10 2 3 2 2" xfId="2574" xr:uid="{6F28E7CC-6139-4448-8DC7-6DA2F3975F1C}"/>
    <cellStyle name="Millares 10 2 3 3" xfId="1910" xr:uid="{A46CA647-B626-4B31-9289-946B86DC2FA0}"/>
    <cellStyle name="Millares 10 2 4" xfId="907" xr:uid="{AD6BB6C2-215C-482C-ACE8-03D44FAF99D1}"/>
    <cellStyle name="Millares 10 2 4 2" xfId="2242" xr:uid="{17040699-7B6C-49E5-A7A5-C4191110BC42}"/>
    <cellStyle name="Millares 10 2 5" xfId="1578" xr:uid="{61B10363-10CF-4DD1-81AC-5728091071C5}"/>
    <cellStyle name="Millares 10 3" xfId="313" xr:uid="{94881FD2-CC5B-4173-B859-857178DC8CF0}"/>
    <cellStyle name="Millares 10 3 2" xfId="652" xr:uid="{D0324B7E-5A38-495D-A6EC-167C49E2997D}"/>
    <cellStyle name="Millares 10 3 2 2" xfId="1323" xr:uid="{8A0A6D0C-40A1-4164-84B0-64BDC4ABEF09}"/>
    <cellStyle name="Millares 10 3 2 2 2" xfId="2658" xr:uid="{629FD453-0463-47E8-9FBE-FE036142ABFB}"/>
    <cellStyle name="Millares 10 3 2 3" xfId="1994" xr:uid="{205BE4A0-ADB1-4164-BA76-61A90093ACF7}"/>
    <cellStyle name="Millares 10 3 3" xfId="991" xr:uid="{7B11DCD5-5FCE-46AE-84C0-1954559ACF47}"/>
    <cellStyle name="Millares 10 3 3 2" xfId="2326" xr:uid="{CFF30684-7A81-47E8-9529-C8A96C401B07}"/>
    <cellStyle name="Millares 10 3 4" xfId="1662" xr:uid="{0AF2D097-E35D-4C80-9CDC-BD50C023EC69}"/>
    <cellStyle name="Millares 10 4" xfId="486" xr:uid="{366F7DE4-805B-4591-BAEC-79856161BC14}"/>
    <cellStyle name="Millares 10 4 2" xfId="1157" xr:uid="{6D5EA02B-ED29-4C32-9ABD-813530ABE544}"/>
    <cellStyle name="Millares 10 4 2 2" xfId="2492" xr:uid="{64EC8CF3-34B4-42A6-A9AC-6CC42747156A}"/>
    <cellStyle name="Millares 10 4 3" xfId="1828" xr:uid="{068B2E5D-3B12-4A68-8DAC-85CA6858B877}"/>
    <cellStyle name="Millares 10 5" xfId="825" xr:uid="{ECE7EF43-5A21-464B-B030-3213A3F7703D}"/>
    <cellStyle name="Millares 10 5 2" xfId="2160" xr:uid="{EF627B72-CC05-4ECE-96D1-4486E681BFEF}"/>
    <cellStyle name="Millares 10 6" xfId="1496" xr:uid="{D62938CE-3564-42D1-9C80-CB96F06C1091}"/>
    <cellStyle name="Millares 100 2" xfId="57" xr:uid="{6A425575-E507-431B-A505-4CF3A20E5184}"/>
    <cellStyle name="Millares 100 2 2" xfId="262" xr:uid="{A898F0C6-E208-449A-B609-565BD7A00D5F}"/>
    <cellStyle name="Millares 11" xfId="159" xr:uid="{C3E9F0A5-17EE-4660-BF06-FD3645A56B04}"/>
    <cellStyle name="Millares 11 2" xfId="248" xr:uid="{668ADACF-7B5E-46FC-BD7A-726FCDFB593B}"/>
    <cellStyle name="Millares 11 2 2" xfId="434" xr:uid="{410EEF0D-B512-4FD2-BA9A-5FBBFA998BFA}"/>
    <cellStyle name="Millares 11 2 2 2" xfId="773" xr:uid="{057BE328-3F83-467C-8720-46EDDAB645D2}"/>
    <cellStyle name="Millares 11 2 2 2 2" xfId="1444" xr:uid="{34D4764A-C79A-4B8A-A537-6CE6AB34ED07}"/>
    <cellStyle name="Millares 11 2 2 2 2 2" xfId="2779" xr:uid="{13496F54-ACB7-4743-BCA7-F25FF2A92174}"/>
    <cellStyle name="Millares 11 2 2 2 3" xfId="2115" xr:uid="{11BAAD55-BB3D-4818-886E-9A38994BF565}"/>
    <cellStyle name="Millares 11 2 2 3" xfId="1112" xr:uid="{F6BD2303-5D4B-4796-ABFA-4157FDC5CFA7}"/>
    <cellStyle name="Millares 11 2 2 3 2" xfId="2447" xr:uid="{D4ED83D6-EED6-40D1-B417-B567958AF74A}"/>
    <cellStyle name="Millares 11 2 2 4" xfId="1783" xr:uid="{03BF6F7F-3102-4A71-8189-54C5DA93125A}"/>
    <cellStyle name="Millares 11 2 3" xfId="607" xr:uid="{7B346202-CBFC-4DA2-8267-48954C604AB9}"/>
    <cellStyle name="Millares 11 2 3 2" xfId="1278" xr:uid="{D314DC7F-953F-401E-9F12-B16751580EE0}"/>
    <cellStyle name="Millares 11 2 3 2 2" xfId="2613" xr:uid="{FFD6F06B-5D8A-4C10-BF24-4039642D20BE}"/>
    <cellStyle name="Millares 11 2 3 3" xfId="1949" xr:uid="{D19939A5-3C69-4255-812C-AAF07DD9368E}"/>
    <cellStyle name="Millares 11 2 4" xfId="946" xr:uid="{D13E4EF9-E6E2-496F-8250-2AEB5A801196}"/>
    <cellStyle name="Millares 11 2 4 2" xfId="2281" xr:uid="{3E3B1C53-79F7-415D-BFF3-FA0188BE6C6E}"/>
    <cellStyle name="Millares 11 2 5" xfId="1617" xr:uid="{FE30BD8A-3794-4618-A1B0-5FF521CDD54D}"/>
    <cellStyle name="Millares 11 3" xfId="352" xr:uid="{BEC16CA7-86A0-42B8-A834-BBD07485C73B}"/>
    <cellStyle name="Millares 11 3 2" xfId="691" xr:uid="{14CC1F23-B6BC-45A1-8E1E-DBF72569F689}"/>
    <cellStyle name="Millares 11 3 2 2" xfId="1362" xr:uid="{678E1944-CF1D-4873-BECA-1B8478E2CCF6}"/>
    <cellStyle name="Millares 11 3 2 2 2" xfId="2697" xr:uid="{F93ABD74-8594-4358-9AB5-727D95DAD1C6}"/>
    <cellStyle name="Millares 11 3 2 3" xfId="2033" xr:uid="{44246F12-CB74-4F45-8FE7-A987436374C2}"/>
    <cellStyle name="Millares 11 3 3" xfId="1030" xr:uid="{636D72BD-631B-4395-A03F-FB24597CC521}"/>
    <cellStyle name="Millares 11 3 3 2" xfId="2365" xr:uid="{A3A37C08-6475-4161-9630-F93964442312}"/>
    <cellStyle name="Millares 11 3 4" xfId="1701" xr:uid="{F02905FE-21CE-4A08-895B-8EE3209D722E}"/>
    <cellStyle name="Millares 11 4" xfId="525" xr:uid="{4EA0C4F4-BB27-44DE-AD7C-C449BB1EC31C}"/>
    <cellStyle name="Millares 11 4 2" xfId="1196" xr:uid="{2715814D-1EBD-4B2B-9161-F8F4F9853B2B}"/>
    <cellStyle name="Millares 11 4 2 2" xfId="2531" xr:uid="{4A04DB05-DD99-4747-824B-B703A1CA90A6}"/>
    <cellStyle name="Millares 11 4 3" xfId="1867" xr:uid="{56E1365B-B583-48F1-B999-7C98C5685F16}"/>
    <cellStyle name="Millares 11 5" xfId="864" xr:uid="{30047E91-FA30-4510-AEAD-716A3F145505}"/>
    <cellStyle name="Millares 11 5 2" xfId="2199" xr:uid="{9EB5528B-09BB-458C-9AFD-75922B7C267A}"/>
    <cellStyle name="Millares 11 6" xfId="1535" xr:uid="{49AFAE7E-593F-4BCD-BE35-5A85368AD348}"/>
    <cellStyle name="Millares 12" xfId="160" xr:uid="{A6ABFEE0-3C65-41F8-936A-9E0DD59A0117}"/>
    <cellStyle name="Millares 12 2" xfId="249" xr:uid="{13159971-FAB1-4A13-BDC7-49755E108D9D}"/>
    <cellStyle name="Millares 12 2 2" xfId="435" xr:uid="{13B1E071-4055-423D-9DE1-A8A3B5FE3F74}"/>
    <cellStyle name="Millares 12 2 2 2" xfId="774" xr:uid="{E77CE60B-3CCE-48C6-98D0-0D6DF47DCF33}"/>
    <cellStyle name="Millares 12 2 2 2 2" xfId="1445" xr:uid="{E029E9C1-0240-41F5-B3A0-505A35DE3809}"/>
    <cellStyle name="Millares 12 2 2 2 2 2" xfId="2780" xr:uid="{DE29D577-A469-4331-BB50-A6C3637660A6}"/>
    <cellStyle name="Millares 12 2 2 2 3" xfId="2116" xr:uid="{F1EF10F9-577C-45BA-B3EB-179BBCE9060A}"/>
    <cellStyle name="Millares 12 2 2 3" xfId="1113" xr:uid="{F9C90A27-BFD1-4867-839F-45E703CD45C0}"/>
    <cellStyle name="Millares 12 2 2 3 2" xfId="2448" xr:uid="{0BDC8062-7270-4249-900D-ECC9DED48BEF}"/>
    <cellStyle name="Millares 12 2 2 4" xfId="1784" xr:uid="{33B43FA2-3A9A-4817-8231-D1C8942012B2}"/>
    <cellStyle name="Millares 12 2 3" xfId="608" xr:uid="{28886406-6846-4AA7-9CF7-4148019664F1}"/>
    <cellStyle name="Millares 12 2 3 2" xfId="1279" xr:uid="{7117E743-1768-45FE-BC9F-83F5B5907684}"/>
    <cellStyle name="Millares 12 2 3 2 2" xfId="2614" xr:uid="{F05E6DAF-9234-4607-99B5-D85BA4BF48A8}"/>
    <cellStyle name="Millares 12 2 3 3" xfId="1950" xr:uid="{D1AABFD0-25EC-474E-B377-6A70307582BA}"/>
    <cellStyle name="Millares 12 2 4" xfId="947" xr:uid="{13ABF139-CCCC-4427-B629-82B6E8F82F78}"/>
    <cellStyle name="Millares 12 2 4 2" xfId="2282" xr:uid="{E98C1B1D-6ABC-4E51-AF43-69637A75D5E5}"/>
    <cellStyle name="Millares 12 2 5" xfId="1618" xr:uid="{3DF15174-34E1-41A6-A1E1-71E2FFB7364C}"/>
    <cellStyle name="Millares 12 3" xfId="353" xr:uid="{A9E7FE48-7D05-4F3C-AA52-AC0475A82780}"/>
    <cellStyle name="Millares 12 3 2" xfId="692" xr:uid="{EBC99283-0A32-4DFB-BA84-BD055BC8CB53}"/>
    <cellStyle name="Millares 12 3 2 2" xfId="1363" xr:uid="{37C7985A-436A-470D-9D62-2AA775585531}"/>
    <cellStyle name="Millares 12 3 2 2 2" xfId="2698" xr:uid="{385B967C-3152-46A6-BC27-07E6882B7C43}"/>
    <cellStyle name="Millares 12 3 2 3" xfId="2034" xr:uid="{7C4986DC-C994-4CB9-AC62-74BBABF22F53}"/>
    <cellStyle name="Millares 12 3 3" xfId="1031" xr:uid="{775AE5B0-D236-4D1E-8EF9-2EF9CC652CDF}"/>
    <cellStyle name="Millares 12 3 3 2" xfId="2366" xr:uid="{B392CEA6-4A61-4E6D-B77A-FAE0F4EB1356}"/>
    <cellStyle name="Millares 12 3 4" xfId="1702" xr:uid="{F0160A90-6A0E-40AF-9DF7-4DFD0FAC9D09}"/>
    <cellStyle name="Millares 12 4" xfId="526" xr:uid="{DE3C2ECE-6115-4D84-A8CE-220E03756466}"/>
    <cellStyle name="Millares 12 4 2" xfId="1197" xr:uid="{E2B4942A-0843-4AC3-896B-6CA6EBE9199D}"/>
    <cellStyle name="Millares 12 4 2 2" xfId="2532" xr:uid="{9149FAAD-BA66-4CFD-A226-5758564FD2A0}"/>
    <cellStyle name="Millares 12 4 3" xfId="1868" xr:uid="{C002FE54-C933-4F7C-B4A2-9F356E13D401}"/>
    <cellStyle name="Millares 12 5" xfId="865" xr:uid="{150A8F22-DCAE-4E17-8F79-576C17232EAB}"/>
    <cellStyle name="Millares 12 5 2" xfId="2200" xr:uid="{90396220-B9C0-4D57-BB85-FFE652699DA6}"/>
    <cellStyle name="Millares 12 6" xfId="1536" xr:uid="{23FC37B6-D5FD-4EEB-BE9F-D8E541E5A291}"/>
    <cellStyle name="Millares 13" xfId="168" xr:uid="{92B7EDEE-488E-4CD1-9C1A-0E1397332938}"/>
    <cellStyle name="Millares 13 2" xfId="355" xr:uid="{D4EEA375-E9E7-4381-B229-CC2B3D650B28}"/>
    <cellStyle name="Millares 13 2 2" xfId="694" xr:uid="{3254F170-6CC8-45BC-8B9B-1D3883D3D1EC}"/>
    <cellStyle name="Millares 13 2 2 2" xfId="1365" xr:uid="{B5337B8F-3515-4315-8A31-20D2F253C9EA}"/>
    <cellStyle name="Millares 13 2 2 2 2" xfId="2700" xr:uid="{62716D64-BAAD-4197-AABE-ED8E02E02781}"/>
    <cellStyle name="Millares 13 2 2 3" xfId="2036" xr:uid="{11334C67-3397-4779-AB42-C2D2A2688D68}"/>
    <cellStyle name="Millares 13 2 3" xfId="1033" xr:uid="{4ED508FE-03C6-4CDC-9840-66409DCBB72E}"/>
    <cellStyle name="Millares 13 2 3 2" xfId="2368" xr:uid="{6850C509-322C-42C4-9861-7FDA13429247}"/>
    <cellStyle name="Millares 13 2 4" xfId="1704" xr:uid="{77A269E4-3D07-45F1-82C9-CFF16C150A81}"/>
    <cellStyle name="Millares 13 3" xfId="528" xr:uid="{7294861E-575F-4C73-826D-33635BFE2C2A}"/>
    <cellStyle name="Millares 13 3 2" xfId="1199" xr:uid="{A43C3B90-E08F-4C22-8B85-F91FFA101D85}"/>
    <cellStyle name="Millares 13 3 2 2" xfId="2534" xr:uid="{93DBC5EC-30A8-4B9A-9F91-7652CD69D89A}"/>
    <cellStyle name="Millares 13 3 3" xfId="1870" xr:uid="{2F6FA53D-9AD9-43FB-9489-EC22D3C010AC}"/>
    <cellStyle name="Millares 13 4" xfId="867" xr:uid="{A4FE1025-B91E-45CA-A4A6-8B125471DE63}"/>
    <cellStyle name="Millares 13 4 2" xfId="2202" xr:uid="{5D14313E-8221-41F3-8FE5-A5319FD41101}"/>
    <cellStyle name="Millares 13 5" xfId="1538" xr:uid="{89A81B37-47A4-4314-8B23-99533E997A08}"/>
    <cellStyle name="Millares 14" xfId="257" xr:uid="{A7AA3E85-2244-4371-B8C6-303E39201547}"/>
    <cellStyle name="Millares 14 2" xfId="437" xr:uid="{6065A534-5DDF-4FB6-894E-E892E7BD14AF}"/>
    <cellStyle name="Millares 14 2 2" xfId="776" xr:uid="{8559A8D8-0D1D-485B-872A-01897908B4F5}"/>
    <cellStyle name="Millares 14 2 2 2" xfId="1447" xr:uid="{48F3A985-0FD8-453E-AD24-32DC11714D1C}"/>
    <cellStyle name="Millares 14 2 2 2 2" xfId="2782" xr:uid="{F9F43066-B6F4-4582-AFF5-07BEFC562165}"/>
    <cellStyle name="Millares 14 2 2 3" xfId="2118" xr:uid="{05F08675-96DF-4B65-894D-51C5E001EF10}"/>
    <cellStyle name="Millares 14 2 3" xfId="1115" xr:uid="{098B1E7B-7DC5-413D-801A-D917BA35BAC5}"/>
    <cellStyle name="Millares 14 2 3 2" xfId="2450" xr:uid="{52AC12CF-74D9-41B9-9B73-030A9FF0D725}"/>
    <cellStyle name="Millares 14 2 4" xfId="1786" xr:uid="{7BC397CD-40A4-4496-A498-41F5863830BA}"/>
    <cellStyle name="Millares 14 3" xfId="610" xr:uid="{D4586310-781A-4221-A34D-78AB4A5B1EE6}"/>
    <cellStyle name="Millares 14 3 2" xfId="1281" xr:uid="{4FCE167C-9FF5-4F04-90BF-1F74544B27E0}"/>
    <cellStyle name="Millares 14 3 2 2" xfId="2616" xr:uid="{D911B419-C832-4840-88AD-020FD70A5F2C}"/>
    <cellStyle name="Millares 14 3 3" xfId="1952" xr:uid="{A991DBE6-B147-4D74-89AF-ACB2383F16B7}"/>
    <cellStyle name="Millares 14 4" xfId="949" xr:uid="{2E9B9DD7-EF1D-4217-9330-193EFABB1525}"/>
    <cellStyle name="Millares 14 4 2" xfId="2284" xr:uid="{744C049E-3452-491F-A693-2FD05655BE99}"/>
    <cellStyle name="Millares 14 5" xfId="1620" xr:uid="{DEEB9682-FDAF-4B5E-B7FC-DC415E49230C}"/>
    <cellStyle name="Millares 15" xfId="272" xr:uid="{F01599EF-C300-4216-870C-359ECE58EAA1}"/>
    <cellStyle name="Millares 15 2" xfId="612" xr:uid="{D69E49DF-16AA-455F-9C56-EEF302834AC2}"/>
    <cellStyle name="Millares 15 2 2" xfId="1283" xr:uid="{423A9F70-0FD4-444E-B191-8C1B19001EC0}"/>
    <cellStyle name="Millares 15 2 2 2" xfId="2618" xr:uid="{28D71649-6550-41C4-903C-305E73201D80}"/>
    <cellStyle name="Millares 15 2 3" xfId="1954" xr:uid="{911C8351-C240-4D2D-A169-62031472D0CB}"/>
    <cellStyle name="Millares 15 3" xfId="951" xr:uid="{BABAB28D-9594-4172-893E-9898DC92EBA8}"/>
    <cellStyle name="Millares 15 3 2" xfId="2286" xr:uid="{69F6F9FA-F4AB-4F6A-8EDD-D20C749F2A7D}"/>
    <cellStyle name="Millares 15 4" xfId="1622" xr:uid="{FA3C63C5-35D3-46DE-8FBC-492E446AC471}"/>
    <cellStyle name="Millares 16" xfId="445" xr:uid="{8444EB26-7EC8-4164-AAB9-44AA32BC8007}"/>
    <cellStyle name="Millares 16 2" xfId="1117" xr:uid="{1267BC77-3FD2-44A4-AFD5-8058CFA32A23}"/>
    <cellStyle name="Millares 16 2 2" xfId="2452" xr:uid="{2CB1F253-1898-448D-8A77-67795EE2AC1B}"/>
    <cellStyle name="Millares 16 3" xfId="1788" xr:uid="{0A50D6FE-1C84-4672-8847-AC12194BE541}"/>
    <cellStyle name="Millares 17" xfId="784" xr:uid="{341AA807-7D7F-43E0-A7C6-AB5EB50CB49D}"/>
    <cellStyle name="Millares 17 2" xfId="2120" xr:uid="{29B75B66-1026-4522-A3F9-6D0EC5A1D34F}"/>
    <cellStyle name="Millares 18" xfId="59" xr:uid="{71728CC7-7E17-48A3-A789-1179FF54A328}"/>
    <cellStyle name="Millares 19" xfId="1455" xr:uid="{E0D5BE9E-B094-46BF-B9F7-3D6A40277E6C}"/>
    <cellStyle name="Millares 2" xfId="47" xr:uid="{92169244-0B20-41E2-914E-C7F98E9BDDEB}"/>
    <cellStyle name="Millares 2 10" xfId="1458" xr:uid="{8CFB9D5A-5890-4E60-99F9-66DC9B031F30}"/>
    <cellStyle name="Millares 2 2" xfId="74" xr:uid="{DF443986-D027-4F97-A143-3852E9D6127D}"/>
    <cellStyle name="Millares 2 2 2" xfId="103" xr:uid="{BD046E1A-1C54-4DA0-864A-76655F5EF91E}"/>
    <cellStyle name="Millares 2 2 2 2" xfId="151" xr:uid="{72315D62-A3A3-4EE3-9A1D-C3C073695ED2}"/>
    <cellStyle name="Millares 2 2 2 2 2" xfId="240" xr:uid="{C9811B3C-8A52-4D7E-B161-E244244DCC03}"/>
    <cellStyle name="Millares 2 2 2 2 2 2" xfId="426" xr:uid="{9DD684A9-896C-4B52-9A05-C7F653D6E399}"/>
    <cellStyle name="Millares 2 2 2 2 2 2 2" xfId="765" xr:uid="{2B7FDDB4-C9F5-4514-BFC8-4CA2AA7C300E}"/>
    <cellStyle name="Millares 2 2 2 2 2 2 2 2" xfId="1436" xr:uid="{C558C24D-7277-4DD4-81E6-ED064DA02588}"/>
    <cellStyle name="Millares 2 2 2 2 2 2 2 2 2" xfId="2771" xr:uid="{FD0C31A0-A89C-41CF-BB8B-6CBD76255BC0}"/>
    <cellStyle name="Millares 2 2 2 2 2 2 2 3" xfId="2107" xr:uid="{E534593F-BD1A-43FC-929A-3080ADB6D90D}"/>
    <cellStyle name="Millares 2 2 2 2 2 2 3" xfId="1104" xr:uid="{343C273F-8215-42EC-9945-7D28FD6600A1}"/>
    <cellStyle name="Millares 2 2 2 2 2 2 3 2" xfId="2439" xr:uid="{C2C68C61-4F47-4397-8065-E05BAED911B9}"/>
    <cellStyle name="Millares 2 2 2 2 2 2 4" xfId="1775" xr:uid="{06930522-3C3C-4C92-92FC-1023CE46376E}"/>
    <cellStyle name="Millares 2 2 2 2 2 3" xfId="599" xr:uid="{621F3FE0-34B4-4DFE-9484-7083D574A36E}"/>
    <cellStyle name="Millares 2 2 2 2 2 3 2" xfId="1270" xr:uid="{D2ADF57F-E647-494E-81E6-2062E5B50F63}"/>
    <cellStyle name="Millares 2 2 2 2 2 3 2 2" xfId="2605" xr:uid="{BDAF9394-3A79-43ED-AC7C-45D3BF982F27}"/>
    <cellStyle name="Millares 2 2 2 2 2 3 3" xfId="1941" xr:uid="{2499278C-F7AE-4FBB-8683-CE723AE16162}"/>
    <cellStyle name="Millares 2 2 2 2 2 4" xfId="938" xr:uid="{D0ECFEBC-52AC-4530-AC5E-3A8501D1ACC4}"/>
    <cellStyle name="Millares 2 2 2 2 2 4 2" xfId="2273" xr:uid="{18DFA3AC-28D5-4DBC-A417-DFD510BFC901}"/>
    <cellStyle name="Millares 2 2 2 2 2 5" xfId="1609" xr:uid="{EA48A243-6574-4D0A-828C-F3731EE50FF5}"/>
    <cellStyle name="Millares 2 2 2 2 3" xfId="344" xr:uid="{A466B80F-3809-4265-BF9E-EE8FFCF531D3}"/>
    <cellStyle name="Millares 2 2 2 2 3 2" xfId="683" xr:uid="{C4D8424A-661A-4396-93EB-005C513525FA}"/>
    <cellStyle name="Millares 2 2 2 2 3 2 2" xfId="1354" xr:uid="{330E7C26-591B-4087-BCB1-D35C6BB88583}"/>
    <cellStyle name="Millares 2 2 2 2 3 2 2 2" xfId="2689" xr:uid="{92108D47-F3F0-4EFB-A863-953117D022C8}"/>
    <cellStyle name="Millares 2 2 2 2 3 2 3" xfId="2025" xr:uid="{3C32FDC9-7213-46A1-840C-F43B75BA808A}"/>
    <cellStyle name="Millares 2 2 2 2 3 3" xfId="1022" xr:uid="{91BB83C5-853F-43A9-B6A1-9C1F83186B28}"/>
    <cellStyle name="Millares 2 2 2 2 3 3 2" xfId="2357" xr:uid="{D932BAAF-46A0-45D7-B009-382049BC0953}"/>
    <cellStyle name="Millares 2 2 2 2 3 4" xfId="1693" xr:uid="{65E5DEF1-D489-4D04-8420-334148259CBC}"/>
    <cellStyle name="Millares 2 2 2 2 4" xfId="517" xr:uid="{7ABA1D1B-D8A2-4A5B-B5A3-7110E3148830}"/>
    <cellStyle name="Millares 2 2 2 2 4 2" xfId="1188" xr:uid="{6B3F1F5C-9FC3-4D8F-976E-62261E870526}"/>
    <cellStyle name="Millares 2 2 2 2 4 2 2" xfId="2523" xr:uid="{6B62433C-E7F0-402A-8976-56D465ABC920}"/>
    <cellStyle name="Millares 2 2 2 2 4 3" xfId="1859" xr:uid="{B4D36641-020A-47B2-BC31-155D2E14B5F0}"/>
    <cellStyle name="Millares 2 2 2 2 5" xfId="856" xr:uid="{E5DA242A-35E4-41F0-BADC-C77582895F94}"/>
    <cellStyle name="Millares 2 2 2 2 5 2" xfId="2191" xr:uid="{AD10938F-1FEF-410E-BD98-507334ECD682}"/>
    <cellStyle name="Millares 2 2 2 2 6" xfId="1527" xr:uid="{6021CA01-30F5-47EC-9D50-D53DB2B37444}"/>
    <cellStyle name="Millares 2 2 2 3" xfId="200" xr:uid="{0D94ADD7-45BD-4559-80E0-7F0D98B64829}"/>
    <cellStyle name="Millares 2 2 2 3 2" xfId="386" xr:uid="{05DA9C77-8D65-484B-8C7B-46243E5A08B5}"/>
    <cellStyle name="Millares 2 2 2 3 2 2" xfId="725" xr:uid="{F13C8353-3CD5-4CC8-83CE-FFE6FA53A1D3}"/>
    <cellStyle name="Millares 2 2 2 3 2 2 2" xfId="1396" xr:uid="{061D0449-E197-4971-975F-87381D3B0B1F}"/>
    <cellStyle name="Millares 2 2 2 3 2 2 2 2" xfId="2731" xr:uid="{3981D4B6-86A4-419E-8F3E-6606EE6E920A}"/>
    <cellStyle name="Millares 2 2 2 3 2 2 3" xfId="2067" xr:uid="{0CADC23C-FBEA-4A8D-BBED-3F0ECD9AB5C1}"/>
    <cellStyle name="Millares 2 2 2 3 2 3" xfId="1064" xr:uid="{737C5E3F-4DF6-4BDC-9052-709E830B1BEB}"/>
    <cellStyle name="Millares 2 2 2 3 2 3 2" xfId="2399" xr:uid="{68417959-8486-455D-B3DF-9D6804CCB38B}"/>
    <cellStyle name="Millares 2 2 2 3 2 4" xfId="1735" xr:uid="{2899FE34-63A0-4001-8127-D912045B804E}"/>
    <cellStyle name="Millares 2 2 2 3 3" xfId="559" xr:uid="{9AC999A8-C22E-4D91-A8F0-13A93D7AC531}"/>
    <cellStyle name="Millares 2 2 2 3 3 2" xfId="1230" xr:uid="{656A4CE6-F70D-410D-A55E-5BFEC2E72BDC}"/>
    <cellStyle name="Millares 2 2 2 3 3 2 2" xfId="2565" xr:uid="{A7DD183D-9EA2-46FE-9957-3E02C1AAD72C}"/>
    <cellStyle name="Millares 2 2 2 3 3 3" xfId="1901" xr:uid="{B5509032-A19D-4F14-B9A9-0ED2013BDEE7}"/>
    <cellStyle name="Millares 2 2 2 3 4" xfId="898" xr:uid="{DD94A6C6-ECBF-4A7E-AF94-7F6B105E0371}"/>
    <cellStyle name="Millares 2 2 2 3 4 2" xfId="2233" xr:uid="{8772F47E-53D0-4445-B031-59AB8086C716}"/>
    <cellStyle name="Millares 2 2 2 3 5" xfId="1569" xr:uid="{FDB393A0-649A-40CD-B2D6-1D97E69B579C}"/>
    <cellStyle name="Millares 2 2 2 4" xfId="304" xr:uid="{B5FF3CB0-FF21-4C4B-91E3-2DB0AE64DC8C}"/>
    <cellStyle name="Millares 2 2 2 4 2" xfId="643" xr:uid="{A1ABA9D3-B5C1-4125-82A0-3956F3BB0135}"/>
    <cellStyle name="Millares 2 2 2 4 2 2" xfId="1314" xr:uid="{1C936F78-2578-473F-A055-BF13AD78ECD0}"/>
    <cellStyle name="Millares 2 2 2 4 2 2 2" xfId="2649" xr:uid="{36B0FC51-C552-4B65-90BE-8B7CE4B2EACE}"/>
    <cellStyle name="Millares 2 2 2 4 2 3" xfId="1985" xr:uid="{D9766EF0-C32A-4398-8C9D-AC75F7D85313}"/>
    <cellStyle name="Millares 2 2 2 4 3" xfId="982" xr:uid="{139841CD-8C1F-4356-989F-5177AAB21A43}"/>
    <cellStyle name="Millares 2 2 2 4 3 2" xfId="2317" xr:uid="{6B16A904-9FB0-4B22-B4B1-CA2EBEEF870E}"/>
    <cellStyle name="Millares 2 2 2 4 4" xfId="1653" xr:uid="{E96804E0-FDC5-48EA-9936-544ED2012CF4}"/>
    <cellStyle name="Millares 2 2 2 5" xfId="477" xr:uid="{58B5FB77-3731-4A5F-96BE-1B0316B7CF36}"/>
    <cellStyle name="Millares 2 2 2 5 2" xfId="1148" xr:uid="{CC981AFD-BC80-49FD-9651-14C3F12EA25B}"/>
    <cellStyle name="Millares 2 2 2 5 2 2" xfId="2483" xr:uid="{1158A224-CBCA-4FFF-9284-E8F1C4A18710}"/>
    <cellStyle name="Millares 2 2 2 5 3" xfId="1819" xr:uid="{71AB606C-7B1E-44D2-B3D7-B9BDAA9D0856}"/>
    <cellStyle name="Millares 2 2 2 6" xfId="816" xr:uid="{A1BE36E0-21B2-4C63-8E08-F882D6CA786E}"/>
    <cellStyle name="Millares 2 2 2 6 2" xfId="2151" xr:uid="{CFC39132-0FB3-4510-B034-DD45A33547B2}"/>
    <cellStyle name="Millares 2 2 2 7" xfId="1487" xr:uid="{699E670A-BF45-49CE-AB97-58E7D62EC405}"/>
    <cellStyle name="Millares 2 2 3" xfId="132" xr:uid="{0E2B84A9-FDC1-408F-AF6A-A5B71E33AEAB}"/>
    <cellStyle name="Millares 2 2 3 2" xfId="221" xr:uid="{F41FA9D3-AB45-46A7-8B5C-85878841C48D}"/>
    <cellStyle name="Millares 2 2 3 2 2" xfId="407" xr:uid="{151D5DA1-9C24-4ED1-A63A-8CE3539BDA7D}"/>
    <cellStyle name="Millares 2 2 3 2 2 2" xfId="746" xr:uid="{E66018C3-0697-41CF-991D-BF173B1B01EF}"/>
    <cellStyle name="Millares 2 2 3 2 2 2 2" xfId="1417" xr:uid="{6D7A869C-A085-466E-ACDB-F2A7B748B4E5}"/>
    <cellStyle name="Millares 2 2 3 2 2 2 2 2" xfId="2752" xr:uid="{CB4BB552-72BB-4257-A9F5-99AA00DDB199}"/>
    <cellStyle name="Millares 2 2 3 2 2 2 3" xfId="2088" xr:uid="{BE9CD83F-1E6F-4848-B046-68E07CE075DA}"/>
    <cellStyle name="Millares 2 2 3 2 2 3" xfId="1085" xr:uid="{741DFA74-B3AF-4D4F-9C4A-B2BC6AC1EE0E}"/>
    <cellStyle name="Millares 2 2 3 2 2 3 2" xfId="2420" xr:uid="{A59F8B5E-C215-4B67-B11F-350F6FBC2C5D}"/>
    <cellStyle name="Millares 2 2 3 2 2 4" xfId="1756" xr:uid="{5FA5C94F-B218-4DE6-A991-4ADC6A7951E4}"/>
    <cellStyle name="Millares 2 2 3 2 3" xfId="580" xr:uid="{ADC3E9B8-7A59-45BA-AB72-842CC35987F6}"/>
    <cellStyle name="Millares 2 2 3 2 3 2" xfId="1251" xr:uid="{9CF1D3ED-AB0A-4461-845B-9ED058254A39}"/>
    <cellStyle name="Millares 2 2 3 2 3 2 2" xfId="2586" xr:uid="{1756DF55-26AD-4A4B-A901-7118EF7CB1DC}"/>
    <cellStyle name="Millares 2 2 3 2 3 3" xfId="1922" xr:uid="{7B043115-ED83-42EE-85B8-86EDDCD85F5D}"/>
    <cellStyle name="Millares 2 2 3 2 4" xfId="919" xr:uid="{477ED71D-4F94-448A-B86B-A41E58AC843B}"/>
    <cellStyle name="Millares 2 2 3 2 4 2" xfId="2254" xr:uid="{3C8D4F48-4772-4765-B503-3495BE626DE6}"/>
    <cellStyle name="Millares 2 2 3 2 5" xfId="1590" xr:uid="{F73CA107-DCD9-4884-9B60-4B64858202D9}"/>
    <cellStyle name="Millares 2 2 3 3" xfId="325" xr:uid="{8505113E-3052-4D4A-BBBF-6E9A20379125}"/>
    <cellStyle name="Millares 2 2 3 3 2" xfId="664" xr:uid="{29546A9A-8500-47E3-94D7-450EFB4FDFB1}"/>
    <cellStyle name="Millares 2 2 3 3 2 2" xfId="1335" xr:uid="{A52553AE-8632-44CD-972A-E5048CEAFD9D}"/>
    <cellStyle name="Millares 2 2 3 3 2 2 2" xfId="2670" xr:uid="{14492E96-84DF-4AF3-8D27-160BDF49672A}"/>
    <cellStyle name="Millares 2 2 3 3 2 3" xfId="2006" xr:uid="{5AB43B52-23B8-4680-AB06-C682538A8C94}"/>
    <cellStyle name="Millares 2 2 3 3 3" xfId="1003" xr:uid="{BB2AB847-B030-4EC9-86E2-3C6E6E8CE82F}"/>
    <cellStyle name="Millares 2 2 3 3 3 2" xfId="2338" xr:uid="{137F6FB6-4F12-489A-BE53-FD7900185895}"/>
    <cellStyle name="Millares 2 2 3 3 4" xfId="1674" xr:uid="{74554B51-04F6-474C-ABC0-CEE83ED4A468}"/>
    <cellStyle name="Millares 2 2 3 4" xfId="498" xr:uid="{7E747848-826E-48BF-A476-1D08A26EB1B3}"/>
    <cellStyle name="Millares 2 2 3 4 2" xfId="1169" xr:uid="{3C0C737E-AC1C-43A7-B688-23EAAB6D8EC8}"/>
    <cellStyle name="Millares 2 2 3 4 2 2" xfId="2504" xr:uid="{3E65943E-AAE2-4DF6-9952-0FDCA0A6A2D1}"/>
    <cellStyle name="Millares 2 2 3 4 3" xfId="1840" xr:uid="{EBC7336A-BF34-4179-907A-139FE3100877}"/>
    <cellStyle name="Millares 2 2 3 5" xfId="837" xr:uid="{DB16989A-C2BA-4D83-A526-D6AF564956B8}"/>
    <cellStyle name="Millares 2 2 3 5 2" xfId="2172" xr:uid="{8871BAB5-EFE5-430E-877F-A76333305FEC}"/>
    <cellStyle name="Millares 2 2 3 6" xfId="1508" xr:uid="{2B70D20D-C56D-4A24-BA7B-4727CBB8C55C}"/>
    <cellStyle name="Millares 2 2 4" xfId="181" xr:uid="{24DC35E3-B096-4FFA-954D-E85175BA5E6C}"/>
    <cellStyle name="Millares 2 2 4 2" xfId="367" xr:uid="{78727DC0-4120-4649-9349-F5CFF69528A4}"/>
    <cellStyle name="Millares 2 2 4 2 2" xfId="706" xr:uid="{948EC863-6BFA-4C0F-9E65-74A34055CA3C}"/>
    <cellStyle name="Millares 2 2 4 2 2 2" xfId="1377" xr:uid="{AEFE75AA-A398-4BC5-9777-05152BEE0820}"/>
    <cellStyle name="Millares 2 2 4 2 2 2 2" xfId="2712" xr:uid="{85536695-7822-408D-81F0-CAF8630572C2}"/>
    <cellStyle name="Millares 2 2 4 2 2 3" xfId="2048" xr:uid="{8AF21C51-61E3-4A5C-8753-589339EBCFC7}"/>
    <cellStyle name="Millares 2 2 4 2 3" xfId="1045" xr:uid="{91384A6D-960A-44CB-B1FD-B762B019C61C}"/>
    <cellStyle name="Millares 2 2 4 2 3 2" xfId="2380" xr:uid="{6BB89C61-22C7-4078-9572-EC97506697BB}"/>
    <cellStyle name="Millares 2 2 4 2 4" xfId="1716" xr:uid="{D3B1D2C5-7684-4643-B828-479823C9ABFB}"/>
    <cellStyle name="Millares 2 2 4 3" xfId="540" xr:uid="{DC22A482-6AA3-4471-84B4-F02C754C7F48}"/>
    <cellStyle name="Millares 2 2 4 3 2" xfId="1211" xr:uid="{55FC1617-2C8D-4BF6-A994-52C81BADEA40}"/>
    <cellStyle name="Millares 2 2 4 3 2 2" xfId="2546" xr:uid="{0DD3E7AF-6F1C-4483-9A7E-B4B0A6B40044}"/>
    <cellStyle name="Millares 2 2 4 3 3" xfId="1882" xr:uid="{FE64227D-8C89-4C96-BF78-FF8AF8747E69}"/>
    <cellStyle name="Millares 2 2 4 4" xfId="879" xr:uid="{F32D81BC-CE5F-4627-9F1A-B059E17F54A5}"/>
    <cellStyle name="Millares 2 2 4 4 2" xfId="2214" xr:uid="{BA45B208-B853-4F01-B4C2-577638B668C3}"/>
    <cellStyle name="Millares 2 2 4 5" xfId="1550" xr:uid="{65073E1C-D74B-4E30-8AC9-EEA196377C98}"/>
    <cellStyle name="Millares 2 2 5" xfId="285" xr:uid="{C275149F-B7B3-428D-9699-FEDCF8AB2844}"/>
    <cellStyle name="Millares 2 2 5 2" xfId="624" xr:uid="{F6554F7D-1023-4206-B6D4-0233E9CF333B}"/>
    <cellStyle name="Millares 2 2 5 2 2" xfId="1295" xr:uid="{8EB80792-F28C-481E-BE0C-46CD289A5905}"/>
    <cellStyle name="Millares 2 2 5 2 2 2" xfId="2630" xr:uid="{EA8B3E2D-3396-4F30-818A-25D0D880B9ED}"/>
    <cellStyle name="Millares 2 2 5 2 3" xfId="1966" xr:uid="{326ED221-E5E3-45B6-9EB9-EB544E2BA8C2}"/>
    <cellStyle name="Millares 2 2 5 3" xfId="963" xr:uid="{5AC86342-F6D5-4D99-B03A-DF6CF5E24C84}"/>
    <cellStyle name="Millares 2 2 5 3 2" xfId="2298" xr:uid="{7CF92E87-55D5-4CD6-853C-1DD9F8FE719B}"/>
    <cellStyle name="Millares 2 2 5 4" xfId="1634" xr:uid="{2B31831D-AFE8-4251-AB31-D03B592FFDAE}"/>
    <cellStyle name="Millares 2 2 6" xfId="458" xr:uid="{62488B70-DCC8-493B-970D-07E9E82A8712}"/>
    <cellStyle name="Millares 2 2 6 2" xfId="1129" xr:uid="{4C1EBE82-12F1-430E-B92E-F1D8FD2F08FE}"/>
    <cellStyle name="Millares 2 2 6 2 2" xfId="2464" xr:uid="{335EC064-628A-4B62-AC1C-C01E93DE2951}"/>
    <cellStyle name="Millares 2 2 6 3" xfId="1800" xr:uid="{FD2F912B-718C-489C-9489-31EA063C386F}"/>
    <cellStyle name="Millares 2 2 7" xfId="797" xr:uid="{C2265855-5136-4B7F-BDD7-5B115599F2F8}"/>
    <cellStyle name="Millares 2 2 7 2" xfId="2132" xr:uid="{A713B5E4-EABD-4C04-A847-34120AC4708F}"/>
    <cellStyle name="Millares 2 2 8" xfId="1468" xr:uid="{FAD3DCF8-6B35-4E74-9020-2D36DB666E1B}"/>
    <cellStyle name="Millares 2 3" xfId="92" xr:uid="{9E4C9D16-9299-4410-85BC-7E37B4E67400}"/>
    <cellStyle name="Millares 2 3 2" xfId="142" xr:uid="{42E27D7C-4B90-4CDE-AD2A-C7D619397ADD}"/>
    <cellStyle name="Millares 2 3 2 2" xfId="231" xr:uid="{757BF2A6-E918-4621-AB8F-7575AC04F8D9}"/>
    <cellStyle name="Millares 2 3 2 2 2" xfId="417" xr:uid="{D8329D7D-CD1F-428E-94B0-30FCE4E0F06B}"/>
    <cellStyle name="Millares 2 3 2 2 2 2" xfId="756" xr:uid="{8ADFCDE6-DE02-4EC1-846F-E190EA0AE2DA}"/>
    <cellStyle name="Millares 2 3 2 2 2 2 2" xfId="1427" xr:uid="{CEC030B2-87FE-4456-B367-416A02BC873F}"/>
    <cellStyle name="Millares 2 3 2 2 2 2 2 2" xfId="2762" xr:uid="{9015EEE2-80AC-4941-8E13-904A6E17BB86}"/>
    <cellStyle name="Millares 2 3 2 2 2 2 3" xfId="2098" xr:uid="{8C0536C0-626E-49F4-898D-8B0702425DB1}"/>
    <cellStyle name="Millares 2 3 2 2 2 3" xfId="1095" xr:uid="{BFC58837-B225-4D7E-B348-AB37577808BF}"/>
    <cellStyle name="Millares 2 3 2 2 2 3 2" xfId="2430" xr:uid="{B0C33601-5A1A-4C69-922E-5F436818A7CF}"/>
    <cellStyle name="Millares 2 3 2 2 2 4" xfId="1766" xr:uid="{07025C30-9979-44E6-85E6-80FD1786F852}"/>
    <cellStyle name="Millares 2 3 2 2 3" xfId="590" xr:uid="{D0E64F51-4439-4838-8205-6919399E766F}"/>
    <cellStyle name="Millares 2 3 2 2 3 2" xfId="1261" xr:uid="{4AEF911D-DC83-4BF4-BD29-4E3DA30BFAE1}"/>
    <cellStyle name="Millares 2 3 2 2 3 2 2" xfId="2596" xr:uid="{D27D2306-9281-49FA-9887-174D3FD60356}"/>
    <cellStyle name="Millares 2 3 2 2 3 3" xfId="1932" xr:uid="{EB5DF76D-A385-4E9B-8DC5-D5157122402F}"/>
    <cellStyle name="Millares 2 3 2 2 4" xfId="929" xr:uid="{BDBACFF0-18EE-4490-94DA-3A4A54BD4F25}"/>
    <cellStyle name="Millares 2 3 2 2 4 2" xfId="2264" xr:uid="{EFF5C97F-9BC3-4C65-8E3A-2B7833A97648}"/>
    <cellStyle name="Millares 2 3 2 2 5" xfId="1600" xr:uid="{DEC0CDFE-38A6-43A2-9BAA-19BB3D397D05}"/>
    <cellStyle name="Millares 2 3 2 3" xfId="335" xr:uid="{D9DDD6B8-7238-4B50-A36E-99987A79F0B1}"/>
    <cellStyle name="Millares 2 3 2 3 2" xfId="674" xr:uid="{059D69B0-4AF6-4A76-B2F9-7DECB65F70F5}"/>
    <cellStyle name="Millares 2 3 2 3 2 2" xfId="1345" xr:uid="{C1F2E1CF-C8F8-44BF-85AD-5940AB78C1BB}"/>
    <cellStyle name="Millares 2 3 2 3 2 2 2" xfId="2680" xr:uid="{3C65F86F-B5CB-4E95-8058-ED09F842E8BC}"/>
    <cellStyle name="Millares 2 3 2 3 2 3" xfId="2016" xr:uid="{DA78B103-BCDC-4505-851C-CAF2D8B476D2}"/>
    <cellStyle name="Millares 2 3 2 3 3" xfId="1013" xr:uid="{D3BAC891-6B50-493B-9993-672966A26442}"/>
    <cellStyle name="Millares 2 3 2 3 3 2" xfId="2348" xr:uid="{92B6F42E-97DC-418C-9C7D-8045B0D90751}"/>
    <cellStyle name="Millares 2 3 2 3 4" xfId="1684" xr:uid="{E4B43CAE-F6DE-4849-A7FF-B012B06FE591}"/>
    <cellStyle name="Millares 2 3 2 4" xfId="508" xr:uid="{29E0FC9B-56A4-4E7E-A064-8DC205DB82FB}"/>
    <cellStyle name="Millares 2 3 2 4 2" xfId="1179" xr:uid="{79400523-2135-4D60-9E66-4B151B4185C8}"/>
    <cellStyle name="Millares 2 3 2 4 2 2" xfId="2514" xr:uid="{3676ADCB-F180-4919-8E9E-9C4840B51076}"/>
    <cellStyle name="Millares 2 3 2 4 3" xfId="1850" xr:uid="{6915AB75-5BD1-42C4-88D3-F3767E7158D9}"/>
    <cellStyle name="Millares 2 3 2 5" xfId="847" xr:uid="{B6CA8671-A4FD-4F11-A5C6-ABA5FA159803}"/>
    <cellStyle name="Millares 2 3 2 5 2" xfId="2182" xr:uid="{4533D96C-238F-4680-A6C2-B8FADF90758A}"/>
    <cellStyle name="Millares 2 3 2 6" xfId="1518" xr:uid="{0097270E-34F2-4C67-998D-D639CDDD5465}"/>
    <cellStyle name="Millares 2 3 3" xfId="191" xr:uid="{DE87AD31-1814-4068-B59D-A43C2F6AF355}"/>
    <cellStyle name="Millares 2 3 3 2" xfId="377" xr:uid="{EF86F265-BBBF-4899-860A-B687A74359D6}"/>
    <cellStyle name="Millares 2 3 3 2 2" xfId="716" xr:uid="{92B9714C-1893-4E68-A35D-EC6D0A318B9D}"/>
    <cellStyle name="Millares 2 3 3 2 2 2" xfId="1387" xr:uid="{C6D3349E-F4F1-4797-B47B-FE87C3F9C9CA}"/>
    <cellStyle name="Millares 2 3 3 2 2 2 2" xfId="2722" xr:uid="{F3A177D5-7961-47AA-A71E-DD9F9DDB7665}"/>
    <cellStyle name="Millares 2 3 3 2 2 3" xfId="2058" xr:uid="{3FCAC7AF-9359-4E07-82B8-A5D1E29F8DEB}"/>
    <cellStyle name="Millares 2 3 3 2 3" xfId="1055" xr:uid="{12221C3F-D37F-4D23-84ED-19BD65CAA204}"/>
    <cellStyle name="Millares 2 3 3 2 3 2" xfId="2390" xr:uid="{1219D631-1585-4FE3-9D40-79A110B7994D}"/>
    <cellStyle name="Millares 2 3 3 2 4" xfId="1726" xr:uid="{01F67050-36E3-4D75-A0C3-9A1AB95B6F00}"/>
    <cellStyle name="Millares 2 3 3 3" xfId="550" xr:uid="{00870A24-290A-407A-86FD-28E01FA09A73}"/>
    <cellStyle name="Millares 2 3 3 3 2" xfId="1221" xr:uid="{3D4A8A98-79DF-4045-B272-BDB0DA477F6A}"/>
    <cellStyle name="Millares 2 3 3 3 2 2" xfId="2556" xr:uid="{756A1D76-21C8-4270-A284-F0B39A266556}"/>
    <cellStyle name="Millares 2 3 3 3 3" xfId="1892" xr:uid="{0837400F-76E6-462F-8320-715EC17E28FA}"/>
    <cellStyle name="Millares 2 3 3 4" xfId="889" xr:uid="{8726B53B-C8D3-4AF9-AE3B-DEACF445BFB8}"/>
    <cellStyle name="Millares 2 3 3 4 2" xfId="2224" xr:uid="{9D23BACC-B072-4F94-A0DB-1934183CD810}"/>
    <cellStyle name="Millares 2 3 3 5" xfId="1560" xr:uid="{133CD5F4-1E03-4E46-9629-69FFEE882EC1}"/>
    <cellStyle name="Millares 2 3 4" xfId="295" xr:uid="{FB1052CB-5CE7-490E-8CD9-AF655E708D99}"/>
    <cellStyle name="Millares 2 3 4 2" xfId="634" xr:uid="{002967E8-24AD-4015-AF01-FDA8A07D42C1}"/>
    <cellStyle name="Millares 2 3 4 2 2" xfId="1305" xr:uid="{4E26C281-4334-4522-9515-CF413C990B71}"/>
    <cellStyle name="Millares 2 3 4 2 2 2" xfId="2640" xr:uid="{7C7232C8-01CD-451C-8E4C-60656DFCAAC5}"/>
    <cellStyle name="Millares 2 3 4 2 3" xfId="1976" xr:uid="{0C4DDBEA-CE4A-4B73-B159-D59EFFBC254F}"/>
    <cellStyle name="Millares 2 3 4 3" xfId="973" xr:uid="{6F52F5E6-DE3B-4A84-B50A-DF4603BA4FF2}"/>
    <cellStyle name="Millares 2 3 4 3 2" xfId="2308" xr:uid="{53EDAA3D-15F8-4D6E-B2FD-02DC9E07DBFE}"/>
    <cellStyle name="Millares 2 3 4 4" xfId="1644" xr:uid="{586DB361-7993-47AE-A159-A64F04BEB02C}"/>
    <cellStyle name="Millares 2 3 5" xfId="468" xr:uid="{B0E117EE-BCAF-4202-B30A-82F2A3909441}"/>
    <cellStyle name="Millares 2 3 5 2" xfId="1139" xr:uid="{35F7CC92-B9F9-4D89-A98C-2F5E18BF6784}"/>
    <cellStyle name="Millares 2 3 5 2 2" xfId="2474" xr:uid="{0D52DBBE-457B-427D-84A7-BF7B540189B6}"/>
    <cellStyle name="Millares 2 3 5 3" xfId="1810" xr:uid="{6FFEDCCF-720C-48D9-B7ED-325561106040}"/>
    <cellStyle name="Millares 2 3 6" xfId="807" xr:uid="{AB20BF9A-4227-4F24-9FE2-E24928B9168F}"/>
    <cellStyle name="Millares 2 3 6 2" xfId="2142" xr:uid="{B14F81D7-6035-4950-8264-875E2B43D72B}"/>
    <cellStyle name="Millares 2 3 7" xfId="1478" xr:uid="{D243E011-6E68-4FFD-A592-AECDA10567F5}"/>
    <cellStyle name="Millares 2 4" xfId="121" xr:uid="{CAF1B8D9-53F3-459E-A615-D7796F4623A0}"/>
    <cellStyle name="Millares 2 4 2" xfId="212" xr:uid="{731216D9-5FA4-4F38-A9EB-75A0937C6D65}"/>
    <cellStyle name="Millares 2 4 2 2" xfId="398" xr:uid="{09EB915D-A82A-4E9B-9A1B-DD1805E35962}"/>
    <cellStyle name="Millares 2 4 2 2 2" xfId="737" xr:uid="{9166FA47-9063-4CB6-885F-2423461AE0FA}"/>
    <cellStyle name="Millares 2 4 2 2 2 2" xfId="1408" xr:uid="{B2EA3909-D446-48AF-AAEB-D958ED7C370A}"/>
    <cellStyle name="Millares 2 4 2 2 2 2 2" xfId="2743" xr:uid="{18BEADC7-FBCF-41B5-BFE9-FB65BA90ECA2}"/>
    <cellStyle name="Millares 2 4 2 2 2 3" xfId="2079" xr:uid="{AD30CBE0-A63F-431A-AF62-5D00293F599F}"/>
    <cellStyle name="Millares 2 4 2 2 3" xfId="1076" xr:uid="{85E9A413-37D8-4446-8C9C-A32106AC3044}"/>
    <cellStyle name="Millares 2 4 2 2 3 2" xfId="2411" xr:uid="{ABA70E62-2630-490E-9C33-AEDB4C1DABC4}"/>
    <cellStyle name="Millares 2 4 2 2 4" xfId="1747" xr:uid="{CDCEC0B4-3B07-4423-BF6C-9D85F8169D1F}"/>
    <cellStyle name="Millares 2 4 2 3" xfId="571" xr:uid="{F4AAA827-FAF4-4DAB-92E6-9889DB8517E6}"/>
    <cellStyle name="Millares 2 4 2 3 2" xfId="1242" xr:uid="{B8194535-7A04-4705-A01D-46D856A5FB7B}"/>
    <cellStyle name="Millares 2 4 2 3 2 2" xfId="2577" xr:uid="{7371486F-88D9-4D5F-8282-01756E589391}"/>
    <cellStyle name="Millares 2 4 2 3 3" xfId="1913" xr:uid="{794D88BE-765C-43AF-9A9C-295B14CBBC1E}"/>
    <cellStyle name="Millares 2 4 2 4" xfId="910" xr:uid="{7A8FC510-5AB7-45D7-A5BC-994CB6640A0B}"/>
    <cellStyle name="Millares 2 4 2 4 2" xfId="2245" xr:uid="{E9DCE331-EE88-4B98-8F2E-7D01CD19AAA9}"/>
    <cellStyle name="Millares 2 4 2 5" xfId="1581" xr:uid="{8A2B8AD5-F085-4E3D-AAEF-3927985AE836}"/>
    <cellStyle name="Millares 2 4 3" xfId="316" xr:uid="{806EE878-06AE-4C01-A38E-22A2BC9D213E}"/>
    <cellStyle name="Millares 2 4 3 2" xfId="655" xr:uid="{B9F07C99-AF3F-4F8B-A87D-0D6976F41431}"/>
    <cellStyle name="Millares 2 4 3 2 2" xfId="1326" xr:uid="{03390D79-C06D-4FDF-A379-4B01C27834CF}"/>
    <cellStyle name="Millares 2 4 3 2 2 2" xfId="2661" xr:uid="{D27B3750-828D-48A6-AEC2-52057DEF6D1F}"/>
    <cellStyle name="Millares 2 4 3 2 3" xfId="1997" xr:uid="{1AB912AB-060E-4DE8-84C9-7AC32F4B5F2C}"/>
    <cellStyle name="Millares 2 4 3 3" xfId="994" xr:uid="{CE3962DB-B040-4BD2-9183-C2EC81E16F9D}"/>
    <cellStyle name="Millares 2 4 3 3 2" xfId="2329" xr:uid="{417C0ACF-DF47-49D1-9A50-44E207F4CA83}"/>
    <cellStyle name="Millares 2 4 3 4" xfId="1665" xr:uid="{EBA2D8EB-55BA-4FC0-988D-7FF46BF19CAA}"/>
    <cellStyle name="Millares 2 4 4" xfId="489" xr:uid="{BC0BA0AD-93DD-42A3-87DC-51299310B1AC}"/>
    <cellStyle name="Millares 2 4 4 2" xfId="1160" xr:uid="{B47724A1-6497-4EFC-817D-EE6C1E4F11B2}"/>
    <cellStyle name="Millares 2 4 4 2 2" xfId="2495" xr:uid="{28E9AC73-4332-4CA3-BB1F-56D5BE070D08}"/>
    <cellStyle name="Millares 2 4 4 3" xfId="1831" xr:uid="{A282B917-CEC9-47B8-96FD-F337A7687512}"/>
    <cellStyle name="Millares 2 4 5" xfId="828" xr:uid="{EECD474C-D55D-4870-9A92-0BF8E5C56035}"/>
    <cellStyle name="Millares 2 4 5 2" xfId="2163" xr:uid="{3CB2F8F4-9ECD-4F37-A30C-0B804025BD61}"/>
    <cellStyle name="Millares 2 4 6" xfId="1499" xr:uid="{0A1D654D-BFBC-40F8-A051-9B320A2B92B9}"/>
    <cellStyle name="Millares 2 5" xfId="171" xr:uid="{1FC7F9EE-4CAE-4A26-86CC-EAF00B112ABF}"/>
    <cellStyle name="Millares 2 5 2" xfId="358" xr:uid="{5E2F26EF-9A13-45E7-A2B4-D948918716E1}"/>
    <cellStyle name="Millares 2 5 2 2" xfId="697" xr:uid="{9874C9FD-C355-4C26-87FE-3BB588190519}"/>
    <cellStyle name="Millares 2 5 2 2 2" xfId="1368" xr:uid="{90502A2B-B17F-4228-AF90-927475C61873}"/>
    <cellStyle name="Millares 2 5 2 2 2 2" xfId="2703" xr:uid="{716B978B-15FA-43E1-B347-87DCFE70A94C}"/>
    <cellStyle name="Millares 2 5 2 2 3" xfId="2039" xr:uid="{8A6E67DE-A144-4AC0-8ABB-890FDFCFE443}"/>
    <cellStyle name="Millares 2 5 2 3" xfId="1036" xr:uid="{710EC9C1-C21F-44F1-9671-E5857009B3E4}"/>
    <cellStyle name="Millares 2 5 2 3 2" xfId="2371" xr:uid="{16F3E837-01D0-4175-999D-63EF576A1691}"/>
    <cellStyle name="Millares 2 5 2 4" xfId="1707" xr:uid="{6FDAA26B-9227-4F28-819F-FE333B5FDD50}"/>
    <cellStyle name="Millares 2 5 3" xfId="531" xr:uid="{CB7F1CAF-D869-47C2-83DF-966FDBF4B44B}"/>
    <cellStyle name="Millares 2 5 3 2" xfId="1202" xr:uid="{4E6A12CF-3F17-42EB-B372-4E104C530C42}"/>
    <cellStyle name="Millares 2 5 3 2 2" xfId="2537" xr:uid="{50813F0B-6CF0-4616-8103-0C9DEB7F7AFF}"/>
    <cellStyle name="Millares 2 5 3 3" xfId="1873" xr:uid="{99772302-4EFC-43BE-87AD-389218E9459C}"/>
    <cellStyle name="Millares 2 5 4" xfId="870" xr:uid="{25431A72-2791-4598-9FEE-B79D6218F85F}"/>
    <cellStyle name="Millares 2 5 4 2" xfId="2205" xr:uid="{04D7DE9C-BEFE-4CAD-969D-F4815102D49D}"/>
    <cellStyle name="Millares 2 5 5" xfId="1541" xr:uid="{61EA6E95-F54A-4C65-BD1C-BF106459C41C}"/>
    <cellStyle name="Millares 2 6" xfId="259" xr:uid="{DAD06671-AE42-4A6C-959C-B0D08D9699C5}"/>
    <cellStyle name="Millares 2 7" xfId="275" xr:uid="{00F51842-C660-466B-933D-EA0BA6C17FBB}"/>
    <cellStyle name="Millares 2 7 2" xfId="615" xr:uid="{4F86451F-47B0-4ED7-B15C-7755F5AFAF72}"/>
    <cellStyle name="Millares 2 7 2 2" xfId="1286" xr:uid="{06331D15-A4EA-4746-8002-C57E9D20B6A8}"/>
    <cellStyle name="Millares 2 7 2 2 2" xfId="2621" xr:uid="{4463E6A6-44D1-45D8-BF16-4C0D924E2A03}"/>
    <cellStyle name="Millares 2 7 2 3" xfId="1957" xr:uid="{C427F907-E1B5-478F-BE18-E656C9CED607}"/>
    <cellStyle name="Millares 2 7 3" xfId="954" xr:uid="{97D6D79B-DD1E-4588-B86C-9CD7B322E77F}"/>
    <cellStyle name="Millares 2 7 3 2" xfId="2289" xr:uid="{FB2AD46E-3E8D-4BA5-92BB-08B1244E65A5}"/>
    <cellStyle name="Millares 2 7 4" xfId="1625" xr:uid="{BE0E077C-61E2-4BE8-8533-1A677FEE0B43}"/>
    <cellStyle name="Millares 2 8" xfId="448" xr:uid="{2B0CB9CA-A374-4981-B342-7E51F52C9DFE}"/>
    <cellStyle name="Millares 2 8 2" xfId="1120" xr:uid="{3A9C1DB8-1467-44DB-807F-E287F92BB2D8}"/>
    <cellStyle name="Millares 2 8 2 2" xfId="2455" xr:uid="{51A0C48B-8937-406F-A57D-4990F686E320}"/>
    <cellStyle name="Millares 2 8 3" xfId="1791" xr:uid="{60110D33-5CED-4DA5-810D-4BD8CD529AD9}"/>
    <cellStyle name="Millares 2 9" xfId="787" xr:uid="{BE78B1AA-1730-4301-BA85-62BF77053BAA}"/>
    <cellStyle name="Millares 2 9 2" xfId="2123" xr:uid="{5922CB0F-8614-4CEC-BA54-4C4ECA3464AD}"/>
    <cellStyle name="Millares 20" xfId="43" xr:uid="{08635590-39E5-445E-9323-2794FB0BF405}"/>
    <cellStyle name="Millares 3" xfId="71" xr:uid="{5BC1FF17-08BF-4467-9B8E-8A7DBC4C8B3B}"/>
    <cellStyle name="Millares 3 2" xfId="100" xr:uid="{7A133FB1-7744-4D4C-821D-707AFAB119E3}"/>
    <cellStyle name="Millares 3 2 2" xfId="60" xr:uid="{305AD9F8-A171-4FD3-B9A7-C4AF73B13B88}"/>
    <cellStyle name="Millares 3 2 2 2" xfId="264" xr:uid="{C184EEDC-B5B5-46A3-8AA2-C5E841C47BA9}"/>
    <cellStyle name="Millares 3 2 3" xfId="148" xr:uid="{B85F670B-38ED-4806-9F35-2DA38D1805DE}"/>
    <cellStyle name="Millares 3 2 3 2" xfId="237" xr:uid="{56F33802-3409-4BE6-896E-7798C3F93C20}"/>
    <cellStyle name="Millares 3 2 3 2 2" xfId="423" xr:uid="{F09C8709-7264-4BDE-9B4E-050FE7CCC9DE}"/>
    <cellStyle name="Millares 3 2 3 2 2 2" xfId="762" xr:uid="{66EFD0B0-4888-48AF-95C8-D0D57E476FC8}"/>
    <cellStyle name="Millares 3 2 3 2 2 2 2" xfId="1433" xr:uid="{B6D2AE94-27E8-4A57-96F0-D0C2E4D978A7}"/>
    <cellStyle name="Millares 3 2 3 2 2 2 2 2" xfId="2768" xr:uid="{36885EEA-6A99-473B-9DF6-88866C2A81F4}"/>
    <cellStyle name="Millares 3 2 3 2 2 2 3" xfId="2104" xr:uid="{CE7428E0-CD5E-41BD-ABA3-4202128E656C}"/>
    <cellStyle name="Millares 3 2 3 2 2 3" xfId="1101" xr:uid="{49EF46C8-C42D-4B44-9C54-A046BFED84BA}"/>
    <cellStyle name="Millares 3 2 3 2 2 3 2" xfId="2436" xr:uid="{22E799EB-154F-47AB-A648-3232746025B3}"/>
    <cellStyle name="Millares 3 2 3 2 2 4" xfId="1772" xr:uid="{17E38EC0-52AA-4107-9957-0CF7967B0059}"/>
    <cellStyle name="Millares 3 2 3 2 3" xfId="596" xr:uid="{51C6967A-3615-4C50-A46E-B0B913C11F69}"/>
    <cellStyle name="Millares 3 2 3 2 3 2" xfId="1267" xr:uid="{61E89783-2FF8-4B62-ACEA-A4C5BE1EED7A}"/>
    <cellStyle name="Millares 3 2 3 2 3 2 2" xfId="2602" xr:uid="{1CDA82C7-1AFB-4359-B3AD-D6B3FF3F5567}"/>
    <cellStyle name="Millares 3 2 3 2 3 3" xfId="1938" xr:uid="{47781681-B991-4862-BE7B-28D6421DB4B9}"/>
    <cellStyle name="Millares 3 2 3 2 4" xfId="935" xr:uid="{7A884CA9-B746-4D8D-83A1-A4F1AEFFD384}"/>
    <cellStyle name="Millares 3 2 3 2 4 2" xfId="2270" xr:uid="{F54513C7-CF7D-422F-9D10-9F3A45B4BAC6}"/>
    <cellStyle name="Millares 3 2 3 2 5" xfId="1606" xr:uid="{B15541CC-E761-4C5A-AE48-7631C54593F7}"/>
    <cellStyle name="Millares 3 2 3 3" xfId="341" xr:uid="{32CFF588-C246-4C6D-B3B0-372217C975D2}"/>
    <cellStyle name="Millares 3 2 3 3 2" xfId="680" xr:uid="{1BBA5610-481B-49FA-A34A-B561BED6736D}"/>
    <cellStyle name="Millares 3 2 3 3 2 2" xfId="1351" xr:uid="{AD9B32CA-4D92-4B04-B28A-8AB5F9F2F79B}"/>
    <cellStyle name="Millares 3 2 3 3 2 2 2" xfId="2686" xr:uid="{5756131E-CA8B-4B0C-94E8-05A7BE764BBB}"/>
    <cellStyle name="Millares 3 2 3 3 2 3" xfId="2022" xr:uid="{7BE54219-FDD0-4100-AC38-952FF5A8BDA1}"/>
    <cellStyle name="Millares 3 2 3 3 3" xfId="1019" xr:uid="{ACA41A14-5677-41A5-9375-939943B6E5E3}"/>
    <cellStyle name="Millares 3 2 3 3 3 2" xfId="2354" xr:uid="{658AD8CF-3BAC-4D4B-BF0C-A46AC814AD44}"/>
    <cellStyle name="Millares 3 2 3 3 4" xfId="1690" xr:uid="{D55B1407-F90B-4AEB-9ED4-C413D7D6795C}"/>
    <cellStyle name="Millares 3 2 3 4" xfId="514" xr:uid="{1EB7BC5C-02CA-4ECE-B349-C331728D4790}"/>
    <cellStyle name="Millares 3 2 3 4 2" xfId="1185" xr:uid="{C845BECC-18CF-4FA1-A456-DA80D4D617B4}"/>
    <cellStyle name="Millares 3 2 3 4 2 2" xfId="2520" xr:uid="{04452F97-F66F-4FEA-97F2-C5A561858C70}"/>
    <cellStyle name="Millares 3 2 3 4 3" xfId="1856" xr:uid="{B7915019-2986-49AE-818E-76CF438AB299}"/>
    <cellStyle name="Millares 3 2 3 5" xfId="853" xr:uid="{0F935CEE-DDD9-4378-BC1B-1A1FFF6D4B1B}"/>
    <cellStyle name="Millares 3 2 3 5 2" xfId="2188" xr:uid="{BEE40B3E-9CBC-49E6-A8A5-00B0ED4ACF50}"/>
    <cellStyle name="Millares 3 2 3 6" xfId="1524" xr:uid="{607A16CC-14D7-4894-9952-7BF9434403D5}"/>
    <cellStyle name="Millares 3 2 4" xfId="197" xr:uid="{BAF6DE74-FE21-49D3-B657-EB3B396FE1AE}"/>
    <cellStyle name="Millares 3 2 4 2" xfId="383" xr:uid="{9EC20C76-7637-4DA2-9EBE-A1238A2FB1FC}"/>
    <cellStyle name="Millares 3 2 4 2 2" xfId="722" xr:uid="{172D0D71-592F-437E-B397-D349BCDBA935}"/>
    <cellStyle name="Millares 3 2 4 2 2 2" xfId="1393" xr:uid="{377C83B2-652E-4DB5-B35D-25FB61297C6F}"/>
    <cellStyle name="Millares 3 2 4 2 2 2 2" xfId="2728" xr:uid="{E57E3EB6-A4DD-43EB-8386-28AEA8671C14}"/>
    <cellStyle name="Millares 3 2 4 2 2 3" xfId="2064" xr:uid="{D096A275-5E83-4D99-A861-289552E22392}"/>
    <cellStyle name="Millares 3 2 4 2 3" xfId="1061" xr:uid="{4069925B-58D8-4469-A803-69CEC51D085F}"/>
    <cellStyle name="Millares 3 2 4 2 3 2" xfId="2396" xr:uid="{CA30F28A-30A6-4AAF-95ED-C940727BFA72}"/>
    <cellStyle name="Millares 3 2 4 2 4" xfId="1732" xr:uid="{AA4BDD4E-4F74-4E50-8499-AC5F240D5186}"/>
    <cellStyle name="Millares 3 2 4 3" xfId="556" xr:uid="{45FE7867-F9FD-4C12-94E8-171F3931A002}"/>
    <cellStyle name="Millares 3 2 4 3 2" xfId="1227" xr:uid="{C07263D9-8531-475F-9FB3-5CC5297BBDE3}"/>
    <cellStyle name="Millares 3 2 4 3 2 2" xfId="2562" xr:uid="{095F5B7E-4E68-4BC0-BD5D-14BCE960EDCD}"/>
    <cellStyle name="Millares 3 2 4 3 3" xfId="1898" xr:uid="{06A0B2C4-7741-41AD-8BE9-736C917D8B68}"/>
    <cellStyle name="Millares 3 2 4 4" xfId="895" xr:uid="{7F5C8633-8F1E-4310-B17A-2D99B831BFF1}"/>
    <cellStyle name="Millares 3 2 4 4 2" xfId="2230" xr:uid="{97F71249-B561-41CE-89A0-68546B91083D}"/>
    <cellStyle name="Millares 3 2 4 5" xfId="1566" xr:uid="{4E2F46D0-7D7E-4E49-B3B3-3D9C300550E7}"/>
    <cellStyle name="Millares 3 2 5" xfId="301" xr:uid="{C27B3EEA-D0F7-4C67-9DC5-4D108D765DD0}"/>
    <cellStyle name="Millares 3 2 5 2" xfId="640" xr:uid="{90666290-7529-4E31-A982-ADC14FA59DD5}"/>
    <cellStyle name="Millares 3 2 5 2 2" xfId="1311" xr:uid="{3CFA2FBA-AAF7-4971-9B0C-6F4D05899F0A}"/>
    <cellStyle name="Millares 3 2 5 2 2 2" xfId="2646" xr:uid="{1C2588DD-D3FD-40DC-BD23-DDBC39AB18FA}"/>
    <cellStyle name="Millares 3 2 5 2 3" xfId="1982" xr:uid="{A6F7B288-D995-4D63-AF8C-CC1A3BD7779E}"/>
    <cellStyle name="Millares 3 2 5 3" xfId="979" xr:uid="{8E5747C3-3DA7-4AC5-AF4B-DCC7946BF5EC}"/>
    <cellStyle name="Millares 3 2 5 3 2" xfId="2314" xr:uid="{924EF776-8319-4EC1-8A28-76262A1CE41C}"/>
    <cellStyle name="Millares 3 2 5 4" xfId="1650" xr:uid="{F871F6AD-2713-4A69-B731-C7BAE8CC296A}"/>
    <cellStyle name="Millares 3 2 6" xfId="474" xr:uid="{014E6B2B-9DC1-4BC2-81BC-D30B09D1F9AE}"/>
    <cellStyle name="Millares 3 2 6 2" xfId="1145" xr:uid="{21AA181E-2762-4FB3-BD10-8BBA16B0ED03}"/>
    <cellStyle name="Millares 3 2 6 2 2" xfId="2480" xr:uid="{1A22EE91-9985-4E9D-96DA-F7E274A41BD2}"/>
    <cellStyle name="Millares 3 2 6 3" xfId="1816" xr:uid="{97D36BEA-C785-49F5-91A4-A2135A1212F4}"/>
    <cellStyle name="Millares 3 2 7" xfId="813" xr:uid="{C5761911-602E-4A57-9803-6178459A3D1F}"/>
    <cellStyle name="Millares 3 2 7 2" xfId="2148" xr:uid="{545A9D5A-E60A-49AD-97DE-235A898BF8A5}"/>
    <cellStyle name="Millares 3 2 8" xfId="1484" xr:uid="{C0577733-B04C-4BAC-8B0F-84FE26709ACC}"/>
    <cellStyle name="Millares 3 3" xfId="129" xr:uid="{99E8DA54-D2E7-47BB-A2B1-3E60E70879EB}"/>
    <cellStyle name="Millares 3 3 2" xfId="218" xr:uid="{57AEADD4-029D-4DE4-B980-0B73FE3285BA}"/>
    <cellStyle name="Millares 3 3 2 2" xfId="404" xr:uid="{377BC569-59E5-4C09-B185-E2D1861564B7}"/>
    <cellStyle name="Millares 3 3 2 2 2" xfId="743" xr:uid="{1499930C-3C91-4C21-B7B2-58CF4E4E8D30}"/>
    <cellStyle name="Millares 3 3 2 2 2 2" xfId="1414" xr:uid="{59DAE7FC-CEA8-4F50-B9AD-2EAFB65D2234}"/>
    <cellStyle name="Millares 3 3 2 2 2 2 2" xfId="2749" xr:uid="{A94CD0CE-044C-49CF-8EF1-6F294D52E498}"/>
    <cellStyle name="Millares 3 3 2 2 2 3" xfId="2085" xr:uid="{4AB79D3C-6FBC-4D3A-BCFB-2A9575E33DDD}"/>
    <cellStyle name="Millares 3 3 2 2 3" xfId="1082" xr:uid="{F9A66AC8-5957-4F7B-AA02-4BCC1FB12CF0}"/>
    <cellStyle name="Millares 3 3 2 2 3 2" xfId="2417" xr:uid="{DA09BDC8-2A80-4258-B7BD-D31F0A0BFBF8}"/>
    <cellStyle name="Millares 3 3 2 2 4" xfId="1753" xr:uid="{CA6CF6BC-75AC-4520-8A82-00B2DFCFB6B3}"/>
    <cellStyle name="Millares 3 3 2 3" xfId="577" xr:uid="{04D5231C-A0E9-4B29-B972-C5551A954022}"/>
    <cellStyle name="Millares 3 3 2 3 2" xfId="1248" xr:uid="{C2AB8D97-4E79-49E6-AF38-7149CDEE880D}"/>
    <cellStyle name="Millares 3 3 2 3 2 2" xfId="2583" xr:uid="{1F7E3A57-046F-40F7-8FAB-1E38A5BA93DB}"/>
    <cellStyle name="Millares 3 3 2 3 3" xfId="1919" xr:uid="{E525BAB2-10CF-46B8-92F2-07F2552D84E2}"/>
    <cellStyle name="Millares 3 3 2 4" xfId="916" xr:uid="{D8A9C8C2-304C-43C4-BFC5-1F08860776E5}"/>
    <cellStyle name="Millares 3 3 2 4 2" xfId="2251" xr:uid="{042A08AC-9A3E-491C-8120-17335BB1F07B}"/>
    <cellStyle name="Millares 3 3 2 5" xfId="1587" xr:uid="{3CE94E35-3B28-4086-9195-41359FACC79D}"/>
    <cellStyle name="Millares 3 3 3" xfId="322" xr:uid="{CB3A6786-8918-4510-B754-B6D04338E592}"/>
    <cellStyle name="Millares 3 3 3 2" xfId="661" xr:uid="{ADDCF565-D290-4A61-A6C5-0AA3E3AC4CE7}"/>
    <cellStyle name="Millares 3 3 3 2 2" xfId="1332" xr:uid="{C903786D-88C2-444F-B580-DEB148107204}"/>
    <cellStyle name="Millares 3 3 3 2 2 2" xfId="2667" xr:uid="{04A898F6-CF4F-45A3-86A5-93361D91EE6B}"/>
    <cellStyle name="Millares 3 3 3 2 3" xfId="2003" xr:uid="{25E7F130-EC9E-4C99-AE1C-D817EC227C91}"/>
    <cellStyle name="Millares 3 3 3 3" xfId="1000" xr:uid="{4712F17B-2F85-47EC-BEA2-2535F9A84932}"/>
    <cellStyle name="Millares 3 3 3 3 2" xfId="2335" xr:uid="{145CA70B-385C-4EEF-BD22-F606905EFDEE}"/>
    <cellStyle name="Millares 3 3 3 4" xfId="1671" xr:uid="{B7C26217-0456-4CA1-BD0E-C4DE65F406BD}"/>
    <cellStyle name="Millares 3 3 4" xfId="495" xr:uid="{67F67A8B-F27E-4C0D-89EE-01E316A10E5E}"/>
    <cellStyle name="Millares 3 3 4 2" xfId="1166" xr:uid="{55C3FCFF-7A94-4959-BD84-3061E3965162}"/>
    <cellStyle name="Millares 3 3 4 2 2" xfId="2501" xr:uid="{FAB162D3-20E9-45DA-A5BA-0E75AEACC820}"/>
    <cellStyle name="Millares 3 3 4 3" xfId="1837" xr:uid="{EBD5F1BE-D236-4BA0-9FF0-C305378D683F}"/>
    <cellStyle name="Millares 3 3 5" xfId="834" xr:uid="{4937D43E-669F-4483-A7A0-BE6F535351CC}"/>
    <cellStyle name="Millares 3 3 5 2" xfId="2169" xr:uid="{51EDB080-BCB8-4CA6-9552-E5C0AE5CDDF0}"/>
    <cellStyle name="Millares 3 3 6" xfId="1505" xr:uid="{5B62C729-0DF9-4370-85BB-0A22DE7CF3F8}"/>
    <cellStyle name="Millares 3 4" xfId="178" xr:uid="{FBCCF1DE-E244-40E3-BBE3-5590CADCEC82}"/>
    <cellStyle name="Millares 3 4 2" xfId="364" xr:uid="{28D672B2-8140-4180-BE73-C0ADA8A0F03F}"/>
    <cellStyle name="Millares 3 4 2 2" xfId="703" xr:uid="{6A60D3CD-9E0D-43FE-B8D3-A22717736343}"/>
    <cellStyle name="Millares 3 4 2 2 2" xfId="1374" xr:uid="{BA3508A8-072C-4A97-BDCB-9D8A852B7A2A}"/>
    <cellStyle name="Millares 3 4 2 2 2 2" xfId="2709" xr:uid="{4C491756-2472-4AAB-9587-9D84819F0C8D}"/>
    <cellStyle name="Millares 3 4 2 2 3" xfId="2045" xr:uid="{4C81DDBF-E275-4555-9141-A0D234877161}"/>
    <cellStyle name="Millares 3 4 2 3" xfId="1042" xr:uid="{EC9A4A67-A563-4EE3-977C-9A0576A67374}"/>
    <cellStyle name="Millares 3 4 2 3 2" xfId="2377" xr:uid="{B12754C7-1211-4553-8A1A-1884DD6A53A9}"/>
    <cellStyle name="Millares 3 4 2 4" xfId="1713" xr:uid="{5DBB7A24-5B2B-4BBA-8C8A-F70EBDD304B1}"/>
    <cellStyle name="Millares 3 4 3" xfId="537" xr:uid="{FAC83017-9114-4261-B58A-05537A19E045}"/>
    <cellStyle name="Millares 3 4 3 2" xfId="1208" xr:uid="{A732B2AF-641A-402E-8D16-4194013F5D7C}"/>
    <cellStyle name="Millares 3 4 3 2 2" xfId="2543" xr:uid="{3F622C74-A58D-408D-9AD2-C85EAEB5DEC9}"/>
    <cellStyle name="Millares 3 4 3 3" xfId="1879" xr:uid="{00D75586-8FE3-463A-9D40-0E557BA5C7D1}"/>
    <cellStyle name="Millares 3 4 4" xfId="876" xr:uid="{C963A88B-A7CB-4D10-A1AD-862D751614BA}"/>
    <cellStyle name="Millares 3 4 4 2" xfId="2211" xr:uid="{4347F657-02A9-4AD7-B5A3-8EE31D7D3468}"/>
    <cellStyle name="Millares 3 4 5" xfId="1547" xr:uid="{2AB4D071-E101-47B8-9806-A0EB9FC5E039}"/>
    <cellStyle name="Millares 3 5" xfId="282" xr:uid="{396C08C8-D526-47E6-89EA-934B73B787AD}"/>
    <cellStyle name="Millares 3 5 2" xfId="621" xr:uid="{39510626-32F4-412A-B7D1-F590C9C04BBB}"/>
    <cellStyle name="Millares 3 5 2 2" xfId="1292" xr:uid="{80832352-6CAE-4DE4-8319-511ED71DC132}"/>
    <cellStyle name="Millares 3 5 2 2 2" xfId="2627" xr:uid="{01A4C93D-BA3F-4B24-9C82-317308BE824F}"/>
    <cellStyle name="Millares 3 5 2 3" xfId="1963" xr:uid="{7A810C5B-454F-4FA5-9F33-A10DEEF80E40}"/>
    <cellStyle name="Millares 3 5 3" xfId="960" xr:uid="{B05CB461-308C-4140-AF58-E6B3FEFB6C09}"/>
    <cellStyle name="Millares 3 5 3 2" xfId="2295" xr:uid="{5FFCF8B2-56C5-40A1-A18B-AD5532CB4B90}"/>
    <cellStyle name="Millares 3 5 4" xfId="1631" xr:uid="{09504EEF-CACE-4C18-B32E-B69862462E4F}"/>
    <cellStyle name="Millares 3 6" xfId="455" xr:uid="{0A82CB02-04E7-48C3-833C-FFED85CB9017}"/>
    <cellStyle name="Millares 3 6 2" xfId="1126" xr:uid="{9C13F790-44FE-46C8-9713-8BD78E03454E}"/>
    <cellStyle name="Millares 3 6 2 2" xfId="2461" xr:uid="{26FFECD6-83C2-42C7-A9A7-45C3AAE8F455}"/>
    <cellStyle name="Millares 3 6 3" xfId="1797" xr:uid="{91516EF7-5705-4AC9-B833-F709A20C352B}"/>
    <cellStyle name="Millares 3 7" xfId="794" xr:uid="{6CCF7496-EF2E-4CC8-890A-3222CDCEBC6F}"/>
    <cellStyle name="Millares 3 7 2" xfId="2129" xr:uid="{FD61DA65-8C4F-490F-AD8A-043E72AA88CA}"/>
    <cellStyle name="Millares 3 8" xfId="1465" xr:uid="{D038A65F-3943-4785-AFF4-0509B32D019A}"/>
    <cellStyle name="Millares 30 2 2" xfId="58" xr:uid="{14797F1E-0162-4280-AF6D-DADB694EF588}"/>
    <cellStyle name="Millares 30 2 2 10" xfId="1461" xr:uid="{AD446DEF-2268-4C7C-AA2D-58CE7350618E}"/>
    <cellStyle name="Millares 30 2 2 2" xfId="77" xr:uid="{625412D4-8ED3-4013-B0C2-6830FCFE3F19}"/>
    <cellStyle name="Millares 30 2 2 2 2" xfId="105" xr:uid="{B57A636E-A30B-453E-8878-B587F39B6C10}"/>
    <cellStyle name="Millares 30 2 2 2 2 2" xfId="153" xr:uid="{2EF8A86C-FFCF-4F29-B3B9-E71D2B4D2DB6}"/>
    <cellStyle name="Millares 30 2 2 2 2 2 2" xfId="242" xr:uid="{83875C92-FFAE-430E-A324-7FCDF25718A9}"/>
    <cellStyle name="Millares 30 2 2 2 2 2 2 2" xfId="428" xr:uid="{5A8E7C91-D006-44CD-9273-84EA26EBC38B}"/>
    <cellStyle name="Millares 30 2 2 2 2 2 2 2 2" xfId="767" xr:uid="{C41F3A53-F565-4D03-B9FF-11DDFBF21F5D}"/>
    <cellStyle name="Millares 30 2 2 2 2 2 2 2 2 2" xfId="1438" xr:uid="{D7CC3AF8-E587-49F2-8E70-DFB9EA9E7F0F}"/>
    <cellStyle name="Millares 30 2 2 2 2 2 2 2 2 2 2" xfId="2773" xr:uid="{D7BA55DC-B2AA-4CED-8BAE-7AF84CDC6D40}"/>
    <cellStyle name="Millares 30 2 2 2 2 2 2 2 2 3" xfId="2109" xr:uid="{121ECC50-AFE8-41F5-A347-12A8140947DD}"/>
    <cellStyle name="Millares 30 2 2 2 2 2 2 2 3" xfId="1106" xr:uid="{FCB3C272-A6E9-4145-A040-48B32A5B6C25}"/>
    <cellStyle name="Millares 30 2 2 2 2 2 2 2 3 2" xfId="2441" xr:uid="{F054E38F-8155-4F59-80CD-84EDB941E97C}"/>
    <cellStyle name="Millares 30 2 2 2 2 2 2 2 4" xfId="1777" xr:uid="{5DEC0F3B-A80B-4A50-A03F-D3B65786445A}"/>
    <cellStyle name="Millares 30 2 2 2 2 2 2 3" xfId="601" xr:uid="{4CF6B133-F9B7-4788-8B42-CB894921D3F2}"/>
    <cellStyle name="Millares 30 2 2 2 2 2 2 3 2" xfId="1272" xr:uid="{A57BCAB1-4245-4268-8AC7-D49753961717}"/>
    <cellStyle name="Millares 30 2 2 2 2 2 2 3 2 2" xfId="2607" xr:uid="{6F5396A8-43AF-444F-99DF-97D239DD8E3E}"/>
    <cellStyle name="Millares 30 2 2 2 2 2 2 3 3" xfId="1943" xr:uid="{CD21FD57-BBCB-4378-A2DF-A4F5D575D5CE}"/>
    <cellStyle name="Millares 30 2 2 2 2 2 2 4" xfId="940" xr:uid="{35D8F4DC-9958-4060-9C11-FAC7770BAEE5}"/>
    <cellStyle name="Millares 30 2 2 2 2 2 2 4 2" xfId="2275" xr:uid="{CCB50CA9-ED3A-4364-9102-52E40828FF90}"/>
    <cellStyle name="Millares 30 2 2 2 2 2 2 5" xfId="1611" xr:uid="{A8B67A28-716D-4B02-B6DB-45FD4F8B2615}"/>
    <cellStyle name="Millares 30 2 2 2 2 2 3" xfId="346" xr:uid="{F9000A46-428E-45C5-8415-5DE8A51B1028}"/>
    <cellStyle name="Millares 30 2 2 2 2 2 3 2" xfId="685" xr:uid="{6EA08FE0-18E9-40D8-BDFA-180B4129161E}"/>
    <cellStyle name="Millares 30 2 2 2 2 2 3 2 2" xfId="1356" xr:uid="{44CA2E57-7D85-447A-8536-40641E91247D}"/>
    <cellStyle name="Millares 30 2 2 2 2 2 3 2 2 2" xfId="2691" xr:uid="{FDC91520-2269-4088-829D-CF5E1958F95E}"/>
    <cellStyle name="Millares 30 2 2 2 2 2 3 2 3" xfId="2027" xr:uid="{BE5A4FB4-BB2C-4C07-8FBF-6D2ED73D6BA1}"/>
    <cellStyle name="Millares 30 2 2 2 2 2 3 3" xfId="1024" xr:uid="{8B7F787A-8CDC-4E7B-A3D9-631B601BCC03}"/>
    <cellStyle name="Millares 30 2 2 2 2 2 3 3 2" xfId="2359" xr:uid="{B770604E-2A15-48C8-BA28-9EB99FB7E9E8}"/>
    <cellStyle name="Millares 30 2 2 2 2 2 3 4" xfId="1695" xr:uid="{E1074E0D-9865-4A10-B668-FE459C36E8B1}"/>
    <cellStyle name="Millares 30 2 2 2 2 2 4" xfId="519" xr:uid="{76F90B02-368E-4584-9535-AFE6FD4A539B}"/>
    <cellStyle name="Millares 30 2 2 2 2 2 4 2" xfId="1190" xr:uid="{29E66270-7F9F-4B60-8747-9CE47869E703}"/>
    <cellStyle name="Millares 30 2 2 2 2 2 4 2 2" xfId="2525" xr:uid="{B47A7C1B-EF2D-43B5-A31E-9088905C796A}"/>
    <cellStyle name="Millares 30 2 2 2 2 2 4 3" xfId="1861" xr:uid="{15361CE3-D73E-41B7-8C5C-C7F46E3A9A75}"/>
    <cellStyle name="Millares 30 2 2 2 2 2 5" xfId="858" xr:uid="{374B5CB2-638C-4332-9391-3F101750159C}"/>
    <cellStyle name="Millares 30 2 2 2 2 2 5 2" xfId="2193" xr:uid="{E5AB63E4-0159-4F01-B028-AC6DEBF01DAA}"/>
    <cellStyle name="Millares 30 2 2 2 2 2 6" xfId="1529" xr:uid="{1E31DB5B-109F-41AA-A4E0-123EC53FF87F}"/>
    <cellStyle name="Millares 30 2 2 2 2 3" xfId="202" xr:uid="{8158F995-AA35-438D-BDAA-F9E7D8E6D947}"/>
    <cellStyle name="Millares 30 2 2 2 2 3 2" xfId="388" xr:uid="{458955D2-6D71-4711-95D5-276A1FADA8EC}"/>
    <cellStyle name="Millares 30 2 2 2 2 3 2 2" xfId="727" xr:uid="{89068440-F779-4559-83D5-751D22CCB4E3}"/>
    <cellStyle name="Millares 30 2 2 2 2 3 2 2 2" xfId="1398" xr:uid="{75BEBB9E-91FD-4EC5-B029-A79FBE55D876}"/>
    <cellStyle name="Millares 30 2 2 2 2 3 2 2 2 2" xfId="2733" xr:uid="{485FA4C8-E6B5-4D5E-8BAF-3349BFAB2E0B}"/>
    <cellStyle name="Millares 30 2 2 2 2 3 2 2 3" xfId="2069" xr:uid="{82329236-A2FD-4235-8EFA-391C3CC2114E}"/>
    <cellStyle name="Millares 30 2 2 2 2 3 2 3" xfId="1066" xr:uid="{0B967E76-79AD-4694-9B98-AC3AE8673477}"/>
    <cellStyle name="Millares 30 2 2 2 2 3 2 3 2" xfId="2401" xr:uid="{4BBD00D5-7F65-443B-AE52-9280FFB9FDE5}"/>
    <cellStyle name="Millares 30 2 2 2 2 3 2 4" xfId="1737" xr:uid="{6916EF42-E6E8-4475-9A8F-5438E732856F}"/>
    <cellStyle name="Millares 30 2 2 2 2 3 3" xfId="561" xr:uid="{617A88F5-131C-4DED-9145-B1F2B8729D2B}"/>
    <cellStyle name="Millares 30 2 2 2 2 3 3 2" xfId="1232" xr:uid="{401F2560-E1DB-4E4F-9387-9415CDFFA436}"/>
    <cellStyle name="Millares 30 2 2 2 2 3 3 2 2" xfId="2567" xr:uid="{0B81CFA2-F3F4-40DD-B2D1-8D2E60AD42E6}"/>
    <cellStyle name="Millares 30 2 2 2 2 3 3 3" xfId="1903" xr:uid="{B5A5D232-0414-487C-B0C9-AE0EDA77C94B}"/>
    <cellStyle name="Millares 30 2 2 2 2 3 4" xfId="900" xr:uid="{53A3EF99-9379-40BF-9714-0515AC1EEECA}"/>
    <cellStyle name="Millares 30 2 2 2 2 3 4 2" xfId="2235" xr:uid="{00E5ABA2-B9C5-4E7D-AD3E-D6F9C2C70359}"/>
    <cellStyle name="Millares 30 2 2 2 2 3 5" xfId="1571" xr:uid="{3E18C15F-2ECE-4DF8-B58E-3E5AA72E486D}"/>
    <cellStyle name="Millares 30 2 2 2 2 4" xfId="306" xr:uid="{EB0B76EA-CB1E-4595-879C-3A4B554AB5BA}"/>
    <cellStyle name="Millares 30 2 2 2 2 4 2" xfId="645" xr:uid="{8C8A6E0B-F905-4BA8-850C-E0F6C69056E4}"/>
    <cellStyle name="Millares 30 2 2 2 2 4 2 2" xfId="1316" xr:uid="{2E97CD96-BFB9-4801-A734-D07FB30D37CD}"/>
    <cellStyle name="Millares 30 2 2 2 2 4 2 2 2" xfId="2651" xr:uid="{B4DF95B9-51BA-4CE7-944B-277032E1368A}"/>
    <cellStyle name="Millares 30 2 2 2 2 4 2 3" xfId="1987" xr:uid="{A019EAC2-BC6F-4703-A8F5-60CEC353030D}"/>
    <cellStyle name="Millares 30 2 2 2 2 4 3" xfId="984" xr:uid="{AD849F76-5E85-43A1-BAFD-5D3A03BC3500}"/>
    <cellStyle name="Millares 30 2 2 2 2 4 3 2" xfId="2319" xr:uid="{CD4A4FEF-395B-406B-96CD-C8CFA1BEAC69}"/>
    <cellStyle name="Millares 30 2 2 2 2 4 4" xfId="1655" xr:uid="{B9DC4A7B-01DD-4E3E-8E98-47E6733CD12C}"/>
    <cellStyle name="Millares 30 2 2 2 2 5" xfId="479" xr:uid="{4CB0B4EE-79CA-4370-8CE9-07F06527C09A}"/>
    <cellStyle name="Millares 30 2 2 2 2 5 2" xfId="1150" xr:uid="{2A92BB49-70AA-4107-9ED7-6E3FB88EEF2D}"/>
    <cellStyle name="Millares 30 2 2 2 2 5 2 2" xfId="2485" xr:uid="{D80A5B1F-1DE9-4B55-9CC9-A64D065E5916}"/>
    <cellStyle name="Millares 30 2 2 2 2 5 3" xfId="1821" xr:uid="{2D999005-8765-4199-BE05-5F082D2584EC}"/>
    <cellStyle name="Millares 30 2 2 2 2 6" xfId="818" xr:uid="{508C333F-DC7F-46B3-B055-FB70A25F1605}"/>
    <cellStyle name="Millares 30 2 2 2 2 6 2" xfId="2153" xr:uid="{D1F128B8-7842-4BE1-A909-80A8BA1FDAED}"/>
    <cellStyle name="Millares 30 2 2 2 2 7" xfId="1489" xr:uid="{D567F9AD-FF41-4E72-AA13-A8472898930F}"/>
    <cellStyle name="Millares 30 2 2 2 3" xfId="134" xr:uid="{38BDF3BC-7231-4DC8-B46A-975EE37F2307}"/>
    <cellStyle name="Millares 30 2 2 2 3 2" xfId="223" xr:uid="{136CACDD-6179-4158-ADF8-B49E7BBEBCD5}"/>
    <cellStyle name="Millares 30 2 2 2 3 2 2" xfId="409" xr:uid="{74B52610-D5B4-467A-92FF-1B5C61C81D44}"/>
    <cellStyle name="Millares 30 2 2 2 3 2 2 2" xfId="748" xr:uid="{8DDC05A7-FBCE-4F6E-8EDE-DE5FE2F235AC}"/>
    <cellStyle name="Millares 30 2 2 2 3 2 2 2 2" xfId="1419" xr:uid="{1CA77A52-0500-419C-A824-B6D1D7D5C8AA}"/>
    <cellStyle name="Millares 30 2 2 2 3 2 2 2 2 2" xfId="2754" xr:uid="{6A8002E6-3363-410B-A9DD-B47C234ECAF1}"/>
    <cellStyle name="Millares 30 2 2 2 3 2 2 2 3" xfId="2090" xr:uid="{8597514E-B19F-4A28-974F-2EB1C7B65EDB}"/>
    <cellStyle name="Millares 30 2 2 2 3 2 2 3" xfId="1087" xr:uid="{BFF0ABD8-74C0-4699-B9AF-CB380AB81D72}"/>
    <cellStyle name="Millares 30 2 2 2 3 2 2 3 2" xfId="2422" xr:uid="{241BE2D4-C714-4B78-AB85-6EBD81295FB6}"/>
    <cellStyle name="Millares 30 2 2 2 3 2 2 4" xfId="1758" xr:uid="{6A66F8D3-E355-4438-92BF-597C33E00337}"/>
    <cellStyle name="Millares 30 2 2 2 3 2 3" xfId="582" xr:uid="{A130A46D-4C2D-4FFB-8451-C5CDAC45618F}"/>
    <cellStyle name="Millares 30 2 2 2 3 2 3 2" xfId="1253" xr:uid="{CA8537ED-87F6-4F67-9822-0894B953BD5D}"/>
    <cellStyle name="Millares 30 2 2 2 3 2 3 2 2" xfId="2588" xr:uid="{92FF1265-0271-43A5-9763-DC322D622E97}"/>
    <cellStyle name="Millares 30 2 2 2 3 2 3 3" xfId="1924" xr:uid="{817E6F03-50D2-4020-AA6A-3A3B9DFE54E4}"/>
    <cellStyle name="Millares 30 2 2 2 3 2 4" xfId="921" xr:uid="{F7404CBA-4008-428F-B712-42EC9BAE4E2E}"/>
    <cellStyle name="Millares 30 2 2 2 3 2 4 2" xfId="2256" xr:uid="{FB297AE2-8C9C-4786-9F79-12D2018B8827}"/>
    <cellStyle name="Millares 30 2 2 2 3 2 5" xfId="1592" xr:uid="{8251067B-9143-4CCA-962F-65C5BCDB0591}"/>
    <cellStyle name="Millares 30 2 2 2 3 3" xfId="327" xr:uid="{E68F878B-933B-4475-A855-A295BDFFE13F}"/>
    <cellStyle name="Millares 30 2 2 2 3 3 2" xfId="666" xr:uid="{CA35E9BE-DFC4-4165-929F-D6BA7569E763}"/>
    <cellStyle name="Millares 30 2 2 2 3 3 2 2" xfId="1337" xr:uid="{FD19229D-6315-4610-B143-59F4EDFA68B1}"/>
    <cellStyle name="Millares 30 2 2 2 3 3 2 2 2" xfId="2672" xr:uid="{0FE1FF93-3FF5-4B2D-A6F1-A137C9934B85}"/>
    <cellStyle name="Millares 30 2 2 2 3 3 2 3" xfId="2008" xr:uid="{47E736B2-89E6-4697-B4CB-2E8440B6BDA5}"/>
    <cellStyle name="Millares 30 2 2 2 3 3 3" xfId="1005" xr:uid="{B5ACC50E-FEAE-40F9-875C-0A3E50575D63}"/>
    <cellStyle name="Millares 30 2 2 2 3 3 3 2" xfId="2340" xr:uid="{E3516C3F-3952-4E3B-A16C-AE58E02802A2}"/>
    <cellStyle name="Millares 30 2 2 2 3 3 4" xfId="1676" xr:uid="{A9420902-9BED-4768-96A8-EDDA0F85BEB6}"/>
    <cellStyle name="Millares 30 2 2 2 3 4" xfId="500" xr:uid="{E60DC766-C0CF-47BD-A073-6E8F20207E3B}"/>
    <cellStyle name="Millares 30 2 2 2 3 4 2" xfId="1171" xr:uid="{85122DB4-C27A-4F73-9090-48A405679D48}"/>
    <cellStyle name="Millares 30 2 2 2 3 4 2 2" xfId="2506" xr:uid="{CB3895C2-F840-4869-A480-79D1588DEB0A}"/>
    <cellStyle name="Millares 30 2 2 2 3 4 3" xfId="1842" xr:uid="{56542E7E-3371-4E6A-B9A2-552F0B545F25}"/>
    <cellStyle name="Millares 30 2 2 2 3 5" xfId="839" xr:uid="{BD66C040-EAB0-437C-8C52-8E3A219695EC}"/>
    <cellStyle name="Millares 30 2 2 2 3 5 2" xfId="2174" xr:uid="{7EC21A7C-08A7-4E7F-AEE5-4FA020A3E366}"/>
    <cellStyle name="Millares 30 2 2 2 3 6" xfId="1510" xr:uid="{5D7AB0A0-C358-4DB4-BEA5-CF84E67BC773}"/>
    <cellStyle name="Millares 30 2 2 2 4" xfId="183" xr:uid="{5A036E50-2D52-4AEB-AB62-E82BCBE9A101}"/>
    <cellStyle name="Millares 30 2 2 2 4 2" xfId="369" xr:uid="{072CE5E9-387E-44BD-842E-DDBB7F4D58F8}"/>
    <cellStyle name="Millares 30 2 2 2 4 2 2" xfId="708" xr:uid="{406726AF-6B53-4B62-A572-58E01789ECD2}"/>
    <cellStyle name="Millares 30 2 2 2 4 2 2 2" xfId="1379" xr:uid="{F8F36469-74D9-4585-BCA1-DF155AD6AA3F}"/>
    <cellStyle name="Millares 30 2 2 2 4 2 2 2 2" xfId="2714" xr:uid="{7F729593-1D5B-4C6A-89FD-0DBC2E7B4CBE}"/>
    <cellStyle name="Millares 30 2 2 2 4 2 2 3" xfId="2050" xr:uid="{7B341432-8FBC-460A-84DE-1299EE7350F2}"/>
    <cellStyle name="Millares 30 2 2 2 4 2 3" xfId="1047" xr:uid="{FC15347D-73BE-4EE3-9B61-8A7025CC0262}"/>
    <cellStyle name="Millares 30 2 2 2 4 2 3 2" xfId="2382" xr:uid="{C63159CE-B55A-446B-A62E-81DA8FF5238F}"/>
    <cellStyle name="Millares 30 2 2 2 4 2 4" xfId="1718" xr:uid="{4ED4E56C-2DD7-4459-A9D0-A3593DD4E98F}"/>
    <cellStyle name="Millares 30 2 2 2 4 3" xfId="542" xr:uid="{6D009D6A-23E0-403D-BC65-311C54379FCC}"/>
    <cellStyle name="Millares 30 2 2 2 4 3 2" xfId="1213" xr:uid="{00DE4766-F69C-4B29-AA97-2E97EEA26855}"/>
    <cellStyle name="Millares 30 2 2 2 4 3 2 2" xfId="2548" xr:uid="{EDDBDD3B-E772-41B7-A0DA-87D1CE4E93C6}"/>
    <cellStyle name="Millares 30 2 2 2 4 3 3" xfId="1884" xr:uid="{B03E6124-1119-4468-90A1-34F1BEBEA483}"/>
    <cellStyle name="Millares 30 2 2 2 4 4" xfId="881" xr:uid="{78A54CE6-53BE-437B-9BB2-8764EB57414F}"/>
    <cellStyle name="Millares 30 2 2 2 4 4 2" xfId="2216" xr:uid="{1CA1CA53-1571-451B-85D1-D05E1D8C732E}"/>
    <cellStyle name="Millares 30 2 2 2 4 5" xfId="1552" xr:uid="{1D6E57BB-40DD-437A-BE7C-912E3920F68B}"/>
    <cellStyle name="Millares 30 2 2 2 5" xfId="287" xr:uid="{E248AD46-4911-48F8-8387-C522CEB38298}"/>
    <cellStyle name="Millares 30 2 2 2 5 2" xfId="626" xr:uid="{6F8315A8-E0A2-44A3-A4F6-DC60F1F84F9A}"/>
    <cellStyle name="Millares 30 2 2 2 5 2 2" xfId="1297" xr:uid="{92489129-603B-4F5A-9B3D-818EDD3EB204}"/>
    <cellStyle name="Millares 30 2 2 2 5 2 2 2" xfId="2632" xr:uid="{BA334878-A8C2-46E3-B939-3DFAEB6F06E3}"/>
    <cellStyle name="Millares 30 2 2 2 5 2 3" xfId="1968" xr:uid="{6A128DCA-E401-49A8-9CDB-8F69B4A1AFAA}"/>
    <cellStyle name="Millares 30 2 2 2 5 3" xfId="965" xr:uid="{39816BCA-9B90-4071-933A-D4F9AA4CFC29}"/>
    <cellStyle name="Millares 30 2 2 2 5 3 2" xfId="2300" xr:uid="{76E44167-8988-4CF7-9DC5-425D9E591571}"/>
    <cellStyle name="Millares 30 2 2 2 5 4" xfId="1636" xr:uid="{700C4F58-06AF-4851-B8AE-894F74A919C9}"/>
    <cellStyle name="Millares 30 2 2 2 6" xfId="460" xr:uid="{390B7112-A4B3-4A06-8F8D-E0CDAB679F6B}"/>
    <cellStyle name="Millares 30 2 2 2 6 2" xfId="1131" xr:uid="{58F79B91-B662-44DC-AB5F-EA46247FCAB0}"/>
    <cellStyle name="Millares 30 2 2 2 6 2 2" xfId="2466" xr:uid="{7A62DDB0-EF4A-4B54-923E-F67A6D5289F4}"/>
    <cellStyle name="Millares 30 2 2 2 6 3" xfId="1802" xr:uid="{5302B9E5-81A9-4B7E-A6C0-0ADB2487C34A}"/>
    <cellStyle name="Millares 30 2 2 2 7" xfId="799" xr:uid="{974F9ED5-2C57-4D1F-B6B5-9CC39576A6B0}"/>
    <cellStyle name="Millares 30 2 2 2 7 2" xfId="2134" xr:uid="{D1CDEE29-EE09-4F7A-A4E1-1F8F04A6F9B5}"/>
    <cellStyle name="Millares 30 2 2 2 8" xfId="1470" xr:uid="{0E5CB347-BC29-44FE-8925-360F994070F2}"/>
    <cellStyle name="Millares 30 2 2 3" xfId="95" xr:uid="{2555C00B-DC62-4362-89B8-E8D8365B6FCE}"/>
    <cellStyle name="Millares 30 2 2 3 2" xfId="144" xr:uid="{30B14B2F-B7F9-4785-8B3D-34C76964A49C}"/>
    <cellStyle name="Millares 30 2 2 3 2 2" xfId="233" xr:uid="{291F3284-4279-4B02-90FC-3A05681E754D}"/>
    <cellStyle name="Millares 30 2 2 3 2 2 2" xfId="419" xr:uid="{6F03DC69-FEAB-4DC2-AA49-2E4D04065F32}"/>
    <cellStyle name="Millares 30 2 2 3 2 2 2 2" xfId="758" xr:uid="{3915D990-4378-4AAD-AC89-B0FCCD04F832}"/>
    <cellStyle name="Millares 30 2 2 3 2 2 2 2 2" xfId="1429" xr:uid="{36A3272F-ACB2-48B7-90B7-93D4F09D6729}"/>
    <cellStyle name="Millares 30 2 2 3 2 2 2 2 2 2" xfId="2764" xr:uid="{670DB9A0-024E-4182-848D-D3082B2F7683}"/>
    <cellStyle name="Millares 30 2 2 3 2 2 2 2 3" xfId="2100" xr:uid="{7511952E-AD33-4C7C-8E9D-28B04183154D}"/>
    <cellStyle name="Millares 30 2 2 3 2 2 2 3" xfId="1097" xr:uid="{EA60FC73-521B-4A7F-B37E-6D9CD3C2A344}"/>
    <cellStyle name="Millares 30 2 2 3 2 2 2 3 2" xfId="2432" xr:uid="{142428C6-E66F-4D12-941E-362D0E7693EE}"/>
    <cellStyle name="Millares 30 2 2 3 2 2 2 4" xfId="1768" xr:uid="{A466AB39-35FB-4CE6-B7AF-F5957016380C}"/>
    <cellStyle name="Millares 30 2 2 3 2 2 3" xfId="592" xr:uid="{1271F988-7896-4BA6-8FD9-EC19355C9CD1}"/>
    <cellStyle name="Millares 30 2 2 3 2 2 3 2" xfId="1263" xr:uid="{E4C5AD51-00E6-4A44-9F85-5C6594F0748F}"/>
    <cellStyle name="Millares 30 2 2 3 2 2 3 2 2" xfId="2598" xr:uid="{70A18813-DAD0-4F2A-B59F-E5FD5C1EAEC8}"/>
    <cellStyle name="Millares 30 2 2 3 2 2 3 3" xfId="1934" xr:uid="{18CE1F90-E98A-441F-BA4C-95E864B24542}"/>
    <cellStyle name="Millares 30 2 2 3 2 2 4" xfId="931" xr:uid="{4DC72294-F889-4E09-AB97-7B6759D996BE}"/>
    <cellStyle name="Millares 30 2 2 3 2 2 4 2" xfId="2266" xr:uid="{44BFDC08-9DB2-4125-987A-18E4616D47BE}"/>
    <cellStyle name="Millares 30 2 2 3 2 2 5" xfId="1602" xr:uid="{0CD45D66-7F94-4E38-AD01-F4744E77C92F}"/>
    <cellStyle name="Millares 30 2 2 3 2 3" xfId="337" xr:uid="{6DD71253-BB24-4BCE-9EE2-10B32777F159}"/>
    <cellStyle name="Millares 30 2 2 3 2 3 2" xfId="676" xr:uid="{A8F6C339-A625-42B0-B574-C97F207AB2EF}"/>
    <cellStyle name="Millares 30 2 2 3 2 3 2 2" xfId="1347" xr:uid="{7015245D-C497-45B0-AE4B-E4041FD9FDA9}"/>
    <cellStyle name="Millares 30 2 2 3 2 3 2 2 2" xfId="2682" xr:uid="{F6466402-D2B9-4A08-B455-F070C2194AE5}"/>
    <cellStyle name="Millares 30 2 2 3 2 3 2 3" xfId="2018" xr:uid="{812C79C9-94F7-404E-B89C-9E7D0B208F18}"/>
    <cellStyle name="Millares 30 2 2 3 2 3 3" xfId="1015" xr:uid="{3446D5C7-533A-49F4-8E25-B1BF9B2FFE4B}"/>
    <cellStyle name="Millares 30 2 2 3 2 3 3 2" xfId="2350" xr:uid="{7DFA1CE6-B623-40B1-9D44-11C5A13B8E16}"/>
    <cellStyle name="Millares 30 2 2 3 2 3 4" xfId="1686" xr:uid="{9C624007-D57A-4790-BEDF-CB22FB41BF7E}"/>
    <cellStyle name="Millares 30 2 2 3 2 4" xfId="510" xr:uid="{6B6447BB-A7AF-486A-B9A7-44F087DCEFCE}"/>
    <cellStyle name="Millares 30 2 2 3 2 4 2" xfId="1181" xr:uid="{EAC4F186-7838-4B93-A145-1DC8AD293E69}"/>
    <cellStyle name="Millares 30 2 2 3 2 4 2 2" xfId="2516" xr:uid="{B4C3C9DA-EC68-4BA4-90E5-BAC0110517AD}"/>
    <cellStyle name="Millares 30 2 2 3 2 4 3" xfId="1852" xr:uid="{7C9DE681-67BC-4F7C-AA5C-B0EA0C54AA63}"/>
    <cellStyle name="Millares 30 2 2 3 2 5" xfId="849" xr:uid="{210CC4C5-EBE6-40D4-B198-4BBBE8CFEEF2}"/>
    <cellStyle name="Millares 30 2 2 3 2 5 2" xfId="2184" xr:uid="{9C0E699D-A3DA-416B-AE80-AC083AA0AC31}"/>
    <cellStyle name="Millares 30 2 2 3 2 6" xfId="1520" xr:uid="{5475A07E-E284-4E49-AB1D-65878CDDD02F}"/>
    <cellStyle name="Millares 30 2 2 3 3" xfId="193" xr:uid="{93593931-D609-41FE-80A3-A7780063985F}"/>
    <cellStyle name="Millares 30 2 2 3 3 2" xfId="379" xr:uid="{CD0AEF6D-E17B-46B0-88B0-EEF4A74E8F2E}"/>
    <cellStyle name="Millares 30 2 2 3 3 2 2" xfId="718" xr:uid="{41BDBD63-CF2A-4BBD-8D01-46984AA59E9B}"/>
    <cellStyle name="Millares 30 2 2 3 3 2 2 2" xfId="1389" xr:uid="{BC40AB5E-90B0-4891-AD86-5ECAD6F9262F}"/>
    <cellStyle name="Millares 30 2 2 3 3 2 2 2 2" xfId="2724" xr:uid="{A79B138E-8B86-4537-9BF7-630D93D9EE3D}"/>
    <cellStyle name="Millares 30 2 2 3 3 2 2 3" xfId="2060" xr:uid="{EAFF4973-3DDE-43E2-97F5-EF0E36FA2DA5}"/>
    <cellStyle name="Millares 30 2 2 3 3 2 3" xfId="1057" xr:uid="{6449EFCF-99B7-4F1C-9A15-52277863A352}"/>
    <cellStyle name="Millares 30 2 2 3 3 2 3 2" xfId="2392" xr:uid="{CDB98071-D8E1-4EF2-8BF2-0CBB7D06128C}"/>
    <cellStyle name="Millares 30 2 2 3 3 2 4" xfId="1728" xr:uid="{D3E50E7D-C888-4190-A991-9BBCA4F69B19}"/>
    <cellStyle name="Millares 30 2 2 3 3 3" xfId="552" xr:uid="{54C2D2FE-FC60-4511-AB24-5919484517E5}"/>
    <cellStyle name="Millares 30 2 2 3 3 3 2" xfId="1223" xr:uid="{37F3E8CD-D331-461D-A9FF-C1E58868BB3E}"/>
    <cellStyle name="Millares 30 2 2 3 3 3 2 2" xfId="2558" xr:uid="{70D9522C-A136-4E21-8504-B31C21234D46}"/>
    <cellStyle name="Millares 30 2 2 3 3 3 3" xfId="1894" xr:uid="{FD447D50-F2FB-4136-B965-A27D070A816D}"/>
    <cellStyle name="Millares 30 2 2 3 3 4" xfId="891" xr:uid="{E2834DF2-ACD8-40F8-B338-4241670B82BA}"/>
    <cellStyle name="Millares 30 2 2 3 3 4 2" xfId="2226" xr:uid="{70D10A47-4C16-48B6-B975-6FADA104A129}"/>
    <cellStyle name="Millares 30 2 2 3 3 5" xfId="1562" xr:uid="{C056AC0D-EBA3-4A3B-92D1-B3962202CB78}"/>
    <cellStyle name="Millares 30 2 2 3 4" xfId="297" xr:uid="{50BB435A-631F-41FA-B298-6B83FA70106D}"/>
    <cellStyle name="Millares 30 2 2 3 4 2" xfId="636" xr:uid="{CE90C6FE-F5AC-41D8-A4C9-495EF1A963E4}"/>
    <cellStyle name="Millares 30 2 2 3 4 2 2" xfId="1307" xr:uid="{212C253C-F67C-44E6-A515-E8F3D9DD1B57}"/>
    <cellStyle name="Millares 30 2 2 3 4 2 2 2" xfId="2642" xr:uid="{0AFA45C3-7D15-4698-99B1-B2637CF3EB09}"/>
    <cellStyle name="Millares 30 2 2 3 4 2 3" xfId="1978" xr:uid="{DE7EB00E-72B2-4EDE-9110-E1BD23EBDA4B}"/>
    <cellStyle name="Millares 30 2 2 3 4 3" xfId="975" xr:uid="{CDC5BA45-7793-4D51-9E50-58623DC2EAB1}"/>
    <cellStyle name="Millares 30 2 2 3 4 3 2" xfId="2310" xr:uid="{FBB71C2E-4D87-4BB2-B78A-DECCE4C77285}"/>
    <cellStyle name="Millares 30 2 2 3 4 4" xfId="1646" xr:uid="{1B426FC8-F224-4A04-9CD4-4A0C4341344D}"/>
    <cellStyle name="Millares 30 2 2 3 5" xfId="470" xr:uid="{46EF88E0-E1BA-4B4A-8D7A-7AC446D34A92}"/>
    <cellStyle name="Millares 30 2 2 3 5 2" xfId="1141" xr:uid="{C1430091-7C85-499A-AFA5-F37B731E8205}"/>
    <cellStyle name="Millares 30 2 2 3 5 2 2" xfId="2476" xr:uid="{491FEDA7-ACED-4885-A8DB-A08DB7368F21}"/>
    <cellStyle name="Millares 30 2 2 3 5 3" xfId="1812" xr:uid="{D113CCD7-2E5E-4886-A440-FD8FD891B6EA}"/>
    <cellStyle name="Millares 30 2 2 3 6" xfId="809" xr:uid="{5C0D540A-2ECD-468F-A86B-44399DC52D89}"/>
    <cellStyle name="Millares 30 2 2 3 6 2" xfId="2144" xr:uid="{E9CC6B7F-E5B3-49B4-B847-F7A96B730DE1}"/>
    <cellStyle name="Millares 30 2 2 3 7" xfId="1480" xr:uid="{FAD0438C-361D-49F0-94DA-132668A6F1CB}"/>
    <cellStyle name="Millares 30 2 2 4" xfId="124" xr:uid="{72913D35-59E3-4593-9B17-700F91BB3C87}"/>
    <cellStyle name="Millares 30 2 2 4 2" xfId="214" xr:uid="{FCD8DD03-F66C-4209-8062-8CD3D7CCC8DD}"/>
    <cellStyle name="Millares 30 2 2 4 2 2" xfId="400" xr:uid="{E75820DE-AAE7-40B5-8431-1C0B995165C0}"/>
    <cellStyle name="Millares 30 2 2 4 2 2 2" xfId="739" xr:uid="{DE833707-E61E-427E-B19D-DAB8C00E71EF}"/>
    <cellStyle name="Millares 30 2 2 4 2 2 2 2" xfId="1410" xr:uid="{AAF896D9-23E9-4470-A97E-8E38AFC682F7}"/>
    <cellStyle name="Millares 30 2 2 4 2 2 2 2 2" xfId="2745" xr:uid="{96563F2A-3653-429C-88C5-C1AB60DE61DE}"/>
    <cellStyle name="Millares 30 2 2 4 2 2 2 3" xfId="2081" xr:uid="{42E7DC76-E5BD-40B2-8A58-0BFD4BFA3D28}"/>
    <cellStyle name="Millares 30 2 2 4 2 2 3" xfId="1078" xr:uid="{57F4D498-1FB3-4D27-9205-1BCD66C10796}"/>
    <cellStyle name="Millares 30 2 2 4 2 2 3 2" xfId="2413" xr:uid="{2C7CC741-2F92-4E38-A588-CFCEF0368BA6}"/>
    <cellStyle name="Millares 30 2 2 4 2 2 4" xfId="1749" xr:uid="{1B84B836-6EB3-4703-BBFF-B2CA9B87E3F3}"/>
    <cellStyle name="Millares 30 2 2 4 2 3" xfId="573" xr:uid="{AC0DE524-7498-4F9A-9526-13B1FE840CC2}"/>
    <cellStyle name="Millares 30 2 2 4 2 3 2" xfId="1244" xr:uid="{76C89977-CA8E-4515-BEAD-84B0D1659F5E}"/>
    <cellStyle name="Millares 30 2 2 4 2 3 2 2" xfId="2579" xr:uid="{F6594580-FA00-4A47-9255-553DA30D8F20}"/>
    <cellStyle name="Millares 30 2 2 4 2 3 3" xfId="1915" xr:uid="{01ACAECE-F7F6-4451-B800-960043C12AA8}"/>
    <cellStyle name="Millares 30 2 2 4 2 4" xfId="912" xr:uid="{9B15B781-7D9E-4B46-996E-BF93F225132B}"/>
    <cellStyle name="Millares 30 2 2 4 2 4 2" xfId="2247" xr:uid="{33B9F973-277E-4776-A949-603EDFED26EA}"/>
    <cellStyle name="Millares 30 2 2 4 2 5" xfId="1583" xr:uid="{97348DAD-1738-468F-AB55-C66B30BBC1AF}"/>
    <cellStyle name="Millares 30 2 2 4 3" xfId="318" xr:uid="{6FC4308C-A59C-4F00-80B5-749F4AFFBE6A}"/>
    <cellStyle name="Millares 30 2 2 4 3 2" xfId="657" xr:uid="{41FB2F72-60BD-4741-B199-DAE8EA3113FB}"/>
    <cellStyle name="Millares 30 2 2 4 3 2 2" xfId="1328" xr:uid="{06DD3EC3-BE58-4C8B-8320-BE58AA164C83}"/>
    <cellStyle name="Millares 30 2 2 4 3 2 2 2" xfId="2663" xr:uid="{58D94C42-B920-4F95-9D7D-1F9B01481AB4}"/>
    <cellStyle name="Millares 30 2 2 4 3 2 3" xfId="1999" xr:uid="{ED81D7A5-6807-463D-BAF5-E6371DB8C49A}"/>
    <cellStyle name="Millares 30 2 2 4 3 3" xfId="996" xr:uid="{4ADC8005-A0F7-43F7-A4F0-9DEE0E1D68C0}"/>
    <cellStyle name="Millares 30 2 2 4 3 3 2" xfId="2331" xr:uid="{EC923722-2C5D-4AE6-AAA3-B797FC687974}"/>
    <cellStyle name="Millares 30 2 2 4 3 4" xfId="1667" xr:uid="{0F43FF37-4A2E-48E0-8A46-41A67218E48F}"/>
    <cellStyle name="Millares 30 2 2 4 4" xfId="491" xr:uid="{386DB9DE-D614-4D22-99BC-F7988D035711}"/>
    <cellStyle name="Millares 30 2 2 4 4 2" xfId="1162" xr:uid="{060E4190-5FB3-4D37-BD46-BF75316A3069}"/>
    <cellStyle name="Millares 30 2 2 4 4 2 2" xfId="2497" xr:uid="{A521D6FE-B605-46CB-ABAB-5AFC7FB4D78A}"/>
    <cellStyle name="Millares 30 2 2 4 4 3" xfId="1833" xr:uid="{35781F34-81D0-4C11-B445-B30A038CFC2D}"/>
    <cellStyle name="Millares 30 2 2 4 5" xfId="830" xr:uid="{4F4D7F60-4475-4928-A17F-643F25EEE4D6}"/>
    <cellStyle name="Millares 30 2 2 4 5 2" xfId="2165" xr:uid="{C00FD3DA-8D00-4E3E-8294-765B6E044200}"/>
    <cellStyle name="Millares 30 2 2 4 6" xfId="1501" xr:uid="{6377A01A-1B93-44E7-8B35-A4EC61DA252E}"/>
    <cellStyle name="Millares 30 2 2 5" xfId="174" xr:uid="{ED4812C0-3A16-46D0-A2A9-119813A8982A}"/>
    <cellStyle name="Millares 30 2 2 5 2" xfId="360" xr:uid="{8307F1DD-8468-4937-8E5D-BE23D6F0216D}"/>
    <cellStyle name="Millares 30 2 2 5 2 2" xfId="699" xr:uid="{040E95A6-CDFF-44BE-9C56-193AF34B1F48}"/>
    <cellStyle name="Millares 30 2 2 5 2 2 2" xfId="1370" xr:uid="{6C0D5AB1-F24A-4F8A-A2A6-8F76CEFD3B3A}"/>
    <cellStyle name="Millares 30 2 2 5 2 2 2 2" xfId="2705" xr:uid="{A4B694E9-6E7D-49F6-A257-999708087D41}"/>
    <cellStyle name="Millares 30 2 2 5 2 2 3" xfId="2041" xr:uid="{424194A3-9BF6-4807-B953-D89001DC5289}"/>
    <cellStyle name="Millares 30 2 2 5 2 3" xfId="1038" xr:uid="{A17B477D-B584-419A-A63A-04AA4A88D632}"/>
    <cellStyle name="Millares 30 2 2 5 2 3 2" xfId="2373" xr:uid="{2157DD4A-B4C3-408D-8686-DBDC97243BAF}"/>
    <cellStyle name="Millares 30 2 2 5 2 4" xfId="1709" xr:uid="{406265BF-F31A-45FF-A88F-9C06C2363B1D}"/>
    <cellStyle name="Millares 30 2 2 5 3" xfId="533" xr:uid="{016BEBB6-FA87-4931-BBC6-AE7C55E1314D}"/>
    <cellStyle name="Millares 30 2 2 5 3 2" xfId="1204" xr:uid="{C0F4BE24-4780-49EC-929C-283CF090DDF7}"/>
    <cellStyle name="Millares 30 2 2 5 3 2 2" xfId="2539" xr:uid="{DABBEA53-BC94-4C2E-802D-57586DC93D91}"/>
    <cellStyle name="Millares 30 2 2 5 3 3" xfId="1875" xr:uid="{2FCCDAEE-7602-4CE2-978F-C986E5327D2A}"/>
    <cellStyle name="Millares 30 2 2 5 4" xfId="872" xr:uid="{287AF4C6-87CD-45C8-B774-C4EFCD08B82B}"/>
    <cellStyle name="Millares 30 2 2 5 4 2" xfId="2207" xr:uid="{4F40E90A-B119-4E18-90BC-6CE2B37DEEBB}"/>
    <cellStyle name="Millares 30 2 2 5 5" xfId="1543" xr:uid="{5F162DC6-690C-408D-B76B-777E4CC0D2AE}"/>
    <cellStyle name="Millares 30 2 2 6" xfId="263" xr:uid="{ED8B83F7-A7FD-4EED-A6CD-22CDC000AC55}"/>
    <cellStyle name="Millares 30 2 2 7" xfId="278" xr:uid="{26DADE29-63FA-44A1-A291-53D871DF5016}"/>
    <cellStyle name="Millares 30 2 2 7 2" xfId="617" xr:uid="{5533FC44-0E84-43B0-BC85-D2577A57CD3F}"/>
    <cellStyle name="Millares 30 2 2 7 2 2" xfId="1288" xr:uid="{590F5C89-70C7-4400-B051-5ACD6E4D5B29}"/>
    <cellStyle name="Millares 30 2 2 7 2 2 2" xfId="2623" xr:uid="{7DAF4812-AE85-4E94-8C1A-EF4FDC54DB4B}"/>
    <cellStyle name="Millares 30 2 2 7 2 3" xfId="1959" xr:uid="{1DFEFDE6-1EE5-4A71-B1C8-420F104570D4}"/>
    <cellStyle name="Millares 30 2 2 7 3" xfId="956" xr:uid="{36BDC061-B903-4EB3-AF39-71906D3C9E9D}"/>
    <cellStyle name="Millares 30 2 2 7 3 2" xfId="2291" xr:uid="{98D17566-5332-46B2-978C-679789FB994E}"/>
    <cellStyle name="Millares 30 2 2 7 4" xfId="1627" xr:uid="{4AE210A4-F4FF-4EE3-BB31-E7F34EE7C67C}"/>
    <cellStyle name="Millares 30 2 2 8" xfId="451" xr:uid="{9ECD616E-38E1-42EF-80AD-6D27000C3F0F}"/>
    <cellStyle name="Millares 30 2 2 8 2" xfId="1122" xr:uid="{938DBE80-913E-441A-A327-B41094938830}"/>
    <cellStyle name="Millares 30 2 2 8 2 2" xfId="2457" xr:uid="{CEAA69F1-F7FA-42DA-B47B-32B829CC197E}"/>
    <cellStyle name="Millares 30 2 2 8 3" xfId="1793" xr:uid="{5C3F066D-68E4-4CC5-8C33-4C4864E52AB1}"/>
    <cellStyle name="Millares 30 2 2 9" xfId="790" xr:uid="{B9887265-30E9-4EDE-831C-A670E44C079B}"/>
    <cellStyle name="Millares 30 2 2 9 2" xfId="2125" xr:uid="{F0D37D98-5472-43C1-9A35-852AD01B2603}"/>
    <cellStyle name="Millares 4" xfId="80" xr:uid="{5EC23E16-48F6-4A97-84A2-C90616D21F43}"/>
    <cellStyle name="Millares 4 2" xfId="107" xr:uid="{75BD1DF1-BA5A-4175-B3E4-67E1C36CB713}"/>
    <cellStyle name="Millares 4 2 2" xfId="155" xr:uid="{185C28D4-C8EA-4589-8C0B-CF582C11821A}"/>
    <cellStyle name="Millares 4 2 2 2" xfId="244" xr:uid="{EB37E041-2247-4CBF-B6A4-23023D7A35A5}"/>
    <cellStyle name="Millares 4 2 2 2 2" xfId="430" xr:uid="{CF6AD9C7-335B-425B-91FC-6DE4B7B81C34}"/>
    <cellStyle name="Millares 4 2 2 2 2 2" xfId="769" xr:uid="{CA3D60A4-441C-44CB-994E-E0958F5AFD7E}"/>
    <cellStyle name="Millares 4 2 2 2 2 2 2" xfId="1440" xr:uid="{A39D59E4-9D58-495A-BF52-137A85E4825B}"/>
    <cellStyle name="Millares 4 2 2 2 2 2 2 2" xfId="2775" xr:uid="{9D31A460-7107-4EAA-AF2F-CB7C9FF8A463}"/>
    <cellStyle name="Millares 4 2 2 2 2 2 3" xfId="2111" xr:uid="{C36D7FF2-8038-4211-9C1B-277FDD8C5ED9}"/>
    <cellStyle name="Millares 4 2 2 2 2 3" xfId="1108" xr:uid="{B465D30A-7139-4533-82FC-8E9373E46534}"/>
    <cellStyle name="Millares 4 2 2 2 2 3 2" xfId="2443" xr:uid="{85EC7331-F8F0-428F-8DDC-3AA0A8912C36}"/>
    <cellStyle name="Millares 4 2 2 2 2 4" xfId="1779" xr:uid="{98915A7F-46D0-479F-B778-35BF94B37AF2}"/>
    <cellStyle name="Millares 4 2 2 2 3" xfId="603" xr:uid="{FE13EAC5-0AB3-4D80-8B5E-5F6E2FF16E58}"/>
    <cellStyle name="Millares 4 2 2 2 3 2" xfId="1274" xr:uid="{6058F022-D6AA-476B-AB81-143F81EFDF27}"/>
    <cellStyle name="Millares 4 2 2 2 3 2 2" xfId="2609" xr:uid="{4C377007-C527-4E3B-AC2B-AE23558720F9}"/>
    <cellStyle name="Millares 4 2 2 2 3 3" xfId="1945" xr:uid="{E2CE1475-82DA-4B83-816E-C4F3121595C5}"/>
    <cellStyle name="Millares 4 2 2 2 4" xfId="942" xr:uid="{EE7B4A97-9037-4032-B60D-94506A24666C}"/>
    <cellStyle name="Millares 4 2 2 2 4 2" xfId="2277" xr:uid="{DA45CDF9-0678-4F60-AEBC-150882416FA2}"/>
    <cellStyle name="Millares 4 2 2 2 5" xfId="1613" xr:uid="{034FCFD3-8348-4E33-B0E3-B43368E349EF}"/>
    <cellStyle name="Millares 4 2 2 3" xfId="348" xr:uid="{ADA88B03-535D-4118-AD18-BE60BDBDDE1D}"/>
    <cellStyle name="Millares 4 2 2 3 2" xfId="687" xr:uid="{2D74339C-A737-437F-9159-6F26DF072212}"/>
    <cellStyle name="Millares 4 2 2 3 2 2" xfId="1358" xr:uid="{76304979-BDB6-408B-9314-8497A1500BFB}"/>
    <cellStyle name="Millares 4 2 2 3 2 2 2" xfId="2693" xr:uid="{1977ED69-2003-42DD-AC60-5ABDB9F4972A}"/>
    <cellStyle name="Millares 4 2 2 3 2 3" xfId="2029" xr:uid="{0795938F-CB60-42DC-A73F-5518F361D68A}"/>
    <cellStyle name="Millares 4 2 2 3 3" xfId="1026" xr:uid="{932426CC-93F9-4E3C-BD81-F3E5FA9F7F0C}"/>
    <cellStyle name="Millares 4 2 2 3 3 2" xfId="2361" xr:uid="{DE718F1A-F9D3-40E0-9DD5-6527AC3D2346}"/>
    <cellStyle name="Millares 4 2 2 3 4" xfId="1697" xr:uid="{99BE6AEA-FAAF-4776-AC07-A464A5F18296}"/>
    <cellStyle name="Millares 4 2 2 4" xfId="521" xr:uid="{4C1DD73C-0EFC-49F4-87F8-E9F21B77FE87}"/>
    <cellStyle name="Millares 4 2 2 4 2" xfId="1192" xr:uid="{8D292F96-1372-423E-AFAB-6441268B5E61}"/>
    <cellStyle name="Millares 4 2 2 4 2 2" xfId="2527" xr:uid="{41DA6406-22A7-4CB4-A35D-E56B2A386729}"/>
    <cellStyle name="Millares 4 2 2 4 3" xfId="1863" xr:uid="{0306F4C6-BE1A-4682-B333-9C5EC06E2D6F}"/>
    <cellStyle name="Millares 4 2 2 5" xfId="860" xr:uid="{C0A4A3B8-BDE1-4872-AEEE-037C62AF0596}"/>
    <cellStyle name="Millares 4 2 2 5 2" xfId="2195" xr:uid="{56376823-00C0-4488-A8AC-A190FBF9799E}"/>
    <cellStyle name="Millares 4 2 2 6" xfId="1531" xr:uid="{880C390A-C3B1-4AE3-B594-DA68A4904295}"/>
    <cellStyle name="Millares 4 2 3" xfId="204" xr:uid="{E1839B03-2B9A-45E0-8745-B5AFD8DE0B72}"/>
    <cellStyle name="Millares 4 2 3 2" xfId="390" xr:uid="{CDE53149-BC76-49C9-B9FA-42CC26CB3D20}"/>
    <cellStyle name="Millares 4 2 3 2 2" xfId="729" xr:uid="{40A3D992-48ED-4514-8A23-B514B828A80A}"/>
    <cellStyle name="Millares 4 2 3 2 2 2" xfId="1400" xr:uid="{AB4C5A8C-DA89-4950-883B-D61F9B8AA21B}"/>
    <cellStyle name="Millares 4 2 3 2 2 2 2" xfId="2735" xr:uid="{96DCCAA2-18A1-428B-A8AC-F8AB1BFFF1CC}"/>
    <cellStyle name="Millares 4 2 3 2 2 3" xfId="2071" xr:uid="{EEC80093-CC18-488F-80EF-D45FE44DA653}"/>
    <cellStyle name="Millares 4 2 3 2 3" xfId="1068" xr:uid="{2FF0EB78-DD8D-4167-9614-9E4EF35A8E1B}"/>
    <cellStyle name="Millares 4 2 3 2 3 2" xfId="2403" xr:uid="{16EBAA34-337B-4C29-BC0A-8D28F53179B4}"/>
    <cellStyle name="Millares 4 2 3 2 4" xfId="1739" xr:uid="{B7C5EF85-D4BC-469C-8447-3F4C86308DB8}"/>
    <cellStyle name="Millares 4 2 3 3" xfId="563" xr:uid="{A3DA758E-785D-4EA5-9C4B-B37D8AF30E31}"/>
    <cellStyle name="Millares 4 2 3 3 2" xfId="1234" xr:uid="{FD94A040-7B67-41A0-A28D-A5D3000E49DE}"/>
    <cellStyle name="Millares 4 2 3 3 2 2" xfId="2569" xr:uid="{3B0AD302-55F8-44AF-A31B-E32EB53F1D1C}"/>
    <cellStyle name="Millares 4 2 3 3 3" xfId="1905" xr:uid="{ECCF4A87-DF5A-4145-887B-35E0552C4A57}"/>
    <cellStyle name="Millares 4 2 3 4" xfId="902" xr:uid="{BA1783A3-8E86-4EF3-A1FF-A03D2999515D}"/>
    <cellStyle name="Millares 4 2 3 4 2" xfId="2237" xr:uid="{8892B2A9-FDCB-4DD4-AB2A-CCF5DF8D7334}"/>
    <cellStyle name="Millares 4 2 3 5" xfId="1573" xr:uid="{FECCA0BC-4799-47EC-9875-1EE126431AF4}"/>
    <cellStyle name="Millares 4 2 4" xfId="308" xr:uid="{0758FBA1-B1D3-4DFA-8B48-62F0C4EC1C6D}"/>
    <cellStyle name="Millares 4 2 4 2" xfId="647" xr:uid="{BC0CF262-2EF5-4E5B-8368-3FE625143252}"/>
    <cellStyle name="Millares 4 2 4 2 2" xfId="1318" xr:uid="{4EDA7609-9C13-4DF2-8783-65A76182E431}"/>
    <cellStyle name="Millares 4 2 4 2 2 2" xfId="2653" xr:uid="{65139F85-B666-47ED-B6BB-7CE22634969E}"/>
    <cellStyle name="Millares 4 2 4 2 3" xfId="1989" xr:uid="{EE3C27E6-08B7-4F45-AC7B-53466472E2BB}"/>
    <cellStyle name="Millares 4 2 4 3" xfId="986" xr:uid="{8F2A1E18-9107-41ED-AE37-77459301D0BC}"/>
    <cellStyle name="Millares 4 2 4 3 2" xfId="2321" xr:uid="{DC4B4D77-0962-4F4A-8E4C-3B4EF552C247}"/>
    <cellStyle name="Millares 4 2 4 4" xfId="1657" xr:uid="{18C3C4C2-20C3-4105-902C-F3D20F9EEBAE}"/>
    <cellStyle name="Millares 4 2 5" xfId="481" xr:uid="{126C7A7F-8BF3-44A8-AD25-9CCC342DB9F7}"/>
    <cellStyle name="Millares 4 2 5 2" xfId="1152" xr:uid="{032EE361-42E8-42C5-ADED-463FCBF650E1}"/>
    <cellStyle name="Millares 4 2 5 2 2" xfId="2487" xr:uid="{512F0068-8EC8-4F68-91B1-A463FCC60206}"/>
    <cellStyle name="Millares 4 2 5 3" xfId="1823" xr:uid="{826566EE-FC53-4B3E-B431-73250132AF30}"/>
    <cellStyle name="Millares 4 2 6" xfId="820" xr:uid="{0DD49AC9-C24C-4859-8877-DC65C768FD1C}"/>
    <cellStyle name="Millares 4 2 6 2" xfId="2155" xr:uid="{F817BDC8-B7CC-40E9-BEE8-1EC7EE33FB26}"/>
    <cellStyle name="Millares 4 2 7" xfId="1491" xr:uid="{EE83799E-99C5-422D-B20E-9BD48E37FBA0}"/>
    <cellStyle name="Millares 4 3" xfId="136" xr:uid="{F8632201-462B-45AA-BB32-3B4495699DD0}"/>
    <cellStyle name="Millares 4 3 2" xfId="225" xr:uid="{E3803D34-252F-4D34-84CE-A7DEAA622E54}"/>
    <cellStyle name="Millares 4 3 2 2" xfId="411" xr:uid="{CDB68E79-D844-42B8-97E8-41D7CE63B28F}"/>
    <cellStyle name="Millares 4 3 2 2 2" xfId="750" xr:uid="{42D765A6-FB99-48D2-94B6-32C9B693AFB7}"/>
    <cellStyle name="Millares 4 3 2 2 2 2" xfId="1421" xr:uid="{ABB17F26-125F-442F-B633-D8CA536A3744}"/>
    <cellStyle name="Millares 4 3 2 2 2 2 2" xfId="2756" xr:uid="{D0BC9DE2-1EFA-42A9-B8E0-CCB254BF2B14}"/>
    <cellStyle name="Millares 4 3 2 2 2 3" xfId="2092" xr:uid="{AC21AD55-13D2-497E-BB2C-67189253261F}"/>
    <cellStyle name="Millares 4 3 2 2 3" xfId="1089" xr:uid="{7E5E7694-1A58-45D6-B9EF-83BD8F859998}"/>
    <cellStyle name="Millares 4 3 2 2 3 2" xfId="2424" xr:uid="{747BFE1C-97BE-4924-B417-4E23232A1112}"/>
    <cellStyle name="Millares 4 3 2 2 4" xfId="1760" xr:uid="{77435D9B-56B7-4793-BC1F-AB2652CCAB15}"/>
    <cellStyle name="Millares 4 3 2 3" xfId="584" xr:uid="{B193E7B2-95F2-4EB5-943F-4338EF0AF115}"/>
    <cellStyle name="Millares 4 3 2 3 2" xfId="1255" xr:uid="{E0B56824-2723-489D-A328-4CBFCBB17938}"/>
    <cellStyle name="Millares 4 3 2 3 2 2" xfId="2590" xr:uid="{F7A6E626-2156-41E6-AC2E-308665A270B4}"/>
    <cellStyle name="Millares 4 3 2 3 3" xfId="1926" xr:uid="{4A7444B3-BE2D-4B65-83F6-E30A1B962AA0}"/>
    <cellStyle name="Millares 4 3 2 4" xfId="923" xr:uid="{8377F6BE-7F8F-4BC7-9B85-13B833BB6EFD}"/>
    <cellStyle name="Millares 4 3 2 4 2" xfId="2258" xr:uid="{F1C0A3FD-FA71-4D71-ADD4-009DBBBF4027}"/>
    <cellStyle name="Millares 4 3 2 5" xfId="1594" xr:uid="{B839C5F6-B995-4CCD-8116-234A08C31936}"/>
    <cellStyle name="Millares 4 3 3" xfId="329" xr:uid="{DE75F3C1-4A6B-47BA-8FB1-F3D90A3D4BC7}"/>
    <cellStyle name="Millares 4 3 3 2" xfId="668" xr:uid="{FBCFEA89-5E61-4DB0-93E7-1285FDEE82D7}"/>
    <cellStyle name="Millares 4 3 3 2 2" xfId="1339" xr:uid="{8E1DC47E-E25D-4B7A-930F-B0CF96FC9B4C}"/>
    <cellStyle name="Millares 4 3 3 2 2 2" xfId="2674" xr:uid="{5A372093-EE38-4F35-9B33-02AF65FBB382}"/>
    <cellStyle name="Millares 4 3 3 2 3" xfId="2010" xr:uid="{91DBFC70-C0AB-42B2-AEF2-A6730EB78B04}"/>
    <cellStyle name="Millares 4 3 3 3" xfId="1007" xr:uid="{BDC9CAAF-197C-47B5-AF20-D18A3D24BC13}"/>
    <cellStyle name="Millares 4 3 3 3 2" xfId="2342" xr:uid="{73FF7671-2462-445C-8C9D-D502F7AFED39}"/>
    <cellStyle name="Millares 4 3 3 4" xfId="1678" xr:uid="{91697B37-4B75-472C-865D-14C35A888C44}"/>
    <cellStyle name="Millares 4 3 4" xfId="502" xr:uid="{E137FA9A-543F-48DD-A6E7-E21FE680AA04}"/>
    <cellStyle name="Millares 4 3 4 2" xfId="1173" xr:uid="{54329974-65A8-41DD-8F65-FC44DEAC484C}"/>
    <cellStyle name="Millares 4 3 4 2 2" xfId="2508" xr:uid="{36C4FA8C-F06D-45A6-90A0-EB4409705384}"/>
    <cellStyle name="Millares 4 3 4 3" xfId="1844" xr:uid="{055AC454-6840-4575-BED8-A863B2DCA693}"/>
    <cellStyle name="Millares 4 3 5" xfId="841" xr:uid="{566CB903-AA95-4A5A-9CD8-6893BDEAF8DD}"/>
    <cellStyle name="Millares 4 3 5 2" xfId="2176" xr:uid="{41F0CB08-9B19-4E08-883B-BDB37D85451A}"/>
    <cellStyle name="Millares 4 3 6" xfId="1512" xr:uid="{FA4B4B7F-D9B4-45DD-94B2-6092EACF0116}"/>
    <cellStyle name="Millares 4 4" xfId="185" xr:uid="{B8F3D9D4-40BE-4810-8B8D-9149522195E9}"/>
    <cellStyle name="Millares 4 4 2" xfId="371" xr:uid="{B4C1B0FA-CA7B-4CF0-A259-93F6C808D3F1}"/>
    <cellStyle name="Millares 4 4 2 2" xfId="710" xr:uid="{AB9F73A1-D801-4609-8B87-B2FEA674B470}"/>
    <cellStyle name="Millares 4 4 2 2 2" xfId="1381" xr:uid="{B9DD975E-C328-4DB3-946F-636C1E431959}"/>
    <cellStyle name="Millares 4 4 2 2 2 2" xfId="2716" xr:uid="{2EBBDD94-879A-4B45-BBFD-81B26E808498}"/>
    <cellStyle name="Millares 4 4 2 2 3" xfId="2052" xr:uid="{E9FE0D96-6533-4894-A22B-1E72075E344F}"/>
    <cellStyle name="Millares 4 4 2 3" xfId="1049" xr:uid="{6FE50AC9-0E8D-4654-B83C-37C538E5717C}"/>
    <cellStyle name="Millares 4 4 2 3 2" xfId="2384" xr:uid="{709C00DC-C506-4091-BE0D-1AAE712BF086}"/>
    <cellStyle name="Millares 4 4 2 4" xfId="1720" xr:uid="{6CBD204E-DA87-46C0-894C-4B87A6436368}"/>
    <cellStyle name="Millares 4 4 3" xfId="544" xr:uid="{07557865-485F-404E-A151-1645E9A72BB7}"/>
    <cellStyle name="Millares 4 4 3 2" xfId="1215" xr:uid="{E971ACF1-A82F-4159-B8A3-35CBFF66487D}"/>
    <cellStyle name="Millares 4 4 3 2 2" xfId="2550" xr:uid="{E67BD456-7F16-4A72-A337-1D62DA1AB6BE}"/>
    <cellStyle name="Millares 4 4 3 3" xfId="1886" xr:uid="{05879AC0-F4C1-4148-BDAA-6867B1264542}"/>
    <cellStyle name="Millares 4 4 4" xfId="883" xr:uid="{8740B91E-30A1-4097-A286-2A1F70EDAEBF}"/>
    <cellStyle name="Millares 4 4 4 2" xfId="2218" xr:uid="{31E7D737-509D-4806-99B0-C8E749912020}"/>
    <cellStyle name="Millares 4 4 5" xfId="1554" xr:uid="{8A394333-7D31-4B51-8541-654A0882B6BB}"/>
    <cellStyle name="Millares 4 5" xfId="289" xr:uid="{78A6F37E-1735-4991-8A9E-E648CD6C5893}"/>
    <cellStyle name="Millares 4 5 2" xfId="628" xr:uid="{163577A1-7046-4B7A-A50E-F97BA5DD8733}"/>
    <cellStyle name="Millares 4 5 2 2" xfId="1299" xr:uid="{FB8460DF-7540-45FD-9D73-6ED30EBD2B6C}"/>
    <cellStyle name="Millares 4 5 2 2 2" xfId="2634" xr:uid="{03395C1F-9D46-4CE3-B975-DAF457A0CBA1}"/>
    <cellStyle name="Millares 4 5 2 3" xfId="1970" xr:uid="{D43072F5-DDF9-4908-9CDD-006844A54FBE}"/>
    <cellStyle name="Millares 4 5 3" xfId="967" xr:uid="{C409D8B4-CF9B-4B3E-B57A-F253D3D64E17}"/>
    <cellStyle name="Millares 4 5 3 2" xfId="2302" xr:uid="{6062ADB0-9A6C-4CAF-BFC8-D905AE16A3FA}"/>
    <cellStyle name="Millares 4 5 4" xfId="1638" xr:uid="{EA182601-7585-4535-BB56-5F22E0ABBB72}"/>
    <cellStyle name="Millares 4 6" xfId="462" xr:uid="{AD2D06F2-74DC-4235-A602-EC7E6AD54B3F}"/>
    <cellStyle name="Millares 4 6 2" xfId="1133" xr:uid="{D6B8AB82-BD3A-4CC4-8DF0-012A189E6CEA}"/>
    <cellStyle name="Millares 4 6 2 2" xfId="2468" xr:uid="{746643D4-ADEE-41FA-92EC-A5301BEDBF21}"/>
    <cellStyle name="Millares 4 6 3" xfId="1804" xr:uid="{B3DCD1DD-FD84-4D4A-AFD4-D6FDFDF13660}"/>
    <cellStyle name="Millares 4 7" xfId="801" xr:uid="{4226FB23-4BC7-46CB-83BE-F8A5573B3630}"/>
    <cellStyle name="Millares 4 7 2" xfId="2136" xr:uid="{507C22D3-3831-4A97-8BE0-7D3A5FCF9D41}"/>
    <cellStyle name="Millares 4 8" xfId="1472" xr:uid="{D24E30DC-EF66-4CB5-A873-B66E9DF8E9C6}"/>
    <cellStyle name="Millares 5" xfId="64" xr:uid="{3D0EC052-83D8-46C4-8F66-97A3CA69BAF1}"/>
    <cellStyle name="Millares 5 2" xfId="99" xr:uid="{64A80E02-74C1-4BB2-AD66-CD91A833315F}"/>
    <cellStyle name="Millares 5 2 2" xfId="147" xr:uid="{38FC9DFD-2B41-4DF4-8B01-127A7054800C}"/>
    <cellStyle name="Millares 5 2 2 2" xfId="236" xr:uid="{0C1A8F26-0B57-4904-8773-E07CF1534DD5}"/>
    <cellStyle name="Millares 5 2 2 2 2" xfId="422" xr:uid="{FC017FCE-70FA-400C-AD61-1FA4676E1ADA}"/>
    <cellStyle name="Millares 5 2 2 2 2 2" xfId="761" xr:uid="{02B1DA9A-2759-4B63-B197-1D8E6847BD76}"/>
    <cellStyle name="Millares 5 2 2 2 2 2 2" xfId="1432" xr:uid="{96FD8CC7-B33C-405A-BA3D-80A647929EAF}"/>
    <cellStyle name="Millares 5 2 2 2 2 2 2 2" xfId="2767" xr:uid="{3E55BEE1-F019-4277-B687-89260E5427F9}"/>
    <cellStyle name="Millares 5 2 2 2 2 2 3" xfId="2103" xr:uid="{465150EB-6C4D-409A-BEE0-2EB221DBD14B}"/>
    <cellStyle name="Millares 5 2 2 2 2 3" xfId="1100" xr:uid="{C21DB54A-4771-4AEB-BFEA-2CF5E1D32F9C}"/>
    <cellStyle name="Millares 5 2 2 2 2 3 2" xfId="2435" xr:uid="{1526046C-B6EE-47D5-B3C5-97F615EE5077}"/>
    <cellStyle name="Millares 5 2 2 2 2 4" xfId="1771" xr:uid="{3CE772AD-223C-4AD5-A352-C6C4A0E0EC0B}"/>
    <cellStyle name="Millares 5 2 2 2 3" xfId="595" xr:uid="{512BA998-14E6-43BE-A86E-947A35A88F22}"/>
    <cellStyle name="Millares 5 2 2 2 3 2" xfId="1266" xr:uid="{AD195992-0019-4E62-A17D-B2FE5C042854}"/>
    <cellStyle name="Millares 5 2 2 2 3 2 2" xfId="2601" xr:uid="{3FA7C502-2E00-42B8-95F1-057140664742}"/>
    <cellStyle name="Millares 5 2 2 2 3 3" xfId="1937" xr:uid="{88DF1754-2651-4E58-B208-1FDFEFAA2260}"/>
    <cellStyle name="Millares 5 2 2 2 4" xfId="934" xr:uid="{64D1A14A-A434-4F5D-ADE0-F1FD4511FD70}"/>
    <cellStyle name="Millares 5 2 2 2 4 2" xfId="2269" xr:uid="{5C66DB6B-DBCB-46CF-8C1D-F29848E5EE58}"/>
    <cellStyle name="Millares 5 2 2 2 5" xfId="1605" xr:uid="{6509A136-BCD9-475B-A27D-2F32B48BF84F}"/>
    <cellStyle name="Millares 5 2 2 3" xfId="340" xr:uid="{516A1A55-EE51-4492-8EE9-5A448E2B46B9}"/>
    <cellStyle name="Millares 5 2 2 3 2" xfId="679" xr:uid="{BFB12D73-B5CB-4624-AE72-C9F083BA9D61}"/>
    <cellStyle name="Millares 5 2 2 3 2 2" xfId="1350" xr:uid="{D486E2D8-9BB1-4EA1-A927-4BBDC4903639}"/>
    <cellStyle name="Millares 5 2 2 3 2 2 2" xfId="2685" xr:uid="{64C2343A-8903-421A-85EC-2EF5C49FDA0D}"/>
    <cellStyle name="Millares 5 2 2 3 2 3" xfId="2021" xr:uid="{85FB745A-F1DC-4DFC-8B19-47683E1A563E}"/>
    <cellStyle name="Millares 5 2 2 3 3" xfId="1018" xr:uid="{271F25A8-B013-442A-AA8D-FA0223725CD5}"/>
    <cellStyle name="Millares 5 2 2 3 3 2" xfId="2353" xr:uid="{C024FD8E-4A12-48B7-A8AE-9D91EC6E5B89}"/>
    <cellStyle name="Millares 5 2 2 3 4" xfId="1689" xr:uid="{4B716A4E-0EA4-4A7C-84A5-4D9BFFC05534}"/>
    <cellStyle name="Millares 5 2 2 4" xfId="513" xr:uid="{36B4444F-9B2D-43BC-9969-975C914465C0}"/>
    <cellStyle name="Millares 5 2 2 4 2" xfId="1184" xr:uid="{77C06FA8-1D1D-4093-BF38-7333091C3041}"/>
    <cellStyle name="Millares 5 2 2 4 2 2" xfId="2519" xr:uid="{933ED53F-2A62-4D2C-AD66-468A20816864}"/>
    <cellStyle name="Millares 5 2 2 4 3" xfId="1855" xr:uid="{282D6E78-C661-4B46-B092-CB9803A929CA}"/>
    <cellStyle name="Millares 5 2 2 5" xfId="852" xr:uid="{EFF925BA-350C-489E-B684-1E4B842DFE6C}"/>
    <cellStyle name="Millares 5 2 2 5 2" xfId="2187" xr:uid="{8C5B1FC6-889D-43AE-8342-5723B12946E7}"/>
    <cellStyle name="Millares 5 2 2 6" xfId="1523" xr:uid="{3351A4FD-C183-4198-843B-455B6AB8A9A8}"/>
    <cellStyle name="Millares 5 2 3" xfId="196" xr:uid="{20B09177-85E0-44D9-B648-2CCE1E3CEC7F}"/>
    <cellStyle name="Millares 5 2 3 2" xfId="382" xr:uid="{D7E4972B-1657-44D7-B405-4D7C74BD3A1A}"/>
    <cellStyle name="Millares 5 2 3 2 2" xfId="721" xr:uid="{1BEC4F96-A7BA-4CD0-AA3F-AE8F37A2B80E}"/>
    <cellStyle name="Millares 5 2 3 2 2 2" xfId="1392" xr:uid="{C80AB7CD-B838-48DA-9A7A-74D283DB4E1E}"/>
    <cellStyle name="Millares 5 2 3 2 2 2 2" xfId="2727" xr:uid="{5676AE32-500C-4358-AFFB-72AB568ED299}"/>
    <cellStyle name="Millares 5 2 3 2 2 3" xfId="2063" xr:uid="{74E179B8-0489-4F66-88C7-EC7E430906F7}"/>
    <cellStyle name="Millares 5 2 3 2 3" xfId="1060" xr:uid="{429F1AA6-4A2A-4333-A617-36DFE9B1BB16}"/>
    <cellStyle name="Millares 5 2 3 2 3 2" xfId="2395" xr:uid="{10840C6B-AC0E-4A46-B3E4-E6BCF3256512}"/>
    <cellStyle name="Millares 5 2 3 2 4" xfId="1731" xr:uid="{6B1890CF-5CAB-436C-9055-5BD76EE9BAEA}"/>
    <cellStyle name="Millares 5 2 3 3" xfId="555" xr:uid="{363503D9-62DC-43A9-8FC9-8CA49A8A6030}"/>
    <cellStyle name="Millares 5 2 3 3 2" xfId="1226" xr:uid="{A6FC52C2-5719-4616-A3D3-5DFAF0D1F71C}"/>
    <cellStyle name="Millares 5 2 3 3 2 2" xfId="2561" xr:uid="{6ECEDE66-5B74-480B-A8A8-F7AA51247384}"/>
    <cellStyle name="Millares 5 2 3 3 3" xfId="1897" xr:uid="{6551A192-6964-4648-A760-17CB4E3FE090}"/>
    <cellStyle name="Millares 5 2 3 4" xfId="894" xr:uid="{899A06D4-134C-4AB7-B7C2-5C08F8C06D20}"/>
    <cellStyle name="Millares 5 2 3 4 2" xfId="2229" xr:uid="{56806C28-F3D1-43DA-9C7B-563560570B8E}"/>
    <cellStyle name="Millares 5 2 3 5" xfId="1565" xr:uid="{5BEBDE07-8124-45C8-8F65-8C1CCB2E37A5}"/>
    <cellStyle name="Millares 5 2 4" xfId="300" xr:uid="{4BE8128A-3216-4ACF-92C4-C1E8BE1509FB}"/>
    <cellStyle name="Millares 5 2 4 2" xfId="639" xr:uid="{A2BBFAD1-8507-4AAB-90C4-6A17D6938B51}"/>
    <cellStyle name="Millares 5 2 4 2 2" xfId="1310" xr:uid="{D3D7C88E-C6CA-46BB-9C69-081EF5154C6B}"/>
    <cellStyle name="Millares 5 2 4 2 2 2" xfId="2645" xr:uid="{3C3589AF-FCA5-4935-8429-B512E07FE3EF}"/>
    <cellStyle name="Millares 5 2 4 2 3" xfId="1981" xr:uid="{D65124E5-E611-48B7-B08B-6531FBDED29B}"/>
    <cellStyle name="Millares 5 2 4 3" xfId="978" xr:uid="{84AAC489-FD9C-46B3-8DD0-1C91F0303F2A}"/>
    <cellStyle name="Millares 5 2 4 3 2" xfId="2313" xr:uid="{36EAD143-2C3E-4C6B-A931-0C022E53B85F}"/>
    <cellStyle name="Millares 5 2 4 4" xfId="1649" xr:uid="{691C7785-4B7D-4BA5-9903-5C13A612C84E}"/>
    <cellStyle name="Millares 5 2 5" xfId="473" xr:uid="{54E40A6A-78ED-407D-B832-97A19C9721F7}"/>
    <cellStyle name="Millares 5 2 5 2" xfId="1144" xr:uid="{9ED47915-F6D2-4FA8-B112-09A047B1850A}"/>
    <cellStyle name="Millares 5 2 5 2 2" xfId="2479" xr:uid="{A0C962A7-74E1-4C80-8D9D-C72C4E498828}"/>
    <cellStyle name="Millares 5 2 5 3" xfId="1815" xr:uid="{235B4F42-9F59-46D5-85F4-702632655A79}"/>
    <cellStyle name="Millares 5 2 6" xfId="812" xr:uid="{CEB46A1D-AA30-489C-97CB-B5CCA3EC02E7}"/>
    <cellStyle name="Millares 5 2 6 2" xfId="2147" xr:uid="{5401DEC6-70AD-4149-84E9-9EFA12DB7847}"/>
    <cellStyle name="Millares 5 2 7" xfId="1483" xr:uid="{58442049-8234-4D27-9A98-CAF35E10AB99}"/>
    <cellStyle name="Millares 5 3" xfId="128" xr:uid="{4446A2BB-9BB7-496C-B906-A8CD3165582E}"/>
    <cellStyle name="Millares 5 3 2" xfId="217" xr:uid="{570EBEAC-475B-496A-8B38-F157FE3B1114}"/>
    <cellStyle name="Millares 5 3 2 2" xfId="403" xr:uid="{A9549C3A-1379-487E-A139-9B441CE895AB}"/>
    <cellStyle name="Millares 5 3 2 2 2" xfId="742" xr:uid="{2157D8AC-DDBC-47C0-89AB-7B0FB70D1C38}"/>
    <cellStyle name="Millares 5 3 2 2 2 2" xfId="1413" xr:uid="{8F97860B-E11C-4D57-A25E-0F58F4BA0507}"/>
    <cellStyle name="Millares 5 3 2 2 2 2 2" xfId="2748" xr:uid="{E5DD3716-335A-42F8-9FBF-BDF9B4FF5915}"/>
    <cellStyle name="Millares 5 3 2 2 2 3" xfId="2084" xr:uid="{F19D9B79-5AF0-464B-9D3E-599CF1D9433E}"/>
    <cellStyle name="Millares 5 3 2 2 3" xfId="1081" xr:uid="{0499096E-418D-4013-A3E9-54F1603D1B65}"/>
    <cellStyle name="Millares 5 3 2 2 3 2" xfId="2416" xr:uid="{58788465-DA85-4709-A439-25DB6C7DD7F0}"/>
    <cellStyle name="Millares 5 3 2 2 4" xfId="1752" xr:uid="{90272B19-F213-485D-8D1E-321100FFA175}"/>
    <cellStyle name="Millares 5 3 2 3" xfId="576" xr:uid="{AB4B83EA-E9C1-4894-9ADF-77D0B16DF4DA}"/>
    <cellStyle name="Millares 5 3 2 3 2" xfId="1247" xr:uid="{7F71928E-8792-41D8-B3D8-A4CF0A1D10BF}"/>
    <cellStyle name="Millares 5 3 2 3 2 2" xfId="2582" xr:uid="{B5372BD3-F8E2-4C06-A743-0B362D55FADD}"/>
    <cellStyle name="Millares 5 3 2 3 3" xfId="1918" xr:uid="{D2381F3D-2B77-4482-ABBC-EF63A0921CA8}"/>
    <cellStyle name="Millares 5 3 2 4" xfId="915" xr:uid="{4494A4E0-CBA3-4D5D-B4EC-E3F471FDF63A}"/>
    <cellStyle name="Millares 5 3 2 4 2" xfId="2250" xr:uid="{9E16E29E-77C1-41D8-BD6F-FFC7785F9C1B}"/>
    <cellStyle name="Millares 5 3 2 5" xfId="1586" xr:uid="{DE056AF8-8A50-4560-AFE9-6B4B6B6328AF}"/>
    <cellStyle name="Millares 5 3 3" xfId="321" xr:uid="{816C5D36-BCCF-4408-A0F7-251E1427FCC9}"/>
    <cellStyle name="Millares 5 3 3 2" xfId="660" xr:uid="{621DBDAD-923E-4F6C-AAB7-E71544E84343}"/>
    <cellStyle name="Millares 5 3 3 2 2" xfId="1331" xr:uid="{FAC7457C-FE99-4B62-B37B-18BAA81B64E9}"/>
    <cellStyle name="Millares 5 3 3 2 2 2" xfId="2666" xr:uid="{5DCC8257-65DE-4E1F-A3E0-5DDC264F6681}"/>
    <cellStyle name="Millares 5 3 3 2 3" xfId="2002" xr:uid="{25046B10-44E1-42F0-AF6E-F9037E508DDD}"/>
    <cellStyle name="Millares 5 3 3 3" xfId="999" xr:uid="{CB398C76-3EFD-40DC-98DF-395199339B45}"/>
    <cellStyle name="Millares 5 3 3 3 2" xfId="2334" xr:uid="{BAF9845B-F73A-45F2-8450-791B04953C9F}"/>
    <cellStyle name="Millares 5 3 3 4" xfId="1670" xr:uid="{C6BAEF3E-CC2F-4D5C-869E-F1D18154B15B}"/>
    <cellStyle name="Millares 5 3 4" xfId="494" xr:uid="{EB3EB292-82DC-4275-BC9A-81228629D5B4}"/>
    <cellStyle name="Millares 5 3 4 2" xfId="1165" xr:uid="{1161FDFB-BAE3-4163-A308-542A7B207005}"/>
    <cellStyle name="Millares 5 3 4 2 2" xfId="2500" xr:uid="{E6C5EF89-274F-4CCA-8048-C9F7A60EC93E}"/>
    <cellStyle name="Millares 5 3 4 3" xfId="1836" xr:uid="{FACE3CAA-0ADF-4CF7-98BD-7F74182174EA}"/>
    <cellStyle name="Millares 5 3 5" xfId="833" xr:uid="{2A01ED5F-952B-4567-847C-104B45CF4ACA}"/>
    <cellStyle name="Millares 5 3 5 2" xfId="2168" xr:uid="{DB102BD2-0D11-4E98-97D3-CF0022E13E40}"/>
    <cellStyle name="Millares 5 3 6" xfId="1504" xr:uid="{07E60F6D-0F61-4566-AA42-DB00B2427408}"/>
    <cellStyle name="Millares 5 4" xfId="177" xr:uid="{89BAA5AA-DE46-4DF8-B626-68A208C7648B}"/>
    <cellStyle name="Millares 5 4 2" xfId="363" xr:uid="{E9B56A68-40D4-4D9E-9868-083BEA94D3F6}"/>
    <cellStyle name="Millares 5 4 2 2" xfId="702" xr:uid="{CF6C1DBB-EEAE-47AA-B57B-A3B6DABAB968}"/>
    <cellStyle name="Millares 5 4 2 2 2" xfId="1373" xr:uid="{715AF840-AF69-4B34-99F7-C01BB9351194}"/>
    <cellStyle name="Millares 5 4 2 2 2 2" xfId="2708" xr:uid="{BAC3F023-0ECC-4555-B660-C04F81A61D13}"/>
    <cellStyle name="Millares 5 4 2 2 3" xfId="2044" xr:uid="{B2A422ED-BF55-4244-98B1-527A8748B25C}"/>
    <cellStyle name="Millares 5 4 2 3" xfId="1041" xr:uid="{96AF2A51-55B9-4E69-B5F8-5C28DA6D4253}"/>
    <cellStyle name="Millares 5 4 2 3 2" xfId="2376" xr:uid="{E55E06EC-7869-4C9D-90D8-72B6423B2C0A}"/>
    <cellStyle name="Millares 5 4 2 4" xfId="1712" xr:uid="{1AB0D517-BB3C-4466-9C89-90800FED7D08}"/>
    <cellStyle name="Millares 5 4 3" xfId="536" xr:uid="{81EBD95A-3E3E-441C-A8FE-F5E215136CBB}"/>
    <cellStyle name="Millares 5 4 3 2" xfId="1207" xr:uid="{8F73F6BC-CB02-4A49-85CD-A7CD00E15E8E}"/>
    <cellStyle name="Millares 5 4 3 2 2" xfId="2542" xr:uid="{0BB3C799-99EE-4A83-8F5A-8EBEE314A546}"/>
    <cellStyle name="Millares 5 4 3 3" xfId="1878" xr:uid="{70C957A4-4FF0-49D8-A4F1-23F75BBC6133}"/>
    <cellStyle name="Millares 5 4 4" xfId="875" xr:uid="{1C3BC44E-C312-4CA2-8628-FE6026EF8F24}"/>
    <cellStyle name="Millares 5 4 4 2" xfId="2210" xr:uid="{29E194BF-A219-4F3E-9B28-8BE7F12F1B0C}"/>
    <cellStyle name="Millares 5 4 5" xfId="1546" xr:uid="{4EB54EB4-0FEA-420C-91AD-2F07EC533B8C}"/>
    <cellStyle name="Millares 5 5" xfId="281" xr:uid="{BC664748-A30D-4CA0-BD90-23B84716AC86}"/>
    <cellStyle name="Millares 5 5 2" xfId="620" xr:uid="{7C056B28-5D6D-4285-A25B-66D3272EEBDF}"/>
    <cellStyle name="Millares 5 5 2 2" xfId="1291" xr:uid="{36DFD35A-B063-4B78-BC5C-BEA9146407D9}"/>
    <cellStyle name="Millares 5 5 2 2 2" xfId="2626" xr:uid="{795FFB72-A9DD-4A66-859B-D3BB8A9997AE}"/>
    <cellStyle name="Millares 5 5 2 3" xfId="1962" xr:uid="{6829B215-6593-4B09-B7CB-82DAA2010476}"/>
    <cellStyle name="Millares 5 5 3" xfId="959" xr:uid="{DC2C0DAB-7B0E-4E39-8867-A33F2A93FC2F}"/>
    <cellStyle name="Millares 5 5 3 2" xfId="2294" xr:uid="{DDEC5704-5EF8-489F-A595-C178C7F7D1EB}"/>
    <cellStyle name="Millares 5 5 4" xfId="1630" xr:uid="{A8147796-EF4D-4FC7-87CB-86F37D2B4545}"/>
    <cellStyle name="Millares 5 6" xfId="454" xr:uid="{BC32EA11-EC63-46F1-8CC3-9B69A57E5547}"/>
    <cellStyle name="Millares 5 6 2" xfId="1125" xr:uid="{45398F49-8270-42E7-AC9F-968C00972F64}"/>
    <cellStyle name="Millares 5 6 2 2" xfId="2460" xr:uid="{813BE06E-6BC6-4100-8BA4-4AA44826172B}"/>
    <cellStyle name="Millares 5 6 3" xfId="1796" xr:uid="{31F9E958-8FC9-4ED5-934E-C2302F7C2F7A}"/>
    <cellStyle name="Millares 5 7" xfId="793" xr:uid="{38231EEC-8D2D-4979-A478-BCF1A76AA6CE}"/>
    <cellStyle name="Millares 5 7 2" xfId="2128" xr:uid="{A9ECEE01-097F-4FC4-99BD-186F97A4CE05}"/>
    <cellStyle name="Millares 5 8" xfId="1464" xr:uid="{DD23A2B8-AEE5-4E52-BE54-AA5D19B51168}"/>
    <cellStyle name="Millares 6" xfId="81" xr:uid="{56B7ADA3-3023-420B-9B32-C36D44A9FD1C}"/>
    <cellStyle name="Millares 6 2" xfId="108" xr:uid="{322CE7F6-A450-4529-A0DA-8CACF880D4DB}"/>
    <cellStyle name="Millares 6 2 2" xfId="156" xr:uid="{33FA1EB7-85F0-4398-B762-366AB30DA706}"/>
    <cellStyle name="Millares 6 2 2 2" xfId="245" xr:uid="{DC682D6B-70EC-4406-9223-D6BD6F600E88}"/>
    <cellStyle name="Millares 6 2 2 2 2" xfId="431" xr:uid="{59324DE8-ABE8-4208-AF17-D5AA97D3C7FC}"/>
    <cellStyle name="Millares 6 2 2 2 2 2" xfId="770" xr:uid="{751C298D-D67B-425B-9BB8-F065E15D5354}"/>
    <cellStyle name="Millares 6 2 2 2 2 2 2" xfId="1441" xr:uid="{E6F033D1-7488-48F7-A52C-5D2C9EF6E621}"/>
    <cellStyle name="Millares 6 2 2 2 2 2 2 2" xfId="2776" xr:uid="{7EE49FC2-54E5-4B6D-A50A-F85959B14251}"/>
    <cellStyle name="Millares 6 2 2 2 2 2 3" xfId="2112" xr:uid="{66379EAC-509F-4433-B82A-11CC110BDA32}"/>
    <cellStyle name="Millares 6 2 2 2 2 3" xfId="1109" xr:uid="{0543D806-2E52-4A71-8965-153D96AF88E4}"/>
    <cellStyle name="Millares 6 2 2 2 2 3 2" xfId="2444" xr:uid="{316B14C5-8ED6-405C-BFF4-13915939D10F}"/>
    <cellStyle name="Millares 6 2 2 2 2 4" xfId="1780" xr:uid="{BE42A6A5-2A67-4E13-919B-7A78B800CB18}"/>
    <cellStyle name="Millares 6 2 2 2 3" xfId="604" xr:uid="{876FE3BC-A9BA-4584-A825-14A9F2E6DA74}"/>
    <cellStyle name="Millares 6 2 2 2 3 2" xfId="1275" xr:uid="{A622DCD0-01D9-47D8-B9AF-0910BC076BBB}"/>
    <cellStyle name="Millares 6 2 2 2 3 2 2" xfId="2610" xr:uid="{0AA85098-ACC9-4CE9-AAAF-5CFA2A67CFF3}"/>
    <cellStyle name="Millares 6 2 2 2 3 3" xfId="1946" xr:uid="{A8610B66-2CAA-47E4-A345-5DD9D5F1B7B4}"/>
    <cellStyle name="Millares 6 2 2 2 4" xfId="943" xr:uid="{F42A7754-0123-4BA6-BB55-1B2F8CC14710}"/>
    <cellStyle name="Millares 6 2 2 2 4 2" xfId="2278" xr:uid="{D0A00C1C-7152-4D58-8041-3B7E8212C1CE}"/>
    <cellStyle name="Millares 6 2 2 2 5" xfId="1614" xr:uid="{BF797CEE-502C-48DA-BD3C-02C23D00ECE4}"/>
    <cellStyle name="Millares 6 2 2 3" xfId="349" xr:uid="{22FACB89-1773-4970-8665-89E48C9C8D79}"/>
    <cellStyle name="Millares 6 2 2 3 2" xfId="688" xr:uid="{A9FE3052-A583-4EF8-B73D-3C40F8A3D80B}"/>
    <cellStyle name="Millares 6 2 2 3 2 2" xfId="1359" xr:uid="{5E714C86-561B-4B3B-9E9C-9B6B05C810A6}"/>
    <cellStyle name="Millares 6 2 2 3 2 2 2" xfId="2694" xr:uid="{7F6BDC51-87C4-4F76-BE34-4BCCF791FA5F}"/>
    <cellStyle name="Millares 6 2 2 3 2 3" xfId="2030" xr:uid="{1DF463A0-7B14-4BAD-8FC7-2A12634B8252}"/>
    <cellStyle name="Millares 6 2 2 3 3" xfId="1027" xr:uid="{82BF39E5-58FB-412A-80FE-34F1BF47E6A7}"/>
    <cellStyle name="Millares 6 2 2 3 3 2" xfId="2362" xr:uid="{7C5CE29D-C75D-406E-BD85-E92749E84E62}"/>
    <cellStyle name="Millares 6 2 2 3 4" xfId="1698" xr:uid="{A2C686E1-4609-4D42-AD8A-7C6D24C27C0C}"/>
    <cellStyle name="Millares 6 2 2 4" xfId="522" xr:uid="{91835FC3-00BC-421B-B3CA-279FF071D430}"/>
    <cellStyle name="Millares 6 2 2 4 2" xfId="1193" xr:uid="{CE9EB27D-ABA1-490D-B188-67BDC0D9234B}"/>
    <cellStyle name="Millares 6 2 2 4 2 2" xfId="2528" xr:uid="{8709D33E-E1E6-4F16-81DC-69A625E81202}"/>
    <cellStyle name="Millares 6 2 2 4 3" xfId="1864" xr:uid="{F7A28EC6-94D2-4F71-98A3-5441563E75F4}"/>
    <cellStyle name="Millares 6 2 2 5" xfId="861" xr:uid="{66E06D8D-1FFC-4505-8960-15C8758A5D2F}"/>
    <cellStyle name="Millares 6 2 2 5 2" xfId="2196" xr:uid="{9C64CB21-C374-4EFB-BD6F-D88E55FF318D}"/>
    <cellStyle name="Millares 6 2 2 6" xfId="1532" xr:uid="{CE8EBDA9-C1D3-4854-AB84-3CD5B9A36560}"/>
    <cellStyle name="Millares 6 2 3" xfId="205" xr:uid="{29AA975C-0BD3-4843-AD0C-531A5680CCFC}"/>
    <cellStyle name="Millares 6 2 3 2" xfId="391" xr:uid="{3623E318-3CA7-499D-B086-49172499FDA0}"/>
    <cellStyle name="Millares 6 2 3 2 2" xfId="730" xr:uid="{D478BFC3-4DCC-47B9-A2BC-780A0F5ECE60}"/>
    <cellStyle name="Millares 6 2 3 2 2 2" xfId="1401" xr:uid="{C758FFD2-19D9-4C73-860D-43741FDFDD55}"/>
    <cellStyle name="Millares 6 2 3 2 2 2 2" xfId="2736" xr:uid="{DA607830-77FD-4004-B607-F8D92DF4AE07}"/>
    <cellStyle name="Millares 6 2 3 2 2 3" xfId="2072" xr:uid="{4902E782-03E7-4BAD-9768-ED7719EF3923}"/>
    <cellStyle name="Millares 6 2 3 2 3" xfId="1069" xr:uid="{059EF400-019F-469E-8406-4E622EB9C219}"/>
    <cellStyle name="Millares 6 2 3 2 3 2" xfId="2404" xr:uid="{DE1585E2-969D-401D-A4E1-CCB62B2400CF}"/>
    <cellStyle name="Millares 6 2 3 2 4" xfId="1740" xr:uid="{1288BCB4-908C-42D6-8A7D-97E407F44B3A}"/>
    <cellStyle name="Millares 6 2 3 3" xfId="564" xr:uid="{509C7BE7-E255-42D8-9240-6E3454E00004}"/>
    <cellStyle name="Millares 6 2 3 3 2" xfId="1235" xr:uid="{4F703799-BAB5-41DB-B26D-861C830215B5}"/>
    <cellStyle name="Millares 6 2 3 3 2 2" xfId="2570" xr:uid="{89AAFD6D-10C6-4E6A-AACF-0523D99B3022}"/>
    <cellStyle name="Millares 6 2 3 3 3" xfId="1906" xr:uid="{0225FE92-5ACB-4AF4-A083-02F65195AC66}"/>
    <cellStyle name="Millares 6 2 3 4" xfId="903" xr:uid="{3EC0AB07-ECA9-4E79-8DFC-8CEB8821A667}"/>
    <cellStyle name="Millares 6 2 3 4 2" xfId="2238" xr:uid="{6B69D2A5-C3B8-44AF-A325-C78E6F5878AD}"/>
    <cellStyle name="Millares 6 2 3 5" xfId="1574" xr:uid="{B1E4B610-86E7-43C4-8C06-BFB5F4CA7D5A}"/>
    <cellStyle name="Millares 6 2 4" xfId="309" xr:uid="{3961812E-8DD2-4AF3-9F6A-16C6DD712B1E}"/>
    <cellStyle name="Millares 6 2 4 2" xfId="648" xr:uid="{9F68280D-65E3-4169-BAB2-30D507BA25B7}"/>
    <cellStyle name="Millares 6 2 4 2 2" xfId="1319" xr:uid="{19C3A43A-303C-4D67-8F0C-86AE0901E44E}"/>
    <cellStyle name="Millares 6 2 4 2 2 2" xfId="2654" xr:uid="{FCF7F222-D4F1-4040-BF7C-9DF3A2A4C481}"/>
    <cellStyle name="Millares 6 2 4 2 3" xfId="1990" xr:uid="{7EE71306-2806-4F38-B345-DA54A34B20DF}"/>
    <cellStyle name="Millares 6 2 4 3" xfId="987" xr:uid="{A26D1A2E-04F4-4C63-B406-2F66EEBF8087}"/>
    <cellStyle name="Millares 6 2 4 3 2" xfId="2322" xr:uid="{AB3CFFD9-A2DD-4B1E-B57A-6B680744C97B}"/>
    <cellStyle name="Millares 6 2 4 4" xfId="1658" xr:uid="{7E1196CF-57B1-4BD6-8A88-59929744F8C6}"/>
    <cellStyle name="Millares 6 2 5" xfId="482" xr:uid="{275360E6-1E5B-4958-A343-4F4E0F90BE14}"/>
    <cellStyle name="Millares 6 2 5 2" xfId="1153" xr:uid="{BE825329-3FB3-420C-B6CD-EEA72099F0A3}"/>
    <cellStyle name="Millares 6 2 5 2 2" xfId="2488" xr:uid="{F82C637F-C4AC-41D5-B8FC-8B6B7FF927BA}"/>
    <cellStyle name="Millares 6 2 5 3" xfId="1824" xr:uid="{72471BD0-7E89-4AAE-B38A-D9C258EC61AA}"/>
    <cellStyle name="Millares 6 2 6" xfId="821" xr:uid="{A769343C-E95D-4961-B257-5A0903BC5B18}"/>
    <cellStyle name="Millares 6 2 6 2" xfId="2156" xr:uid="{AAEE5B3E-48A4-4D86-8377-DDB5BDD78C2E}"/>
    <cellStyle name="Millares 6 2 7" xfId="1492" xr:uid="{CD951B89-491E-485C-A7F6-6798384CC49D}"/>
    <cellStyle name="Millares 6 3" xfId="137" xr:uid="{1BFC12D1-05EE-408F-A8F9-A696318EC30B}"/>
    <cellStyle name="Millares 6 3 2" xfId="226" xr:uid="{B81C90FF-F09F-4D1D-BC03-DC340685F0D9}"/>
    <cellStyle name="Millares 6 3 2 2" xfId="412" xr:uid="{61304EEB-1D1D-4D12-8C11-85A6E32B75A6}"/>
    <cellStyle name="Millares 6 3 2 2 2" xfId="751" xr:uid="{81338938-9058-4F1D-9AC8-EEB1391617DD}"/>
    <cellStyle name="Millares 6 3 2 2 2 2" xfId="1422" xr:uid="{BC8450F6-D347-41ED-A9DC-A4607FFFD542}"/>
    <cellStyle name="Millares 6 3 2 2 2 2 2" xfId="2757" xr:uid="{E04512F6-F8CB-4190-AD1C-FA24B0251814}"/>
    <cellStyle name="Millares 6 3 2 2 2 3" xfId="2093" xr:uid="{98B33A98-85D3-4A39-9B40-B22D42A27097}"/>
    <cellStyle name="Millares 6 3 2 2 3" xfId="1090" xr:uid="{E67B5BB9-91EB-4403-9755-C373C5AA8204}"/>
    <cellStyle name="Millares 6 3 2 2 3 2" xfId="2425" xr:uid="{C3259E13-6840-43B7-B54B-B4E76BEF3916}"/>
    <cellStyle name="Millares 6 3 2 2 4" xfId="1761" xr:uid="{2113D823-3C32-4730-BA91-FE52B66AB332}"/>
    <cellStyle name="Millares 6 3 2 3" xfId="585" xr:uid="{B24715B6-85E6-4E69-B3F0-B616848DE47C}"/>
    <cellStyle name="Millares 6 3 2 3 2" xfId="1256" xr:uid="{F0644433-2BA2-404A-B5C5-F17350B6B297}"/>
    <cellStyle name="Millares 6 3 2 3 2 2" xfId="2591" xr:uid="{2F93F72A-A48B-45C7-9FC9-8A1AF1C62E0D}"/>
    <cellStyle name="Millares 6 3 2 3 3" xfId="1927" xr:uid="{95C5105E-EEC8-44CB-8017-534528CEECD2}"/>
    <cellStyle name="Millares 6 3 2 4" xfId="924" xr:uid="{B24E8735-6EA0-4133-B0B7-06E34D256D36}"/>
    <cellStyle name="Millares 6 3 2 4 2" xfId="2259" xr:uid="{E9132A4C-8484-42DF-A60D-A266BC677CF2}"/>
    <cellStyle name="Millares 6 3 2 5" xfId="1595" xr:uid="{1FDC04DF-B6D4-42E1-9C36-C5047E227BB9}"/>
    <cellStyle name="Millares 6 3 3" xfId="330" xr:uid="{2986A2D6-CCCB-4B08-B651-D0F64DDA7859}"/>
    <cellStyle name="Millares 6 3 3 2" xfId="669" xr:uid="{AAC48EAE-2A8D-4851-A8CA-3418E1431F0F}"/>
    <cellStyle name="Millares 6 3 3 2 2" xfId="1340" xr:uid="{043110B2-3ED7-458A-9FB9-BC5F1EC9979C}"/>
    <cellStyle name="Millares 6 3 3 2 2 2" xfId="2675" xr:uid="{CBA6C659-3AD8-47ED-87A7-E5FB58D664FD}"/>
    <cellStyle name="Millares 6 3 3 2 3" xfId="2011" xr:uid="{E7B98DBA-EF1C-49C9-8860-EA819884FC16}"/>
    <cellStyle name="Millares 6 3 3 3" xfId="1008" xr:uid="{CA194672-C117-4512-A44A-6AD34D71A8F4}"/>
    <cellStyle name="Millares 6 3 3 3 2" xfId="2343" xr:uid="{183AE5C7-36DD-48B2-95F3-794AFEAAC5D9}"/>
    <cellStyle name="Millares 6 3 3 4" xfId="1679" xr:uid="{DCBFAD1A-2EC2-4C25-97F7-AA6A3B5DC5C5}"/>
    <cellStyle name="Millares 6 3 4" xfId="503" xr:uid="{A1EEE6CB-9965-4E28-BB60-3A1C1D7497DA}"/>
    <cellStyle name="Millares 6 3 4 2" xfId="1174" xr:uid="{1E37129E-A4D8-4689-9361-0886178339F3}"/>
    <cellStyle name="Millares 6 3 4 2 2" xfId="2509" xr:uid="{956D6F61-DB78-456E-9495-F3FB2DA62805}"/>
    <cellStyle name="Millares 6 3 4 3" xfId="1845" xr:uid="{673B7104-86A2-431B-94BD-EBC72F84931B}"/>
    <cellStyle name="Millares 6 3 5" xfId="842" xr:uid="{66FCF98B-5C2B-42D1-8785-E145D9D678AF}"/>
    <cellStyle name="Millares 6 3 5 2" xfId="2177" xr:uid="{F8177407-4B35-4642-A516-8F4D5D67B255}"/>
    <cellStyle name="Millares 6 3 6" xfId="1513" xr:uid="{FB6E6F6A-FE62-4FF3-998E-F2DAB9E648A3}"/>
    <cellStyle name="Millares 6 4" xfId="186" xr:uid="{2A7A23CF-46AF-4EEA-90A5-CF229FDD3D3A}"/>
    <cellStyle name="Millares 6 4 2" xfId="372" xr:uid="{5F74B27A-6834-49C3-BE96-4E18ED1212E0}"/>
    <cellStyle name="Millares 6 4 2 2" xfId="711" xr:uid="{75DDE012-D090-446E-9366-7FC1A437A6F7}"/>
    <cellStyle name="Millares 6 4 2 2 2" xfId="1382" xr:uid="{2F5B2C7D-8333-46A3-8461-588C2F665004}"/>
    <cellStyle name="Millares 6 4 2 2 2 2" xfId="2717" xr:uid="{F92BB191-6B62-428C-961E-DB3F72137D13}"/>
    <cellStyle name="Millares 6 4 2 2 3" xfId="2053" xr:uid="{E9BEFA0A-B1F7-43DE-8E04-E193D7B7BACE}"/>
    <cellStyle name="Millares 6 4 2 3" xfId="1050" xr:uid="{3DBA537C-EB42-4003-AB83-7B8385FDC993}"/>
    <cellStyle name="Millares 6 4 2 3 2" xfId="2385" xr:uid="{855A1829-7D9A-4EDA-A2E7-DD8B283E5026}"/>
    <cellStyle name="Millares 6 4 2 4" xfId="1721" xr:uid="{84C02FE2-91B4-4137-910E-8837F2F67805}"/>
    <cellStyle name="Millares 6 4 3" xfId="545" xr:uid="{46532EFE-C5AD-4A06-8109-6FFA977B52FC}"/>
    <cellStyle name="Millares 6 4 3 2" xfId="1216" xr:uid="{39712315-B4FA-4C56-BDC7-EA8CF36B77D7}"/>
    <cellStyle name="Millares 6 4 3 2 2" xfId="2551" xr:uid="{2AED532E-5BFB-4C0B-A4E8-F4DF15E6AD7A}"/>
    <cellStyle name="Millares 6 4 3 3" xfId="1887" xr:uid="{E5908C90-CD7B-4EC7-AA2F-DB00958C2B2B}"/>
    <cellStyle name="Millares 6 4 4" xfId="884" xr:uid="{2E36239D-5E86-4E3D-B20A-07DE6C2C53BF}"/>
    <cellStyle name="Millares 6 4 4 2" xfId="2219" xr:uid="{DD680FBA-E90A-498F-8A52-B8BA786C2C8E}"/>
    <cellStyle name="Millares 6 4 5" xfId="1555" xr:uid="{3FD2024A-7099-43B2-A466-0C5FCC1AEF05}"/>
    <cellStyle name="Millares 6 5" xfId="290" xr:uid="{2DB340AC-7FFA-41F8-9B5B-2B5B8BCEBDFC}"/>
    <cellStyle name="Millares 6 5 2" xfId="629" xr:uid="{E08D5425-F721-4257-9C6C-7749E09E2842}"/>
    <cellStyle name="Millares 6 5 2 2" xfId="1300" xr:uid="{B7DB030F-99A4-4E8C-9DBD-45E3C57EBA25}"/>
    <cellStyle name="Millares 6 5 2 2 2" xfId="2635" xr:uid="{606F4A5E-9C9E-4D65-B6DC-5D25D232C00E}"/>
    <cellStyle name="Millares 6 5 2 3" xfId="1971" xr:uid="{5B2A5CC8-CF9B-497E-B19C-A4F9B1B8B933}"/>
    <cellStyle name="Millares 6 5 3" xfId="968" xr:uid="{75156DBC-6E8D-4AA7-8910-8F47CD47C8D5}"/>
    <cellStyle name="Millares 6 5 3 2" xfId="2303" xr:uid="{79F413F0-3DAC-4780-A164-7BD90DA2D081}"/>
    <cellStyle name="Millares 6 5 4" xfId="1639" xr:uid="{6768D992-CBAA-4FFD-A0C3-291E604B4CAE}"/>
    <cellStyle name="Millares 6 6" xfId="463" xr:uid="{632AE9EF-5787-4087-8548-775788AECE68}"/>
    <cellStyle name="Millares 6 6 2" xfId="1134" xr:uid="{6EB3DB9D-49E2-413F-9BB5-9FEF60AD7BD0}"/>
    <cellStyle name="Millares 6 6 2 2" xfId="2469" xr:uid="{23807A6E-DFCF-445B-9FA1-01C30A69D32D}"/>
    <cellStyle name="Millares 6 6 3" xfId="1805" xr:uid="{C7B65E71-DAEB-4BBD-8658-F5E9CBF1842D}"/>
    <cellStyle name="Millares 6 7" xfId="802" xr:uid="{2B3081E4-E22B-4CC4-B386-DAE456F072EC}"/>
    <cellStyle name="Millares 6 7 2" xfId="2137" xr:uid="{F0CA9CE8-A500-49A9-8605-3879A2321D47}"/>
    <cellStyle name="Millares 6 8" xfId="1473" xr:uid="{94D8A552-5B00-4957-8CCC-BB237A3D662F}"/>
    <cellStyle name="Millares 7" xfId="82" xr:uid="{4BCA3F1B-A67E-46C9-B7FC-3BC2C1A7F024}"/>
    <cellStyle name="Millares 7 2" xfId="109" xr:uid="{FAEFB37B-3E5A-4BA9-8B33-B486223D3D13}"/>
    <cellStyle name="Millares 7 2 2" xfId="157" xr:uid="{96F363CE-603E-48E7-8710-67CFD4820B10}"/>
    <cellStyle name="Millares 7 2 2 2" xfId="246" xr:uid="{81492723-1834-4123-9B44-74AE8277407D}"/>
    <cellStyle name="Millares 7 2 2 2 2" xfId="432" xr:uid="{6A05C5EF-C7AC-447C-B942-FAFC0A474574}"/>
    <cellStyle name="Millares 7 2 2 2 2 2" xfId="771" xr:uid="{E252752B-FC4D-44E0-996C-CE565CCFFC15}"/>
    <cellStyle name="Millares 7 2 2 2 2 2 2" xfId="1442" xr:uid="{6ABC5A69-740D-49D9-8A0D-505501F389BD}"/>
    <cellStyle name="Millares 7 2 2 2 2 2 2 2" xfId="2777" xr:uid="{D52F0CF7-517F-470A-83AB-3E5499D2817B}"/>
    <cellStyle name="Millares 7 2 2 2 2 2 3" xfId="2113" xr:uid="{9B0CD905-C5BE-4E07-8EB7-00B0CDADAE87}"/>
    <cellStyle name="Millares 7 2 2 2 2 3" xfId="1110" xr:uid="{6D79710A-B455-40B0-847C-DC2A12373DE6}"/>
    <cellStyle name="Millares 7 2 2 2 2 3 2" xfId="2445" xr:uid="{87E3CC6B-D348-439C-93EF-0C23501B4B22}"/>
    <cellStyle name="Millares 7 2 2 2 2 4" xfId="1781" xr:uid="{5DFC98D3-AACC-45F6-80C0-1AD73C119528}"/>
    <cellStyle name="Millares 7 2 2 2 3" xfId="605" xr:uid="{0B89684F-AA73-4894-93A6-0E0456886D67}"/>
    <cellStyle name="Millares 7 2 2 2 3 2" xfId="1276" xr:uid="{DD7DE2A0-FE53-4562-816A-FE97A738D862}"/>
    <cellStyle name="Millares 7 2 2 2 3 2 2" xfId="2611" xr:uid="{EEAD76C6-9F53-4909-8668-AF92E760C67D}"/>
    <cellStyle name="Millares 7 2 2 2 3 3" xfId="1947" xr:uid="{3FEC1C1D-95AB-4CB3-9191-559803355082}"/>
    <cellStyle name="Millares 7 2 2 2 4" xfId="944" xr:uid="{D588912F-FFD1-4A9E-B8D1-14906670B77B}"/>
    <cellStyle name="Millares 7 2 2 2 4 2" xfId="2279" xr:uid="{4E15EB2E-36E7-4C0A-A3DC-BA4693D49A23}"/>
    <cellStyle name="Millares 7 2 2 2 5" xfId="1615" xr:uid="{4FC08FB5-C99D-499E-8A9B-8B1EFDAF8C08}"/>
    <cellStyle name="Millares 7 2 2 3" xfId="350" xr:uid="{3BFC009C-5AF1-4B6F-A4CE-CAFC29E00CD1}"/>
    <cellStyle name="Millares 7 2 2 3 2" xfId="689" xr:uid="{35523A8C-0CF1-4E6B-A2C2-AF68A136FF9A}"/>
    <cellStyle name="Millares 7 2 2 3 2 2" xfId="1360" xr:uid="{97B85D11-66C4-4F33-8449-B21F2EC8A05D}"/>
    <cellStyle name="Millares 7 2 2 3 2 2 2" xfId="2695" xr:uid="{072A5062-E23F-4C51-B976-D9205041B7D2}"/>
    <cellStyle name="Millares 7 2 2 3 2 3" xfId="2031" xr:uid="{D0200CEC-3E6E-4C60-9D0F-128DD85499D3}"/>
    <cellStyle name="Millares 7 2 2 3 3" xfId="1028" xr:uid="{AD0850B8-5AF4-460E-BB9B-3D28491883C3}"/>
    <cellStyle name="Millares 7 2 2 3 3 2" xfId="2363" xr:uid="{8E855195-B4C3-4ADF-8400-0104751D70D9}"/>
    <cellStyle name="Millares 7 2 2 3 4" xfId="1699" xr:uid="{A8F396C6-0821-4805-BC11-414777941124}"/>
    <cellStyle name="Millares 7 2 2 4" xfId="523" xr:uid="{35A802CC-99FE-40BD-A2BF-307F24CD5139}"/>
    <cellStyle name="Millares 7 2 2 4 2" xfId="1194" xr:uid="{96F053D5-2BF6-41F7-A9FC-743E33CF5CDE}"/>
    <cellStyle name="Millares 7 2 2 4 2 2" xfId="2529" xr:uid="{99F59D5D-D8A5-44EB-98D9-1E80E36DF5E9}"/>
    <cellStyle name="Millares 7 2 2 4 3" xfId="1865" xr:uid="{97B6790F-E0BF-4B2F-BAFB-6422E98712F9}"/>
    <cellStyle name="Millares 7 2 2 5" xfId="862" xr:uid="{F1721B78-6415-4A34-8B3E-399511FD7F1C}"/>
    <cellStyle name="Millares 7 2 2 5 2" xfId="2197" xr:uid="{83D861CA-6D7D-4655-B0CC-6DDB85A1FBA5}"/>
    <cellStyle name="Millares 7 2 2 6" xfId="1533" xr:uid="{5ED1EFF0-84DE-4D85-AE52-B871CEFBB9B9}"/>
    <cellStyle name="Millares 7 2 3" xfId="206" xr:uid="{B75E96A0-79A5-41F6-A725-876D966D5594}"/>
    <cellStyle name="Millares 7 2 3 2" xfId="392" xr:uid="{7BA21D56-9D4E-47A4-9C18-A86F8D41F09A}"/>
    <cellStyle name="Millares 7 2 3 2 2" xfId="731" xr:uid="{E6D1E4F1-FC26-435C-BE82-060371944209}"/>
    <cellStyle name="Millares 7 2 3 2 2 2" xfId="1402" xr:uid="{BAA96F9C-F629-4190-9B38-889C21E6B395}"/>
    <cellStyle name="Millares 7 2 3 2 2 2 2" xfId="2737" xr:uid="{847F0C77-FA4C-44F6-8292-67B17F9D5E1F}"/>
    <cellStyle name="Millares 7 2 3 2 2 3" xfId="2073" xr:uid="{FE0B5452-8BDA-49D5-BF22-9C0FC3AF8F3B}"/>
    <cellStyle name="Millares 7 2 3 2 3" xfId="1070" xr:uid="{5AD99B89-936A-4E02-A86B-F0754B312876}"/>
    <cellStyle name="Millares 7 2 3 2 3 2" xfId="2405" xr:uid="{FB1AA162-8C1A-48CF-A262-D51ED0391D93}"/>
    <cellStyle name="Millares 7 2 3 2 4" xfId="1741" xr:uid="{D475DDCE-6966-4BE2-8F0A-CDFD18C0451E}"/>
    <cellStyle name="Millares 7 2 3 3" xfId="565" xr:uid="{16F77D50-B6E1-46A7-9F10-3118FC9141FA}"/>
    <cellStyle name="Millares 7 2 3 3 2" xfId="1236" xr:uid="{977E086E-3FFC-41EF-8B69-1E5C8079D479}"/>
    <cellStyle name="Millares 7 2 3 3 2 2" xfId="2571" xr:uid="{82CA0227-9650-4816-BEF2-161153B74B11}"/>
    <cellStyle name="Millares 7 2 3 3 3" xfId="1907" xr:uid="{4AC6242C-FDE8-4DB1-A654-6A685A43E2BF}"/>
    <cellStyle name="Millares 7 2 3 4" xfId="904" xr:uid="{FEC74FE8-83B2-4112-AECD-785AAB7E914B}"/>
    <cellStyle name="Millares 7 2 3 4 2" xfId="2239" xr:uid="{735F8231-C54C-47BC-86A6-F81BE30EEBEF}"/>
    <cellStyle name="Millares 7 2 3 5" xfId="1575" xr:uid="{78F9B50A-B16C-4F4A-BE61-63C1811ABA29}"/>
    <cellStyle name="Millares 7 2 4" xfId="310" xr:uid="{4BBA7D28-816C-4127-B537-0EBF2DCB294C}"/>
    <cellStyle name="Millares 7 2 4 2" xfId="649" xr:uid="{0DC560AD-1AF7-41D3-A5FB-12AAFECF0DC0}"/>
    <cellStyle name="Millares 7 2 4 2 2" xfId="1320" xr:uid="{9CD11760-9A47-4CC0-A6A6-6F0DA29A879D}"/>
    <cellStyle name="Millares 7 2 4 2 2 2" xfId="2655" xr:uid="{9430E702-ACF7-45A7-83DC-5CE07F2CC60E}"/>
    <cellStyle name="Millares 7 2 4 2 3" xfId="1991" xr:uid="{D606E1D7-76A0-4431-B898-45F3BBC01465}"/>
    <cellStyle name="Millares 7 2 4 3" xfId="988" xr:uid="{5268683E-1486-4CCC-8285-B800BF18FA78}"/>
    <cellStyle name="Millares 7 2 4 3 2" xfId="2323" xr:uid="{21000C69-D0FB-4A5B-8A12-5F6AAA1DF308}"/>
    <cellStyle name="Millares 7 2 4 4" xfId="1659" xr:uid="{9BA89B17-2885-4A2C-9BD7-70DDDA0BB08C}"/>
    <cellStyle name="Millares 7 2 5" xfId="483" xr:uid="{C37C993E-4AB1-4118-B19B-450BAEB95A16}"/>
    <cellStyle name="Millares 7 2 5 2" xfId="1154" xr:uid="{3702FC05-EC28-405D-8506-9D334C725167}"/>
    <cellStyle name="Millares 7 2 5 2 2" xfId="2489" xr:uid="{D7D33BDF-8898-4741-BDA3-841CA1897EBD}"/>
    <cellStyle name="Millares 7 2 5 3" xfId="1825" xr:uid="{3720DABB-5B89-4A78-B92A-4917FEEAF82E}"/>
    <cellStyle name="Millares 7 2 6" xfId="822" xr:uid="{FBAAD3FF-556D-44CB-9065-2DC6EA35A96A}"/>
    <cellStyle name="Millares 7 2 6 2" xfId="2157" xr:uid="{C98BB0E3-1FF6-4310-95E8-19F38D561F6D}"/>
    <cellStyle name="Millares 7 2 7" xfId="1493" xr:uid="{7ED76432-A99B-43BA-BC2A-57BD4C1E2011}"/>
    <cellStyle name="Millares 7 3" xfId="138" xr:uid="{E8AC323E-7B2D-4EE9-8E8F-672DFE7F7902}"/>
    <cellStyle name="Millares 7 3 2" xfId="227" xr:uid="{A1859ED1-509B-4858-9F6D-FFF14E8EE357}"/>
    <cellStyle name="Millares 7 3 2 2" xfId="413" xr:uid="{B2D104F2-DCB1-4A63-B3AF-D627D102B893}"/>
    <cellStyle name="Millares 7 3 2 2 2" xfId="752" xr:uid="{86320D6E-A4F7-42E4-8FC2-0172560461F6}"/>
    <cellStyle name="Millares 7 3 2 2 2 2" xfId="1423" xr:uid="{65884A41-3F51-4922-86FC-0064F03B371E}"/>
    <cellStyle name="Millares 7 3 2 2 2 2 2" xfId="2758" xr:uid="{7EAA369D-C34B-4A2C-AEE6-2E417698B676}"/>
    <cellStyle name="Millares 7 3 2 2 2 3" xfId="2094" xr:uid="{2D8DB364-2389-40C9-9ADF-61CCF416A994}"/>
    <cellStyle name="Millares 7 3 2 2 3" xfId="1091" xr:uid="{53E08E57-7EF3-4BFF-82B8-628024D5CBC1}"/>
    <cellStyle name="Millares 7 3 2 2 3 2" xfId="2426" xr:uid="{2E45584D-2482-4686-B741-4ABADDA6C3CC}"/>
    <cellStyle name="Millares 7 3 2 2 4" xfId="1762" xr:uid="{FC9234AC-9789-42C9-B8EA-2F015778B7DA}"/>
    <cellStyle name="Millares 7 3 2 3" xfId="586" xr:uid="{133B6D4D-83D1-456E-9FB4-9C2BD97069A6}"/>
    <cellStyle name="Millares 7 3 2 3 2" xfId="1257" xr:uid="{FE860ED3-D953-445E-A951-778252757328}"/>
    <cellStyle name="Millares 7 3 2 3 2 2" xfId="2592" xr:uid="{C0AD1A1D-0D25-470D-B151-5ACDD3005D7C}"/>
    <cellStyle name="Millares 7 3 2 3 3" xfId="1928" xr:uid="{A4FE15A8-82F5-447E-939F-C038F2FF3DFF}"/>
    <cellStyle name="Millares 7 3 2 4" xfId="925" xr:uid="{F988F8C5-7027-4BE9-9E30-5C891DF340B6}"/>
    <cellStyle name="Millares 7 3 2 4 2" xfId="2260" xr:uid="{CBCD6CB1-32AA-491F-93DC-296D7F003F56}"/>
    <cellStyle name="Millares 7 3 2 5" xfId="1596" xr:uid="{9B20F693-43CA-4C45-B409-3DF4FCEC3B25}"/>
    <cellStyle name="Millares 7 3 3" xfId="331" xr:uid="{9750D2EB-7BAF-4D44-9401-36985F2EEAF7}"/>
    <cellStyle name="Millares 7 3 3 2" xfId="670" xr:uid="{DED9DD19-6CB8-486A-B2F9-C9A5BBAE7DCE}"/>
    <cellStyle name="Millares 7 3 3 2 2" xfId="1341" xr:uid="{092D9DF8-8D9C-4ED5-A94A-17DFE16673EA}"/>
    <cellStyle name="Millares 7 3 3 2 2 2" xfId="2676" xr:uid="{F41090DA-FE05-4991-A586-617C83EC505F}"/>
    <cellStyle name="Millares 7 3 3 2 3" xfId="2012" xr:uid="{480208E3-D745-41FE-BACC-4447228959E3}"/>
    <cellStyle name="Millares 7 3 3 3" xfId="1009" xr:uid="{7D708E7D-C9A5-481D-A8DF-C99A07B57952}"/>
    <cellStyle name="Millares 7 3 3 3 2" xfId="2344" xr:uid="{EBFE10F2-DB82-4F5C-A2B1-F05A82294EC8}"/>
    <cellStyle name="Millares 7 3 3 4" xfId="1680" xr:uid="{2F039DA1-BA9A-4CE1-8B17-D6552CB7AED1}"/>
    <cellStyle name="Millares 7 3 4" xfId="504" xr:uid="{A52D24C7-0554-4625-84EE-20E49D1638E7}"/>
    <cellStyle name="Millares 7 3 4 2" xfId="1175" xr:uid="{04B6E8B8-1176-4A23-A829-34C23A7BFD76}"/>
    <cellStyle name="Millares 7 3 4 2 2" xfId="2510" xr:uid="{D6745FCF-F0E4-42D5-9F52-CAB198957DB8}"/>
    <cellStyle name="Millares 7 3 4 3" xfId="1846" xr:uid="{E7188C4F-28BE-4E9B-9288-69F935B6E6F9}"/>
    <cellStyle name="Millares 7 3 5" xfId="843" xr:uid="{07BEC10E-693D-4350-8FBA-FCE54CBBA6EE}"/>
    <cellStyle name="Millares 7 3 5 2" xfId="2178" xr:uid="{47BADDA7-8135-426F-A003-B01231A4B32C}"/>
    <cellStyle name="Millares 7 3 6" xfId="1514" xr:uid="{7B3AF7C1-3457-4D96-82E4-B78C459C2D74}"/>
    <cellStyle name="Millares 7 4" xfId="187" xr:uid="{3956CC9C-C259-4377-A792-A328A7E54FF0}"/>
    <cellStyle name="Millares 7 4 2" xfId="373" xr:uid="{20354D94-E1D5-47BF-ABB3-1AA99C61264A}"/>
    <cellStyle name="Millares 7 4 2 2" xfId="712" xr:uid="{249D48CF-4FF9-445A-A54A-B7EB068F3D48}"/>
    <cellStyle name="Millares 7 4 2 2 2" xfId="1383" xr:uid="{5547B519-D37F-413A-A707-3658EE317056}"/>
    <cellStyle name="Millares 7 4 2 2 2 2" xfId="2718" xr:uid="{E7DB9E37-49F4-4876-886A-06271268505E}"/>
    <cellStyle name="Millares 7 4 2 2 3" xfId="2054" xr:uid="{904B34B1-BCD9-4A26-8EC2-8AFAB95223B7}"/>
    <cellStyle name="Millares 7 4 2 3" xfId="1051" xr:uid="{EF58FD33-AFD8-4D08-9E32-11766CAC056D}"/>
    <cellStyle name="Millares 7 4 2 3 2" xfId="2386" xr:uid="{3C5FAE4C-F7A2-4051-AA6E-5445BDC54CC4}"/>
    <cellStyle name="Millares 7 4 2 4" xfId="1722" xr:uid="{4015C102-68F3-4092-8A44-9853CCFCB1F2}"/>
    <cellStyle name="Millares 7 4 3" xfId="546" xr:uid="{047127D7-335D-438E-BDF9-3E73A8C0F205}"/>
    <cellStyle name="Millares 7 4 3 2" xfId="1217" xr:uid="{A1B7586F-83BD-466A-BEFE-B83563D9E663}"/>
    <cellStyle name="Millares 7 4 3 2 2" xfId="2552" xr:uid="{1B7F8688-D658-42E2-A0AA-70295E3B603D}"/>
    <cellStyle name="Millares 7 4 3 3" xfId="1888" xr:uid="{F038FD17-751C-4214-B53A-98E961A1E891}"/>
    <cellStyle name="Millares 7 4 4" xfId="885" xr:uid="{0C74F6D6-DF37-4A29-B357-F8D095B00543}"/>
    <cellStyle name="Millares 7 4 4 2" xfId="2220" xr:uid="{6E5E2F3B-C48F-4742-A17C-C9AD47257EAD}"/>
    <cellStyle name="Millares 7 4 5" xfId="1556" xr:uid="{494FDF0A-C25F-433C-9A33-2E0EF1FCA64C}"/>
    <cellStyle name="Millares 7 5" xfId="291" xr:uid="{2D7C0543-3667-430A-8C7A-F6CF3347FFD6}"/>
    <cellStyle name="Millares 7 5 2" xfId="630" xr:uid="{9DF6563A-32BD-4AD1-9E53-A7F0D35C4D5D}"/>
    <cellStyle name="Millares 7 5 2 2" xfId="1301" xr:uid="{84223714-ADF7-4782-A7F4-10E9E5BB2E84}"/>
    <cellStyle name="Millares 7 5 2 2 2" xfId="2636" xr:uid="{D2F4F7E7-072E-4429-81F5-F6C628B9EA32}"/>
    <cellStyle name="Millares 7 5 2 3" xfId="1972" xr:uid="{219B4AE8-B7AD-4873-A583-ADE8B14E99AE}"/>
    <cellStyle name="Millares 7 5 3" xfId="969" xr:uid="{EF8F6176-C288-4798-A1DC-7CBCAD9C7033}"/>
    <cellStyle name="Millares 7 5 3 2" xfId="2304" xr:uid="{53F2FD33-B0BD-4687-8A3E-A083734FDCDC}"/>
    <cellStyle name="Millares 7 5 4" xfId="1640" xr:uid="{E08A237B-40CB-4EF2-BD82-F8219685B7F5}"/>
    <cellStyle name="Millares 7 6" xfId="464" xr:uid="{F7069EDB-B1A5-40DF-A2E1-E8EF44C19B2E}"/>
    <cellStyle name="Millares 7 6 2" xfId="1135" xr:uid="{4076A402-F0FF-4365-8D07-452C2A074C7A}"/>
    <cellStyle name="Millares 7 6 2 2" xfId="2470" xr:uid="{B6427D05-7DD9-4310-8253-5A7AF600A18C}"/>
    <cellStyle name="Millares 7 6 3" xfId="1806" xr:uid="{D333480F-3AAC-4E7D-AB9C-FE9C7E805020}"/>
    <cellStyle name="Millares 7 7" xfId="803" xr:uid="{78401B46-FE2C-4F7C-B72D-922FAFD7430E}"/>
    <cellStyle name="Millares 7 7 2" xfId="2138" xr:uid="{BDD0F1B7-035F-455B-B5A9-692E3A391AF4}"/>
    <cellStyle name="Millares 7 8" xfId="1474" xr:uid="{90A490ED-C008-4751-A5D5-BFCE7057C35A}"/>
    <cellStyle name="Millares 79" xfId="48" xr:uid="{235D1825-1E24-472A-BB11-B3965C0ED726}"/>
    <cellStyle name="Millares 79 10" xfId="1459" xr:uid="{46EC653F-0F64-4594-B439-99BDB1904C8C}"/>
    <cellStyle name="Millares 79 2" xfId="75" xr:uid="{481FA20B-A0A3-4317-8398-10C2B73CB891}"/>
    <cellStyle name="Millares 79 2 2" xfId="104" xr:uid="{49AFEDC7-1289-4576-8753-CB4B19CED723}"/>
    <cellStyle name="Millares 79 2 2 2" xfId="152" xr:uid="{DC0F41AA-A63C-410E-A7F9-6FBB2A2F23BE}"/>
    <cellStyle name="Millares 79 2 2 2 2" xfId="241" xr:uid="{4FED8706-B2EC-42D0-AAA0-A96118CEEED3}"/>
    <cellStyle name="Millares 79 2 2 2 2 2" xfId="427" xr:uid="{C8AAEA8F-1A5D-4265-A7AD-59F16B61F114}"/>
    <cellStyle name="Millares 79 2 2 2 2 2 2" xfId="766" xr:uid="{3A5FBC7E-C34E-4C5E-A7A1-B5CCF1324D88}"/>
    <cellStyle name="Millares 79 2 2 2 2 2 2 2" xfId="1437" xr:uid="{7BC3C29A-B325-45D8-9A0F-0B6CA84F8158}"/>
    <cellStyle name="Millares 79 2 2 2 2 2 2 2 2" xfId="2772" xr:uid="{AEB5745B-CAF3-466C-B437-348D2E676F32}"/>
    <cellStyle name="Millares 79 2 2 2 2 2 2 3" xfId="2108" xr:uid="{5212C827-421C-4ECA-AC07-08BCD51D3867}"/>
    <cellStyle name="Millares 79 2 2 2 2 2 3" xfId="1105" xr:uid="{B1EF5B33-5D9D-450A-8545-0DEF4D9D19C1}"/>
    <cellStyle name="Millares 79 2 2 2 2 2 3 2" xfId="2440" xr:uid="{69DCB016-9CEE-4261-85AB-9AE0256DD8E8}"/>
    <cellStyle name="Millares 79 2 2 2 2 2 4" xfId="1776" xr:uid="{4837339E-39B6-4B9B-A6C1-5354D0615451}"/>
    <cellStyle name="Millares 79 2 2 2 2 3" xfId="600" xr:uid="{F82CB940-F95D-4F09-92E3-46B96C3282EC}"/>
    <cellStyle name="Millares 79 2 2 2 2 3 2" xfId="1271" xr:uid="{AA0F9A6E-5F35-408F-9408-F3490E0AA702}"/>
    <cellStyle name="Millares 79 2 2 2 2 3 2 2" xfId="2606" xr:uid="{8FFAE436-932A-4C94-9DE6-30E81A1BD78C}"/>
    <cellStyle name="Millares 79 2 2 2 2 3 3" xfId="1942" xr:uid="{76C1E875-9F59-4682-8ED3-AA08A8002C64}"/>
    <cellStyle name="Millares 79 2 2 2 2 4" xfId="939" xr:uid="{CA3ABD29-F6DE-42CF-B50B-B26D5591DBA6}"/>
    <cellStyle name="Millares 79 2 2 2 2 4 2" xfId="2274" xr:uid="{53EBB38B-CD7A-4CA4-9B04-53203AF401CC}"/>
    <cellStyle name="Millares 79 2 2 2 2 5" xfId="1610" xr:uid="{F5290446-069A-4A44-AA0C-700D5DD6776E}"/>
    <cellStyle name="Millares 79 2 2 2 3" xfId="345" xr:uid="{797C8EF7-0CE2-425E-8C4B-98669D1410F9}"/>
    <cellStyle name="Millares 79 2 2 2 3 2" xfId="684" xr:uid="{4610FB5F-3BF3-4F46-9A9B-DD86C67F350F}"/>
    <cellStyle name="Millares 79 2 2 2 3 2 2" xfId="1355" xr:uid="{F151787D-089B-4C78-9503-D7218F7E40C7}"/>
    <cellStyle name="Millares 79 2 2 2 3 2 2 2" xfId="2690" xr:uid="{AEE7BE1A-35D1-4E22-8CB9-23A971C54D60}"/>
    <cellStyle name="Millares 79 2 2 2 3 2 3" xfId="2026" xr:uid="{EB2CFEA9-50ED-4CEC-A29B-0010B0D9472C}"/>
    <cellStyle name="Millares 79 2 2 2 3 3" xfId="1023" xr:uid="{B5EF4CC1-B235-43C7-97E5-7016DEB69022}"/>
    <cellStyle name="Millares 79 2 2 2 3 3 2" xfId="2358" xr:uid="{F21883AF-7A35-48B9-8B24-72A71B606961}"/>
    <cellStyle name="Millares 79 2 2 2 3 4" xfId="1694" xr:uid="{F0F24895-5FD5-457A-9171-1029F2205736}"/>
    <cellStyle name="Millares 79 2 2 2 4" xfId="518" xr:uid="{6580C501-2685-4194-9E92-7F90BD3FDB8E}"/>
    <cellStyle name="Millares 79 2 2 2 4 2" xfId="1189" xr:uid="{6301A907-22A8-41DD-8950-D1E4F7CD4512}"/>
    <cellStyle name="Millares 79 2 2 2 4 2 2" xfId="2524" xr:uid="{395763CA-A3B5-4F21-BB18-1A91EDC9338D}"/>
    <cellStyle name="Millares 79 2 2 2 4 3" xfId="1860" xr:uid="{F3D1051B-0AB2-4B8C-8DE1-D10CD220F20A}"/>
    <cellStyle name="Millares 79 2 2 2 5" xfId="857" xr:uid="{50EFC89A-3BB7-4453-8386-C57401DCEE3C}"/>
    <cellStyle name="Millares 79 2 2 2 5 2" xfId="2192" xr:uid="{B21B6E7A-656F-4D2B-B4C4-FF027BE43D99}"/>
    <cellStyle name="Millares 79 2 2 2 6" xfId="1528" xr:uid="{217CB99F-D9BC-4F6B-ACC0-F065EA9C3F50}"/>
    <cellStyle name="Millares 79 2 2 3" xfId="201" xr:uid="{C62A8E82-1729-499E-B6FF-353D3B11802D}"/>
    <cellStyle name="Millares 79 2 2 3 2" xfId="387" xr:uid="{F80BE39C-CBBF-419F-95D7-75E6F7184952}"/>
    <cellStyle name="Millares 79 2 2 3 2 2" xfId="726" xr:uid="{F5B5274C-1BAB-4A51-8AC9-A95F2E53326A}"/>
    <cellStyle name="Millares 79 2 2 3 2 2 2" xfId="1397" xr:uid="{002AE059-9112-4BB9-8CB9-54ADA6E0E2D8}"/>
    <cellStyle name="Millares 79 2 2 3 2 2 2 2" xfId="2732" xr:uid="{FF309014-39DD-48F4-91D7-6239767CE76B}"/>
    <cellStyle name="Millares 79 2 2 3 2 2 3" xfId="2068" xr:uid="{DE4FFE59-97B4-428D-A429-0333E7441CD5}"/>
    <cellStyle name="Millares 79 2 2 3 2 3" xfId="1065" xr:uid="{7CCBAE5C-77EC-4D9C-9A44-7DD6C96DDA7F}"/>
    <cellStyle name="Millares 79 2 2 3 2 3 2" xfId="2400" xr:uid="{1A60BCBD-6725-48BF-BFF6-D70060733D06}"/>
    <cellStyle name="Millares 79 2 2 3 2 4" xfId="1736" xr:uid="{08E972FD-9C12-44BF-9F3D-0DF929576F00}"/>
    <cellStyle name="Millares 79 2 2 3 3" xfId="560" xr:uid="{69FE86FE-2DB6-4DEB-BA56-338D4F16650B}"/>
    <cellStyle name="Millares 79 2 2 3 3 2" xfId="1231" xr:uid="{0F4F1CF5-4ED1-4B00-A979-240B9DD68501}"/>
    <cellStyle name="Millares 79 2 2 3 3 2 2" xfId="2566" xr:uid="{15F2F9F6-5028-4A0F-80D2-909DC00F6D58}"/>
    <cellStyle name="Millares 79 2 2 3 3 3" xfId="1902" xr:uid="{8EE91F6C-0541-4E09-BBE9-83DC75C1157F}"/>
    <cellStyle name="Millares 79 2 2 3 4" xfId="899" xr:uid="{F3015AC1-E7CD-4C62-AD00-0569DA99C53C}"/>
    <cellStyle name="Millares 79 2 2 3 4 2" xfId="2234" xr:uid="{32CAC7D9-6197-4A37-BA6F-2A958F40CDC1}"/>
    <cellStyle name="Millares 79 2 2 3 5" xfId="1570" xr:uid="{FA71769F-B019-4407-9362-29D6285FE7EA}"/>
    <cellStyle name="Millares 79 2 2 4" xfId="305" xr:uid="{4C361CCF-FE13-4212-B57C-F46C0E23EC38}"/>
    <cellStyle name="Millares 79 2 2 4 2" xfId="644" xr:uid="{D80C2009-515E-4A59-8137-CA4F724D2C22}"/>
    <cellStyle name="Millares 79 2 2 4 2 2" xfId="1315" xr:uid="{BC199C22-1663-4E3B-B162-1455D2C4C49F}"/>
    <cellStyle name="Millares 79 2 2 4 2 2 2" xfId="2650" xr:uid="{6D0C932C-D4E6-4734-AEC3-3C3238FFEDF0}"/>
    <cellStyle name="Millares 79 2 2 4 2 3" xfId="1986" xr:uid="{60B8CE38-FF0D-44DA-88BF-6A80B4F2976C}"/>
    <cellStyle name="Millares 79 2 2 4 3" xfId="983" xr:uid="{772F894B-A532-4751-AA2D-F4BD1F270E64}"/>
    <cellStyle name="Millares 79 2 2 4 3 2" xfId="2318" xr:uid="{C027A12F-6DD9-42CF-8293-CD8728354F87}"/>
    <cellStyle name="Millares 79 2 2 4 4" xfId="1654" xr:uid="{A296BB18-D167-4D2B-ADA1-A0C974A976D0}"/>
    <cellStyle name="Millares 79 2 2 5" xfId="478" xr:uid="{140121F5-B61B-403C-9E4F-5283E9B4E3B7}"/>
    <cellStyle name="Millares 79 2 2 5 2" xfId="1149" xr:uid="{066FCF51-5687-4913-A9AD-229B867CA1DF}"/>
    <cellStyle name="Millares 79 2 2 5 2 2" xfId="2484" xr:uid="{555B1141-2F3E-45F1-BF71-4F62D1175EFE}"/>
    <cellStyle name="Millares 79 2 2 5 3" xfId="1820" xr:uid="{FDA023F9-300B-4C9C-8F16-E7655C1612FF}"/>
    <cellStyle name="Millares 79 2 2 6" xfId="817" xr:uid="{1A88C22F-F1D0-4C6B-BBBC-180B95BDBCBB}"/>
    <cellStyle name="Millares 79 2 2 6 2" xfId="2152" xr:uid="{1A1F5742-4409-4C5E-A558-2760365CF9B5}"/>
    <cellStyle name="Millares 79 2 2 7" xfId="1488" xr:uid="{517839D8-9A98-4182-A512-E6D089CEDC76}"/>
    <cellStyle name="Millares 79 2 3" xfId="133" xr:uid="{2309AFE6-6E2E-4EF3-890C-B0F96E2203B5}"/>
    <cellStyle name="Millares 79 2 3 2" xfId="222" xr:uid="{F9218182-DC59-4A1D-9457-AE76B5B154F0}"/>
    <cellStyle name="Millares 79 2 3 2 2" xfId="408" xr:uid="{D8094183-ED04-4894-9513-03BA19F9F8B7}"/>
    <cellStyle name="Millares 79 2 3 2 2 2" xfId="747" xr:uid="{C367EE0F-A400-471D-A843-B40C8F4FBD70}"/>
    <cellStyle name="Millares 79 2 3 2 2 2 2" xfId="1418" xr:uid="{ED7EFA7D-699A-4753-A964-0D7628FD90BF}"/>
    <cellStyle name="Millares 79 2 3 2 2 2 2 2" xfId="2753" xr:uid="{0093277F-B9E1-41BC-9629-B7215EA4BDA2}"/>
    <cellStyle name="Millares 79 2 3 2 2 2 3" xfId="2089" xr:uid="{9A62E56A-8CF1-4CF4-AA55-AD7A55F33ECF}"/>
    <cellStyle name="Millares 79 2 3 2 2 3" xfId="1086" xr:uid="{9B1DCE7C-CF61-4966-B1F8-513842DB17FF}"/>
    <cellStyle name="Millares 79 2 3 2 2 3 2" xfId="2421" xr:uid="{AEED5DA3-8EC4-44B9-AA88-A725ED48E904}"/>
    <cellStyle name="Millares 79 2 3 2 2 4" xfId="1757" xr:uid="{05040899-9022-4EA9-8377-C20EF5282C16}"/>
    <cellStyle name="Millares 79 2 3 2 3" xfId="581" xr:uid="{F411317E-89AE-4113-96A6-66962D45E941}"/>
    <cellStyle name="Millares 79 2 3 2 3 2" xfId="1252" xr:uid="{314A1CEA-95DE-4165-BE96-83F0567B4687}"/>
    <cellStyle name="Millares 79 2 3 2 3 2 2" xfId="2587" xr:uid="{C4F442B1-8C88-46EC-881D-D13741FD9386}"/>
    <cellStyle name="Millares 79 2 3 2 3 3" xfId="1923" xr:uid="{5CA37262-8F27-443F-95FF-6A9833384869}"/>
    <cellStyle name="Millares 79 2 3 2 4" xfId="920" xr:uid="{FC912D51-7F1E-430C-9557-E80327096EA6}"/>
    <cellStyle name="Millares 79 2 3 2 4 2" xfId="2255" xr:uid="{099B3E04-6884-4109-B786-1ADD5A2E078D}"/>
    <cellStyle name="Millares 79 2 3 2 5" xfId="1591" xr:uid="{2C0A350E-CD4E-4DDD-BE3C-9DBA61B854B7}"/>
    <cellStyle name="Millares 79 2 3 3" xfId="326" xr:uid="{BD192ACE-97AB-4B08-9EA0-FBC63F399AC3}"/>
    <cellStyle name="Millares 79 2 3 3 2" xfId="665" xr:uid="{AF2105C7-6B68-4021-85D9-E87809BE062A}"/>
    <cellStyle name="Millares 79 2 3 3 2 2" xfId="1336" xr:uid="{CAEF4279-B26F-4B00-B515-E35E6DD3DEA3}"/>
    <cellStyle name="Millares 79 2 3 3 2 2 2" xfId="2671" xr:uid="{97ADAD66-04C7-4528-AB21-3DA498D0201F}"/>
    <cellStyle name="Millares 79 2 3 3 2 3" xfId="2007" xr:uid="{9EDD9B35-4DA4-4F8B-9036-FEFBB94A1535}"/>
    <cellStyle name="Millares 79 2 3 3 3" xfId="1004" xr:uid="{90453649-D2F4-4B4A-86EC-27EAC008F638}"/>
    <cellStyle name="Millares 79 2 3 3 3 2" xfId="2339" xr:uid="{2A331729-B61F-4813-8D6E-9CBB485CF917}"/>
    <cellStyle name="Millares 79 2 3 3 4" xfId="1675" xr:uid="{513BBBFD-F419-413E-BDF8-08819911B47C}"/>
    <cellStyle name="Millares 79 2 3 4" xfId="499" xr:uid="{0756409F-33DA-41BE-95BF-F4C31A57CCDE}"/>
    <cellStyle name="Millares 79 2 3 4 2" xfId="1170" xr:uid="{B60D92A4-148B-458D-92D4-595FA0407E88}"/>
    <cellStyle name="Millares 79 2 3 4 2 2" xfId="2505" xr:uid="{5139A3C7-1102-4AE1-8B4B-1B9578DA04B3}"/>
    <cellStyle name="Millares 79 2 3 4 3" xfId="1841" xr:uid="{B8313C1B-F86A-4A6C-8D60-737F4102D09A}"/>
    <cellStyle name="Millares 79 2 3 5" xfId="838" xr:uid="{7B43863F-3DF3-40E2-9D3C-7942E9713C94}"/>
    <cellStyle name="Millares 79 2 3 5 2" xfId="2173" xr:uid="{7D8E7C7C-2F7C-49D2-9E75-DF9972B4DCD1}"/>
    <cellStyle name="Millares 79 2 3 6" xfId="1509" xr:uid="{B236BB27-78F4-4306-AE1D-8C14A7D3B7B5}"/>
    <cellStyle name="Millares 79 2 4" xfId="182" xr:uid="{D89EF3E0-9431-4041-932C-818D94EF45B4}"/>
    <cellStyle name="Millares 79 2 4 2" xfId="368" xr:uid="{D875DAD4-273E-40C5-8900-0246C052E5AE}"/>
    <cellStyle name="Millares 79 2 4 2 2" xfId="707" xr:uid="{0FC0492D-C1F0-41B4-9227-004562D9241D}"/>
    <cellStyle name="Millares 79 2 4 2 2 2" xfId="1378" xr:uid="{55651B3E-5988-422E-8B33-364D99836359}"/>
    <cellStyle name="Millares 79 2 4 2 2 2 2" xfId="2713" xr:uid="{BF21AB1E-9700-4099-BD9D-8519801C8242}"/>
    <cellStyle name="Millares 79 2 4 2 2 3" xfId="2049" xr:uid="{4B90F39C-5266-4264-B809-FE0D4974A9E2}"/>
    <cellStyle name="Millares 79 2 4 2 3" xfId="1046" xr:uid="{2453F6C8-76E2-439E-A5A4-BCEA561EC4FA}"/>
    <cellStyle name="Millares 79 2 4 2 3 2" xfId="2381" xr:uid="{E53FF577-90F6-4A1A-9F56-DAF545EAA380}"/>
    <cellStyle name="Millares 79 2 4 2 4" xfId="1717" xr:uid="{E37C5C1D-A5D4-4B31-A153-138CA190EE67}"/>
    <cellStyle name="Millares 79 2 4 3" xfId="541" xr:uid="{C4CD2057-3FF3-4DD0-ABB4-B12AE3470250}"/>
    <cellStyle name="Millares 79 2 4 3 2" xfId="1212" xr:uid="{DF356FB4-4CE3-4DB3-9F50-A5289C369D1A}"/>
    <cellStyle name="Millares 79 2 4 3 2 2" xfId="2547" xr:uid="{C31FB951-BCE9-4A91-A37B-3C5C7BDE694F}"/>
    <cellStyle name="Millares 79 2 4 3 3" xfId="1883" xr:uid="{73159436-8F9F-4F0F-9159-5294A9F0AA9B}"/>
    <cellStyle name="Millares 79 2 4 4" xfId="880" xr:uid="{BDBCBC37-D5AB-4282-A3C3-EC809B7EAF06}"/>
    <cellStyle name="Millares 79 2 4 4 2" xfId="2215" xr:uid="{1B6CE855-D64F-4E1F-BE21-2DDB5CEBCDA3}"/>
    <cellStyle name="Millares 79 2 4 5" xfId="1551" xr:uid="{A3515814-3A68-45E2-B1D3-C29389C37DA5}"/>
    <cellStyle name="Millares 79 2 5" xfId="286" xr:uid="{A66DEF25-C147-4146-A592-A1FD1B367585}"/>
    <cellStyle name="Millares 79 2 5 2" xfId="625" xr:uid="{2457FD02-773B-4995-8970-32AB97039806}"/>
    <cellStyle name="Millares 79 2 5 2 2" xfId="1296" xr:uid="{50C26EA1-1D91-423E-8DB1-4AFACCB17CBC}"/>
    <cellStyle name="Millares 79 2 5 2 2 2" xfId="2631" xr:uid="{34FE1B7C-F3B3-4F57-8BAF-728AEF228D52}"/>
    <cellStyle name="Millares 79 2 5 2 3" xfId="1967" xr:uid="{4D700A6F-581F-4CE4-B5C5-99C323A01711}"/>
    <cellStyle name="Millares 79 2 5 3" xfId="964" xr:uid="{5D0FC503-27DD-46F6-A7BD-12D364E1CE73}"/>
    <cellStyle name="Millares 79 2 5 3 2" xfId="2299" xr:uid="{27D97005-FDB2-4AFD-99A1-536AF97B963F}"/>
    <cellStyle name="Millares 79 2 5 4" xfId="1635" xr:uid="{4919594E-84DE-43C6-84E1-193B3F093095}"/>
    <cellStyle name="Millares 79 2 6" xfId="459" xr:uid="{F004FC69-9246-4CF0-9195-DDA6F182E286}"/>
    <cellStyle name="Millares 79 2 6 2" xfId="1130" xr:uid="{CDBCB4B7-3BF4-47A5-BCAD-0A3109F83064}"/>
    <cellStyle name="Millares 79 2 6 2 2" xfId="2465" xr:uid="{C2596B52-6665-4627-A51E-B0EA6D8766F8}"/>
    <cellStyle name="Millares 79 2 6 3" xfId="1801" xr:uid="{9A817017-E89E-4274-A6F8-56E596DB37A0}"/>
    <cellStyle name="Millares 79 2 7" xfId="798" xr:uid="{AC97EB08-09F5-4432-987B-2D061E499B25}"/>
    <cellStyle name="Millares 79 2 7 2" xfId="2133" xr:uid="{76349453-F635-41E7-8730-F84CD894FC65}"/>
    <cellStyle name="Millares 79 2 8" xfId="1469" xr:uid="{75835069-8A04-4A11-993C-E1575FC8D61B}"/>
    <cellStyle name="Millares 79 3" xfId="93" xr:uid="{8834AA9D-8A9A-443C-8D11-1767A3C3B1F9}"/>
    <cellStyle name="Millares 79 3 2" xfId="143" xr:uid="{D2FBCF3E-E041-4CE6-AFF2-080892769A09}"/>
    <cellStyle name="Millares 79 3 2 2" xfId="232" xr:uid="{5E996046-5618-4080-B3CD-7F5A4B68B7E3}"/>
    <cellStyle name="Millares 79 3 2 2 2" xfId="418" xr:uid="{4A260ADC-88B5-4DE5-95DD-F13F03EBF746}"/>
    <cellStyle name="Millares 79 3 2 2 2 2" xfId="757" xr:uid="{69A2E29F-6348-4267-95B3-300720827673}"/>
    <cellStyle name="Millares 79 3 2 2 2 2 2" xfId="1428" xr:uid="{2D659E2A-62EE-4343-9453-C8F550104B29}"/>
    <cellStyle name="Millares 79 3 2 2 2 2 2 2" xfId="2763" xr:uid="{0559BE51-D609-48D8-B609-CDA8ADC9FFE7}"/>
    <cellStyle name="Millares 79 3 2 2 2 2 3" xfId="2099" xr:uid="{24CECAF2-BB88-4827-9DFF-BCCCFA1D0723}"/>
    <cellStyle name="Millares 79 3 2 2 2 3" xfId="1096" xr:uid="{EBAEFAEB-1346-45CC-9BA3-6BB0B73E0EB1}"/>
    <cellStyle name="Millares 79 3 2 2 2 3 2" xfId="2431" xr:uid="{439CEBCD-BD5F-4CE4-A07B-0A218FEB6D91}"/>
    <cellStyle name="Millares 79 3 2 2 2 4" xfId="1767" xr:uid="{35ECC89A-FEBB-4720-AAE8-19396FE292E5}"/>
    <cellStyle name="Millares 79 3 2 2 3" xfId="591" xr:uid="{F30ED772-304D-47D8-B198-2846016DA419}"/>
    <cellStyle name="Millares 79 3 2 2 3 2" xfId="1262" xr:uid="{56BC77E8-9A30-4ED5-BE80-25A9FD30E0DB}"/>
    <cellStyle name="Millares 79 3 2 2 3 2 2" xfId="2597" xr:uid="{535210AD-5498-420D-84BF-D6E0DF3BD0FB}"/>
    <cellStyle name="Millares 79 3 2 2 3 3" xfId="1933" xr:uid="{A3EEC6B6-5AC9-4A1D-A82E-2B04E206D308}"/>
    <cellStyle name="Millares 79 3 2 2 4" xfId="930" xr:uid="{EEBA25C1-4659-44F2-A6CF-9D7B24BEA8DE}"/>
    <cellStyle name="Millares 79 3 2 2 4 2" xfId="2265" xr:uid="{D3700B29-F1AC-4B2C-912D-406769125855}"/>
    <cellStyle name="Millares 79 3 2 2 5" xfId="1601" xr:uid="{5881A175-96E8-4F2D-98C8-ABC09D18DAD0}"/>
    <cellStyle name="Millares 79 3 2 3" xfId="336" xr:uid="{2F41213F-8E69-4D8C-9B35-529173EAF93A}"/>
    <cellStyle name="Millares 79 3 2 3 2" xfId="675" xr:uid="{9514A37D-A2EF-4492-86A1-1439C5744AF5}"/>
    <cellStyle name="Millares 79 3 2 3 2 2" xfId="1346" xr:uid="{67FECE25-21CC-41F1-83FA-7C1871D922B9}"/>
    <cellStyle name="Millares 79 3 2 3 2 2 2" xfId="2681" xr:uid="{5421792E-6DB8-4248-B35C-83CD9A63622B}"/>
    <cellStyle name="Millares 79 3 2 3 2 3" xfId="2017" xr:uid="{2E8D0DB3-9002-436D-BFBC-59068C5C5EC1}"/>
    <cellStyle name="Millares 79 3 2 3 3" xfId="1014" xr:uid="{542DDEAA-2D8D-4C5D-AAC1-6EC050AAC1F9}"/>
    <cellStyle name="Millares 79 3 2 3 3 2" xfId="2349" xr:uid="{CCD4382B-561E-42B0-A774-4E79F90498F3}"/>
    <cellStyle name="Millares 79 3 2 3 4" xfId="1685" xr:uid="{D1EEC63D-ABB9-4EB6-9AA0-BAB532843217}"/>
    <cellStyle name="Millares 79 3 2 4" xfId="509" xr:uid="{A8B83284-483E-4252-8709-ADB815ACADD6}"/>
    <cellStyle name="Millares 79 3 2 4 2" xfId="1180" xr:uid="{FB444012-FDB9-43B2-AC9F-12EEAB12D4E2}"/>
    <cellStyle name="Millares 79 3 2 4 2 2" xfId="2515" xr:uid="{FEE4E3A5-2D74-44CB-815A-97F4EB3EC387}"/>
    <cellStyle name="Millares 79 3 2 4 3" xfId="1851" xr:uid="{3C171677-E8A7-46DF-A5C8-92783C862B35}"/>
    <cellStyle name="Millares 79 3 2 5" xfId="848" xr:uid="{92D0EBDF-3913-46B0-B31C-1A9371EF0731}"/>
    <cellStyle name="Millares 79 3 2 5 2" xfId="2183" xr:uid="{CB215C9D-9865-441E-AF4B-B2D88A42F454}"/>
    <cellStyle name="Millares 79 3 2 6" xfId="1519" xr:uid="{7156963A-2A9E-4EB4-B7B3-7384C36F23E7}"/>
    <cellStyle name="Millares 79 3 3" xfId="192" xr:uid="{C92EDDF9-5410-47EB-B424-E61B716AC23F}"/>
    <cellStyle name="Millares 79 3 3 2" xfId="378" xr:uid="{5DC0A89F-4BD4-46E3-8C29-5858452ACFCF}"/>
    <cellStyle name="Millares 79 3 3 2 2" xfId="717" xr:uid="{75264EEB-0A28-4857-AB32-D74FF424E85D}"/>
    <cellStyle name="Millares 79 3 3 2 2 2" xfId="1388" xr:uid="{5EA4A8B6-F061-4537-9CB7-DE388984EB1D}"/>
    <cellStyle name="Millares 79 3 3 2 2 2 2" xfId="2723" xr:uid="{D2E17986-DD2A-4C78-9CEB-70799D59EB40}"/>
    <cellStyle name="Millares 79 3 3 2 2 3" xfId="2059" xr:uid="{CC35D644-F267-4294-BD7C-2B6337D3783F}"/>
    <cellStyle name="Millares 79 3 3 2 3" xfId="1056" xr:uid="{016DB744-634C-45CE-89F2-CBFB2DD0C1D7}"/>
    <cellStyle name="Millares 79 3 3 2 3 2" xfId="2391" xr:uid="{B8ACF864-07D0-4115-A87F-C76BB9316E9C}"/>
    <cellStyle name="Millares 79 3 3 2 4" xfId="1727" xr:uid="{B36C1B1A-831B-479D-BE0B-86CC19EF7337}"/>
    <cellStyle name="Millares 79 3 3 3" xfId="551" xr:uid="{D8F0D787-0C12-4CBB-8C44-F5A437F80EB4}"/>
    <cellStyle name="Millares 79 3 3 3 2" xfId="1222" xr:uid="{BD9E0FAB-0D46-4B85-B751-C8D13FF4516E}"/>
    <cellStyle name="Millares 79 3 3 3 2 2" xfId="2557" xr:uid="{558DEDF1-0B66-4F0F-8207-E552EF30E7F9}"/>
    <cellStyle name="Millares 79 3 3 3 3" xfId="1893" xr:uid="{D1F3582C-0D26-440B-913B-4629BE0630FF}"/>
    <cellStyle name="Millares 79 3 3 4" xfId="890" xr:uid="{9849D8C1-70A1-47AD-BAFC-FBA5A84D9830}"/>
    <cellStyle name="Millares 79 3 3 4 2" xfId="2225" xr:uid="{BAED254B-2D18-4B93-9D25-2E1825A5D584}"/>
    <cellStyle name="Millares 79 3 3 5" xfId="1561" xr:uid="{233E7450-C95D-477C-9517-0E67EF61D90F}"/>
    <cellStyle name="Millares 79 3 4" xfId="296" xr:uid="{9240FDB5-5F1D-4281-9790-9AAD9C527211}"/>
    <cellStyle name="Millares 79 3 4 2" xfId="635" xr:uid="{F04F559B-B1FC-4F5B-89F3-50A352151B02}"/>
    <cellStyle name="Millares 79 3 4 2 2" xfId="1306" xr:uid="{CA2ABA44-06C1-4244-AB46-C54E234325CF}"/>
    <cellStyle name="Millares 79 3 4 2 2 2" xfId="2641" xr:uid="{C0510F11-B8BA-4C89-9E70-2C3E9952E446}"/>
    <cellStyle name="Millares 79 3 4 2 3" xfId="1977" xr:uid="{FE123C27-A44F-420C-A5F7-955C40FF3E2D}"/>
    <cellStyle name="Millares 79 3 4 3" xfId="974" xr:uid="{88E86CD7-9B35-4595-80BA-E4BC088BDD88}"/>
    <cellStyle name="Millares 79 3 4 3 2" xfId="2309" xr:uid="{A9BE8810-392E-4A21-B5F8-4A89FFCF00DB}"/>
    <cellStyle name="Millares 79 3 4 4" xfId="1645" xr:uid="{90ED7A34-04BC-4D2D-AEFA-6EFEFE141E55}"/>
    <cellStyle name="Millares 79 3 5" xfId="469" xr:uid="{1F4CC855-2176-4549-9755-D64D75C722F5}"/>
    <cellStyle name="Millares 79 3 5 2" xfId="1140" xr:uid="{4B26824D-988A-470C-976B-5AAE8A554079}"/>
    <cellStyle name="Millares 79 3 5 2 2" xfId="2475" xr:uid="{F33C6F09-7661-4E92-B080-8B8312474925}"/>
    <cellStyle name="Millares 79 3 5 3" xfId="1811" xr:uid="{63B10799-61F4-4468-94C9-1E7BB7961349}"/>
    <cellStyle name="Millares 79 3 6" xfId="808" xr:uid="{8B0EEFBC-3F88-4AE7-805F-BD171246DEE5}"/>
    <cellStyle name="Millares 79 3 6 2" xfId="2143" xr:uid="{C5D4A3EB-C1F6-45F8-AF14-5C07D2261EDB}"/>
    <cellStyle name="Millares 79 3 7" xfId="1479" xr:uid="{ED7D648B-CE1E-4F26-9F74-6877D4B563CF}"/>
    <cellStyle name="Millares 79 4" xfId="122" xr:uid="{2153A32E-94B4-49F2-9A19-41F7A1FE138F}"/>
    <cellStyle name="Millares 79 4 2" xfId="213" xr:uid="{DFDB7B4F-E0E1-4F31-A97C-6EA29969D62A}"/>
    <cellStyle name="Millares 79 4 2 2" xfId="399" xr:uid="{9F13547E-395D-4F2B-9640-A2E8717DA0D9}"/>
    <cellStyle name="Millares 79 4 2 2 2" xfId="738" xr:uid="{A1A9E3DE-E0A0-4C8D-8978-3BAC4806B397}"/>
    <cellStyle name="Millares 79 4 2 2 2 2" xfId="1409" xr:uid="{D777536F-E6F1-4419-B395-6F232283F28D}"/>
    <cellStyle name="Millares 79 4 2 2 2 2 2" xfId="2744" xr:uid="{CF14644B-54F0-4DD4-8F75-BBB7A901CD7D}"/>
    <cellStyle name="Millares 79 4 2 2 2 3" xfId="2080" xr:uid="{04F44BF3-7E4B-4330-BC1E-C86490AAB2EF}"/>
    <cellStyle name="Millares 79 4 2 2 3" xfId="1077" xr:uid="{85A76A80-D728-4601-BCC3-543683FBBE3A}"/>
    <cellStyle name="Millares 79 4 2 2 3 2" xfId="2412" xr:uid="{417EDFC7-0C0D-4663-8EE6-03D85AFD99CE}"/>
    <cellStyle name="Millares 79 4 2 2 4" xfId="1748" xr:uid="{0E0EFEC5-FAC4-4700-93E3-A8550F391648}"/>
    <cellStyle name="Millares 79 4 2 3" xfId="572" xr:uid="{D9A8FB40-0764-44B9-A35E-3BF46CD503C8}"/>
    <cellStyle name="Millares 79 4 2 3 2" xfId="1243" xr:uid="{BFEF75F0-5969-4087-8EF7-D389CCF4344E}"/>
    <cellStyle name="Millares 79 4 2 3 2 2" xfId="2578" xr:uid="{91ED1409-672D-4BA8-A5CA-3370E013F8CF}"/>
    <cellStyle name="Millares 79 4 2 3 3" xfId="1914" xr:uid="{6E0C5F91-B3FC-4302-B107-1D9C0DEB13F2}"/>
    <cellStyle name="Millares 79 4 2 4" xfId="911" xr:uid="{DEFB44D3-149E-4CF9-BC3C-8C2DB9B587D5}"/>
    <cellStyle name="Millares 79 4 2 4 2" xfId="2246" xr:uid="{27D3738E-A66F-4F14-92F7-D6D7BAEBE0EA}"/>
    <cellStyle name="Millares 79 4 2 5" xfId="1582" xr:uid="{7F24CE3F-E6DB-4A77-912C-20F64C01E0E1}"/>
    <cellStyle name="Millares 79 4 3" xfId="317" xr:uid="{155626AA-F7E9-43CB-96AB-226B7B472D39}"/>
    <cellStyle name="Millares 79 4 3 2" xfId="656" xr:uid="{732D8913-80B5-4AFF-8CFE-56386938E241}"/>
    <cellStyle name="Millares 79 4 3 2 2" xfId="1327" xr:uid="{F152C6BB-418A-426D-8632-D968E72EBD4F}"/>
    <cellStyle name="Millares 79 4 3 2 2 2" xfId="2662" xr:uid="{F9AD1CA2-4681-4365-BF3D-68E6D1974041}"/>
    <cellStyle name="Millares 79 4 3 2 3" xfId="1998" xr:uid="{817A5887-48C6-4EA9-8A55-5967D7E09C18}"/>
    <cellStyle name="Millares 79 4 3 3" xfId="995" xr:uid="{F33A9F9B-DB6F-43CF-AFCA-DCF4EBA4A467}"/>
    <cellStyle name="Millares 79 4 3 3 2" xfId="2330" xr:uid="{12451C4B-9835-4057-ADAD-6B601E1B93BD}"/>
    <cellStyle name="Millares 79 4 3 4" xfId="1666" xr:uid="{CF2F0A05-E381-4A2E-BA04-88157D6AE6C3}"/>
    <cellStyle name="Millares 79 4 4" xfId="490" xr:uid="{284B070E-82DC-4544-B86B-7467FE13663C}"/>
    <cellStyle name="Millares 79 4 4 2" xfId="1161" xr:uid="{72EF14A9-6C98-49F7-B85C-DBA4A2D8F5D9}"/>
    <cellStyle name="Millares 79 4 4 2 2" xfId="2496" xr:uid="{9D0CAF10-9502-43B2-A9FD-26DB16F10D34}"/>
    <cellStyle name="Millares 79 4 4 3" xfId="1832" xr:uid="{D02ACD92-53AC-4834-967C-FD6208276425}"/>
    <cellStyle name="Millares 79 4 5" xfId="829" xr:uid="{0BFE88E4-892E-4C14-8CD9-D832BD2AA62B}"/>
    <cellStyle name="Millares 79 4 5 2" xfId="2164" xr:uid="{2AD4CDCD-6EF9-4600-9497-DA271EF512E0}"/>
    <cellStyle name="Millares 79 4 6" xfId="1500" xr:uid="{395205F2-6B5F-461D-A4EF-22E8AB4BD27C}"/>
    <cellStyle name="Millares 79 5" xfId="172" xr:uid="{594E9725-9048-4204-A491-98DA32820973}"/>
    <cellStyle name="Millares 79 5 2" xfId="359" xr:uid="{95CD153A-E203-4171-AEC9-601693B6B8B2}"/>
    <cellStyle name="Millares 79 5 2 2" xfId="698" xr:uid="{26DB105B-0263-494B-96ED-F6A13228BE45}"/>
    <cellStyle name="Millares 79 5 2 2 2" xfId="1369" xr:uid="{65DCDD59-3147-48AF-B09F-1FBCA70B77D5}"/>
    <cellStyle name="Millares 79 5 2 2 2 2" xfId="2704" xr:uid="{90C43050-D54B-478C-AFBF-E56D6466A106}"/>
    <cellStyle name="Millares 79 5 2 2 3" xfId="2040" xr:uid="{CE4E9D6F-C840-407F-B8B5-F4FF300C4063}"/>
    <cellStyle name="Millares 79 5 2 3" xfId="1037" xr:uid="{0359C2BF-64C8-499B-BA52-629AC3D43A71}"/>
    <cellStyle name="Millares 79 5 2 3 2" xfId="2372" xr:uid="{EF03E0FA-344A-406F-9F41-9B33C1A9E914}"/>
    <cellStyle name="Millares 79 5 2 4" xfId="1708" xr:uid="{6A60F1FB-D3B0-4751-9F20-4C95836D84AE}"/>
    <cellStyle name="Millares 79 5 3" xfId="532" xr:uid="{A084BEED-A7D0-4FD8-ACB3-F1256869411D}"/>
    <cellStyle name="Millares 79 5 3 2" xfId="1203" xr:uid="{1E40F73E-6A09-4F98-A02C-D6309E836CB5}"/>
    <cellStyle name="Millares 79 5 3 2 2" xfId="2538" xr:uid="{DDE8B4DB-8EE5-493D-AB80-EB0CB8ED605F}"/>
    <cellStyle name="Millares 79 5 3 3" xfId="1874" xr:uid="{115334C4-3A17-4DA9-BCCB-0595F7860083}"/>
    <cellStyle name="Millares 79 5 4" xfId="871" xr:uid="{C0ACAA3D-4D60-4B47-97E4-7A1A49DF9B22}"/>
    <cellStyle name="Millares 79 5 4 2" xfId="2206" xr:uid="{1879B7D2-6965-4C86-A114-B9BFC14D224B}"/>
    <cellStyle name="Millares 79 5 5" xfId="1542" xr:uid="{D0A94A5A-D09F-4695-A834-36FD47C7CF14}"/>
    <cellStyle name="Millares 79 6" xfId="260" xr:uid="{03F66A53-707F-48F3-A7E3-7A8FB6B90B5F}"/>
    <cellStyle name="Millares 79 7" xfId="276" xr:uid="{D86A37DE-DC17-4D6A-AA09-63F0ADE276EC}"/>
    <cellStyle name="Millares 79 7 2" xfId="616" xr:uid="{539B280C-362C-4EE4-B60B-503FA5067A02}"/>
    <cellStyle name="Millares 79 7 2 2" xfId="1287" xr:uid="{87019754-45FD-47D6-AC3B-07A6136A3DF6}"/>
    <cellStyle name="Millares 79 7 2 2 2" xfId="2622" xr:uid="{B0294C5D-CC51-4614-9CE3-C44D06BD3A4C}"/>
    <cellStyle name="Millares 79 7 2 3" xfId="1958" xr:uid="{2EF4304C-0951-46E1-B668-175348E9ECEE}"/>
    <cellStyle name="Millares 79 7 3" xfId="955" xr:uid="{00080ADA-F43A-486A-B661-BAB19DAE4F76}"/>
    <cellStyle name="Millares 79 7 3 2" xfId="2290" xr:uid="{EF4833A9-E381-4CE8-8619-BB5080A48B87}"/>
    <cellStyle name="Millares 79 7 4" xfId="1626" xr:uid="{96371DAD-97B6-4D11-9059-390782D2DABB}"/>
    <cellStyle name="Millares 79 8" xfId="449" xr:uid="{9175258C-EE39-4DF8-B822-9EE31ABAEC0B}"/>
    <cellStyle name="Millares 79 8 2" xfId="1121" xr:uid="{852AA4E4-243A-46C3-9273-1AF28C5559E3}"/>
    <cellStyle name="Millares 79 8 2 2" xfId="2456" xr:uid="{0CCB0D1F-82F6-4411-88C7-0F453A9E1AF7}"/>
    <cellStyle name="Millares 79 8 3" xfId="1792" xr:uid="{FFF2D482-5CB9-42D1-BEBC-5BD130E8F3E9}"/>
    <cellStyle name="Millares 79 9" xfId="788" xr:uid="{AE1FCA06-E50C-49D8-BB05-C3EC65EB84E1}"/>
    <cellStyle name="Millares 79 9 2" xfId="2124" xr:uid="{152591C0-7F8E-40C0-A5B0-1DC4C2D5033F}"/>
    <cellStyle name="Millares 8" xfId="89" xr:uid="{3C974F05-18AE-40E5-8304-D397E8E319B8}"/>
    <cellStyle name="Millares 8 2" xfId="139" xr:uid="{399A104C-95CE-4690-8125-2BA8C212C6BC}"/>
    <cellStyle name="Millares 8 2 2" xfId="228" xr:uid="{5591388F-C595-4A78-BF00-38EAC41F9732}"/>
    <cellStyle name="Millares 8 2 2 2" xfId="414" xr:uid="{35EB5FD4-FFB3-4B92-B74E-4FB34EEBF72B}"/>
    <cellStyle name="Millares 8 2 2 2 2" xfId="753" xr:uid="{A83B9B1B-215D-4503-95A1-32C81D3F618C}"/>
    <cellStyle name="Millares 8 2 2 2 2 2" xfId="1424" xr:uid="{AFA22C27-7BB7-43D5-8989-DF9AE7939D14}"/>
    <cellStyle name="Millares 8 2 2 2 2 2 2" xfId="2759" xr:uid="{080857B0-F003-4939-A7B9-21E7C4CFA170}"/>
    <cellStyle name="Millares 8 2 2 2 2 3" xfId="2095" xr:uid="{F66E8BFC-AA9A-4101-B7B6-3A8AA3C00805}"/>
    <cellStyle name="Millares 8 2 2 2 3" xfId="1092" xr:uid="{0B65350D-849D-4A28-890B-80AA9ED9A45A}"/>
    <cellStyle name="Millares 8 2 2 2 3 2" xfId="2427" xr:uid="{266A5CD9-E609-439B-84CC-FB54BB3B9291}"/>
    <cellStyle name="Millares 8 2 2 2 4" xfId="1763" xr:uid="{5598AD27-3481-4A9B-8F21-EA3E06A64205}"/>
    <cellStyle name="Millares 8 2 2 3" xfId="587" xr:uid="{436A94F5-6438-4A1E-913D-3C2A6475C7F5}"/>
    <cellStyle name="Millares 8 2 2 3 2" xfId="1258" xr:uid="{A559BF0E-B7AB-4685-8381-663F0ECD816C}"/>
    <cellStyle name="Millares 8 2 2 3 2 2" xfId="2593" xr:uid="{F85BB2CB-63DE-4685-A6EF-F5B22DDE9897}"/>
    <cellStyle name="Millares 8 2 2 3 3" xfId="1929" xr:uid="{D499A490-8A65-4BA8-B2A6-00F687918669}"/>
    <cellStyle name="Millares 8 2 2 4" xfId="926" xr:uid="{3BF53831-8E07-4806-B724-79CF68161144}"/>
    <cellStyle name="Millares 8 2 2 4 2" xfId="2261" xr:uid="{11EAED68-C7C4-4FB0-8D5B-2BAE4EA2EF8C}"/>
    <cellStyle name="Millares 8 2 2 5" xfId="1597" xr:uid="{93360120-56BA-4A0B-8741-E8EB4019EC57}"/>
    <cellStyle name="Millares 8 2 3" xfId="332" xr:uid="{BD3DE6F7-3356-4E3E-BA5C-08C44A0A4D8C}"/>
    <cellStyle name="Millares 8 2 3 2" xfId="671" xr:uid="{5B106D53-CFF6-4DAC-87DB-00716452EBFD}"/>
    <cellStyle name="Millares 8 2 3 2 2" xfId="1342" xr:uid="{796FDF7E-7996-4A98-84B2-B654FE587FD5}"/>
    <cellStyle name="Millares 8 2 3 2 2 2" xfId="2677" xr:uid="{D432E3A0-C8EE-416F-A73C-7580DD1EB661}"/>
    <cellStyle name="Millares 8 2 3 2 3" xfId="2013" xr:uid="{F37CAE19-8AF2-4B49-BFB5-0BC5A62B8BCF}"/>
    <cellStyle name="Millares 8 2 3 3" xfId="1010" xr:uid="{78AB613F-F99E-43BD-AAE1-A2BA9743E9E1}"/>
    <cellStyle name="Millares 8 2 3 3 2" xfId="2345" xr:uid="{5C852F95-BF51-469B-AF74-31F1DDF088AE}"/>
    <cellStyle name="Millares 8 2 3 4" xfId="1681" xr:uid="{D2C2DF00-D915-4373-9138-F70F17EF75C4}"/>
    <cellStyle name="Millares 8 2 4" xfId="505" xr:uid="{A0CA56EB-E0EB-43FA-A62C-2F9B3123D136}"/>
    <cellStyle name="Millares 8 2 4 2" xfId="1176" xr:uid="{B8CA384B-3B99-44DF-AA10-2BC8AF6FBA7B}"/>
    <cellStyle name="Millares 8 2 4 2 2" xfId="2511" xr:uid="{649C235C-1D11-4B03-96FB-C4EBD344B446}"/>
    <cellStyle name="Millares 8 2 4 3" xfId="1847" xr:uid="{3D19D849-BC7E-4A22-8FBC-1F8A6EF4419E}"/>
    <cellStyle name="Millares 8 2 5" xfId="844" xr:uid="{6F872114-E4C2-4500-A4C2-1DE98892B7F2}"/>
    <cellStyle name="Millares 8 2 5 2" xfId="2179" xr:uid="{1F70430C-E6F0-4243-84D0-B45AF694E08C}"/>
    <cellStyle name="Millares 8 2 6" xfId="1515" xr:uid="{1EA7978F-9B93-4144-AA02-6D26005DDE69}"/>
    <cellStyle name="Millares 8 3" xfId="188" xr:uid="{507FFE3A-38C1-4F7E-8905-5A07F92BD45A}"/>
    <cellStyle name="Millares 8 3 2" xfId="374" xr:uid="{E9316E44-8F98-4EAE-9A58-2E956AE52867}"/>
    <cellStyle name="Millares 8 3 2 2" xfId="713" xr:uid="{17D65B0E-446F-485F-A7BD-ED751CF581A0}"/>
    <cellStyle name="Millares 8 3 2 2 2" xfId="1384" xr:uid="{F386C06F-B612-4DD6-932D-5767751606BC}"/>
    <cellStyle name="Millares 8 3 2 2 2 2" xfId="2719" xr:uid="{8F0A2E9D-9636-4C93-AA3F-F6F6647B709D}"/>
    <cellStyle name="Millares 8 3 2 2 3" xfId="2055" xr:uid="{D564F958-C620-4528-A7BE-D5A9DF2690A3}"/>
    <cellStyle name="Millares 8 3 2 3" xfId="1052" xr:uid="{07611831-62C1-4BBB-A116-8A2658A71DB2}"/>
    <cellStyle name="Millares 8 3 2 3 2" xfId="2387" xr:uid="{4C21D209-20F7-49A3-B3D3-44D9070EA3AE}"/>
    <cellStyle name="Millares 8 3 2 4" xfId="1723" xr:uid="{9F8BEEFC-EA36-4E0A-8427-86CD7D4352AA}"/>
    <cellStyle name="Millares 8 3 3" xfId="547" xr:uid="{CE0B3C9F-0E32-44D8-A4A8-726D48564D62}"/>
    <cellStyle name="Millares 8 3 3 2" xfId="1218" xr:uid="{91EB9A87-06E9-4F1D-A73B-BFE003831C77}"/>
    <cellStyle name="Millares 8 3 3 2 2" xfId="2553" xr:uid="{C35D3EAA-A3E6-4317-871F-324967F714BB}"/>
    <cellStyle name="Millares 8 3 3 3" xfId="1889" xr:uid="{1C1B460D-460E-40A6-80BF-F1557709B0E4}"/>
    <cellStyle name="Millares 8 3 4" xfId="886" xr:uid="{1346F44C-3C57-4A26-BC1F-2E6CBBEFFBB5}"/>
    <cellStyle name="Millares 8 3 4 2" xfId="2221" xr:uid="{5478D690-77B7-4E5C-8985-C3E22068F4BA}"/>
    <cellStyle name="Millares 8 3 5" xfId="1557" xr:uid="{8BEF48FF-7EDA-41A1-AB46-F8E630E9C662}"/>
    <cellStyle name="Millares 8 4" xfId="292" xr:uid="{0F3A5CEA-5F50-4ADA-97D3-DABA82BB857A}"/>
    <cellStyle name="Millares 8 4 2" xfId="631" xr:uid="{106D3ED8-E9A5-4970-B1AF-EC711DDC19BF}"/>
    <cellStyle name="Millares 8 4 2 2" xfId="1302" xr:uid="{3F8E5A6A-ACC3-4E64-8497-795025F19F33}"/>
    <cellStyle name="Millares 8 4 2 2 2" xfId="2637" xr:uid="{24342CAF-68AC-4004-9B50-960E531A6AC0}"/>
    <cellStyle name="Millares 8 4 2 3" xfId="1973" xr:uid="{5055A888-C324-490A-8865-C4D002EE2320}"/>
    <cellStyle name="Millares 8 4 3" xfId="970" xr:uid="{09A04BB0-1353-4F88-AE67-08513AD83780}"/>
    <cellStyle name="Millares 8 4 3 2" xfId="2305" xr:uid="{EBEDE6B7-51F3-4164-91C6-C57C4FF7586C}"/>
    <cellStyle name="Millares 8 4 4" xfId="1641" xr:uid="{60081C5F-F0E0-43CD-BC75-57C51FC7396C}"/>
    <cellStyle name="Millares 8 5" xfId="465" xr:uid="{2C1FE4AA-3AE1-4625-91AD-CA1EE082A1B0}"/>
    <cellStyle name="Millares 8 5 2" xfId="1136" xr:uid="{60290E0F-94BE-4706-85D1-EDEE7B7EDEC7}"/>
    <cellStyle name="Millares 8 5 2 2" xfId="2471" xr:uid="{9BF65335-9EAF-4DC9-B630-3C8239A5411C}"/>
    <cellStyle name="Millares 8 5 3" xfId="1807" xr:uid="{06995449-F196-47FC-8240-7CECDBF27033}"/>
    <cellStyle name="Millares 8 6" xfId="804" xr:uid="{91BDF616-32FB-437A-AC07-B629F6E78662}"/>
    <cellStyle name="Millares 8 6 2" xfId="2139" xr:uid="{E293BCAF-9540-4D29-A1A5-AA098CD22BEE}"/>
    <cellStyle name="Millares 8 7" xfId="1475" xr:uid="{7C1B3774-00B8-4F8F-99EC-C36D98A77261}"/>
    <cellStyle name="Millares 9" xfId="110" xr:uid="{2EBB9C7F-62D3-4A52-842B-57BD7DAA8F6E}"/>
    <cellStyle name="Millares 9 2" xfId="158" xr:uid="{EDFFAA5B-A948-4FAB-84CA-6B2D8BA1E0CD}"/>
    <cellStyle name="Millares 9 2 2" xfId="247" xr:uid="{9FA08D46-A52F-42AC-82FF-E86711915888}"/>
    <cellStyle name="Millares 9 2 2 2" xfId="433" xr:uid="{0ACB316C-8EC6-4E6D-824B-161C99F0A1C7}"/>
    <cellStyle name="Millares 9 2 2 2 2" xfId="772" xr:uid="{7DD666E5-971A-43E0-80D6-D4DC9D811E74}"/>
    <cellStyle name="Millares 9 2 2 2 2 2" xfId="1443" xr:uid="{05BD0CB1-1670-4D21-AB6D-05261924478C}"/>
    <cellStyle name="Millares 9 2 2 2 2 2 2" xfId="2778" xr:uid="{91D2D636-4D08-4EE1-9D09-0FE63E859CE1}"/>
    <cellStyle name="Millares 9 2 2 2 2 3" xfId="2114" xr:uid="{4DCA6576-9B82-4CE8-94BC-069CE5E23633}"/>
    <cellStyle name="Millares 9 2 2 2 3" xfId="1111" xr:uid="{F960884A-ECD4-4DE0-B4D7-6D8A989505C0}"/>
    <cellStyle name="Millares 9 2 2 2 3 2" xfId="2446" xr:uid="{35A957C5-6761-4A1C-904C-0C82E505060D}"/>
    <cellStyle name="Millares 9 2 2 2 4" xfId="1782" xr:uid="{5F26812B-BBC2-4C7F-891D-628F33791C9A}"/>
    <cellStyle name="Millares 9 2 2 3" xfId="606" xr:uid="{ED1A4AAD-F7F2-4E7E-9568-8E0DF2B47788}"/>
    <cellStyle name="Millares 9 2 2 3 2" xfId="1277" xr:uid="{DA91F21E-968E-408E-8CF8-8B34F372F25E}"/>
    <cellStyle name="Millares 9 2 2 3 2 2" xfId="2612" xr:uid="{647568A7-54BE-4BF2-8D25-4CBA2609B629}"/>
    <cellStyle name="Millares 9 2 2 3 3" xfId="1948" xr:uid="{22D3850A-8489-448A-98E7-0BB539B02D5B}"/>
    <cellStyle name="Millares 9 2 2 4" xfId="945" xr:uid="{0C4A28D5-0994-4943-A39A-8C02FD529681}"/>
    <cellStyle name="Millares 9 2 2 4 2" xfId="2280" xr:uid="{0B042461-E574-41DF-8C4C-7E60ECD0F6AF}"/>
    <cellStyle name="Millares 9 2 2 5" xfId="1616" xr:uid="{4A4332E2-537B-4F84-9674-3A65D1729F1C}"/>
    <cellStyle name="Millares 9 2 3" xfId="351" xr:uid="{B5B223FF-FE24-4222-B247-F2B21D31B969}"/>
    <cellStyle name="Millares 9 2 3 2" xfId="690" xr:uid="{B8A348DD-EB9C-4FEB-9F0A-851480004AC0}"/>
    <cellStyle name="Millares 9 2 3 2 2" xfId="1361" xr:uid="{B0CBFC80-C94F-4FF8-9DC0-27003D3B17C0}"/>
    <cellStyle name="Millares 9 2 3 2 2 2" xfId="2696" xr:uid="{C99E85C6-97EF-4D13-9BCF-D72B561EF7E6}"/>
    <cellStyle name="Millares 9 2 3 2 3" xfId="2032" xr:uid="{606E632E-82C8-4B37-95AD-F5B6CDAC4692}"/>
    <cellStyle name="Millares 9 2 3 3" xfId="1029" xr:uid="{093E0A0B-D243-4020-A3BE-8975EF71F85A}"/>
    <cellStyle name="Millares 9 2 3 3 2" xfId="2364" xr:uid="{0F891B24-B52B-4D36-B27B-7F468F5E31CA}"/>
    <cellStyle name="Millares 9 2 3 4" xfId="1700" xr:uid="{CE3C0B71-8A66-4AD3-B406-45FE671C6935}"/>
    <cellStyle name="Millares 9 2 4" xfId="524" xr:uid="{B1DD907E-8A26-4320-B06B-ADA870F763A2}"/>
    <cellStyle name="Millares 9 2 4 2" xfId="1195" xr:uid="{CEB0896A-3ACE-4355-BAAE-B9C0B0E0C169}"/>
    <cellStyle name="Millares 9 2 4 2 2" xfId="2530" xr:uid="{46261B57-AA10-4FA0-B888-A681FA8AD7F6}"/>
    <cellStyle name="Millares 9 2 4 3" xfId="1866" xr:uid="{A4C97418-919B-4BBC-89F3-F37E3FB45C4A}"/>
    <cellStyle name="Millares 9 2 5" xfId="863" xr:uid="{4C6367CD-5DB8-4C02-ADED-E36F32472E46}"/>
    <cellStyle name="Millares 9 2 5 2" xfId="2198" xr:uid="{7F0C4169-C51C-4EF4-844E-4A4EDD4A9541}"/>
    <cellStyle name="Millares 9 2 6" xfId="1534" xr:uid="{BFF77AFA-6A8E-4B25-ACEF-944CB2D6A657}"/>
    <cellStyle name="Millares 9 3" xfId="207" xr:uid="{7338D9B8-C691-405E-930F-08A53FF73048}"/>
    <cellStyle name="Millares 9 3 2" xfId="393" xr:uid="{C462F991-056D-4E7E-A752-02480DB485EE}"/>
    <cellStyle name="Millares 9 3 2 2" xfId="732" xr:uid="{4E35E76B-497B-4F5A-9653-F370F1B580CD}"/>
    <cellStyle name="Millares 9 3 2 2 2" xfId="1403" xr:uid="{756CCCB4-E4F6-46EA-8D0D-E1478AD0F3FF}"/>
    <cellStyle name="Millares 9 3 2 2 2 2" xfId="2738" xr:uid="{E34731C9-8FC6-46E7-9E72-1087508657C4}"/>
    <cellStyle name="Millares 9 3 2 2 3" xfId="2074" xr:uid="{230ACC9E-36A4-45AE-A99F-0A4B53B930E0}"/>
    <cellStyle name="Millares 9 3 2 3" xfId="1071" xr:uid="{729CEEA3-2D38-4915-8BA4-DF055EAFB59B}"/>
    <cellStyle name="Millares 9 3 2 3 2" xfId="2406" xr:uid="{0F87973A-7B48-4AFF-9391-99FBE2109133}"/>
    <cellStyle name="Millares 9 3 2 4" xfId="1742" xr:uid="{DE9E7E54-2D44-4D8A-99B0-7EC03905F464}"/>
    <cellStyle name="Millares 9 3 3" xfId="566" xr:uid="{7AFCB36C-2F3C-4323-9BEB-C29B51752AC0}"/>
    <cellStyle name="Millares 9 3 3 2" xfId="1237" xr:uid="{790DBF08-6B02-43BD-A96C-30DA39412012}"/>
    <cellStyle name="Millares 9 3 3 2 2" xfId="2572" xr:uid="{F732B130-18B5-4ED4-ADBE-DE57AAE5B0F8}"/>
    <cellStyle name="Millares 9 3 3 3" xfId="1908" xr:uid="{CEFCAA4C-BD87-4085-ADAA-78881085AE2E}"/>
    <cellStyle name="Millares 9 3 4" xfId="905" xr:uid="{BD4B9E2F-4042-4B88-8346-AE2F7941C4DD}"/>
    <cellStyle name="Millares 9 3 4 2" xfId="2240" xr:uid="{82EA8343-D8C9-4D25-B1CB-3E103499E5E0}"/>
    <cellStyle name="Millares 9 3 5" xfId="1576" xr:uid="{5976E296-FDF2-4B3A-AF9B-F27009EDC0AA}"/>
    <cellStyle name="Millares 9 4" xfId="311" xr:uid="{9DF4A421-A367-4851-9C68-53BADAFB3C03}"/>
    <cellStyle name="Millares 9 4 2" xfId="650" xr:uid="{7FB39B93-42B0-40C1-9328-FC424D22A655}"/>
    <cellStyle name="Millares 9 4 2 2" xfId="1321" xr:uid="{41F36CD6-6543-495E-9136-751CDB2E8657}"/>
    <cellStyle name="Millares 9 4 2 2 2" xfId="2656" xr:uid="{5E472BB9-AD44-431E-8A79-ED418D0743D3}"/>
    <cellStyle name="Millares 9 4 2 3" xfId="1992" xr:uid="{B4605E29-4E0B-4095-9D16-629FA2CDB5D5}"/>
    <cellStyle name="Millares 9 4 3" xfId="989" xr:uid="{435440EA-8A14-43D5-98F9-0C969FD4AD70}"/>
    <cellStyle name="Millares 9 4 3 2" xfId="2324" xr:uid="{6CD466A1-E88E-4378-AB65-DD8C5E645885}"/>
    <cellStyle name="Millares 9 4 4" xfId="1660" xr:uid="{4B31E5B0-8DD4-42F3-AAFE-A879728A157B}"/>
    <cellStyle name="Millares 9 5" xfId="484" xr:uid="{997E08A1-FC00-4B0B-9571-469194156EC7}"/>
    <cellStyle name="Millares 9 5 2" xfId="1155" xr:uid="{4709A87D-B23F-4055-B003-0B2DC084C2B6}"/>
    <cellStyle name="Millares 9 5 2 2" xfId="2490" xr:uid="{93211596-243C-48D4-B7D9-B746C509CBA6}"/>
    <cellStyle name="Millares 9 5 3" xfId="1826" xr:uid="{05F7CCA3-461A-4006-BEB2-71125F7AAB42}"/>
    <cellStyle name="Millares 9 6" xfId="823" xr:uid="{59B17363-EB5E-4DEF-B79E-ACD797148A34}"/>
    <cellStyle name="Millares 9 6 2" xfId="2158" xr:uid="{D3FB706D-85B4-4365-99CE-354FF1813460}"/>
    <cellStyle name="Millares 9 7" xfId="1494" xr:uid="{7B78548A-270F-4BD2-A534-108F41F5480B}"/>
    <cellStyle name="Neutral 10" xfId="1460" xr:uid="{E2D8982C-4FBA-4A29-94FC-D9437B8FCF1B}"/>
    <cellStyle name="Neutral 11" xfId="49" xr:uid="{FD97D706-E953-4517-86C2-C496769831B0}"/>
    <cellStyle name="Neutral 2" xfId="76" xr:uid="{85EFC65C-8C1A-428E-960F-89B5FAF95506}"/>
    <cellStyle name="Neutral 3" xfId="94" xr:uid="{2D33E020-797F-46C5-A844-BCB70CE94F4F}"/>
    <cellStyle name="Neutral 4" xfId="123" xr:uid="{40131EF8-19B6-4340-800E-CC68E887ED11}"/>
    <cellStyle name="Neutral 5" xfId="173" xr:uid="{46B48638-D4D2-42C8-AAE9-C3E957D0C396}"/>
    <cellStyle name="Neutral 6" xfId="261" xr:uid="{CC26BDB2-D463-495B-8DA3-A990C3C01C80}"/>
    <cellStyle name="Neutral 7" xfId="277" xr:uid="{C596DECA-C7B5-4C90-89C3-66DC88197CE2}"/>
    <cellStyle name="Neutral 8" xfId="450" xr:uid="{1BAF09DE-76A0-445A-91AB-6CA44470F32C}"/>
    <cellStyle name="Neutral 9" xfId="789" xr:uid="{FE5DD36D-2795-4963-812D-9C8D812D8F5B}"/>
    <cellStyle name="Normal" xfId="0" builtinId="0"/>
    <cellStyle name="Normal 15" xfId="50" xr:uid="{4F72A938-BD44-476B-9315-6DF6494CF43E}"/>
    <cellStyle name="Normal 2" xfId="51" xr:uid="{CDF2EC71-5371-4639-AC59-06371AD31130}"/>
    <cellStyle name="Normal 2 10" xfId="52" xr:uid="{33BFEB52-2243-4CA5-A33F-C088FC2E5A4E}"/>
    <cellStyle name="Normal 3" xfId="53" xr:uid="{29EBA17D-6062-44EC-9A8C-A23EE77FB5DB}"/>
    <cellStyle name="Normal 3 57" xfId="62" xr:uid="{9E1531B1-5F89-4B77-92FE-623F5160CBAF}"/>
    <cellStyle name="Normal 4" xfId="54" xr:uid="{D6C8DFBC-CBE0-4D7C-9D9B-54E99096CF04}"/>
    <cellStyle name="Normal 4 10" xfId="55" xr:uid="{3F67D9B2-3D0C-4C78-A613-9E3233BB3018}"/>
    <cellStyle name="Normal 5" xfId="56" xr:uid="{7D1437B2-7C92-40DD-82EA-6796FC61EB79}"/>
    <cellStyle name="Notas" xfId="15" builtinId="10" customBuiltin="1"/>
    <cellStyle name="Porcentaje 2" xfId="79" xr:uid="{1B1F76A6-B330-4EC2-937B-5A442201BD9F}"/>
    <cellStyle name="Porcentaje 3" xfId="97" xr:uid="{A8420098-015F-43B6-801B-4223D5DD0F53}"/>
    <cellStyle name="Porcentaje 4" xfId="126" xr:uid="{2890E113-2A09-4435-9890-C25ECD78A61A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BA96-5771-4461-BC07-9C24EE62BD6C}">
  <dimension ref="A1:AC96"/>
  <sheetViews>
    <sheetView tabSelected="1" workbookViewId="0">
      <pane xSplit="4" ySplit="1" topLeftCell="E17" activePane="bottomRight" state="frozen"/>
      <selection pane="topRight" activeCell="C1" sqref="C1"/>
      <selection pane="bottomLeft" activeCell="A2" sqref="A2"/>
      <selection pane="bottomRight" activeCell="AC31" sqref="AC31"/>
    </sheetView>
  </sheetViews>
  <sheetFormatPr baseColWidth="10" defaultRowHeight="14"/>
  <cols>
    <col min="5" max="9" width="11.19921875" style="6"/>
    <col min="10" max="10" width="12.296875" style="6" bestFit="1" customWidth="1"/>
    <col min="11" max="15" width="11.19921875" style="6"/>
    <col min="16" max="16" width="11.19921875" style="23"/>
    <col min="18" max="18" width="11.5" bestFit="1" customWidth="1"/>
    <col min="21" max="21" width="11.19921875" style="14"/>
    <col min="27" max="27" width="12.296875" bestFit="1" customWidth="1"/>
  </cols>
  <sheetData>
    <row r="1" spans="1:29" s="4" customFormat="1" ht="21.5">
      <c r="C1" s="3" t="s">
        <v>0</v>
      </c>
      <c r="D1" s="3" t="s">
        <v>1</v>
      </c>
      <c r="E1" s="5" t="s">
        <v>13</v>
      </c>
      <c r="F1" s="5" t="s">
        <v>6</v>
      </c>
      <c r="G1" s="5" t="s">
        <v>7</v>
      </c>
      <c r="H1" s="5" t="s">
        <v>8</v>
      </c>
      <c r="I1" s="5" t="s">
        <v>2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21</v>
      </c>
      <c r="O1" s="5" t="s">
        <v>22</v>
      </c>
      <c r="P1" s="17" t="s">
        <v>3</v>
      </c>
      <c r="Q1" s="17" t="s">
        <v>4</v>
      </c>
      <c r="R1" s="17" t="s">
        <v>5</v>
      </c>
      <c r="S1" s="17" t="s">
        <v>14</v>
      </c>
      <c r="T1" s="17" t="s">
        <v>17</v>
      </c>
      <c r="U1" s="15" t="s">
        <v>171</v>
      </c>
      <c r="V1" s="15" t="s">
        <v>15</v>
      </c>
      <c r="W1" s="15" t="s">
        <v>16</v>
      </c>
      <c r="X1" s="15" t="s">
        <v>18</v>
      </c>
      <c r="Y1" s="15" t="s">
        <v>19</v>
      </c>
      <c r="Z1" s="15" t="s">
        <v>20</v>
      </c>
      <c r="AA1" s="3" t="s">
        <v>23</v>
      </c>
    </row>
    <row r="2" spans="1:29">
      <c r="C2" t="s">
        <v>24</v>
      </c>
      <c r="D2" t="s">
        <v>25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23">
        <f>+Q2+R2+S2+T2</f>
        <v>0</v>
      </c>
      <c r="Q2">
        <v>0</v>
      </c>
      <c r="R2">
        <v>0</v>
      </c>
      <c r="S2">
        <v>0</v>
      </c>
      <c r="T2">
        <v>0</v>
      </c>
      <c r="U2" s="14">
        <f>+V2+W2+X2+Y2+Z2</f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9">
      <c r="C3" t="s">
        <v>26</v>
      </c>
      <c r="D3" t="s">
        <v>27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23">
        <f t="shared" ref="P3:P66" si="0">+Q3+R3+S3+T3</f>
        <v>0</v>
      </c>
      <c r="Q3">
        <v>0</v>
      </c>
      <c r="R3">
        <v>0</v>
      </c>
      <c r="S3">
        <v>0</v>
      </c>
      <c r="T3">
        <v>0</v>
      </c>
      <c r="U3" s="14">
        <f t="shared" ref="U3:U66" si="1">+V3+W3+X3+Y3+Z3</f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9">
      <c r="C4" t="s">
        <v>28</v>
      </c>
      <c r="D4" t="s">
        <v>29</v>
      </c>
      <c r="E4" s="7">
        <v>-30352473</v>
      </c>
      <c r="F4" s="7">
        <v>119037891</v>
      </c>
      <c r="G4" s="7">
        <v>32416243</v>
      </c>
      <c r="H4" s="7">
        <v>87115455</v>
      </c>
      <c r="I4" s="6">
        <v>0</v>
      </c>
      <c r="J4" s="7">
        <v>186578431</v>
      </c>
      <c r="K4" s="7">
        <v>68673937</v>
      </c>
      <c r="L4" s="7">
        <v>128860197</v>
      </c>
      <c r="M4" s="7">
        <v>62698035</v>
      </c>
      <c r="N4" s="7">
        <v>59736841</v>
      </c>
      <c r="O4" s="7">
        <v>88780288</v>
      </c>
      <c r="P4" s="23">
        <f t="shared" si="0"/>
        <v>163086752</v>
      </c>
      <c r="Q4">
        <v>0</v>
      </c>
      <c r="R4" s="1">
        <v>163086752</v>
      </c>
      <c r="S4">
        <v>0</v>
      </c>
      <c r="T4">
        <v>0</v>
      </c>
      <c r="U4" s="14">
        <f t="shared" si="1"/>
        <v>208354</v>
      </c>
      <c r="V4" s="1">
        <v>208354</v>
      </c>
      <c r="W4">
        <v>0</v>
      </c>
      <c r="X4">
        <v>0</v>
      </c>
      <c r="Y4">
        <v>0</v>
      </c>
      <c r="Z4">
        <v>0</v>
      </c>
      <c r="AA4" s="1">
        <v>966839951</v>
      </c>
      <c r="AB4" s="26">
        <f>AA4-966840494</f>
        <v>-543</v>
      </c>
    </row>
    <row r="5" spans="1:29">
      <c r="A5" s="24"/>
      <c r="B5" s="24" t="str">
        <f>+Hoja2!A2</f>
        <v>3.1.02.102</v>
      </c>
      <c r="C5" t="s">
        <v>37</v>
      </c>
      <c r="D5" t="s">
        <v>38</v>
      </c>
      <c r="E5" s="7">
        <v>20105785</v>
      </c>
      <c r="F5" s="7">
        <v>-60656993</v>
      </c>
      <c r="G5" s="7">
        <v>-14923692</v>
      </c>
      <c r="H5" s="7">
        <v>-41576576</v>
      </c>
      <c r="I5" s="6">
        <v>0</v>
      </c>
      <c r="J5" s="7">
        <v>-93620764</v>
      </c>
      <c r="K5" s="7">
        <v>-34128095</v>
      </c>
      <c r="L5" s="7">
        <v>-65712074</v>
      </c>
      <c r="M5" s="7">
        <v>-31814260</v>
      </c>
      <c r="N5" s="7">
        <v>-29906680</v>
      </c>
      <c r="O5" s="7">
        <v>-44167044</v>
      </c>
      <c r="P5" s="23">
        <f t="shared" si="0"/>
        <v>-105257957</v>
      </c>
      <c r="Q5">
        <v>0</v>
      </c>
      <c r="R5" s="1">
        <v>-105257957</v>
      </c>
      <c r="S5">
        <v>0</v>
      </c>
      <c r="T5">
        <v>0</v>
      </c>
      <c r="U5" s="14">
        <f t="shared" si="1"/>
        <v>0</v>
      </c>
      <c r="V5">
        <v>0</v>
      </c>
      <c r="W5">
        <v>0</v>
      </c>
      <c r="X5">
        <v>0</v>
      </c>
      <c r="Y5">
        <v>0</v>
      </c>
      <c r="Z5">
        <v>0</v>
      </c>
      <c r="AA5" s="1">
        <v>-501658350</v>
      </c>
      <c r="AB5">
        <f>501658375-501658350</f>
        <v>25</v>
      </c>
    </row>
    <row r="6" spans="1:29">
      <c r="C6" t="s">
        <v>30</v>
      </c>
      <c r="D6" t="s">
        <v>31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23">
        <f t="shared" si="0"/>
        <v>0</v>
      </c>
      <c r="Q6">
        <v>0</v>
      </c>
      <c r="R6">
        <v>0</v>
      </c>
      <c r="S6">
        <v>0</v>
      </c>
      <c r="T6">
        <v>0</v>
      </c>
      <c r="U6" s="14">
        <f t="shared" si="1"/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9" s="21" customFormat="1">
      <c r="C7" s="21" t="s">
        <v>32</v>
      </c>
      <c r="D7" s="21" t="s">
        <v>33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3">
        <f t="shared" si="0"/>
        <v>0</v>
      </c>
      <c r="Q7" s="21">
        <v>0</v>
      </c>
      <c r="R7" s="21">
        <v>0</v>
      </c>
      <c r="S7" s="21">
        <v>0</v>
      </c>
      <c r="T7" s="21">
        <v>0</v>
      </c>
      <c r="U7" s="14">
        <f t="shared" si="1"/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</row>
    <row r="8" spans="1:29">
      <c r="A8" t="b">
        <f>EXACT(C8,B8)</f>
        <v>1</v>
      </c>
      <c r="B8" t="str">
        <f>+Hoja2!A1</f>
        <v>3.1.01.300</v>
      </c>
      <c r="C8" t="s">
        <v>34</v>
      </c>
      <c r="D8" t="s">
        <v>35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23">
        <f t="shared" si="0"/>
        <v>10765435</v>
      </c>
      <c r="Q8" s="1">
        <v>10765435</v>
      </c>
      <c r="R8">
        <v>0</v>
      </c>
      <c r="S8">
        <v>0</v>
      </c>
      <c r="T8">
        <v>0</v>
      </c>
      <c r="U8" s="14">
        <f t="shared" si="1"/>
        <v>0</v>
      </c>
      <c r="V8">
        <v>0</v>
      </c>
      <c r="W8">
        <v>0</v>
      </c>
      <c r="X8">
        <v>0</v>
      </c>
      <c r="Y8">
        <v>0</v>
      </c>
      <c r="Z8">
        <v>0</v>
      </c>
      <c r="AA8" s="1">
        <v>10765435</v>
      </c>
      <c r="AB8" s="26">
        <v>10765435</v>
      </c>
      <c r="AC8" t="b">
        <f>EXACT(AA8,AB8)</f>
        <v>1</v>
      </c>
    </row>
    <row r="9" spans="1:29">
      <c r="A9" s="24" t="b">
        <f t="shared" ref="A9:A40" si="2">EXACT(C9,B9)</f>
        <v>1</v>
      </c>
      <c r="B9" s="24" t="str">
        <f>+Hoja2!A2</f>
        <v>3.1.02.102</v>
      </c>
      <c r="C9" t="s">
        <v>152</v>
      </c>
      <c r="D9" t="s">
        <v>153</v>
      </c>
      <c r="E9" s="7">
        <v>-9366599</v>
      </c>
      <c r="F9" s="7">
        <v>-484722</v>
      </c>
      <c r="G9" s="7">
        <v>-281927</v>
      </c>
      <c r="H9" s="7">
        <v>-484722</v>
      </c>
      <c r="I9" s="6">
        <v>0</v>
      </c>
      <c r="J9" s="7">
        <v>-484721</v>
      </c>
      <c r="K9" s="7">
        <v>-484721</v>
      </c>
      <c r="L9" s="7">
        <v>-484721</v>
      </c>
      <c r="M9" s="7">
        <v>-484721</v>
      </c>
      <c r="N9" s="7">
        <v>-484721</v>
      </c>
      <c r="O9" s="7">
        <v>-484721</v>
      </c>
      <c r="P9" s="23">
        <f t="shared" si="0"/>
        <v>150000</v>
      </c>
      <c r="Q9">
        <v>0</v>
      </c>
      <c r="R9" s="1">
        <v>150000</v>
      </c>
      <c r="S9">
        <v>0</v>
      </c>
      <c r="T9">
        <v>0</v>
      </c>
      <c r="U9" s="14">
        <f t="shared" si="1"/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-13376296</v>
      </c>
      <c r="AB9" s="26">
        <v>-13376296</v>
      </c>
      <c r="AC9" s="24" t="b">
        <f t="shared" ref="AC9:AC72" si="3">EXACT(AA9,AB9)</f>
        <v>1</v>
      </c>
    </row>
    <row r="10" spans="1:29">
      <c r="A10" s="24" t="b">
        <f t="shared" si="2"/>
        <v>1</v>
      </c>
      <c r="B10" s="24" t="str">
        <f>+Hoja2!A3</f>
        <v>3.1.02.104</v>
      </c>
      <c r="C10" t="s">
        <v>39</v>
      </c>
      <c r="D10" t="s">
        <v>40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23">
        <f t="shared" si="0"/>
        <v>-4702554</v>
      </c>
      <c r="Q10">
        <v>0</v>
      </c>
      <c r="R10" s="1">
        <v>-2241874</v>
      </c>
      <c r="S10" s="1">
        <v>-539421</v>
      </c>
      <c r="T10" s="1">
        <v>-1921259</v>
      </c>
      <c r="U10" s="14">
        <f t="shared" si="1"/>
        <v>-7242837</v>
      </c>
      <c r="V10" s="1">
        <v>-1366337</v>
      </c>
      <c r="W10" s="1">
        <v>-1063838</v>
      </c>
      <c r="X10" s="1">
        <v>-4812662</v>
      </c>
      <c r="Y10">
        <v>0</v>
      </c>
      <c r="Z10">
        <v>0</v>
      </c>
      <c r="AA10" s="1">
        <v>-11945391</v>
      </c>
      <c r="AB10" s="26">
        <v>-11945391</v>
      </c>
      <c r="AC10" s="24" t="b">
        <f t="shared" si="3"/>
        <v>1</v>
      </c>
    </row>
    <row r="11" spans="1:29">
      <c r="A11" s="24" t="b">
        <f t="shared" si="2"/>
        <v>1</v>
      </c>
      <c r="B11" s="24" t="str">
        <f>+Hoja2!A4</f>
        <v>3.1.02.105</v>
      </c>
      <c r="C11" t="s">
        <v>154</v>
      </c>
      <c r="D11" t="s">
        <v>155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23">
        <f t="shared" si="0"/>
        <v>-14363756</v>
      </c>
      <c r="Q11">
        <v>0</v>
      </c>
      <c r="R11" s="1">
        <v>-9540866</v>
      </c>
      <c r="S11" s="1">
        <v>-19774</v>
      </c>
      <c r="T11" s="1">
        <v>-4803116</v>
      </c>
      <c r="U11" s="14">
        <f t="shared" si="1"/>
        <v>-2866174</v>
      </c>
      <c r="V11">
        <v>0</v>
      </c>
      <c r="W11">
        <v>0</v>
      </c>
      <c r="X11" s="1">
        <v>-2866174</v>
      </c>
      <c r="Y11">
        <v>0</v>
      </c>
      <c r="Z11">
        <v>0</v>
      </c>
      <c r="AA11" s="1">
        <v>-17229930</v>
      </c>
      <c r="AB11" s="26">
        <v>-17229930</v>
      </c>
      <c r="AC11" s="24" t="b">
        <f t="shared" si="3"/>
        <v>1</v>
      </c>
    </row>
    <row r="12" spans="1:29">
      <c r="A12" s="24" t="b">
        <f t="shared" si="2"/>
        <v>1</v>
      </c>
      <c r="B12" s="24" t="str">
        <f>+Hoja2!A5</f>
        <v>3.1.02.108</v>
      </c>
      <c r="C12" t="s">
        <v>41</v>
      </c>
      <c r="D12" t="s">
        <v>42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23">
        <f t="shared" si="0"/>
        <v>-222925</v>
      </c>
      <c r="Q12">
        <v>0</v>
      </c>
      <c r="R12">
        <v>0</v>
      </c>
      <c r="S12" s="1">
        <v>-25701</v>
      </c>
      <c r="T12" s="1">
        <v>-197224</v>
      </c>
      <c r="U12" s="14">
        <f t="shared" si="1"/>
        <v>-8258503</v>
      </c>
      <c r="V12" s="1">
        <v>-6560249</v>
      </c>
      <c r="W12">
        <v>0</v>
      </c>
      <c r="X12" s="1">
        <v>-1698254</v>
      </c>
      <c r="Y12">
        <v>0</v>
      </c>
      <c r="Z12">
        <v>0</v>
      </c>
      <c r="AA12" s="1">
        <v>-8481428</v>
      </c>
      <c r="AB12" s="26">
        <v>-8481428</v>
      </c>
      <c r="AC12" s="24" t="b">
        <f t="shared" si="3"/>
        <v>1</v>
      </c>
    </row>
    <row r="13" spans="1:29">
      <c r="A13" s="24" t="b">
        <f t="shared" si="2"/>
        <v>1</v>
      </c>
      <c r="B13" s="24" t="str">
        <f>+Hoja2!A6</f>
        <v>3.1.02.109</v>
      </c>
      <c r="C13" t="s">
        <v>43</v>
      </c>
      <c r="D13" t="s">
        <v>33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-60000</v>
      </c>
      <c r="K13" s="6">
        <v>0</v>
      </c>
      <c r="L13" s="7">
        <v>-44990</v>
      </c>
      <c r="M13" s="6">
        <v>0</v>
      </c>
      <c r="N13" s="6">
        <v>0</v>
      </c>
      <c r="O13" s="6">
        <v>0</v>
      </c>
      <c r="P13" s="23">
        <f t="shared" si="0"/>
        <v>0</v>
      </c>
      <c r="Q13">
        <v>0</v>
      </c>
      <c r="R13">
        <v>0</v>
      </c>
      <c r="S13">
        <v>0</v>
      </c>
      <c r="T13">
        <v>0</v>
      </c>
      <c r="U13" s="14">
        <f t="shared" si="1"/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">
        <v>-104990</v>
      </c>
      <c r="AB13" s="26">
        <v>-104990</v>
      </c>
      <c r="AC13" s="24" t="b">
        <f t="shared" si="3"/>
        <v>1</v>
      </c>
    </row>
    <row r="14" spans="1:29">
      <c r="A14" s="24" t="b">
        <f t="shared" si="2"/>
        <v>1</v>
      </c>
      <c r="B14" s="24" t="str">
        <f>+Hoja2!A7</f>
        <v>3.1.02.110</v>
      </c>
      <c r="C14" t="s">
        <v>44</v>
      </c>
      <c r="D14" t="s">
        <v>45</v>
      </c>
      <c r="E14" s="6">
        <v>0</v>
      </c>
      <c r="F14" s="7">
        <v>-10120</v>
      </c>
      <c r="G14" s="7">
        <v>-10776</v>
      </c>
      <c r="H14" s="7">
        <v>-5696</v>
      </c>
      <c r="I14" s="6">
        <v>0</v>
      </c>
      <c r="J14" s="7">
        <v>-18330</v>
      </c>
      <c r="K14" s="7">
        <v>-100966</v>
      </c>
      <c r="L14" s="7">
        <v>-32386</v>
      </c>
      <c r="M14" s="6">
        <v>0</v>
      </c>
      <c r="N14" s="6">
        <v>0</v>
      </c>
      <c r="O14" s="6">
        <v>0</v>
      </c>
      <c r="P14" s="23">
        <f t="shared" si="0"/>
        <v>0</v>
      </c>
      <c r="Q14">
        <v>0</v>
      </c>
      <c r="R14">
        <v>0</v>
      </c>
      <c r="S14">
        <v>0</v>
      </c>
      <c r="T14">
        <v>0</v>
      </c>
      <c r="U14" s="14">
        <f t="shared" si="1"/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-178274</v>
      </c>
      <c r="AB14" s="26">
        <v>-178274</v>
      </c>
      <c r="AC14" s="24" t="b">
        <f t="shared" si="3"/>
        <v>1</v>
      </c>
    </row>
    <row r="15" spans="1:29">
      <c r="A15" s="24" t="b">
        <f t="shared" si="2"/>
        <v>1</v>
      </c>
      <c r="B15" s="24" t="str">
        <f>+Hoja2!A8</f>
        <v>3.1.05.101</v>
      </c>
      <c r="C15" t="s">
        <v>49</v>
      </c>
      <c r="D15" t="s">
        <v>50</v>
      </c>
      <c r="E15" s="6">
        <v>0</v>
      </c>
      <c r="F15" s="7">
        <v>-19605284</v>
      </c>
      <c r="G15" s="7">
        <v>-4340553</v>
      </c>
      <c r="H15" s="7">
        <v>-19777384</v>
      </c>
      <c r="I15" s="7">
        <v>-1005381</v>
      </c>
      <c r="J15" s="7">
        <v>-23788136</v>
      </c>
      <c r="K15" s="7">
        <v>-15596068</v>
      </c>
      <c r="L15" s="7">
        <v>-21549622</v>
      </c>
      <c r="M15" s="7">
        <v>-15454865</v>
      </c>
      <c r="N15" s="7">
        <v>-15892636</v>
      </c>
      <c r="O15" s="7">
        <v>-16884316</v>
      </c>
      <c r="P15" s="23">
        <f t="shared" si="0"/>
        <v>-13430862</v>
      </c>
      <c r="Q15">
        <v>0</v>
      </c>
      <c r="R15" s="1">
        <v>-13430862</v>
      </c>
      <c r="S15">
        <v>0</v>
      </c>
      <c r="T15">
        <v>0</v>
      </c>
      <c r="U15" s="14">
        <f t="shared" si="1"/>
        <v>-5733292</v>
      </c>
      <c r="V15">
        <v>0</v>
      </c>
      <c r="W15">
        <v>0</v>
      </c>
      <c r="X15">
        <v>0</v>
      </c>
      <c r="Y15" s="1">
        <v>-5733292</v>
      </c>
      <c r="Z15">
        <v>0</v>
      </c>
      <c r="AA15" s="1">
        <v>-173058399</v>
      </c>
      <c r="AB15" s="26">
        <v>-173058399</v>
      </c>
      <c r="AC15" s="24" t="b">
        <f t="shared" si="3"/>
        <v>1</v>
      </c>
    </row>
    <row r="16" spans="1:29">
      <c r="A16" s="24" t="b">
        <f t="shared" si="2"/>
        <v>1</v>
      </c>
      <c r="B16" s="24" t="str">
        <f>+Hoja2!A9</f>
        <v>3.1.05.102</v>
      </c>
      <c r="C16" t="s">
        <v>51</v>
      </c>
      <c r="D16" t="s">
        <v>52</v>
      </c>
      <c r="E16" s="6">
        <v>0</v>
      </c>
      <c r="F16" s="7">
        <v>-718846</v>
      </c>
      <c r="G16" s="7">
        <v>-8666</v>
      </c>
      <c r="H16" s="7">
        <v>-387944</v>
      </c>
      <c r="I16" s="7">
        <v>-20000</v>
      </c>
      <c r="J16" s="7">
        <v>-635071</v>
      </c>
      <c r="K16" s="7">
        <v>-404590</v>
      </c>
      <c r="L16" s="7">
        <v>-1518574</v>
      </c>
      <c r="M16" s="7">
        <v>-367293</v>
      </c>
      <c r="N16" s="7">
        <v>323240</v>
      </c>
      <c r="O16" s="7">
        <v>-953000</v>
      </c>
      <c r="P16" s="23">
        <f t="shared" si="0"/>
        <v>-945271</v>
      </c>
      <c r="Q16">
        <v>0</v>
      </c>
      <c r="R16" s="1">
        <v>-945271</v>
      </c>
      <c r="S16">
        <v>0</v>
      </c>
      <c r="T16">
        <v>0</v>
      </c>
      <c r="U16" s="14">
        <f t="shared" si="1"/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1">
        <v>-5636015</v>
      </c>
      <c r="AB16" s="26">
        <v>-5636015</v>
      </c>
      <c r="AC16" s="24" t="b">
        <f t="shared" si="3"/>
        <v>1</v>
      </c>
    </row>
    <row r="17" spans="1:29">
      <c r="A17" s="24" t="b">
        <f t="shared" si="2"/>
        <v>1</v>
      </c>
      <c r="B17" s="24" t="str">
        <f>+Hoja2!A10</f>
        <v>3.1.05.103</v>
      </c>
      <c r="C17" t="s">
        <v>53</v>
      </c>
      <c r="D17" t="s">
        <v>54</v>
      </c>
      <c r="E17" s="6">
        <v>0</v>
      </c>
      <c r="F17" s="7">
        <v>-692642</v>
      </c>
      <c r="G17" s="7">
        <v>-176477</v>
      </c>
      <c r="H17" s="7">
        <v>-718791</v>
      </c>
      <c r="I17" s="7">
        <v>-81064</v>
      </c>
      <c r="J17" s="7">
        <v>-866143</v>
      </c>
      <c r="K17" s="7">
        <v>-554933</v>
      </c>
      <c r="L17" s="7">
        <v>-804251</v>
      </c>
      <c r="M17" s="7">
        <v>-555974</v>
      </c>
      <c r="N17" s="7">
        <v>-564822</v>
      </c>
      <c r="O17" s="7">
        <v>-613548</v>
      </c>
      <c r="P17" s="23">
        <f t="shared" si="0"/>
        <v>-379112</v>
      </c>
      <c r="Q17">
        <v>0</v>
      </c>
      <c r="R17" s="1">
        <v>-379112</v>
      </c>
      <c r="S17">
        <v>0</v>
      </c>
      <c r="T17">
        <v>0</v>
      </c>
      <c r="U17" s="14">
        <f t="shared" si="1"/>
        <v>-140387</v>
      </c>
      <c r="V17">
        <v>0</v>
      </c>
      <c r="W17">
        <v>0</v>
      </c>
      <c r="X17">
        <v>0</v>
      </c>
      <c r="Y17" s="1">
        <v>-140387</v>
      </c>
      <c r="Z17">
        <v>0</v>
      </c>
      <c r="AA17" s="1">
        <v>-6148144</v>
      </c>
      <c r="AB17" s="26">
        <v>-6148144</v>
      </c>
      <c r="AC17" s="24" t="b">
        <f t="shared" si="3"/>
        <v>1</v>
      </c>
    </row>
    <row r="18" spans="1:29">
      <c r="A18" s="24" t="b">
        <f t="shared" si="2"/>
        <v>1</v>
      </c>
      <c r="B18" s="24" t="str">
        <f>+Hoja2!A11</f>
        <v>3.1.05.104</v>
      </c>
      <c r="C18" t="s">
        <v>55</v>
      </c>
      <c r="D18" t="s">
        <v>56</v>
      </c>
      <c r="E18" s="6">
        <v>0</v>
      </c>
      <c r="F18" s="7">
        <v>-4698748</v>
      </c>
      <c r="G18" s="7">
        <v>-1339662</v>
      </c>
      <c r="H18" s="7">
        <v>-4820799</v>
      </c>
      <c r="I18" s="7">
        <v>-305874</v>
      </c>
      <c r="J18" s="7">
        <v>-5574494</v>
      </c>
      <c r="K18" s="7">
        <v>-3913639</v>
      </c>
      <c r="L18" s="7">
        <v>-5185749</v>
      </c>
      <c r="M18" s="7">
        <v>-3973103</v>
      </c>
      <c r="N18" s="7">
        <v>-3973505</v>
      </c>
      <c r="O18" s="7">
        <v>-4093878</v>
      </c>
      <c r="P18" s="23">
        <f t="shared" si="0"/>
        <v>-1839436</v>
      </c>
      <c r="Q18">
        <v>0</v>
      </c>
      <c r="R18" s="1">
        <v>-1839436</v>
      </c>
      <c r="S18">
        <v>0</v>
      </c>
      <c r="T18">
        <v>0</v>
      </c>
      <c r="U18" s="14">
        <f t="shared" si="1"/>
        <v>-591154</v>
      </c>
      <c r="V18">
        <v>0</v>
      </c>
      <c r="W18">
        <v>0</v>
      </c>
      <c r="X18">
        <v>0</v>
      </c>
      <c r="Y18" s="1">
        <v>-591154</v>
      </c>
      <c r="Z18">
        <v>0</v>
      </c>
      <c r="AA18" s="1">
        <v>-40310041</v>
      </c>
      <c r="AB18" s="26">
        <v>-40310041</v>
      </c>
      <c r="AC18" s="24" t="b">
        <f t="shared" si="3"/>
        <v>1</v>
      </c>
    </row>
    <row r="19" spans="1:29">
      <c r="A19" s="24" t="b">
        <f t="shared" si="2"/>
        <v>1</v>
      </c>
      <c r="B19" s="24" t="str">
        <f>+Hoja2!A12</f>
        <v>3.1.05.107</v>
      </c>
      <c r="C19" t="s">
        <v>57</v>
      </c>
      <c r="D19" t="s">
        <v>58</v>
      </c>
      <c r="E19" s="6">
        <v>0</v>
      </c>
      <c r="F19" s="7">
        <v>-701842</v>
      </c>
      <c r="G19" s="6">
        <v>0</v>
      </c>
      <c r="H19" s="7">
        <v>-90809</v>
      </c>
      <c r="I19" s="7">
        <v>-1279325</v>
      </c>
      <c r="J19" s="6">
        <v>0</v>
      </c>
      <c r="K19" s="7">
        <v>-59888</v>
      </c>
      <c r="L19" s="6">
        <v>0</v>
      </c>
      <c r="M19" s="7">
        <v>-86412</v>
      </c>
      <c r="N19" s="7">
        <v>-105208</v>
      </c>
      <c r="O19" s="7">
        <v>-502172</v>
      </c>
      <c r="P19" s="23">
        <f t="shared" si="0"/>
        <v>0</v>
      </c>
      <c r="Q19">
        <v>0</v>
      </c>
      <c r="R19">
        <v>0</v>
      </c>
      <c r="S19">
        <v>0</v>
      </c>
      <c r="T19">
        <v>0</v>
      </c>
      <c r="U19" s="14">
        <f t="shared" si="1"/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1">
        <v>-2825656</v>
      </c>
      <c r="AB19" s="26">
        <v>-2825656</v>
      </c>
      <c r="AC19" s="24" t="b">
        <f t="shared" si="3"/>
        <v>1</v>
      </c>
    </row>
    <row r="20" spans="1:29">
      <c r="A20" s="24" t="b">
        <f t="shared" si="2"/>
        <v>1</v>
      </c>
      <c r="B20" s="24" t="str">
        <f>+Hoja2!A13</f>
        <v>3.1.05.110</v>
      </c>
      <c r="C20" t="s">
        <v>59</v>
      </c>
      <c r="D20" t="s">
        <v>60</v>
      </c>
      <c r="E20" s="6">
        <v>0</v>
      </c>
      <c r="F20" s="7">
        <v>-260348</v>
      </c>
      <c r="G20" s="7">
        <v>-65861</v>
      </c>
      <c r="H20" s="7">
        <v>-257184</v>
      </c>
      <c r="I20" s="7">
        <v>-15661</v>
      </c>
      <c r="J20" s="7">
        <v>-323752</v>
      </c>
      <c r="K20" s="7">
        <v>-200082</v>
      </c>
      <c r="L20" s="7">
        <v>-300022</v>
      </c>
      <c r="M20" s="7">
        <v>-204243</v>
      </c>
      <c r="N20" s="7">
        <v>-202216</v>
      </c>
      <c r="O20" s="7">
        <v>-220885</v>
      </c>
      <c r="P20" s="23">
        <f t="shared" si="0"/>
        <v>-141509</v>
      </c>
      <c r="Q20">
        <v>0</v>
      </c>
      <c r="R20" s="1">
        <v>-141509</v>
      </c>
      <c r="S20">
        <v>0</v>
      </c>
      <c r="T20">
        <v>0</v>
      </c>
      <c r="U20" s="14">
        <f t="shared" si="1"/>
        <v>-48283</v>
      </c>
      <c r="V20">
        <v>0</v>
      </c>
      <c r="W20">
        <v>0</v>
      </c>
      <c r="X20">
        <v>0</v>
      </c>
      <c r="Y20" s="1">
        <v>-48283</v>
      </c>
      <c r="Z20">
        <v>0</v>
      </c>
      <c r="AA20" s="1">
        <v>-2240046</v>
      </c>
      <c r="AB20" s="26">
        <v>-2240046</v>
      </c>
      <c r="AC20" s="24" t="b">
        <f t="shared" si="3"/>
        <v>1</v>
      </c>
    </row>
    <row r="21" spans="1:29">
      <c r="A21" s="24" t="b">
        <f t="shared" si="2"/>
        <v>1</v>
      </c>
      <c r="B21" s="24" t="str">
        <f>+Hoja2!A14</f>
        <v>3.1.05.111</v>
      </c>
      <c r="C21" t="s">
        <v>61</v>
      </c>
      <c r="D21" t="s">
        <v>62</v>
      </c>
      <c r="E21" s="6">
        <v>0</v>
      </c>
      <c r="F21" s="7">
        <v>-436142</v>
      </c>
      <c r="G21" s="7">
        <v>-114723</v>
      </c>
      <c r="H21" s="7">
        <v>-442491</v>
      </c>
      <c r="I21" s="7">
        <v>-52016</v>
      </c>
      <c r="J21" s="7">
        <v>-543253</v>
      </c>
      <c r="K21" s="7">
        <v>-344879</v>
      </c>
      <c r="L21" s="7">
        <v>-501846</v>
      </c>
      <c r="M21" s="7">
        <v>-346669</v>
      </c>
      <c r="N21" s="7">
        <v>-339584</v>
      </c>
      <c r="O21" s="7">
        <v>-375381</v>
      </c>
      <c r="P21" s="23">
        <f t="shared" si="0"/>
        <v>-237394</v>
      </c>
      <c r="Q21">
        <v>0</v>
      </c>
      <c r="R21" s="1">
        <v>-237394</v>
      </c>
      <c r="S21">
        <v>0</v>
      </c>
      <c r="T21">
        <v>0</v>
      </c>
      <c r="U21" s="14">
        <f t="shared" si="1"/>
        <v>-81001</v>
      </c>
      <c r="V21">
        <v>0</v>
      </c>
      <c r="W21">
        <v>0</v>
      </c>
      <c r="X21">
        <v>0</v>
      </c>
      <c r="Y21" s="1">
        <v>-81001</v>
      </c>
      <c r="Z21">
        <v>0</v>
      </c>
      <c r="AA21" s="1">
        <v>-3815379</v>
      </c>
      <c r="AB21" s="26">
        <v>-3815379</v>
      </c>
      <c r="AC21" s="24" t="b">
        <f t="shared" si="3"/>
        <v>1</v>
      </c>
    </row>
    <row r="22" spans="1:29">
      <c r="A22" s="24" t="b">
        <f t="shared" si="2"/>
        <v>1</v>
      </c>
      <c r="B22" s="24" t="str">
        <f>+Hoja2!A15</f>
        <v>3.1.05.112</v>
      </c>
      <c r="C22" t="s">
        <v>63</v>
      </c>
      <c r="D22" t="s">
        <v>64</v>
      </c>
      <c r="E22" s="6">
        <v>0</v>
      </c>
      <c r="F22" s="7">
        <v>-27997</v>
      </c>
      <c r="G22" s="7">
        <v>-7083</v>
      </c>
      <c r="H22" s="7">
        <v>-27627</v>
      </c>
      <c r="I22" s="7">
        <v>-1628</v>
      </c>
      <c r="J22" s="7">
        <v>-34812</v>
      </c>
      <c r="K22" s="7">
        <v>-21494</v>
      </c>
      <c r="L22" s="7">
        <v>-32261</v>
      </c>
      <c r="M22" s="7">
        <v>-21952</v>
      </c>
      <c r="N22" s="7">
        <v>-21744</v>
      </c>
      <c r="O22" s="7">
        <v>-23739</v>
      </c>
      <c r="P22" s="23">
        <f t="shared" si="0"/>
        <v>-15218</v>
      </c>
      <c r="Q22">
        <v>0</v>
      </c>
      <c r="R22" s="1">
        <v>-15218</v>
      </c>
      <c r="S22">
        <v>0</v>
      </c>
      <c r="T22">
        <v>0</v>
      </c>
      <c r="U22" s="14">
        <f t="shared" si="1"/>
        <v>-5192</v>
      </c>
      <c r="V22">
        <v>0</v>
      </c>
      <c r="W22">
        <v>0</v>
      </c>
      <c r="X22">
        <v>0</v>
      </c>
      <c r="Y22" s="1">
        <v>-5192</v>
      </c>
      <c r="Z22">
        <v>0</v>
      </c>
      <c r="AA22" s="1">
        <v>-240747</v>
      </c>
      <c r="AB22" s="26">
        <v>-240747</v>
      </c>
      <c r="AC22" s="24" t="b">
        <f t="shared" si="3"/>
        <v>1</v>
      </c>
    </row>
    <row r="23" spans="1:29">
      <c r="A23" s="24" t="b">
        <f t="shared" si="2"/>
        <v>1</v>
      </c>
      <c r="B23" s="24" t="str">
        <f>+Hoja2!A16</f>
        <v>3.1.05.113</v>
      </c>
      <c r="C23" t="s">
        <v>65</v>
      </c>
      <c r="D23" t="s">
        <v>66</v>
      </c>
      <c r="E23" s="6">
        <v>0</v>
      </c>
      <c r="F23" s="7">
        <v>-251947</v>
      </c>
      <c r="G23" s="7">
        <v>-63734</v>
      </c>
      <c r="H23" s="7">
        <v>-255509</v>
      </c>
      <c r="I23" s="7">
        <v>-30400</v>
      </c>
      <c r="J23" s="7">
        <v>-313308</v>
      </c>
      <c r="K23" s="7">
        <v>-199693</v>
      </c>
      <c r="L23" s="7">
        <v>-290346</v>
      </c>
      <c r="M23" s="7">
        <v>-199937</v>
      </c>
      <c r="N23" s="7">
        <v>-195701</v>
      </c>
      <c r="O23" s="7">
        <v>-216739</v>
      </c>
      <c r="P23" s="23">
        <f t="shared" si="0"/>
        <v>-136944</v>
      </c>
      <c r="Q23">
        <v>0</v>
      </c>
      <c r="R23" s="1">
        <v>-136944</v>
      </c>
      <c r="S23">
        <v>0</v>
      </c>
      <c r="T23">
        <v>0</v>
      </c>
      <c r="U23" s="14">
        <f t="shared" si="1"/>
        <v>-46727</v>
      </c>
      <c r="V23">
        <v>0</v>
      </c>
      <c r="W23">
        <v>0</v>
      </c>
      <c r="X23">
        <v>0</v>
      </c>
      <c r="Y23" s="1">
        <v>-46727</v>
      </c>
      <c r="Z23">
        <v>0</v>
      </c>
      <c r="AA23" s="1">
        <v>-2200985</v>
      </c>
      <c r="AB23" s="26">
        <v>-2200985</v>
      </c>
      <c r="AC23" s="24" t="b">
        <f t="shared" si="3"/>
        <v>1</v>
      </c>
    </row>
    <row r="24" spans="1:29">
      <c r="A24" s="24" t="b">
        <f t="shared" si="2"/>
        <v>1</v>
      </c>
      <c r="B24" s="24" t="str">
        <f>+Hoja2!A17</f>
        <v>3.1.05.114</v>
      </c>
      <c r="C24" t="s">
        <v>67</v>
      </c>
      <c r="D24" t="s">
        <v>68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23">
        <f t="shared" si="0"/>
        <v>0</v>
      </c>
      <c r="Q24">
        <v>0</v>
      </c>
      <c r="R24">
        <v>0</v>
      </c>
      <c r="S24">
        <v>0</v>
      </c>
      <c r="T24">
        <v>0</v>
      </c>
      <c r="U24" s="14">
        <f t="shared" si="1"/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172</v>
      </c>
      <c r="AC24" s="24" t="b">
        <f t="shared" si="3"/>
        <v>0</v>
      </c>
    </row>
    <row r="25" spans="1:29">
      <c r="A25" s="24" t="b">
        <f t="shared" si="2"/>
        <v>1</v>
      </c>
      <c r="B25" s="24" t="str">
        <f>+Hoja2!A18</f>
        <v>3.1.05.117</v>
      </c>
      <c r="C25" t="s">
        <v>69</v>
      </c>
      <c r="D25" t="s">
        <v>70</v>
      </c>
      <c r="E25" s="6">
        <v>0</v>
      </c>
      <c r="F25" s="7">
        <v>-756319</v>
      </c>
      <c r="G25" s="7">
        <v>-470770</v>
      </c>
      <c r="H25" s="7">
        <v>-1034152</v>
      </c>
      <c r="I25" s="7">
        <v>-7718</v>
      </c>
      <c r="J25" s="7">
        <v>-625126</v>
      </c>
      <c r="K25" s="7">
        <v>-493923</v>
      </c>
      <c r="L25" s="6">
        <v>0</v>
      </c>
      <c r="M25" s="7">
        <v>-833493</v>
      </c>
      <c r="N25" s="7">
        <v>-725449</v>
      </c>
      <c r="O25" s="7">
        <v>-455337</v>
      </c>
      <c r="P25" s="23">
        <f t="shared" si="0"/>
        <v>0</v>
      </c>
      <c r="Q25">
        <v>0</v>
      </c>
      <c r="R25">
        <v>0</v>
      </c>
      <c r="S25">
        <v>0</v>
      </c>
      <c r="T25">
        <v>0</v>
      </c>
      <c r="U25" s="14">
        <f t="shared" si="1"/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-5402287</v>
      </c>
      <c r="AB25" s="26">
        <v>-5402287</v>
      </c>
      <c r="AC25" s="24" t="b">
        <f t="shared" si="3"/>
        <v>1</v>
      </c>
    </row>
    <row r="26" spans="1:29">
      <c r="A26" s="24" t="b">
        <f t="shared" si="2"/>
        <v>1</v>
      </c>
      <c r="B26" s="24" t="str">
        <f>+Hoja2!A19</f>
        <v>3.1.05.121</v>
      </c>
      <c r="C26" t="s">
        <v>71</v>
      </c>
      <c r="D26" t="s">
        <v>72</v>
      </c>
      <c r="E26" s="6">
        <v>0</v>
      </c>
      <c r="F26" s="7">
        <v>-678344</v>
      </c>
      <c r="G26" s="7">
        <v>-237589</v>
      </c>
      <c r="H26" s="7">
        <v>-549134</v>
      </c>
      <c r="I26" s="7">
        <v>-80923</v>
      </c>
      <c r="J26" s="7">
        <v>-1189945</v>
      </c>
      <c r="K26" s="7">
        <v>-405019</v>
      </c>
      <c r="L26" s="7">
        <v>-1170652</v>
      </c>
      <c r="M26" s="7">
        <v>-447565</v>
      </c>
      <c r="N26" s="7">
        <v>-337145</v>
      </c>
      <c r="O26" s="7">
        <v>-495606</v>
      </c>
      <c r="P26" s="23">
        <f t="shared" si="0"/>
        <v>0</v>
      </c>
      <c r="Q26">
        <v>0</v>
      </c>
      <c r="R26">
        <v>0</v>
      </c>
      <c r="S26">
        <v>0</v>
      </c>
      <c r="T26">
        <v>0</v>
      </c>
      <c r="U26" s="14">
        <f t="shared" si="1"/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>
        <v>-5591922</v>
      </c>
      <c r="AB26" s="26">
        <v>-5591922</v>
      </c>
      <c r="AC26" s="24" t="b">
        <f t="shared" si="3"/>
        <v>1</v>
      </c>
    </row>
    <row r="27" spans="1:29">
      <c r="A27" s="24" t="b">
        <f t="shared" si="2"/>
        <v>1</v>
      </c>
      <c r="B27" s="24" t="str">
        <f>+Hoja2!A20</f>
        <v>3.1.05.122</v>
      </c>
      <c r="C27" t="s">
        <v>73</v>
      </c>
      <c r="D27" t="s">
        <v>74</v>
      </c>
      <c r="E27" s="6">
        <v>0</v>
      </c>
      <c r="F27" s="7">
        <v>-3028261</v>
      </c>
      <c r="G27" s="7">
        <v>-989208</v>
      </c>
      <c r="H27" s="7">
        <v>-2231239</v>
      </c>
      <c r="I27" s="7">
        <v>-360252</v>
      </c>
      <c r="J27" s="7">
        <v>-5199117</v>
      </c>
      <c r="K27" s="7">
        <v>-1779090</v>
      </c>
      <c r="L27" s="7">
        <v>-4443222</v>
      </c>
      <c r="M27" s="7">
        <v>-1696561</v>
      </c>
      <c r="N27" s="7">
        <v>-1452179</v>
      </c>
      <c r="O27" s="7">
        <v>-2110592</v>
      </c>
      <c r="P27" s="23">
        <f t="shared" si="0"/>
        <v>0</v>
      </c>
      <c r="Q27">
        <v>0</v>
      </c>
      <c r="R27">
        <v>0</v>
      </c>
      <c r="S27">
        <v>0</v>
      </c>
      <c r="T27">
        <v>0</v>
      </c>
      <c r="U27" s="14">
        <f t="shared" si="1"/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-23289721</v>
      </c>
      <c r="AB27" s="26">
        <v>-23289721</v>
      </c>
      <c r="AC27" s="24" t="b">
        <f t="shared" si="3"/>
        <v>1</v>
      </c>
    </row>
    <row r="28" spans="1:29">
      <c r="A28" s="24" t="b">
        <f t="shared" si="2"/>
        <v>1</v>
      </c>
      <c r="B28" s="24" t="str">
        <f>+Hoja2!A21</f>
        <v>3.1.06.108</v>
      </c>
      <c r="C28" t="s">
        <v>75</v>
      </c>
      <c r="D28" t="s">
        <v>76</v>
      </c>
      <c r="E28" s="6">
        <v>0</v>
      </c>
      <c r="F28" s="7">
        <v>-1184946</v>
      </c>
      <c r="G28" s="7">
        <v>-229140</v>
      </c>
      <c r="H28" s="7">
        <v>-987223</v>
      </c>
      <c r="I28" s="7">
        <v>-62000</v>
      </c>
      <c r="J28" s="7">
        <v>-1290879</v>
      </c>
      <c r="K28" s="7">
        <v>-843943</v>
      </c>
      <c r="L28" s="7">
        <v>-1206733</v>
      </c>
      <c r="M28" s="7">
        <v>-825957</v>
      </c>
      <c r="N28" s="7">
        <v>-758701</v>
      </c>
      <c r="O28" s="7">
        <v>-888978</v>
      </c>
      <c r="P28" s="23">
        <f t="shared" si="0"/>
        <v>-428691</v>
      </c>
      <c r="Q28">
        <v>0</v>
      </c>
      <c r="R28" s="1">
        <v>-428691</v>
      </c>
      <c r="S28">
        <v>0</v>
      </c>
      <c r="T28">
        <v>0</v>
      </c>
      <c r="U28" s="14">
        <f t="shared" si="1"/>
        <v>-278975</v>
      </c>
      <c r="V28">
        <v>0</v>
      </c>
      <c r="W28">
        <v>0</v>
      </c>
      <c r="X28">
        <v>0</v>
      </c>
      <c r="Y28" s="1">
        <v>-278975</v>
      </c>
      <c r="Z28">
        <v>0</v>
      </c>
      <c r="AA28" s="1">
        <v>-8986166</v>
      </c>
      <c r="AB28" s="26">
        <v>-8986166</v>
      </c>
      <c r="AC28" s="24" t="b">
        <f t="shared" si="3"/>
        <v>1</v>
      </c>
    </row>
    <row r="29" spans="1:29">
      <c r="A29" s="24" t="b">
        <f t="shared" si="2"/>
        <v>1</v>
      </c>
      <c r="B29" s="24" t="str">
        <f>+Hoja2!A22</f>
        <v>3.1.06.109</v>
      </c>
      <c r="C29" t="s">
        <v>77</v>
      </c>
      <c r="D29" t="s">
        <v>78</v>
      </c>
      <c r="E29" s="6">
        <v>0</v>
      </c>
      <c r="F29" s="7">
        <v>-1184946</v>
      </c>
      <c r="G29" s="7">
        <v>-231000</v>
      </c>
      <c r="H29" s="7">
        <v>-985363</v>
      </c>
      <c r="I29" s="7">
        <v>-62000</v>
      </c>
      <c r="J29" s="7">
        <v>-1290879</v>
      </c>
      <c r="K29" s="7">
        <v>-843943</v>
      </c>
      <c r="L29" s="7">
        <v>-1206733</v>
      </c>
      <c r="M29" s="7">
        <v>-825957</v>
      </c>
      <c r="N29" s="7">
        <v>-758701</v>
      </c>
      <c r="O29" s="7">
        <v>-888978</v>
      </c>
      <c r="P29" s="23">
        <f t="shared" si="0"/>
        <v>-428691</v>
      </c>
      <c r="Q29">
        <v>0</v>
      </c>
      <c r="R29" s="1">
        <v>-428691</v>
      </c>
      <c r="S29">
        <v>0</v>
      </c>
      <c r="T29">
        <v>0</v>
      </c>
      <c r="U29" s="14">
        <f t="shared" si="1"/>
        <v>-278975</v>
      </c>
      <c r="V29">
        <v>0</v>
      </c>
      <c r="W29">
        <v>0</v>
      </c>
      <c r="X29">
        <v>0</v>
      </c>
      <c r="Y29" s="1">
        <v>-278975</v>
      </c>
      <c r="Z29">
        <v>0</v>
      </c>
      <c r="AA29" s="1">
        <v>-8986166</v>
      </c>
      <c r="AB29" s="26">
        <v>-8986166</v>
      </c>
      <c r="AC29" s="24" t="b">
        <f t="shared" si="3"/>
        <v>1</v>
      </c>
    </row>
    <row r="30" spans="1:29">
      <c r="A30" s="24" t="b">
        <f t="shared" si="2"/>
        <v>1</v>
      </c>
      <c r="B30" s="24" t="str">
        <f>+Hoja2!A23</f>
        <v>3.1.06.116</v>
      </c>
      <c r="C30" t="s">
        <v>79</v>
      </c>
      <c r="D30" t="s">
        <v>80</v>
      </c>
      <c r="E30" s="7">
        <v>-50143</v>
      </c>
      <c r="F30" s="7">
        <v>-476275</v>
      </c>
      <c r="G30" s="7">
        <v>-229667</v>
      </c>
      <c r="H30" s="7">
        <v>-339542</v>
      </c>
      <c r="I30" s="7">
        <v>-29980</v>
      </c>
      <c r="J30" s="7">
        <v>-559442</v>
      </c>
      <c r="K30" s="7">
        <v>-492897</v>
      </c>
      <c r="L30" s="7">
        <v>-466462</v>
      </c>
      <c r="M30" s="7">
        <v>-538872</v>
      </c>
      <c r="N30" s="7">
        <v>-491024</v>
      </c>
      <c r="O30" s="7">
        <v>-406541</v>
      </c>
      <c r="P30" s="23">
        <f t="shared" si="0"/>
        <v>0</v>
      </c>
      <c r="Q30">
        <v>0</v>
      </c>
      <c r="R30">
        <v>0</v>
      </c>
      <c r="S30">
        <v>0</v>
      </c>
      <c r="T30">
        <v>0</v>
      </c>
      <c r="U30" s="14">
        <f t="shared" si="1"/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-4080845</v>
      </c>
      <c r="AB30" s="26">
        <v>-4080845</v>
      </c>
      <c r="AC30" s="24" t="b">
        <f t="shared" si="3"/>
        <v>1</v>
      </c>
    </row>
    <row r="31" spans="1:29" s="11" customFormat="1">
      <c r="A31" s="11" t="b">
        <f t="shared" si="2"/>
        <v>1</v>
      </c>
      <c r="B31" s="11" t="str">
        <f>+Hoja2!A24</f>
        <v>3.1.06.201</v>
      </c>
      <c r="C31" s="11" t="s">
        <v>81</v>
      </c>
      <c r="D31" s="11" t="s">
        <v>82</v>
      </c>
      <c r="E31" s="11">
        <v>0</v>
      </c>
      <c r="F31" s="10">
        <v>-369913</v>
      </c>
      <c r="G31" s="10">
        <v>-182413</v>
      </c>
      <c r="H31" s="10">
        <v>-397104</v>
      </c>
      <c r="I31" s="10">
        <v>-2442000</v>
      </c>
      <c r="J31" s="10">
        <v>-369913</v>
      </c>
      <c r="K31" s="10">
        <v>-369913</v>
      </c>
      <c r="L31" s="10">
        <v>-369911</v>
      </c>
      <c r="M31" s="10">
        <v>-369911</v>
      </c>
      <c r="N31" s="10">
        <v>-369911</v>
      </c>
      <c r="O31" s="10">
        <v>-369911</v>
      </c>
      <c r="P31" s="11">
        <f t="shared" si="0"/>
        <v>0</v>
      </c>
      <c r="Q31" s="11">
        <v>0</v>
      </c>
      <c r="R31" s="11">
        <v>0</v>
      </c>
      <c r="S31" s="11">
        <v>0</v>
      </c>
      <c r="T31" s="11">
        <v>0</v>
      </c>
      <c r="U31" s="11">
        <f t="shared" si="1"/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0">
        <v>-5610900</v>
      </c>
      <c r="AB31" s="10">
        <v>-4566900</v>
      </c>
      <c r="AC31" s="11" t="b">
        <f t="shared" si="3"/>
        <v>0</v>
      </c>
    </row>
    <row r="32" spans="1:29">
      <c r="A32" s="24" t="b">
        <f t="shared" si="2"/>
        <v>1</v>
      </c>
      <c r="B32" s="24" t="str">
        <f>+Hoja2!A25</f>
        <v>3.1.06.206</v>
      </c>
      <c r="C32" t="s">
        <v>83</v>
      </c>
      <c r="D32" t="s">
        <v>84</v>
      </c>
      <c r="E32" s="6">
        <v>0</v>
      </c>
      <c r="F32" s="6">
        <v>0</v>
      </c>
      <c r="G32" s="6">
        <v>0</v>
      </c>
      <c r="H32" s="6">
        <v>0</v>
      </c>
      <c r="I32" s="7">
        <v>-14800624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23">
        <f t="shared" si="0"/>
        <v>0</v>
      </c>
      <c r="Q32">
        <v>0</v>
      </c>
      <c r="R32">
        <v>0</v>
      </c>
      <c r="S32">
        <v>0</v>
      </c>
      <c r="T32">
        <v>0</v>
      </c>
      <c r="U32" s="14">
        <f t="shared" si="1"/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-14800624</v>
      </c>
      <c r="AB32" s="26">
        <v>-14800624</v>
      </c>
      <c r="AC32" s="24" t="b">
        <f t="shared" si="3"/>
        <v>1</v>
      </c>
    </row>
    <row r="33" spans="1:29">
      <c r="A33" s="24" t="b">
        <f t="shared" si="2"/>
        <v>1</v>
      </c>
      <c r="B33" s="24" t="str">
        <f>+Hoja2!A26</f>
        <v>3.1.06.209</v>
      </c>
      <c r="C33" t="s">
        <v>85</v>
      </c>
      <c r="D33" t="s">
        <v>86</v>
      </c>
      <c r="E33" s="6">
        <v>0</v>
      </c>
      <c r="F33" s="6">
        <v>0</v>
      </c>
      <c r="G33" s="6">
        <v>0</v>
      </c>
      <c r="H33" s="6">
        <v>0</v>
      </c>
      <c r="I33" s="7">
        <v>-500932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23">
        <f t="shared" si="0"/>
        <v>-769896</v>
      </c>
      <c r="Q33">
        <v>0</v>
      </c>
      <c r="R33" s="1">
        <v>-769896</v>
      </c>
      <c r="S33">
        <v>0</v>
      </c>
      <c r="T33">
        <v>0</v>
      </c>
      <c r="U33" s="14">
        <f t="shared" si="1"/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>
        <v>-1270828</v>
      </c>
      <c r="AB33" s="26">
        <v>-1270828</v>
      </c>
      <c r="AC33" s="24" t="b">
        <f t="shared" si="3"/>
        <v>1</v>
      </c>
    </row>
    <row r="34" spans="1:29">
      <c r="A34" s="24" t="b">
        <f t="shared" si="2"/>
        <v>1</v>
      </c>
      <c r="B34" s="24" t="str">
        <f>+Hoja2!A27</f>
        <v>3.1.06.210</v>
      </c>
      <c r="C34" t="s">
        <v>87</v>
      </c>
      <c r="D34" t="s">
        <v>88</v>
      </c>
      <c r="E34" s="6">
        <v>0</v>
      </c>
      <c r="F34" s="6">
        <v>0</v>
      </c>
      <c r="G34" s="6">
        <v>0</v>
      </c>
      <c r="H34" s="6">
        <v>0</v>
      </c>
      <c r="I34" s="7">
        <v>-1886536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23">
        <f t="shared" si="0"/>
        <v>0</v>
      </c>
      <c r="Q34">
        <v>0</v>
      </c>
      <c r="R34">
        <v>0</v>
      </c>
      <c r="S34">
        <v>0</v>
      </c>
      <c r="T34">
        <v>0</v>
      </c>
      <c r="U34" s="14">
        <f t="shared" si="1"/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v>-1886536</v>
      </c>
      <c r="AB34" s="26">
        <v>-1886536</v>
      </c>
      <c r="AC34" s="24" t="b">
        <f t="shared" si="3"/>
        <v>1</v>
      </c>
    </row>
    <row r="35" spans="1:29">
      <c r="A35" s="24" t="b">
        <f t="shared" si="2"/>
        <v>1</v>
      </c>
      <c r="B35" s="24" t="str">
        <f>+Hoja2!A28</f>
        <v>3.1.06.301</v>
      </c>
      <c r="C35" t="s">
        <v>89</v>
      </c>
      <c r="D35" t="s">
        <v>90</v>
      </c>
      <c r="E35" s="6">
        <v>0</v>
      </c>
      <c r="F35" s="7">
        <v>-32298763</v>
      </c>
      <c r="G35" s="7">
        <v>-4020148</v>
      </c>
      <c r="H35" s="7">
        <v>-32689973</v>
      </c>
      <c r="I35" s="7">
        <v>-3630987</v>
      </c>
      <c r="J35" s="7">
        <v>-64050539</v>
      </c>
      <c r="K35" s="7">
        <v>-28740442</v>
      </c>
      <c r="L35" s="7">
        <v>-28634045</v>
      </c>
      <c r="M35" s="7">
        <v>-15141505</v>
      </c>
      <c r="N35" s="7">
        <v>-21251744</v>
      </c>
      <c r="O35" s="7">
        <v>-33363145</v>
      </c>
      <c r="P35" s="23">
        <f t="shared" si="0"/>
        <v>0</v>
      </c>
      <c r="Q35">
        <v>0</v>
      </c>
      <c r="R35">
        <v>0</v>
      </c>
      <c r="S35">
        <v>0</v>
      </c>
      <c r="T35">
        <v>0</v>
      </c>
      <c r="U35" s="14">
        <f t="shared" si="1"/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>
        <v>-263821291</v>
      </c>
      <c r="AB35" s="26">
        <v>-263821291</v>
      </c>
      <c r="AC35" s="24" t="b">
        <f t="shared" si="3"/>
        <v>1</v>
      </c>
    </row>
    <row r="36" spans="1:29">
      <c r="A36" s="24" t="b">
        <f t="shared" si="2"/>
        <v>1</v>
      </c>
      <c r="B36" s="24" t="str">
        <f>+Hoja2!A29</f>
        <v>3.1.06.302</v>
      </c>
      <c r="C36" t="s">
        <v>91</v>
      </c>
      <c r="D36" t="s">
        <v>92</v>
      </c>
      <c r="E36" s="7">
        <v>-12437499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23">
        <f t="shared" si="0"/>
        <v>0</v>
      </c>
      <c r="Q36">
        <v>0</v>
      </c>
      <c r="R36">
        <v>0</v>
      </c>
      <c r="S36">
        <v>0</v>
      </c>
      <c r="T36">
        <v>0</v>
      </c>
      <c r="U36" s="14">
        <f t="shared" si="1"/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">
        <v>-12437499</v>
      </c>
      <c r="AB36" s="26">
        <v>-12437499</v>
      </c>
      <c r="AC36" s="24" t="b">
        <f t="shared" si="3"/>
        <v>1</v>
      </c>
    </row>
    <row r="37" spans="1:29">
      <c r="A37" s="24" t="b">
        <f t="shared" si="2"/>
        <v>1</v>
      </c>
      <c r="B37" s="24" t="str">
        <f>+Hoja2!A30</f>
        <v>3.1.06.305</v>
      </c>
      <c r="C37" t="s">
        <v>93</v>
      </c>
      <c r="D37" t="s">
        <v>94</v>
      </c>
      <c r="E37" s="7">
        <v>-949276</v>
      </c>
      <c r="F37" s="7">
        <v>-168660</v>
      </c>
      <c r="G37" s="7">
        <v>-216747</v>
      </c>
      <c r="H37" s="7">
        <v>-283782</v>
      </c>
      <c r="I37" s="7">
        <v>-159919</v>
      </c>
      <c r="J37" s="7">
        <v>-193071</v>
      </c>
      <c r="K37" s="7">
        <v>-117511</v>
      </c>
      <c r="L37" s="7">
        <v>-151891</v>
      </c>
      <c r="M37" s="7">
        <v>73011</v>
      </c>
      <c r="N37" s="7">
        <v>-117880</v>
      </c>
      <c r="O37" s="7">
        <v>-87844</v>
      </c>
      <c r="P37" s="23">
        <f t="shared" si="0"/>
        <v>0</v>
      </c>
      <c r="Q37">
        <v>0</v>
      </c>
      <c r="R37">
        <v>0</v>
      </c>
      <c r="S37">
        <v>0</v>
      </c>
      <c r="T37">
        <v>0</v>
      </c>
      <c r="U37" s="14">
        <f t="shared" si="1"/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1">
        <v>-2373570</v>
      </c>
      <c r="AB37" s="26">
        <v>-2373570</v>
      </c>
      <c r="AC37" s="24" t="b">
        <f t="shared" si="3"/>
        <v>1</v>
      </c>
    </row>
    <row r="38" spans="1:29">
      <c r="A38" s="24" t="b">
        <f t="shared" si="2"/>
        <v>1</v>
      </c>
      <c r="B38" s="24" t="str">
        <f>+Hoja2!A31</f>
        <v>3.1.06.306</v>
      </c>
      <c r="C38" t="s">
        <v>95</v>
      </c>
      <c r="D38" t="s">
        <v>96</v>
      </c>
      <c r="E38" s="6">
        <v>0</v>
      </c>
      <c r="F38" s="7">
        <v>-60634</v>
      </c>
      <c r="G38" s="7">
        <v>-18334</v>
      </c>
      <c r="H38" s="7">
        <v>-18334</v>
      </c>
      <c r="I38" s="6">
        <v>0</v>
      </c>
      <c r="J38" s="7">
        <v>-18333</v>
      </c>
      <c r="K38" s="7">
        <v>-45033</v>
      </c>
      <c r="L38" s="7">
        <v>-18333</v>
      </c>
      <c r="M38" s="7">
        <v>-18333</v>
      </c>
      <c r="N38" s="7">
        <v>-18333</v>
      </c>
      <c r="O38" s="7">
        <v>-18333</v>
      </c>
      <c r="P38" s="23">
        <f t="shared" si="0"/>
        <v>0</v>
      </c>
      <c r="Q38">
        <v>0</v>
      </c>
      <c r="R38">
        <v>0</v>
      </c>
      <c r="S38">
        <v>0</v>
      </c>
      <c r="T38">
        <v>0</v>
      </c>
      <c r="U38" s="14">
        <f t="shared" si="1"/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>
        <v>-234000</v>
      </c>
      <c r="AB38" s="26">
        <v>-234000</v>
      </c>
      <c r="AC38" s="24" t="b">
        <f t="shared" si="3"/>
        <v>1</v>
      </c>
    </row>
    <row r="39" spans="1:29">
      <c r="A39" s="24" t="b">
        <f t="shared" si="2"/>
        <v>1</v>
      </c>
      <c r="B39" s="24" t="str">
        <f>+Hoja2!A32</f>
        <v>3.1.06.307</v>
      </c>
      <c r="C39" t="s">
        <v>97</v>
      </c>
      <c r="D39" t="s">
        <v>98</v>
      </c>
      <c r="E39" s="7">
        <v>-900000</v>
      </c>
      <c r="F39" s="6">
        <v>0</v>
      </c>
      <c r="G39" s="6">
        <v>0</v>
      </c>
      <c r="H39" s="7">
        <v>126030</v>
      </c>
      <c r="I39" s="7">
        <v>139930</v>
      </c>
      <c r="J39" s="7">
        <v>341900</v>
      </c>
      <c r="K39" s="6">
        <v>0</v>
      </c>
      <c r="L39" s="6">
        <v>0</v>
      </c>
      <c r="M39" s="7">
        <v>183170</v>
      </c>
      <c r="N39" s="7">
        <v>262920</v>
      </c>
      <c r="O39" s="7">
        <v>341910</v>
      </c>
      <c r="P39" s="23">
        <f t="shared" si="0"/>
        <v>0</v>
      </c>
      <c r="Q39">
        <v>0</v>
      </c>
      <c r="R39">
        <v>0</v>
      </c>
      <c r="S39">
        <v>0</v>
      </c>
      <c r="T39">
        <v>0</v>
      </c>
      <c r="U39" s="14">
        <f t="shared" si="1"/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">
        <v>495860</v>
      </c>
      <c r="AB39" s="26">
        <v>495860</v>
      </c>
      <c r="AC39" s="24" t="b">
        <f t="shared" si="3"/>
        <v>1</v>
      </c>
    </row>
    <row r="40" spans="1:29">
      <c r="A40" s="24" t="b">
        <f t="shared" si="2"/>
        <v>1</v>
      </c>
      <c r="B40" s="24" t="str">
        <f>+Hoja2!A33</f>
        <v>3.1.06.401</v>
      </c>
      <c r="C40" t="s">
        <v>99</v>
      </c>
      <c r="D40" t="s">
        <v>100</v>
      </c>
      <c r="E40" s="7">
        <v>-249651</v>
      </c>
      <c r="F40" s="7">
        <v>-249658</v>
      </c>
      <c r="G40" s="7">
        <v>-57816</v>
      </c>
      <c r="H40" s="7">
        <v>-249658</v>
      </c>
      <c r="I40" s="7">
        <v>294562</v>
      </c>
      <c r="J40" s="7">
        <v>-249657</v>
      </c>
      <c r="K40" s="7">
        <v>-249657</v>
      </c>
      <c r="L40" s="7">
        <v>-249656</v>
      </c>
      <c r="M40" s="7">
        <v>-249655</v>
      </c>
      <c r="N40" s="7">
        <v>-249655</v>
      </c>
      <c r="O40" s="7">
        <v>-249652</v>
      </c>
      <c r="P40" s="23">
        <f t="shared" si="0"/>
        <v>-249651</v>
      </c>
      <c r="Q40">
        <v>0</v>
      </c>
      <c r="R40" s="1">
        <v>-249651</v>
      </c>
      <c r="S40">
        <v>0</v>
      </c>
      <c r="T40">
        <v>0</v>
      </c>
      <c r="U40" s="14">
        <f t="shared" si="1"/>
        <v>-249651</v>
      </c>
      <c r="V40">
        <v>0</v>
      </c>
      <c r="W40">
        <v>0</v>
      </c>
      <c r="X40">
        <v>0</v>
      </c>
      <c r="Y40" s="1">
        <v>-249651</v>
      </c>
      <c r="Z40">
        <v>0</v>
      </c>
      <c r="AA40" s="1">
        <v>-2509455</v>
      </c>
      <c r="AB40" s="26">
        <v>-2509455</v>
      </c>
      <c r="AC40" s="24" t="b">
        <f t="shared" si="3"/>
        <v>1</v>
      </c>
    </row>
    <row r="41" spans="1:29">
      <c r="A41" s="24" t="b">
        <f t="shared" ref="A41:A70" si="4">EXACT(C41,B41)</f>
        <v>1</v>
      </c>
      <c r="B41" s="24" t="str">
        <f>+Hoja2!A34</f>
        <v>3.1.06.406</v>
      </c>
      <c r="C41" t="s">
        <v>101</v>
      </c>
      <c r="D41" t="s">
        <v>102</v>
      </c>
      <c r="E41" s="6">
        <v>0</v>
      </c>
      <c r="F41" s="7">
        <v>-57302</v>
      </c>
      <c r="G41" s="7">
        <v>-13265</v>
      </c>
      <c r="H41" s="7">
        <v>-57302</v>
      </c>
      <c r="I41" s="7">
        <v>-54092</v>
      </c>
      <c r="J41" s="7">
        <v>-57303</v>
      </c>
      <c r="K41" s="7">
        <v>-57303</v>
      </c>
      <c r="L41" s="7">
        <v>-57303</v>
      </c>
      <c r="M41" s="7">
        <v>-57303</v>
      </c>
      <c r="N41" s="7">
        <v>-57303</v>
      </c>
      <c r="O41" s="7">
        <v>-57301</v>
      </c>
      <c r="P41" s="23">
        <f t="shared" si="0"/>
        <v>0</v>
      </c>
      <c r="Q41">
        <v>0</v>
      </c>
      <c r="R41">
        <v>0</v>
      </c>
      <c r="S41">
        <v>0</v>
      </c>
      <c r="T41">
        <v>0</v>
      </c>
      <c r="U41" s="14">
        <f t="shared" si="1"/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>
        <v>-525777</v>
      </c>
      <c r="AB41" s="26">
        <v>-525777</v>
      </c>
      <c r="AC41" s="24" t="b">
        <f t="shared" si="3"/>
        <v>1</v>
      </c>
    </row>
    <row r="42" spans="1:29">
      <c r="A42" s="24" t="b">
        <f t="shared" si="4"/>
        <v>1</v>
      </c>
      <c r="B42" s="24" t="str">
        <f>+Hoja2!A35</f>
        <v>3.1.06.501</v>
      </c>
      <c r="C42" t="s">
        <v>103</v>
      </c>
      <c r="D42" t="s">
        <v>104</v>
      </c>
      <c r="E42" s="6">
        <v>0</v>
      </c>
      <c r="F42" s="7">
        <v>-38256</v>
      </c>
      <c r="G42" s="7">
        <v>-11619</v>
      </c>
      <c r="H42" s="7">
        <v>-179492</v>
      </c>
      <c r="I42" s="7">
        <v>-334990</v>
      </c>
      <c r="J42" s="7">
        <v>-220876</v>
      </c>
      <c r="K42" s="7">
        <v>-46476</v>
      </c>
      <c r="L42" s="7">
        <v>-2144956</v>
      </c>
      <c r="M42" s="7">
        <v>-17032</v>
      </c>
      <c r="N42" s="7">
        <v>-151448</v>
      </c>
      <c r="O42" s="7">
        <v>-211920</v>
      </c>
      <c r="P42" s="23">
        <f t="shared" si="0"/>
        <v>0</v>
      </c>
      <c r="Q42">
        <v>0</v>
      </c>
      <c r="R42">
        <v>0</v>
      </c>
      <c r="S42">
        <v>0</v>
      </c>
      <c r="T42">
        <v>0</v>
      </c>
      <c r="U42" s="14">
        <f t="shared" si="1"/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">
        <v>-3357065</v>
      </c>
      <c r="AB42" s="26">
        <v>-3357065</v>
      </c>
      <c r="AC42" s="24" t="b">
        <f t="shared" si="3"/>
        <v>1</v>
      </c>
    </row>
    <row r="43" spans="1:29">
      <c r="A43" s="24" t="b">
        <f t="shared" si="4"/>
        <v>1</v>
      </c>
      <c r="B43" s="24" t="str">
        <f>+Hoja2!A36</f>
        <v>3.1.06.504</v>
      </c>
      <c r="C43" t="s">
        <v>105</v>
      </c>
      <c r="D43" t="s">
        <v>106</v>
      </c>
      <c r="E43" s="6">
        <v>0</v>
      </c>
      <c r="F43" s="6">
        <v>0</v>
      </c>
      <c r="G43" s="6">
        <v>0</v>
      </c>
      <c r="H43" s="6">
        <v>0</v>
      </c>
      <c r="I43" s="7">
        <v>-1065119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23">
        <f t="shared" si="0"/>
        <v>0</v>
      </c>
      <c r="Q43">
        <v>0</v>
      </c>
      <c r="R43">
        <v>0</v>
      </c>
      <c r="S43">
        <v>0</v>
      </c>
      <c r="T43">
        <v>0</v>
      </c>
      <c r="U43" s="14">
        <f t="shared" si="1"/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">
        <v>-1065119</v>
      </c>
      <c r="AB43" s="26">
        <v>-1065119</v>
      </c>
      <c r="AC43" s="24" t="b">
        <f t="shared" si="3"/>
        <v>1</v>
      </c>
    </row>
    <row r="44" spans="1:29">
      <c r="A44" s="24" t="b">
        <f t="shared" si="4"/>
        <v>1</v>
      </c>
      <c r="B44" s="24" t="str">
        <f>+Hoja2!A37</f>
        <v>3.1.06.505</v>
      </c>
      <c r="C44" t="s">
        <v>107</v>
      </c>
      <c r="D44" t="s">
        <v>108</v>
      </c>
      <c r="E44" s="6">
        <v>0</v>
      </c>
      <c r="F44" s="6">
        <v>-506</v>
      </c>
      <c r="G44" s="6">
        <v>0</v>
      </c>
      <c r="H44" s="6">
        <v>0</v>
      </c>
      <c r="I44" s="7">
        <v>-420710</v>
      </c>
      <c r="J44" s="6">
        <v>-232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23">
        <f t="shared" si="0"/>
        <v>0</v>
      </c>
      <c r="Q44">
        <v>0</v>
      </c>
      <c r="R44">
        <v>0</v>
      </c>
      <c r="S44">
        <v>0</v>
      </c>
      <c r="T44">
        <v>0</v>
      </c>
      <c r="U44" s="14">
        <f t="shared" si="1"/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>
        <v>-421448</v>
      </c>
      <c r="AB44" s="26">
        <v>-421448</v>
      </c>
      <c r="AC44" s="24" t="b">
        <f t="shared" si="3"/>
        <v>1</v>
      </c>
    </row>
    <row r="45" spans="1:29">
      <c r="A45" s="24" t="b">
        <f t="shared" si="4"/>
        <v>1</v>
      </c>
      <c r="B45" s="24" t="str">
        <f>+Hoja2!A38</f>
        <v>3.1.06.506</v>
      </c>
      <c r="C45" t="s">
        <v>109</v>
      </c>
      <c r="D45" t="s">
        <v>110</v>
      </c>
      <c r="E45" s="7">
        <v>-994960</v>
      </c>
      <c r="F45" s="7">
        <v>-169586</v>
      </c>
      <c r="G45" s="7">
        <v>-34236</v>
      </c>
      <c r="H45" s="7">
        <v>-166796</v>
      </c>
      <c r="I45" s="7">
        <v>-190690</v>
      </c>
      <c r="J45" s="7">
        <v>-163176</v>
      </c>
      <c r="K45" s="7">
        <v>-147094</v>
      </c>
      <c r="L45" s="7">
        <v>-157804</v>
      </c>
      <c r="M45" s="7">
        <v>-149850</v>
      </c>
      <c r="N45" s="7">
        <v>-168054</v>
      </c>
      <c r="O45" s="7">
        <v>-168054</v>
      </c>
      <c r="P45" s="23">
        <f t="shared" si="0"/>
        <v>0</v>
      </c>
      <c r="Q45">
        <v>0</v>
      </c>
      <c r="R45">
        <v>0</v>
      </c>
      <c r="S45">
        <v>0</v>
      </c>
      <c r="T45">
        <v>0</v>
      </c>
      <c r="U45" s="14">
        <f t="shared" si="1"/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v>-2510300</v>
      </c>
      <c r="AB45" s="26">
        <v>-2510300</v>
      </c>
      <c r="AC45" s="24" t="b">
        <f t="shared" si="3"/>
        <v>1</v>
      </c>
    </row>
    <row r="46" spans="1:29">
      <c r="A46" s="24" t="b">
        <f t="shared" si="4"/>
        <v>1</v>
      </c>
      <c r="B46" s="24" t="str">
        <f>+Hoja2!A39</f>
        <v>3.1.06.507</v>
      </c>
      <c r="C46" t="s">
        <v>111</v>
      </c>
      <c r="D46" t="s">
        <v>112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7">
        <v>-182591</v>
      </c>
      <c r="M46" s="6">
        <v>0</v>
      </c>
      <c r="N46" s="6">
        <v>0</v>
      </c>
      <c r="O46" s="6">
        <v>0</v>
      </c>
      <c r="P46" s="23">
        <f t="shared" si="0"/>
        <v>0</v>
      </c>
      <c r="Q46">
        <v>0</v>
      </c>
      <c r="R46">
        <v>0</v>
      </c>
      <c r="S46">
        <v>0</v>
      </c>
      <c r="T46">
        <v>0</v>
      </c>
      <c r="U46" s="14">
        <f t="shared" si="1"/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>
        <v>-182591</v>
      </c>
      <c r="AB46" s="26">
        <v>-182591</v>
      </c>
      <c r="AC46" s="24" t="b">
        <f t="shared" si="3"/>
        <v>1</v>
      </c>
    </row>
    <row r="47" spans="1:29" s="11" customFormat="1">
      <c r="A47" s="11" t="b">
        <f t="shared" si="4"/>
        <v>1</v>
      </c>
      <c r="B47" s="11" t="str">
        <f>+Hoja2!A40</f>
        <v>3.1.06.601</v>
      </c>
      <c r="C47" s="11" t="s">
        <v>113</v>
      </c>
      <c r="D47" s="11" t="s">
        <v>114</v>
      </c>
      <c r="E47" s="10">
        <v>-319960</v>
      </c>
      <c r="F47" s="10">
        <v>-172777</v>
      </c>
      <c r="G47" s="10">
        <v>-19384</v>
      </c>
      <c r="H47" s="10">
        <v>-187879</v>
      </c>
      <c r="I47" s="11">
        <v>0</v>
      </c>
      <c r="J47" s="10">
        <v>-302571</v>
      </c>
      <c r="K47" s="10">
        <v>-96079</v>
      </c>
      <c r="L47" s="10">
        <v>-1679738</v>
      </c>
      <c r="M47" s="10">
        <v>-212580</v>
      </c>
      <c r="N47" s="10">
        <v>-113779</v>
      </c>
      <c r="O47" s="10">
        <v>-255373</v>
      </c>
      <c r="P47" s="11">
        <f t="shared" si="0"/>
        <v>0</v>
      </c>
      <c r="Q47" s="11">
        <v>0</v>
      </c>
      <c r="R47" s="11">
        <v>0</v>
      </c>
      <c r="S47" s="11">
        <v>0</v>
      </c>
      <c r="T47" s="11">
        <v>0</v>
      </c>
      <c r="U47" s="11">
        <f t="shared" si="1"/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0">
        <v>-3360120</v>
      </c>
      <c r="AB47" s="10">
        <v>-4404120</v>
      </c>
      <c r="AC47" s="11" t="b">
        <f t="shared" si="3"/>
        <v>0</v>
      </c>
    </row>
    <row r="48" spans="1:29">
      <c r="A48" s="24" t="b">
        <f t="shared" si="4"/>
        <v>1</v>
      </c>
      <c r="B48" s="24" t="str">
        <f>+Hoja2!A41</f>
        <v>3.1.06.602</v>
      </c>
      <c r="C48" t="s">
        <v>115</v>
      </c>
      <c r="D48" t="s">
        <v>116</v>
      </c>
      <c r="E48" s="6">
        <v>0</v>
      </c>
      <c r="F48" s="7">
        <v>-273841</v>
      </c>
      <c r="G48" s="7">
        <v>-64217</v>
      </c>
      <c r="H48" s="7">
        <v>-273841</v>
      </c>
      <c r="I48" s="7">
        <v>-39894</v>
      </c>
      <c r="J48" s="7">
        <v>-273841</v>
      </c>
      <c r="K48" s="7">
        <v>-273842</v>
      </c>
      <c r="L48" s="7">
        <v>-273841</v>
      </c>
      <c r="M48" s="7">
        <v>-273841</v>
      </c>
      <c r="N48" s="7">
        <v>-273838</v>
      </c>
      <c r="O48" s="7">
        <v>-273838</v>
      </c>
      <c r="P48" s="23">
        <f t="shared" si="0"/>
        <v>-273838</v>
      </c>
      <c r="Q48">
        <v>0</v>
      </c>
      <c r="R48" s="1">
        <v>-273838</v>
      </c>
      <c r="S48">
        <v>0</v>
      </c>
      <c r="T48">
        <v>0</v>
      </c>
      <c r="U48" s="14">
        <f t="shared" si="1"/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>
        <v>-2568672</v>
      </c>
      <c r="AB48" s="26">
        <v>-2568672</v>
      </c>
      <c r="AC48" s="24" t="b">
        <f t="shared" si="3"/>
        <v>1</v>
      </c>
    </row>
    <row r="49" spans="1:29">
      <c r="A49" s="24" t="b">
        <f t="shared" si="4"/>
        <v>1</v>
      </c>
      <c r="B49" s="24" t="str">
        <f>+Hoja2!A42</f>
        <v>3.1.06.603</v>
      </c>
      <c r="C49" t="s">
        <v>117</v>
      </c>
      <c r="D49" t="s">
        <v>118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23">
        <f t="shared" si="0"/>
        <v>0</v>
      </c>
      <c r="Q49">
        <v>0</v>
      </c>
      <c r="R49">
        <v>0</v>
      </c>
      <c r="S49">
        <v>0</v>
      </c>
      <c r="T49">
        <v>0</v>
      </c>
      <c r="U49" s="14">
        <f t="shared" si="1"/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172</v>
      </c>
      <c r="AC49" s="24" t="b">
        <f t="shared" si="3"/>
        <v>0</v>
      </c>
    </row>
    <row r="50" spans="1:29">
      <c r="A50" s="24" t="b">
        <f t="shared" si="4"/>
        <v>1</v>
      </c>
      <c r="B50" s="24" t="str">
        <f>+Hoja2!A43</f>
        <v>3.1.06.802</v>
      </c>
      <c r="C50" t="s">
        <v>119</v>
      </c>
      <c r="D50" t="s">
        <v>120</v>
      </c>
      <c r="E50" s="7">
        <v>-142640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7">
        <v>-152990</v>
      </c>
      <c r="P50" s="23">
        <f t="shared" si="0"/>
        <v>0</v>
      </c>
      <c r="Q50">
        <v>0</v>
      </c>
      <c r="R50">
        <v>0</v>
      </c>
      <c r="S50">
        <v>0</v>
      </c>
      <c r="T50">
        <v>0</v>
      </c>
      <c r="U50" s="14">
        <f t="shared" si="1"/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>
        <v>-295630</v>
      </c>
      <c r="AB50" s="26">
        <v>-295630</v>
      </c>
      <c r="AC50" s="24" t="b">
        <f t="shared" si="3"/>
        <v>1</v>
      </c>
    </row>
    <row r="51" spans="1:29">
      <c r="A51" s="24" t="b">
        <f t="shared" si="4"/>
        <v>1</v>
      </c>
      <c r="B51" s="24" t="str">
        <f>+Hoja2!A44</f>
        <v>3.1.06.803</v>
      </c>
      <c r="C51" t="s">
        <v>121</v>
      </c>
      <c r="D51" t="s">
        <v>122</v>
      </c>
      <c r="E51" s="6">
        <v>0</v>
      </c>
      <c r="F51" s="7">
        <v>-167288</v>
      </c>
      <c r="G51" s="7">
        <v>-43928</v>
      </c>
      <c r="H51" s="7">
        <v>-167288</v>
      </c>
      <c r="I51" s="7">
        <v>-3890</v>
      </c>
      <c r="J51" s="7">
        <v>-167285</v>
      </c>
      <c r="K51" s="7">
        <v>-167285</v>
      </c>
      <c r="L51" s="7">
        <v>-167284</v>
      </c>
      <c r="M51" s="7">
        <v>-167276</v>
      </c>
      <c r="N51" s="7">
        <v>-167275</v>
      </c>
      <c r="O51" s="7">
        <v>-167270</v>
      </c>
      <c r="P51" s="23">
        <f t="shared" si="0"/>
        <v>0</v>
      </c>
      <c r="Q51">
        <v>0</v>
      </c>
      <c r="R51">
        <v>0</v>
      </c>
      <c r="S51">
        <v>0</v>
      </c>
      <c r="T51">
        <v>0</v>
      </c>
      <c r="U51" s="14">
        <f t="shared" si="1"/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">
        <v>-1386069</v>
      </c>
      <c r="AB51" s="26">
        <v>-1386069</v>
      </c>
      <c r="AC51" s="24" t="b">
        <f t="shared" si="3"/>
        <v>1</v>
      </c>
    </row>
    <row r="52" spans="1:29">
      <c r="A52" s="24" t="b">
        <f t="shared" si="4"/>
        <v>1</v>
      </c>
      <c r="B52" s="24" t="str">
        <f>+Hoja2!A45</f>
        <v>3.1.06.805</v>
      </c>
      <c r="C52" t="s">
        <v>123</v>
      </c>
      <c r="D52" t="s">
        <v>124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23">
        <f t="shared" si="0"/>
        <v>0</v>
      </c>
      <c r="Q52">
        <v>0</v>
      </c>
      <c r="R52">
        <v>0</v>
      </c>
      <c r="S52">
        <v>0</v>
      </c>
      <c r="T52">
        <v>0</v>
      </c>
      <c r="U52" s="14">
        <f t="shared" si="1"/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172</v>
      </c>
      <c r="AC52" s="24" t="b">
        <f t="shared" si="3"/>
        <v>0</v>
      </c>
    </row>
    <row r="53" spans="1:29" s="11" customFormat="1">
      <c r="A53" s="11" t="b">
        <f t="shared" si="4"/>
        <v>1</v>
      </c>
      <c r="B53" s="11" t="str">
        <f>+Hoja2!A46</f>
        <v>3.1.06.806</v>
      </c>
      <c r="C53" s="11" t="s">
        <v>125</v>
      </c>
      <c r="D53" s="11" t="s">
        <v>126</v>
      </c>
      <c r="E53" s="11">
        <v>0</v>
      </c>
      <c r="F53" s="11">
        <v>0</v>
      </c>
      <c r="G53" s="11">
        <v>0</v>
      </c>
      <c r="H53" s="11">
        <v>0</v>
      </c>
      <c r="I53" s="10">
        <v>-1458890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f t="shared" si="0"/>
        <v>0</v>
      </c>
      <c r="Q53" s="11">
        <v>0</v>
      </c>
      <c r="R53" s="11">
        <v>0</v>
      </c>
      <c r="S53" s="11">
        <v>0</v>
      </c>
      <c r="T53" s="11">
        <v>0</v>
      </c>
      <c r="U53" s="11">
        <f t="shared" si="1"/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0">
        <v>-1458890</v>
      </c>
      <c r="AB53" s="10">
        <v>-1468890</v>
      </c>
      <c r="AC53" s="11" t="b">
        <f t="shared" si="3"/>
        <v>0</v>
      </c>
    </row>
    <row r="54" spans="1:29">
      <c r="A54" s="24" t="b">
        <f t="shared" si="4"/>
        <v>1</v>
      </c>
      <c r="B54" s="24" t="str">
        <f>+Hoja2!A47</f>
        <v>3.1.06.812</v>
      </c>
      <c r="C54" t="s">
        <v>127</v>
      </c>
      <c r="D54" t="s">
        <v>128</v>
      </c>
      <c r="E54" s="6">
        <v>0</v>
      </c>
      <c r="F54" s="7">
        <v>-1480761</v>
      </c>
      <c r="G54" s="7">
        <v>-96105</v>
      </c>
      <c r="H54" s="7">
        <v>-1480762</v>
      </c>
      <c r="I54" s="6">
        <v>866</v>
      </c>
      <c r="J54" s="7">
        <v>-1480761</v>
      </c>
      <c r="K54" s="7">
        <v>-1480762</v>
      </c>
      <c r="L54" s="7">
        <v>-1480760</v>
      </c>
      <c r="M54" s="7">
        <v>-1480761</v>
      </c>
      <c r="N54" s="6">
        <v>0</v>
      </c>
      <c r="O54" s="6">
        <v>0</v>
      </c>
      <c r="P54" s="23">
        <f t="shared" si="0"/>
        <v>-1480762</v>
      </c>
      <c r="Q54">
        <v>0</v>
      </c>
      <c r="R54" s="1">
        <v>-1480762</v>
      </c>
      <c r="S54">
        <v>0</v>
      </c>
      <c r="T54">
        <v>0</v>
      </c>
      <c r="U54" s="14">
        <f t="shared" si="1"/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>
        <v>-10460568</v>
      </c>
      <c r="AB54" s="26">
        <v>-10460568</v>
      </c>
      <c r="AC54" s="24" t="b">
        <f t="shared" si="3"/>
        <v>1</v>
      </c>
    </row>
    <row r="55" spans="1:29">
      <c r="A55" s="24" t="b">
        <f t="shared" si="4"/>
        <v>1</v>
      </c>
      <c r="B55" s="24" t="str">
        <f>+Hoja2!A48</f>
        <v>3.1.06.813</v>
      </c>
      <c r="C55" t="s">
        <v>129</v>
      </c>
      <c r="D55" t="s">
        <v>130</v>
      </c>
      <c r="E55" s="6">
        <v>0</v>
      </c>
      <c r="F55" s="6">
        <v>0</v>
      </c>
      <c r="G55" s="7">
        <v>-196439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7">
        <v>-1047425</v>
      </c>
      <c r="O55" s="7">
        <v>-1200031</v>
      </c>
      <c r="P55" s="23">
        <f t="shared" si="0"/>
        <v>0</v>
      </c>
      <c r="Q55">
        <v>0</v>
      </c>
      <c r="R55">
        <v>0</v>
      </c>
      <c r="S55">
        <v>0</v>
      </c>
      <c r="T55">
        <v>0</v>
      </c>
      <c r="U55" s="14">
        <f t="shared" si="1"/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1">
        <v>-2443895</v>
      </c>
      <c r="AB55" s="26">
        <v>-2443895</v>
      </c>
      <c r="AC55" s="24" t="b">
        <f t="shared" si="3"/>
        <v>1</v>
      </c>
    </row>
    <row r="56" spans="1:29">
      <c r="A56" s="24" t="b">
        <f t="shared" si="4"/>
        <v>1</v>
      </c>
      <c r="B56" s="24" t="str">
        <f>+Hoja2!A49</f>
        <v>3.1.06.817</v>
      </c>
      <c r="C56" t="s">
        <v>131</v>
      </c>
      <c r="D56" t="s">
        <v>132</v>
      </c>
      <c r="E56" s="6">
        <v>0</v>
      </c>
      <c r="F56" s="6">
        <v>0</v>
      </c>
      <c r="G56" s="6">
        <v>0</v>
      </c>
      <c r="H56" s="6">
        <v>0</v>
      </c>
      <c r="I56" s="7">
        <v>-1133557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23">
        <f t="shared" si="0"/>
        <v>0</v>
      </c>
      <c r="Q56">
        <v>0</v>
      </c>
      <c r="R56">
        <v>0</v>
      </c>
      <c r="S56">
        <v>0</v>
      </c>
      <c r="T56">
        <v>0</v>
      </c>
      <c r="U56" s="14">
        <f t="shared" si="1"/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1">
        <v>-1133557</v>
      </c>
      <c r="AB56" s="26">
        <v>-1133557</v>
      </c>
      <c r="AC56" s="24" t="b">
        <f t="shared" si="3"/>
        <v>1</v>
      </c>
    </row>
    <row r="57" spans="1:29">
      <c r="A57" s="24" t="b">
        <f t="shared" si="4"/>
        <v>1</v>
      </c>
      <c r="B57" s="24" t="str">
        <f>+Hoja2!A50</f>
        <v>3.1.06.818</v>
      </c>
      <c r="C57" t="s">
        <v>133</v>
      </c>
      <c r="D57" t="s">
        <v>134</v>
      </c>
      <c r="E57" s="7">
        <v>-497134</v>
      </c>
      <c r="F57" s="7">
        <v>-497134</v>
      </c>
      <c r="G57" s="7">
        <v>-121354</v>
      </c>
      <c r="H57" s="7">
        <v>-497134</v>
      </c>
      <c r="I57" s="7">
        <v>-1315075</v>
      </c>
      <c r="J57" s="7">
        <v>-497133</v>
      </c>
      <c r="K57" s="7">
        <v>-497133</v>
      </c>
      <c r="L57" s="7">
        <v>-497134</v>
      </c>
      <c r="M57" s="7">
        <v>-497134</v>
      </c>
      <c r="N57" s="7">
        <v>-497134</v>
      </c>
      <c r="O57" s="7">
        <v>-497134</v>
      </c>
      <c r="P57" s="23">
        <f t="shared" si="0"/>
        <v>-4331016</v>
      </c>
      <c r="Q57">
        <v>0</v>
      </c>
      <c r="R57" s="1">
        <v>-4331016</v>
      </c>
      <c r="S57">
        <v>0</v>
      </c>
      <c r="T57">
        <v>0</v>
      </c>
      <c r="U57" s="14">
        <f t="shared" si="1"/>
        <v>-497134</v>
      </c>
      <c r="V57">
        <v>0</v>
      </c>
      <c r="W57">
        <v>0</v>
      </c>
      <c r="X57">
        <v>0</v>
      </c>
      <c r="Y57" s="1">
        <v>-497134</v>
      </c>
      <c r="Z57">
        <v>0</v>
      </c>
      <c r="AA57" s="1">
        <v>-10738783</v>
      </c>
      <c r="AB57" s="26">
        <v>-10738783</v>
      </c>
      <c r="AC57" s="24" t="b">
        <f t="shared" si="3"/>
        <v>1</v>
      </c>
    </row>
    <row r="58" spans="1:29">
      <c r="A58" s="24" t="b">
        <f t="shared" si="4"/>
        <v>1</v>
      </c>
      <c r="B58" s="24" t="str">
        <f>+Hoja2!A51</f>
        <v>3.1.06.831</v>
      </c>
      <c r="C58" t="s">
        <v>135</v>
      </c>
      <c r="D58" t="s">
        <v>136</v>
      </c>
      <c r="E58" s="6">
        <v>0</v>
      </c>
      <c r="F58" s="6">
        <v>0</v>
      </c>
      <c r="G58" s="6">
        <v>0</v>
      </c>
      <c r="H58" s="6">
        <v>0</v>
      </c>
      <c r="I58" s="7">
        <v>-537122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23">
        <f t="shared" si="0"/>
        <v>0</v>
      </c>
      <c r="Q58">
        <v>0</v>
      </c>
      <c r="R58">
        <v>0</v>
      </c>
      <c r="S58">
        <v>0</v>
      </c>
      <c r="T58">
        <v>0</v>
      </c>
      <c r="U58" s="14">
        <f t="shared" si="1"/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">
        <v>-537122</v>
      </c>
      <c r="AB58" s="26">
        <v>-537122</v>
      </c>
      <c r="AC58" s="24" t="b">
        <f t="shared" si="3"/>
        <v>1</v>
      </c>
    </row>
    <row r="59" spans="1:29">
      <c r="A59" s="24" t="b">
        <f t="shared" si="4"/>
        <v>1</v>
      </c>
      <c r="B59" s="24" t="str">
        <f>+Hoja2!A52</f>
        <v>3.1.06.837</v>
      </c>
      <c r="C59" t="s">
        <v>137</v>
      </c>
      <c r="D59" t="s">
        <v>138</v>
      </c>
      <c r="E59" s="6">
        <v>0</v>
      </c>
      <c r="F59" s="7">
        <v>-262949</v>
      </c>
      <c r="G59" s="7">
        <v>-60206</v>
      </c>
      <c r="H59" s="7">
        <v>-262948</v>
      </c>
      <c r="I59" s="6">
        <v>0</v>
      </c>
      <c r="J59" s="7">
        <v>-262947</v>
      </c>
      <c r="K59" s="7">
        <v>-262946</v>
      </c>
      <c r="L59" s="7">
        <v>-262946</v>
      </c>
      <c r="M59" s="7">
        <v>-262945</v>
      </c>
      <c r="N59" s="7">
        <v>-262945</v>
      </c>
      <c r="O59" s="7">
        <v>-262945</v>
      </c>
      <c r="P59" s="23">
        <f t="shared" si="0"/>
        <v>0</v>
      </c>
      <c r="Q59">
        <v>0</v>
      </c>
      <c r="R59">
        <v>0</v>
      </c>
      <c r="S59">
        <v>0</v>
      </c>
      <c r="T59">
        <v>0</v>
      </c>
      <c r="U59" s="14">
        <f t="shared" si="1"/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1">
        <v>-2163777</v>
      </c>
      <c r="AB59" s="26">
        <v>-2163777</v>
      </c>
      <c r="AC59" s="24" t="b">
        <f t="shared" si="3"/>
        <v>1</v>
      </c>
    </row>
    <row r="60" spans="1:29">
      <c r="A60" s="24" t="b">
        <f t="shared" si="4"/>
        <v>1</v>
      </c>
      <c r="B60" s="24" t="str">
        <f>+Hoja2!A53</f>
        <v>3.1.07.822</v>
      </c>
      <c r="C60" t="s">
        <v>162</v>
      </c>
      <c r="D60" t="s">
        <v>163</v>
      </c>
      <c r="E60" s="6">
        <v>0</v>
      </c>
      <c r="F60" s="6">
        <v>0</v>
      </c>
      <c r="G60" s="6">
        <v>0</v>
      </c>
      <c r="H60" s="6">
        <v>0</v>
      </c>
      <c r="I60" s="7">
        <v>431685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23">
        <f t="shared" si="0"/>
        <v>-11432859</v>
      </c>
      <c r="Q60" s="1">
        <v>-11432859</v>
      </c>
      <c r="R60">
        <v>0</v>
      </c>
      <c r="S60">
        <v>0</v>
      </c>
      <c r="T60">
        <v>0</v>
      </c>
      <c r="U60" s="14">
        <f t="shared" si="1"/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">
        <v>-11001174</v>
      </c>
      <c r="AB60" s="26">
        <v>-11001174</v>
      </c>
      <c r="AC60" s="24" t="b">
        <f t="shared" si="3"/>
        <v>1</v>
      </c>
    </row>
    <row r="61" spans="1:29">
      <c r="A61" s="24" t="b">
        <f t="shared" si="4"/>
        <v>1</v>
      </c>
      <c r="B61" s="24" t="str">
        <f>+Hoja2!A54</f>
        <v>3.1.07.833</v>
      </c>
      <c r="C61" t="s">
        <v>164</v>
      </c>
      <c r="D61" t="s">
        <v>165</v>
      </c>
      <c r="E61" s="6">
        <v>0</v>
      </c>
      <c r="F61" s="7">
        <v>-1215525</v>
      </c>
      <c r="G61" s="7">
        <v>-26519</v>
      </c>
      <c r="H61" s="7">
        <v>-1215527</v>
      </c>
      <c r="I61" s="7">
        <v>-1222329</v>
      </c>
      <c r="J61" s="7">
        <v>-1215527</v>
      </c>
      <c r="K61" s="7">
        <v>-1215528</v>
      </c>
      <c r="L61" s="7">
        <v>-1215526</v>
      </c>
      <c r="M61" s="7">
        <v>-1215525</v>
      </c>
      <c r="N61" s="7">
        <v>-1215524</v>
      </c>
      <c r="O61" s="7">
        <v>-1215524</v>
      </c>
      <c r="P61" s="23">
        <f t="shared" si="0"/>
        <v>0</v>
      </c>
      <c r="Q61">
        <v>0</v>
      </c>
      <c r="R61">
        <v>0</v>
      </c>
      <c r="S61">
        <v>0</v>
      </c>
      <c r="T61">
        <v>0</v>
      </c>
      <c r="U61" s="14">
        <f t="shared" si="1"/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">
        <v>-10973054</v>
      </c>
      <c r="AB61" s="26">
        <v>-10973054</v>
      </c>
      <c r="AC61" s="24" t="b">
        <f t="shared" si="3"/>
        <v>1</v>
      </c>
    </row>
    <row r="62" spans="1:29">
      <c r="A62" s="24" t="b">
        <f t="shared" si="4"/>
        <v>1</v>
      </c>
      <c r="B62" s="24" t="str">
        <f>+Hoja2!A55</f>
        <v>3.1.08.701</v>
      </c>
      <c r="C62" t="s">
        <v>156</v>
      </c>
      <c r="D62" t="s">
        <v>157</v>
      </c>
      <c r="E62" s="7">
        <v>-10324451</v>
      </c>
      <c r="F62" s="7">
        <v>-31020</v>
      </c>
      <c r="G62" s="7">
        <v>-1010851</v>
      </c>
      <c r="H62" s="7">
        <v>-86016</v>
      </c>
      <c r="I62" s="7">
        <v>-3313518</v>
      </c>
      <c r="J62" s="7">
        <v>-5017104</v>
      </c>
      <c r="K62" s="7">
        <v>-1440776</v>
      </c>
      <c r="L62" s="7">
        <v>-4961996</v>
      </c>
      <c r="M62" s="7">
        <v>-4599352</v>
      </c>
      <c r="N62" s="7">
        <v>-4102748</v>
      </c>
      <c r="O62" s="7">
        <v>-3048816</v>
      </c>
      <c r="P62" s="23">
        <f t="shared" si="0"/>
        <v>0</v>
      </c>
      <c r="Q62">
        <v>0</v>
      </c>
      <c r="R62">
        <v>0</v>
      </c>
      <c r="S62">
        <v>0</v>
      </c>
      <c r="T62">
        <v>0</v>
      </c>
      <c r="U62" s="14">
        <f t="shared" si="1"/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>
        <v>-37936648</v>
      </c>
      <c r="AB62" s="26">
        <v>-37936648</v>
      </c>
      <c r="AC62" s="24" t="b">
        <f t="shared" si="3"/>
        <v>1</v>
      </c>
    </row>
    <row r="63" spans="1:29">
      <c r="A63" s="24" t="b">
        <f t="shared" si="4"/>
        <v>1</v>
      </c>
      <c r="B63" s="24" t="str">
        <f>+Hoja2!A56</f>
        <v>3.2.08.105</v>
      </c>
      <c r="C63" t="s">
        <v>141</v>
      </c>
      <c r="D63" t="s">
        <v>142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7">
        <v>-33811</v>
      </c>
      <c r="K63" s="6">
        <v>0</v>
      </c>
      <c r="L63" s="6">
        <v>0</v>
      </c>
      <c r="M63" s="6">
        <v>0</v>
      </c>
      <c r="N63" s="7">
        <v>-16417</v>
      </c>
      <c r="O63" s="7">
        <v>-27053</v>
      </c>
      <c r="P63" s="23">
        <f t="shared" si="0"/>
        <v>0</v>
      </c>
      <c r="Q63">
        <v>0</v>
      </c>
      <c r="R63">
        <v>0</v>
      </c>
      <c r="S63">
        <v>0</v>
      </c>
      <c r="T63">
        <v>0</v>
      </c>
      <c r="U63" s="14">
        <f t="shared" si="1"/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1">
        <v>-77281</v>
      </c>
      <c r="AB63" s="26">
        <v>-77281</v>
      </c>
      <c r="AC63" s="24" t="b">
        <f t="shared" si="3"/>
        <v>1</v>
      </c>
    </row>
    <row r="64" spans="1:29">
      <c r="A64" s="24" t="b">
        <f t="shared" si="4"/>
        <v>1</v>
      </c>
      <c r="B64" s="24" t="str">
        <f>+Hoja2!A57</f>
        <v>3.2.08.114</v>
      </c>
      <c r="C64" t="s">
        <v>143</v>
      </c>
      <c r="D64" t="s">
        <v>144</v>
      </c>
      <c r="I64" s="7">
        <v>3695613</v>
      </c>
      <c r="P64" s="23">
        <f t="shared" si="0"/>
        <v>0</v>
      </c>
      <c r="U64" s="14">
        <f t="shared" si="1"/>
        <v>0</v>
      </c>
      <c r="AA64" s="1">
        <v>3695613</v>
      </c>
      <c r="AB64" s="26">
        <v>3695613</v>
      </c>
      <c r="AC64" s="24" t="b">
        <f t="shared" si="3"/>
        <v>1</v>
      </c>
    </row>
    <row r="65" spans="1:29">
      <c r="A65" s="24" t="b">
        <f t="shared" si="4"/>
        <v>1</v>
      </c>
      <c r="B65" s="24" t="str">
        <f>+Hoja2!A58</f>
        <v>3.2.08.116</v>
      </c>
      <c r="C65" t="s">
        <v>145</v>
      </c>
      <c r="D65" t="s">
        <v>146</v>
      </c>
      <c r="E65" s="6">
        <v>0</v>
      </c>
      <c r="F65" s="6">
        <v>0</v>
      </c>
      <c r="G65" s="6">
        <v>0</v>
      </c>
      <c r="H65" s="6">
        <v>0</v>
      </c>
      <c r="I65" s="7">
        <v>35492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23">
        <f t="shared" si="0"/>
        <v>0</v>
      </c>
      <c r="Q65">
        <v>0</v>
      </c>
      <c r="R65">
        <v>0</v>
      </c>
      <c r="S65">
        <v>0</v>
      </c>
      <c r="T65">
        <v>0</v>
      </c>
      <c r="U65" s="14">
        <f t="shared" si="1"/>
        <v>0</v>
      </c>
      <c r="V65">
        <v>0</v>
      </c>
      <c r="W65">
        <v>0</v>
      </c>
      <c r="X65">
        <v>0</v>
      </c>
      <c r="Y65">
        <v>0</v>
      </c>
      <c r="Z65">
        <v>0</v>
      </c>
      <c r="AA65" s="1">
        <v>35492</v>
      </c>
      <c r="AB65" s="26">
        <v>35492</v>
      </c>
      <c r="AC65" s="24" t="b">
        <f t="shared" si="3"/>
        <v>1</v>
      </c>
    </row>
    <row r="66" spans="1:29">
      <c r="A66" s="24" t="b">
        <f t="shared" si="4"/>
        <v>1</v>
      </c>
      <c r="B66" s="24" t="str">
        <f>+Hoja2!A59</f>
        <v>3.2.08.117</v>
      </c>
      <c r="C66" t="s">
        <v>147</v>
      </c>
      <c r="D66" t="s">
        <v>148</v>
      </c>
      <c r="I66" s="7">
        <v>775274</v>
      </c>
      <c r="P66" s="23">
        <f t="shared" si="0"/>
        <v>0</v>
      </c>
      <c r="U66" s="14">
        <f t="shared" si="1"/>
        <v>0</v>
      </c>
      <c r="AA66" s="1">
        <v>775274</v>
      </c>
      <c r="AB66" s="26">
        <v>775274</v>
      </c>
      <c r="AC66" s="24" t="b">
        <f t="shared" si="3"/>
        <v>1</v>
      </c>
    </row>
    <row r="67" spans="1:29">
      <c r="A67" s="24" t="b">
        <f t="shared" si="4"/>
        <v>1</v>
      </c>
      <c r="B67" s="24" t="str">
        <f>+Hoja2!A60</f>
        <v>3.2.11.158</v>
      </c>
      <c r="C67" t="s">
        <v>149</v>
      </c>
      <c r="D67" t="s">
        <v>150</v>
      </c>
      <c r="I67" s="7">
        <v>-10834978</v>
      </c>
      <c r="P67" s="23">
        <f t="shared" ref="P67:P69" si="5">+Q67+R67+S67+T67</f>
        <v>0</v>
      </c>
      <c r="U67" s="14">
        <f t="shared" ref="U67:U70" si="6">+V67+W67+X67+Y67+Z67</f>
        <v>0</v>
      </c>
      <c r="AA67" s="1">
        <v>-10834978</v>
      </c>
      <c r="AB67" s="26">
        <v>-10834978</v>
      </c>
      <c r="AC67" s="24" t="b">
        <f t="shared" si="3"/>
        <v>1</v>
      </c>
    </row>
    <row r="68" spans="1:29">
      <c r="A68" s="24" t="b">
        <f t="shared" si="4"/>
        <v>1</v>
      </c>
      <c r="B68" s="24" t="str">
        <f>+Hoja2!A61</f>
        <v>3.2.13.101</v>
      </c>
      <c r="C68" t="s">
        <v>168</v>
      </c>
      <c r="D68" t="s">
        <v>169</v>
      </c>
      <c r="E68" s="6">
        <v>0</v>
      </c>
      <c r="F68" s="6">
        <v>0</v>
      </c>
      <c r="G68" s="6">
        <v>0</v>
      </c>
      <c r="H68" s="6">
        <v>0</v>
      </c>
      <c r="I68" s="7">
        <v>4515392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23">
        <f t="shared" si="5"/>
        <v>0</v>
      </c>
      <c r="Q68">
        <v>0</v>
      </c>
      <c r="R68">
        <v>0</v>
      </c>
      <c r="S68">
        <v>0</v>
      </c>
      <c r="T68">
        <v>0</v>
      </c>
      <c r="U68" s="14">
        <f t="shared" si="6"/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1">
        <v>4515392</v>
      </c>
      <c r="AB68" s="26">
        <v>4515392</v>
      </c>
      <c r="AC68" s="24" t="b">
        <f t="shared" si="3"/>
        <v>1</v>
      </c>
    </row>
    <row r="69" spans="1:29">
      <c r="A69" s="24" t="b">
        <f t="shared" si="4"/>
        <v>1</v>
      </c>
      <c r="B69" s="24" t="str">
        <f>+Hoja2!A62</f>
        <v>3.2.13.109</v>
      </c>
      <c r="C69" t="s">
        <v>158</v>
      </c>
      <c r="D69" t="s">
        <v>159</v>
      </c>
      <c r="E69" s="6">
        <v>0</v>
      </c>
      <c r="F69" s="6">
        <v>2</v>
      </c>
      <c r="G69" s="6">
        <v>0</v>
      </c>
      <c r="H69" s="6">
        <v>0</v>
      </c>
      <c r="I69" s="7">
        <v>-1346</v>
      </c>
      <c r="J69" s="6">
        <v>0</v>
      </c>
      <c r="K69" s="6">
        <v>0</v>
      </c>
      <c r="L69" s="6">
        <v>-5</v>
      </c>
      <c r="M69" s="6">
        <v>0</v>
      </c>
      <c r="N69" s="6">
        <v>0</v>
      </c>
      <c r="O69" s="6">
        <v>0</v>
      </c>
      <c r="P69" s="23">
        <f t="shared" si="5"/>
        <v>0</v>
      </c>
      <c r="Q69">
        <v>0</v>
      </c>
      <c r="R69">
        <v>0</v>
      </c>
      <c r="S69">
        <v>0</v>
      </c>
      <c r="T69">
        <v>0</v>
      </c>
      <c r="U69" s="14">
        <f t="shared" si="6"/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>
        <v>-1349</v>
      </c>
      <c r="AB69" s="26">
        <v>-1349</v>
      </c>
      <c r="AC69" s="24" t="b">
        <f t="shared" si="3"/>
        <v>1</v>
      </c>
    </row>
    <row r="70" spans="1:29">
      <c r="A70" s="24" t="b">
        <f t="shared" si="4"/>
        <v>0</v>
      </c>
      <c r="B70" s="24">
        <f>+Hoja2!A63</f>
        <v>0</v>
      </c>
      <c r="D70" t="s">
        <v>36</v>
      </c>
      <c r="E70" s="7">
        <v>-30352473</v>
      </c>
      <c r="F70" s="7">
        <v>119037891</v>
      </c>
      <c r="G70" s="7">
        <v>32416243</v>
      </c>
      <c r="H70" s="7">
        <v>87115455</v>
      </c>
      <c r="I70" s="6">
        <v>0</v>
      </c>
      <c r="J70" s="7">
        <v>186578431</v>
      </c>
      <c r="K70" s="7">
        <v>68673937</v>
      </c>
      <c r="L70" s="7">
        <v>128860197</v>
      </c>
      <c r="M70" s="7">
        <v>62698035</v>
      </c>
      <c r="N70" s="7">
        <v>59736841</v>
      </c>
      <c r="O70" s="7">
        <v>88780288</v>
      </c>
      <c r="P70" s="23">
        <v>0</v>
      </c>
      <c r="Q70" s="1">
        <v>10765435</v>
      </c>
      <c r="R70" s="1">
        <v>163086752</v>
      </c>
      <c r="S70">
        <v>0</v>
      </c>
      <c r="T70">
        <v>0</v>
      </c>
      <c r="U70" s="14">
        <f t="shared" si="6"/>
        <v>208354</v>
      </c>
      <c r="V70" s="1">
        <v>208354</v>
      </c>
      <c r="W70">
        <v>0</v>
      </c>
      <c r="X70">
        <v>0</v>
      </c>
      <c r="Y70">
        <v>0</v>
      </c>
      <c r="Z70">
        <v>0</v>
      </c>
      <c r="AA70" s="1">
        <v>977605386</v>
      </c>
      <c r="AC70" s="24" t="b">
        <f t="shared" si="3"/>
        <v>0</v>
      </c>
    </row>
    <row r="71" spans="1:29">
      <c r="E71" s="22">
        <f>SUM(E8:E69)</f>
        <v>-36232313</v>
      </c>
      <c r="F71" s="19">
        <f>SUM(F8:F69)</f>
        <v>-72712300</v>
      </c>
      <c r="G71" s="19">
        <f>SUM(G8:G69)</f>
        <v>-14990417</v>
      </c>
      <c r="H71" s="19">
        <f>SUM(H8:H69)</f>
        <v>-71483415</v>
      </c>
      <c r="I71" s="19">
        <f>SUM(I8:I69)</f>
        <v>-38852606</v>
      </c>
      <c r="J71" s="19">
        <f>SUM(J8:J69)</f>
        <v>-117029588</v>
      </c>
      <c r="K71" s="19">
        <f>SUM(K8:K69)</f>
        <v>-61947548</v>
      </c>
      <c r="L71" s="19">
        <f>SUM(L8:L69)</f>
        <v>-81744290</v>
      </c>
      <c r="M71" s="19">
        <f>SUM(M8:M69)</f>
        <v>-51320396</v>
      </c>
      <c r="N71" s="19">
        <f>SUM(N8:N69)</f>
        <v>-55798589</v>
      </c>
      <c r="O71" s="19">
        <f>SUM(O8:O69)</f>
        <v>-70899635</v>
      </c>
      <c r="P71" s="9">
        <f t="shared" ref="P71:AA71" si="7">SUM(P8:P69)</f>
        <v>-44894950</v>
      </c>
      <c r="Q71" s="22">
        <f t="shared" si="7"/>
        <v>-667424</v>
      </c>
      <c r="R71" s="22">
        <f t="shared" si="7"/>
        <v>-36721031</v>
      </c>
      <c r="S71" s="22">
        <f>SUM(S8:S69)</f>
        <v>-584896</v>
      </c>
      <c r="T71" s="22">
        <f>SUM(T8:T69)</f>
        <v>-6921599</v>
      </c>
      <c r="U71" s="13">
        <f t="shared" si="7"/>
        <v>-26318285</v>
      </c>
      <c r="V71" s="22">
        <f t="shared" si="7"/>
        <v>-7926586</v>
      </c>
      <c r="W71" s="22">
        <f t="shared" si="7"/>
        <v>-1063838</v>
      </c>
      <c r="X71" s="22">
        <f t="shared" si="7"/>
        <v>-9377090</v>
      </c>
      <c r="Y71" s="22">
        <f t="shared" si="7"/>
        <v>-7950771</v>
      </c>
      <c r="Z71" s="22">
        <f t="shared" si="7"/>
        <v>0</v>
      </c>
      <c r="AA71" s="22">
        <f t="shared" si="7"/>
        <v>-744224332</v>
      </c>
      <c r="AC71" s="24" t="b">
        <f t="shared" si="3"/>
        <v>0</v>
      </c>
    </row>
    <row r="72" spans="1:29">
      <c r="G72" s="18">
        <f>15257085+G71</f>
        <v>266668</v>
      </c>
      <c r="AC72" s="24" t="b">
        <f t="shared" si="3"/>
        <v>1</v>
      </c>
    </row>
    <row r="73" spans="1:29">
      <c r="D73" t="s">
        <v>46</v>
      </c>
      <c r="E73" s="7">
        <v>20105785</v>
      </c>
      <c r="F73" s="7">
        <v>-60667113</v>
      </c>
      <c r="G73" s="7">
        <v>-14934468</v>
      </c>
      <c r="H73" s="7">
        <v>-41582272</v>
      </c>
      <c r="I73" s="6">
        <v>0</v>
      </c>
      <c r="J73" s="7">
        <v>-93699094</v>
      </c>
      <c r="K73" s="7">
        <v>-34229061</v>
      </c>
      <c r="L73" s="7">
        <v>-65789450</v>
      </c>
      <c r="M73" s="7">
        <v>-31814260</v>
      </c>
      <c r="N73" s="7">
        <v>-29906680</v>
      </c>
      <c r="O73" s="7">
        <v>-44167044</v>
      </c>
      <c r="P73" s="23">
        <v>0</v>
      </c>
      <c r="Q73">
        <v>0</v>
      </c>
      <c r="R73" s="1">
        <v>-107499831</v>
      </c>
      <c r="S73" s="1">
        <v>-565122</v>
      </c>
      <c r="T73" s="1">
        <v>-2118483</v>
      </c>
      <c r="U73" s="14">
        <v>0</v>
      </c>
      <c r="V73" s="1">
        <v>-7926586</v>
      </c>
      <c r="W73" s="1">
        <v>-1063838</v>
      </c>
      <c r="X73" s="1">
        <v>-6510916</v>
      </c>
      <c r="Y73">
        <v>0</v>
      </c>
      <c r="Z73">
        <v>0</v>
      </c>
      <c r="AA73" s="1">
        <v>-522368433</v>
      </c>
      <c r="AC73" s="24" t="b">
        <f t="shared" ref="AC73" si="8">EXACT(AA73,AB73)</f>
        <v>0</v>
      </c>
    </row>
    <row r="75" spans="1:29">
      <c r="D75" t="s">
        <v>47</v>
      </c>
      <c r="E75" s="8">
        <v>0.33760000000000001</v>
      </c>
      <c r="F75" s="8">
        <v>0.4904</v>
      </c>
      <c r="G75" s="8">
        <v>0.5393</v>
      </c>
      <c r="H75" s="8">
        <v>0.52270000000000005</v>
      </c>
      <c r="I75" s="8">
        <v>0</v>
      </c>
      <c r="J75" s="8">
        <v>0.49780000000000002</v>
      </c>
      <c r="K75" s="8">
        <v>0.50160000000000005</v>
      </c>
      <c r="L75" s="8">
        <v>0.48949999999999999</v>
      </c>
      <c r="M75" s="8">
        <v>0.49259999999999998</v>
      </c>
      <c r="N75" s="8">
        <v>0.49940000000000001</v>
      </c>
      <c r="O75" s="8">
        <v>0.50249999999999995</v>
      </c>
      <c r="P75" s="16">
        <v>0</v>
      </c>
      <c r="Q75" s="2">
        <v>1</v>
      </c>
      <c r="R75" s="2">
        <v>0.34079999999999999</v>
      </c>
      <c r="S75" s="2">
        <v>0</v>
      </c>
      <c r="T75" s="2">
        <v>0</v>
      </c>
      <c r="U75" s="12">
        <v>0</v>
      </c>
      <c r="V75" s="2">
        <v>37.043799999999997</v>
      </c>
      <c r="W75" s="2">
        <v>0</v>
      </c>
      <c r="X75" s="2">
        <v>0</v>
      </c>
      <c r="Y75" s="2">
        <v>0</v>
      </c>
      <c r="Z75" s="2">
        <v>0</v>
      </c>
      <c r="AA75" s="2">
        <v>0.4657</v>
      </c>
    </row>
    <row r="76" spans="1:29">
      <c r="D76" t="s">
        <v>48</v>
      </c>
      <c r="E76" s="7">
        <v>-10246688</v>
      </c>
      <c r="F76" s="7">
        <v>58370778</v>
      </c>
      <c r="G76" s="7">
        <v>17481775</v>
      </c>
      <c r="H76" s="7">
        <v>45533183</v>
      </c>
      <c r="I76" s="6">
        <v>0</v>
      </c>
      <c r="J76" s="7">
        <v>92879337</v>
      </c>
      <c r="K76" s="7">
        <v>34444876</v>
      </c>
      <c r="L76" s="7">
        <v>63070747</v>
      </c>
      <c r="M76" s="7">
        <v>30883775</v>
      </c>
      <c r="N76" s="7">
        <v>29830161</v>
      </c>
      <c r="O76" s="7">
        <v>44613244</v>
      </c>
      <c r="P76" s="23">
        <v>0</v>
      </c>
      <c r="Q76" s="1">
        <v>10765435</v>
      </c>
      <c r="R76" s="1">
        <v>55586921</v>
      </c>
      <c r="S76" s="1">
        <v>-565122</v>
      </c>
      <c r="T76" s="1">
        <v>-2118483</v>
      </c>
      <c r="U76" s="14">
        <v>0</v>
      </c>
      <c r="V76" s="1">
        <v>-7718232</v>
      </c>
      <c r="W76" s="1">
        <v>-1063838</v>
      </c>
      <c r="X76" s="1">
        <v>-6510916</v>
      </c>
      <c r="Y76">
        <v>0</v>
      </c>
      <c r="Z76">
        <v>0</v>
      </c>
      <c r="AA76" s="1">
        <v>455236953</v>
      </c>
    </row>
    <row r="78" spans="1:29">
      <c r="D78" t="s">
        <v>139</v>
      </c>
      <c r="E78" s="7">
        <v>-16541263</v>
      </c>
      <c r="F78" s="7">
        <v>-70970915</v>
      </c>
      <c r="G78" s="7">
        <v>-13660344</v>
      </c>
      <c r="H78" s="7">
        <v>-69691454</v>
      </c>
      <c r="I78" s="7">
        <v>-22777850</v>
      </c>
      <c r="J78" s="7">
        <v>-110200095</v>
      </c>
      <c r="K78" s="7">
        <v>-58705557</v>
      </c>
      <c r="L78" s="7">
        <v>-75004666</v>
      </c>
      <c r="M78" s="7">
        <v>-45020798</v>
      </c>
      <c r="N78" s="7">
        <v>-49979179</v>
      </c>
      <c r="O78" s="7">
        <v>-66123521</v>
      </c>
      <c r="P78" s="23">
        <v>0</v>
      </c>
      <c r="Q78" s="1">
        <v>-10156041</v>
      </c>
      <c r="R78" s="1">
        <v>-25088291</v>
      </c>
      <c r="S78">
        <v>0</v>
      </c>
      <c r="T78">
        <v>0</v>
      </c>
      <c r="U78" s="14">
        <v>0</v>
      </c>
      <c r="V78">
        <v>0</v>
      </c>
      <c r="W78">
        <v>0</v>
      </c>
      <c r="X78">
        <v>0</v>
      </c>
      <c r="Y78" s="1">
        <v>-7950771</v>
      </c>
      <c r="Z78">
        <v>0</v>
      </c>
      <c r="AA78" s="1">
        <v>-641870745</v>
      </c>
    </row>
    <row r="80" spans="1:29">
      <c r="D80" t="s">
        <v>140</v>
      </c>
      <c r="E80" s="7">
        <v>-26787951</v>
      </c>
      <c r="F80" s="7">
        <v>-12600137</v>
      </c>
      <c r="G80" s="7">
        <v>3821431</v>
      </c>
      <c r="H80" s="7">
        <v>-24158271</v>
      </c>
      <c r="I80" s="7">
        <v>-22777850</v>
      </c>
      <c r="J80" s="7">
        <v>-17320758</v>
      </c>
      <c r="K80" s="7">
        <v>-24260681</v>
      </c>
      <c r="L80" s="7">
        <v>-11933919</v>
      </c>
      <c r="M80" s="7">
        <v>-14137023</v>
      </c>
      <c r="N80" s="7">
        <v>-20149018</v>
      </c>
      <c r="O80" s="7">
        <v>-21510277</v>
      </c>
      <c r="P80" s="23">
        <v>0</v>
      </c>
      <c r="Q80" s="1">
        <v>609394</v>
      </c>
      <c r="R80" s="1">
        <v>30498630</v>
      </c>
      <c r="S80" s="1">
        <v>-565122</v>
      </c>
      <c r="T80" s="1">
        <v>-2118483</v>
      </c>
      <c r="U80" s="14">
        <v>0</v>
      </c>
      <c r="V80" s="1">
        <v>-7718232</v>
      </c>
      <c r="W80" s="1">
        <v>-1063838</v>
      </c>
      <c r="X80" s="1">
        <v>-6510916</v>
      </c>
      <c r="Y80" s="1">
        <v>-7950771</v>
      </c>
      <c r="Z80">
        <v>0</v>
      </c>
      <c r="AA80" s="1">
        <v>-186633792</v>
      </c>
    </row>
    <row r="82" spans="4:27">
      <c r="D82" t="s">
        <v>151</v>
      </c>
      <c r="E82" s="6">
        <v>0</v>
      </c>
      <c r="F82" s="6">
        <v>0</v>
      </c>
      <c r="G82" s="6">
        <v>0</v>
      </c>
      <c r="H82" s="6">
        <v>0</v>
      </c>
      <c r="I82" s="7">
        <v>-6328599</v>
      </c>
      <c r="J82" s="7">
        <v>-33811</v>
      </c>
      <c r="K82" s="6">
        <v>0</v>
      </c>
      <c r="L82" s="6">
        <v>0</v>
      </c>
      <c r="M82" s="6">
        <v>0</v>
      </c>
      <c r="N82" s="7">
        <v>-16417</v>
      </c>
      <c r="O82" s="7">
        <v>-27053</v>
      </c>
      <c r="P82" s="23">
        <v>0</v>
      </c>
      <c r="Q82">
        <v>0</v>
      </c>
      <c r="R82">
        <v>0</v>
      </c>
      <c r="S82">
        <v>0</v>
      </c>
      <c r="T82">
        <v>0</v>
      </c>
      <c r="U82" s="14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>
        <v>-6405880</v>
      </c>
    </row>
    <row r="85" spans="4:27">
      <c r="D85" t="s">
        <v>160</v>
      </c>
      <c r="E85" s="7">
        <v>-19691050</v>
      </c>
      <c r="F85" s="7">
        <v>-515740</v>
      </c>
      <c r="G85" s="7">
        <v>-1292778</v>
      </c>
      <c r="H85" s="7">
        <v>-570738</v>
      </c>
      <c r="I85" s="7">
        <v>-3314864</v>
      </c>
      <c r="J85" s="7">
        <v>-5501825</v>
      </c>
      <c r="K85" s="7">
        <v>-1925497</v>
      </c>
      <c r="L85" s="7">
        <v>-5446722</v>
      </c>
      <c r="M85" s="7">
        <v>-5084073</v>
      </c>
      <c r="N85" s="7">
        <v>-4587469</v>
      </c>
      <c r="O85" s="7">
        <v>-3533537</v>
      </c>
      <c r="P85" s="23">
        <v>0</v>
      </c>
      <c r="Q85">
        <v>0</v>
      </c>
      <c r="R85" s="1">
        <v>-9390866</v>
      </c>
      <c r="S85" s="1">
        <v>-19774</v>
      </c>
      <c r="T85" s="1">
        <v>-4803116</v>
      </c>
      <c r="U85" s="14">
        <v>0</v>
      </c>
      <c r="V85">
        <v>0</v>
      </c>
      <c r="W85">
        <v>0</v>
      </c>
      <c r="X85" s="1">
        <v>-2866174</v>
      </c>
      <c r="Y85">
        <v>0</v>
      </c>
      <c r="Z85">
        <v>0</v>
      </c>
      <c r="AA85" s="1">
        <v>-68544223</v>
      </c>
    </row>
    <row r="87" spans="4:27">
      <c r="D87" t="s">
        <v>161</v>
      </c>
      <c r="E87" s="7">
        <v>-19691050</v>
      </c>
      <c r="F87" s="7">
        <v>-515740</v>
      </c>
      <c r="G87" s="7">
        <v>-1292778</v>
      </c>
      <c r="H87" s="7">
        <v>-570738</v>
      </c>
      <c r="I87" s="7">
        <v>-9643463</v>
      </c>
      <c r="J87" s="7">
        <v>-5535636</v>
      </c>
      <c r="K87" s="7">
        <v>-1925497</v>
      </c>
      <c r="L87" s="7">
        <v>-5446722</v>
      </c>
      <c r="M87" s="7">
        <v>-5084073</v>
      </c>
      <c r="N87" s="7">
        <v>-4603886</v>
      </c>
      <c r="O87" s="7">
        <v>-3560590</v>
      </c>
      <c r="P87" s="23">
        <v>0</v>
      </c>
      <c r="Q87">
        <v>0</v>
      </c>
      <c r="R87" s="1">
        <v>-9390866</v>
      </c>
      <c r="S87" s="1">
        <v>-19774</v>
      </c>
      <c r="T87" s="1">
        <v>-4803116</v>
      </c>
      <c r="U87" s="14">
        <v>0</v>
      </c>
      <c r="V87">
        <v>0</v>
      </c>
      <c r="W87">
        <v>0</v>
      </c>
      <c r="X87" s="1">
        <v>-2866174</v>
      </c>
      <c r="Y87">
        <v>0</v>
      </c>
      <c r="Z87">
        <v>0</v>
      </c>
      <c r="AA87" s="1">
        <v>-74950103</v>
      </c>
    </row>
    <row r="89" spans="4:27">
      <c r="D89" t="s">
        <v>166</v>
      </c>
      <c r="E89" s="6">
        <v>0</v>
      </c>
      <c r="F89" s="7">
        <v>-1215525</v>
      </c>
      <c r="G89" s="7">
        <v>-26519</v>
      </c>
      <c r="H89" s="7">
        <v>-1215527</v>
      </c>
      <c r="I89" s="7">
        <v>-790644</v>
      </c>
      <c r="J89" s="7">
        <v>-1215527</v>
      </c>
      <c r="K89" s="7">
        <v>-1215528</v>
      </c>
      <c r="L89" s="7">
        <v>-1215526</v>
      </c>
      <c r="M89" s="7">
        <v>-1215525</v>
      </c>
      <c r="N89" s="7">
        <v>-1215524</v>
      </c>
      <c r="O89" s="7">
        <v>-1215524</v>
      </c>
      <c r="P89" s="23">
        <v>0</v>
      </c>
      <c r="Q89" s="1">
        <v>-11432859</v>
      </c>
      <c r="R89">
        <v>0</v>
      </c>
      <c r="S89">
        <v>0</v>
      </c>
      <c r="T89">
        <v>0</v>
      </c>
      <c r="U89" s="14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>
        <v>-21974228</v>
      </c>
    </row>
    <row r="91" spans="4:27">
      <c r="D91" t="s">
        <v>167</v>
      </c>
      <c r="E91" s="7">
        <v>-46479001</v>
      </c>
      <c r="F91" s="7">
        <v>-14331402</v>
      </c>
      <c r="G91" s="7">
        <v>2502134</v>
      </c>
      <c r="H91" s="7">
        <v>-25944536</v>
      </c>
      <c r="I91" s="7">
        <v>-33211957</v>
      </c>
      <c r="J91" s="7">
        <v>-24071921</v>
      </c>
      <c r="K91" s="7">
        <v>-27401706</v>
      </c>
      <c r="L91" s="7">
        <v>-18596167</v>
      </c>
      <c r="M91" s="7">
        <v>-20436621</v>
      </c>
      <c r="N91" s="7">
        <v>-25968428</v>
      </c>
      <c r="O91" s="7">
        <v>-26286391</v>
      </c>
      <c r="P91" s="23">
        <v>0</v>
      </c>
      <c r="Q91" s="1">
        <v>-10823465</v>
      </c>
      <c r="R91" s="1">
        <v>21107764</v>
      </c>
      <c r="S91" s="1">
        <v>-584896</v>
      </c>
      <c r="T91" s="1">
        <v>-6921599</v>
      </c>
      <c r="U91" s="14">
        <v>0</v>
      </c>
      <c r="V91" s="1">
        <v>-7718232</v>
      </c>
      <c r="W91" s="1">
        <v>-1063838</v>
      </c>
      <c r="X91" s="1">
        <v>-9377090</v>
      </c>
      <c r="Y91" s="1">
        <v>-7950771</v>
      </c>
      <c r="Z91">
        <v>0</v>
      </c>
      <c r="AA91" s="1">
        <v>-283558123</v>
      </c>
    </row>
    <row r="93" spans="4:27">
      <c r="E93" s="6">
        <v>0</v>
      </c>
      <c r="F93" s="6">
        <v>0</v>
      </c>
      <c r="G93" s="6">
        <v>0</v>
      </c>
      <c r="H93" s="6">
        <v>0</v>
      </c>
      <c r="I93" s="7">
        <v>4515392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23">
        <v>0</v>
      </c>
      <c r="Q93">
        <v>0</v>
      </c>
      <c r="R93">
        <v>0</v>
      </c>
      <c r="S93">
        <v>0</v>
      </c>
      <c r="T93">
        <v>0</v>
      </c>
      <c r="U93" s="14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>
        <v>4515392</v>
      </c>
    </row>
    <row r="96" spans="4:27">
      <c r="D96" t="s">
        <v>170</v>
      </c>
      <c r="E96" s="7">
        <v>-46479001</v>
      </c>
      <c r="F96" s="7">
        <v>-14331402</v>
      </c>
      <c r="G96" s="7">
        <v>2502134</v>
      </c>
      <c r="H96" s="7">
        <v>-25944536</v>
      </c>
      <c r="I96" s="7">
        <v>-28696565</v>
      </c>
      <c r="J96" s="7">
        <v>-24071921</v>
      </c>
      <c r="K96" s="7">
        <v>-27401706</v>
      </c>
      <c r="L96" s="7">
        <v>-18596167</v>
      </c>
      <c r="M96" s="7">
        <v>-20436621</v>
      </c>
      <c r="N96" s="7">
        <v>-25968428</v>
      </c>
      <c r="O96" s="7">
        <v>-26286391</v>
      </c>
      <c r="P96" s="23">
        <v>0</v>
      </c>
      <c r="Q96" s="1">
        <v>-10823465</v>
      </c>
      <c r="R96" s="1">
        <v>21107764</v>
      </c>
      <c r="S96" s="1">
        <v>-584896</v>
      </c>
      <c r="T96" s="1">
        <v>-6921599</v>
      </c>
      <c r="U96" s="14">
        <v>0</v>
      </c>
      <c r="V96" s="1">
        <v>-7718232</v>
      </c>
      <c r="W96" s="1">
        <v>-1063838</v>
      </c>
      <c r="X96" s="1">
        <v>-9377090</v>
      </c>
      <c r="Y96" s="1">
        <v>-7950771</v>
      </c>
      <c r="Z96">
        <v>0</v>
      </c>
      <c r="AA96" s="1">
        <v>-279042731</v>
      </c>
    </row>
  </sheetData>
  <sortState xmlns:xlrd2="http://schemas.microsoft.com/office/spreadsheetml/2017/richdata2" ref="C2:AA99">
    <sortCondition ref="C2:C99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F599-CAFE-4B56-A729-8F3FB6E16DFB}">
  <dimension ref="A1:A62"/>
  <sheetViews>
    <sheetView workbookViewId="0">
      <selection sqref="A1:A62"/>
    </sheetView>
  </sheetViews>
  <sheetFormatPr baseColWidth="10" defaultRowHeight="14"/>
  <sheetData>
    <row r="1" spans="1:1">
      <c r="A1" s="25" t="s">
        <v>34</v>
      </c>
    </row>
    <row r="2" spans="1:1">
      <c r="A2" s="25" t="s">
        <v>152</v>
      </c>
    </row>
    <row r="3" spans="1:1">
      <c r="A3" s="25" t="s">
        <v>39</v>
      </c>
    </row>
    <row r="4" spans="1:1">
      <c r="A4" s="25" t="s">
        <v>154</v>
      </c>
    </row>
    <row r="5" spans="1:1">
      <c r="A5" s="25" t="s">
        <v>41</v>
      </c>
    </row>
    <row r="6" spans="1:1">
      <c r="A6" s="25" t="s">
        <v>43</v>
      </c>
    </row>
    <row r="7" spans="1:1">
      <c r="A7" s="25" t="s">
        <v>44</v>
      </c>
    </row>
    <row r="8" spans="1:1">
      <c r="A8" s="25" t="s">
        <v>49</v>
      </c>
    </row>
    <row r="9" spans="1:1">
      <c r="A9" s="27" t="s">
        <v>51</v>
      </c>
    </row>
    <row r="10" spans="1:1">
      <c r="A10" s="27" t="s">
        <v>53</v>
      </c>
    </row>
    <row r="11" spans="1:1">
      <c r="A11" s="27" t="s">
        <v>55</v>
      </c>
    </row>
    <row r="12" spans="1:1">
      <c r="A12" s="27" t="s">
        <v>57</v>
      </c>
    </row>
    <row r="13" spans="1:1">
      <c r="A13" s="27" t="s">
        <v>59</v>
      </c>
    </row>
    <row r="14" spans="1:1">
      <c r="A14" s="27" t="s">
        <v>61</v>
      </c>
    </row>
    <row r="15" spans="1:1">
      <c r="A15" s="27" t="s">
        <v>63</v>
      </c>
    </row>
    <row r="16" spans="1:1">
      <c r="A16" s="27" t="s">
        <v>65</v>
      </c>
    </row>
    <row r="17" spans="1:1">
      <c r="A17" s="27" t="s">
        <v>67</v>
      </c>
    </row>
    <row r="18" spans="1:1">
      <c r="A18" s="27" t="s">
        <v>69</v>
      </c>
    </row>
    <row r="19" spans="1:1">
      <c r="A19" s="25" t="s">
        <v>71</v>
      </c>
    </row>
    <row r="20" spans="1:1">
      <c r="A20" s="25" t="s">
        <v>73</v>
      </c>
    </row>
    <row r="21" spans="1:1">
      <c r="A21" s="25" t="s">
        <v>75</v>
      </c>
    </row>
    <row r="22" spans="1:1">
      <c r="A22" s="25" t="s">
        <v>77</v>
      </c>
    </row>
    <row r="23" spans="1:1">
      <c r="A23" s="25" t="s">
        <v>79</v>
      </c>
    </row>
    <row r="24" spans="1:1">
      <c r="A24" s="28" t="s">
        <v>81</v>
      </c>
    </row>
    <row r="25" spans="1:1">
      <c r="A25" s="25" t="s">
        <v>83</v>
      </c>
    </row>
    <row r="26" spans="1:1">
      <c r="A26" s="25" t="s">
        <v>85</v>
      </c>
    </row>
    <row r="27" spans="1:1">
      <c r="A27" s="25" t="s">
        <v>87</v>
      </c>
    </row>
    <row r="28" spans="1:1">
      <c r="A28" s="27" t="s">
        <v>89</v>
      </c>
    </row>
    <row r="29" spans="1:1">
      <c r="A29" s="25" t="s">
        <v>91</v>
      </c>
    </row>
    <row r="30" spans="1:1">
      <c r="A30" s="25" t="s">
        <v>93</v>
      </c>
    </row>
    <row r="31" spans="1:1">
      <c r="A31" s="25" t="s">
        <v>95</v>
      </c>
    </row>
    <row r="32" spans="1:1">
      <c r="A32" s="25" t="s">
        <v>97</v>
      </c>
    </row>
    <row r="33" spans="1:1">
      <c r="A33" s="25" t="s">
        <v>99</v>
      </c>
    </row>
    <row r="34" spans="1:1">
      <c r="A34" s="25" t="s">
        <v>101</v>
      </c>
    </row>
    <row r="35" spans="1:1">
      <c r="A35" s="27" t="s">
        <v>103</v>
      </c>
    </row>
    <row r="36" spans="1:1">
      <c r="A36" s="27" t="s">
        <v>105</v>
      </c>
    </row>
    <row r="37" spans="1:1">
      <c r="A37" s="25" t="s">
        <v>107</v>
      </c>
    </row>
    <row r="38" spans="1:1">
      <c r="A38" s="25" t="s">
        <v>109</v>
      </c>
    </row>
    <row r="39" spans="1:1">
      <c r="A39" s="25" t="s">
        <v>111</v>
      </c>
    </row>
    <row r="40" spans="1:1">
      <c r="A40" s="28" t="s">
        <v>113</v>
      </c>
    </row>
    <row r="41" spans="1:1">
      <c r="A41" s="25" t="s">
        <v>115</v>
      </c>
    </row>
    <row r="42" spans="1:1">
      <c r="A42" s="25" t="s">
        <v>117</v>
      </c>
    </row>
    <row r="43" spans="1:1">
      <c r="A43" s="25" t="s">
        <v>119</v>
      </c>
    </row>
    <row r="44" spans="1:1">
      <c r="A44" s="25" t="s">
        <v>121</v>
      </c>
    </row>
    <row r="45" spans="1:1">
      <c r="A45" s="25" t="s">
        <v>123</v>
      </c>
    </row>
    <row r="46" spans="1:1">
      <c r="A46" s="25" t="s">
        <v>125</v>
      </c>
    </row>
    <row r="47" spans="1:1">
      <c r="A47" s="25" t="s">
        <v>127</v>
      </c>
    </row>
    <row r="48" spans="1:1">
      <c r="A48" s="25" t="s">
        <v>129</v>
      </c>
    </row>
    <row r="49" spans="1:1">
      <c r="A49" s="25" t="s">
        <v>131</v>
      </c>
    </row>
    <row r="50" spans="1:1">
      <c r="A50" s="25" t="s">
        <v>133</v>
      </c>
    </row>
    <row r="51" spans="1:1">
      <c r="A51" s="25" t="s">
        <v>135</v>
      </c>
    </row>
    <row r="52" spans="1:1">
      <c r="A52" s="25" t="s">
        <v>137</v>
      </c>
    </row>
    <row r="53" spans="1:1">
      <c r="A53" s="25" t="s">
        <v>162</v>
      </c>
    </row>
    <row r="54" spans="1:1">
      <c r="A54" s="25" t="s">
        <v>164</v>
      </c>
    </row>
    <row r="55" spans="1:1">
      <c r="A55" s="25" t="s">
        <v>156</v>
      </c>
    </row>
    <row r="56" spans="1:1">
      <c r="A56" s="25" t="s">
        <v>141</v>
      </c>
    </row>
    <row r="57" spans="1:1">
      <c r="A57" s="25" t="s">
        <v>143</v>
      </c>
    </row>
    <row r="58" spans="1:1">
      <c r="A58" s="25" t="s">
        <v>145</v>
      </c>
    </row>
    <row r="59" spans="1:1">
      <c r="A59" s="25" t="s">
        <v>147</v>
      </c>
    </row>
    <row r="60" spans="1:1">
      <c r="A60" s="25" t="s">
        <v>149</v>
      </c>
    </row>
    <row r="61" spans="1:1">
      <c r="A61" s="25" t="s">
        <v>168</v>
      </c>
    </row>
    <row r="62" spans="1:1">
      <c r="A62" s="25" t="s">
        <v>158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3C71-81FA-4EA9-9A42-3AD5EFF36420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7AF93-161E-484F-9757-F56B41D214CE}"/>
</file>

<file path=customXml/itemProps2.xml><?xml version="1.0" encoding="utf-8"?>
<ds:datastoreItem xmlns:ds="http://schemas.openxmlformats.org/officeDocument/2006/customXml" ds:itemID="{52A7C0D9-78A4-4F35-84B0-0777E6F9EDBC}"/>
</file>

<file path=customXml/itemProps3.xml><?xml version="1.0" encoding="utf-8"?>
<ds:datastoreItem xmlns:ds="http://schemas.openxmlformats.org/officeDocument/2006/customXml" ds:itemID="{4E9AB42D-BE6B-4320-A1FA-E199D9997051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2026-05-13T22:50:42Z</dcterms:created>
  <dcterms:modified xsi:type="dcterms:W3CDTF">2026-05-13T23:41:35Z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