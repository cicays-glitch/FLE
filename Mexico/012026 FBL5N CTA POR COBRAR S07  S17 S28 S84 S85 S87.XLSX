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Mexico/"/>
    </mc:Choice>
  </mc:AlternateContent>
  <xr:revisionPtr revIDLastSave="45" documentId="11_7B2916FA31E46E09964805EDE1B44B7580D736BA" xr6:coauthVersionLast="47" xr6:coauthVersionMax="47" xr10:uidLastSave="{15E56B0F-C3D1-4EDB-9968-C15AD6035B93}"/>
  <bookViews>
    <workbookView xWindow="-107" yWindow="-107" windowWidth="20847" windowHeight="11111" xr2:uid="{00000000-000D-0000-FFFF-FFFF00000000}"/>
  </bookViews>
  <sheets>
    <sheet name="Sheet1" sheetId="1" r:id="rId1"/>
  </sheets>
  <definedNames>
    <definedName name="_xlnm._FilterDatabase" localSheetId="0" hidden="1">Sheet1!$A$1:$T$361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60" i="1" l="1"/>
  <c r="N308" i="1"/>
  <c r="P307" i="1" l="1"/>
  <c r="P306" i="1"/>
  <c r="P305" i="1"/>
  <c r="P16" i="1"/>
  <c r="N307" i="1"/>
  <c r="O307" i="1" s="1"/>
  <c r="N306" i="1"/>
  <c r="O306" i="1" s="1"/>
  <c r="N305" i="1"/>
  <c r="O305" i="1" s="1"/>
  <c r="N16" i="1"/>
  <c r="O16" i="1" s="1"/>
</calcChain>
</file>

<file path=xl/sharedStrings.xml><?xml version="1.0" encoding="utf-8"?>
<sst xmlns="http://schemas.openxmlformats.org/spreadsheetml/2006/main" count="4699" uniqueCount="1117">
  <si>
    <t/>
  </si>
  <si>
    <t>07</t>
  </si>
  <si>
    <t>89</t>
  </si>
  <si>
    <t>115071</t>
  </si>
  <si>
    <t>0095655731</t>
  </si>
  <si>
    <t>2100000999</t>
  </si>
  <si>
    <t>FE</t>
  </si>
  <si>
    <t>A-05651549</t>
  </si>
  <si>
    <t>USD</t>
  </si>
  <si>
    <t>MXN</t>
  </si>
  <si>
    <t>SERVICIO LOGISTICO DE EXPORTACION DE</t>
  </si>
  <si>
    <t>0096227769</t>
  </si>
  <si>
    <t>2100000651</t>
  </si>
  <si>
    <t>A-06219967</t>
  </si>
  <si>
    <t>0096287767</t>
  </si>
  <si>
    <t>2100000814</t>
  </si>
  <si>
    <t>A-06279448</t>
  </si>
  <si>
    <t>0096302857</t>
  </si>
  <si>
    <t>2100000876</t>
  </si>
  <si>
    <t>A-06294382</t>
  </si>
  <si>
    <t>0096315762</t>
  </si>
  <si>
    <t>2100000008</t>
  </si>
  <si>
    <t>A-06307260</t>
  </si>
  <si>
    <t>0096623839</t>
  </si>
  <si>
    <t>2100000096</t>
  </si>
  <si>
    <t>A-06610153</t>
  </si>
  <si>
    <t>0096658432</t>
  </si>
  <si>
    <t>2100000147</t>
  </si>
  <si>
    <t>A-06644716</t>
  </si>
  <si>
    <t>0096685191</t>
  </si>
  <si>
    <t>2100000175</t>
  </si>
  <si>
    <t>A-06671425</t>
  </si>
  <si>
    <t>0096700082</t>
  </si>
  <si>
    <t>2100000221</t>
  </si>
  <si>
    <t>A-06686288</t>
  </si>
  <si>
    <t>0096727868</t>
  </si>
  <si>
    <t>2100000273</t>
  </si>
  <si>
    <t>A-06713146</t>
  </si>
  <si>
    <t>0096746438</t>
  </si>
  <si>
    <t>2100000316</t>
  </si>
  <si>
    <t>A-06731287</t>
  </si>
  <si>
    <t>0096802690</t>
  </si>
  <si>
    <t>2100000461</t>
  </si>
  <si>
    <t>A-06787498</t>
  </si>
  <si>
    <t>0096831086</t>
  </si>
  <si>
    <t>2100000499</t>
  </si>
  <si>
    <t>A-06815818</t>
  </si>
  <si>
    <t>0096862042</t>
  </si>
  <si>
    <t>2100000590</t>
  </si>
  <si>
    <t>A-06846683</t>
  </si>
  <si>
    <t>0096940119</t>
  </si>
  <si>
    <t>A-06924616</t>
  </si>
  <si>
    <t>1617</t>
  </si>
  <si>
    <t>113101</t>
  </si>
  <si>
    <t>0096286918</t>
  </si>
  <si>
    <t>1600078165</t>
  </si>
  <si>
    <t>SC</t>
  </si>
  <si>
    <t>COBRANZA</t>
  </si>
  <si>
    <t>SOBREGIRO</t>
  </si>
  <si>
    <t>0096660230</t>
  </si>
  <si>
    <t>90070629</t>
  </si>
  <si>
    <t>RV</t>
  </si>
  <si>
    <t>A-06646504</t>
  </si>
  <si>
    <t>0096660240</t>
  </si>
  <si>
    <t>90070639</t>
  </si>
  <si>
    <t>A-06646514</t>
  </si>
  <si>
    <t>0096660244</t>
  </si>
  <si>
    <t>90070643</t>
  </si>
  <si>
    <t>A-06646518</t>
  </si>
  <si>
    <t>0096660245</t>
  </si>
  <si>
    <t>90070644</t>
  </si>
  <si>
    <t>A-06646519</t>
  </si>
  <si>
    <t>0096660246</t>
  </si>
  <si>
    <t>90070645</t>
  </si>
  <si>
    <t>A-06646520</t>
  </si>
  <si>
    <t>0096660247</t>
  </si>
  <si>
    <t>90070646</t>
  </si>
  <si>
    <t>A-06646521</t>
  </si>
  <si>
    <t>0096660248</t>
  </si>
  <si>
    <t>90070647</t>
  </si>
  <si>
    <t>A-06646522</t>
  </si>
  <si>
    <t>0096660249</t>
  </si>
  <si>
    <t>90070648</t>
  </si>
  <si>
    <t>A-06646523</t>
  </si>
  <si>
    <t>0096660250</t>
  </si>
  <si>
    <t>90070649</t>
  </si>
  <si>
    <t>A-06646524</t>
  </si>
  <si>
    <t>0096660251</t>
  </si>
  <si>
    <t>90070650</t>
  </si>
  <si>
    <t>A-06646525</t>
  </si>
  <si>
    <t>0096660253</t>
  </si>
  <si>
    <t>90070652</t>
  </si>
  <si>
    <t>A-06646527</t>
  </si>
  <si>
    <t>0096660254</t>
  </si>
  <si>
    <t>90070653</t>
  </si>
  <si>
    <t>A-06646528</t>
  </si>
  <si>
    <t>0096660256</t>
  </si>
  <si>
    <t>90070655</t>
  </si>
  <si>
    <t>A-06646530</t>
  </si>
  <si>
    <t>0096660257</t>
  </si>
  <si>
    <t>90070656</t>
  </si>
  <si>
    <t>A-06646531</t>
  </si>
  <si>
    <t>0096660258</t>
  </si>
  <si>
    <t>90070657</t>
  </si>
  <si>
    <t>A-06646532</t>
  </si>
  <si>
    <t>0096660259</t>
  </si>
  <si>
    <t>90070658</t>
  </si>
  <si>
    <t>A-06646533</t>
  </si>
  <si>
    <t>0096660260</t>
  </si>
  <si>
    <t>90070659</t>
  </si>
  <si>
    <t>A-06646534</t>
  </si>
  <si>
    <t>0096660261</t>
  </si>
  <si>
    <t>90070660</t>
  </si>
  <si>
    <t>A-06646535</t>
  </si>
  <si>
    <t>0096660262</t>
  </si>
  <si>
    <t>90070661</t>
  </si>
  <si>
    <t>A-06646536</t>
  </si>
  <si>
    <t>0096660263</t>
  </si>
  <si>
    <t>90070662</t>
  </si>
  <si>
    <t>A-06646537</t>
  </si>
  <si>
    <t>0096660264</t>
  </si>
  <si>
    <t>90070663</t>
  </si>
  <si>
    <t>A-06646538</t>
  </si>
  <si>
    <t>0096660275</t>
  </si>
  <si>
    <t>90070674</t>
  </si>
  <si>
    <t>A-06646549</t>
  </si>
  <si>
    <t>0096660276</t>
  </si>
  <si>
    <t>90070675</t>
  </si>
  <si>
    <t>A-06646550</t>
  </si>
  <si>
    <t>0096660277</t>
  </si>
  <si>
    <t>90070676</t>
  </si>
  <si>
    <t>A-06646551</t>
  </si>
  <si>
    <t>0096660280</t>
  </si>
  <si>
    <t>90070679</t>
  </si>
  <si>
    <t>A-06646554</t>
  </si>
  <si>
    <t>0096660281</t>
  </si>
  <si>
    <t>90070680</t>
  </si>
  <si>
    <t>A-06646555</t>
  </si>
  <si>
    <t>0096660282</t>
  </si>
  <si>
    <t>90070681</t>
  </si>
  <si>
    <t>A-06646556</t>
  </si>
  <si>
    <t>0096660283</t>
  </si>
  <si>
    <t>90070682</t>
  </si>
  <si>
    <t>A-06646557</t>
  </si>
  <si>
    <t>0096660284</t>
  </si>
  <si>
    <t>90070683</t>
  </si>
  <si>
    <t>A-06646558</t>
  </si>
  <si>
    <t>0096660285</t>
  </si>
  <si>
    <t>90070684</t>
  </si>
  <si>
    <t>A-06646559</t>
  </si>
  <si>
    <t>0096660286</t>
  </si>
  <si>
    <t>90070685</t>
  </si>
  <si>
    <t>A-06646560</t>
  </si>
  <si>
    <t>0096660288</t>
  </si>
  <si>
    <t>90070687</t>
  </si>
  <si>
    <t>A-06646562</t>
  </si>
  <si>
    <t>0096660289</t>
  </si>
  <si>
    <t>90070688</t>
  </si>
  <si>
    <t>A-06646563</t>
  </si>
  <si>
    <t>0096660290</t>
  </si>
  <si>
    <t>90070689</t>
  </si>
  <si>
    <t>A-06646564</t>
  </si>
  <si>
    <t>0096660291</t>
  </si>
  <si>
    <t>90070690</t>
  </si>
  <si>
    <t>A-06646565</t>
  </si>
  <si>
    <t>0096660292</t>
  </si>
  <si>
    <t>90070691</t>
  </si>
  <si>
    <t>A-06646566</t>
  </si>
  <si>
    <t>0096660293</t>
  </si>
  <si>
    <t>90070692</t>
  </si>
  <si>
    <t>A-06646567</t>
  </si>
  <si>
    <t>0096660294</t>
  </si>
  <si>
    <t>90070693</t>
  </si>
  <si>
    <t>A-06646568</t>
  </si>
  <si>
    <t>0096660295</t>
  </si>
  <si>
    <t>90070694</t>
  </si>
  <si>
    <t>A-06646569</t>
  </si>
  <si>
    <t>0096660296</t>
  </si>
  <si>
    <t>90070695</t>
  </si>
  <si>
    <t>A-06646570</t>
  </si>
  <si>
    <t>0096660298</t>
  </si>
  <si>
    <t>90070697</t>
  </si>
  <si>
    <t>A-06646572</t>
  </si>
  <si>
    <t>0096660299</t>
  </si>
  <si>
    <t>90070698</t>
  </si>
  <si>
    <t>A-06646573</t>
  </si>
  <si>
    <t>0096660300</t>
  </si>
  <si>
    <t>90070699</t>
  </si>
  <si>
    <t>A-06646574</t>
  </si>
  <si>
    <t>0096660301</t>
  </si>
  <si>
    <t>90070700</t>
  </si>
  <si>
    <t>A-06646575</t>
  </si>
  <si>
    <t>0096660613</t>
  </si>
  <si>
    <t>90071012</t>
  </si>
  <si>
    <t>A-06646887</t>
  </si>
  <si>
    <t>0096660615</t>
  </si>
  <si>
    <t>90071014</t>
  </si>
  <si>
    <t>A-06646889</t>
  </si>
  <si>
    <t>0096689290</t>
  </si>
  <si>
    <t>90099569</t>
  </si>
  <si>
    <t>A-06675516</t>
  </si>
  <si>
    <t>0096689291</t>
  </si>
  <si>
    <t>90099570</t>
  </si>
  <si>
    <t>A-06675517</t>
  </si>
  <si>
    <t>0096689292</t>
  </si>
  <si>
    <t>90099571</t>
  </si>
  <si>
    <t>A-06675518</t>
  </si>
  <si>
    <t>0096689293</t>
  </si>
  <si>
    <t>90099572</t>
  </si>
  <si>
    <t>A-06675519</t>
  </si>
  <si>
    <t>0096694215</t>
  </si>
  <si>
    <t>90104474</t>
  </si>
  <si>
    <t>A-06680430</t>
  </si>
  <si>
    <t>0096716358</t>
  </si>
  <si>
    <t>90126185</t>
  </si>
  <si>
    <t>A-06702164</t>
  </si>
  <si>
    <t>0096716359</t>
  </si>
  <si>
    <t>90126186</t>
  </si>
  <si>
    <t>A-06702165</t>
  </si>
  <si>
    <t>0096716360</t>
  </si>
  <si>
    <t>90126187</t>
  </si>
  <si>
    <t>A-06702166</t>
  </si>
  <si>
    <t>0096716361</t>
  </si>
  <si>
    <t>90126188</t>
  </si>
  <si>
    <t>A-06702167</t>
  </si>
  <si>
    <t>0096716362</t>
  </si>
  <si>
    <t>90126189</t>
  </si>
  <si>
    <t>A-06702168</t>
  </si>
  <si>
    <t>0096716363</t>
  </si>
  <si>
    <t>90126190</t>
  </si>
  <si>
    <t>A-06702169</t>
  </si>
  <si>
    <t>0096716364</t>
  </si>
  <si>
    <t>90126191</t>
  </si>
  <si>
    <t>A-06702170</t>
  </si>
  <si>
    <t>0096716365</t>
  </si>
  <si>
    <t>90126192</t>
  </si>
  <si>
    <t>A-06702171</t>
  </si>
  <si>
    <t>0096716366</t>
  </si>
  <si>
    <t>90126193</t>
  </si>
  <si>
    <t>A-06702172</t>
  </si>
  <si>
    <t>0096716367</t>
  </si>
  <si>
    <t>90126194</t>
  </si>
  <si>
    <t>A-06702173</t>
  </si>
  <si>
    <t>0096716368</t>
  </si>
  <si>
    <t>90126195</t>
  </si>
  <si>
    <t>A-06702174</t>
  </si>
  <si>
    <t>0096716369</t>
  </si>
  <si>
    <t>90126196</t>
  </si>
  <si>
    <t>A-06702175</t>
  </si>
  <si>
    <t>0096716370</t>
  </si>
  <si>
    <t>90126197</t>
  </si>
  <si>
    <t>A-06702176</t>
  </si>
  <si>
    <t>0096716371</t>
  </si>
  <si>
    <t>90126198</t>
  </si>
  <si>
    <t>A-06702177</t>
  </si>
  <si>
    <t>0096716372</t>
  </si>
  <si>
    <t>90126199</t>
  </si>
  <si>
    <t>A-06702178</t>
  </si>
  <si>
    <t>0096716373</t>
  </si>
  <si>
    <t>90126200</t>
  </si>
  <si>
    <t>A-06702179</t>
  </si>
  <si>
    <t>0096716374</t>
  </si>
  <si>
    <t>90126201</t>
  </si>
  <si>
    <t>A-06702180</t>
  </si>
  <si>
    <t>0096716375</t>
  </si>
  <si>
    <t>90126202</t>
  </si>
  <si>
    <t>A-06702181</t>
  </si>
  <si>
    <t>0096716376</t>
  </si>
  <si>
    <t>90126203</t>
  </si>
  <si>
    <t>A-06702182</t>
  </si>
  <si>
    <t>0096716377</t>
  </si>
  <si>
    <t>90126204</t>
  </si>
  <si>
    <t>A-06702183</t>
  </si>
  <si>
    <t>0096716378</t>
  </si>
  <si>
    <t>90126205</t>
  </si>
  <si>
    <t>A-06702184</t>
  </si>
  <si>
    <t>0096716379</t>
  </si>
  <si>
    <t>90126206</t>
  </si>
  <si>
    <t>A-06702185</t>
  </si>
  <si>
    <t>0096716380</t>
  </si>
  <si>
    <t>90126207</t>
  </si>
  <si>
    <t>A-06702186</t>
  </si>
  <si>
    <t>0096716381</t>
  </si>
  <si>
    <t>90126208</t>
  </si>
  <si>
    <t>A-06702187</t>
  </si>
  <si>
    <t>0096716382</t>
  </si>
  <si>
    <t>90126209</t>
  </si>
  <si>
    <t>A-06702188</t>
  </si>
  <si>
    <t>0096716383</t>
  </si>
  <si>
    <t>90126210</t>
  </si>
  <si>
    <t>A-06702189</t>
  </si>
  <si>
    <t>0096716384</t>
  </si>
  <si>
    <t>90126211</t>
  </si>
  <si>
    <t>A-06702190</t>
  </si>
  <si>
    <t>0096716385</t>
  </si>
  <si>
    <t>90126212</t>
  </si>
  <si>
    <t>A-06702191</t>
  </si>
  <si>
    <t>0096716386</t>
  </si>
  <si>
    <t>90126213</t>
  </si>
  <si>
    <t>A-06702192</t>
  </si>
  <si>
    <t>0096716387</t>
  </si>
  <si>
    <t>90126214</t>
  </si>
  <si>
    <t>A-06702193</t>
  </si>
  <si>
    <t>0096716388</t>
  </si>
  <si>
    <t>90126215</t>
  </si>
  <si>
    <t>A-06702194</t>
  </si>
  <si>
    <t>0096716389</t>
  </si>
  <si>
    <t>90126216</t>
  </si>
  <si>
    <t>A-06702195</t>
  </si>
  <si>
    <t>0096716390</t>
  </si>
  <si>
    <t>90126217</t>
  </si>
  <si>
    <t>A-06702196</t>
  </si>
  <si>
    <t>0096716391</t>
  </si>
  <si>
    <t>90126218</t>
  </si>
  <si>
    <t>A-06702197</t>
  </si>
  <si>
    <t>0096716392</t>
  </si>
  <si>
    <t>90126219</t>
  </si>
  <si>
    <t>A-06702198</t>
  </si>
  <si>
    <t>0096716393</t>
  </si>
  <si>
    <t>90126220</t>
  </si>
  <si>
    <t>A-06702199</t>
  </si>
  <si>
    <t>0096716394</t>
  </si>
  <si>
    <t>90126221</t>
  </si>
  <si>
    <t>A-06702200</t>
  </si>
  <si>
    <t>0096716395</t>
  </si>
  <si>
    <t>90126222</t>
  </si>
  <si>
    <t>A-06702201</t>
  </si>
  <si>
    <t>0096716396</t>
  </si>
  <si>
    <t>90126223</t>
  </si>
  <si>
    <t>A-06702202</t>
  </si>
  <si>
    <t>0096716397</t>
  </si>
  <si>
    <t>90126224</t>
  </si>
  <si>
    <t>A-06702203</t>
  </si>
  <si>
    <t>0096716398</t>
  </si>
  <si>
    <t>90126225</t>
  </si>
  <si>
    <t>A-06702204</t>
  </si>
  <si>
    <t>0096716399</t>
  </si>
  <si>
    <t>90126226</t>
  </si>
  <si>
    <t>A-06702205</t>
  </si>
  <si>
    <t>0096716400</t>
  </si>
  <si>
    <t>90126227</t>
  </si>
  <si>
    <t>A-06702206</t>
  </si>
  <si>
    <t>0096716401</t>
  </si>
  <si>
    <t>90126228</t>
  </si>
  <si>
    <t>A-06702207</t>
  </si>
  <si>
    <t>0096716402</t>
  </si>
  <si>
    <t>90126229</t>
  </si>
  <si>
    <t>A-06702208</t>
  </si>
  <si>
    <t>0096716403</t>
  </si>
  <si>
    <t>90126230</t>
  </si>
  <si>
    <t>A-06702209</t>
  </si>
  <si>
    <t>0096716404</t>
  </si>
  <si>
    <t>90126231</t>
  </si>
  <si>
    <t>A-06702210</t>
  </si>
  <si>
    <t>0096716405</t>
  </si>
  <si>
    <t>90126232</t>
  </si>
  <si>
    <t>A-06702211</t>
  </si>
  <si>
    <t>0096716406</t>
  </si>
  <si>
    <t>90126233</t>
  </si>
  <si>
    <t>A-06702212</t>
  </si>
  <si>
    <t>0096716407</t>
  </si>
  <si>
    <t>90126234</t>
  </si>
  <si>
    <t>A-06702213</t>
  </si>
  <si>
    <t>0096716408</t>
  </si>
  <si>
    <t>90126235</t>
  </si>
  <si>
    <t>A-06702214</t>
  </si>
  <si>
    <t>0096716409</t>
  </si>
  <si>
    <t>90126236</t>
  </si>
  <si>
    <t>A-06702215</t>
  </si>
  <si>
    <t>0096716410</t>
  </si>
  <si>
    <t>90126237</t>
  </si>
  <si>
    <t>A-06702216</t>
  </si>
  <si>
    <t>0096716411</t>
  </si>
  <si>
    <t>90126238</t>
  </si>
  <si>
    <t>A-06702217</t>
  </si>
  <si>
    <t>0096716412</t>
  </si>
  <si>
    <t>90126239</t>
  </si>
  <si>
    <t>A-06702218</t>
  </si>
  <si>
    <t>0096726651</t>
  </si>
  <si>
    <t>90136002</t>
  </si>
  <si>
    <t>A-06712019</t>
  </si>
  <si>
    <t>0096742043</t>
  </si>
  <si>
    <t>90150855</t>
  </si>
  <si>
    <t>A-06726892</t>
  </si>
  <si>
    <t>0096742252</t>
  </si>
  <si>
    <t>90151064</t>
  </si>
  <si>
    <t>A-06727101</t>
  </si>
  <si>
    <t>0096753133</t>
  </si>
  <si>
    <t>90161876</t>
  </si>
  <si>
    <t>A-06737954</t>
  </si>
  <si>
    <t>0096760627</t>
  </si>
  <si>
    <t>90169354</t>
  </si>
  <si>
    <t>A-06745447</t>
  </si>
  <si>
    <t>0096762711</t>
  </si>
  <si>
    <t>90171428</t>
  </si>
  <si>
    <t>A-06747530</t>
  </si>
  <si>
    <t>0096762712</t>
  </si>
  <si>
    <t>90171429</t>
  </si>
  <si>
    <t>A-06747531</t>
  </si>
  <si>
    <t>0096774480</t>
  </si>
  <si>
    <t>90183151</t>
  </si>
  <si>
    <t>A-06759294</t>
  </si>
  <si>
    <t>0096774515</t>
  </si>
  <si>
    <t>90183186</t>
  </si>
  <si>
    <t>A-06759329</t>
  </si>
  <si>
    <t>0096774516</t>
  </si>
  <si>
    <t>90183187</t>
  </si>
  <si>
    <t>A-06759330</t>
  </si>
  <si>
    <t>0096774517</t>
  </si>
  <si>
    <t>90183188</t>
  </si>
  <si>
    <t>A-06759331</t>
  </si>
  <si>
    <t>0096774655</t>
  </si>
  <si>
    <t>90183326</t>
  </si>
  <si>
    <t>A-06759469</t>
  </si>
  <si>
    <t>0096774656</t>
  </si>
  <si>
    <t>90183327</t>
  </si>
  <si>
    <t>A-06759470</t>
  </si>
  <si>
    <t>0096779120</t>
  </si>
  <si>
    <t>90187782</t>
  </si>
  <si>
    <t>A-06763930</t>
  </si>
  <si>
    <t>0096779121</t>
  </si>
  <si>
    <t>90187783</t>
  </si>
  <si>
    <t>A-06763931</t>
  </si>
  <si>
    <t>0096779122</t>
  </si>
  <si>
    <t>90187784</t>
  </si>
  <si>
    <t>A-06763932</t>
  </si>
  <si>
    <t>0096779123</t>
  </si>
  <si>
    <t>90187785</t>
  </si>
  <si>
    <t>A-06763933</t>
  </si>
  <si>
    <t>0096779124</t>
  </si>
  <si>
    <t>90187786</t>
  </si>
  <si>
    <t>A-06763934</t>
  </si>
  <si>
    <t>0096779125</t>
  </si>
  <si>
    <t>90187787</t>
  </si>
  <si>
    <t>A-06763935</t>
  </si>
  <si>
    <t>0096779126</t>
  </si>
  <si>
    <t>90187788</t>
  </si>
  <si>
    <t>A-06763936</t>
  </si>
  <si>
    <t>0096779127</t>
  </si>
  <si>
    <t>90187789</t>
  </si>
  <si>
    <t>A-06763937</t>
  </si>
  <si>
    <t>0096779128</t>
  </si>
  <si>
    <t>90187790</t>
  </si>
  <si>
    <t>A-06763938</t>
  </si>
  <si>
    <t>0096779130</t>
  </si>
  <si>
    <t>90187792</t>
  </si>
  <si>
    <t>A-06763940</t>
  </si>
  <si>
    <t>0096779131</t>
  </si>
  <si>
    <t>90187793</t>
  </si>
  <si>
    <t>A-06763941</t>
  </si>
  <si>
    <t>0096779132</t>
  </si>
  <si>
    <t>90187794</t>
  </si>
  <si>
    <t>A-06763942</t>
  </si>
  <si>
    <t>0096779133</t>
  </si>
  <si>
    <t>90187795</t>
  </si>
  <si>
    <t>A-06763943</t>
  </si>
  <si>
    <t>0096779134</t>
  </si>
  <si>
    <t>90187796</t>
  </si>
  <si>
    <t>A-06763944</t>
  </si>
  <si>
    <t>0096779135</t>
  </si>
  <si>
    <t>90187797</t>
  </si>
  <si>
    <t>A-06763945</t>
  </si>
  <si>
    <t>0096779136</t>
  </si>
  <si>
    <t>90187798</t>
  </si>
  <si>
    <t>A-06763946</t>
  </si>
  <si>
    <t>0096779137</t>
  </si>
  <si>
    <t>90187799</t>
  </si>
  <si>
    <t>A-06763947</t>
  </si>
  <si>
    <t>0096779138</t>
  </si>
  <si>
    <t>90187800</t>
  </si>
  <si>
    <t>A-06763948</t>
  </si>
  <si>
    <t>0096779139</t>
  </si>
  <si>
    <t>90187801</t>
  </si>
  <si>
    <t>A-06763949</t>
  </si>
  <si>
    <t>0096779157</t>
  </si>
  <si>
    <t>90187819</t>
  </si>
  <si>
    <t>A-06763967</t>
  </si>
  <si>
    <t>0096779158</t>
  </si>
  <si>
    <t>90187820</t>
  </si>
  <si>
    <t>A-06763968</t>
  </si>
  <si>
    <t>0096779159</t>
  </si>
  <si>
    <t>90187821</t>
  </si>
  <si>
    <t>A-06763969</t>
  </si>
  <si>
    <t>0096779161</t>
  </si>
  <si>
    <t>90187823</t>
  </si>
  <si>
    <t>A-06763971</t>
  </si>
  <si>
    <t>0096779162</t>
  </si>
  <si>
    <t>90187824</t>
  </si>
  <si>
    <t>A-06763972</t>
  </si>
  <si>
    <t>0096779163</t>
  </si>
  <si>
    <t>90187825</t>
  </si>
  <si>
    <t>A-06763973</t>
  </si>
  <si>
    <t>0096779164</t>
  </si>
  <si>
    <t>90187826</t>
  </si>
  <si>
    <t>A-06763974</t>
  </si>
  <si>
    <t>0096779165</t>
  </si>
  <si>
    <t>90187827</t>
  </si>
  <si>
    <t>A-06763975</t>
  </si>
  <si>
    <t>0096779166</t>
  </si>
  <si>
    <t>90187828</t>
  </si>
  <si>
    <t>A-06763976</t>
  </si>
  <si>
    <t>0096779167</t>
  </si>
  <si>
    <t>90187829</t>
  </si>
  <si>
    <t>A-06763977</t>
  </si>
  <si>
    <t>0096779168</t>
  </si>
  <si>
    <t>90187830</t>
  </si>
  <si>
    <t>A-06763978</t>
  </si>
  <si>
    <t>0096779169</t>
  </si>
  <si>
    <t>90187831</t>
  </si>
  <si>
    <t>A-06763979</t>
  </si>
  <si>
    <t>0096779170</t>
  </si>
  <si>
    <t>90187832</t>
  </si>
  <si>
    <t>A-06763980</t>
  </si>
  <si>
    <t>0096779171</t>
  </si>
  <si>
    <t>90187833</t>
  </si>
  <si>
    <t>A-06763981</t>
  </si>
  <si>
    <t>0096779172</t>
  </si>
  <si>
    <t>90187834</t>
  </si>
  <si>
    <t>A-06763982</t>
  </si>
  <si>
    <t>0096779173</t>
  </si>
  <si>
    <t>90187835</t>
  </si>
  <si>
    <t>A-06763983</t>
  </si>
  <si>
    <t>0096779174</t>
  </si>
  <si>
    <t>90187836</t>
  </si>
  <si>
    <t>A-06763984</t>
  </si>
  <si>
    <t>0096779175</t>
  </si>
  <si>
    <t>90187837</t>
  </si>
  <si>
    <t>A-06763985</t>
  </si>
  <si>
    <t>0096779176</t>
  </si>
  <si>
    <t>90187838</t>
  </si>
  <si>
    <t>A-06763986</t>
  </si>
  <si>
    <t>0096779177</t>
  </si>
  <si>
    <t>90187839</t>
  </si>
  <si>
    <t>A-06763987</t>
  </si>
  <si>
    <t>0096779178</t>
  </si>
  <si>
    <t>90187840</t>
  </si>
  <si>
    <t>A-06763988</t>
  </si>
  <si>
    <t>0096779179</t>
  </si>
  <si>
    <t>90187841</t>
  </si>
  <si>
    <t>A-06763989</t>
  </si>
  <si>
    <t>0096779180</t>
  </si>
  <si>
    <t>90187842</t>
  </si>
  <si>
    <t>A-06763990</t>
  </si>
  <si>
    <t>0096815592</t>
  </si>
  <si>
    <t>90224136</t>
  </si>
  <si>
    <t>A-06800369</t>
  </si>
  <si>
    <t>0096815593</t>
  </si>
  <si>
    <t>90224137</t>
  </si>
  <si>
    <t>A-06800370</t>
  </si>
  <si>
    <t>0096816587</t>
  </si>
  <si>
    <t>90225126</t>
  </si>
  <si>
    <t>A-06801359</t>
  </si>
  <si>
    <t>0096816588</t>
  </si>
  <si>
    <t>90225127</t>
  </si>
  <si>
    <t>A-06801360</t>
  </si>
  <si>
    <t>0096816589</t>
  </si>
  <si>
    <t>90225128</t>
  </si>
  <si>
    <t>A-06801361</t>
  </si>
  <si>
    <t>0096816590</t>
  </si>
  <si>
    <t>90225129</t>
  </si>
  <si>
    <t>A-06801362</t>
  </si>
  <si>
    <t>0096816591</t>
  </si>
  <si>
    <t>90225130</t>
  </si>
  <si>
    <t>A-06801363</t>
  </si>
  <si>
    <t>0096816592</t>
  </si>
  <si>
    <t>90225131</t>
  </si>
  <si>
    <t>A-06801364</t>
  </si>
  <si>
    <t>0096816593</t>
  </si>
  <si>
    <t>90225132</t>
  </si>
  <si>
    <t>A-06801365</t>
  </si>
  <si>
    <t>0096816594</t>
  </si>
  <si>
    <t>90225133</t>
  </si>
  <si>
    <t>A-06801366</t>
  </si>
  <si>
    <t>0096816595</t>
  </si>
  <si>
    <t>90225134</t>
  </si>
  <si>
    <t>A-06801367</t>
  </si>
  <si>
    <t>0096816596</t>
  </si>
  <si>
    <t>90225135</t>
  </si>
  <si>
    <t>A-06801368</t>
  </si>
  <si>
    <t>0096816597</t>
  </si>
  <si>
    <t>90225136</t>
  </si>
  <si>
    <t>A-06801369</t>
  </si>
  <si>
    <t>0096816598</t>
  </si>
  <si>
    <t>90225137</t>
  </si>
  <si>
    <t>A-06801370</t>
  </si>
  <si>
    <t>0096816599</t>
  </si>
  <si>
    <t>90225138</t>
  </si>
  <si>
    <t>A-06801371</t>
  </si>
  <si>
    <t>0096816600</t>
  </si>
  <si>
    <t>90225139</t>
  </si>
  <si>
    <t>A-06801372</t>
  </si>
  <si>
    <t>0096816601</t>
  </si>
  <si>
    <t>90225140</t>
  </si>
  <si>
    <t>A-06801373</t>
  </si>
  <si>
    <t>0096816602</t>
  </si>
  <si>
    <t>90225141</t>
  </si>
  <si>
    <t>A-06801374</t>
  </si>
  <si>
    <t>0096816603</t>
  </si>
  <si>
    <t>90225142</t>
  </si>
  <si>
    <t>A-06801375</t>
  </si>
  <si>
    <t>0096816604</t>
  </si>
  <si>
    <t>90225143</t>
  </si>
  <si>
    <t>A-06801376</t>
  </si>
  <si>
    <t>0096816605</t>
  </si>
  <si>
    <t>90225144</t>
  </si>
  <si>
    <t>A-06801377</t>
  </si>
  <si>
    <t>0096816606</t>
  </si>
  <si>
    <t>90225145</t>
  </si>
  <si>
    <t>A-06801378</t>
  </si>
  <si>
    <t>0096816607</t>
  </si>
  <si>
    <t>90225146</t>
  </si>
  <si>
    <t>A-06801379</t>
  </si>
  <si>
    <t>0096816608</t>
  </si>
  <si>
    <t>90225147</t>
  </si>
  <si>
    <t>A-06801380</t>
  </si>
  <si>
    <t>0096816609</t>
  </si>
  <si>
    <t>90225148</t>
  </si>
  <si>
    <t>A-06801381</t>
  </si>
  <si>
    <t>0096816610</t>
  </si>
  <si>
    <t>90225149</t>
  </si>
  <si>
    <t>A-06801382</t>
  </si>
  <si>
    <t>0096816611</t>
  </si>
  <si>
    <t>90225150</t>
  </si>
  <si>
    <t>A-06801383</t>
  </si>
  <si>
    <t>0096816612</t>
  </si>
  <si>
    <t>90225151</t>
  </si>
  <si>
    <t>A-06801384</t>
  </si>
  <si>
    <t>0096816613</t>
  </si>
  <si>
    <t>90225152</t>
  </si>
  <si>
    <t>A-06801385</t>
  </si>
  <si>
    <t>0096816614</t>
  </si>
  <si>
    <t>90225153</t>
  </si>
  <si>
    <t>A-06801386</t>
  </si>
  <si>
    <t>0096816615</t>
  </si>
  <si>
    <t>90225154</t>
  </si>
  <si>
    <t>A-06801387</t>
  </si>
  <si>
    <t>0096816616</t>
  </si>
  <si>
    <t>90225155</t>
  </si>
  <si>
    <t>A-06801388</t>
  </si>
  <si>
    <t>0096816617</t>
  </si>
  <si>
    <t>90225156</t>
  </si>
  <si>
    <t>A-06801389</t>
  </si>
  <si>
    <t>0096816618</t>
  </si>
  <si>
    <t>90225157</t>
  </si>
  <si>
    <t>A-06801390</t>
  </si>
  <si>
    <t>0096816619</t>
  </si>
  <si>
    <t>90225158</t>
  </si>
  <si>
    <t>A-06801391</t>
  </si>
  <si>
    <t>0096816620</t>
  </si>
  <si>
    <t>90225159</t>
  </si>
  <si>
    <t>A-06801392</t>
  </si>
  <si>
    <t>0096816621</t>
  </si>
  <si>
    <t>90225160</t>
  </si>
  <si>
    <t>A-06801393</t>
  </si>
  <si>
    <t>0096816622</t>
  </si>
  <si>
    <t>90225161</t>
  </si>
  <si>
    <t>A-06801394</t>
  </si>
  <si>
    <t>0096836458</t>
  </si>
  <si>
    <t>90244874</t>
  </si>
  <si>
    <t>A-06821179</t>
  </si>
  <si>
    <t>0096836459</t>
  </si>
  <si>
    <t>90244875</t>
  </si>
  <si>
    <t>A-06821180</t>
  </si>
  <si>
    <t>0096836460</t>
  </si>
  <si>
    <t>90244876</t>
  </si>
  <si>
    <t>A-06821181</t>
  </si>
  <si>
    <t>0096836461</t>
  </si>
  <si>
    <t>90244877</t>
  </si>
  <si>
    <t>A-06821182</t>
  </si>
  <si>
    <t>0096836462</t>
  </si>
  <si>
    <t>90244878</t>
  </si>
  <si>
    <t>A-06821183</t>
  </si>
  <si>
    <t>0096836463</t>
  </si>
  <si>
    <t>90244879</t>
  </si>
  <si>
    <t>A-06821184</t>
  </si>
  <si>
    <t>0096836464</t>
  </si>
  <si>
    <t>90244880</t>
  </si>
  <si>
    <t>A-06821185</t>
  </si>
  <si>
    <t>0096836465</t>
  </si>
  <si>
    <t>90244881</t>
  </si>
  <si>
    <t>A-06821186</t>
  </si>
  <si>
    <t>0096836466</t>
  </si>
  <si>
    <t>90244882</t>
  </si>
  <si>
    <t>A-06821187</t>
  </si>
  <si>
    <t>0096836467</t>
  </si>
  <si>
    <t>90244883</t>
  </si>
  <si>
    <t>A-06821188</t>
  </si>
  <si>
    <t>0096836468</t>
  </si>
  <si>
    <t>90244884</t>
  </si>
  <si>
    <t>A-06821189</t>
  </si>
  <si>
    <t>0096836469</t>
  </si>
  <si>
    <t>90244885</t>
  </si>
  <si>
    <t>A-06821190</t>
  </si>
  <si>
    <t>0096836470</t>
  </si>
  <si>
    <t>90244886</t>
  </si>
  <si>
    <t>A-06821191</t>
  </si>
  <si>
    <t>0096836471</t>
  </si>
  <si>
    <t>90244887</t>
  </si>
  <si>
    <t>A-06821192</t>
  </si>
  <si>
    <t>0096836472</t>
  </si>
  <si>
    <t>90244888</t>
  </si>
  <si>
    <t>A-06821193</t>
  </si>
  <si>
    <t>0096836473</t>
  </si>
  <si>
    <t>90244889</t>
  </si>
  <si>
    <t>A-06821194</t>
  </si>
  <si>
    <t>0096836474</t>
  </si>
  <si>
    <t>90244890</t>
  </si>
  <si>
    <t>A-06821195</t>
  </si>
  <si>
    <t>0096836475</t>
  </si>
  <si>
    <t>90244891</t>
  </si>
  <si>
    <t>A-06821196</t>
  </si>
  <si>
    <t>0096836476</t>
  </si>
  <si>
    <t>90244892</t>
  </si>
  <si>
    <t>A-06821197</t>
  </si>
  <si>
    <t>0096836477</t>
  </si>
  <si>
    <t>90244893</t>
  </si>
  <si>
    <t>A-06821198</t>
  </si>
  <si>
    <t>0096836478</t>
  </si>
  <si>
    <t>90244894</t>
  </si>
  <si>
    <t>A-06821199</t>
  </si>
  <si>
    <t>0096836479</t>
  </si>
  <si>
    <t>90244895</t>
  </si>
  <si>
    <t>A-06821200</t>
  </si>
  <si>
    <t>0096836480</t>
  </si>
  <si>
    <t>90244896</t>
  </si>
  <si>
    <t>A-06821201</t>
  </si>
  <si>
    <t>0096836481</t>
  </si>
  <si>
    <t>90244897</t>
  </si>
  <si>
    <t>A-06821202</t>
  </si>
  <si>
    <t>0096836482</t>
  </si>
  <si>
    <t>90244898</t>
  </si>
  <si>
    <t>A-06821203</t>
  </si>
  <si>
    <t>0096836483</t>
  </si>
  <si>
    <t>90244899</t>
  </si>
  <si>
    <t>A-06821204</t>
  </si>
  <si>
    <t>0096836484</t>
  </si>
  <si>
    <t>90244900</t>
  </si>
  <si>
    <t>A-06821205</t>
  </si>
  <si>
    <t>0096836485</t>
  </si>
  <si>
    <t>90244901</t>
  </si>
  <si>
    <t>A-06821206</t>
  </si>
  <si>
    <t>0096836486</t>
  </si>
  <si>
    <t>90244902</t>
  </si>
  <si>
    <t>A-06821207</t>
  </si>
  <si>
    <t>0096836487</t>
  </si>
  <si>
    <t>90244903</t>
  </si>
  <si>
    <t>A-06821208</t>
  </si>
  <si>
    <t>0096836488</t>
  </si>
  <si>
    <t>90244904</t>
  </si>
  <si>
    <t>A-06821209</t>
  </si>
  <si>
    <t>0096836489</t>
  </si>
  <si>
    <t>90244905</t>
  </si>
  <si>
    <t>A-06821210</t>
  </si>
  <si>
    <t>0096836490</t>
  </si>
  <si>
    <t>90244906</t>
  </si>
  <si>
    <t>A-06821211</t>
  </si>
  <si>
    <t>0096836491</t>
  </si>
  <si>
    <t>90244907</t>
  </si>
  <si>
    <t>A-06821212</t>
  </si>
  <si>
    <t>0096836492</t>
  </si>
  <si>
    <t>90244908</t>
  </si>
  <si>
    <t>A-06821213</t>
  </si>
  <si>
    <t>0096836494</t>
  </si>
  <si>
    <t>90244910</t>
  </si>
  <si>
    <t>A-06821215</t>
  </si>
  <si>
    <t>0096836495</t>
  </si>
  <si>
    <t>90244911</t>
  </si>
  <si>
    <t>A-06821216</t>
  </si>
  <si>
    <t>0096842845</t>
  </si>
  <si>
    <t>2100000542</t>
  </si>
  <si>
    <t>A-06827555</t>
  </si>
  <si>
    <t>0096854407</t>
  </si>
  <si>
    <t>90262764</t>
  </si>
  <si>
    <t>A-06839094</t>
  </si>
  <si>
    <t>0096854408</t>
  </si>
  <si>
    <t>90262765</t>
  </si>
  <si>
    <t>A-06839095</t>
  </si>
  <si>
    <t>0096854409</t>
  </si>
  <si>
    <t>90262766</t>
  </si>
  <si>
    <t>A-06839096</t>
  </si>
  <si>
    <t>0096854410</t>
  </si>
  <si>
    <t>90262767</t>
  </si>
  <si>
    <t>A-06839097</t>
  </si>
  <si>
    <t>0096923549</t>
  </si>
  <si>
    <t>90331551</t>
  </si>
  <si>
    <t>A-06908050</t>
  </si>
  <si>
    <t>0096923550</t>
  </si>
  <si>
    <t>90331552</t>
  </si>
  <si>
    <t>A-06908051</t>
  </si>
  <si>
    <t>0096923551</t>
  </si>
  <si>
    <t>90331553</t>
  </si>
  <si>
    <t>A-06908052</t>
  </si>
  <si>
    <t>0096924692</t>
  </si>
  <si>
    <t>90332693</t>
  </si>
  <si>
    <t>A-06909193</t>
  </si>
  <si>
    <t>0096925390</t>
  </si>
  <si>
    <t>90333391</t>
  </si>
  <si>
    <t>A-06909891</t>
  </si>
  <si>
    <t>0096925394</t>
  </si>
  <si>
    <t>90333395</t>
  </si>
  <si>
    <t>A-06909895</t>
  </si>
  <si>
    <t>0096925395</t>
  </si>
  <si>
    <t>90333396</t>
  </si>
  <si>
    <t>A-06909896</t>
  </si>
  <si>
    <t>0096925429</t>
  </si>
  <si>
    <t>90333430</t>
  </si>
  <si>
    <t>A-06909930</t>
  </si>
  <si>
    <t>0096926449</t>
  </si>
  <si>
    <t>90334450</t>
  </si>
  <si>
    <t>A-06910950</t>
  </si>
  <si>
    <t>0096926456</t>
  </si>
  <si>
    <t>90334457</t>
  </si>
  <si>
    <t>A-06910957</t>
  </si>
  <si>
    <t>0096926464</t>
  </si>
  <si>
    <t>90334465</t>
  </si>
  <si>
    <t>A-06910965</t>
  </si>
  <si>
    <t>0096926465</t>
  </si>
  <si>
    <t>90334466</t>
  </si>
  <si>
    <t>A-06910966</t>
  </si>
  <si>
    <t>0096926623</t>
  </si>
  <si>
    <t>90334617</t>
  </si>
  <si>
    <t>A-06911124</t>
  </si>
  <si>
    <t>0096927765</t>
  </si>
  <si>
    <t>90335759</t>
  </si>
  <si>
    <t>A-06912266</t>
  </si>
  <si>
    <t>0096927768</t>
  </si>
  <si>
    <t>90335762</t>
  </si>
  <si>
    <t>A-06912269</t>
  </si>
  <si>
    <t>0096927769</t>
  </si>
  <si>
    <t>90335763</t>
  </si>
  <si>
    <t>A-06912270</t>
  </si>
  <si>
    <t>0096927770</t>
  </si>
  <si>
    <t>90335764</t>
  </si>
  <si>
    <t>A-06912271</t>
  </si>
  <si>
    <t>0096927771</t>
  </si>
  <si>
    <t>90335765</t>
  </si>
  <si>
    <t>A-06912272</t>
  </si>
  <si>
    <t>0096927772</t>
  </si>
  <si>
    <t>90335766</t>
  </si>
  <si>
    <t>A-06912273</t>
  </si>
  <si>
    <t>0096927773</t>
  </si>
  <si>
    <t>90335767</t>
  </si>
  <si>
    <t>A-06912274</t>
  </si>
  <si>
    <t>0096927774</t>
  </si>
  <si>
    <t>90335768</t>
  </si>
  <si>
    <t>A-06912275</t>
  </si>
  <si>
    <t>0096927775</t>
  </si>
  <si>
    <t>90335769</t>
  </si>
  <si>
    <t>A-06912276</t>
  </si>
  <si>
    <t>0096927776</t>
  </si>
  <si>
    <t>90335770</t>
  </si>
  <si>
    <t>A-06912277</t>
  </si>
  <si>
    <t>0096927777</t>
  </si>
  <si>
    <t>90335771</t>
  </si>
  <si>
    <t>A-06912278</t>
  </si>
  <si>
    <t>0096927778</t>
  </si>
  <si>
    <t>90335772</t>
  </si>
  <si>
    <t>A-06912279</t>
  </si>
  <si>
    <t>0096927779</t>
  </si>
  <si>
    <t>90335773</t>
  </si>
  <si>
    <t>A-06912280</t>
  </si>
  <si>
    <t>0096927780</t>
  </si>
  <si>
    <t>90335774</t>
  </si>
  <si>
    <t>A-06912281</t>
  </si>
  <si>
    <t>0096927781</t>
  </si>
  <si>
    <t>90335775</t>
  </si>
  <si>
    <t>A-06912282</t>
  </si>
  <si>
    <t>0096927782</t>
  </si>
  <si>
    <t>90335776</t>
  </si>
  <si>
    <t>A-06912283</t>
  </si>
  <si>
    <t>0096927783</t>
  </si>
  <si>
    <t>90335777</t>
  </si>
  <si>
    <t>A-06912284</t>
  </si>
  <si>
    <t>0096927784</t>
  </si>
  <si>
    <t>90335778</t>
  </si>
  <si>
    <t>A-06912285</t>
  </si>
  <si>
    <t>0096927785</t>
  </si>
  <si>
    <t>90335779</t>
  </si>
  <si>
    <t>A-06912286</t>
  </si>
  <si>
    <t>0096927786</t>
  </si>
  <si>
    <t>90335780</t>
  </si>
  <si>
    <t>A-06912287</t>
  </si>
  <si>
    <t>0096927787</t>
  </si>
  <si>
    <t>90335781</t>
  </si>
  <si>
    <t>A-06912288</t>
  </si>
  <si>
    <t>0096927788</t>
  </si>
  <si>
    <t>90335782</t>
  </si>
  <si>
    <t>A-06912289</t>
  </si>
  <si>
    <t>0096927789</t>
  </si>
  <si>
    <t>90335783</t>
  </si>
  <si>
    <t>A-06912290</t>
  </si>
  <si>
    <t>0096927790</t>
  </si>
  <si>
    <t>90335784</t>
  </si>
  <si>
    <t>A-06912291</t>
  </si>
  <si>
    <t>0096927791</t>
  </si>
  <si>
    <t>90335785</t>
  </si>
  <si>
    <t>A-06912292</t>
  </si>
  <si>
    <t>0096927792</t>
  </si>
  <si>
    <t>90335786</t>
  </si>
  <si>
    <t>A-06912293</t>
  </si>
  <si>
    <t>0096927793</t>
  </si>
  <si>
    <t>90335787</t>
  </si>
  <si>
    <t>A-06912294</t>
  </si>
  <si>
    <t>0096927794</t>
  </si>
  <si>
    <t>90335788</t>
  </si>
  <si>
    <t>A-06912295</t>
  </si>
  <si>
    <t>0096927795</t>
  </si>
  <si>
    <t>90335789</t>
  </si>
  <si>
    <t>A-06912296</t>
  </si>
  <si>
    <t>0096935317</t>
  </si>
  <si>
    <t>90343278</t>
  </si>
  <si>
    <t>A-06919814</t>
  </si>
  <si>
    <t>0096935767</t>
  </si>
  <si>
    <t>90343725</t>
  </si>
  <si>
    <t>A-06920264</t>
  </si>
  <si>
    <t>0096952300</t>
  </si>
  <si>
    <t>90015994</t>
  </si>
  <si>
    <t>A-06936794</t>
  </si>
  <si>
    <t>0096952301</t>
  </si>
  <si>
    <t>90015995</t>
  </si>
  <si>
    <t>A-06936795</t>
  </si>
  <si>
    <t>0096952789</t>
  </si>
  <si>
    <t>90016478</t>
  </si>
  <si>
    <t>A-06937283</t>
  </si>
  <si>
    <t>17</t>
  </si>
  <si>
    <t>86</t>
  </si>
  <si>
    <t>113103</t>
  </si>
  <si>
    <t>0020129427</t>
  </si>
  <si>
    <t>2100000016</t>
  </si>
  <si>
    <t>F-00003573</t>
  </si>
  <si>
    <t>INTERESES AL 30/11/2020</t>
  </si>
  <si>
    <t>0020129428</t>
  </si>
  <si>
    <t>2100000015</t>
  </si>
  <si>
    <t>F-00003574</t>
  </si>
  <si>
    <t>INTERESES AL 31/12/2020</t>
  </si>
  <si>
    <t>0020138232</t>
  </si>
  <si>
    <t>2100000330</t>
  </si>
  <si>
    <t>F-00003983</t>
  </si>
  <si>
    <t>INTERESES AL 30/09/2021</t>
  </si>
  <si>
    <t>0020139273</t>
  </si>
  <si>
    <t>2100000356</t>
  </si>
  <si>
    <t>F-00004018</t>
  </si>
  <si>
    <t>INTERESES AL 31/10/2021</t>
  </si>
  <si>
    <t>0020140860</t>
  </si>
  <si>
    <t>2100000405</t>
  </si>
  <si>
    <t>F-00004081</t>
  </si>
  <si>
    <t>INTERESES AL 31/01/2021</t>
  </si>
  <si>
    <t>0020140861</t>
  </si>
  <si>
    <t>2100000406</t>
  </si>
  <si>
    <t>F-00004082</t>
  </si>
  <si>
    <t>INTERESES AL 28/02/2021</t>
  </si>
  <si>
    <t>0020140862</t>
  </si>
  <si>
    <t>2100000407</t>
  </si>
  <si>
    <t>F-00004083</t>
  </si>
  <si>
    <t>INTERESES AL 31/03/2021</t>
  </si>
  <si>
    <t>0020140863</t>
  </si>
  <si>
    <t>2100000408</t>
  </si>
  <si>
    <t>F-00004084</t>
  </si>
  <si>
    <t>INTERESES AL 30/04/2021</t>
  </si>
  <si>
    <t>0020140864</t>
  </si>
  <si>
    <t>2100000409</t>
  </si>
  <si>
    <t>F-00004085</t>
  </si>
  <si>
    <t>INTERESES AL 31/05/2021</t>
  </si>
  <si>
    <t>0020140865</t>
  </si>
  <si>
    <t>2100000410</t>
  </si>
  <si>
    <t>F-00004086</t>
  </si>
  <si>
    <t>INTERESES AL 30/06/2021</t>
  </si>
  <si>
    <t>0020140866</t>
  </si>
  <si>
    <t>2100000411</t>
  </si>
  <si>
    <t>F-00004087</t>
  </si>
  <si>
    <t>INTERESES AL 31/07/2021</t>
  </si>
  <si>
    <t>0020140867</t>
  </si>
  <si>
    <t>2100000412</t>
  </si>
  <si>
    <t>F-00004088</t>
  </si>
  <si>
    <t>INTERESES AL 31/08/2021</t>
  </si>
  <si>
    <t>0020140868</t>
  </si>
  <si>
    <t>2100000413</t>
  </si>
  <si>
    <t>F-00004089</t>
  </si>
  <si>
    <t>INTERESES AL 30/11/2021</t>
  </si>
  <si>
    <t>0020141533</t>
  </si>
  <si>
    <t>2100000446</t>
  </si>
  <si>
    <t>F-00004128</t>
  </si>
  <si>
    <t>INTERESES AL 31/12/2021 PRE</t>
  </si>
  <si>
    <t>0020141828</t>
  </si>
  <si>
    <t>2100000000</t>
  </si>
  <si>
    <t>F-00004136</t>
  </si>
  <si>
    <t>INTERESES AL 31/12/2021 COMPLEMENTO</t>
  </si>
  <si>
    <t>0020142957</t>
  </si>
  <si>
    <t>2100000062</t>
  </si>
  <si>
    <t>F-00004209</t>
  </si>
  <si>
    <t>INTERESES AL 31/01/2022</t>
  </si>
  <si>
    <t>0020144227</t>
  </si>
  <si>
    <t>2100000094</t>
  </si>
  <si>
    <t>F-00004257</t>
  </si>
  <si>
    <t>INTERESES AL 28/02/2022</t>
  </si>
  <si>
    <t>0020145416</t>
  </si>
  <si>
    <t>2100000129</t>
  </si>
  <si>
    <t>F-00004313</t>
  </si>
  <si>
    <t>INTERESES AL 31/03/2022</t>
  </si>
  <si>
    <t>0020146518</t>
  </si>
  <si>
    <t>2100000164</t>
  </si>
  <si>
    <t>F-00004362</t>
  </si>
  <si>
    <t>INTERESES AL 30/04/2022</t>
  </si>
  <si>
    <t>0020148115</t>
  </si>
  <si>
    <t>2100000200</t>
  </si>
  <si>
    <t>F-00004404</t>
  </si>
  <si>
    <t>INTERESES AL 31/05/2022</t>
  </si>
  <si>
    <t>0020150084</t>
  </si>
  <si>
    <t>2100000235</t>
  </si>
  <si>
    <t>F-00004451</t>
  </si>
  <si>
    <t>INTERESES AL 30/06/2022</t>
  </si>
  <si>
    <t>0020152999</t>
  </si>
  <si>
    <t>2100000277</t>
  </si>
  <si>
    <t>F-00004519</t>
  </si>
  <si>
    <t>INTERESES AL 31/07/2022</t>
  </si>
  <si>
    <t>0020158848</t>
  </si>
  <si>
    <t>2100000346</t>
  </si>
  <si>
    <t>F-00004607</t>
  </si>
  <si>
    <t>INTERESES AL 31/08/2022</t>
  </si>
  <si>
    <t>0020162087</t>
  </si>
  <si>
    <t>2100000385</t>
  </si>
  <si>
    <t>F-00004663</t>
  </si>
  <si>
    <t>INTERESES AL 30/09/2022</t>
  </si>
  <si>
    <t>0020166515</t>
  </si>
  <si>
    <t>2100000429</t>
  </si>
  <si>
    <t>F-00004727</t>
  </si>
  <si>
    <t>INTERESES AL 31/10/2022</t>
  </si>
  <si>
    <t>0020169638</t>
  </si>
  <si>
    <t>2100000472</t>
  </si>
  <si>
    <t>F-00004778</t>
  </si>
  <si>
    <t>INTERESES AL 30/11/2022</t>
  </si>
  <si>
    <t>0020171038</t>
  </si>
  <si>
    <t>2100000500</t>
  </si>
  <si>
    <t>F-00004834</t>
  </si>
  <si>
    <t>INTERESES AL 31/12/2022</t>
  </si>
  <si>
    <t>0020177772</t>
  </si>
  <si>
    <t>2100000053</t>
  </si>
  <si>
    <t>F-00004917</t>
  </si>
  <si>
    <t>INTERESES AL 31/01/2023</t>
  </si>
  <si>
    <t>0020183585</t>
  </si>
  <si>
    <t>2100000104</t>
  </si>
  <si>
    <t>F-00004985</t>
  </si>
  <si>
    <t>INTERESES AL 28/02/2023</t>
  </si>
  <si>
    <t>0020186191</t>
  </si>
  <si>
    <t>2100000172</t>
  </si>
  <si>
    <t>F-00005083</t>
  </si>
  <si>
    <t>INTERESES AL 31/03/2023</t>
  </si>
  <si>
    <t>0020188840</t>
  </si>
  <si>
    <t>2100000227</t>
  </si>
  <si>
    <t>F-00005147</t>
  </si>
  <si>
    <t>INTERESES AL 30/04/2023</t>
  </si>
  <si>
    <t>0020191935</t>
  </si>
  <si>
    <t>2100000279</t>
  </si>
  <si>
    <t>F-00005216</t>
  </si>
  <si>
    <t>INTERESES AL 31/05/2023</t>
  </si>
  <si>
    <t>0020195667</t>
  </si>
  <si>
    <t>2100000337</t>
  </si>
  <si>
    <t>F-00005300</t>
  </si>
  <si>
    <t>INTERESES AL 30/06/2023</t>
  </si>
  <si>
    <t>0020201867</t>
  </si>
  <si>
    <t>F-00005390</t>
  </si>
  <si>
    <t>INTERESES AL 31/07/2023</t>
  </si>
  <si>
    <t>0020205829</t>
  </si>
  <si>
    <t>2100000467</t>
  </si>
  <si>
    <t>F-00005464</t>
  </si>
  <si>
    <t>INTERESES AL 31/08/2023</t>
  </si>
  <si>
    <t>0020209085</t>
  </si>
  <si>
    <t>2100000537</t>
  </si>
  <si>
    <t>F-00005553</t>
  </si>
  <si>
    <t>INTERESES AL 30/09/2023</t>
  </si>
  <si>
    <t>0020211805</t>
  </si>
  <si>
    <t>2100000592</t>
  </si>
  <si>
    <t>F-00005624</t>
  </si>
  <si>
    <t>INTERESES AL 31/10/2023</t>
  </si>
  <si>
    <t>0020215150</t>
  </si>
  <si>
    <t>2100000655</t>
  </si>
  <si>
    <t>F-00005708</t>
  </si>
  <si>
    <t>INTERESES AL 30/11/2023</t>
  </si>
  <si>
    <t>0020216371</t>
  </si>
  <si>
    <t>2100000687</t>
  </si>
  <si>
    <t>F-00005760</t>
  </si>
  <si>
    <t>INTERESES AL 31/12/2023 PRE</t>
  </si>
  <si>
    <t>0020220074</t>
  </si>
  <si>
    <t>1000000006</t>
  </si>
  <si>
    <t>CD</t>
  </si>
  <si>
    <t>N-00000065</t>
  </si>
  <si>
    <t>BONIFICACION INTERESES DICIEMBRE 2023</t>
  </si>
  <si>
    <t>85</t>
  </si>
  <si>
    <t>0020333357</t>
  </si>
  <si>
    <t>90048875</t>
  </si>
  <si>
    <t>A-00050017</t>
  </si>
  <si>
    <t>87</t>
  </si>
  <si>
    <t>0110322270</t>
  </si>
  <si>
    <t>2100000031</t>
  </si>
  <si>
    <t>Q-00323445</t>
  </si>
  <si>
    <t>MUESTRARIO CABALLERO PIEL NO CUBRE</t>
  </si>
  <si>
    <t>Sociedad</t>
  </si>
  <si>
    <t>Cuenta</t>
  </si>
  <si>
    <t>Cuenta de mayor</t>
  </si>
  <si>
    <t>Asignación</t>
  </si>
  <si>
    <t>Nº documento</t>
  </si>
  <si>
    <t>Clase de documento</t>
  </si>
  <si>
    <t>Fe.contabilización</t>
  </si>
  <si>
    <t>Fecha de documento</t>
  </si>
  <si>
    <t>Indicador CME</t>
  </si>
  <si>
    <t>Referencia</t>
  </si>
  <si>
    <t>Importe en moneda doc.</t>
  </si>
  <si>
    <t>Moneda del documento</t>
  </si>
  <si>
    <t>Mon.local 2</t>
  </si>
  <si>
    <t>Importe en moneda local</t>
  </si>
  <si>
    <t>Moneda local</t>
  </si>
  <si>
    <t>Doc.compensación</t>
  </si>
  <si>
    <t>Texto</t>
  </si>
  <si>
    <t>FLEXI SA</t>
  </si>
  <si>
    <t>QLI</t>
  </si>
  <si>
    <t>GLOBAL</t>
  </si>
  <si>
    <t>FLEXI DE LEON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</si>
</sst>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/>
    </xf>
    <xf numFmtId="4" fontId="0" fillId="4" borderId="1" xfId="0" applyNumberFormat="1" applyFill="1" applyBorder="1" applyAlignment="1">
      <alignment vertical="top"/>
    </xf>
    <xf numFmtId="4" fontId="0" fillId="3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1"/>
  <sheetViews>
    <sheetView tabSelected="1" topLeftCell="G1" zoomScale="90" zoomScaleNormal="90" workbookViewId="0">
      <selection activeCell="N361" sqref="N361"/>
    </sheetView>
  </sheetViews>
  <sheetFormatPr baseColWidth="10" defaultColWidth="8.90625" defaultRowHeight="12.9" outlineLevelRow="3" x14ac:dyDescent="0.25"/>
  <cols>
    <col min="1" max="1" width="4.6328125" customWidth="1"/>
    <col min="2" max="2" width="6.36328125" customWidth="1"/>
    <col min="3" max="3" width="8.81640625" customWidth="1"/>
    <col min="4" max="4" width="12" bestFit="1" customWidth="1"/>
    <col min="5" max="5" width="14" bestFit="1" customWidth="1"/>
    <col min="6" max="6" width="8.7265625" customWidth="1"/>
    <col min="7" max="7" width="14" customWidth="1"/>
    <col min="8" max="8" width="16.1796875" customWidth="1"/>
    <col min="9" max="9" width="12.08984375" customWidth="1"/>
    <col min="10" max="11" width="12" bestFit="1" customWidth="1"/>
    <col min="12" max="12" width="5.81640625" customWidth="1"/>
    <col min="13" max="15" width="14" customWidth="1"/>
    <col min="16" max="16" width="57" bestFit="1" customWidth="1"/>
    <col min="17" max="17" width="13" bestFit="1" customWidth="1"/>
    <col min="18" max="18" width="14" bestFit="1" customWidth="1"/>
    <col min="19" max="19" width="18" bestFit="1" customWidth="1"/>
    <col min="20" max="20" width="39" bestFit="1" customWidth="1"/>
  </cols>
  <sheetData>
    <row r="1" spans="1:20" ht="38.700000000000003" x14ac:dyDescent="0.25">
      <c r="A1" s="1" t="s">
        <v>1096</v>
      </c>
      <c r="B1" s="1" t="s">
        <v>1097</v>
      </c>
      <c r="C1" s="1" t="s">
        <v>1098</v>
      </c>
      <c r="D1" s="1" t="s">
        <v>1099</v>
      </c>
      <c r="E1" s="1" t="s">
        <v>1100</v>
      </c>
      <c r="F1" s="11" t="s">
        <v>1101</v>
      </c>
      <c r="G1" s="1" t="s">
        <v>1102</v>
      </c>
      <c r="H1" s="1" t="s">
        <v>1103</v>
      </c>
      <c r="I1" s="1" t="s">
        <v>1104</v>
      </c>
      <c r="J1" s="1" t="s">
        <v>1105</v>
      </c>
      <c r="K1" s="11" t="s">
        <v>1106</v>
      </c>
      <c r="L1" s="11" t="s">
        <v>1107</v>
      </c>
      <c r="M1" s="11"/>
      <c r="N1" s="11"/>
      <c r="O1" s="11"/>
      <c r="P1" s="1" t="s">
        <v>1108</v>
      </c>
      <c r="Q1" s="11" t="s">
        <v>1109</v>
      </c>
      <c r="R1" s="1" t="s">
        <v>1110</v>
      </c>
      <c r="S1" s="1" t="s">
        <v>1111</v>
      </c>
      <c r="T1" s="1" t="s">
        <v>1112</v>
      </c>
    </row>
    <row r="2" spans="1:20" ht="14" hidden="1" customHeight="1" outlineLevel="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s="2">
        <v>44861</v>
      </c>
      <c r="H2" s="2">
        <v>44861</v>
      </c>
      <c r="I2" t="s">
        <v>0</v>
      </c>
      <c r="J2" t="s">
        <v>7</v>
      </c>
      <c r="K2" s="3">
        <v>3001.86</v>
      </c>
      <c r="L2" t="s">
        <v>8</v>
      </c>
      <c r="P2" t="s">
        <v>0</v>
      </c>
      <c r="Q2" s="3">
        <v>59650.559999999998</v>
      </c>
      <c r="R2" t="s">
        <v>9</v>
      </c>
      <c r="S2" t="s">
        <v>0</v>
      </c>
      <c r="T2" t="s">
        <v>10</v>
      </c>
    </row>
    <row r="3" spans="1:20" ht="14" hidden="1" customHeight="1" outlineLevel="3" x14ac:dyDescent="0.25">
      <c r="A3" t="s">
        <v>1</v>
      </c>
      <c r="B3" t="s">
        <v>2</v>
      </c>
      <c r="C3" t="s">
        <v>3</v>
      </c>
      <c r="D3" t="s">
        <v>11</v>
      </c>
      <c r="E3" t="s">
        <v>12</v>
      </c>
      <c r="F3" t="s">
        <v>6</v>
      </c>
      <c r="G3" s="2">
        <v>45197</v>
      </c>
      <c r="H3" s="2">
        <v>45197</v>
      </c>
      <c r="I3" t="s">
        <v>0</v>
      </c>
      <c r="J3" t="s">
        <v>13</v>
      </c>
      <c r="K3" s="3">
        <v>1468</v>
      </c>
      <c r="L3" t="s">
        <v>8</v>
      </c>
      <c r="P3" t="s">
        <v>0</v>
      </c>
      <c r="Q3" s="3">
        <v>25654.47</v>
      </c>
      <c r="R3" t="s">
        <v>9</v>
      </c>
      <c r="S3" t="s">
        <v>0</v>
      </c>
      <c r="T3" t="s">
        <v>10</v>
      </c>
    </row>
    <row r="4" spans="1:20" ht="14" hidden="1" customHeight="1" outlineLevel="3" x14ac:dyDescent="0.25">
      <c r="A4" t="s">
        <v>1</v>
      </c>
      <c r="B4" t="s">
        <v>2</v>
      </c>
      <c r="C4" t="s">
        <v>3</v>
      </c>
      <c r="D4" t="s">
        <v>14</v>
      </c>
      <c r="E4" t="s">
        <v>15</v>
      </c>
      <c r="F4" t="s">
        <v>6</v>
      </c>
      <c r="G4" s="2">
        <v>45254</v>
      </c>
      <c r="H4" s="2">
        <v>45254</v>
      </c>
      <c r="I4" t="s">
        <v>0</v>
      </c>
      <c r="J4" t="s">
        <v>16</v>
      </c>
      <c r="K4" s="3">
        <v>1330</v>
      </c>
      <c r="L4" t="s">
        <v>8</v>
      </c>
      <c r="P4" t="s">
        <v>0</v>
      </c>
      <c r="Q4" s="3">
        <v>22893.69</v>
      </c>
      <c r="R4" t="s">
        <v>9</v>
      </c>
      <c r="S4" t="s">
        <v>0</v>
      </c>
      <c r="T4" t="s">
        <v>10</v>
      </c>
    </row>
    <row r="5" spans="1:20" ht="14" hidden="1" customHeight="1" outlineLevel="3" x14ac:dyDescent="0.25">
      <c r="A5" t="s">
        <v>1</v>
      </c>
      <c r="B5" t="s">
        <v>2</v>
      </c>
      <c r="C5" t="s">
        <v>3</v>
      </c>
      <c r="D5" t="s">
        <v>17</v>
      </c>
      <c r="E5" t="s">
        <v>18</v>
      </c>
      <c r="F5" t="s">
        <v>6</v>
      </c>
      <c r="G5" s="2">
        <v>45274</v>
      </c>
      <c r="H5" s="2">
        <v>45274</v>
      </c>
      <c r="I5" t="s">
        <v>0</v>
      </c>
      <c r="J5" t="s">
        <v>19</v>
      </c>
      <c r="K5" s="3">
        <v>1330</v>
      </c>
      <c r="L5" t="s">
        <v>8</v>
      </c>
      <c r="P5" t="s">
        <v>0</v>
      </c>
      <c r="Q5" s="3">
        <v>23204.51</v>
      </c>
      <c r="R5" t="s">
        <v>9</v>
      </c>
      <c r="S5" t="s">
        <v>0</v>
      </c>
      <c r="T5" t="s">
        <v>10</v>
      </c>
    </row>
    <row r="6" spans="1:20" ht="14" hidden="1" customHeight="1" outlineLevel="3" x14ac:dyDescent="0.25">
      <c r="A6" t="s">
        <v>1</v>
      </c>
      <c r="B6" t="s">
        <v>2</v>
      </c>
      <c r="C6" t="s">
        <v>3</v>
      </c>
      <c r="D6" t="s">
        <v>20</v>
      </c>
      <c r="E6" t="s">
        <v>21</v>
      </c>
      <c r="F6" t="s">
        <v>6</v>
      </c>
      <c r="G6" s="2">
        <v>45310</v>
      </c>
      <c r="H6" s="2">
        <v>45310</v>
      </c>
      <c r="I6" t="s">
        <v>0</v>
      </c>
      <c r="J6" t="s">
        <v>22</v>
      </c>
      <c r="K6" s="3">
        <v>1330</v>
      </c>
      <c r="L6" t="s">
        <v>8</v>
      </c>
      <c r="P6" t="s">
        <v>0</v>
      </c>
      <c r="Q6" s="3">
        <v>23003.279999999999</v>
      </c>
      <c r="R6" t="s">
        <v>9</v>
      </c>
      <c r="S6" t="s">
        <v>0</v>
      </c>
      <c r="T6" t="s">
        <v>10</v>
      </c>
    </row>
    <row r="7" spans="1:20" ht="14" hidden="1" customHeight="1" outlineLevel="3" x14ac:dyDescent="0.25">
      <c r="A7" t="s">
        <v>1</v>
      </c>
      <c r="B7" t="s">
        <v>2</v>
      </c>
      <c r="C7" t="s">
        <v>3</v>
      </c>
      <c r="D7" t="s">
        <v>23</v>
      </c>
      <c r="E7" t="s">
        <v>24</v>
      </c>
      <c r="F7" t="s">
        <v>6</v>
      </c>
      <c r="G7" s="2">
        <v>45700</v>
      </c>
      <c r="H7" s="2">
        <v>45700</v>
      </c>
      <c r="I7" t="s">
        <v>0</v>
      </c>
      <c r="J7" t="s">
        <v>25</v>
      </c>
      <c r="K7" s="3">
        <v>1260</v>
      </c>
      <c r="L7" t="s">
        <v>8</v>
      </c>
      <c r="P7" t="s">
        <v>0</v>
      </c>
      <c r="Q7" s="3">
        <v>26043.32</v>
      </c>
      <c r="R7" t="s">
        <v>9</v>
      </c>
      <c r="S7" t="s">
        <v>0</v>
      </c>
      <c r="T7" t="s">
        <v>10</v>
      </c>
    </row>
    <row r="8" spans="1:20" ht="14" hidden="1" customHeight="1" outlineLevel="3" x14ac:dyDescent="0.25">
      <c r="A8" t="s">
        <v>1</v>
      </c>
      <c r="B8" t="s">
        <v>2</v>
      </c>
      <c r="C8" t="s">
        <v>3</v>
      </c>
      <c r="D8" t="s">
        <v>26</v>
      </c>
      <c r="E8" t="s">
        <v>27</v>
      </c>
      <c r="F8" t="s">
        <v>6</v>
      </c>
      <c r="G8" s="2">
        <v>45726</v>
      </c>
      <c r="H8" s="2">
        <v>45726</v>
      </c>
      <c r="I8" t="s">
        <v>0</v>
      </c>
      <c r="J8" t="s">
        <v>28</v>
      </c>
      <c r="K8" s="3">
        <v>1260</v>
      </c>
      <c r="L8" t="s">
        <v>8</v>
      </c>
      <c r="P8" t="s">
        <v>0</v>
      </c>
      <c r="Q8" s="3">
        <v>25549.9</v>
      </c>
      <c r="R8" t="s">
        <v>9</v>
      </c>
      <c r="S8" t="s">
        <v>0</v>
      </c>
      <c r="T8" t="s">
        <v>10</v>
      </c>
    </row>
    <row r="9" spans="1:20" ht="14" hidden="1" customHeight="1" outlineLevel="3" x14ac:dyDescent="0.25">
      <c r="A9" t="s">
        <v>1</v>
      </c>
      <c r="B9" t="s">
        <v>2</v>
      </c>
      <c r="C9" t="s">
        <v>3</v>
      </c>
      <c r="D9" t="s">
        <v>29</v>
      </c>
      <c r="E9" t="s">
        <v>30</v>
      </c>
      <c r="F9" t="s">
        <v>6</v>
      </c>
      <c r="G9" s="2">
        <v>45747</v>
      </c>
      <c r="H9" s="2">
        <v>45747</v>
      </c>
      <c r="I9" t="s">
        <v>0</v>
      </c>
      <c r="J9" t="s">
        <v>31</v>
      </c>
      <c r="K9" s="3">
        <v>1260</v>
      </c>
      <c r="L9" t="s">
        <v>8</v>
      </c>
      <c r="P9" t="s">
        <v>0</v>
      </c>
      <c r="Q9" s="3">
        <v>25600.93</v>
      </c>
      <c r="R9" t="s">
        <v>9</v>
      </c>
      <c r="S9" t="s">
        <v>0</v>
      </c>
      <c r="T9" t="s">
        <v>10</v>
      </c>
    </row>
    <row r="10" spans="1:20" ht="14" hidden="1" customHeight="1" outlineLevel="3" x14ac:dyDescent="0.25">
      <c r="A10" t="s">
        <v>1</v>
      </c>
      <c r="B10" t="s">
        <v>2</v>
      </c>
      <c r="C10" t="s">
        <v>3</v>
      </c>
      <c r="D10" t="s">
        <v>32</v>
      </c>
      <c r="E10" t="s">
        <v>33</v>
      </c>
      <c r="F10" t="s">
        <v>6</v>
      </c>
      <c r="G10" s="2">
        <v>45768</v>
      </c>
      <c r="H10" s="2">
        <v>45768</v>
      </c>
      <c r="I10" t="s">
        <v>0</v>
      </c>
      <c r="J10" t="s">
        <v>34</v>
      </c>
      <c r="K10" s="3">
        <v>2280</v>
      </c>
      <c r="L10" t="s">
        <v>8</v>
      </c>
      <c r="P10" t="s">
        <v>0</v>
      </c>
      <c r="Q10" s="3">
        <v>45648.56</v>
      </c>
      <c r="R10" t="s">
        <v>9</v>
      </c>
      <c r="S10" t="s">
        <v>0</v>
      </c>
      <c r="T10" t="s">
        <v>10</v>
      </c>
    </row>
    <row r="11" spans="1:20" ht="14" hidden="1" customHeight="1" outlineLevel="3" x14ac:dyDescent="0.25">
      <c r="A11" t="s">
        <v>1</v>
      </c>
      <c r="B11" t="s">
        <v>2</v>
      </c>
      <c r="C11" t="s">
        <v>3</v>
      </c>
      <c r="D11" t="s">
        <v>35</v>
      </c>
      <c r="E11" t="s">
        <v>36</v>
      </c>
      <c r="F11" t="s">
        <v>6</v>
      </c>
      <c r="G11" s="2">
        <v>45797</v>
      </c>
      <c r="H11" s="2">
        <v>45797</v>
      </c>
      <c r="I11" t="s">
        <v>0</v>
      </c>
      <c r="J11" t="s">
        <v>37</v>
      </c>
      <c r="K11" s="3">
        <v>1260</v>
      </c>
      <c r="L11" t="s">
        <v>8</v>
      </c>
      <c r="P11" t="s">
        <v>0</v>
      </c>
      <c r="Q11" s="3">
        <v>24588.52</v>
      </c>
      <c r="R11" t="s">
        <v>9</v>
      </c>
      <c r="S11" t="s">
        <v>0</v>
      </c>
      <c r="T11" t="s">
        <v>10</v>
      </c>
    </row>
    <row r="12" spans="1:20" ht="14" hidden="1" customHeight="1" outlineLevel="3" x14ac:dyDescent="0.25">
      <c r="A12" t="s">
        <v>1</v>
      </c>
      <c r="B12" t="s">
        <v>2</v>
      </c>
      <c r="C12" t="s">
        <v>3</v>
      </c>
      <c r="D12" t="s">
        <v>38</v>
      </c>
      <c r="E12" t="s">
        <v>39</v>
      </c>
      <c r="F12" t="s">
        <v>6</v>
      </c>
      <c r="G12" s="2">
        <v>45817</v>
      </c>
      <c r="H12" s="2">
        <v>45817</v>
      </c>
      <c r="I12" t="s">
        <v>0</v>
      </c>
      <c r="J12" t="s">
        <v>40</v>
      </c>
      <c r="K12" s="3">
        <v>2145</v>
      </c>
      <c r="L12" t="s">
        <v>8</v>
      </c>
      <c r="P12" t="s">
        <v>0</v>
      </c>
      <c r="Q12" s="3">
        <v>41119.65</v>
      </c>
      <c r="R12" t="s">
        <v>9</v>
      </c>
      <c r="S12" t="s">
        <v>0</v>
      </c>
      <c r="T12" t="s">
        <v>10</v>
      </c>
    </row>
    <row r="13" spans="1:20" ht="14" hidden="1" customHeight="1" outlineLevel="3" x14ac:dyDescent="0.25">
      <c r="A13" t="s">
        <v>1</v>
      </c>
      <c r="B13" t="s">
        <v>2</v>
      </c>
      <c r="C13" t="s">
        <v>3</v>
      </c>
      <c r="D13" t="s">
        <v>41</v>
      </c>
      <c r="E13" t="s">
        <v>42</v>
      </c>
      <c r="F13" t="s">
        <v>6</v>
      </c>
      <c r="G13" s="2">
        <v>45873</v>
      </c>
      <c r="H13" s="2">
        <v>45873</v>
      </c>
      <c r="I13" t="s">
        <v>0</v>
      </c>
      <c r="J13" t="s">
        <v>43</v>
      </c>
      <c r="K13" s="3">
        <v>1311</v>
      </c>
      <c r="L13" t="s">
        <v>8</v>
      </c>
      <c r="P13" t="s">
        <v>0</v>
      </c>
      <c r="Q13" s="3">
        <v>24641.95</v>
      </c>
      <c r="R13" t="s">
        <v>9</v>
      </c>
      <c r="S13" t="s">
        <v>0</v>
      </c>
      <c r="T13" t="s">
        <v>10</v>
      </c>
    </row>
    <row r="14" spans="1:20" ht="14" hidden="1" customHeight="1" outlineLevel="3" x14ac:dyDescent="0.25">
      <c r="A14" t="s">
        <v>1</v>
      </c>
      <c r="B14" t="s">
        <v>2</v>
      </c>
      <c r="C14" t="s">
        <v>3</v>
      </c>
      <c r="D14" t="s">
        <v>44</v>
      </c>
      <c r="E14" t="s">
        <v>45</v>
      </c>
      <c r="F14" t="s">
        <v>6</v>
      </c>
      <c r="G14" s="2">
        <v>45902</v>
      </c>
      <c r="H14" s="2">
        <v>45902</v>
      </c>
      <c r="I14" t="s">
        <v>0</v>
      </c>
      <c r="J14" t="s">
        <v>46</v>
      </c>
      <c r="K14" s="3">
        <v>1260</v>
      </c>
      <c r="L14" t="s">
        <v>8</v>
      </c>
      <c r="P14" t="s">
        <v>0</v>
      </c>
      <c r="Q14" s="3">
        <v>23491.439999999999</v>
      </c>
      <c r="R14" t="s">
        <v>9</v>
      </c>
      <c r="S14" t="s">
        <v>0</v>
      </c>
      <c r="T14" t="s">
        <v>10</v>
      </c>
    </row>
    <row r="15" spans="1:20" ht="14" hidden="1" customHeight="1" outlineLevel="3" x14ac:dyDescent="0.25">
      <c r="A15" t="s">
        <v>1</v>
      </c>
      <c r="B15" t="s">
        <v>2</v>
      </c>
      <c r="C15" t="s">
        <v>3</v>
      </c>
      <c r="D15" t="s">
        <v>47</v>
      </c>
      <c r="E15" t="s">
        <v>48</v>
      </c>
      <c r="F15" t="s">
        <v>6</v>
      </c>
      <c r="G15" s="2">
        <v>45936</v>
      </c>
      <c r="H15" s="2">
        <v>45936</v>
      </c>
      <c r="I15" t="s">
        <v>0</v>
      </c>
      <c r="J15" t="s">
        <v>49</v>
      </c>
      <c r="K15" s="3">
        <v>1260</v>
      </c>
      <c r="L15" t="s">
        <v>8</v>
      </c>
      <c r="P15" t="s">
        <v>0</v>
      </c>
      <c r="Q15" s="3">
        <v>23290.22</v>
      </c>
      <c r="R15" t="s">
        <v>9</v>
      </c>
      <c r="S15" t="s">
        <v>0</v>
      </c>
      <c r="T15" t="s">
        <v>10</v>
      </c>
    </row>
    <row r="16" spans="1:20" ht="14" hidden="1" customHeight="1" outlineLevel="3" x14ac:dyDescent="0.25">
      <c r="A16" t="s">
        <v>1</v>
      </c>
      <c r="B16" t="s">
        <v>2</v>
      </c>
      <c r="C16" t="s">
        <v>3</v>
      </c>
      <c r="D16" t="s">
        <v>50</v>
      </c>
      <c r="E16" t="s">
        <v>21</v>
      </c>
      <c r="F16" t="s">
        <v>6</v>
      </c>
      <c r="G16" s="2">
        <v>46034</v>
      </c>
      <c r="H16" s="2">
        <v>46034</v>
      </c>
      <c r="I16" t="s">
        <v>0</v>
      </c>
      <c r="J16" t="s">
        <v>51</v>
      </c>
      <c r="K16" s="3">
        <v>1260</v>
      </c>
      <c r="L16" t="s">
        <v>8</v>
      </c>
      <c r="M16">
        <v>895.54</v>
      </c>
      <c r="N16">
        <f>K16*M16</f>
        <v>1128380.3999999999</v>
      </c>
      <c r="O16">
        <f>ROUND(N16,0)</f>
        <v>1128380</v>
      </c>
      <c r="P16" t="str">
        <f>CONCATENATE("Invoice ",J16," Distribuidora Flexi SA de CV ","USD ",K16," TC ", M16)</f>
        <v>Invoice A-06924616 Distribuidora Flexi SA de CV USD 1260 TC 895.54</v>
      </c>
      <c r="Q16" s="3">
        <v>22655.68</v>
      </c>
      <c r="R16" t="s">
        <v>9</v>
      </c>
      <c r="S16" t="s">
        <v>0</v>
      </c>
      <c r="T16" t="s">
        <v>10</v>
      </c>
    </row>
    <row r="17" spans="1:20" outlineLevel="2" collapsed="1" x14ac:dyDescent="0.25">
      <c r="A17" s="4" t="s">
        <v>0</v>
      </c>
      <c r="B17" s="4" t="s">
        <v>2</v>
      </c>
      <c r="C17" s="4" t="s">
        <v>0</v>
      </c>
      <c r="D17" s="4" t="s">
        <v>0</v>
      </c>
      <c r="E17" s="4" t="s">
        <v>0</v>
      </c>
      <c r="F17" s="4" t="s">
        <v>0</v>
      </c>
      <c r="G17" s="5"/>
      <c r="H17" s="5"/>
      <c r="I17" s="4" t="s">
        <v>0</v>
      </c>
      <c r="J17" s="4" t="s">
        <v>0</v>
      </c>
      <c r="K17" s="6">
        <v>23015.86</v>
      </c>
      <c r="L17" s="4" t="s">
        <v>8</v>
      </c>
      <c r="M17" s="4"/>
      <c r="N17" s="4"/>
      <c r="O17" s="4"/>
      <c r="P17" s="4" t="s">
        <v>0</v>
      </c>
      <c r="Q17" s="6">
        <v>437036.68</v>
      </c>
      <c r="R17" s="4" t="s">
        <v>9</v>
      </c>
      <c r="S17" s="4" t="s">
        <v>0</v>
      </c>
      <c r="T17" s="4" t="s">
        <v>0</v>
      </c>
    </row>
    <row r="18" spans="1:20" outlineLevel="1" x14ac:dyDescent="0.25">
      <c r="A18" s="4" t="s">
        <v>0</v>
      </c>
      <c r="B18" s="4" t="s">
        <v>2</v>
      </c>
      <c r="C18" s="4" t="s">
        <v>0</v>
      </c>
      <c r="D18" s="4" t="s">
        <v>0</v>
      </c>
      <c r="E18" s="4" t="s">
        <v>0</v>
      </c>
      <c r="F18" s="4" t="s">
        <v>0</v>
      </c>
      <c r="G18" s="5"/>
      <c r="H18" s="5"/>
      <c r="I18" s="4" t="s">
        <v>0</v>
      </c>
      <c r="J18" s="4" t="s">
        <v>0</v>
      </c>
      <c r="K18" s="6">
        <v>23015.86</v>
      </c>
      <c r="L18" s="4" t="s">
        <v>8</v>
      </c>
      <c r="M18" s="12" t="s">
        <v>1113</v>
      </c>
      <c r="N18" s="4"/>
      <c r="O18" s="4"/>
      <c r="P18" s="4" t="s">
        <v>0</v>
      </c>
      <c r="Q18" s="6">
        <v>437036.68</v>
      </c>
      <c r="R18" s="4" t="s">
        <v>9</v>
      </c>
      <c r="S18" s="4" t="s">
        <v>0</v>
      </c>
      <c r="T18" s="4" t="s">
        <v>0</v>
      </c>
    </row>
    <row r="19" spans="1:20" ht="14" hidden="1" customHeight="1" outlineLevel="3" x14ac:dyDescent="0.25">
      <c r="A19" t="s">
        <v>1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 s="2">
        <v>45513</v>
      </c>
      <c r="H19" s="2">
        <v>45513</v>
      </c>
      <c r="I19" t="s">
        <v>0</v>
      </c>
      <c r="J19" t="s">
        <v>57</v>
      </c>
      <c r="K19" s="3">
        <v>-158.63999999999999</v>
      </c>
      <c r="L19" t="s">
        <v>8</v>
      </c>
      <c r="P19" t="s">
        <v>0</v>
      </c>
      <c r="Q19" s="3">
        <v>-3044.14</v>
      </c>
      <c r="R19" t="s">
        <v>9</v>
      </c>
      <c r="S19" t="s">
        <v>0</v>
      </c>
      <c r="T19" t="s">
        <v>58</v>
      </c>
    </row>
    <row r="20" spans="1:20" ht="14" hidden="1" customHeight="1" outlineLevel="3" x14ac:dyDescent="0.25">
      <c r="A20" t="s">
        <v>1</v>
      </c>
      <c r="B20" t="s">
        <v>52</v>
      </c>
      <c r="C20" t="s">
        <v>53</v>
      </c>
      <c r="D20" t="s">
        <v>59</v>
      </c>
      <c r="E20" t="s">
        <v>60</v>
      </c>
      <c r="F20" t="s">
        <v>61</v>
      </c>
      <c r="G20" s="2">
        <v>45728</v>
      </c>
      <c r="H20" s="2">
        <v>45728</v>
      </c>
      <c r="I20" t="s">
        <v>0</v>
      </c>
      <c r="J20" t="s">
        <v>62</v>
      </c>
      <c r="K20" s="3">
        <v>15785</v>
      </c>
      <c r="L20" t="s">
        <v>8</v>
      </c>
      <c r="P20" t="s">
        <v>0</v>
      </c>
      <c r="Q20" s="3">
        <v>320312.38</v>
      </c>
      <c r="R20" t="s">
        <v>9</v>
      </c>
      <c r="S20" t="s">
        <v>0</v>
      </c>
      <c r="T20" t="s">
        <v>0</v>
      </c>
    </row>
    <row r="21" spans="1:20" ht="14" hidden="1" customHeight="1" outlineLevel="3" x14ac:dyDescent="0.25">
      <c r="A21" t="s">
        <v>1</v>
      </c>
      <c r="B21" t="s">
        <v>52</v>
      </c>
      <c r="C21" t="s">
        <v>53</v>
      </c>
      <c r="D21" t="s">
        <v>63</v>
      </c>
      <c r="E21" t="s">
        <v>64</v>
      </c>
      <c r="F21" t="s">
        <v>61</v>
      </c>
      <c r="G21" s="2">
        <v>45728</v>
      </c>
      <c r="H21" s="2">
        <v>45728</v>
      </c>
      <c r="I21" t="s">
        <v>0</v>
      </c>
      <c r="J21" t="s">
        <v>65</v>
      </c>
      <c r="K21" s="3">
        <v>3163.2</v>
      </c>
      <c r="L21" t="s">
        <v>8</v>
      </c>
      <c r="P21" t="s">
        <v>0</v>
      </c>
      <c r="Q21" s="3">
        <v>64188.29</v>
      </c>
      <c r="R21" t="s">
        <v>9</v>
      </c>
      <c r="S21" t="s">
        <v>0</v>
      </c>
      <c r="T21" t="s">
        <v>0</v>
      </c>
    </row>
    <row r="22" spans="1:20" ht="14" hidden="1" customHeight="1" outlineLevel="3" x14ac:dyDescent="0.25">
      <c r="A22" t="s">
        <v>1</v>
      </c>
      <c r="B22" t="s">
        <v>52</v>
      </c>
      <c r="C22" t="s">
        <v>53</v>
      </c>
      <c r="D22" t="s">
        <v>66</v>
      </c>
      <c r="E22" t="s">
        <v>67</v>
      </c>
      <c r="F22" t="s">
        <v>61</v>
      </c>
      <c r="G22" s="2">
        <v>45728</v>
      </c>
      <c r="H22" s="2">
        <v>45728</v>
      </c>
      <c r="I22" t="s">
        <v>0</v>
      </c>
      <c r="J22" t="s">
        <v>68</v>
      </c>
      <c r="K22" s="3">
        <v>1787.2</v>
      </c>
      <c r="L22" t="s">
        <v>8</v>
      </c>
      <c r="P22" t="s">
        <v>0</v>
      </c>
      <c r="Q22" s="3">
        <v>36266.22</v>
      </c>
      <c r="R22" t="s">
        <v>9</v>
      </c>
      <c r="S22" t="s">
        <v>0</v>
      </c>
      <c r="T22" t="s">
        <v>0</v>
      </c>
    </row>
    <row r="23" spans="1:20" ht="14" hidden="1" customHeight="1" outlineLevel="3" x14ac:dyDescent="0.25">
      <c r="A23" t="s">
        <v>1</v>
      </c>
      <c r="B23" t="s">
        <v>52</v>
      </c>
      <c r="C23" t="s">
        <v>53</v>
      </c>
      <c r="D23" t="s">
        <v>69</v>
      </c>
      <c r="E23" t="s">
        <v>70</v>
      </c>
      <c r="F23" t="s">
        <v>61</v>
      </c>
      <c r="G23" s="2">
        <v>45728</v>
      </c>
      <c r="H23" s="2">
        <v>45728</v>
      </c>
      <c r="I23" t="s">
        <v>0</v>
      </c>
      <c r="J23" t="s">
        <v>71</v>
      </c>
      <c r="K23" s="3">
        <v>3204</v>
      </c>
      <c r="L23" t="s">
        <v>8</v>
      </c>
      <c r="P23" t="s">
        <v>0</v>
      </c>
      <c r="Q23" s="3">
        <v>65016.21</v>
      </c>
      <c r="R23" t="s">
        <v>9</v>
      </c>
      <c r="S23" t="s">
        <v>0</v>
      </c>
      <c r="T23" t="s">
        <v>0</v>
      </c>
    </row>
    <row r="24" spans="1:20" ht="14" hidden="1" customHeight="1" outlineLevel="3" x14ac:dyDescent="0.25">
      <c r="A24" t="s">
        <v>1</v>
      </c>
      <c r="B24" t="s">
        <v>52</v>
      </c>
      <c r="C24" t="s">
        <v>53</v>
      </c>
      <c r="D24" t="s">
        <v>72</v>
      </c>
      <c r="E24" t="s">
        <v>73</v>
      </c>
      <c r="F24" t="s">
        <v>61</v>
      </c>
      <c r="G24" s="2">
        <v>45728</v>
      </c>
      <c r="H24" s="2">
        <v>45728</v>
      </c>
      <c r="I24" t="s">
        <v>0</v>
      </c>
      <c r="J24" t="s">
        <v>74</v>
      </c>
      <c r="K24" s="3">
        <v>1787.2</v>
      </c>
      <c r="L24" t="s">
        <v>8</v>
      </c>
      <c r="P24" t="s">
        <v>0</v>
      </c>
      <c r="Q24" s="3">
        <v>36266.22</v>
      </c>
      <c r="R24" t="s">
        <v>9</v>
      </c>
      <c r="S24" t="s">
        <v>0</v>
      </c>
      <c r="T24" t="s">
        <v>0</v>
      </c>
    </row>
    <row r="25" spans="1:20" ht="14" hidden="1" customHeight="1" outlineLevel="3" x14ac:dyDescent="0.25">
      <c r="A25" t="s">
        <v>1</v>
      </c>
      <c r="B25" t="s">
        <v>52</v>
      </c>
      <c r="C25" t="s">
        <v>53</v>
      </c>
      <c r="D25" t="s">
        <v>75</v>
      </c>
      <c r="E25" t="s">
        <v>76</v>
      </c>
      <c r="F25" t="s">
        <v>61</v>
      </c>
      <c r="G25" s="2">
        <v>45728</v>
      </c>
      <c r="H25" s="2">
        <v>45728</v>
      </c>
      <c r="I25" t="s">
        <v>0</v>
      </c>
      <c r="J25" t="s">
        <v>77</v>
      </c>
      <c r="K25" s="3">
        <v>3204</v>
      </c>
      <c r="L25" t="s">
        <v>8</v>
      </c>
      <c r="P25" t="s">
        <v>0</v>
      </c>
      <c r="Q25" s="3">
        <v>65016.21</v>
      </c>
      <c r="R25" t="s">
        <v>9</v>
      </c>
      <c r="S25" t="s">
        <v>0</v>
      </c>
      <c r="T25" t="s">
        <v>0</v>
      </c>
    </row>
    <row r="26" spans="1:20" ht="14" hidden="1" customHeight="1" outlineLevel="3" x14ac:dyDescent="0.25">
      <c r="A26" t="s">
        <v>1</v>
      </c>
      <c r="B26" t="s">
        <v>52</v>
      </c>
      <c r="C26" t="s">
        <v>53</v>
      </c>
      <c r="D26" t="s">
        <v>78</v>
      </c>
      <c r="E26" t="s">
        <v>79</v>
      </c>
      <c r="F26" t="s">
        <v>61</v>
      </c>
      <c r="G26" s="2">
        <v>45728</v>
      </c>
      <c r="H26" s="2">
        <v>45728</v>
      </c>
      <c r="I26" t="s">
        <v>0</v>
      </c>
      <c r="J26" t="s">
        <v>80</v>
      </c>
      <c r="K26" s="3">
        <v>863.4</v>
      </c>
      <c r="L26" t="s">
        <v>8</v>
      </c>
      <c r="P26" t="s">
        <v>0</v>
      </c>
      <c r="Q26" s="3">
        <v>17520.29</v>
      </c>
      <c r="R26" t="s">
        <v>9</v>
      </c>
      <c r="S26" t="s">
        <v>0</v>
      </c>
      <c r="T26" t="s">
        <v>0</v>
      </c>
    </row>
    <row r="27" spans="1:20" ht="14" hidden="1" customHeight="1" outlineLevel="3" x14ac:dyDescent="0.25">
      <c r="A27" t="s">
        <v>1</v>
      </c>
      <c r="B27" t="s">
        <v>52</v>
      </c>
      <c r="C27" t="s">
        <v>53</v>
      </c>
      <c r="D27" t="s">
        <v>81</v>
      </c>
      <c r="E27" t="s">
        <v>82</v>
      </c>
      <c r="F27" t="s">
        <v>61</v>
      </c>
      <c r="G27" s="2">
        <v>45728</v>
      </c>
      <c r="H27" s="2">
        <v>45728</v>
      </c>
      <c r="I27" t="s">
        <v>0</v>
      </c>
      <c r="J27" t="s">
        <v>83</v>
      </c>
      <c r="K27" s="3">
        <v>3204</v>
      </c>
      <c r="L27" t="s">
        <v>8</v>
      </c>
      <c r="P27" t="s">
        <v>0</v>
      </c>
      <c r="Q27" s="3">
        <v>65016.21</v>
      </c>
      <c r="R27" t="s">
        <v>9</v>
      </c>
      <c r="S27" t="s">
        <v>0</v>
      </c>
      <c r="T27" t="s">
        <v>0</v>
      </c>
    </row>
    <row r="28" spans="1:20" ht="14" hidden="1" customHeight="1" outlineLevel="3" x14ac:dyDescent="0.25">
      <c r="A28" t="s">
        <v>1</v>
      </c>
      <c r="B28" t="s">
        <v>52</v>
      </c>
      <c r="C28" t="s">
        <v>53</v>
      </c>
      <c r="D28" t="s">
        <v>84</v>
      </c>
      <c r="E28" t="s">
        <v>85</v>
      </c>
      <c r="F28" t="s">
        <v>61</v>
      </c>
      <c r="G28" s="2">
        <v>45728</v>
      </c>
      <c r="H28" s="2">
        <v>45728</v>
      </c>
      <c r="I28" t="s">
        <v>0</v>
      </c>
      <c r="J28" t="s">
        <v>86</v>
      </c>
      <c r="K28" s="3">
        <v>1414.1</v>
      </c>
      <c r="L28" t="s">
        <v>8</v>
      </c>
      <c r="P28" t="s">
        <v>0</v>
      </c>
      <c r="Q28" s="3">
        <v>28695.200000000001</v>
      </c>
      <c r="R28" t="s">
        <v>9</v>
      </c>
      <c r="S28" t="s">
        <v>0</v>
      </c>
      <c r="T28" t="s">
        <v>0</v>
      </c>
    </row>
    <row r="29" spans="1:20" ht="14" hidden="1" customHeight="1" outlineLevel="3" x14ac:dyDescent="0.25">
      <c r="A29" t="s">
        <v>1</v>
      </c>
      <c r="B29" t="s">
        <v>52</v>
      </c>
      <c r="C29" t="s">
        <v>53</v>
      </c>
      <c r="D29" t="s">
        <v>87</v>
      </c>
      <c r="E29" t="s">
        <v>88</v>
      </c>
      <c r="F29" t="s">
        <v>61</v>
      </c>
      <c r="G29" s="2">
        <v>45728</v>
      </c>
      <c r="H29" s="2">
        <v>45728</v>
      </c>
      <c r="I29" t="s">
        <v>0</v>
      </c>
      <c r="J29" t="s">
        <v>89</v>
      </c>
      <c r="K29" s="3">
        <v>3204</v>
      </c>
      <c r="L29" t="s">
        <v>8</v>
      </c>
      <c r="P29" t="s">
        <v>0</v>
      </c>
      <c r="Q29" s="3">
        <v>65016.21</v>
      </c>
      <c r="R29" t="s">
        <v>9</v>
      </c>
      <c r="S29" t="s">
        <v>0</v>
      </c>
      <c r="T29" t="s">
        <v>0</v>
      </c>
    </row>
    <row r="30" spans="1:20" ht="14" hidden="1" customHeight="1" outlineLevel="3" x14ac:dyDescent="0.25">
      <c r="A30" t="s">
        <v>1</v>
      </c>
      <c r="B30" t="s">
        <v>52</v>
      </c>
      <c r="C30" t="s">
        <v>53</v>
      </c>
      <c r="D30" t="s">
        <v>90</v>
      </c>
      <c r="E30" t="s">
        <v>91</v>
      </c>
      <c r="F30" t="s">
        <v>61</v>
      </c>
      <c r="G30" s="2">
        <v>45728</v>
      </c>
      <c r="H30" s="2">
        <v>45728</v>
      </c>
      <c r="I30" t="s">
        <v>0</v>
      </c>
      <c r="J30" t="s">
        <v>92</v>
      </c>
      <c r="K30" s="3">
        <v>1414.1</v>
      </c>
      <c r="L30" t="s">
        <v>8</v>
      </c>
      <c r="P30" t="s">
        <v>0</v>
      </c>
      <c r="Q30" s="3">
        <v>28695.200000000001</v>
      </c>
      <c r="R30" t="s">
        <v>9</v>
      </c>
      <c r="S30" t="s">
        <v>0</v>
      </c>
      <c r="T30" t="s">
        <v>0</v>
      </c>
    </row>
    <row r="31" spans="1:20" ht="14" hidden="1" customHeight="1" outlineLevel="3" x14ac:dyDescent="0.25">
      <c r="A31" t="s">
        <v>1</v>
      </c>
      <c r="B31" t="s">
        <v>52</v>
      </c>
      <c r="C31" t="s">
        <v>53</v>
      </c>
      <c r="D31" t="s">
        <v>93</v>
      </c>
      <c r="E31" t="s">
        <v>94</v>
      </c>
      <c r="F31" t="s">
        <v>61</v>
      </c>
      <c r="G31" s="2">
        <v>45728</v>
      </c>
      <c r="H31" s="2">
        <v>45728</v>
      </c>
      <c r="I31" t="s">
        <v>0</v>
      </c>
      <c r="J31" t="s">
        <v>95</v>
      </c>
      <c r="K31" s="3">
        <v>3204</v>
      </c>
      <c r="L31" t="s">
        <v>8</v>
      </c>
      <c r="P31" t="s">
        <v>0</v>
      </c>
      <c r="Q31" s="3">
        <v>65016.21</v>
      </c>
      <c r="R31" t="s">
        <v>9</v>
      </c>
      <c r="S31" t="s">
        <v>0</v>
      </c>
      <c r="T31" t="s">
        <v>0</v>
      </c>
    </row>
    <row r="32" spans="1:20" ht="14" hidden="1" customHeight="1" outlineLevel="3" x14ac:dyDescent="0.25">
      <c r="A32" t="s">
        <v>1</v>
      </c>
      <c r="B32" t="s">
        <v>52</v>
      </c>
      <c r="C32" t="s">
        <v>53</v>
      </c>
      <c r="D32" t="s">
        <v>96</v>
      </c>
      <c r="E32" t="s">
        <v>97</v>
      </c>
      <c r="F32" t="s">
        <v>61</v>
      </c>
      <c r="G32" s="2">
        <v>45728</v>
      </c>
      <c r="H32" s="2">
        <v>45728</v>
      </c>
      <c r="I32" t="s">
        <v>0</v>
      </c>
      <c r="J32" t="s">
        <v>98</v>
      </c>
      <c r="K32" s="3">
        <v>3204</v>
      </c>
      <c r="L32" t="s">
        <v>8</v>
      </c>
      <c r="P32" t="s">
        <v>0</v>
      </c>
      <c r="Q32" s="3">
        <v>65016.21</v>
      </c>
      <c r="R32" t="s">
        <v>9</v>
      </c>
      <c r="S32" t="s">
        <v>0</v>
      </c>
      <c r="T32" t="s">
        <v>0</v>
      </c>
    </row>
    <row r="33" spans="1:20" ht="14" hidden="1" customHeight="1" outlineLevel="3" x14ac:dyDescent="0.25">
      <c r="A33" t="s">
        <v>1</v>
      </c>
      <c r="B33" t="s">
        <v>52</v>
      </c>
      <c r="C33" t="s">
        <v>53</v>
      </c>
      <c r="D33" t="s">
        <v>99</v>
      </c>
      <c r="E33" t="s">
        <v>100</v>
      </c>
      <c r="F33" t="s">
        <v>61</v>
      </c>
      <c r="G33" s="2">
        <v>45728</v>
      </c>
      <c r="H33" s="2">
        <v>45728</v>
      </c>
      <c r="I33" t="s">
        <v>0</v>
      </c>
      <c r="J33" t="s">
        <v>101</v>
      </c>
      <c r="K33" s="3">
        <v>1414.1</v>
      </c>
      <c r="L33" t="s">
        <v>8</v>
      </c>
      <c r="P33" t="s">
        <v>0</v>
      </c>
      <c r="Q33" s="3">
        <v>28695.200000000001</v>
      </c>
      <c r="R33" t="s">
        <v>9</v>
      </c>
      <c r="S33" t="s">
        <v>0</v>
      </c>
      <c r="T33" t="s">
        <v>0</v>
      </c>
    </row>
    <row r="34" spans="1:20" ht="14" hidden="1" customHeight="1" outlineLevel="3" x14ac:dyDescent="0.25">
      <c r="A34" t="s">
        <v>1</v>
      </c>
      <c r="B34" t="s">
        <v>52</v>
      </c>
      <c r="C34" t="s">
        <v>53</v>
      </c>
      <c r="D34" t="s">
        <v>102</v>
      </c>
      <c r="E34" t="s">
        <v>103</v>
      </c>
      <c r="F34" t="s">
        <v>61</v>
      </c>
      <c r="G34" s="2">
        <v>45728</v>
      </c>
      <c r="H34" s="2">
        <v>45728</v>
      </c>
      <c r="I34" t="s">
        <v>0</v>
      </c>
      <c r="J34" t="s">
        <v>104</v>
      </c>
      <c r="K34" s="3">
        <v>3204</v>
      </c>
      <c r="L34" t="s">
        <v>8</v>
      </c>
      <c r="P34" t="s">
        <v>0</v>
      </c>
      <c r="Q34" s="3">
        <v>65016.21</v>
      </c>
      <c r="R34" t="s">
        <v>9</v>
      </c>
      <c r="S34" t="s">
        <v>0</v>
      </c>
      <c r="T34" t="s">
        <v>0</v>
      </c>
    </row>
    <row r="35" spans="1:20" ht="14" hidden="1" customHeight="1" outlineLevel="3" x14ac:dyDescent="0.25">
      <c r="A35" t="s">
        <v>1</v>
      </c>
      <c r="B35" t="s">
        <v>52</v>
      </c>
      <c r="C35" t="s">
        <v>53</v>
      </c>
      <c r="D35" t="s">
        <v>105</v>
      </c>
      <c r="E35" t="s">
        <v>106</v>
      </c>
      <c r="F35" t="s">
        <v>61</v>
      </c>
      <c r="G35" s="2">
        <v>45728</v>
      </c>
      <c r="H35" s="2">
        <v>45728</v>
      </c>
      <c r="I35" t="s">
        <v>0</v>
      </c>
      <c r="J35" t="s">
        <v>107</v>
      </c>
      <c r="K35" s="3">
        <v>1787.2</v>
      </c>
      <c r="L35" t="s">
        <v>8</v>
      </c>
      <c r="P35" t="s">
        <v>0</v>
      </c>
      <c r="Q35" s="3">
        <v>36266.22</v>
      </c>
      <c r="R35" t="s">
        <v>9</v>
      </c>
      <c r="S35" t="s">
        <v>0</v>
      </c>
      <c r="T35" t="s">
        <v>0</v>
      </c>
    </row>
    <row r="36" spans="1:20" ht="14" hidden="1" customHeight="1" outlineLevel="3" x14ac:dyDescent="0.25">
      <c r="A36" t="s">
        <v>1</v>
      </c>
      <c r="B36" t="s">
        <v>52</v>
      </c>
      <c r="C36" t="s">
        <v>53</v>
      </c>
      <c r="D36" t="s">
        <v>108</v>
      </c>
      <c r="E36" t="s">
        <v>109</v>
      </c>
      <c r="F36" t="s">
        <v>61</v>
      </c>
      <c r="G36" s="2">
        <v>45728</v>
      </c>
      <c r="H36" s="2">
        <v>45728</v>
      </c>
      <c r="I36" t="s">
        <v>0</v>
      </c>
      <c r="J36" t="s">
        <v>110</v>
      </c>
      <c r="K36" s="3">
        <v>3204</v>
      </c>
      <c r="L36" t="s">
        <v>8</v>
      </c>
      <c r="P36" t="s">
        <v>0</v>
      </c>
      <c r="Q36" s="3">
        <v>65016.21</v>
      </c>
      <c r="R36" t="s">
        <v>9</v>
      </c>
      <c r="S36" t="s">
        <v>0</v>
      </c>
      <c r="T36" t="s">
        <v>0</v>
      </c>
    </row>
    <row r="37" spans="1:20" ht="14" hidden="1" customHeight="1" outlineLevel="3" x14ac:dyDescent="0.25">
      <c r="A37" t="s">
        <v>1</v>
      </c>
      <c r="B37" t="s">
        <v>52</v>
      </c>
      <c r="C37" t="s">
        <v>53</v>
      </c>
      <c r="D37" t="s">
        <v>111</v>
      </c>
      <c r="E37" t="s">
        <v>112</v>
      </c>
      <c r="F37" t="s">
        <v>61</v>
      </c>
      <c r="G37" s="2">
        <v>45728</v>
      </c>
      <c r="H37" s="2">
        <v>45728</v>
      </c>
      <c r="I37" t="s">
        <v>0</v>
      </c>
      <c r="J37" t="s">
        <v>113</v>
      </c>
      <c r="K37" s="3">
        <v>1340.4</v>
      </c>
      <c r="L37" t="s">
        <v>8</v>
      </c>
      <c r="P37" t="s">
        <v>0</v>
      </c>
      <c r="Q37" s="3">
        <v>27199.66</v>
      </c>
      <c r="R37" t="s">
        <v>9</v>
      </c>
      <c r="S37" t="s">
        <v>0</v>
      </c>
      <c r="T37" t="s">
        <v>0</v>
      </c>
    </row>
    <row r="38" spans="1:20" ht="14" hidden="1" customHeight="1" outlineLevel="3" x14ac:dyDescent="0.25">
      <c r="A38" t="s">
        <v>1</v>
      </c>
      <c r="B38" t="s">
        <v>52</v>
      </c>
      <c r="C38" t="s">
        <v>53</v>
      </c>
      <c r="D38" t="s">
        <v>114</v>
      </c>
      <c r="E38" t="s">
        <v>115</v>
      </c>
      <c r="F38" t="s">
        <v>61</v>
      </c>
      <c r="G38" s="2">
        <v>45728</v>
      </c>
      <c r="H38" s="2">
        <v>45728</v>
      </c>
      <c r="I38" t="s">
        <v>0</v>
      </c>
      <c r="J38" t="s">
        <v>116</v>
      </c>
      <c r="K38" s="3">
        <v>3204</v>
      </c>
      <c r="L38" t="s">
        <v>8</v>
      </c>
      <c r="P38" t="s">
        <v>0</v>
      </c>
      <c r="Q38" s="3">
        <v>65016.21</v>
      </c>
      <c r="R38" t="s">
        <v>9</v>
      </c>
      <c r="S38" t="s">
        <v>0</v>
      </c>
      <c r="T38" t="s">
        <v>0</v>
      </c>
    </row>
    <row r="39" spans="1:20" ht="14" hidden="1" customHeight="1" outlineLevel="3" x14ac:dyDescent="0.25">
      <c r="A39" t="s">
        <v>1</v>
      </c>
      <c r="B39" t="s">
        <v>52</v>
      </c>
      <c r="C39" t="s">
        <v>53</v>
      </c>
      <c r="D39" t="s">
        <v>117</v>
      </c>
      <c r="E39" t="s">
        <v>118</v>
      </c>
      <c r="F39" t="s">
        <v>61</v>
      </c>
      <c r="G39" s="2">
        <v>45728</v>
      </c>
      <c r="H39" s="2">
        <v>45728</v>
      </c>
      <c r="I39" t="s">
        <v>0</v>
      </c>
      <c r="J39" t="s">
        <v>119</v>
      </c>
      <c r="K39" s="3">
        <v>9446.25</v>
      </c>
      <c r="L39" t="s">
        <v>8</v>
      </c>
      <c r="P39" t="s">
        <v>0</v>
      </c>
      <c r="Q39" s="3">
        <v>191685.19</v>
      </c>
      <c r="R39" t="s">
        <v>9</v>
      </c>
      <c r="S39" t="s">
        <v>0</v>
      </c>
      <c r="T39" t="s">
        <v>0</v>
      </c>
    </row>
    <row r="40" spans="1:20" ht="14" hidden="1" customHeight="1" outlineLevel="3" x14ac:dyDescent="0.25">
      <c r="A40" t="s">
        <v>1</v>
      </c>
      <c r="B40" t="s">
        <v>52</v>
      </c>
      <c r="C40" t="s">
        <v>53</v>
      </c>
      <c r="D40" t="s">
        <v>120</v>
      </c>
      <c r="E40" t="s">
        <v>121</v>
      </c>
      <c r="F40" t="s">
        <v>61</v>
      </c>
      <c r="G40" s="2">
        <v>45728</v>
      </c>
      <c r="H40" s="2">
        <v>45728</v>
      </c>
      <c r="I40" t="s">
        <v>0</v>
      </c>
      <c r="J40" t="s">
        <v>122</v>
      </c>
      <c r="K40" s="3">
        <v>2938.5</v>
      </c>
      <c r="L40" t="s">
        <v>8</v>
      </c>
      <c r="P40" t="s">
        <v>0</v>
      </c>
      <c r="Q40" s="3">
        <v>59628.63</v>
      </c>
      <c r="R40" t="s">
        <v>9</v>
      </c>
      <c r="S40" t="s">
        <v>0</v>
      </c>
      <c r="T40" t="s">
        <v>0</v>
      </c>
    </row>
    <row r="41" spans="1:20" ht="14" hidden="1" customHeight="1" outlineLevel="3" x14ac:dyDescent="0.25">
      <c r="A41" t="s">
        <v>1</v>
      </c>
      <c r="B41" t="s">
        <v>52</v>
      </c>
      <c r="C41" t="s">
        <v>53</v>
      </c>
      <c r="D41" t="s">
        <v>123</v>
      </c>
      <c r="E41" t="s">
        <v>124</v>
      </c>
      <c r="F41" t="s">
        <v>61</v>
      </c>
      <c r="G41" s="2">
        <v>45728</v>
      </c>
      <c r="H41" s="2">
        <v>45728</v>
      </c>
      <c r="I41" t="s">
        <v>0</v>
      </c>
      <c r="J41" t="s">
        <v>125</v>
      </c>
      <c r="K41" s="3">
        <v>82606.8</v>
      </c>
      <c r="L41" t="s">
        <v>8</v>
      </c>
      <c r="P41" t="s">
        <v>0</v>
      </c>
      <c r="Q41" s="3">
        <v>1676273.71</v>
      </c>
      <c r="R41" t="s">
        <v>9</v>
      </c>
      <c r="S41" t="s">
        <v>0</v>
      </c>
      <c r="T41" t="s">
        <v>0</v>
      </c>
    </row>
    <row r="42" spans="1:20" ht="14" hidden="1" customHeight="1" outlineLevel="3" x14ac:dyDescent="0.25">
      <c r="A42" t="s">
        <v>1</v>
      </c>
      <c r="B42" t="s">
        <v>52</v>
      </c>
      <c r="C42" t="s">
        <v>53</v>
      </c>
      <c r="D42" t="s">
        <v>126</v>
      </c>
      <c r="E42" t="s">
        <v>127</v>
      </c>
      <c r="F42" t="s">
        <v>61</v>
      </c>
      <c r="G42" s="2">
        <v>45728</v>
      </c>
      <c r="H42" s="2">
        <v>45728</v>
      </c>
      <c r="I42" t="s">
        <v>0</v>
      </c>
      <c r="J42" t="s">
        <v>128</v>
      </c>
      <c r="K42" s="3">
        <v>8618.4</v>
      </c>
      <c r="L42" t="s">
        <v>8</v>
      </c>
      <c r="P42" t="s">
        <v>0</v>
      </c>
      <c r="Q42" s="3">
        <v>174886.3</v>
      </c>
      <c r="R42" t="s">
        <v>9</v>
      </c>
      <c r="S42" t="s">
        <v>0</v>
      </c>
      <c r="T42" t="s">
        <v>0</v>
      </c>
    </row>
    <row r="43" spans="1:20" ht="14" hidden="1" customHeight="1" outlineLevel="3" x14ac:dyDescent="0.25">
      <c r="A43" t="s">
        <v>1</v>
      </c>
      <c r="B43" t="s">
        <v>52</v>
      </c>
      <c r="C43" t="s">
        <v>53</v>
      </c>
      <c r="D43" t="s">
        <v>129</v>
      </c>
      <c r="E43" t="s">
        <v>130</v>
      </c>
      <c r="F43" t="s">
        <v>61</v>
      </c>
      <c r="G43" s="2">
        <v>45728</v>
      </c>
      <c r="H43" s="2">
        <v>45728</v>
      </c>
      <c r="I43" t="s">
        <v>0</v>
      </c>
      <c r="J43" t="s">
        <v>131</v>
      </c>
      <c r="K43" s="3">
        <v>14176.5</v>
      </c>
      <c r="L43" t="s">
        <v>8</v>
      </c>
      <c r="P43" t="s">
        <v>0</v>
      </c>
      <c r="Q43" s="3">
        <v>287672.37</v>
      </c>
      <c r="R43" t="s">
        <v>9</v>
      </c>
      <c r="S43" t="s">
        <v>0</v>
      </c>
      <c r="T43" t="s">
        <v>0</v>
      </c>
    </row>
    <row r="44" spans="1:20" ht="14" hidden="1" customHeight="1" outlineLevel="3" x14ac:dyDescent="0.25">
      <c r="A44" t="s">
        <v>1</v>
      </c>
      <c r="B44" t="s">
        <v>52</v>
      </c>
      <c r="C44" t="s">
        <v>53</v>
      </c>
      <c r="D44" t="s">
        <v>132</v>
      </c>
      <c r="E44" t="s">
        <v>133</v>
      </c>
      <c r="F44" t="s">
        <v>61</v>
      </c>
      <c r="G44" s="2">
        <v>45728</v>
      </c>
      <c r="H44" s="2">
        <v>45728</v>
      </c>
      <c r="I44" t="s">
        <v>0</v>
      </c>
      <c r="J44" t="s">
        <v>134</v>
      </c>
      <c r="K44" s="3">
        <v>2670</v>
      </c>
      <c r="L44" t="s">
        <v>8</v>
      </c>
      <c r="P44" t="s">
        <v>0</v>
      </c>
      <c r="Q44" s="3">
        <v>54180.17</v>
      </c>
      <c r="R44" t="s">
        <v>9</v>
      </c>
      <c r="S44" t="s">
        <v>0</v>
      </c>
      <c r="T44" t="s">
        <v>0</v>
      </c>
    </row>
    <row r="45" spans="1:20" ht="14" hidden="1" customHeight="1" outlineLevel="3" x14ac:dyDescent="0.25">
      <c r="A45" t="s">
        <v>1</v>
      </c>
      <c r="B45" t="s">
        <v>52</v>
      </c>
      <c r="C45" t="s">
        <v>53</v>
      </c>
      <c r="D45" t="s">
        <v>135</v>
      </c>
      <c r="E45" t="s">
        <v>136</v>
      </c>
      <c r="F45" t="s">
        <v>61</v>
      </c>
      <c r="G45" s="2">
        <v>45728</v>
      </c>
      <c r="H45" s="2">
        <v>45728</v>
      </c>
      <c r="I45" t="s">
        <v>0</v>
      </c>
      <c r="J45" t="s">
        <v>137</v>
      </c>
      <c r="K45" s="3">
        <v>8925.4500000000007</v>
      </c>
      <c r="L45" t="s">
        <v>8</v>
      </c>
      <c r="P45" t="s">
        <v>0</v>
      </c>
      <c r="Q45" s="3">
        <v>181117.02</v>
      </c>
      <c r="R45" t="s">
        <v>9</v>
      </c>
      <c r="S45" t="s">
        <v>0</v>
      </c>
      <c r="T45" t="s">
        <v>0</v>
      </c>
    </row>
    <row r="46" spans="1:20" ht="14" hidden="1" customHeight="1" outlineLevel="3" x14ac:dyDescent="0.25">
      <c r="A46" t="s">
        <v>1</v>
      </c>
      <c r="B46" t="s">
        <v>52</v>
      </c>
      <c r="C46" t="s">
        <v>53</v>
      </c>
      <c r="D46" t="s">
        <v>138</v>
      </c>
      <c r="E46" t="s">
        <v>139</v>
      </c>
      <c r="F46" t="s">
        <v>61</v>
      </c>
      <c r="G46" s="2">
        <v>45728</v>
      </c>
      <c r="H46" s="2">
        <v>45728</v>
      </c>
      <c r="I46" t="s">
        <v>0</v>
      </c>
      <c r="J46" t="s">
        <v>140</v>
      </c>
      <c r="K46" s="3">
        <v>2938.5</v>
      </c>
      <c r="L46" t="s">
        <v>8</v>
      </c>
      <c r="P46" t="s">
        <v>0</v>
      </c>
      <c r="Q46" s="3">
        <v>59628.63</v>
      </c>
      <c r="R46" t="s">
        <v>9</v>
      </c>
      <c r="S46" t="s">
        <v>0</v>
      </c>
      <c r="T46" t="s">
        <v>0</v>
      </c>
    </row>
    <row r="47" spans="1:20" ht="14" hidden="1" customHeight="1" outlineLevel="3" x14ac:dyDescent="0.25">
      <c r="A47" t="s">
        <v>1</v>
      </c>
      <c r="B47" t="s">
        <v>52</v>
      </c>
      <c r="C47" t="s">
        <v>53</v>
      </c>
      <c r="D47" t="s">
        <v>141</v>
      </c>
      <c r="E47" t="s">
        <v>142</v>
      </c>
      <c r="F47" t="s">
        <v>61</v>
      </c>
      <c r="G47" s="2">
        <v>45728</v>
      </c>
      <c r="H47" s="2">
        <v>45728</v>
      </c>
      <c r="I47" t="s">
        <v>0</v>
      </c>
      <c r="J47" t="s">
        <v>143</v>
      </c>
      <c r="K47" s="3">
        <v>8335.5</v>
      </c>
      <c r="L47" t="s">
        <v>8</v>
      </c>
      <c r="P47" t="s">
        <v>0</v>
      </c>
      <c r="Q47" s="3">
        <v>169145.63</v>
      </c>
      <c r="R47" t="s">
        <v>9</v>
      </c>
      <c r="S47" t="s">
        <v>0</v>
      </c>
      <c r="T47" t="s">
        <v>0</v>
      </c>
    </row>
    <row r="48" spans="1:20" ht="14" hidden="1" customHeight="1" outlineLevel="3" x14ac:dyDescent="0.25">
      <c r="A48" t="s">
        <v>1</v>
      </c>
      <c r="B48" t="s">
        <v>52</v>
      </c>
      <c r="C48" t="s">
        <v>53</v>
      </c>
      <c r="D48" t="s">
        <v>144</v>
      </c>
      <c r="E48" t="s">
        <v>145</v>
      </c>
      <c r="F48" t="s">
        <v>61</v>
      </c>
      <c r="G48" s="2">
        <v>45728</v>
      </c>
      <c r="H48" s="2">
        <v>45728</v>
      </c>
      <c r="I48" t="s">
        <v>0</v>
      </c>
      <c r="J48" t="s">
        <v>146</v>
      </c>
      <c r="K48" s="3">
        <v>2938.5</v>
      </c>
      <c r="L48" t="s">
        <v>8</v>
      </c>
      <c r="P48" t="s">
        <v>0</v>
      </c>
      <c r="Q48" s="3">
        <v>59628.63</v>
      </c>
      <c r="R48" t="s">
        <v>9</v>
      </c>
      <c r="S48" t="s">
        <v>0</v>
      </c>
      <c r="T48" t="s">
        <v>0</v>
      </c>
    </row>
    <row r="49" spans="1:20" ht="14" hidden="1" customHeight="1" outlineLevel="3" x14ac:dyDescent="0.25">
      <c r="A49" t="s">
        <v>1</v>
      </c>
      <c r="B49" t="s">
        <v>52</v>
      </c>
      <c r="C49" t="s">
        <v>53</v>
      </c>
      <c r="D49" t="s">
        <v>147</v>
      </c>
      <c r="E49" t="s">
        <v>148</v>
      </c>
      <c r="F49" t="s">
        <v>61</v>
      </c>
      <c r="G49" s="2">
        <v>45728</v>
      </c>
      <c r="H49" s="2">
        <v>45728</v>
      </c>
      <c r="I49" t="s">
        <v>0</v>
      </c>
      <c r="J49" t="s">
        <v>149</v>
      </c>
      <c r="K49" s="3">
        <v>6829.85</v>
      </c>
      <c r="L49" t="s">
        <v>8</v>
      </c>
      <c r="P49" t="s">
        <v>0</v>
      </c>
      <c r="Q49" s="3">
        <v>138592.68</v>
      </c>
      <c r="R49" t="s">
        <v>9</v>
      </c>
      <c r="S49" t="s">
        <v>0</v>
      </c>
      <c r="T49" t="s">
        <v>0</v>
      </c>
    </row>
    <row r="50" spans="1:20" ht="14" hidden="1" customHeight="1" outlineLevel="3" x14ac:dyDescent="0.25">
      <c r="A50" t="s">
        <v>1</v>
      </c>
      <c r="B50" t="s">
        <v>52</v>
      </c>
      <c r="C50" t="s">
        <v>53</v>
      </c>
      <c r="D50" t="s">
        <v>150</v>
      </c>
      <c r="E50" t="s">
        <v>151</v>
      </c>
      <c r="F50" t="s">
        <v>61</v>
      </c>
      <c r="G50" s="2">
        <v>45728</v>
      </c>
      <c r="H50" s="2">
        <v>45728</v>
      </c>
      <c r="I50" t="s">
        <v>0</v>
      </c>
      <c r="J50" t="s">
        <v>152</v>
      </c>
      <c r="K50" s="3">
        <v>2396</v>
      </c>
      <c r="L50" t="s">
        <v>8</v>
      </c>
      <c r="P50" t="s">
        <v>0</v>
      </c>
      <c r="Q50" s="3">
        <v>48620.11</v>
      </c>
      <c r="R50" t="s">
        <v>9</v>
      </c>
      <c r="S50" t="s">
        <v>0</v>
      </c>
      <c r="T50" t="s">
        <v>0</v>
      </c>
    </row>
    <row r="51" spans="1:20" ht="14" hidden="1" customHeight="1" outlineLevel="3" x14ac:dyDescent="0.25">
      <c r="A51" t="s">
        <v>1</v>
      </c>
      <c r="B51" t="s">
        <v>52</v>
      </c>
      <c r="C51" t="s">
        <v>53</v>
      </c>
      <c r="D51" t="s">
        <v>153</v>
      </c>
      <c r="E51" t="s">
        <v>154</v>
      </c>
      <c r="F51" t="s">
        <v>61</v>
      </c>
      <c r="G51" s="2">
        <v>45728</v>
      </c>
      <c r="H51" s="2">
        <v>45728</v>
      </c>
      <c r="I51" t="s">
        <v>0</v>
      </c>
      <c r="J51" t="s">
        <v>155</v>
      </c>
      <c r="K51" s="3">
        <v>8335.5</v>
      </c>
      <c r="L51" t="s">
        <v>8</v>
      </c>
      <c r="P51" t="s">
        <v>0</v>
      </c>
      <c r="Q51" s="3">
        <v>169145.63</v>
      </c>
      <c r="R51" t="s">
        <v>9</v>
      </c>
      <c r="S51" t="s">
        <v>0</v>
      </c>
      <c r="T51" t="s">
        <v>0</v>
      </c>
    </row>
    <row r="52" spans="1:20" ht="14" hidden="1" customHeight="1" outlineLevel="3" x14ac:dyDescent="0.25">
      <c r="A52" t="s">
        <v>1</v>
      </c>
      <c r="B52" t="s">
        <v>52</v>
      </c>
      <c r="C52" t="s">
        <v>53</v>
      </c>
      <c r="D52" t="s">
        <v>156</v>
      </c>
      <c r="E52" t="s">
        <v>157</v>
      </c>
      <c r="F52" t="s">
        <v>61</v>
      </c>
      <c r="G52" s="2">
        <v>45728</v>
      </c>
      <c r="H52" s="2">
        <v>45728</v>
      </c>
      <c r="I52" t="s">
        <v>0</v>
      </c>
      <c r="J52" t="s">
        <v>158</v>
      </c>
      <c r="K52" s="3">
        <v>2938.5</v>
      </c>
      <c r="L52" t="s">
        <v>8</v>
      </c>
      <c r="P52" t="s">
        <v>0</v>
      </c>
      <c r="Q52" s="3">
        <v>59628.63</v>
      </c>
      <c r="R52" t="s">
        <v>9</v>
      </c>
      <c r="S52" t="s">
        <v>0</v>
      </c>
      <c r="T52" t="s">
        <v>0</v>
      </c>
    </row>
    <row r="53" spans="1:20" ht="14" hidden="1" customHeight="1" outlineLevel="3" x14ac:dyDescent="0.25">
      <c r="A53" t="s">
        <v>1</v>
      </c>
      <c r="B53" t="s">
        <v>52</v>
      </c>
      <c r="C53" t="s">
        <v>53</v>
      </c>
      <c r="D53" t="s">
        <v>159</v>
      </c>
      <c r="E53" t="s">
        <v>160</v>
      </c>
      <c r="F53" t="s">
        <v>61</v>
      </c>
      <c r="G53" s="2">
        <v>45728</v>
      </c>
      <c r="H53" s="2">
        <v>45728</v>
      </c>
      <c r="I53" t="s">
        <v>0</v>
      </c>
      <c r="J53" t="s">
        <v>161</v>
      </c>
      <c r="K53" s="3">
        <v>7078.95</v>
      </c>
      <c r="L53" t="s">
        <v>8</v>
      </c>
      <c r="P53" t="s">
        <v>0</v>
      </c>
      <c r="Q53" s="3">
        <v>143647.47</v>
      </c>
      <c r="R53" t="s">
        <v>9</v>
      </c>
      <c r="S53" t="s">
        <v>0</v>
      </c>
      <c r="T53" t="s">
        <v>0</v>
      </c>
    </row>
    <row r="54" spans="1:20" ht="14" hidden="1" customHeight="1" outlineLevel="3" x14ac:dyDescent="0.25">
      <c r="A54" t="s">
        <v>1</v>
      </c>
      <c r="B54" t="s">
        <v>52</v>
      </c>
      <c r="C54" t="s">
        <v>53</v>
      </c>
      <c r="D54" t="s">
        <v>162</v>
      </c>
      <c r="E54" t="s">
        <v>163</v>
      </c>
      <c r="F54" t="s">
        <v>61</v>
      </c>
      <c r="G54" s="2">
        <v>45728</v>
      </c>
      <c r="H54" s="2">
        <v>45728</v>
      </c>
      <c r="I54" t="s">
        <v>0</v>
      </c>
      <c r="J54" t="s">
        <v>164</v>
      </c>
      <c r="K54" s="3">
        <v>2634</v>
      </c>
      <c r="L54" t="s">
        <v>8</v>
      </c>
      <c r="P54" t="s">
        <v>0</v>
      </c>
      <c r="Q54" s="3">
        <v>53449.65</v>
      </c>
      <c r="R54" t="s">
        <v>9</v>
      </c>
      <c r="S54" t="s">
        <v>0</v>
      </c>
      <c r="T54" t="s">
        <v>0</v>
      </c>
    </row>
    <row r="55" spans="1:20" ht="14" hidden="1" customHeight="1" outlineLevel="3" x14ac:dyDescent="0.25">
      <c r="A55" t="s">
        <v>1</v>
      </c>
      <c r="B55" t="s">
        <v>52</v>
      </c>
      <c r="C55" t="s">
        <v>53</v>
      </c>
      <c r="D55" t="s">
        <v>165</v>
      </c>
      <c r="E55" t="s">
        <v>166</v>
      </c>
      <c r="F55" t="s">
        <v>61</v>
      </c>
      <c r="G55" s="2">
        <v>45728</v>
      </c>
      <c r="H55" s="2">
        <v>45728</v>
      </c>
      <c r="I55" t="s">
        <v>0</v>
      </c>
      <c r="J55" t="s">
        <v>167</v>
      </c>
      <c r="K55" s="3">
        <v>7514.1</v>
      </c>
      <c r="L55" t="s">
        <v>8</v>
      </c>
      <c r="P55" t="s">
        <v>0</v>
      </c>
      <c r="Q55" s="3">
        <v>152477.62</v>
      </c>
      <c r="R55" t="s">
        <v>9</v>
      </c>
      <c r="S55" t="s">
        <v>0</v>
      </c>
      <c r="T55" t="s">
        <v>0</v>
      </c>
    </row>
    <row r="56" spans="1:20" ht="14" hidden="1" customHeight="1" outlineLevel="3" x14ac:dyDescent="0.25">
      <c r="A56" t="s">
        <v>1</v>
      </c>
      <c r="B56" t="s">
        <v>52</v>
      </c>
      <c r="C56" t="s">
        <v>53</v>
      </c>
      <c r="D56" t="s">
        <v>168</v>
      </c>
      <c r="E56" t="s">
        <v>169</v>
      </c>
      <c r="F56" t="s">
        <v>61</v>
      </c>
      <c r="G56" s="2">
        <v>45728</v>
      </c>
      <c r="H56" s="2">
        <v>45728</v>
      </c>
      <c r="I56" t="s">
        <v>0</v>
      </c>
      <c r="J56" t="s">
        <v>170</v>
      </c>
      <c r="K56" s="3">
        <v>2634</v>
      </c>
      <c r="L56" t="s">
        <v>8</v>
      </c>
      <c r="P56" t="s">
        <v>0</v>
      </c>
      <c r="Q56" s="3">
        <v>53449.65</v>
      </c>
      <c r="R56" t="s">
        <v>9</v>
      </c>
      <c r="S56" t="s">
        <v>0</v>
      </c>
      <c r="T56" t="s">
        <v>0</v>
      </c>
    </row>
    <row r="57" spans="1:20" ht="14" hidden="1" customHeight="1" outlineLevel="3" x14ac:dyDescent="0.25">
      <c r="A57" t="s">
        <v>1</v>
      </c>
      <c r="B57" t="s">
        <v>52</v>
      </c>
      <c r="C57" t="s">
        <v>53</v>
      </c>
      <c r="D57" t="s">
        <v>171</v>
      </c>
      <c r="E57" t="s">
        <v>172</v>
      </c>
      <c r="F57" t="s">
        <v>61</v>
      </c>
      <c r="G57" s="2">
        <v>45728</v>
      </c>
      <c r="H57" s="2">
        <v>45728</v>
      </c>
      <c r="I57" t="s">
        <v>0</v>
      </c>
      <c r="J57" t="s">
        <v>173</v>
      </c>
      <c r="K57" s="3">
        <v>2037</v>
      </c>
      <c r="L57" t="s">
        <v>8</v>
      </c>
      <c r="P57" t="s">
        <v>0</v>
      </c>
      <c r="Q57" s="3">
        <v>41335.21</v>
      </c>
      <c r="R57" t="s">
        <v>9</v>
      </c>
      <c r="S57" t="s">
        <v>0</v>
      </c>
      <c r="T57" t="s">
        <v>0</v>
      </c>
    </row>
    <row r="58" spans="1:20" ht="14" hidden="1" customHeight="1" outlineLevel="3" x14ac:dyDescent="0.25">
      <c r="A58" t="s">
        <v>1</v>
      </c>
      <c r="B58" t="s">
        <v>52</v>
      </c>
      <c r="C58" t="s">
        <v>53</v>
      </c>
      <c r="D58" t="s">
        <v>174</v>
      </c>
      <c r="E58" t="s">
        <v>175</v>
      </c>
      <c r="F58" t="s">
        <v>61</v>
      </c>
      <c r="G58" s="2">
        <v>45728</v>
      </c>
      <c r="H58" s="2">
        <v>45728</v>
      </c>
      <c r="I58" t="s">
        <v>0</v>
      </c>
      <c r="J58" t="s">
        <v>176</v>
      </c>
      <c r="K58" s="3">
        <v>6880.75</v>
      </c>
      <c r="L58" t="s">
        <v>8</v>
      </c>
      <c r="P58" t="s">
        <v>0</v>
      </c>
      <c r="Q58" s="3">
        <v>139625.56</v>
      </c>
      <c r="R58" t="s">
        <v>9</v>
      </c>
      <c r="S58" t="s">
        <v>0</v>
      </c>
      <c r="T58" t="s">
        <v>0</v>
      </c>
    </row>
    <row r="59" spans="1:20" ht="14" hidden="1" customHeight="1" outlineLevel="3" x14ac:dyDescent="0.25">
      <c r="A59" t="s">
        <v>1</v>
      </c>
      <c r="B59" t="s">
        <v>52</v>
      </c>
      <c r="C59" t="s">
        <v>53</v>
      </c>
      <c r="D59" t="s">
        <v>177</v>
      </c>
      <c r="E59" t="s">
        <v>178</v>
      </c>
      <c r="F59" t="s">
        <v>61</v>
      </c>
      <c r="G59" s="2">
        <v>45728</v>
      </c>
      <c r="H59" s="2">
        <v>45728</v>
      </c>
      <c r="I59" t="s">
        <v>0</v>
      </c>
      <c r="J59" t="s">
        <v>179</v>
      </c>
      <c r="K59" s="3">
        <v>2634</v>
      </c>
      <c r="L59" t="s">
        <v>8</v>
      </c>
      <c r="P59" t="s">
        <v>0</v>
      </c>
      <c r="Q59" s="3">
        <v>53449.65</v>
      </c>
      <c r="R59" t="s">
        <v>9</v>
      </c>
      <c r="S59" t="s">
        <v>0</v>
      </c>
      <c r="T59" t="s">
        <v>0</v>
      </c>
    </row>
    <row r="60" spans="1:20" ht="14" hidden="1" customHeight="1" outlineLevel="3" x14ac:dyDescent="0.25">
      <c r="A60" t="s">
        <v>1</v>
      </c>
      <c r="B60" t="s">
        <v>52</v>
      </c>
      <c r="C60" t="s">
        <v>53</v>
      </c>
      <c r="D60" t="s">
        <v>180</v>
      </c>
      <c r="E60" t="s">
        <v>181</v>
      </c>
      <c r="F60" t="s">
        <v>61</v>
      </c>
      <c r="G60" s="2">
        <v>45728</v>
      </c>
      <c r="H60" s="2">
        <v>45728</v>
      </c>
      <c r="I60" t="s">
        <v>0</v>
      </c>
      <c r="J60" t="s">
        <v>182</v>
      </c>
      <c r="K60" s="3">
        <v>7258.25</v>
      </c>
      <c r="L60" t="s">
        <v>8</v>
      </c>
      <c r="P60" t="s">
        <v>0</v>
      </c>
      <c r="Q60" s="3">
        <v>147285.85999999999</v>
      </c>
      <c r="R60" t="s">
        <v>9</v>
      </c>
      <c r="S60" t="s">
        <v>0</v>
      </c>
      <c r="T60" t="s">
        <v>0</v>
      </c>
    </row>
    <row r="61" spans="1:20" ht="14" hidden="1" customHeight="1" outlineLevel="3" x14ac:dyDescent="0.25">
      <c r="A61" t="s">
        <v>1</v>
      </c>
      <c r="B61" t="s">
        <v>52</v>
      </c>
      <c r="C61" t="s">
        <v>53</v>
      </c>
      <c r="D61" t="s">
        <v>183</v>
      </c>
      <c r="E61" t="s">
        <v>184</v>
      </c>
      <c r="F61" t="s">
        <v>61</v>
      </c>
      <c r="G61" s="2">
        <v>45728</v>
      </c>
      <c r="H61" s="2">
        <v>45728</v>
      </c>
      <c r="I61" t="s">
        <v>0</v>
      </c>
      <c r="J61" t="s">
        <v>185</v>
      </c>
      <c r="K61" s="3">
        <v>2938.5</v>
      </c>
      <c r="L61" t="s">
        <v>8</v>
      </c>
      <c r="P61" t="s">
        <v>0</v>
      </c>
      <c r="Q61" s="3">
        <v>59628.63</v>
      </c>
      <c r="R61" t="s">
        <v>9</v>
      </c>
      <c r="S61" t="s">
        <v>0</v>
      </c>
      <c r="T61" t="s">
        <v>0</v>
      </c>
    </row>
    <row r="62" spans="1:20" ht="14" hidden="1" customHeight="1" outlineLevel="3" x14ac:dyDescent="0.25">
      <c r="A62" t="s">
        <v>1</v>
      </c>
      <c r="B62" t="s">
        <v>52</v>
      </c>
      <c r="C62" t="s">
        <v>53</v>
      </c>
      <c r="D62" t="s">
        <v>186</v>
      </c>
      <c r="E62" t="s">
        <v>187</v>
      </c>
      <c r="F62" t="s">
        <v>61</v>
      </c>
      <c r="G62" s="2">
        <v>45728</v>
      </c>
      <c r="H62" s="2">
        <v>45728</v>
      </c>
      <c r="I62" t="s">
        <v>0</v>
      </c>
      <c r="J62" t="s">
        <v>188</v>
      </c>
      <c r="K62" s="3">
        <v>6267.45</v>
      </c>
      <c r="L62" t="s">
        <v>8</v>
      </c>
      <c r="P62" t="s">
        <v>0</v>
      </c>
      <c r="Q62" s="3">
        <v>127180.35</v>
      </c>
      <c r="R62" t="s">
        <v>9</v>
      </c>
      <c r="S62" t="s">
        <v>0</v>
      </c>
      <c r="T62" t="s">
        <v>0</v>
      </c>
    </row>
    <row r="63" spans="1:20" ht="14" hidden="1" customHeight="1" outlineLevel="3" x14ac:dyDescent="0.25">
      <c r="A63" t="s">
        <v>1</v>
      </c>
      <c r="B63" t="s">
        <v>52</v>
      </c>
      <c r="C63" t="s">
        <v>53</v>
      </c>
      <c r="D63" t="s">
        <v>189</v>
      </c>
      <c r="E63" t="s">
        <v>190</v>
      </c>
      <c r="F63" t="s">
        <v>61</v>
      </c>
      <c r="G63" s="2">
        <v>45728</v>
      </c>
      <c r="H63" s="2">
        <v>45728</v>
      </c>
      <c r="I63" t="s">
        <v>0</v>
      </c>
      <c r="J63" t="s">
        <v>191</v>
      </c>
      <c r="K63" s="3">
        <v>2634</v>
      </c>
      <c r="L63" t="s">
        <v>8</v>
      </c>
      <c r="P63" t="s">
        <v>0</v>
      </c>
      <c r="Q63" s="3">
        <v>53449.65</v>
      </c>
      <c r="R63" t="s">
        <v>9</v>
      </c>
      <c r="S63" t="s">
        <v>0</v>
      </c>
      <c r="T63" t="s">
        <v>0</v>
      </c>
    </row>
    <row r="64" spans="1:20" ht="14" hidden="1" customHeight="1" outlineLevel="3" x14ac:dyDescent="0.25">
      <c r="A64" t="s">
        <v>1</v>
      </c>
      <c r="B64" t="s">
        <v>52</v>
      </c>
      <c r="C64" t="s">
        <v>53</v>
      </c>
      <c r="D64" t="s">
        <v>192</v>
      </c>
      <c r="E64" t="s">
        <v>193</v>
      </c>
      <c r="F64" t="s">
        <v>61</v>
      </c>
      <c r="G64" s="2">
        <v>45728</v>
      </c>
      <c r="H64" s="2">
        <v>45728</v>
      </c>
      <c r="I64" t="s">
        <v>0</v>
      </c>
      <c r="J64" t="s">
        <v>194</v>
      </c>
      <c r="K64" s="3">
        <v>178.5</v>
      </c>
      <c r="L64" t="s">
        <v>8</v>
      </c>
      <c r="P64" t="s">
        <v>0</v>
      </c>
      <c r="Q64" s="3">
        <v>3622.16</v>
      </c>
      <c r="R64" t="s">
        <v>9</v>
      </c>
      <c r="S64" t="s">
        <v>0</v>
      </c>
      <c r="T64" t="s">
        <v>0</v>
      </c>
    </row>
    <row r="65" spans="1:20" ht="14" hidden="1" customHeight="1" outlineLevel="3" x14ac:dyDescent="0.25">
      <c r="A65" t="s">
        <v>1</v>
      </c>
      <c r="B65" t="s">
        <v>52</v>
      </c>
      <c r="C65" t="s">
        <v>53</v>
      </c>
      <c r="D65" t="s">
        <v>195</v>
      </c>
      <c r="E65" t="s">
        <v>196</v>
      </c>
      <c r="F65" t="s">
        <v>61</v>
      </c>
      <c r="G65" s="2">
        <v>45728</v>
      </c>
      <c r="H65" s="2">
        <v>45728</v>
      </c>
      <c r="I65" t="s">
        <v>0</v>
      </c>
      <c r="J65" t="s">
        <v>197</v>
      </c>
      <c r="K65" s="3">
        <v>1445.1</v>
      </c>
      <c r="L65" t="s">
        <v>8</v>
      </c>
      <c r="P65" t="s">
        <v>0</v>
      </c>
      <c r="Q65" s="3">
        <v>29324.26</v>
      </c>
      <c r="R65" t="s">
        <v>9</v>
      </c>
      <c r="S65" t="s">
        <v>0</v>
      </c>
      <c r="T65" t="s">
        <v>0</v>
      </c>
    </row>
    <row r="66" spans="1:20" ht="14" hidden="1" customHeight="1" outlineLevel="3" x14ac:dyDescent="0.25">
      <c r="A66" t="s">
        <v>1</v>
      </c>
      <c r="B66" t="s">
        <v>52</v>
      </c>
      <c r="C66" t="s">
        <v>53</v>
      </c>
      <c r="D66" t="s">
        <v>198</v>
      </c>
      <c r="E66" t="s">
        <v>199</v>
      </c>
      <c r="F66" t="s">
        <v>61</v>
      </c>
      <c r="G66" s="2">
        <v>45751</v>
      </c>
      <c r="H66" s="2">
        <v>45751</v>
      </c>
      <c r="I66" t="s">
        <v>0</v>
      </c>
      <c r="J66" t="s">
        <v>200</v>
      </c>
      <c r="K66" s="3">
        <v>216.9</v>
      </c>
      <c r="L66" t="s">
        <v>8</v>
      </c>
      <c r="P66" t="s">
        <v>0</v>
      </c>
      <c r="Q66" s="3">
        <v>4437.08</v>
      </c>
      <c r="R66" t="s">
        <v>9</v>
      </c>
      <c r="S66" t="s">
        <v>0</v>
      </c>
      <c r="T66" t="s">
        <v>0</v>
      </c>
    </row>
    <row r="67" spans="1:20" ht="14" hidden="1" customHeight="1" outlineLevel="3" x14ac:dyDescent="0.25">
      <c r="A67" t="s">
        <v>1</v>
      </c>
      <c r="B67" t="s">
        <v>52</v>
      </c>
      <c r="C67" t="s">
        <v>53</v>
      </c>
      <c r="D67" t="s">
        <v>201</v>
      </c>
      <c r="E67" t="s">
        <v>202</v>
      </c>
      <c r="F67" t="s">
        <v>61</v>
      </c>
      <c r="G67" s="2">
        <v>45751</v>
      </c>
      <c r="H67" s="2">
        <v>45751</v>
      </c>
      <c r="I67" t="s">
        <v>0</v>
      </c>
      <c r="J67" t="s">
        <v>203</v>
      </c>
      <c r="K67" s="3">
        <v>751.2</v>
      </c>
      <c r="L67" t="s">
        <v>8</v>
      </c>
      <c r="P67" t="s">
        <v>0</v>
      </c>
      <c r="Q67" s="3">
        <v>15367.15</v>
      </c>
      <c r="R67" t="s">
        <v>9</v>
      </c>
      <c r="S67" t="s">
        <v>0</v>
      </c>
      <c r="T67" t="s">
        <v>0</v>
      </c>
    </row>
    <row r="68" spans="1:20" ht="14" hidden="1" customHeight="1" outlineLevel="3" x14ac:dyDescent="0.25">
      <c r="A68" t="s">
        <v>1</v>
      </c>
      <c r="B68" t="s">
        <v>52</v>
      </c>
      <c r="C68" t="s">
        <v>53</v>
      </c>
      <c r="D68" t="s">
        <v>204</v>
      </c>
      <c r="E68" t="s">
        <v>205</v>
      </c>
      <c r="F68" t="s">
        <v>61</v>
      </c>
      <c r="G68" s="2">
        <v>45751</v>
      </c>
      <c r="H68" s="2">
        <v>45751</v>
      </c>
      <c r="I68" t="s">
        <v>0</v>
      </c>
      <c r="J68" t="s">
        <v>206</v>
      </c>
      <c r="K68" s="3">
        <v>190.5</v>
      </c>
      <c r="L68" t="s">
        <v>8</v>
      </c>
      <c r="P68" t="s">
        <v>0</v>
      </c>
      <c r="Q68" s="3">
        <v>3897.02</v>
      </c>
      <c r="R68" t="s">
        <v>9</v>
      </c>
      <c r="S68" t="s">
        <v>0</v>
      </c>
      <c r="T68" t="s">
        <v>0</v>
      </c>
    </row>
    <row r="69" spans="1:20" ht="14" hidden="1" customHeight="1" outlineLevel="3" x14ac:dyDescent="0.25">
      <c r="A69" t="s">
        <v>1</v>
      </c>
      <c r="B69" t="s">
        <v>52</v>
      </c>
      <c r="C69" t="s">
        <v>53</v>
      </c>
      <c r="D69" t="s">
        <v>207</v>
      </c>
      <c r="E69" t="s">
        <v>208</v>
      </c>
      <c r="F69" t="s">
        <v>61</v>
      </c>
      <c r="G69" s="2">
        <v>45751</v>
      </c>
      <c r="H69" s="2">
        <v>45751</v>
      </c>
      <c r="I69" t="s">
        <v>0</v>
      </c>
      <c r="J69" t="s">
        <v>209</v>
      </c>
      <c r="K69" s="3">
        <v>2164.1999999999998</v>
      </c>
      <c r="L69" t="s">
        <v>8</v>
      </c>
      <c r="P69" t="s">
        <v>0</v>
      </c>
      <c r="Q69" s="3">
        <v>44272.61</v>
      </c>
      <c r="R69" t="s">
        <v>9</v>
      </c>
      <c r="S69" t="s">
        <v>0</v>
      </c>
      <c r="T69" t="s">
        <v>0</v>
      </c>
    </row>
    <row r="70" spans="1:20" ht="14" hidden="1" customHeight="1" outlineLevel="3" x14ac:dyDescent="0.25">
      <c r="A70" t="s">
        <v>1</v>
      </c>
      <c r="B70" t="s">
        <v>52</v>
      </c>
      <c r="C70" t="s">
        <v>53</v>
      </c>
      <c r="D70" t="s">
        <v>210</v>
      </c>
      <c r="E70" t="s">
        <v>211</v>
      </c>
      <c r="F70" t="s">
        <v>61</v>
      </c>
      <c r="G70" s="2">
        <v>45756</v>
      </c>
      <c r="H70" s="2">
        <v>45756</v>
      </c>
      <c r="I70" t="s">
        <v>0</v>
      </c>
      <c r="J70" t="s">
        <v>212</v>
      </c>
      <c r="K70" s="3">
        <v>8618.4</v>
      </c>
      <c r="L70" t="s">
        <v>8</v>
      </c>
      <c r="P70" t="s">
        <v>0</v>
      </c>
      <c r="Q70" s="3">
        <v>178355.20000000001</v>
      </c>
      <c r="R70" t="s">
        <v>9</v>
      </c>
      <c r="S70" t="s">
        <v>0</v>
      </c>
      <c r="T70" t="s">
        <v>0</v>
      </c>
    </row>
    <row r="71" spans="1:20" ht="14" hidden="1" customHeight="1" outlineLevel="3" x14ac:dyDescent="0.25">
      <c r="A71" t="s">
        <v>1</v>
      </c>
      <c r="B71" t="s">
        <v>52</v>
      </c>
      <c r="C71" t="s">
        <v>53</v>
      </c>
      <c r="D71" t="s">
        <v>213</v>
      </c>
      <c r="E71" t="s">
        <v>214</v>
      </c>
      <c r="F71" t="s">
        <v>61</v>
      </c>
      <c r="G71" s="2">
        <v>45783</v>
      </c>
      <c r="H71" s="2">
        <v>45783</v>
      </c>
      <c r="I71" t="s">
        <v>0</v>
      </c>
      <c r="J71" t="s">
        <v>215</v>
      </c>
      <c r="K71" s="3">
        <v>264</v>
      </c>
      <c r="L71" t="s">
        <v>8</v>
      </c>
      <c r="P71" t="s">
        <v>0</v>
      </c>
      <c r="Q71" s="3">
        <v>5189.45</v>
      </c>
      <c r="R71" t="s">
        <v>9</v>
      </c>
      <c r="S71" t="s">
        <v>0</v>
      </c>
      <c r="T71" t="s">
        <v>0</v>
      </c>
    </row>
    <row r="72" spans="1:20" ht="14" hidden="1" customHeight="1" outlineLevel="3" x14ac:dyDescent="0.25">
      <c r="A72" t="s">
        <v>1</v>
      </c>
      <c r="B72" t="s">
        <v>52</v>
      </c>
      <c r="C72" t="s">
        <v>53</v>
      </c>
      <c r="D72" t="s">
        <v>216</v>
      </c>
      <c r="E72" t="s">
        <v>217</v>
      </c>
      <c r="F72" t="s">
        <v>61</v>
      </c>
      <c r="G72" s="2">
        <v>45783</v>
      </c>
      <c r="H72" s="2">
        <v>45783</v>
      </c>
      <c r="I72" t="s">
        <v>0</v>
      </c>
      <c r="J72" t="s">
        <v>218</v>
      </c>
      <c r="K72" s="3">
        <v>652</v>
      </c>
      <c r="L72" t="s">
        <v>8</v>
      </c>
      <c r="P72" t="s">
        <v>0</v>
      </c>
      <c r="Q72" s="3">
        <v>12816.36</v>
      </c>
      <c r="R72" t="s">
        <v>9</v>
      </c>
      <c r="S72" t="s">
        <v>0</v>
      </c>
      <c r="T72" t="s">
        <v>0</v>
      </c>
    </row>
    <row r="73" spans="1:20" ht="14" hidden="1" customHeight="1" outlineLevel="3" x14ac:dyDescent="0.25">
      <c r="A73" t="s">
        <v>1</v>
      </c>
      <c r="B73" t="s">
        <v>52</v>
      </c>
      <c r="C73" t="s">
        <v>53</v>
      </c>
      <c r="D73" t="s">
        <v>219</v>
      </c>
      <c r="E73" t="s">
        <v>220</v>
      </c>
      <c r="F73" t="s">
        <v>61</v>
      </c>
      <c r="G73" s="2">
        <v>45783</v>
      </c>
      <c r="H73" s="2">
        <v>45783</v>
      </c>
      <c r="I73" t="s">
        <v>0</v>
      </c>
      <c r="J73" t="s">
        <v>221</v>
      </c>
      <c r="K73" s="3">
        <v>264</v>
      </c>
      <c r="L73" t="s">
        <v>8</v>
      </c>
      <c r="P73" t="s">
        <v>0</v>
      </c>
      <c r="Q73" s="3">
        <v>5189.45</v>
      </c>
      <c r="R73" t="s">
        <v>9</v>
      </c>
      <c r="S73" t="s">
        <v>0</v>
      </c>
      <c r="T73" t="s">
        <v>0</v>
      </c>
    </row>
    <row r="74" spans="1:20" ht="14" hidden="1" customHeight="1" outlineLevel="3" x14ac:dyDescent="0.25">
      <c r="A74" t="s">
        <v>1</v>
      </c>
      <c r="B74" t="s">
        <v>52</v>
      </c>
      <c r="C74" t="s">
        <v>53</v>
      </c>
      <c r="D74" t="s">
        <v>222</v>
      </c>
      <c r="E74" t="s">
        <v>223</v>
      </c>
      <c r="F74" t="s">
        <v>61</v>
      </c>
      <c r="G74" s="2">
        <v>45783</v>
      </c>
      <c r="H74" s="2">
        <v>45783</v>
      </c>
      <c r="I74" t="s">
        <v>0</v>
      </c>
      <c r="J74" t="s">
        <v>224</v>
      </c>
      <c r="K74" s="3">
        <v>652</v>
      </c>
      <c r="L74" t="s">
        <v>8</v>
      </c>
      <c r="P74" t="s">
        <v>0</v>
      </c>
      <c r="Q74" s="3">
        <v>12816.36</v>
      </c>
      <c r="R74" t="s">
        <v>9</v>
      </c>
      <c r="S74" t="s">
        <v>0</v>
      </c>
      <c r="T74" t="s">
        <v>0</v>
      </c>
    </row>
    <row r="75" spans="1:20" ht="14" hidden="1" customHeight="1" outlineLevel="3" x14ac:dyDescent="0.25">
      <c r="A75" t="s">
        <v>1</v>
      </c>
      <c r="B75" t="s">
        <v>52</v>
      </c>
      <c r="C75" t="s">
        <v>53</v>
      </c>
      <c r="D75" t="s">
        <v>225</v>
      </c>
      <c r="E75" t="s">
        <v>226</v>
      </c>
      <c r="F75" t="s">
        <v>61</v>
      </c>
      <c r="G75" s="2">
        <v>45783</v>
      </c>
      <c r="H75" s="2">
        <v>45783</v>
      </c>
      <c r="I75" t="s">
        <v>0</v>
      </c>
      <c r="J75" t="s">
        <v>227</v>
      </c>
      <c r="K75" s="3">
        <v>1072.5</v>
      </c>
      <c r="L75" t="s">
        <v>8</v>
      </c>
      <c r="P75" t="s">
        <v>0</v>
      </c>
      <c r="Q75" s="3">
        <v>21082.13</v>
      </c>
      <c r="R75" t="s">
        <v>9</v>
      </c>
      <c r="S75" t="s">
        <v>0</v>
      </c>
      <c r="T75" t="s">
        <v>0</v>
      </c>
    </row>
    <row r="76" spans="1:20" ht="14" hidden="1" customHeight="1" outlineLevel="3" x14ac:dyDescent="0.25">
      <c r="A76" t="s">
        <v>1</v>
      </c>
      <c r="B76" t="s">
        <v>52</v>
      </c>
      <c r="C76" t="s">
        <v>53</v>
      </c>
      <c r="D76" t="s">
        <v>228</v>
      </c>
      <c r="E76" t="s">
        <v>229</v>
      </c>
      <c r="F76" t="s">
        <v>61</v>
      </c>
      <c r="G76" s="2">
        <v>45783</v>
      </c>
      <c r="H76" s="2">
        <v>45783</v>
      </c>
      <c r="I76" t="s">
        <v>0</v>
      </c>
      <c r="J76" t="s">
        <v>230</v>
      </c>
      <c r="K76" s="3">
        <v>9867.2999999999993</v>
      </c>
      <c r="L76" t="s">
        <v>8</v>
      </c>
      <c r="P76" t="s">
        <v>0</v>
      </c>
      <c r="Q76" s="3">
        <v>193961.52</v>
      </c>
      <c r="R76" t="s">
        <v>9</v>
      </c>
      <c r="S76" t="s">
        <v>0</v>
      </c>
      <c r="T76" t="s">
        <v>0</v>
      </c>
    </row>
    <row r="77" spans="1:20" ht="14" hidden="1" customHeight="1" outlineLevel="3" x14ac:dyDescent="0.25">
      <c r="A77" t="s">
        <v>1</v>
      </c>
      <c r="B77" t="s">
        <v>52</v>
      </c>
      <c r="C77" t="s">
        <v>53</v>
      </c>
      <c r="D77" t="s">
        <v>231</v>
      </c>
      <c r="E77" t="s">
        <v>232</v>
      </c>
      <c r="F77" t="s">
        <v>61</v>
      </c>
      <c r="G77" s="2">
        <v>45783</v>
      </c>
      <c r="H77" s="2">
        <v>45783</v>
      </c>
      <c r="I77" t="s">
        <v>0</v>
      </c>
      <c r="J77" t="s">
        <v>233</v>
      </c>
      <c r="K77" s="3">
        <v>5430</v>
      </c>
      <c r="L77" t="s">
        <v>8</v>
      </c>
      <c r="P77" t="s">
        <v>0</v>
      </c>
      <c r="Q77" s="3">
        <v>106737.51</v>
      </c>
      <c r="R77" t="s">
        <v>9</v>
      </c>
      <c r="S77" t="s">
        <v>0</v>
      </c>
      <c r="T77" t="s">
        <v>0</v>
      </c>
    </row>
    <row r="78" spans="1:20" ht="14" hidden="1" customHeight="1" outlineLevel="3" x14ac:dyDescent="0.25">
      <c r="A78" t="s">
        <v>1</v>
      </c>
      <c r="B78" t="s">
        <v>52</v>
      </c>
      <c r="C78" t="s">
        <v>53</v>
      </c>
      <c r="D78" t="s">
        <v>234</v>
      </c>
      <c r="E78" t="s">
        <v>235</v>
      </c>
      <c r="F78" t="s">
        <v>61</v>
      </c>
      <c r="G78" s="2">
        <v>45783</v>
      </c>
      <c r="H78" s="2">
        <v>45783</v>
      </c>
      <c r="I78" t="s">
        <v>0</v>
      </c>
      <c r="J78" t="s">
        <v>236</v>
      </c>
      <c r="K78" s="3">
        <v>4881</v>
      </c>
      <c r="L78" t="s">
        <v>8</v>
      </c>
      <c r="P78" t="s">
        <v>0</v>
      </c>
      <c r="Q78" s="3">
        <v>95945.82</v>
      </c>
      <c r="R78" t="s">
        <v>9</v>
      </c>
      <c r="S78" t="s">
        <v>0</v>
      </c>
      <c r="T78" t="s">
        <v>0</v>
      </c>
    </row>
    <row r="79" spans="1:20" ht="14" hidden="1" customHeight="1" outlineLevel="3" x14ac:dyDescent="0.25">
      <c r="A79" t="s">
        <v>1</v>
      </c>
      <c r="B79" t="s">
        <v>52</v>
      </c>
      <c r="C79" t="s">
        <v>53</v>
      </c>
      <c r="D79" t="s">
        <v>237</v>
      </c>
      <c r="E79" t="s">
        <v>238</v>
      </c>
      <c r="F79" t="s">
        <v>61</v>
      </c>
      <c r="G79" s="2">
        <v>45783</v>
      </c>
      <c r="H79" s="2">
        <v>45783</v>
      </c>
      <c r="I79" t="s">
        <v>0</v>
      </c>
      <c r="J79" t="s">
        <v>239</v>
      </c>
      <c r="K79" s="3">
        <v>2050.1999999999998</v>
      </c>
      <c r="L79" t="s">
        <v>8</v>
      </c>
      <c r="P79" t="s">
        <v>0</v>
      </c>
      <c r="Q79" s="3">
        <v>40300.78</v>
      </c>
      <c r="R79" t="s">
        <v>9</v>
      </c>
      <c r="S79" t="s">
        <v>0</v>
      </c>
      <c r="T79" t="s">
        <v>0</v>
      </c>
    </row>
    <row r="80" spans="1:20" ht="14" hidden="1" customHeight="1" outlineLevel="3" x14ac:dyDescent="0.25">
      <c r="A80" t="s">
        <v>1</v>
      </c>
      <c r="B80" t="s">
        <v>52</v>
      </c>
      <c r="C80" t="s">
        <v>53</v>
      </c>
      <c r="D80" t="s">
        <v>240</v>
      </c>
      <c r="E80" t="s">
        <v>241</v>
      </c>
      <c r="F80" t="s">
        <v>61</v>
      </c>
      <c r="G80" s="2">
        <v>45783</v>
      </c>
      <c r="H80" s="2">
        <v>45783</v>
      </c>
      <c r="I80" t="s">
        <v>0</v>
      </c>
      <c r="J80" t="s">
        <v>242</v>
      </c>
      <c r="K80" s="3">
        <v>1188</v>
      </c>
      <c r="L80" t="s">
        <v>8</v>
      </c>
      <c r="P80" t="s">
        <v>0</v>
      </c>
      <c r="Q80" s="3">
        <v>23352.52</v>
      </c>
      <c r="R80" t="s">
        <v>9</v>
      </c>
      <c r="S80" t="s">
        <v>0</v>
      </c>
      <c r="T80" t="s">
        <v>0</v>
      </c>
    </row>
    <row r="81" spans="1:20" ht="14" hidden="1" customHeight="1" outlineLevel="3" x14ac:dyDescent="0.25">
      <c r="A81" t="s">
        <v>1</v>
      </c>
      <c r="B81" t="s">
        <v>52</v>
      </c>
      <c r="C81" t="s">
        <v>53</v>
      </c>
      <c r="D81" t="s">
        <v>243</v>
      </c>
      <c r="E81" t="s">
        <v>244</v>
      </c>
      <c r="F81" t="s">
        <v>61</v>
      </c>
      <c r="G81" s="2">
        <v>45783</v>
      </c>
      <c r="H81" s="2">
        <v>45783</v>
      </c>
      <c r="I81" t="s">
        <v>0</v>
      </c>
      <c r="J81" t="s">
        <v>245</v>
      </c>
      <c r="K81" s="3">
        <v>3912</v>
      </c>
      <c r="L81" t="s">
        <v>8</v>
      </c>
      <c r="P81" t="s">
        <v>0</v>
      </c>
      <c r="Q81" s="3">
        <v>76898.179999999993</v>
      </c>
      <c r="R81" t="s">
        <v>9</v>
      </c>
      <c r="S81" t="s">
        <v>0</v>
      </c>
      <c r="T81" t="s">
        <v>0</v>
      </c>
    </row>
    <row r="82" spans="1:20" ht="14" hidden="1" customHeight="1" outlineLevel="3" x14ac:dyDescent="0.25">
      <c r="A82" t="s">
        <v>1</v>
      </c>
      <c r="B82" t="s">
        <v>52</v>
      </c>
      <c r="C82" t="s">
        <v>53</v>
      </c>
      <c r="D82" t="s">
        <v>246</v>
      </c>
      <c r="E82" t="s">
        <v>247</v>
      </c>
      <c r="F82" t="s">
        <v>61</v>
      </c>
      <c r="G82" s="2">
        <v>45783</v>
      </c>
      <c r="H82" s="2">
        <v>45783</v>
      </c>
      <c r="I82" t="s">
        <v>0</v>
      </c>
      <c r="J82" t="s">
        <v>248</v>
      </c>
      <c r="K82" s="3">
        <v>198</v>
      </c>
      <c r="L82" t="s">
        <v>8</v>
      </c>
      <c r="P82" t="s">
        <v>0</v>
      </c>
      <c r="Q82" s="3">
        <v>3892.09</v>
      </c>
      <c r="R82" t="s">
        <v>9</v>
      </c>
      <c r="S82" t="s">
        <v>0</v>
      </c>
      <c r="T82" t="s">
        <v>0</v>
      </c>
    </row>
    <row r="83" spans="1:20" ht="14" hidden="1" customHeight="1" outlineLevel="3" x14ac:dyDescent="0.25">
      <c r="A83" t="s">
        <v>1</v>
      </c>
      <c r="B83" t="s">
        <v>52</v>
      </c>
      <c r="C83" t="s">
        <v>53</v>
      </c>
      <c r="D83" t="s">
        <v>249</v>
      </c>
      <c r="E83" t="s">
        <v>250</v>
      </c>
      <c r="F83" t="s">
        <v>61</v>
      </c>
      <c r="G83" s="2">
        <v>45783</v>
      </c>
      <c r="H83" s="2">
        <v>45783</v>
      </c>
      <c r="I83" t="s">
        <v>0</v>
      </c>
      <c r="J83" t="s">
        <v>251</v>
      </c>
      <c r="K83" s="3">
        <v>652</v>
      </c>
      <c r="L83" t="s">
        <v>8</v>
      </c>
      <c r="P83" t="s">
        <v>0</v>
      </c>
      <c r="Q83" s="3">
        <v>12816.36</v>
      </c>
      <c r="R83" t="s">
        <v>9</v>
      </c>
      <c r="S83" t="s">
        <v>0</v>
      </c>
      <c r="T83" t="s">
        <v>0</v>
      </c>
    </row>
    <row r="84" spans="1:20" ht="14" hidden="1" customHeight="1" outlineLevel="3" x14ac:dyDescent="0.25">
      <c r="A84" t="s">
        <v>1</v>
      </c>
      <c r="B84" t="s">
        <v>52</v>
      </c>
      <c r="C84" t="s">
        <v>53</v>
      </c>
      <c r="D84" t="s">
        <v>252</v>
      </c>
      <c r="E84" t="s">
        <v>253</v>
      </c>
      <c r="F84" t="s">
        <v>61</v>
      </c>
      <c r="G84" s="2">
        <v>45783</v>
      </c>
      <c r="H84" s="2">
        <v>45783</v>
      </c>
      <c r="I84" t="s">
        <v>0</v>
      </c>
      <c r="J84" t="s">
        <v>254</v>
      </c>
      <c r="K84" s="3">
        <v>264</v>
      </c>
      <c r="L84" t="s">
        <v>8</v>
      </c>
      <c r="P84" t="s">
        <v>0</v>
      </c>
      <c r="Q84" s="3">
        <v>5189.45</v>
      </c>
      <c r="R84" t="s">
        <v>9</v>
      </c>
      <c r="S84" t="s">
        <v>0</v>
      </c>
      <c r="T84" t="s">
        <v>0</v>
      </c>
    </row>
    <row r="85" spans="1:20" ht="14" hidden="1" customHeight="1" outlineLevel="3" x14ac:dyDescent="0.25">
      <c r="A85" t="s">
        <v>1</v>
      </c>
      <c r="B85" t="s">
        <v>52</v>
      </c>
      <c r="C85" t="s">
        <v>53</v>
      </c>
      <c r="D85" t="s">
        <v>255</v>
      </c>
      <c r="E85" t="s">
        <v>256</v>
      </c>
      <c r="F85" t="s">
        <v>61</v>
      </c>
      <c r="G85" s="2">
        <v>45783</v>
      </c>
      <c r="H85" s="2">
        <v>45783</v>
      </c>
      <c r="I85" t="s">
        <v>0</v>
      </c>
      <c r="J85" t="s">
        <v>257</v>
      </c>
      <c r="K85" s="3">
        <v>652</v>
      </c>
      <c r="L85" t="s">
        <v>8</v>
      </c>
      <c r="P85" t="s">
        <v>0</v>
      </c>
      <c r="Q85" s="3">
        <v>12816.36</v>
      </c>
      <c r="R85" t="s">
        <v>9</v>
      </c>
      <c r="S85" t="s">
        <v>0</v>
      </c>
      <c r="T85" t="s">
        <v>0</v>
      </c>
    </row>
    <row r="86" spans="1:20" ht="14" hidden="1" customHeight="1" outlineLevel="3" x14ac:dyDescent="0.25">
      <c r="A86" t="s">
        <v>1</v>
      </c>
      <c r="B86" t="s">
        <v>52</v>
      </c>
      <c r="C86" t="s">
        <v>53</v>
      </c>
      <c r="D86" t="s">
        <v>258</v>
      </c>
      <c r="E86" t="s">
        <v>259</v>
      </c>
      <c r="F86" t="s">
        <v>61</v>
      </c>
      <c r="G86" s="2">
        <v>45783</v>
      </c>
      <c r="H86" s="2">
        <v>45783</v>
      </c>
      <c r="I86" t="s">
        <v>0</v>
      </c>
      <c r="J86" t="s">
        <v>260</v>
      </c>
      <c r="K86" s="3">
        <v>396</v>
      </c>
      <c r="L86" t="s">
        <v>8</v>
      </c>
      <c r="P86" t="s">
        <v>0</v>
      </c>
      <c r="Q86" s="3">
        <v>7784.17</v>
      </c>
      <c r="R86" t="s">
        <v>9</v>
      </c>
      <c r="S86" t="s">
        <v>0</v>
      </c>
      <c r="T86" t="s">
        <v>0</v>
      </c>
    </row>
    <row r="87" spans="1:20" ht="14" hidden="1" customHeight="1" outlineLevel="3" x14ac:dyDescent="0.25">
      <c r="A87" t="s">
        <v>1</v>
      </c>
      <c r="B87" t="s">
        <v>52</v>
      </c>
      <c r="C87" t="s">
        <v>53</v>
      </c>
      <c r="D87" t="s">
        <v>261</v>
      </c>
      <c r="E87" t="s">
        <v>262</v>
      </c>
      <c r="F87" t="s">
        <v>61</v>
      </c>
      <c r="G87" s="2">
        <v>45783</v>
      </c>
      <c r="H87" s="2">
        <v>45783</v>
      </c>
      <c r="I87" t="s">
        <v>0</v>
      </c>
      <c r="J87" t="s">
        <v>263</v>
      </c>
      <c r="K87" s="3">
        <v>652</v>
      </c>
      <c r="L87" t="s">
        <v>8</v>
      </c>
      <c r="P87" t="s">
        <v>0</v>
      </c>
      <c r="Q87" s="3">
        <v>12816.36</v>
      </c>
      <c r="R87" t="s">
        <v>9</v>
      </c>
      <c r="S87" t="s">
        <v>0</v>
      </c>
      <c r="T87" t="s">
        <v>0</v>
      </c>
    </row>
    <row r="88" spans="1:20" ht="14" hidden="1" customHeight="1" outlineLevel="3" x14ac:dyDescent="0.25">
      <c r="A88" t="s">
        <v>1</v>
      </c>
      <c r="B88" t="s">
        <v>52</v>
      </c>
      <c r="C88" t="s">
        <v>53</v>
      </c>
      <c r="D88" t="s">
        <v>264</v>
      </c>
      <c r="E88" t="s">
        <v>265</v>
      </c>
      <c r="F88" t="s">
        <v>61</v>
      </c>
      <c r="G88" s="2">
        <v>45783</v>
      </c>
      <c r="H88" s="2">
        <v>45783</v>
      </c>
      <c r="I88" t="s">
        <v>0</v>
      </c>
      <c r="J88" t="s">
        <v>266</v>
      </c>
      <c r="K88" s="3">
        <v>264</v>
      </c>
      <c r="L88" t="s">
        <v>8</v>
      </c>
      <c r="P88" t="s">
        <v>0</v>
      </c>
      <c r="Q88" s="3">
        <v>5189.45</v>
      </c>
      <c r="R88" t="s">
        <v>9</v>
      </c>
      <c r="S88" t="s">
        <v>0</v>
      </c>
      <c r="T88" t="s">
        <v>0</v>
      </c>
    </row>
    <row r="89" spans="1:20" ht="14" hidden="1" customHeight="1" outlineLevel="3" x14ac:dyDescent="0.25">
      <c r="A89" t="s">
        <v>1</v>
      </c>
      <c r="B89" t="s">
        <v>52</v>
      </c>
      <c r="C89" t="s">
        <v>53</v>
      </c>
      <c r="D89" t="s">
        <v>267</v>
      </c>
      <c r="E89" t="s">
        <v>268</v>
      </c>
      <c r="F89" t="s">
        <v>61</v>
      </c>
      <c r="G89" s="2">
        <v>45783</v>
      </c>
      <c r="H89" s="2">
        <v>45783</v>
      </c>
      <c r="I89" t="s">
        <v>0</v>
      </c>
      <c r="J89" t="s">
        <v>269</v>
      </c>
      <c r="K89" s="3">
        <v>652</v>
      </c>
      <c r="L89" t="s">
        <v>8</v>
      </c>
      <c r="P89" t="s">
        <v>0</v>
      </c>
      <c r="Q89" s="3">
        <v>12816.36</v>
      </c>
      <c r="R89" t="s">
        <v>9</v>
      </c>
      <c r="S89" t="s">
        <v>0</v>
      </c>
      <c r="T89" t="s">
        <v>0</v>
      </c>
    </row>
    <row r="90" spans="1:20" ht="14" hidden="1" customHeight="1" outlineLevel="3" x14ac:dyDescent="0.25">
      <c r="A90" t="s">
        <v>1</v>
      </c>
      <c r="B90" t="s">
        <v>52</v>
      </c>
      <c r="C90" t="s">
        <v>53</v>
      </c>
      <c r="D90" t="s">
        <v>270</v>
      </c>
      <c r="E90" t="s">
        <v>271</v>
      </c>
      <c r="F90" t="s">
        <v>61</v>
      </c>
      <c r="G90" s="2">
        <v>45783</v>
      </c>
      <c r="H90" s="2">
        <v>45783</v>
      </c>
      <c r="I90" t="s">
        <v>0</v>
      </c>
      <c r="J90" t="s">
        <v>272</v>
      </c>
      <c r="K90" s="3">
        <v>762</v>
      </c>
      <c r="L90" t="s">
        <v>8</v>
      </c>
      <c r="P90" t="s">
        <v>0</v>
      </c>
      <c r="Q90" s="3">
        <v>14978.63</v>
      </c>
      <c r="R90" t="s">
        <v>9</v>
      </c>
      <c r="S90" t="s">
        <v>0</v>
      </c>
      <c r="T90" t="s">
        <v>0</v>
      </c>
    </row>
    <row r="91" spans="1:20" ht="14" hidden="1" customHeight="1" outlineLevel="3" x14ac:dyDescent="0.25">
      <c r="A91" t="s">
        <v>1</v>
      </c>
      <c r="B91" t="s">
        <v>52</v>
      </c>
      <c r="C91" t="s">
        <v>53</v>
      </c>
      <c r="D91" t="s">
        <v>273</v>
      </c>
      <c r="E91" t="s">
        <v>274</v>
      </c>
      <c r="F91" t="s">
        <v>61</v>
      </c>
      <c r="G91" s="2">
        <v>45783</v>
      </c>
      <c r="H91" s="2">
        <v>45783</v>
      </c>
      <c r="I91" t="s">
        <v>0</v>
      </c>
      <c r="J91" t="s">
        <v>275</v>
      </c>
      <c r="K91" s="3">
        <v>198</v>
      </c>
      <c r="L91" t="s">
        <v>8</v>
      </c>
      <c r="P91" t="s">
        <v>0</v>
      </c>
      <c r="Q91" s="3">
        <v>3892.09</v>
      </c>
      <c r="R91" t="s">
        <v>9</v>
      </c>
      <c r="S91" t="s">
        <v>0</v>
      </c>
      <c r="T91" t="s">
        <v>0</v>
      </c>
    </row>
    <row r="92" spans="1:20" ht="14" hidden="1" customHeight="1" outlineLevel="3" x14ac:dyDescent="0.25">
      <c r="A92" t="s">
        <v>1</v>
      </c>
      <c r="B92" t="s">
        <v>52</v>
      </c>
      <c r="C92" t="s">
        <v>53</v>
      </c>
      <c r="D92" t="s">
        <v>276</v>
      </c>
      <c r="E92" t="s">
        <v>277</v>
      </c>
      <c r="F92" t="s">
        <v>61</v>
      </c>
      <c r="G92" s="2">
        <v>45783</v>
      </c>
      <c r="H92" s="2">
        <v>45783</v>
      </c>
      <c r="I92" t="s">
        <v>0</v>
      </c>
      <c r="J92" t="s">
        <v>278</v>
      </c>
      <c r="K92" s="3">
        <v>652</v>
      </c>
      <c r="L92" t="s">
        <v>8</v>
      </c>
      <c r="P92" t="s">
        <v>0</v>
      </c>
      <c r="Q92" s="3">
        <v>12816.36</v>
      </c>
      <c r="R92" t="s">
        <v>9</v>
      </c>
      <c r="S92" t="s">
        <v>0</v>
      </c>
      <c r="T92" t="s">
        <v>0</v>
      </c>
    </row>
    <row r="93" spans="1:20" ht="14" hidden="1" customHeight="1" outlineLevel="3" x14ac:dyDescent="0.25">
      <c r="A93" t="s">
        <v>1</v>
      </c>
      <c r="B93" t="s">
        <v>52</v>
      </c>
      <c r="C93" t="s">
        <v>53</v>
      </c>
      <c r="D93" t="s">
        <v>279</v>
      </c>
      <c r="E93" t="s">
        <v>280</v>
      </c>
      <c r="F93" t="s">
        <v>61</v>
      </c>
      <c r="G93" s="2">
        <v>45783</v>
      </c>
      <c r="H93" s="2">
        <v>45783</v>
      </c>
      <c r="I93" t="s">
        <v>0</v>
      </c>
      <c r="J93" t="s">
        <v>281</v>
      </c>
      <c r="K93" s="3">
        <v>264</v>
      </c>
      <c r="L93" t="s">
        <v>8</v>
      </c>
      <c r="P93" t="s">
        <v>0</v>
      </c>
      <c r="Q93" s="3">
        <v>5189.45</v>
      </c>
      <c r="R93" t="s">
        <v>9</v>
      </c>
      <c r="S93" t="s">
        <v>0</v>
      </c>
      <c r="T93" t="s">
        <v>0</v>
      </c>
    </row>
    <row r="94" spans="1:20" ht="14" hidden="1" customHeight="1" outlineLevel="3" x14ac:dyDescent="0.25">
      <c r="A94" t="s">
        <v>1</v>
      </c>
      <c r="B94" t="s">
        <v>52</v>
      </c>
      <c r="C94" t="s">
        <v>53</v>
      </c>
      <c r="D94" t="s">
        <v>282</v>
      </c>
      <c r="E94" t="s">
        <v>283</v>
      </c>
      <c r="F94" t="s">
        <v>61</v>
      </c>
      <c r="G94" s="2">
        <v>45783</v>
      </c>
      <c r="H94" s="2">
        <v>45783</v>
      </c>
      <c r="I94" t="s">
        <v>0</v>
      </c>
      <c r="J94" t="s">
        <v>284</v>
      </c>
      <c r="K94" s="3">
        <v>652</v>
      </c>
      <c r="L94" t="s">
        <v>8</v>
      </c>
      <c r="P94" t="s">
        <v>0</v>
      </c>
      <c r="Q94" s="3">
        <v>12816.36</v>
      </c>
      <c r="R94" t="s">
        <v>9</v>
      </c>
      <c r="S94" t="s">
        <v>0</v>
      </c>
      <c r="T94" t="s">
        <v>0</v>
      </c>
    </row>
    <row r="95" spans="1:20" ht="14" hidden="1" customHeight="1" outlineLevel="3" x14ac:dyDescent="0.25">
      <c r="A95" t="s">
        <v>1</v>
      </c>
      <c r="B95" t="s">
        <v>52</v>
      </c>
      <c r="C95" t="s">
        <v>53</v>
      </c>
      <c r="D95" t="s">
        <v>285</v>
      </c>
      <c r="E95" t="s">
        <v>286</v>
      </c>
      <c r="F95" t="s">
        <v>61</v>
      </c>
      <c r="G95" s="2">
        <v>45783</v>
      </c>
      <c r="H95" s="2">
        <v>45783</v>
      </c>
      <c r="I95" t="s">
        <v>0</v>
      </c>
      <c r="J95" t="s">
        <v>287</v>
      </c>
      <c r="K95" s="3">
        <v>652</v>
      </c>
      <c r="L95" t="s">
        <v>8</v>
      </c>
      <c r="P95" t="s">
        <v>0</v>
      </c>
      <c r="Q95" s="3">
        <v>12816.36</v>
      </c>
      <c r="R95" t="s">
        <v>9</v>
      </c>
      <c r="S95" t="s">
        <v>0</v>
      </c>
      <c r="T95" t="s">
        <v>0</v>
      </c>
    </row>
    <row r="96" spans="1:20" ht="14" hidden="1" customHeight="1" outlineLevel="3" x14ac:dyDescent="0.25">
      <c r="A96" t="s">
        <v>1</v>
      </c>
      <c r="B96" t="s">
        <v>52</v>
      </c>
      <c r="C96" t="s">
        <v>53</v>
      </c>
      <c r="D96" t="s">
        <v>288</v>
      </c>
      <c r="E96" t="s">
        <v>289</v>
      </c>
      <c r="F96" t="s">
        <v>61</v>
      </c>
      <c r="G96" s="2">
        <v>45783</v>
      </c>
      <c r="H96" s="2">
        <v>45783</v>
      </c>
      <c r="I96" t="s">
        <v>0</v>
      </c>
      <c r="J96" t="s">
        <v>290</v>
      </c>
      <c r="K96" s="3">
        <v>164.1</v>
      </c>
      <c r="L96" t="s">
        <v>8</v>
      </c>
      <c r="P96" t="s">
        <v>0</v>
      </c>
      <c r="Q96" s="3">
        <v>3225.71</v>
      </c>
      <c r="R96" t="s">
        <v>9</v>
      </c>
      <c r="S96" t="s">
        <v>0</v>
      </c>
      <c r="T96" t="s">
        <v>0</v>
      </c>
    </row>
    <row r="97" spans="1:20" ht="14" hidden="1" customHeight="1" outlineLevel="3" x14ac:dyDescent="0.25">
      <c r="A97" t="s">
        <v>1</v>
      </c>
      <c r="B97" t="s">
        <v>52</v>
      </c>
      <c r="C97" t="s">
        <v>53</v>
      </c>
      <c r="D97" t="s">
        <v>291</v>
      </c>
      <c r="E97" t="s">
        <v>292</v>
      </c>
      <c r="F97" t="s">
        <v>61</v>
      </c>
      <c r="G97" s="2">
        <v>45783</v>
      </c>
      <c r="H97" s="2">
        <v>45783</v>
      </c>
      <c r="I97" t="s">
        <v>0</v>
      </c>
      <c r="J97" t="s">
        <v>293</v>
      </c>
      <c r="K97" s="3">
        <v>614</v>
      </c>
      <c r="L97" t="s">
        <v>8</v>
      </c>
      <c r="P97" t="s">
        <v>0</v>
      </c>
      <c r="Q97" s="3">
        <v>12069.4</v>
      </c>
      <c r="R97" t="s">
        <v>9</v>
      </c>
      <c r="S97" t="s">
        <v>0</v>
      </c>
      <c r="T97" t="s">
        <v>0</v>
      </c>
    </row>
    <row r="98" spans="1:20" ht="14" hidden="1" customHeight="1" outlineLevel="3" x14ac:dyDescent="0.25">
      <c r="A98" t="s">
        <v>1</v>
      </c>
      <c r="B98" t="s">
        <v>52</v>
      </c>
      <c r="C98" t="s">
        <v>53</v>
      </c>
      <c r="D98" t="s">
        <v>294</v>
      </c>
      <c r="E98" t="s">
        <v>295</v>
      </c>
      <c r="F98" t="s">
        <v>61</v>
      </c>
      <c r="G98" s="2">
        <v>45783</v>
      </c>
      <c r="H98" s="2">
        <v>45783</v>
      </c>
      <c r="I98" t="s">
        <v>0</v>
      </c>
      <c r="J98" t="s">
        <v>296</v>
      </c>
      <c r="K98" s="3">
        <v>1926.5</v>
      </c>
      <c r="L98" t="s">
        <v>8</v>
      </c>
      <c r="P98" t="s">
        <v>0</v>
      </c>
      <c r="Q98" s="3">
        <v>37869.21</v>
      </c>
      <c r="R98" t="s">
        <v>9</v>
      </c>
      <c r="S98" t="s">
        <v>0</v>
      </c>
      <c r="T98" t="s">
        <v>0</v>
      </c>
    </row>
    <row r="99" spans="1:20" ht="14" hidden="1" customHeight="1" outlineLevel="3" x14ac:dyDescent="0.25">
      <c r="A99" t="s">
        <v>1</v>
      </c>
      <c r="B99" t="s">
        <v>52</v>
      </c>
      <c r="C99" t="s">
        <v>53</v>
      </c>
      <c r="D99" t="s">
        <v>297</v>
      </c>
      <c r="E99" t="s">
        <v>298</v>
      </c>
      <c r="F99" t="s">
        <v>61</v>
      </c>
      <c r="G99" s="2">
        <v>45783</v>
      </c>
      <c r="H99" s="2">
        <v>45783</v>
      </c>
      <c r="I99" t="s">
        <v>0</v>
      </c>
      <c r="J99" t="s">
        <v>299</v>
      </c>
      <c r="K99" s="3">
        <v>667.5</v>
      </c>
      <c r="L99" t="s">
        <v>8</v>
      </c>
      <c r="P99" t="s">
        <v>0</v>
      </c>
      <c r="Q99" s="3">
        <v>13121.05</v>
      </c>
      <c r="R99" t="s">
        <v>9</v>
      </c>
      <c r="S99" t="s">
        <v>0</v>
      </c>
      <c r="T99" t="s">
        <v>0</v>
      </c>
    </row>
    <row r="100" spans="1:20" ht="14" hidden="1" customHeight="1" outlineLevel="3" x14ac:dyDescent="0.25">
      <c r="A100" t="s">
        <v>1</v>
      </c>
      <c r="B100" t="s">
        <v>52</v>
      </c>
      <c r="C100" t="s">
        <v>53</v>
      </c>
      <c r="D100" t="s">
        <v>300</v>
      </c>
      <c r="E100" t="s">
        <v>301</v>
      </c>
      <c r="F100" t="s">
        <v>61</v>
      </c>
      <c r="G100" s="2">
        <v>45783</v>
      </c>
      <c r="H100" s="2">
        <v>45783</v>
      </c>
      <c r="I100" t="s">
        <v>0</v>
      </c>
      <c r="J100" t="s">
        <v>302</v>
      </c>
      <c r="K100" s="3">
        <v>1926.5</v>
      </c>
      <c r="L100" t="s">
        <v>8</v>
      </c>
      <c r="P100" t="s">
        <v>0</v>
      </c>
      <c r="Q100" s="3">
        <v>37869.21</v>
      </c>
      <c r="R100" t="s">
        <v>9</v>
      </c>
      <c r="S100" t="s">
        <v>0</v>
      </c>
      <c r="T100" t="s">
        <v>0</v>
      </c>
    </row>
    <row r="101" spans="1:20" ht="14" hidden="1" customHeight="1" outlineLevel="3" x14ac:dyDescent="0.25">
      <c r="A101" t="s">
        <v>1</v>
      </c>
      <c r="B101" t="s">
        <v>52</v>
      </c>
      <c r="C101" t="s">
        <v>53</v>
      </c>
      <c r="D101" t="s">
        <v>303</v>
      </c>
      <c r="E101" t="s">
        <v>304</v>
      </c>
      <c r="F101" t="s">
        <v>61</v>
      </c>
      <c r="G101" s="2">
        <v>45783</v>
      </c>
      <c r="H101" s="2">
        <v>45783</v>
      </c>
      <c r="I101" t="s">
        <v>0</v>
      </c>
      <c r="J101" t="s">
        <v>305</v>
      </c>
      <c r="K101" s="3">
        <v>783</v>
      </c>
      <c r="L101" t="s">
        <v>8</v>
      </c>
      <c r="P101" t="s">
        <v>0</v>
      </c>
      <c r="Q101" s="3">
        <v>15391.43</v>
      </c>
      <c r="R101" t="s">
        <v>9</v>
      </c>
      <c r="S101" t="s">
        <v>0</v>
      </c>
      <c r="T101" t="s">
        <v>0</v>
      </c>
    </row>
    <row r="102" spans="1:20" ht="14" hidden="1" customHeight="1" outlineLevel="3" x14ac:dyDescent="0.25">
      <c r="A102" t="s">
        <v>1</v>
      </c>
      <c r="B102" t="s">
        <v>52</v>
      </c>
      <c r="C102" t="s">
        <v>53</v>
      </c>
      <c r="D102" t="s">
        <v>306</v>
      </c>
      <c r="E102" t="s">
        <v>307</v>
      </c>
      <c r="F102" t="s">
        <v>61</v>
      </c>
      <c r="G102" s="2">
        <v>45783</v>
      </c>
      <c r="H102" s="2">
        <v>45783</v>
      </c>
      <c r="I102" t="s">
        <v>0</v>
      </c>
      <c r="J102" t="s">
        <v>308</v>
      </c>
      <c r="K102" s="3">
        <v>712.5</v>
      </c>
      <c r="L102" t="s">
        <v>8</v>
      </c>
      <c r="P102" t="s">
        <v>0</v>
      </c>
      <c r="Q102" s="3">
        <v>14005.61</v>
      </c>
      <c r="R102" t="s">
        <v>9</v>
      </c>
      <c r="S102" t="s">
        <v>0</v>
      </c>
      <c r="T102" t="s">
        <v>0</v>
      </c>
    </row>
    <row r="103" spans="1:20" ht="14" hidden="1" customHeight="1" outlineLevel="3" x14ac:dyDescent="0.25">
      <c r="A103" t="s">
        <v>1</v>
      </c>
      <c r="B103" t="s">
        <v>52</v>
      </c>
      <c r="C103" t="s">
        <v>53</v>
      </c>
      <c r="D103" t="s">
        <v>309</v>
      </c>
      <c r="E103" t="s">
        <v>310</v>
      </c>
      <c r="F103" t="s">
        <v>61</v>
      </c>
      <c r="G103" s="2">
        <v>45783</v>
      </c>
      <c r="H103" s="2">
        <v>45783</v>
      </c>
      <c r="I103" t="s">
        <v>0</v>
      </c>
      <c r="J103" t="s">
        <v>311</v>
      </c>
      <c r="K103" s="3">
        <v>5742.3</v>
      </c>
      <c r="L103" t="s">
        <v>8</v>
      </c>
      <c r="P103" t="s">
        <v>0</v>
      </c>
      <c r="Q103" s="3">
        <v>112876.39</v>
      </c>
      <c r="R103" t="s">
        <v>9</v>
      </c>
      <c r="S103" t="s">
        <v>0</v>
      </c>
      <c r="T103" t="s">
        <v>0</v>
      </c>
    </row>
    <row r="104" spans="1:20" ht="14" hidden="1" customHeight="1" outlineLevel="3" x14ac:dyDescent="0.25">
      <c r="A104" t="s">
        <v>1</v>
      </c>
      <c r="B104" t="s">
        <v>52</v>
      </c>
      <c r="C104" t="s">
        <v>53</v>
      </c>
      <c r="D104" t="s">
        <v>312</v>
      </c>
      <c r="E104" t="s">
        <v>313</v>
      </c>
      <c r="F104" t="s">
        <v>61</v>
      </c>
      <c r="G104" s="2">
        <v>45783</v>
      </c>
      <c r="H104" s="2">
        <v>45783</v>
      </c>
      <c r="I104" t="s">
        <v>0</v>
      </c>
      <c r="J104" t="s">
        <v>314</v>
      </c>
      <c r="K104" s="3">
        <v>10976.7</v>
      </c>
      <c r="L104" t="s">
        <v>8</v>
      </c>
      <c r="P104" t="s">
        <v>0</v>
      </c>
      <c r="Q104" s="3">
        <v>215768.99</v>
      </c>
      <c r="R104" t="s">
        <v>9</v>
      </c>
      <c r="S104" t="s">
        <v>0</v>
      </c>
      <c r="T104" t="s">
        <v>0</v>
      </c>
    </row>
    <row r="105" spans="1:20" ht="14" hidden="1" customHeight="1" outlineLevel="3" x14ac:dyDescent="0.25">
      <c r="A105" t="s">
        <v>1</v>
      </c>
      <c r="B105" t="s">
        <v>52</v>
      </c>
      <c r="C105" t="s">
        <v>53</v>
      </c>
      <c r="D105" t="s">
        <v>315</v>
      </c>
      <c r="E105" t="s">
        <v>316</v>
      </c>
      <c r="F105" t="s">
        <v>61</v>
      </c>
      <c r="G105" s="2">
        <v>45783</v>
      </c>
      <c r="H105" s="2">
        <v>45783</v>
      </c>
      <c r="I105" t="s">
        <v>0</v>
      </c>
      <c r="J105" t="s">
        <v>317</v>
      </c>
      <c r="K105" s="3">
        <v>27933.599999999999</v>
      </c>
      <c r="L105" t="s">
        <v>8</v>
      </c>
      <c r="P105" t="s">
        <v>0</v>
      </c>
      <c r="Q105" s="3">
        <v>549090.78</v>
      </c>
      <c r="R105" t="s">
        <v>9</v>
      </c>
      <c r="S105" t="s">
        <v>0</v>
      </c>
      <c r="T105" t="s">
        <v>0</v>
      </c>
    </row>
    <row r="106" spans="1:20" ht="14" hidden="1" customHeight="1" outlineLevel="3" x14ac:dyDescent="0.25">
      <c r="A106" t="s">
        <v>1</v>
      </c>
      <c r="B106" t="s">
        <v>52</v>
      </c>
      <c r="C106" t="s">
        <v>53</v>
      </c>
      <c r="D106" t="s">
        <v>318</v>
      </c>
      <c r="E106" t="s">
        <v>319</v>
      </c>
      <c r="F106" t="s">
        <v>61</v>
      </c>
      <c r="G106" s="2">
        <v>45783</v>
      </c>
      <c r="H106" s="2">
        <v>45783</v>
      </c>
      <c r="I106" t="s">
        <v>0</v>
      </c>
      <c r="J106" t="s">
        <v>320</v>
      </c>
      <c r="K106" s="3">
        <v>582</v>
      </c>
      <c r="L106" t="s">
        <v>8</v>
      </c>
      <c r="P106" t="s">
        <v>0</v>
      </c>
      <c r="Q106" s="3">
        <v>11440.37</v>
      </c>
      <c r="R106" t="s">
        <v>9</v>
      </c>
      <c r="S106" t="s">
        <v>0</v>
      </c>
      <c r="T106" t="s">
        <v>0</v>
      </c>
    </row>
    <row r="107" spans="1:20" ht="14" hidden="1" customHeight="1" outlineLevel="3" x14ac:dyDescent="0.25">
      <c r="A107" t="s">
        <v>1</v>
      </c>
      <c r="B107" t="s">
        <v>52</v>
      </c>
      <c r="C107" t="s">
        <v>53</v>
      </c>
      <c r="D107" t="s">
        <v>321</v>
      </c>
      <c r="E107" t="s">
        <v>322</v>
      </c>
      <c r="F107" t="s">
        <v>61</v>
      </c>
      <c r="G107" s="2">
        <v>45783</v>
      </c>
      <c r="H107" s="2">
        <v>45783</v>
      </c>
      <c r="I107" t="s">
        <v>0</v>
      </c>
      <c r="J107" t="s">
        <v>323</v>
      </c>
      <c r="K107" s="3">
        <v>9302.4</v>
      </c>
      <c r="L107" t="s">
        <v>8</v>
      </c>
      <c r="P107" t="s">
        <v>0</v>
      </c>
      <c r="Q107" s="3">
        <v>182857.28</v>
      </c>
      <c r="R107" t="s">
        <v>9</v>
      </c>
      <c r="S107" t="s">
        <v>0</v>
      </c>
      <c r="T107" t="s">
        <v>0</v>
      </c>
    </row>
    <row r="108" spans="1:20" ht="14" hidden="1" customHeight="1" outlineLevel="3" x14ac:dyDescent="0.25">
      <c r="A108" t="s">
        <v>1</v>
      </c>
      <c r="B108" t="s">
        <v>52</v>
      </c>
      <c r="C108" t="s">
        <v>53</v>
      </c>
      <c r="D108" t="s">
        <v>324</v>
      </c>
      <c r="E108" t="s">
        <v>325</v>
      </c>
      <c r="F108" t="s">
        <v>61</v>
      </c>
      <c r="G108" s="2">
        <v>45783</v>
      </c>
      <c r="H108" s="2">
        <v>45783</v>
      </c>
      <c r="I108" t="s">
        <v>0</v>
      </c>
      <c r="J108" t="s">
        <v>326</v>
      </c>
      <c r="K108" s="3">
        <v>4605</v>
      </c>
      <c r="L108" t="s">
        <v>8</v>
      </c>
      <c r="P108" t="s">
        <v>0</v>
      </c>
      <c r="Q108" s="3">
        <v>90520.49</v>
      </c>
      <c r="R108" t="s">
        <v>9</v>
      </c>
      <c r="S108" t="s">
        <v>0</v>
      </c>
      <c r="T108" t="s">
        <v>0</v>
      </c>
    </row>
    <row r="109" spans="1:20" ht="14" hidden="1" customHeight="1" outlineLevel="3" x14ac:dyDescent="0.25">
      <c r="A109" t="s">
        <v>1</v>
      </c>
      <c r="B109" t="s">
        <v>52</v>
      </c>
      <c r="C109" t="s">
        <v>53</v>
      </c>
      <c r="D109" t="s">
        <v>327</v>
      </c>
      <c r="E109" t="s">
        <v>328</v>
      </c>
      <c r="F109" t="s">
        <v>61</v>
      </c>
      <c r="G109" s="2">
        <v>45783</v>
      </c>
      <c r="H109" s="2">
        <v>45783</v>
      </c>
      <c r="I109" t="s">
        <v>0</v>
      </c>
      <c r="J109" t="s">
        <v>329</v>
      </c>
      <c r="K109" s="3">
        <v>9697.5</v>
      </c>
      <c r="L109" t="s">
        <v>8</v>
      </c>
      <c r="P109" t="s">
        <v>0</v>
      </c>
      <c r="Q109" s="3">
        <v>190623.76</v>
      </c>
      <c r="R109" t="s">
        <v>9</v>
      </c>
      <c r="S109" t="s">
        <v>0</v>
      </c>
      <c r="T109" t="s">
        <v>0</v>
      </c>
    </row>
    <row r="110" spans="1:20" ht="14" hidden="1" customHeight="1" outlineLevel="3" x14ac:dyDescent="0.25">
      <c r="A110" t="s">
        <v>1</v>
      </c>
      <c r="B110" t="s">
        <v>52</v>
      </c>
      <c r="C110" t="s">
        <v>53</v>
      </c>
      <c r="D110" t="s">
        <v>330</v>
      </c>
      <c r="E110" t="s">
        <v>331</v>
      </c>
      <c r="F110" t="s">
        <v>61</v>
      </c>
      <c r="G110" s="2">
        <v>45783</v>
      </c>
      <c r="H110" s="2">
        <v>45783</v>
      </c>
      <c r="I110" t="s">
        <v>0</v>
      </c>
      <c r="J110" t="s">
        <v>332</v>
      </c>
      <c r="K110" s="3">
        <v>514</v>
      </c>
      <c r="L110" t="s">
        <v>8</v>
      </c>
      <c r="P110" t="s">
        <v>0</v>
      </c>
      <c r="Q110" s="3">
        <v>10103.700000000001</v>
      </c>
      <c r="R110" t="s">
        <v>9</v>
      </c>
      <c r="S110" t="s">
        <v>0</v>
      </c>
      <c r="T110" t="s">
        <v>0</v>
      </c>
    </row>
    <row r="111" spans="1:20" ht="14" hidden="1" customHeight="1" outlineLevel="3" x14ac:dyDescent="0.25">
      <c r="A111" t="s">
        <v>1</v>
      </c>
      <c r="B111" t="s">
        <v>52</v>
      </c>
      <c r="C111" t="s">
        <v>53</v>
      </c>
      <c r="D111" t="s">
        <v>333</v>
      </c>
      <c r="E111" t="s">
        <v>334</v>
      </c>
      <c r="F111" t="s">
        <v>61</v>
      </c>
      <c r="G111" s="2">
        <v>45783</v>
      </c>
      <c r="H111" s="2">
        <v>45783</v>
      </c>
      <c r="I111" t="s">
        <v>0</v>
      </c>
      <c r="J111" t="s">
        <v>335</v>
      </c>
      <c r="K111" s="3">
        <v>1680</v>
      </c>
      <c r="L111" t="s">
        <v>8</v>
      </c>
      <c r="P111" t="s">
        <v>0</v>
      </c>
      <c r="Q111" s="3">
        <v>33023.760000000002</v>
      </c>
      <c r="R111" t="s">
        <v>9</v>
      </c>
      <c r="S111" t="s">
        <v>0</v>
      </c>
      <c r="T111" t="s">
        <v>0</v>
      </c>
    </row>
    <row r="112" spans="1:20" ht="14" hidden="1" customHeight="1" outlineLevel="3" x14ac:dyDescent="0.25">
      <c r="A112" t="s">
        <v>1</v>
      </c>
      <c r="B112" t="s">
        <v>52</v>
      </c>
      <c r="C112" t="s">
        <v>53</v>
      </c>
      <c r="D112" t="s">
        <v>336</v>
      </c>
      <c r="E112" t="s">
        <v>337</v>
      </c>
      <c r="F112" t="s">
        <v>61</v>
      </c>
      <c r="G112" s="2">
        <v>45783</v>
      </c>
      <c r="H112" s="2">
        <v>45783</v>
      </c>
      <c r="I112" t="s">
        <v>0</v>
      </c>
      <c r="J112" t="s">
        <v>338</v>
      </c>
      <c r="K112" s="3">
        <v>667.5</v>
      </c>
      <c r="L112" t="s">
        <v>8</v>
      </c>
      <c r="P112" t="s">
        <v>0</v>
      </c>
      <c r="Q112" s="3">
        <v>13121.05</v>
      </c>
      <c r="R112" t="s">
        <v>9</v>
      </c>
      <c r="S112" t="s">
        <v>0</v>
      </c>
      <c r="T112" t="s">
        <v>0</v>
      </c>
    </row>
    <row r="113" spans="1:20" ht="14" hidden="1" customHeight="1" outlineLevel="3" x14ac:dyDescent="0.25">
      <c r="A113" t="s">
        <v>1</v>
      </c>
      <c r="B113" t="s">
        <v>52</v>
      </c>
      <c r="C113" t="s">
        <v>53</v>
      </c>
      <c r="D113" t="s">
        <v>339</v>
      </c>
      <c r="E113" t="s">
        <v>340</v>
      </c>
      <c r="F113" t="s">
        <v>61</v>
      </c>
      <c r="G113" s="2">
        <v>45783</v>
      </c>
      <c r="H113" s="2">
        <v>45783</v>
      </c>
      <c r="I113" t="s">
        <v>0</v>
      </c>
      <c r="J113" t="s">
        <v>341</v>
      </c>
      <c r="K113" s="3">
        <v>1926.5</v>
      </c>
      <c r="L113" t="s">
        <v>8</v>
      </c>
      <c r="P113" t="s">
        <v>0</v>
      </c>
      <c r="Q113" s="3">
        <v>37869.21</v>
      </c>
      <c r="R113" t="s">
        <v>9</v>
      </c>
      <c r="S113" t="s">
        <v>0</v>
      </c>
      <c r="T113" t="s">
        <v>0</v>
      </c>
    </row>
    <row r="114" spans="1:20" ht="14" hidden="1" customHeight="1" outlineLevel="3" x14ac:dyDescent="0.25">
      <c r="A114" t="s">
        <v>1</v>
      </c>
      <c r="B114" t="s">
        <v>52</v>
      </c>
      <c r="C114" t="s">
        <v>53</v>
      </c>
      <c r="D114" t="s">
        <v>342</v>
      </c>
      <c r="E114" t="s">
        <v>343</v>
      </c>
      <c r="F114" t="s">
        <v>61</v>
      </c>
      <c r="G114" s="2">
        <v>45783</v>
      </c>
      <c r="H114" s="2">
        <v>45783</v>
      </c>
      <c r="I114" t="s">
        <v>0</v>
      </c>
      <c r="J114" t="s">
        <v>344</v>
      </c>
      <c r="K114" s="3">
        <v>1028</v>
      </c>
      <c r="L114" t="s">
        <v>8</v>
      </c>
      <c r="P114" t="s">
        <v>0</v>
      </c>
      <c r="Q114" s="3">
        <v>20207.400000000001</v>
      </c>
      <c r="R114" t="s">
        <v>9</v>
      </c>
      <c r="S114" t="s">
        <v>0</v>
      </c>
      <c r="T114" t="s">
        <v>0</v>
      </c>
    </row>
    <row r="115" spans="1:20" ht="14" hidden="1" customHeight="1" outlineLevel="3" x14ac:dyDescent="0.25">
      <c r="A115" t="s">
        <v>1</v>
      </c>
      <c r="B115" t="s">
        <v>52</v>
      </c>
      <c r="C115" t="s">
        <v>53</v>
      </c>
      <c r="D115" t="s">
        <v>345</v>
      </c>
      <c r="E115" t="s">
        <v>346</v>
      </c>
      <c r="F115" t="s">
        <v>61</v>
      </c>
      <c r="G115" s="2">
        <v>45783</v>
      </c>
      <c r="H115" s="2">
        <v>45783</v>
      </c>
      <c r="I115" t="s">
        <v>0</v>
      </c>
      <c r="J115" t="s">
        <v>347</v>
      </c>
      <c r="K115" s="3">
        <v>1680</v>
      </c>
      <c r="L115" t="s">
        <v>8</v>
      </c>
      <c r="P115" t="s">
        <v>0</v>
      </c>
      <c r="Q115" s="3">
        <v>33023.760000000002</v>
      </c>
      <c r="R115" t="s">
        <v>9</v>
      </c>
      <c r="S115" t="s">
        <v>0</v>
      </c>
      <c r="T115" t="s">
        <v>0</v>
      </c>
    </row>
    <row r="116" spans="1:20" ht="14" hidden="1" customHeight="1" outlineLevel="3" x14ac:dyDescent="0.25">
      <c r="A116" t="s">
        <v>1</v>
      </c>
      <c r="B116" t="s">
        <v>52</v>
      </c>
      <c r="C116" t="s">
        <v>53</v>
      </c>
      <c r="D116" t="s">
        <v>348</v>
      </c>
      <c r="E116" t="s">
        <v>349</v>
      </c>
      <c r="F116" t="s">
        <v>61</v>
      </c>
      <c r="G116" s="2">
        <v>45783</v>
      </c>
      <c r="H116" s="2">
        <v>45783</v>
      </c>
      <c r="I116" t="s">
        <v>0</v>
      </c>
      <c r="J116" t="s">
        <v>350</v>
      </c>
      <c r="K116" s="3">
        <v>614</v>
      </c>
      <c r="L116" t="s">
        <v>8</v>
      </c>
      <c r="P116" t="s">
        <v>0</v>
      </c>
      <c r="Q116" s="3">
        <v>12069.4</v>
      </c>
      <c r="R116" t="s">
        <v>9</v>
      </c>
      <c r="S116" t="s">
        <v>0</v>
      </c>
      <c r="T116" t="s">
        <v>0</v>
      </c>
    </row>
    <row r="117" spans="1:20" ht="14" hidden="1" customHeight="1" outlineLevel="3" x14ac:dyDescent="0.25">
      <c r="A117" t="s">
        <v>1</v>
      </c>
      <c r="B117" t="s">
        <v>52</v>
      </c>
      <c r="C117" t="s">
        <v>53</v>
      </c>
      <c r="D117" t="s">
        <v>351</v>
      </c>
      <c r="E117" t="s">
        <v>352</v>
      </c>
      <c r="F117" t="s">
        <v>61</v>
      </c>
      <c r="G117" s="2">
        <v>45783</v>
      </c>
      <c r="H117" s="2">
        <v>45783</v>
      </c>
      <c r="I117" t="s">
        <v>0</v>
      </c>
      <c r="J117" t="s">
        <v>353</v>
      </c>
      <c r="K117" s="3">
        <v>1777</v>
      </c>
      <c r="L117" t="s">
        <v>8</v>
      </c>
      <c r="P117" t="s">
        <v>0</v>
      </c>
      <c r="Q117" s="3">
        <v>34930.49</v>
      </c>
      <c r="R117" t="s">
        <v>9</v>
      </c>
      <c r="S117" t="s">
        <v>0</v>
      </c>
      <c r="T117" t="s">
        <v>0</v>
      </c>
    </row>
    <row r="118" spans="1:20" ht="14" hidden="1" customHeight="1" outlineLevel="3" x14ac:dyDescent="0.25">
      <c r="A118" t="s">
        <v>1</v>
      </c>
      <c r="B118" t="s">
        <v>52</v>
      </c>
      <c r="C118" t="s">
        <v>53</v>
      </c>
      <c r="D118" t="s">
        <v>354</v>
      </c>
      <c r="E118" t="s">
        <v>355</v>
      </c>
      <c r="F118" t="s">
        <v>61</v>
      </c>
      <c r="G118" s="2">
        <v>45783</v>
      </c>
      <c r="H118" s="2">
        <v>45783</v>
      </c>
      <c r="I118" t="s">
        <v>0</v>
      </c>
      <c r="J118" t="s">
        <v>356</v>
      </c>
      <c r="K118" s="3">
        <v>12069.6</v>
      </c>
      <c r="L118" t="s">
        <v>8</v>
      </c>
      <c r="P118" t="s">
        <v>0</v>
      </c>
      <c r="Q118" s="3">
        <v>237252.13</v>
      </c>
      <c r="R118" t="s">
        <v>9</v>
      </c>
      <c r="S118" t="s">
        <v>0</v>
      </c>
      <c r="T118" t="s">
        <v>0</v>
      </c>
    </row>
    <row r="119" spans="1:20" ht="14" hidden="1" customHeight="1" outlineLevel="3" x14ac:dyDescent="0.25">
      <c r="A119" t="s">
        <v>1</v>
      </c>
      <c r="B119" t="s">
        <v>52</v>
      </c>
      <c r="C119" t="s">
        <v>53</v>
      </c>
      <c r="D119" t="s">
        <v>357</v>
      </c>
      <c r="E119" t="s">
        <v>358</v>
      </c>
      <c r="F119" t="s">
        <v>61</v>
      </c>
      <c r="G119" s="2">
        <v>45783</v>
      </c>
      <c r="H119" s="2">
        <v>45783</v>
      </c>
      <c r="I119" t="s">
        <v>0</v>
      </c>
      <c r="J119" t="s">
        <v>359</v>
      </c>
      <c r="K119" s="3">
        <v>202</v>
      </c>
      <c r="L119" t="s">
        <v>8</v>
      </c>
      <c r="P119" t="s">
        <v>0</v>
      </c>
      <c r="Q119" s="3">
        <v>3970.71</v>
      </c>
      <c r="R119" t="s">
        <v>9</v>
      </c>
      <c r="S119" t="s">
        <v>0</v>
      </c>
      <c r="T119" t="s">
        <v>0</v>
      </c>
    </row>
    <row r="120" spans="1:20" ht="14" hidden="1" customHeight="1" outlineLevel="3" x14ac:dyDescent="0.25">
      <c r="A120" t="s">
        <v>1</v>
      </c>
      <c r="B120" t="s">
        <v>52</v>
      </c>
      <c r="C120" t="s">
        <v>53</v>
      </c>
      <c r="D120" t="s">
        <v>360</v>
      </c>
      <c r="E120" t="s">
        <v>361</v>
      </c>
      <c r="F120" t="s">
        <v>61</v>
      </c>
      <c r="G120" s="2">
        <v>45783</v>
      </c>
      <c r="H120" s="2">
        <v>45783</v>
      </c>
      <c r="I120" t="s">
        <v>0</v>
      </c>
      <c r="J120" t="s">
        <v>362</v>
      </c>
      <c r="K120" s="3">
        <v>1565.4</v>
      </c>
      <c r="L120" t="s">
        <v>8</v>
      </c>
      <c r="P120" t="s">
        <v>0</v>
      </c>
      <c r="Q120" s="3">
        <v>30771.07</v>
      </c>
      <c r="R120" t="s">
        <v>9</v>
      </c>
      <c r="S120" t="s">
        <v>0</v>
      </c>
      <c r="T120" t="s">
        <v>0</v>
      </c>
    </row>
    <row r="121" spans="1:20" ht="14" hidden="1" customHeight="1" outlineLevel="3" x14ac:dyDescent="0.25">
      <c r="A121" t="s">
        <v>1</v>
      </c>
      <c r="B121" t="s">
        <v>52</v>
      </c>
      <c r="C121" t="s">
        <v>53</v>
      </c>
      <c r="D121" t="s">
        <v>363</v>
      </c>
      <c r="E121" t="s">
        <v>364</v>
      </c>
      <c r="F121" t="s">
        <v>61</v>
      </c>
      <c r="G121" s="2">
        <v>45783</v>
      </c>
      <c r="H121" s="2">
        <v>45783</v>
      </c>
      <c r="I121" t="s">
        <v>0</v>
      </c>
      <c r="J121" t="s">
        <v>365</v>
      </c>
      <c r="K121" s="3">
        <v>514</v>
      </c>
      <c r="L121" t="s">
        <v>8</v>
      </c>
      <c r="P121" t="s">
        <v>0</v>
      </c>
      <c r="Q121" s="3">
        <v>10103.700000000001</v>
      </c>
      <c r="R121" t="s">
        <v>9</v>
      </c>
      <c r="S121" t="s">
        <v>0</v>
      </c>
      <c r="T121" t="s">
        <v>0</v>
      </c>
    </row>
    <row r="122" spans="1:20" ht="14" hidden="1" customHeight="1" outlineLevel="3" x14ac:dyDescent="0.25">
      <c r="A122" t="s">
        <v>1</v>
      </c>
      <c r="B122" t="s">
        <v>52</v>
      </c>
      <c r="C122" t="s">
        <v>53</v>
      </c>
      <c r="D122" t="s">
        <v>366</v>
      </c>
      <c r="E122" t="s">
        <v>367</v>
      </c>
      <c r="F122" t="s">
        <v>61</v>
      </c>
      <c r="G122" s="2">
        <v>45783</v>
      </c>
      <c r="H122" s="2">
        <v>45783</v>
      </c>
      <c r="I122" t="s">
        <v>0</v>
      </c>
      <c r="J122" t="s">
        <v>368</v>
      </c>
      <c r="K122" s="3">
        <v>1680</v>
      </c>
      <c r="L122" t="s">
        <v>8</v>
      </c>
      <c r="P122" t="s">
        <v>0</v>
      </c>
      <c r="Q122" s="3">
        <v>33023.760000000002</v>
      </c>
      <c r="R122" t="s">
        <v>9</v>
      </c>
      <c r="S122" t="s">
        <v>0</v>
      </c>
      <c r="T122" t="s">
        <v>0</v>
      </c>
    </row>
    <row r="123" spans="1:20" ht="14" hidden="1" customHeight="1" outlineLevel="3" x14ac:dyDescent="0.25">
      <c r="A123" t="s">
        <v>1</v>
      </c>
      <c r="B123" t="s">
        <v>52</v>
      </c>
      <c r="C123" t="s">
        <v>53</v>
      </c>
      <c r="D123" t="s">
        <v>369</v>
      </c>
      <c r="E123" t="s">
        <v>370</v>
      </c>
      <c r="F123" t="s">
        <v>61</v>
      </c>
      <c r="G123" s="2">
        <v>45783</v>
      </c>
      <c r="H123" s="2">
        <v>45783</v>
      </c>
      <c r="I123" t="s">
        <v>0</v>
      </c>
      <c r="J123" t="s">
        <v>371</v>
      </c>
      <c r="K123" s="3">
        <v>614</v>
      </c>
      <c r="L123" t="s">
        <v>8</v>
      </c>
      <c r="P123" t="s">
        <v>0</v>
      </c>
      <c r="Q123" s="3">
        <v>12069.4</v>
      </c>
      <c r="R123" t="s">
        <v>9</v>
      </c>
      <c r="S123" t="s">
        <v>0</v>
      </c>
      <c r="T123" t="s">
        <v>0</v>
      </c>
    </row>
    <row r="124" spans="1:20" ht="14" hidden="1" customHeight="1" outlineLevel="3" x14ac:dyDescent="0.25">
      <c r="A124" t="s">
        <v>1</v>
      </c>
      <c r="B124" t="s">
        <v>52</v>
      </c>
      <c r="C124" t="s">
        <v>53</v>
      </c>
      <c r="D124" t="s">
        <v>372</v>
      </c>
      <c r="E124" t="s">
        <v>373</v>
      </c>
      <c r="F124" t="s">
        <v>61</v>
      </c>
      <c r="G124" s="2">
        <v>45783</v>
      </c>
      <c r="H124" s="2">
        <v>45783</v>
      </c>
      <c r="I124" t="s">
        <v>0</v>
      </c>
      <c r="J124" t="s">
        <v>374</v>
      </c>
      <c r="K124" s="3">
        <v>1926.5</v>
      </c>
      <c r="L124" t="s">
        <v>8</v>
      </c>
      <c r="P124" t="s">
        <v>0</v>
      </c>
      <c r="Q124" s="3">
        <v>37869.21</v>
      </c>
      <c r="R124" t="s">
        <v>9</v>
      </c>
      <c r="S124" t="s">
        <v>0</v>
      </c>
      <c r="T124" t="s">
        <v>0</v>
      </c>
    </row>
    <row r="125" spans="1:20" ht="14" hidden="1" customHeight="1" outlineLevel="3" x14ac:dyDescent="0.25">
      <c r="A125" t="s">
        <v>1</v>
      </c>
      <c r="B125" t="s">
        <v>52</v>
      </c>
      <c r="C125" t="s">
        <v>53</v>
      </c>
      <c r="D125" t="s">
        <v>375</v>
      </c>
      <c r="E125" t="s">
        <v>376</v>
      </c>
      <c r="F125" t="s">
        <v>61</v>
      </c>
      <c r="G125" s="2">
        <v>45783</v>
      </c>
      <c r="H125" s="2">
        <v>45783</v>
      </c>
      <c r="I125" t="s">
        <v>0</v>
      </c>
      <c r="J125" t="s">
        <v>377</v>
      </c>
      <c r="K125" s="3">
        <v>1777</v>
      </c>
      <c r="L125" t="s">
        <v>8</v>
      </c>
      <c r="P125" t="s">
        <v>0</v>
      </c>
      <c r="Q125" s="3">
        <v>34930.49</v>
      </c>
      <c r="R125" t="s">
        <v>9</v>
      </c>
      <c r="S125" t="s">
        <v>0</v>
      </c>
      <c r="T125" t="s">
        <v>0</v>
      </c>
    </row>
    <row r="126" spans="1:20" ht="14" hidden="1" customHeight="1" outlineLevel="3" x14ac:dyDescent="0.25">
      <c r="A126" t="s">
        <v>1</v>
      </c>
      <c r="B126" t="s">
        <v>52</v>
      </c>
      <c r="C126" t="s">
        <v>53</v>
      </c>
      <c r="D126" t="s">
        <v>378</v>
      </c>
      <c r="E126" t="s">
        <v>379</v>
      </c>
      <c r="F126" t="s">
        <v>61</v>
      </c>
      <c r="G126" s="2">
        <v>45793</v>
      </c>
      <c r="H126" s="2">
        <v>45793</v>
      </c>
      <c r="I126" t="s">
        <v>0</v>
      </c>
      <c r="J126" t="s">
        <v>380</v>
      </c>
      <c r="K126" s="3">
        <v>11542</v>
      </c>
      <c r="L126" t="s">
        <v>8</v>
      </c>
      <c r="P126" t="s">
        <v>0</v>
      </c>
      <c r="Q126" s="3">
        <v>223487.75</v>
      </c>
      <c r="R126" t="s">
        <v>9</v>
      </c>
      <c r="S126" t="s">
        <v>0</v>
      </c>
      <c r="T126" t="s">
        <v>0</v>
      </c>
    </row>
    <row r="127" spans="1:20" ht="14" hidden="1" customHeight="1" outlineLevel="3" x14ac:dyDescent="0.25">
      <c r="A127" t="s">
        <v>1</v>
      </c>
      <c r="B127" t="s">
        <v>52</v>
      </c>
      <c r="C127" t="s">
        <v>53</v>
      </c>
      <c r="D127" t="s">
        <v>381</v>
      </c>
      <c r="E127" t="s">
        <v>382</v>
      </c>
      <c r="F127" t="s">
        <v>61</v>
      </c>
      <c r="G127" s="2">
        <v>45812</v>
      </c>
      <c r="H127" s="2">
        <v>45812</v>
      </c>
      <c r="I127" t="s">
        <v>0</v>
      </c>
      <c r="J127" t="s">
        <v>383</v>
      </c>
      <c r="K127" s="3">
        <v>3494.4</v>
      </c>
      <c r="L127" t="s">
        <v>8</v>
      </c>
      <c r="P127" t="s">
        <v>0</v>
      </c>
      <c r="Q127" s="3">
        <v>67210.59</v>
      </c>
      <c r="R127" t="s">
        <v>9</v>
      </c>
      <c r="S127" t="s">
        <v>0</v>
      </c>
      <c r="T127" t="s">
        <v>0</v>
      </c>
    </row>
    <row r="128" spans="1:20" ht="14" hidden="1" customHeight="1" outlineLevel="3" x14ac:dyDescent="0.25">
      <c r="A128" t="s">
        <v>1</v>
      </c>
      <c r="B128" t="s">
        <v>52</v>
      </c>
      <c r="C128" t="s">
        <v>53</v>
      </c>
      <c r="D128" t="s">
        <v>384</v>
      </c>
      <c r="E128" t="s">
        <v>385</v>
      </c>
      <c r="F128" t="s">
        <v>61</v>
      </c>
      <c r="G128" s="2">
        <v>45812</v>
      </c>
      <c r="H128" s="2">
        <v>45812</v>
      </c>
      <c r="I128" t="s">
        <v>0</v>
      </c>
      <c r="J128" t="s">
        <v>386</v>
      </c>
      <c r="K128" s="3">
        <v>28781.599999999999</v>
      </c>
      <c r="L128" t="s">
        <v>8</v>
      </c>
      <c r="P128" t="s">
        <v>0</v>
      </c>
      <c r="Q128" s="3">
        <v>553579.54</v>
      </c>
      <c r="R128" t="s">
        <v>9</v>
      </c>
      <c r="S128" t="s">
        <v>0</v>
      </c>
      <c r="T128" t="s">
        <v>0</v>
      </c>
    </row>
    <row r="129" spans="1:20" ht="14" hidden="1" customHeight="1" outlineLevel="3" x14ac:dyDescent="0.25">
      <c r="A129" t="s">
        <v>1</v>
      </c>
      <c r="B129" t="s">
        <v>52</v>
      </c>
      <c r="C129" t="s">
        <v>53</v>
      </c>
      <c r="D129" t="s">
        <v>387</v>
      </c>
      <c r="E129" t="s">
        <v>388</v>
      </c>
      <c r="F129" t="s">
        <v>61</v>
      </c>
      <c r="G129" s="2">
        <v>45824</v>
      </c>
      <c r="H129" s="2">
        <v>45824</v>
      </c>
      <c r="I129" t="s">
        <v>0</v>
      </c>
      <c r="J129" t="s">
        <v>389</v>
      </c>
      <c r="K129" s="3">
        <v>4032</v>
      </c>
      <c r="L129" t="s">
        <v>8</v>
      </c>
      <c r="P129" t="s">
        <v>0</v>
      </c>
      <c r="Q129" s="3">
        <v>76232.22</v>
      </c>
      <c r="R129" t="s">
        <v>9</v>
      </c>
      <c r="S129" t="s">
        <v>0</v>
      </c>
      <c r="T129" t="s">
        <v>0</v>
      </c>
    </row>
    <row r="130" spans="1:20" ht="14" hidden="1" customHeight="1" outlineLevel="3" x14ac:dyDescent="0.25">
      <c r="A130" t="s">
        <v>1</v>
      </c>
      <c r="B130" t="s">
        <v>52</v>
      </c>
      <c r="C130" t="s">
        <v>53</v>
      </c>
      <c r="D130" t="s">
        <v>390</v>
      </c>
      <c r="E130" t="s">
        <v>391</v>
      </c>
      <c r="F130" t="s">
        <v>61</v>
      </c>
      <c r="G130" s="2">
        <v>45831</v>
      </c>
      <c r="H130" s="2">
        <v>45831</v>
      </c>
      <c r="I130" t="s">
        <v>0</v>
      </c>
      <c r="J130" t="s">
        <v>392</v>
      </c>
      <c r="K130" s="3">
        <v>10232</v>
      </c>
      <c r="L130" t="s">
        <v>8</v>
      </c>
      <c r="P130" t="s">
        <v>0</v>
      </c>
      <c r="Q130" s="3">
        <v>195326.83</v>
      </c>
      <c r="R130" t="s">
        <v>9</v>
      </c>
      <c r="S130" t="s">
        <v>0</v>
      </c>
      <c r="T130" t="s">
        <v>0</v>
      </c>
    </row>
    <row r="131" spans="1:20" ht="14" hidden="1" customHeight="1" outlineLevel="3" x14ac:dyDescent="0.25">
      <c r="A131" t="s">
        <v>1</v>
      </c>
      <c r="B131" t="s">
        <v>52</v>
      </c>
      <c r="C131" t="s">
        <v>53</v>
      </c>
      <c r="D131" t="s">
        <v>393</v>
      </c>
      <c r="E131" t="s">
        <v>394</v>
      </c>
      <c r="F131" t="s">
        <v>61</v>
      </c>
      <c r="G131" s="2">
        <v>45833</v>
      </c>
      <c r="H131" s="2">
        <v>45833</v>
      </c>
      <c r="I131" t="s">
        <v>0</v>
      </c>
      <c r="J131" t="s">
        <v>395</v>
      </c>
      <c r="K131" s="3">
        <v>302.5</v>
      </c>
      <c r="L131" t="s">
        <v>8</v>
      </c>
      <c r="P131" t="s">
        <v>0</v>
      </c>
      <c r="Q131" s="3">
        <v>5793.69</v>
      </c>
      <c r="R131" t="s">
        <v>9</v>
      </c>
      <c r="S131" t="s">
        <v>0</v>
      </c>
      <c r="T131" t="s">
        <v>0</v>
      </c>
    </row>
    <row r="132" spans="1:20" ht="14" hidden="1" customHeight="1" outlineLevel="3" x14ac:dyDescent="0.25">
      <c r="A132" t="s">
        <v>1</v>
      </c>
      <c r="B132" t="s">
        <v>52</v>
      </c>
      <c r="C132" t="s">
        <v>53</v>
      </c>
      <c r="D132" t="s">
        <v>396</v>
      </c>
      <c r="E132" t="s">
        <v>397</v>
      </c>
      <c r="F132" t="s">
        <v>61</v>
      </c>
      <c r="G132" s="2">
        <v>45833</v>
      </c>
      <c r="H132" s="2">
        <v>45833</v>
      </c>
      <c r="I132" t="s">
        <v>0</v>
      </c>
      <c r="J132" t="s">
        <v>398</v>
      </c>
      <c r="K132" s="3">
        <v>174</v>
      </c>
      <c r="L132" t="s">
        <v>8</v>
      </c>
      <c r="P132" t="s">
        <v>0</v>
      </c>
      <c r="Q132" s="3">
        <v>3332.57</v>
      </c>
      <c r="R132" t="s">
        <v>9</v>
      </c>
      <c r="S132" t="s">
        <v>0</v>
      </c>
      <c r="T132" t="s">
        <v>0</v>
      </c>
    </row>
    <row r="133" spans="1:20" ht="14" hidden="1" customHeight="1" outlineLevel="3" x14ac:dyDescent="0.25">
      <c r="A133" t="s">
        <v>1</v>
      </c>
      <c r="B133" t="s">
        <v>52</v>
      </c>
      <c r="C133" t="s">
        <v>53</v>
      </c>
      <c r="D133" t="s">
        <v>399</v>
      </c>
      <c r="E133" t="s">
        <v>400</v>
      </c>
      <c r="F133" t="s">
        <v>61</v>
      </c>
      <c r="G133" s="2">
        <v>45845</v>
      </c>
      <c r="H133" s="2">
        <v>45845</v>
      </c>
      <c r="I133" t="s">
        <v>0</v>
      </c>
      <c r="J133" t="s">
        <v>401</v>
      </c>
      <c r="K133" s="3">
        <v>9016</v>
      </c>
      <c r="L133" t="s">
        <v>8</v>
      </c>
      <c r="P133" t="s">
        <v>0</v>
      </c>
      <c r="Q133" s="3">
        <v>168285.44</v>
      </c>
      <c r="R133" t="s">
        <v>9</v>
      </c>
      <c r="S133" t="s">
        <v>0</v>
      </c>
      <c r="T133" t="s">
        <v>0</v>
      </c>
    </row>
    <row r="134" spans="1:20" ht="14" hidden="1" customHeight="1" outlineLevel="3" x14ac:dyDescent="0.25">
      <c r="A134" t="s">
        <v>1</v>
      </c>
      <c r="B134" t="s">
        <v>52</v>
      </c>
      <c r="C134" t="s">
        <v>53</v>
      </c>
      <c r="D134" t="s">
        <v>402</v>
      </c>
      <c r="E134" t="s">
        <v>403</v>
      </c>
      <c r="F134" t="s">
        <v>61</v>
      </c>
      <c r="G134" s="2">
        <v>45845</v>
      </c>
      <c r="H134" s="2">
        <v>45845</v>
      </c>
      <c r="I134" t="s">
        <v>0</v>
      </c>
      <c r="J134" t="s">
        <v>404</v>
      </c>
      <c r="K134" s="3">
        <v>1056</v>
      </c>
      <c r="L134" t="s">
        <v>8</v>
      </c>
      <c r="P134" t="s">
        <v>0</v>
      </c>
      <c r="Q134" s="3">
        <v>19710.45</v>
      </c>
      <c r="R134" t="s">
        <v>9</v>
      </c>
      <c r="S134" t="s">
        <v>0</v>
      </c>
      <c r="T134" t="s">
        <v>0</v>
      </c>
    </row>
    <row r="135" spans="1:20" ht="14" hidden="1" customHeight="1" outlineLevel="3" x14ac:dyDescent="0.25">
      <c r="A135" t="s">
        <v>1</v>
      </c>
      <c r="B135" t="s">
        <v>52</v>
      </c>
      <c r="C135" t="s">
        <v>53</v>
      </c>
      <c r="D135" t="s">
        <v>405</v>
      </c>
      <c r="E135" t="s">
        <v>406</v>
      </c>
      <c r="F135" t="s">
        <v>61</v>
      </c>
      <c r="G135" s="2">
        <v>45845</v>
      </c>
      <c r="H135" s="2">
        <v>45845</v>
      </c>
      <c r="I135" t="s">
        <v>0</v>
      </c>
      <c r="J135" t="s">
        <v>407</v>
      </c>
      <c r="K135" s="3">
        <v>30060.400000000001</v>
      </c>
      <c r="L135" t="s">
        <v>8</v>
      </c>
      <c r="P135" t="s">
        <v>0</v>
      </c>
      <c r="Q135" s="3">
        <v>561083.38</v>
      </c>
      <c r="R135" t="s">
        <v>9</v>
      </c>
      <c r="S135" t="s">
        <v>0</v>
      </c>
      <c r="T135" t="s">
        <v>0</v>
      </c>
    </row>
    <row r="136" spans="1:20" ht="14" hidden="1" customHeight="1" outlineLevel="3" x14ac:dyDescent="0.25">
      <c r="A136" t="s">
        <v>1</v>
      </c>
      <c r="B136" t="s">
        <v>52</v>
      </c>
      <c r="C136" t="s">
        <v>53</v>
      </c>
      <c r="D136" t="s">
        <v>408</v>
      </c>
      <c r="E136" t="s">
        <v>409</v>
      </c>
      <c r="F136" t="s">
        <v>61</v>
      </c>
      <c r="G136" s="2">
        <v>45845</v>
      </c>
      <c r="H136" s="2">
        <v>45845</v>
      </c>
      <c r="I136" t="s">
        <v>0</v>
      </c>
      <c r="J136" t="s">
        <v>410</v>
      </c>
      <c r="K136" s="3">
        <v>8772</v>
      </c>
      <c r="L136" t="s">
        <v>8</v>
      </c>
      <c r="P136" t="s">
        <v>0</v>
      </c>
      <c r="Q136" s="3">
        <v>163731.13</v>
      </c>
      <c r="R136" t="s">
        <v>9</v>
      </c>
      <c r="S136" t="s">
        <v>0</v>
      </c>
      <c r="T136" t="s">
        <v>0</v>
      </c>
    </row>
    <row r="137" spans="1:20" ht="14" hidden="1" customHeight="1" outlineLevel="3" x14ac:dyDescent="0.25">
      <c r="A137" t="s">
        <v>1</v>
      </c>
      <c r="B137" t="s">
        <v>52</v>
      </c>
      <c r="C137" t="s">
        <v>53</v>
      </c>
      <c r="D137" t="s">
        <v>411</v>
      </c>
      <c r="E137" t="s">
        <v>412</v>
      </c>
      <c r="F137" t="s">
        <v>61</v>
      </c>
      <c r="G137" s="2">
        <v>45845</v>
      </c>
      <c r="H137" s="2">
        <v>45845</v>
      </c>
      <c r="I137" t="s">
        <v>0</v>
      </c>
      <c r="J137" t="s">
        <v>413</v>
      </c>
      <c r="K137" s="3">
        <v>46080</v>
      </c>
      <c r="L137" t="s">
        <v>8</v>
      </c>
      <c r="P137" t="s">
        <v>0</v>
      </c>
      <c r="Q137" s="3">
        <v>860092.42</v>
      </c>
      <c r="R137" t="s">
        <v>9</v>
      </c>
      <c r="S137" t="s">
        <v>0</v>
      </c>
      <c r="T137" t="s">
        <v>0</v>
      </c>
    </row>
    <row r="138" spans="1:20" ht="14" hidden="1" customHeight="1" outlineLevel="3" x14ac:dyDescent="0.25">
      <c r="A138" t="s">
        <v>1</v>
      </c>
      <c r="B138" t="s">
        <v>52</v>
      </c>
      <c r="C138" t="s">
        <v>53</v>
      </c>
      <c r="D138" t="s">
        <v>414</v>
      </c>
      <c r="E138" t="s">
        <v>415</v>
      </c>
      <c r="F138" t="s">
        <v>61</v>
      </c>
      <c r="G138" s="2">
        <v>45845</v>
      </c>
      <c r="H138" s="2">
        <v>45845</v>
      </c>
      <c r="I138" t="s">
        <v>0</v>
      </c>
      <c r="J138" t="s">
        <v>416</v>
      </c>
      <c r="K138" s="3">
        <v>53840</v>
      </c>
      <c r="L138" t="s">
        <v>8</v>
      </c>
      <c r="P138" t="s">
        <v>0</v>
      </c>
      <c r="Q138" s="3">
        <v>1004934.37</v>
      </c>
      <c r="R138" t="s">
        <v>9</v>
      </c>
      <c r="S138" t="s">
        <v>0</v>
      </c>
      <c r="T138" t="s">
        <v>0</v>
      </c>
    </row>
    <row r="139" spans="1:20" ht="14" hidden="1" customHeight="1" outlineLevel="3" x14ac:dyDescent="0.25">
      <c r="A139" t="s">
        <v>1</v>
      </c>
      <c r="B139" t="s">
        <v>52</v>
      </c>
      <c r="C139" t="s">
        <v>53</v>
      </c>
      <c r="D139" t="s">
        <v>417</v>
      </c>
      <c r="E139" t="s">
        <v>418</v>
      </c>
      <c r="F139" t="s">
        <v>61</v>
      </c>
      <c r="G139" s="2">
        <v>45849</v>
      </c>
      <c r="H139" s="2">
        <v>45849</v>
      </c>
      <c r="I139" t="s">
        <v>0</v>
      </c>
      <c r="J139" t="s">
        <v>419</v>
      </c>
      <c r="K139" s="3">
        <v>1163.8</v>
      </c>
      <c r="L139" t="s">
        <v>8</v>
      </c>
      <c r="P139" t="s">
        <v>0</v>
      </c>
      <c r="Q139" s="3">
        <v>21615.61</v>
      </c>
      <c r="R139" t="s">
        <v>9</v>
      </c>
      <c r="S139" t="s">
        <v>0</v>
      </c>
      <c r="T139" t="s">
        <v>0</v>
      </c>
    </row>
    <row r="140" spans="1:20" ht="14" hidden="1" customHeight="1" outlineLevel="3" x14ac:dyDescent="0.25">
      <c r="A140" t="s">
        <v>1</v>
      </c>
      <c r="B140" t="s">
        <v>52</v>
      </c>
      <c r="C140" t="s">
        <v>53</v>
      </c>
      <c r="D140" t="s">
        <v>420</v>
      </c>
      <c r="E140" t="s">
        <v>421</v>
      </c>
      <c r="F140" t="s">
        <v>61</v>
      </c>
      <c r="G140" s="2">
        <v>45849</v>
      </c>
      <c r="H140" s="2">
        <v>45849</v>
      </c>
      <c r="I140" t="s">
        <v>0</v>
      </c>
      <c r="J140" t="s">
        <v>422</v>
      </c>
      <c r="K140" s="3">
        <v>1028.8</v>
      </c>
      <c r="L140" t="s">
        <v>8</v>
      </c>
      <c r="P140" t="s">
        <v>0</v>
      </c>
      <c r="Q140" s="3">
        <v>19108.21</v>
      </c>
      <c r="R140" t="s">
        <v>9</v>
      </c>
      <c r="S140" t="s">
        <v>0</v>
      </c>
      <c r="T140" t="s">
        <v>0</v>
      </c>
    </row>
    <row r="141" spans="1:20" ht="14" hidden="1" customHeight="1" outlineLevel="3" x14ac:dyDescent="0.25">
      <c r="A141" t="s">
        <v>1</v>
      </c>
      <c r="B141" t="s">
        <v>52</v>
      </c>
      <c r="C141" t="s">
        <v>53</v>
      </c>
      <c r="D141" t="s">
        <v>423</v>
      </c>
      <c r="E141" t="s">
        <v>424</v>
      </c>
      <c r="F141" t="s">
        <v>61</v>
      </c>
      <c r="G141" s="2">
        <v>45849</v>
      </c>
      <c r="H141" s="2">
        <v>45849</v>
      </c>
      <c r="I141" t="s">
        <v>0</v>
      </c>
      <c r="J141" t="s">
        <v>425</v>
      </c>
      <c r="K141" s="3">
        <v>3023.5</v>
      </c>
      <c r="L141" t="s">
        <v>8</v>
      </c>
      <c r="P141" t="s">
        <v>0</v>
      </c>
      <c r="Q141" s="3">
        <v>56156.37</v>
      </c>
      <c r="R141" t="s">
        <v>9</v>
      </c>
      <c r="S141" t="s">
        <v>0</v>
      </c>
      <c r="T141" t="s">
        <v>0</v>
      </c>
    </row>
    <row r="142" spans="1:20" ht="14" hidden="1" customHeight="1" outlineLevel="3" x14ac:dyDescent="0.25">
      <c r="A142" t="s">
        <v>1</v>
      </c>
      <c r="B142" t="s">
        <v>52</v>
      </c>
      <c r="C142" t="s">
        <v>53</v>
      </c>
      <c r="D142" t="s">
        <v>426</v>
      </c>
      <c r="E142" t="s">
        <v>427</v>
      </c>
      <c r="F142" t="s">
        <v>61</v>
      </c>
      <c r="G142" s="2">
        <v>45849</v>
      </c>
      <c r="H142" s="2">
        <v>45849</v>
      </c>
      <c r="I142" t="s">
        <v>0</v>
      </c>
      <c r="J142" t="s">
        <v>428</v>
      </c>
      <c r="K142" s="3">
        <v>7411.5</v>
      </c>
      <c r="L142" t="s">
        <v>8</v>
      </c>
      <c r="P142" t="s">
        <v>0</v>
      </c>
      <c r="Q142" s="3">
        <v>137656.01</v>
      </c>
      <c r="R142" t="s">
        <v>9</v>
      </c>
      <c r="S142" t="s">
        <v>0</v>
      </c>
      <c r="T142" t="s">
        <v>0</v>
      </c>
    </row>
    <row r="143" spans="1:20" ht="14" hidden="1" customHeight="1" outlineLevel="3" x14ac:dyDescent="0.25">
      <c r="A143" t="s">
        <v>1</v>
      </c>
      <c r="B143" t="s">
        <v>52</v>
      </c>
      <c r="C143" t="s">
        <v>53</v>
      </c>
      <c r="D143" t="s">
        <v>429</v>
      </c>
      <c r="E143" t="s">
        <v>430</v>
      </c>
      <c r="F143" t="s">
        <v>61</v>
      </c>
      <c r="G143" s="2">
        <v>45849</v>
      </c>
      <c r="H143" s="2">
        <v>45849</v>
      </c>
      <c r="I143" t="s">
        <v>0</v>
      </c>
      <c r="J143" t="s">
        <v>431</v>
      </c>
      <c r="K143" s="3">
        <v>6600</v>
      </c>
      <c r="L143" t="s">
        <v>8</v>
      </c>
      <c r="P143" t="s">
        <v>0</v>
      </c>
      <c r="Q143" s="3">
        <v>122583.78</v>
      </c>
      <c r="R143" t="s">
        <v>9</v>
      </c>
      <c r="S143" t="s">
        <v>0</v>
      </c>
      <c r="T143" t="s">
        <v>0</v>
      </c>
    </row>
    <row r="144" spans="1:20" ht="14" hidden="1" customHeight="1" outlineLevel="3" x14ac:dyDescent="0.25">
      <c r="A144" t="s">
        <v>1</v>
      </c>
      <c r="B144" t="s">
        <v>52</v>
      </c>
      <c r="C144" t="s">
        <v>53</v>
      </c>
      <c r="D144" t="s">
        <v>432</v>
      </c>
      <c r="E144" t="s">
        <v>433</v>
      </c>
      <c r="F144" t="s">
        <v>61</v>
      </c>
      <c r="G144" s="2">
        <v>45849</v>
      </c>
      <c r="H144" s="2">
        <v>45849</v>
      </c>
      <c r="I144" t="s">
        <v>0</v>
      </c>
      <c r="J144" t="s">
        <v>434</v>
      </c>
      <c r="K144" s="3">
        <v>164.1</v>
      </c>
      <c r="L144" t="s">
        <v>8</v>
      </c>
      <c r="P144" t="s">
        <v>0</v>
      </c>
      <c r="Q144" s="3">
        <v>3047.88</v>
      </c>
      <c r="R144" t="s">
        <v>9</v>
      </c>
      <c r="S144" t="s">
        <v>0</v>
      </c>
      <c r="T144" t="s">
        <v>0</v>
      </c>
    </row>
    <row r="145" spans="1:20" ht="14" hidden="1" customHeight="1" outlineLevel="3" x14ac:dyDescent="0.25">
      <c r="A145" t="s">
        <v>1</v>
      </c>
      <c r="B145" t="s">
        <v>52</v>
      </c>
      <c r="C145" t="s">
        <v>53</v>
      </c>
      <c r="D145" t="s">
        <v>435</v>
      </c>
      <c r="E145" t="s">
        <v>436</v>
      </c>
      <c r="F145" t="s">
        <v>61</v>
      </c>
      <c r="G145" s="2">
        <v>45849</v>
      </c>
      <c r="H145" s="2">
        <v>45849</v>
      </c>
      <c r="I145" t="s">
        <v>0</v>
      </c>
      <c r="J145" t="s">
        <v>437</v>
      </c>
      <c r="K145" s="3">
        <v>3023.5</v>
      </c>
      <c r="L145" t="s">
        <v>8</v>
      </c>
      <c r="P145" t="s">
        <v>0</v>
      </c>
      <c r="Q145" s="3">
        <v>56156.37</v>
      </c>
      <c r="R145" t="s">
        <v>9</v>
      </c>
      <c r="S145" t="s">
        <v>0</v>
      </c>
      <c r="T145" t="s">
        <v>0</v>
      </c>
    </row>
    <row r="146" spans="1:20" ht="14" hidden="1" customHeight="1" outlineLevel="3" x14ac:dyDescent="0.25">
      <c r="A146" t="s">
        <v>1</v>
      </c>
      <c r="B146" t="s">
        <v>52</v>
      </c>
      <c r="C146" t="s">
        <v>53</v>
      </c>
      <c r="D146" t="s">
        <v>438</v>
      </c>
      <c r="E146" t="s">
        <v>439</v>
      </c>
      <c r="F146" t="s">
        <v>61</v>
      </c>
      <c r="G146" s="2">
        <v>45849</v>
      </c>
      <c r="H146" s="2">
        <v>45849</v>
      </c>
      <c r="I146" t="s">
        <v>0</v>
      </c>
      <c r="J146" t="s">
        <v>440</v>
      </c>
      <c r="K146" s="3">
        <v>7310.5</v>
      </c>
      <c r="L146" t="s">
        <v>8</v>
      </c>
      <c r="P146" t="s">
        <v>0</v>
      </c>
      <c r="Q146" s="3">
        <v>135780.10999999999</v>
      </c>
      <c r="R146" t="s">
        <v>9</v>
      </c>
      <c r="S146" t="s">
        <v>0</v>
      </c>
      <c r="T146" t="s">
        <v>0</v>
      </c>
    </row>
    <row r="147" spans="1:20" ht="14" hidden="1" customHeight="1" outlineLevel="3" x14ac:dyDescent="0.25">
      <c r="A147" t="s">
        <v>1</v>
      </c>
      <c r="B147" t="s">
        <v>52</v>
      </c>
      <c r="C147" t="s">
        <v>53</v>
      </c>
      <c r="D147" t="s">
        <v>441</v>
      </c>
      <c r="E147" t="s">
        <v>442</v>
      </c>
      <c r="F147" t="s">
        <v>61</v>
      </c>
      <c r="G147" s="2">
        <v>45849</v>
      </c>
      <c r="H147" s="2">
        <v>45849</v>
      </c>
      <c r="I147" t="s">
        <v>0</v>
      </c>
      <c r="J147" t="s">
        <v>443</v>
      </c>
      <c r="K147" s="3">
        <v>1163.8</v>
      </c>
      <c r="L147" t="s">
        <v>8</v>
      </c>
      <c r="P147" t="s">
        <v>0</v>
      </c>
      <c r="Q147" s="3">
        <v>21615.61</v>
      </c>
      <c r="R147" t="s">
        <v>9</v>
      </c>
      <c r="S147" t="s">
        <v>0</v>
      </c>
      <c r="T147" t="s">
        <v>0</v>
      </c>
    </row>
    <row r="148" spans="1:20" ht="14" hidden="1" customHeight="1" outlineLevel="3" x14ac:dyDescent="0.25">
      <c r="A148" t="s">
        <v>1</v>
      </c>
      <c r="B148" t="s">
        <v>52</v>
      </c>
      <c r="C148" t="s">
        <v>53</v>
      </c>
      <c r="D148" t="s">
        <v>444</v>
      </c>
      <c r="E148" t="s">
        <v>445</v>
      </c>
      <c r="F148" t="s">
        <v>61</v>
      </c>
      <c r="G148" s="2">
        <v>45849</v>
      </c>
      <c r="H148" s="2">
        <v>45849</v>
      </c>
      <c r="I148" t="s">
        <v>0</v>
      </c>
      <c r="J148" t="s">
        <v>446</v>
      </c>
      <c r="K148" s="3">
        <v>1163.8</v>
      </c>
      <c r="L148" t="s">
        <v>8</v>
      </c>
      <c r="P148" t="s">
        <v>0</v>
      </c>
      <c r="Q148" s="3">
        <v>21615.61</v>
      </c>
      <c r="R148" t="s">
        <v>9</v>
      </c>
      <c r="S148" t="s">
        <v>0</v>
      </c>
      <c r="T148" t="s">
        <v>0</v>
      </c>
    </row>
    <row r="149" spans="1:20" ht="14" hidden="1" customHeight="1" outlineLevel="3" x14ac:dyDescent="0.25">
      <c r="A149" t="s">
        <v>1</v>
      </c>
      <c r="B149" t="s">
        <v>52</v>
      </c>
      <c r="C149" t="s">
        <v>53</v>
      </c>
      <c r="D149" t="s">
        <v>447</v>
      </c>
      <c r="E149" t="s">
        <v>448</v>
      </c>
      <c r="F149" t="s">
        <v>61</v>
      </c>
      <c r="G149" s="2">
        <v>45849</v>
      </c>
      <c r="H149" s="2">
        <v>45849</v>
      </c>
      <c r="I149" t="s">
        <v>0</v>
      </c>
      <c r="J149" t="s">
        <v>449</v>
      </c>
      <c r="K149" s="3">
        <v>977.4</v>
      </c>
      <c r="L149" t="s">
        <v>8</v>
      </c>
      <c r="P149" t="s">
        <v>0</v>
      </c>
      <c r="Q149" s="3">
        <v>18153.54</v>
      </c>
      <c r="R149" t="s">
        <v>9</v>
      </c>
      <c r="S149" t="s">
        <v>0</v>
      </c>
      <c r="T149" t="s">
        <v>0</v>
      </c>
    </row>
    <row r="150" spans="1:20" ht="14" hidden="1" customHeight="1" outlineLevel="3" x14ac:dyDescent="0.25">
      <c r="A150" t="s">
        <v>1</v>
      </c>
      <c r="B150" t="s">
        <v>52</v>
      </c>
      <c r="C150" t="s">
        <v>53</v>
      </c>
      <c r="D150" t="s">
        <v>450</v>
      </c>
      <c r="E150" t="s">
        <v>451</v>
      </c>
      <c r="F150" t="s">
        <v>61</v>
      </c>
      <c r="G150" s="2">
        <v>45849</v>
      </c>
      <c r="H150" s="2">
        <v>45849</v>
      </c>
      <c r="I150" t="s">
        <v>0</v>
      </c>
      <c r="J150" t="s">
        <v>452</v>
      </c>
      <c r="K150" s="3">
        <v>967.68</v>
      </c>
      <c r="L150" t="s">
        <v>8</v>
      </c>
      <c r="P150" t="s">
        <v>0</v>
      </c>
      <c r="Q150" s="3">
        <v>17973.009999999998</v>
      </c>
      <c r="R150" t="s">
        <v>9</v>
      </c>
      <c r="S150" t="s">
        <v>0</v>
      </c>
      <c r="T150" t="s">
        <v>0</v>
      </c>
    </row>
    <row r="151" spans="1:20" ht="14" hidden="1" customHeight="1" outlineLevel="3" x14ac:dyDescent="0.25">
      <c r="A151" t="s">
        <v>1</v>
      </c>
      <c r="B151" t="s">
        <v>52</v>
      </c>
      <c r="C151" t="s">
        <v>53</v>
      </c>
      <c r="D151" t="s">
        <v>453</v>
      </c>
      <c r="E151" t="s">
        <v>454</v>
      </c>
      <c r="F151" t="s">
        <v>61</v>
      </c>
      <c r="G151" s="2">
        <v>45849</v>
      </c>
      <c r="H151" s="2">
        <v>45849</v>
      </c>
      <c r="I151" t="s">
        <v>0</v>
      </c>
      <c r="J151" t="s">
        <v>455</v>
      </c>
      <c r="K151" s="3">
        <v>651.6</v>
      </c>
      <c r="L151" t="s">
        <v>8</v>
      </c>
      <c r="P151" t="s">
        <v>0</v>
      </c>
      <c r="Q151" s="3">
        <v>12102.36</v>
      </c>
      <c r="R151" t="s">
        <v>9</v>
      </c>
      <c r="S151" t="s">
        <v>0</v>
      </c>
      <c r="T151" t="s">
        <v>0</v>
      </c>
    </row>
    <row r="152" spans="1:20" ht="14" hidden="1" customHeight="1" outlineLevel="3" x14ac:dyDescent="0.25">
      <c r="A152" t="s">
        <v>1</v>
      </c>
      <c r="B152" t="s">
        <v>52</v>
      </c>
      <c r="C152" t="s">
        <v>53</v>
      </c>
      <c r="D152" t="s">
        <v>456</v>
      </c>
      <c r="E152" t="s">
        <v>457</v>
      </c>
      <c r="F152" t="s">
        <v>61</v>
      </c>
      <c r="G152" s="2">
        <v>45849</v>
      </c>
      <c r="H152" s="2">
        <v>45849</v>
      </c>
      <c r="I152" t="s">
        <v>0</v>
      </c>
      <c r="J152" t="s">
        <v>458</v>
      </c>
      <c r="K152" s="3">
        <v>2085</v>
      </c>
      <c r="L152" t="s">
        <v>8</v>
      </c>
      <c r="P152" t="s">
        <v>0</v>
      </c>
      <c r="Q152" s="3">
        <v>38725.33</v>
      </c>
      <c r="R152" t="s">
        <v>9</v>
      </c>
      <c r="S152" t="s">
        <v>0</v>
      </c>
      <c r="T152" t="s">
        <v>0</v>
      </c>
    </row>
    <row r="153" spans="1:20" ht="14" hidden="1" customHeight="1" outlineLevel="3" x14ac:dyDescent="0.25">
      <c r="A153" t="s">
        <v>1</v>
      </c>
      <c r="B153" t="s">
        <v>52</v>
      </c>
      <c r="C153" t="s">
        <v>53</v>
      </c>
      <c r="D153" t="s">
        <v>459</v>
      </c>
      <c r="E153" t="s">
        <v>460</v>
      </c>
      <c r="F153" t="s">
        <v>61</v>
      </c>
      <c r="G153" s="2">
        <v>45849</v>
      </c>
      <c r="H153" s="2">
        <v>45849</v>
      </c>
      <c r="I153" t="s">
        <v>0</v>
      </c>
      <c r="J153" t="s">
        <v>461</v>
      </c>
      <c r="K153" s="3">
        <v>1028.8</v>
      </c>
      <c r="L153" t="s">
        <v>8</v>
      </c>
      <c r="P153" t="s">
        <v>0</v>
      </c>
      <c r="Q153" s="3">
        <v>19108.21</v>
      </c>
      <c r="R153" t="s">
        <v>9</v>
      </c>
      <c r="S153" t="s">
        <v>0</v>
      </c>
      <c r="T153" t="s">
        <v>0</v>
      </c>
    </row>
    <row r="154" spans="1:20" ht="14" hidden="1" customHeight="1" outlineLevel="3" x14ac:dyDescent="0.25">
      <c r="A154" t="s">
        <v>1</v>
      </c>
      <c r="B154" t="s">
        <v>52</v>
      </c>
      <c r="C154" t="s">
        <v>53</v>
      </c>
      <c r="D154" t="s">
        <v>462</v>
      </c>
      <c r="E154" t="s">
        <v>463</v>
      </c>
      <c r="F154" t="s">
        <v>61</v>
      </c>
      <c r="G154" s="2">
        <v>45849</v>
      </c>
      <c r="H154" s="2">
        <v>45849</v>
      </c>
      <c r="I154" t="s">
        <v>0</v>
      </c>
      <c r="J154" t="s">
        <v>464</v>
      </c>
      <c r="K154" s="3">
        <v>1163.8</v>
      </c>
      <c r="L154" t="s">
        <v>8</v>
      </c>
      <c r="P154" t="s">
        <v>0</v>
      </c>
      <c r="Q154" s="3">
        <v>21615.61</v>
      </c>
      <c r="R154" t="s">
        <v>9</v>
      </c>
      <c r="S154" t="s">
        <v>0</v>
      </c>
      <c r="T154" t="s">
        <v>0</v>
      </c>
    </row>
    <row r="155" spans="1:20" ht="14" hidden="1" customHeight="1" outlineLevel="3" x14ac:dyDescent="0.25">
      <c r="A155" t="s">
        <v>1</v>
      </c>
      <c r="B155" t="s">
        <v>52</v>
      </c>
      <c r="C155" t="s">
        <v>53</v>
      </c>
      <c r="D155" t="s">
        <v>465</v>
      </c>
      <c r="E155" t="s">
        <v>466</v>
      </c>
      <c r="F155" t="s">
        <v>61</v>
      </c>
      <c r="G155" s="2">
        <v>45849</v>
      </c>
      <c r="H155" s="2">
        <v>45849</v>
      </c>
      <c r="I155" t="s">
        <v>0</v>
      </c>
      <c r="J155" t="s">
        <v>467</v>
      </c>
      <c r="K155" s="3">
        <v>1028.8</v>
      </c>
      <c r="L155" t="s">
        <v>8</v>
      </c>
      <c r="P155" t="s">
        <v>0</v>
      </c>
      <c r="Q155" s="3">
        <v>19108.21</v>
      </c>
      <c r="R155" t="s">
        <v>9</v>
      </c>
      <c r="S155" t="s">
        <v>0</v>
      </c>
      <c r="T155" t="s">
        <v>0</v>
      </c>
    </row>
    <row r="156" spans="1:20" ht="14" hidden="1" customHeight="1" outlineLevel="3" x14ac:dyDescent="0.25">
      <c r="A156" t="s">
        <v>1</v>
      </c>
      <c r="B156" t="s">
        <v>52</v>
      </c>
      <c r="C156" t="s">
        <v>53</v>
      </c>
      <c r="D156" t="s">
        <v>468</v>
      </c>
      <c r="E156" t="s">
        <v>469</v>
      </c>
      <c r="F156" t="s">
        <v>61</v>
      </c>
      <c r="G156" s="2">
        <v>45849</v>
      </c>
      <c r="H156" s="2">
        <v>45849</v>
      </c>
      <c r="I156" t="s">
        <v>0</v>
      </c>
      <c r="J156" t="s">
        <v>470</v>
      </c>
      <c r="K156" s="3">
        <v>1028.8</v>
      </c>
      <c r="L156" t="s">
        <v>8</v>
      </c>
      <c r="P156" t="s">
        <v>0</v>
      </c>
      <c r="Q156" s="3">
        <v>19108.21</v>
      </c>
      <c r="R156" t="s">
        <v>9</v>
      </c>
      <c r="S156" t="s">
        <v>0</v>
      </c>
      <c r="T156" t="s">
        <v>0</v>
      </c>
    </row>
    <row r="157" spans="1:20" ht="14" hidden="1" customHeight="1" outlineLevel="3" x14ac:dyDescent="0.25">
      <c r="A157" t="s">
        <v>1</v>
      </c>
      <c r="B157" t="s">
        <v>52</v>
      </c>
      <c r="C157" t="s">
        <v>53</v>
      </c>
      <c r="D157" t="s">
        <v>471</v>
      </c>
      <c r="E157" t="s">
        <v>472</v>
      </c>
      <c r="F157" t="s">
        <v>61</v>
      </c>
      <c r="G157" s="2">
        <v>45849</v>
      </c>
      <c r="H157" s="2">
        <v>45849</v>
      </c>
      <c r="I157" t="s">
        <v>0</v>
      </c>
      <c r="J157" t="s">
        <v>473</v>
      </c>
      <c r="K157" s="3">
        <v>1028.8</v>
      </c>
      <c r="L157" t="s">
        <v>8</v>
      </c>
      <c r="P157" t="s">
        <v>0</v>
      </c>
      <c r="Q157" s="3">
        <v>19108.21</v>
      </c>
      <c r="R157" t="s">
        <v>9</v>
      </c>
      <c r="S157" t="s">
        <v>0</v>
      </c>
      <c r="T157" t="s">
        <v>0</v>
      </c>
    </row>
    <row r="158" spans="1:20" ht="14" hidden="1" customHeight="1" outlineLevel="3" x14ac:dyDescent="0.25">
      <c r="A158" t="s">
        <v>1</v>
      </c>
      <c r="B158" t="s">
        <v>52</v>
      </c>
      <c r="C158" t="s">
        <v>53</v>
      </c>
      <c r="D158" t="s">
        <v>474</v>
      </c>
      <c r="E158" t="s">
        <v>475</v>
      </c>
      <c r="F158" t="s">
        <v>61</v>
      </c>
      <c r="G158" s="2">
        <v>45849</v>
      </c>
      <c r="H158" s="2">
        <v>45849</v>
      </c>
      <c r="I158" t="s">
        <v>0</v>
      </c>
      <c r="J158" t="s">
        <v>476</v>
      </c>
      <c r="K158" s="3">
        <v>3023.5</v>
      </c>
      <c r="L158" t="s">
        <v>8</v>
      </c>
      <c r="P158" t="s">
        <v>0</v>
      </c>
      <c r="Q158" s="3">
        <v>56156.37</v>
      </c>
      <c r="R158" t="s">
        <v>9</v>
      </c>
      <c r="S158" t="s">
        <v>0</v>
      </c>
      <c r="T158" t="s">
        <v>0</v>
      </c>
    </row>
    <row r="159" spans="1:20" ht="14" hidden="1" customHeight="1" outlineLevel="3" x14ac:dyDescent="0.25">
      <c r="A159" t="s">
        <v>1</v>
      </c>
      <c r="B159" t="s">
        <v>52</v>
      </c>
      <c r="C159" t="s">
        <v>53</v>
      </c>
      <c r="D159" t="s">
        <v>477</v>
      </c>
      <c r="E159" t="s">
        <v>478</v>
      </c>
      <c r="F159" t="s">
        <v>61</v>
      </c>
      <c r="G159" s="2">
        <v>45849</v>
      </c>
      <c r="H159" s="2">
        <v>45849</v>
      </c>
      <c r="I159" t="s">
        <v>0</v>
      </c>
      <c r="J159" t="s">
        <v>479</v>
      </c>
      <c r="K159" s="3">
        <v>7411.5</v>
      </c>
      <c r="L159" t="s">
        <v>8</v>
      </c>
      <c r="P159" t="s">
        <v>0</v>
      </c>
      <c r="Q159" s="3">
        <v>137656.01</v>
      </c>
      <c r="R159" t="s">
        <v>9</v>
      </c>
      <c r="S159" t="s">
        <v>0</v>
      </c>
      <c r="T159" t="s">
        <v>0</v>
      </c>
    </row>
    <row r="160" spans="1:20" ht="14" hidden="1" customHeight="1" outlineLevel="3" x14ac:dyDescent="0.25">
      <c r="A160" t="s">
        <v>1</v>
      </c>
      <c r="B160" t="s">
        <v>52</v>
      </c>
      <c r="C160" t="s">
        <v>53</v>
      </c>
      <c r="D160" t="s">
        <v>480</v>
      </c>
      <c r="E160" t="s">
        <v>481</v>
      </c>
      <c r="F160" t="s">
        <v>61</v>
      </c>
      <c r="G160" s="2">
        <v>45849</v>
      </c>
      <c r="H160" s="2">
        <v>45849</v>
      </c>
      <c r="I160" t="s">
        <v>0</v>
      </c>
      <c r="J160" t="s">
        <v>482</v>
      </c>
      <c r="K160" s="3">
        <v>142.5</v>
      </c>
      <c r="L160" t="s">
        <v>8</v>
      </c>
      <c r="P160" t="s">
        <v>0</v>
      </c>
      <c r="Q160" s="3">
        <v>2646.7</v>
      </c>
      <c r="R160" t="s">
        <v>9</v>
      </c>
      <c r="S160" t="s">
        <v>0</v>
      </c>
      <c r="T160" t="s">
        <v>0</v>
      </c>
    </row>
    <row r="161" spans="1:20" ht="14" hidden="1" customHeight="1" outlineLevel="3" x14ac:dyDescent="0.25">
      <c r="A161" t="s">
        <v>1</v>
      </c>
      <c r="B161" t="s">
        <v>52</v>
      </c>
      <c r="C161" t="s">
        <v>53</v>
      </c>
      <c r="D161" t="s">
        <v>483</v>
      </c>
      <c r="E161" t="s">
        <v>484</v>
      </c>
      <c r="F161" t="s">
        <v>61</v>
      </c>
      <c r="G161" s="2">
        <v>45849</v>
      </c>
      <c r="H161" s="2">
        <v>45849</v>
      </c>
      <c r="I161" t="s">
        <v>0</v>
      </c>
      <c r="J161" t="s">
        <v>485</v>
      </c>
      <c r="K161" s="3">
        <v>6242.1</v>
      </c>
      <c r="L161" t="s">
        <v>8</v>
      </c>
      <c r="P161" t="s">
        <v>0</v>
      </c>
      <c r="Q161" s="3">
        <v>115936.4</v>
      </c>
      <c r="R161" t="s">
        <v>9</v>
      </c>
      <c r="S161" t="s">
        <v>0</v>
      </c>
      <c r="T161" t="s">
        <v>0</v>
      </c>
    </row>
    <row r="162" spans="1:20" ht="14" hidden="1" customHeight="1" outlineLevel="3" x14ac:dyDescent="0.25">
      <c r="A162" t="s">
        <v>1</v>
      </c>
      <c r="B162" t="s">
        <v>52</v>
      </c>
      <c r="C162" t="s">
        <v>53</v>
      </c>
      <c r="D162" t="s">
        <v>486</v>
      </c>
      <c r="E162" t="s">
        <v>487</v>
      </c>
      <c r="F162" t="s">
        <v>61</v>
      </c>
      <c r="G162" s="2">
        <v>45849</v>
      </c>
      <c r="H162" s="2">
        <v>45849</v>
      </c>
      <c r="I162" t="s">
        <v>0</v>
      </c>
      <c r="J162" t="s">
        <v>488</v>
      </c>
      <c r="K162" s="3">
        <v>10554</v>
      </c>
      <c r="L162" t="s">
        <v>8</v>
      </c>
      <c r="P162" t="s">
        <v>0</v>
      </c>
      <c r="Q162" s="3">
        <v>196022.61</v>
      </c>
      <c r="R162" t="s">
        <v>9</v>
      </c>
      <c r="S162" t="s">
        <v>0</v>
      </c>
      <c r="T162" t="s">
        <v>0</v>
      </c>
    </row>
    <row r="163" spans="1:20" ht="14" hidden="1" customHeight="1" outlineLevel="3" x14ac:dyDescent="0.25">
      <c r="A163" t="s">
        <v>1</v>
      </c>
      <c r="B163" t="s">
        <v>52</v>
      </c>
      <c r="C163" t="s">
        <v>53</v>
      </c>
      <c r="D163" t="s">
        <v>489</v>
      </c>
      <c r="E163" t="s">
        <v>490</v>
      </c>
      <c r="F163" t="s">
        <v>61</v>
      </c>
      <c r="G163" s="2">
        <v>45849</v>
      </c>
      <c r="H163" s="2">
        <v>45849</v>
      </c>
      <c r="I163" t="s">
        <v>0</v>
      </c>
      <c r="J163" t="s">
        <v>491</v>
      </c>
      <c r="K163" s="3">
        <v>145.5</v>
      </c>
      <c r="L163" t="s">
        <v>8</v>
      </c>
      <c r="P163" t="s">
        <v>0</v>
      </c>
      <c r="Q163" s="3">
        <v>2702.42</v>
      </c>
      <c r="R163" t="s">
        <v>9</v>
      </c>
      <c r="S163" t="s">
        <v>0</v>
      </c>
      <c r="T163" t="s">
        <v>0</v>
      </c>
    </row>
    <row r="164" spans="1:20" ht="14" hidden="1" customHeight="1" outlineLevel="3" x14ac:dyDescent="0.25">
      <c r="A164" t="s">
        <v>1</v>
      </c>
      <c r="B164" t="s">
        <v>52</v>
      </c>
      <c r="C164" t="s">
        <v>53</v>
      </c>
      <c r="D164" t="s">
        <v>492</v>
      </c>
      <c r="E164" t="s">
        <v>493</v>
      </c>
      <c r="F164" t="s">
        <v>61</v>
      </c>
      <c r="G164" s="2">
        <v>45849</v>
      </c>
      <c r="H164" s="2">
        <v>45849</v>
      </c>
      <c r="I164" t="s">
        <v>0</v>
      </c>
      <c r="J164" t="s">
        <v>494</v>
      </c>
      <c r="K164" s="3">
        <v>3204.12</v>
      </c>
      <c r="L164" t="s">
        <v>8</v>
      </c>
      <c r="P164" t="s">
        <v>0</v>
      </c>
      <c r="Q164" s="3">
        <v>59511.08</v>
      </c>
      <c r="R164" t="s">
        <v>9</v>
      </c>
      <c r="S164" t="s">
        <v>0</v>
      </c>
      <c r="T164" t="s">
        <v>0</v>
      </c>
    </row>
    <row r="165" spans="1:20" ht="14" hidden="1" customHeight="1" outlineLevel="3" x14ac:dyDescent="0.25">
      <c r="A165" t="s">
        <v>1</v>
      </c>
      <c r="B165" t="s">
        <v>52</v>
      </c>
      <c r="C165" t="s">
        <v>53</v>
      </c>
      <c r="D165" t="s">
        <v>495</v>
      </c>
      <c r="E165" t="s">
        <v>496</v>
      </c>
      <c r="F165" t="s">
        <v>61</v>
      </c>
      <c r="G165" s="2">
        <v>45849</v>
      </c>
      <c r="H165" s="2">
        <v>45849</v>
      </c>
      <c r="I165" t="s">
        <v>0</v>
      </c>
      <c r="J165" t="s">
        <v>497</v>
      </c>
      <c r="K165" s="3">
        <v>4590</v>
      </c>
      <c r="L165" t="s">
        <v>8</v>
      </c>
      <c r="P165" t="s">
        <v>0</v>
      </c>
      <c r="Q165" s="3">
        <v>85251.45</v>
      </c>
      <c r="R165" t="s">
        <v>9</v>
      </c>
      <c r="S165" t="s">
        <v>0</v>
      </c>
      <c r="T165" t="s">
        <v>0</v>
      </c>
    </row>
    <row r="166" spans="1:20" ht="14" hidden="1" customHeight="1" outlineLevel="3" x14ac:dyDescent="0.25">
      <c r="A166" t="s">
        <v>1</v>
      </c>
      <c r="B166" t="s">
        <v>52</v>
      </c>
      <c r="C166" t="s">
        <v>53</v>
      </c>
      <c r="D166" t="s">
        <v>498</v>
      </c>
      <c r="E166" t="s">
        <v>499</v>
      </c>
      <c r="F166" t="s">
        <v>61</v>
      </c>
      <c r="G166" s="2">
        <v>45849</v>
      </c>
      <c r="H166" s="2">
        <v>45849</v>
      </c>
      <c r="I166" t="s">
        <v>0</v>
      </c>
      <c r="J166" t="s">
        <v>500</v>
      </c>
      <c r="K166" s="3">
        <v>14001</v>
      </c>
      <c r="L166" t="s">
        <v>8</v>
      </c>
      <c r="P166" t="s">
        <v>0</v>
      </c>
      <c r="Q166" s="3">
        <v>260044.77</v>
      </c>
      <c r="R166" t="s">
        <v>9</v>
      </c>
      <c r="S166" t="s">
        <v>0</v>
      </c>
      <c r="T166" t="s">
        <v>0</v>
      </c>
    </row>
    <row r="167" spans="1:20" ht="14" hidden="1" customHeight="1" outlineLevel="3" x14ac:dyDescent="0.25">
      <c r="A167" t="s">
        <v>1</v>
      </c>
      <c r="B167" t="s">
        <v>52</v>
      </c>
      <c r="C167" t="s">
        <v>53</v>
      </c>
      <c r="D167" t="s">
        <v>501</v>
      </c>
      <c r="E167" t="s">
        <v>502</v>
      </c>
      <c r="F167" t="s">
        <v>61</v>
      </c>
      <c r="G167" s="2">
        <v>45849</v>
      </c>
      <c r="H167" s="2">
        <v>45849</v>
      </c>
      <c r="I167" t="s">
        <v>0</v>
      </c>
      <c r="J167" t="s">
        <v>503</v>
      </c>
      <c r="K167" s="3">
        <v>8674.5</v>
      </c>
      <c r="L167" t="s">
        <v>8</v>
      </c>
      <c r="P167" t="s">
        <v>0</v>
      </c>
      <c r="Q167" s="3">
        <v>161114.09</v>
      </c>
      <c r="R167" t="s">
        <v>9</v>
      </c>
      <c r="S167" t="s">
        <v>0</v>
      </c>
      <c r="T167" t="s">
        <v>0</v>
      </c>
    </row>
    <row r="168" spans="1:20" ht="14" hidden="1" customHeight="1" outlineLevel="3" x14ac:dyDescent="0.25">
      <c r="A168" t="s">
        <v>1</v>
      </c>
      <c r="B168" t="s">
        <v>52</v>
      </c>
      <c r="C168" t="s">
        <v>53</v>
      </c>
      <c r="D168" t="s">
        <v>504</v>
      </c>
      <c r="E168" t="s">
        <v>505</v>
      </c>
      <c r="F168" t="s">
        <v>61</v>
      </c>
      <c r="G168" s="2">
        <v>45849</v>
      </c>
      <c r="H168" s="2">
        <v>45849</v>
      </c>
      <c r="I168" t="s">
        <v>0</v>
      </c>
      <c r="J168" t="s">
        <v>506</v>
      </c>
      <c r="K168" s="3">
        <v>2545</v>
      </c>
      <c r="L168" t="s">
        <v>8</v>
      </c>
      <c r="P168" t="s">
        <v>0</v>
      </c>
      <c r="Q168" s="3">
        <v>47269.05</v>
      </c>
      <c r="R168" t="s">
        <v>9</v>
      </c>
      <c r="S168" t="s">
        <v>0</v>
      </c>
      <c r="T168" t="s">
        <v>0</v>
      </c>
    </row>
    <row r="169" spans="1:20" ht="14" hidden="1" customHeight="1" outlineLevel="3" x14ac:dyDescent="0.25">
      <c r="A169" t="s">
        <v>1</v>
      </c>
      <c r="B169" t="s">
        <v>52</v>
      </c>
      <c r="C169" t="s">
        <v>53</v>
      </c>
      <c r="D169" t="s">
        <v>507</v>
      </c>
      <c r="E169" t="s">
        <v>508</v>
      </c>
      <c r="F169" t="s">
        <v>61</v>
      </c>
      <c r="G169" s="2">
        <v>45849</v>
      </c>
      <c r="H169" s="2">
        <v>45849</v>
      </c>
      <c r="I169" t="s">
        <v>0</v>
      </c>
      <c r="J169" t="s">
        <v>509</v>
      </c>
      <c r="K169" s="3">
        <v>6600</v>
      </c>
      <c r="L169" t="s">
        <v>8</v>
      </c>
      <c r="P169" t="s">
        <v>0</v>
      </c>
      <c r="Q169" s="3">
        <v>122583.78</v>
      </c>
      <c r="R169" t="s">
        <v>9</v>
      </c>
      <c r="S169" t="s">
        <v>0</v>
      </c>
      <c r="T169" t="s">
        <v>0</v>
      </c>
    </row>
    <row r="170" spans="1:20" ht="14" hidden="1" customHeight="1" outlineLevel="3" x14ac:dyDescent="0.25">
      <c r="A170" t="s">
        <v>1</v>
      </c>
      <c r="B170" t="s">
        <v>52</v>
      </c>
      <c r="C170" t="s">
        <v>53</v>
      </c>
      <c r="D170" t="s">
        <v>510</v>
      </c>
      <c r="E170" t="s">
        <v>511</v>
      </c>
      <c r="F170" t="s">
        <v>61</v>
      </c>
      <c r="G170" s="2">
        <v>45849</v>
      </c>
      <c r="H170" s="2">
        <v>45849</v>
      </c>
      <c r="I170" t="s">
        <v>0</v>
      </c>
      <c r="J170" t="s">
        <v>512</v>
      </c>
      <c r="K170" s="3">
        <v>3147.5</v>
      </c>
      <c r="L170" t="s">
        <v>8</v>
      </c>
      <c r="P170" t="s">
        <v>0</v>
      </c>
      <c r="Q170" s="3">
        <v>58459.46</v>
      </c>
      <c r="R170" t="s">
        <v>9</v>
      </c>
      <c r="S170" t="s">
        <v>0</v>
      </c>
      <c r="T170" t="s">
        <v>0</v>
      </c>
    </row>
    <row r="171" spans="1:20" ht="14" hidden="1" customHeight="1" outlineLevel="3" x14ac:dyDescent="0.25">
      <c r="A171" t="s">
        <v>1</v>
      </c>
      <c r="B171" t="s">
        <v>52</v>
      </c>
      <c r="C171" t="s">
        <v>53</v>
      </c>
      <c r="D171" t="s">
        <v>513</v>
      </c>
      <c r="E171" t="s">
        <v>514</v>
      </c>
      <c r="F171" t="s">
        <v>61</v>
      </c>
      <c r="G171" s="2">
        <v>45849</v>
      </c>
      <c r="H171" s="2">
        <v>45849</v>
      </c>
      <c r="I171" t="s">
        <v>0</v>
      </c>
      <c r="J171" t="s">
        <v>515</v>
      </c>
      <c r="K171" s="3">
        <v>7411.5</v>
      </c>
      <c r="L171" t="s">
        <v>8</v>
      </c>
      <c r="P171" t="s">
        <v>0</v>
      </c>
      <c r="Q171" s="3">
        <v>137656.01</v>
      </c>
      <c r="R171" t="s">
        <v>9</v>
      </c>
      <c r="S171" t="s">
        <v>0</v>
      </c>
      <c r="T171" t="s">
        <v>0</v>
      </c>
    </row>
    <row r="172" spans="1:20" ht="14" hidden="1" customHeight="1" outlineLevel="3" x14ac:dyDescent="0.25">
      <c r="A172" t="s">
        <v>1</v>
      </c>
      <c r="B172" t="s">
        <v>52</v>
      </c>
      <c r="C172" t="s">
        <v>53</v>
      </c>
      <c r="D172" t="s">
        <v>516</v>
      </c>
      <c r="E172" t="s">
        <v>517</v>
      </c>
      <c r="F172" t="s">
        <v>61</v>
      </c>
      <c r="G172" s="2">
        <v>45849</v>
      </c>
      <c r="H172" s="2">
        <v>45849</v>
      </c>
      <c r="I172" t="s">
        <v>0</v>
      </c>
      <c r="J172" t="s">
        <v>518</v>
      </c>
      <c r="K172" s="3">
        <v>4402</v>
      </c>
      <c r="L172" t="s">
        <v>8</v>
      </c>
      <c r="P172" t="s">
        <v>0</v>
      </c>
      <c r="Q172" s="3">
        <v>81759.67</v>
      </c>
      <c r="R172" t="s">
        <v>9</v>
      </c>
      <c r="S172" t="s">
        <v>0</v>
      </c>
      <c r="T172" t="s">
        <v>0</v>
      </c>
    </row>
    <row r="173" spans="1:20" ht="14" hidden="1" customHeight="1" outlineLevel="3" x14ac:dyDescent="0.25">
      <c r="A173" t="s">
        <v>1</v>
      </c>
      <c r="B173" t="s">
        <v>52</v>
      </c>
      <c r="C173" t="s">
        <v>53</v>
      </c>
      <c r="D173" t="s">
        <v>519</v>
      </c>
      <c r="E173" t="s">
        <v>520</v>
      </c>
      <c r="F173" t="s">
        <v>61</v>
      </c>
      <c r="G173" s="2">
        <v>45849</v>
      </c>
      <c r="H173" s="2">
        <v>45849</v>
      </c>
      <c r="I173" t="s">
        <v>0</v>
      </c>
      <c r="J173" t="s">
        <v>521</v>
      </c>
      <c r="K173" s="3">
        <v>6600</v>
      </c>
      <c r="L173" t="s">
        <v>8</v>
      </c>
      <c r="P173" t="s">
        <v>0</v>
      </c>
      <c r="Q173" s="3">
        <v>122583.78</v>
      </c>
      <c r="R173" t="s">
        <v>9</v>
      </c>
      <c r="S173" t="s">
        <v>0</v>
      </c>
      <c r="T173" t="s">
        <v>0</v>
      </c>
    </row>
    <row r="174" spans="1:20" ht="14" hidden="1" customHeight="1" outlineLevel="3" x14ac:dyDescent="0.25">
      <c r="A174" t="s">
        <v>1</v>
      </c>
      <c r="B174" t="s">
        <v>52</v>
      </c>
      <c r="C174" t="s">
        <v>53</v>
      </c>
      <c r="D174" t="s">
        <v>522</v>
      </c>
      <c r="E174" t="s">
        <v>523</v>
      </c>
      <c r="F174" t="s">
        <v>61</v>
      </c>
      <c r="G174" s="2">
        <v>45849</v>
      </c>
      <c r="H174" s="2">
        <v>45849</v>
      </c>
      <c r="I174" t="s">
        <v>0</v>
      </c>
      <c r="J174" t="s">
        <v>524</v>
      </c>
      <c r="K174" s="3">
        <v>2921.5</v>
      </c>
      <c r="L174" t="s">
        <v>8</v>
      </c>
      <c r="P174" t="s">
        <v>0</v>
      </c>
      <c r="Q174" s="3">
        <v>54261.9</v>
      </c>
      <c r="R174" t="s">
        <v>9</v>
      </c>
      <c r="S174" t="s">
        <v>0</v>
      </c>
      <c r="T174" t="s">
        <v>0</v>
      </c>
    </row>
    <row r="175" spans="1:20" ht="14" hidden="1" customHeight="1" outlineLevel="3" x14ac:dyDescent="0.25">
      <c r="A175" t="s">
        <v>1</v>
      </c>
      <c r="B175" t="s">
        <v>52</v>
      </c>
      <c r="C175" t="s">
        <v>53</v>
      </c>
      <c r="D175" t="s">
        <v>525</v>
      </c>
      <c r="E175" t="s">
        <v>526</v>
      </c>
      <c r="F175" t="s">
        <v>61</v>
      </c>
      <c r="G175" s="2">
        <v>45849</v>
      </c>
      <c r="H175" s="2">
        <v>45849</v>
      </c>
      <c r="I175" t="s">
        <v>0</v>
      </c>
      <c r="J175" t="s">
        <v>527</v>
      </c>
      <c r="K175" s="3">
        <v>7204.5</v>
      </c>
      <c r="L175" t="s">
        <v>8</v>
      </c>
      <c r="P175" t="s">
        <v>0</v>
      </c>
      <c r="Q175" s="3">
        <v>133811.34</v>
      </c>
      <c r="R175" t="s">
        <v>9</v>
      </c>
      <c r="S175" t="s">
        <v>0</v>
      </c>
      <c r="T175" t="s">
        <v>0</v>
      </c>
    </row>
    <row r="176" spans="1:20" ht="14" hidden="1" customHeight="1" outlineLevel="3" x14ac:dyDescent="0.25">
      <c r="A176" t="s">
        <v>1</v>
      </c>
      <c r="B176" t="s">
        <v>52</v>
      </c>
      <c r="C176" t="s">
        <v>53</v>
      </c>
      <c r="D176" t="s">
        <v>528</v>
      </c>
      <c r="E176" t="s">
        <v>529</v>
      </c>
      <c r="F176" t="s">
        <v>61</v>
      </c>
      <c r="G176" s="2">
        <v>45849</v>
      </c>
      <c r="H176" s="2">
        <v>45849</v>
      </c>
      <c r="I176" t="s">
        <v>0</v>
      </c>
      <c r="J176" t="s">
        <v>530</v>
      </c>
      <c r="K176" s="3">
        <v>1138.5999999999999</v>
      </c>
      <c r="L176" t="s">
        <v>8</v>
      </c>
      <c r="P176" t="s">
        <v>0</v>
      </c>
      <c r="Q176" s="3">
        <v>21147.56</v>
      </c>
      <c r="R176" t="s">
        <v>9</v>
      </c>
      <c r="S176" t="s">
        <v>0</v>
      </c>
      <c r="T176" t="s">
        <v>0</v>
      </c>
    </row>
    <row r="177" spans="1:20" ht="14" hidden="1" customHeight="1" outlineLevel="3" x14ac:dyDescent="0.25">
      <c r="A177" t="s">
        <v>1</v>
      </c>
      <c r="B177" t="s">
        <v>52</v>
      </c>
      <c r="C177" t="s">
        <v>53</v>
      </c>
      <c r="D177" t="s">
        <v>531</v>
      </c>
      <c r="E177" t="s">
        <v>532</v>
      </c>
      <c r="F177" t="s">
        <v>61</v>
      </c>
      <c r="G177" s="2">
        <v>45849</v>
      </c>
      <c r="H177" s="2">
        <v>45849</v>
      </c>
      <c r="I177" t="s">
        <v>0</v>
      </c>
      <c r="J177" t="s">
        <v>533</v>
      </c>
      <c r="K177" s="3">
        <v>875.2</v>
      </c>
      <c r="L177" t="s">
        <v>8</v>
      </c>
      <c r="P177" t="s">
        <v>0</v>
      </c>
      <c r="Q177" s="3">
        <v>16255.35</v>
      </c>
      <c r="R177" t="s">
        <v>9</v>
      </c>
      <c r="S177" t="s">
        <v>0</v>
      </c>
      <c r="T177" t="s">
        <v>0</v>
      </c>
    </row>
    <row r="178" spans="1:20" ht="14" hidden="1" customHeight="1" outlineLevel="3" x14ac:dyDescent="0.25">
      <c r="A178" t="s">
        <v>1</v>
      </c>
      <c r="B178" t="s">
        <v>52</v>
      </c>
      <c r="C178" t="s">
        <v>53</v>
      </c>
      <c r="D178" t="s">
        <v>534</v>
      </c>
      <c r="E178" t="s">
        <v>535</v>
      </c>
      <c r="F178" t="s">
        <v>61</v>
      </c>
      <c r="G178" s="2">
        <v>45849</v>
      </c>
      <c r="H178" s="2">
        <v>45849</v>
      </c>
      <c r="I178" t="s">
        <v>0</v>
      </c>
      <c r="J178" t="s">
        <v>536</v>
      </c>
      <c r="K178" s="3">
        <v>328.2</v>
      </c>
      <c r="L178" t="s">
        <v>8</v>
      </c>
      <c r="P178" t="s">
        <v>0</v>
      </c>
      <c r="Q178" s="3">
        <v>6095.76</v>
      </c>
      <c r="R178" t="s">
        <v>9</v>
      </c>
      <c r="S178" t="s">
        <v>0</v>
      </c>
      <c r="T178" t="s">
        <v>0</v>
      </c>
    </row>
    <row r="179" spans="1:20" ht="14" hidden="1" customHeight="1" outlineLevel="3" x14ac:dyDescent="0.25">
      <c r="A179" t="s">
        <v>1</v>
      </c>
      <c r="B179" t="s">
        <v>52</v>
      </c>
      <c r="C179" t="s">
        <v>53</v>
      </c>
      <c r="D179" t="s">
        <v>537</v>
      </c>
      <c r="E179" t="s">
        <v>538</v>
      </c>
      <c r="F179" t="s">
        <v>61</v>
      </c>
      <c r="G179" s="2">
        <v>45849</v>
      </c>
      <c r="H179" s="2">
        <v>45849</v>
      </c>
      <c r="I179" t="s">
        <v>0</v>
      </c>
      <c r="J179" t="s">
        <v>539</v>
      </c>
      <c r="K179" s="3">
        <v>2443</v>
      </c>
      <c r="L179" t="s">
        <v>8</v>
      </c>
      <c r="P179" t="s">
        <v>0</v>
      </c>
      <c r="Q179" s="3">
        <v>45374.57</v>
      </c>
      <c r="R179" t="s">
        <v>9</v>
      </c>
      <c r="S179" t="s">
        <v>0</v>
      </c>
      <c r="T179" t="s">
        <v>0</v>
      </c>
    </row>
    <row r="180" spans="1:20" ht="14" hidden="1" customHeight="1" outlineLevel="3" x14ac:dyDescent="0.25">
      <c r="A180" t="s">
        <v>1</v>
      </c>
      <c r="B180" t="s">
        <v>52</v>
      </c>
      <c r="C180" t="s">
        <v>53</v>
      </c>
      <c r="D180" t="s">
        <v>540</v>
      </c>
      <c r="E180" t="s">
        <v>541</v>
      </c>
      <c r="F180" t="s">
        <v>61</v>
      </c>
      <c r="G180" s="2">
        <v>45849</v>
      </c>
      <c r="H180" s="2">
        <v>45849</v>
      </c>
      <c r="I180" t="s">
        <v>0</v>
      </c>
      <c r="J180" t="s">
        <v>542</v>
      </c>
      <c r="K180" s="3">
        <v>6600</v>
      </c>
      <c r="L180" t="s">
        <v>8</v>
      </c>
      <c r="P180" t="s">
        <v>0</v>
      </c>
      <c r="Q180" s="3">
        <v>122583.78</v>
      </c>
      <c r="R180" t="s">
        <v>9</v>
      </c>
      <c r="S180" t="s">
        <v>0</v>
      </c>
      <c r="T180" t="s">
        <v>0</v>
      </c>
    </row>
    <row r="181" spans="1:20" ht="14" hidden="1" customHeight="1" outlineLevel="3" x14ac:dyDescent="0.25">
      <c r="A181" t="s">
        <v>1</v>
      </c>
      <c r="B181" t="s">
        <v>52</v>
      </c>
      <c r="C181" t="s">
        <v>53</v>
      </c>
      <c r="D181" t="s">
        <v>543</v>
      </c>
      <c r="E181" t="s">
        <v>544</v>
      </c>
      <c r="F181" t="s">
        <v>61</v>
      </c>
      <c r="G181" s="2">
        <v>45884</v>
      </c>
      <c r="H181" s="2">
        <v>45884</v>
      </c>
      <c r="I181" t="s">
        <v>0</v>
      </c>
      <c r="J181" t="s">
        <v>545</v>
      </c>
      <c r="K181" s="3">
        <v>7296</v>
      </c>
      <c r="L181" t="s">
        <v>8</v>
      </c>
      <c r="P181" t="s">
        <v>0</v>
      </c>
      <c r="Q181" s="3">
        <v>135963.15</v>
      </c>
      <c r="R181" t="s">
        <v>9</v>
      </c>
      <c r="S181" t="s">
        <v>0</v>
      </c>
      <c r="T181" t="s">
        <v>0</v>
      </c>
    </row>
    <row r="182" spans="1:20" ht="14" hidden="1" customHeight="1" outlineLevel="3" x14ac:dyDescent="0.25">
      <c r="A182" t="s">
        <v>1</v>
      </c>
      <c r="B182" t="s">
        <v>52</v>
      </c>
      <c r="C182" t="s">
        <v>53</v>
      </c>
      <c r="D182" t="s">
        <v>546</v>
      </c>
      <c r="E182" t="s">
        <v>547</v>
      </c>
      <c r="F182" t="s">
        <v>61</v>
      </c>
      <c r="G182" s="2">
        <v>45884</v>
      </c>
      <c r="H182" s="2">
        <v>45884</v>
      </c>
      <c r="I182" t="s">
        <v>0</v>
      </c>
      <c r="J182" t="s">
        <v>548</v>
      </c>
      <c r="K182" s="3">
        <v>194</v>
      </c>
      <c r="L182" t="s">
        <v>8</v>
      </c>
      <c r="P182" t="s">
        <v>0</v>
      </c>
      <c r="Q182" s="3">
        <v>3615.25</v>
      </c>
      <c r="R182" t="s">
        <v>9</v>
      </c>
      <c r="S182" t="s">
        <v>0</v>
      </c>
      <c r="T182" t="s">
        <v>0</v>
      </c>
    </row>
    <row r="183" spans="1:20" ht="14" hidden="1" customHeight="1" outlineLevel="3" x14ac:dyDescent="0.25">
      <c r="A183" t="s">
        <v>1</v>
      </c>
      <c r="B183" t="s">
        <v>52</v>
      </c>
      <c r="C183" t="s">
        <v>53</v>
      </c>
      <c r="D183" t="s">
        <v>549</v>
      </c>
      <c r="E183" t="s">
        <v>550</v>
      </c>
      <c r="F183" t="s">
        <v>61</v>
      </c>
      <c r="G183" s="2">
        <v>45887</v>
      </c>
      <c r="H183" s="2">
        <v>45887</v>
      </c>
      <c r="I183" t="s">
        <v>0</v>
      </c>
      <c r="J183" t="s">
        <v>551</v>
      </c>
      <c r="K183" s="3">
        <v>979</v>
      </c>
      <c r="L183" t="s">
        <v>8</v>
      </c>
      <c r="P183" t="s">
        <v>0</v>
      </c>
      <c r="Q183" s="3">
        <v>18418.61</v>
      </c>
      <c r="R183" t="s">
        <v>9</v>
      </c>
      <c r="S183" t="s">
        <v>0</v>
      </c>
      <c r="T183" t="s">
        <v>0</v>
      </c>
    </row>
    <row r="184" spans="1:20" ht="14" hidden="1" customHeight="1" outlineLevel="3" x14ac:dyDescent="0.25">
      <c r="A184" t="s">
        <v>1</v>
      </c>
      <c r="B184" t="s">
        <v>52</v>
      </c>
      <c r="C184" t="s">
        <v>53</v>
      </c>
      <c r="D184" t="s">
        <v>552</v>
      </c>
      <c r="E184" t="s">
        <v>553</v>
      </c>
      <c r="F184" t="s">
        <v>61</v>
      </c>
      <c r="G184" s="2">
        <v>45887</v>
      </c>
      <c r="H184" s="2">
        <v>45887</v>
      </c>
      <c r="I184" t="s">
        <v>0</v>
      </c>
      <c r="J184" t="s">
        <v>554</v>
      </c>
      <c r="K184" s="3">
        <v>11969.5</v>
      </c>
      <c r="L184" t="s">
        <v>8</v>
      </c>
      <c r="P184" t="s">
        <v>0</v>
      </c>
      <c r="Q184" s="3">
        <v>225190.58</v>
      </c>
      <c r="R184" t="s">
        <v>9</v>
      </c>
      <c r="S184" t="s">
        <v>0</v>
      </c>
      <c r="T184" t="s">
        <v>0</v>
      </c>
    </row>
    <row r="185" spans="1:20" ht="14" hidden="1" customHeight="1" outlineLevel="3" x14ac:dyDescent="0.25">
      <c r="A185" t="s">
        <v>1</v>
      </c>
      <c r="B185" t="s">
        <v>52</v>
      </c>
      <c r="C185" t="s">
        <v>53</v>
      </c>
      <c r="D185" t="s">
        <v>555</v>
      </c>
      <c r="E185" t="s">
        <v>556</v>
      </c>
      <c r="F185" t="s">
        <v>61</v>
      </c>
      <c r="G185" s="2">
        <v>45887</v>
      </c>
      <c r="H185" s="2">
        <v>45887</v>
      </c>
      <c r="I185" t="s">
        <v>0</v>
      </c>
      <c r="J185" t="s">
        <v>557</v>
      </c>
      <c r="K185" s="3">
        <v>1029.5</v>
      </c>
      <c r="L185" t="s">
        <v>8</v>
      </c>
      <c r="P185" t="s">
        <v>0</v>
      </c>
      <c r="Q185" s="3">
        <v>19368.7</v>
      </c>
      <c r="R185" t="s">
        <v>9</v>
      </c>
      <c r="S185" t="s">
        <v>0</v>
      </c>
      <c r="T185" t="s">
        <v>0</v>
      </c>
    </row>
    <row r="186" spans="1:20" ht="14" hidden="1" customHeight="1" outlineLevel="3" x14ac:dyDescent="0.25">
      <c r="A186" t="s">
        <v>1</v>
      </c>
      <c r="B186" t="s">
        <v>52</v>
      </c>
      <c r="C186" t="s">
        <v>53</v>
      </c>
      <c r="D186" t="s">
        <v>558</v>
      </c>
      <c r="E186" t="s">
        <v>559</v>
      </c>
      <c r="F186" t="s">
        <v>61</v>
      </c>
      <c r="G186" s="2">
        <v>45887</v>
      </c>
      <c r="H186" s="2">
        <v>45887</v>
      </c>
      <c r="I186" t="s">
        <v>0</v>
      </c>
      <c r="J186" t="s">
        <v>560</v>
      </c>
      <c r="K186" s="3">
        <v>12194.5</v>
      </c>
      <c r="L186" t="s">
        <v>8</v>
      </c>
      <c r="P186" t="s">
        <v>0</v>
      </c>
      <c r="Q186" s="3">
        <v>229423.66</v>
      </c>
      <c r="R186" t="s">
        <v>9</v>
      </c>
      <c r="S186" t="s">
        <v>0</v>
      </c>
      <c r="T186" t="s">
        <v>0</v>
      </c>
    </row>
    <row r="187" spans="1:20" ht="14" hidden="1" customHeight="1" outlineLevel="3" x14ac:dyDescent="0.25">
      <c r="A187" t="s">
        <v>1</v>
      </c>
      <c r="B187" t="s">
        <v>52</v>
      </c>
      <c r="C187" t="s">
        <v>53</v>
      </c>
      <c r="D187" t="s">
        <v>561</v>
      </c>
      <c r="E187" t="s">
        <v>562</v>
      </c>
      <c r="F187" t="s">
        <v>61</v>
      </c>
      <c r="G187" s="2">
        <v>45887</v>
      </c>
      <c r="H187" s="2">
        <v>45887</v>
      </c>
      <c r="I187" t="s">
        <v>0</v>
      </c>
      <c r="J187" t="s">
        <v>563</v>
      </c>
      <c r="K187" s="3">
        <v>1515</v>
      </c>
      <c r="L187" t="s">
        <v>8</v>
      </c>
      <c r="P187" t="s">
        <v>0</v>
      </c>
      <c r="Q187" s="3">
        <v>28502.76</v>
      </c>
      <c r="R187" t="s">
        <v>9</v>
      </c>
      <c r="S187" t="s">
        <v>0</v>
      </c>
      <c r="T187" t="s">
        <v>0</v>
      </c>
    </row>
    <row r="188" spans="1:20" ht="14" hidden="1" customHeight="1" outlineLevel="3" x14ac:dyDescent="0.25">
      <c r="A188" t="s">
        <v>1</v>
      </c>
      <c r="B188" t="s">
        <v>52</v>
      </c>
      <c r="C188" t="s">
        <v>53</v>
      </c>
      <c r="D188" t="s">
        <v>564</v>
      </c>
      <c r="E188" t="s">
        <v>565</v>
      </c>
      <c r="F188" t="s">
        <v>61</v>
      </c>
      <c r="G188" s="2">
        <v>45887</v>
      </c>
      <c r="H188" s="2">
        <v>45887</v>
      </c>
      <c r="I188" t="s">
        <v>0</v>
      </c>
      <c r="J188" t="s">
        <v>566</v>
      </c>
      <c r="K188" s="3">
        <v>812.5</v>
      </c>
      <c r="L188" t="s">
        <v>8</v>
      </c>
      <c r="P188" t="s">
        <v>0</v>
      </c>
      <c r="Q188" s="3">
        <v>15286.13</v>
      </c>
      <c r="R188" t="s">
        <v>9</v>
      </c>
      <c r="S188" t="s">
        <v>0</v>
      </c>
      <c r="T188" t="s">
        <v>0</v>
      </c>
    </row>
    <row r="189" spans="1:20" ht="14" hidden="1" customHeight="1" outlineLevel="3" x14ac:dyDescent="0.25">
      <c r="A189" t="s">
        <v>1</v>
      </c>
      <c r="B189" t="s">
        <v>52</v>
      </c>
      <c r="C189" t="s">
        <v>53</v>
      </c>
      <c r="D189" t="s">
        <v>567</v>
      </c>
      <c r="E189" t="s">
        <v>568</v>
      </c>
      <c r="F189" t="s">
        <v>61</v>
      </c>
      <c r="G189" s="2">
        <v>45887</v>
      </c>
      <c r="H189" s="2">
        <v>45887</v>
      </c>
      <c r="I189" t="s">
        <v>0</v>
      </c>
      <c r="J189" t="s">
        <v>569</v>
      </c>
      <c r="K189" s="3">
        <v>10162</v>
      </c>
      <c r="L189" t="s">
        <v>8</v>
      </c>
      <c r="P189" t="s">
        <v>0</v>
      </c>
      <c r="Q189" s="3">
        <v>191184.82</v>
      </c>
      <c r="R189" t="s">
        <v>9</v>
      </c>
      <c r="S189" t="s">
        <v>0</v>
      </c>
      <c r="T189" t="s">
        <v>0</v>
      </c>
    </row>
    <row r="190" spans="1:20" ht="14" hidden="1" customHeight="1" outlineLevel="3" x14ac:dyDescent="0.25">
      <c r="A190" t="s">
        <v>1</v>
      </c>
      <c r="B190" t="s">
        <v>52</v>
      </c>
      <c r="C190" t="s">
        <v>53</v>
      </c>
      <c r="D190" t="s">
        <v>570</v>
      </c>
      <c r="E190" t="s">
        <v>571</v>
      </c>
      <c r="F190" t="s">
        <v>61</v>
      </c>
      <c r="G190" s="2">
        <v>45887</v>
      </c>
      <c r="H190" s="2">
        <v>45887</v>
      </c>
      <c r="I190" t="s">
        <v>0</v>
      </c>
      <c r="J190" t="s">
        <v>572</v>
      </c>
      <c r="K190" s="3">
        <v>1029.5</v>
      </c>
      <c r="L190" t="s">
        <v>8</v>
      </c>
      <c r="P190" t="s">
        <v>0</v>
      </c>
      <c r="Q190" s="3">
        <v>19368.7</v>
      </c>
      <c r="R190" t="s">
        <v>9</v>
      </c>
      <c r="S190" t="s">
        <v>0</v>
      </c>
      <c r="T190" t="s">
        <v>0</v>
      </c>
    </row>
    <row r="191" spans="1:20" ht="14" hidden="1" customHeight="1" outlineLevel="3" x14ac:dyDescent="0.25">
      <c r="A191" t="s">
        <v>1</v>
      </c>
      <c r="B191" t="s">
        <v>52</v>
      </c>
      <c r="C191" t="s">
        <v>53</v>
      </c>
      <c r="D191" t="s">
        <v>573</v>
      </c>
      <c r="E191" t="s">
        <v>574</v>
      </c>
      <c r="F191" t="s">
        <v>61</v>
      </c>
      <c r="G191" s="2">
        <v>45887</v>
      </c>
      <c r="H191" s="2">
        <v>45887</v>
      </c>
      <c r="I191" t="s">
        <v>0</v>
      </c>
      <c r="J191" t="s">
        <v>575</v>
      </c>
      <c r="K191" s="3">
        <v>11944.5</v>
      </c>
      <c r="L191" t="s">
        <v>8</v>
      </c>
      <c r="P191" t="s">
        <v>0</v>
      </c>
      <c r="Q191" s="3">
        <v>224720.24</v>
      </c>
      <c r="R191" t="s">
        <v>9</v>
      </c>
      <c r="S191" t="s">
        <v>0</v>
      </c>
      <c r="T191" t="s">
        <v>0</v>
      </c>
    </row>
    <row r="192" spans="1:20" ht="14" hidden="1" customHeight="1" outlineLevel="3" x14ac:dyDescent="0.25">
      <c r="A192" t="s">
        <v>1</v>
      </c>
      <c r="B192" t="s">
        <v>52</v>
      </c>
      <c r="C192" t="s">
        <v>53</v>
      </c>
      <c r="D192" t="s">
        <v>576</v>
      </c>
      <c r="E192" t="s">
        <v>577</v>
      </c>
      <c r="F192" t="s">
        <v>61</v>
      </c>
      <c r="G192" s="2">
        <v>45887</v>
      </c>
      <c r="H192" s="2">
        <v>45887</v>
      </c>
      <c r="I192" t="s">
        <v>0</v>
      </c>
      <c r="J192" t="s">
        <v>578</v>
      </c>
      <c r="K192" s="3">
        <v>404</v>
      </c>
      <c r="L192" t="s">
        <v>8</v>
      </c>
      <c r="P192" t="s">
        <v>0</v>
      </c>
      <c r="Q192" s="3">
        <v>7600.73</v>
      </c>
      <c r="R192" t="s">
        <v>9</v>
      </c>
      <c r="S192" t="s">
        <v>0</v>
      </c>
      <c r="T192" t="s">
        <v>0</v>
      </c>
    </row>
    <row r="193" spans="1:20" ht="14" hidden="1" customHeight="1" outlineLevel="3" x14ac:dyDescent="0.25">
      <c r="A193" t="s">
        <v>1</v>
      </c>
      <c r="B193" t="s">
        <v>52</v>
      </c>
      <c r="C193" t="s">
        <v>53</v>
      </c>
      <c r="D193" t="s">
        <v>579</v>
      </c>
      <c r="E193" t="s">
        <v>580</v>
      </c>
      <c r="F193" t="s">
        <v>61</v>
      </c>
      <c r="G193" s="2">
        <v>45887</v>
      </c>
      <c r="H193" s="2">
        <v>45887</v>
      </c>
      <c r="I193" t="s">
        <v>0</v>
      </c>
      <c r="J193" t="s">
        <v>581</v>
      </c>
      <c r="K193" s="3">
        <v>10162</v>
      </c>
      <c r="L193" t="s">
        <v>8</v>
      </c>
      <c r="P193" t="s">
        <v>0</v>
      </c>
      <c r="Q193" s="3">
        <v>191184.82</v>
      </c>
      <c r="R193" t="s">
        <v>9</v>
      </c>
      <c r="S193" t="s">
        <v>0</v>
      </c>
      <c r="T193" t="s">
        <v>0</v>
      </c>
    </row>
    <row r="194" spans="1:20" ht="14" hidden="1" customHeight="1" outlineLevel="3" x14ac:dyDescent="0.25">
      <c r="A194" t="s">
        <v>1</v>
      </c>
      <c r="B194" t="s">
        <v>52</v>
      </c>
      <c r="C194" t="s">
        <v>53</v>
      </c>
      <c r="D194" t="s">
        <v>582</v>
      </c>
      <c r="E194" t="s">
        <v>583</v>
      </c>
      <c r="F194" t="s">
        <v>61</v>
      </c>
      <c r="G194" s="2">
        <v>45887</v>
      </c>
      <c r="H194" s="2">
        <v>45887</v>
      </c>
      <c r="I194" t="s">
        <v>0</v>
      </c>
      <c r="J194" t="s">
        <v>584</v>
      </c>
      <c r="K194" s="3">
        <v>979</v>
      </c>
      <c r="L194" t="s">
        <v>8</v>
      </c>
      <c r="P194" t="s">
        <v>0</v>
      </c>
      <c r="Q194" s="3">
        <v>18418.61</v>
      </c>
      <c r="R194" t="s">
        <v>9</v>
      </c>
      <c r="S194" t="s">
        <v>0</v>
      </c>
      <c r="T194" t="s">
        <v>0</v>
      </c>
    </row>
    <row r="195" spans="1:20" ht="14" hidden="1" customHeight="1" outlineLevel="3" x14ac:dyDescent="0.25">
      <c r="A195" t="s">
        <v>1</v>
      </c>
      <c r="B195" t="s">
        <v>52</v>
      </c>
      <c r="C195" t="s">
        <v>53</v>
      </c>
      <c r="D195" t="s">
        <v>585</v>
      </c>
      <c r="E195" t="s">
        <v>586</v>
      </c>
      <c r="F195" t="s">
        <v>61</v>
      </c>
      <c r="G195" s="2">
        <v>45887</v>
      </c>
      <c r="H195" s="2">
        <v>45887</v>
      </c>
      <c r="I195" t="s">
        <v>0</v>
      </c>
      <c r="J195" t="s">
        <v>587</v>
      </c>
      <c r="K195" s="3">
        <v>10793</v>
      </c>
      <c r="L195" t="s">
        <v>8</v>
      </c>
      <c r="P195" t="s">
        <v>0</v>
      </c>
      <c r="Q195" s="3">
        <v>203056.26</v>
      </c>
      <c r="R195" t="s">
        <v>9</v>
      </c>
      <c r="S195" t="s">
        <v>0</v>
      </c>
      <c r="T195" t="s">
        <v>0</v>
      </c>
    </row>
    <row r="196" spans="1:20" ht="14" hidden="1" customHeight="1" outlineLevel="3" x14ac:dyDescent="0.25">
      <c r="A196" t="s">
        <v>1</v>
      </c>
      <c r="B196" t="s">
        <v>52</v>
      </c>
      <c r="C196" t="s">
        <v>53</v>
      </c>
      <c r="D196" t="s">
        <v>588</v>
      </c>
      <c r="E196" t="s">
        <v>589</v>
      </c>
      <c r="F196" t="s">
        <v>61</v>
      </c>
      <c r="G196" s="2">
        <v>45887</v>
      </c>
      <c r="H196" s="2">
        <v>45887</v>
      </c>
      <c r="I196" t="s">
        <v>0</v>
      </c>
      <c r="J196" t="s">
        <v>590</v>
      </c>
      <c r="K196" s="3">
        <v>812.5</v>
      </c>
      <c r="L196" t="s">
        <v>8</v>
      </c>
      <c r="P196" t="s">
        <v>0</v>
      </c>
      <c r="Q196" s="3">
        <v>15286.13</v>
      </c>
      <c r="R196" t="s">
        <v>9</v>
      </c>
      <c r="S196" t="s">
        <v>0</v>
      </c>
      <c r="T196" t="s">
        <v>0</v>
      </c>
    </row>
    <row r="197" spans="1:20" ht="14" hidden="1" customHeight="1" outlineLevel="3" x14ac:dyDescent="0.25">
      <c r="A197" t="s">
        <v>1</v>
      </c>
      <c r="B197" t="s">
        <v>52</v>
      </c>
      <c r="C197" t="s">
        <v>53</v>
      </c>
      <c r="D197" t="s">
        <v>591</v>
      </c>
      <c r="E197" t="s">
        <v>592</v>
      </c>
      <c r="F197" t="s">
        <v>61</v>
      </c>
      <c r="G197" s="2">
        <v>45887</v>
      </c>
      <c r="H197" s="2">
        <v>45887</v>
      </c>
      <c r="I197" t="s">
        <v>0</v>
      </c>
      <c r="J197" t="s">
        <v>593</v>
      </c>
      <c r="K197" s="3">
        <v>10162</v>
      </c>
      <c r="L197" t="s">
        <v>8</v>
      </c>
      <c r="P197" t="s">
        <v>0</v>
      </c>
      <c r="Q197" s="3">
        <v>191184.82</v>
      </c>
      <c r="R197" t="s">
        <v>9</v>
      </c>
      <c r="S197" t="s">
        <v>0</v>
      </c>
      <c r="T197" t="s">
        <v>0</v>
      </c>
    </row>
    <row r="198" spans="1:20" ht="14" hidden="1" customHeight="1" outlineLevel="3" x14ac:dyDescent="0.25">
      <c r="A198" t="s">
        <v>1</v>
      </c>
      <c r="B198" t="s">
        <v>52</v>
      </c>
      <c r="C198" t="s">
        <v>53</v>
      </c>
      <c r="D198" t="s">
        <v>594</v>
      </c>
      <c r="E198" t="s">
        <v>595</v>
      </c>
      <c r="F198" t="s">
        <v>61</v>
      </c>
      <c r="G198" s="2">
        <v>45887</v>
      </c>
      <c r="H198" s="2">
        <v>45887</v>
      </c>
      <c r="I198" t="s">
        <v>0</v>
      </c>
      <c r="J198" t="s">
        <v>596</v>
      </c>
      <c r="K198" s="3">
        <v>979</v>
      </c>
      <c r="L198" t="s">
        <v>8</v>
      </c>
      <c r="P198" t="s">
        <v>0</v>
      </c>
      <c r="Q198" s="3">
        <v>18418.61</v>
      </c>
      <c r="R198" t="s">
        <v>9</v>
      </c>
      <c r="S198" t="s">
        <v>0</v>
      </c>
      <c r="T198" t="s">
        <v>0</v>
      </c>
    </row>
    <row r="199" spans="1:20" ht="14" hidden="1" customHeight="1" outlineLevel="3" x14ac:dyDescent="0.25">
      <c r="A199" t="s">
        <v>1</v>
      </c>
      <c r="B199" t="s">
        <v>52</v>
      </c>
      <c r="C199" t="s">
        <v>53</v>
      </c>
      <c r="D199" t="s">
        <v>597</v>
      </c>
      <c r="E199" t="s">
        <v>598</v>
      </c>
      <c r="F199" t="s">
        <v>61</v>
      </c>
      <c r="G199" s="2">
        <v>45887</v>
      </c>
      <c r="H199" s="2">
        <v>45887</v>
      </c>
      <c r="I199" t="s">
        <v>0</v>
      </c>
      <c r="J199" t="s">
        <v>599</v>
      </c>
      <c r="K199" s="3">
        <v>11944.5</v>
      </c>
      <c r="L199" t="s">
        <v>8</v>
      </c>
      <c r="P199" t="s">
        <v>0</v>
      </c>
      <c r="Q199" s="3">
        <v>224720.24</v>
      </c>
      <c r="R199" t="s">
        <v>9</v>
      </c>
      <c r="S199" t="s">
        <v>0</v>
      </c>
      <c r="T199" t="s">
        <v>0</v>
      </c>
    </row>
    <row r="200" spans="1:20" ht="14" hidden="1" customHeight="1" outlineLevel="3" x14ac:dyDescent="0.25">
      <c r="A200" t="s">
        <v>1</v>
      </c>
      <c r="B200" t="s">
        <v>52</v>
      </c>
      <c r="C200" t="s">
        <v>53</v>
      </c>
      <c r="D200" t="s">
        <v>600</v>
      </c>
      <c r="E200" t="s">
        <v>601</v>
      </c>
      <c r="F200" t="s">
        <v>61</v>
      </c>
      <c r="G200" s="2">
        <v>45887</v>
      </c>
      <c r="H200" s="2">
        <v>45887</v>
      </c>
      <c r="I200" t="s">
        <v>0</v>
      </c>
      <c r="J200" t="s">
        <v>602</v>
      </c>
      <c r="K200" s="3">
        <v>10212.5</v>
      </c>
      <c r="L200" t="s">
        <v>8</v>
      </c>
      <c r="P200" t="s">
        <v>0</v>
      </c>
      <c r="Q200" s="3">
        <v>192134.91</v>
      </c>
      <c r="R200" t="s">
        <v>9</v>
      </c>
      <c r="S200" t="s">
        <v>0</v>
      </c>
      <c r="T200" t="s">
        <v>0</v>
      </c>
    </row>
    <row r="201" spans="1:20" ht="14" hidden="1" customHeight="1" outlineLevel="3" x14ac:dyDescent="0.25">
      <c r="A201" t="s">
        <v>1</v>
      </c>
      <c r="B201" t="s">
        <v>52</v>
      </c>
      <c r="C201" t="s">
        <v>53</v>
      </c>
      <c r="D201" t="s">
        <v>603</v>
      </c>
      <c r="E201" t="s">
        <v>604</v>
      </c>
      <c r="F201" t="s">
        <v>61</v>
      </c>
      <c r="G201" s="2">
        <v>45887</v>
      </c>
      <c r="H201" s="2">
        <v>45887</v>
      </c>
      <c r="I201" t="s">
        <v>0</v>
      </c>
      <c r="J201" t="s">
        <v>605</v>
      </c>
      <c r="K201" s="3">
        <v>817.5</v>
      </c>
      <c r="L201" t="s">
        <v>8</v>
      </c>
      <c r="P201" t="s">
        <v>0</v>
      </c>
      <c r="Q201" s="3">
        <v>15380.2</v>
      </c>
      <c r="R201" t="s">
        <v>9</v>
      </c>
      <c r="S201" t="s">
        <v>0</v>
      </c>
      <c r="T201" t="s">
        <v>0</v>
      </c>
    </row>
    <row r="202" spans="1:20" ht="14" hidden="1" customHeight="1" outlineLevel="3" x14ac:dyDescent="0.25">
      <c r="A202" t="s">
        <v>1</v>
      </c>
      <c r="B202" t="s">
        <v>52</v>
      </c>
      <c r="C202" t="s">
        <v>53</v>
      </c>
      <c r="D202" t="s">
        <v>606</v>
      </c>
      <c r="E202" t="s">
        <v>607</v>
      </c>
      <c r="F202" t="s">
        <v>61</v>
      </c>
      <c r="G202" s="2">
        <v>45887</v>
      </c>
      <c r="H202" s="2">
        <v>45887</v>
      </c>
      <c r="I202" t="s">
        <v>0</v>
      </c>
      <c r="J202" t="s">
        <v>608</v>
      </c>
      <c r="K202" s="3">
        <v>562.5</v>
      </c>
      <c r="L202" t="s">
        <v>8</v>
      </c>
      <c r="P202" t="s">
        <v>0</v>
      </c>
      <c r="Q202" s="3">
        <v>10582.71</v>
      </c>
      <c r="R202" t="s">
        <v>9</v>
      </c>
      <c r="S202" t="s">
        <v>0</v>
      </c>
      <c r="T202" t="s">
        <v>0</v>
      </c>
    </row>
    <row r="203" spans="1:20" ht="14" hidden="1" customHeight="1" outlineLevel="3" x14ac:dyDescent="0.25">
      <c r="A203" t="s">
        <v>1</v>
      </c>
      <c r="B203" t="s">
        <v>52</v>
      </c>
      <c r="C203" t="s">
        <v>53</v>
      </c>
      <c r="D203" t="s">
        <v>609</v>
      </c>
      <c r="E203" t="s">
        <v>610</v>
      </c>
      <c r="F203" t="s">
        <v>61</v>
      </c>
      <c r="G203" s="2">
        <v>45887</v>
      </c>
      <c r="H203" s="2">
        <v>45887</v>
      </c>
      <c r="I203" t="s">
        <v>0</v>
      </c>
      <c r="J203" t="s">
        <v>611</v>
      </c>
      <c r="K203" s="3">
        <v>817.5</v>
      </c>
      <c r="L203" t="s">
        <v>8</v>
      </c>
      <c r="P203" t="s">
        <v>0</v>
      </c>
      <c r="Q203" s="3">
        <v>15380.2</v>
      </c>
      <c r="R203" t="s">
        <v>9</v>
      </c>
      <c r="S203" t="s">
        <v>0</v>
      </c>
      <c r="T203" t="s">
        <v>0</v>
      </c>
    </row>
    <row r="204" spans="1:20" ht="14" hidden="1" customHeight="1" outlineLevel="3" x14ac:dyDescent="0.25">
      <c r="A204" t="s">
        <v>1</v>
      </c>
      <c r="B204" t="s">
        <v>52</v>
      </c>
      <c r="C204" t="s">
        <v>53</v>
      </c>
      <c r="D204" t="s">
        <v>612</v>
      </c>
      <c r="E204" t="s">
        <v>613</v>
      </c>
      <c r="F204" t="s">
        <v>61</v>
      </c>
      <c r="G204" s="2">
        <v>45887</v>
      </c>
      <c r="H204" s="2">
        <v>45887</v>
      </c>
      <c r="I204" t="s">
        <v>0</v>
      </c>
      <c r="J204" t="s">
        <v>614</v>
      </c>
      <c r="K204" s="3">
        <v>562.5</v>
      </c>
      <c r="L204" t="s">
        <v>8</v>
      </c>
      <c r="P204" t="s">
        <v>0</v>
      </c>
      <c r="Q204" s="3">
        <v>10582.71</v>
      </c>
      <c r="R204" t="s">
        <v>9</v>
      </c>
      <c r="S204" t="s">
        <v>0</v>
      </c>
      <c r="T204" t="s">
        <v>0</v>
      </c>
    </row>
    <row r="205" spans="1:20" ht="14" hidden="1" customHeight="1" outlineLevel="3" x14ac:dyDescent="0.25">
      <c r="A205" t="s">
        <v>1</v>
      </c>
      <c r="B205" t="s">
        <v>52</v>
      </c>
      <c r="C205" t="s">
        <v>53</v>
      </c>
      <c r="D205" t="s">
        <v>615</v>
      </c>
      <c r="E205" t="s">
        <v>616</v>
      </c>
      <c r="F205" t="s">
        <v>61</v>
      </c>
      <c r="G205" s="2">
        <v>45887</v>
      </c>
      <c r="H205" s="2">
        <v>45887</v>
      </c>
      <c r="I205" t="s">
        <v>0</v>
      </c>
      <c r="J205" t="s">
        <v>617</v>
      </c>
      <c r="K205" s="3">
        <v>333</v>
      </c>
      <c r="L205" t="s">
        <v>8</v>
      </c>
      <c r="P205" t="s">
        <v>0</v>
      </c>
      <c r="Q205" s="3">
        <v>6264.96</v>
      </c>
      <c r="R205" t="s">
        <v>9</v>
      </c>
      <c r="S205" t="s">
        <v>0</v>
      </c>
      <c r="T205" t="s">
        <v>0</v>
      </c>
    </row>
    <row r="206" spans="1:20" ht="14" hidden="1" customHeight="1" outlineLevel="3" x14ac:dyDescent="0.25">
      <c r="A206" t="s">
        <v>1</v>
      </c>
      <c r="B206" t="s">
        <v>52</v>
      </c>
      <c r="C206" t="s">
        <v>53</v>
      </c>
      <c r="D206" t="s">
        <v>618</v>
      </c>
      <c r="E206" t="s">
        <v>619</v>
      </c>
      <c r="F206" t="s">
        <v>61</v>
      </c>
      <c r="G206" s="2">
        <v>45887</v>
      </c>
      <c r="H206" s="2">
        <v>45887</v>
      </c>
      <c r="I206" t="s">
        <v>0</v>
      </c>
      <c r="J206" t="s">
        <v>620</v>
      </c>
      <c r="K206" s="3">
        <v>654</v>
      </c>
      <c r="L206" t="s">
        <v>8</v>
      </c>
      <c r="P206" t="s">
        <v>0</v>
      </c>
      <c r="Q206" s="3">
        <v>12304.16</v>
      </c>
      <c r="R206" t="s">
        <v>9</v>
      </c>
      <c r="S206" t="s">
        <v>0</v>
      </c>
      <c r="T206" t="s">
        <v>0</v>
      </c>
    </row>
    <row r="207" spans="1:20" ht="14" hidden="1" customHeight="1" outlineLevel="3" x14ac:dyDescent="0.25">
      <c r="A207" t="s">
        <v>1</v>
      </c>
      <c r="B207" t="s">
        <v>52</v>
      </c>
      <c r="C207" t="s">
        <v>53</v>
      </c>
      <c r="D207" t="s">
        <v>621</v>
      </c>
      <c r="E207" t="s">
        <v>622</v>
      </c>
      <c r="F207" t="s">
        <v>61</v>
      </c>
      <c r="G207" s="2">
        <v>45887</v>
      </c>
      <c r="H207" s="2">
        <v>45887</v>
      </c>
      <c r="I207" t="s">
        <v>0</v>
      </c>
      <c r="J207" t="s">
        <v>623</v>
      </c>
      <c r="K207" s="3">
        <v>750</v>
      </c>
      <c r="L207" t="s">
        <v>8</v>
      </c>
      <c r="P207" t="s">
        <v>0</v>
      </c>
      <c r="Q207" s="3">
        <v>14110.28</v>
      </c>
      <c r="R207" t="s">
        <v>9</v>
      </c>
      <c r="S207" t="s">
        <v>0</v>
      </c>
      <c r="T207" t="s">
        <v>0</v>
      </c>
    </row>
    <row r="208" spans="1:20" ht="14" hidden="1" customHeight="1" outlineLevel="3" x14ac:dyDescent="0.25">
      <c r="A208" t="s">
        <v>1</v>
      </c>
      <c r="B208" t="s">
        <v>52</v>
      </c>
      <c r="C208" t="s">
        <v>53</v>
      </c>
      <c r="D208" t="s">
        <v>624</v>
      </c>
      <c r="E208" t="s">
        <v>625</v>
      </c>
      <c r="F208" t="s">
        <v>61</v>
      </c>
      <c r="G208" s="2">
        <v>45887</v>
      </c>
      <c r="H208" s="2">
        <v>45887</v>
      </c>
      <c r="I208" t="s">
        <v>0</v>
      </c>
      <c r="J208" t="s">
        <v>626</v>
      </c>
      <c r="K208" s="3">
        <v>817.5</v>
      </c>
      <c r="L208" t="s">
        <v>8</v>
      </c>
      <c r="P208" t="s">
        <v>0</v>
      </c>
      <c r="Q208" s="3">
        <v>15380.2</v>
      </c>
      <c r="R208" t="s">
        <v>9</v>
      </c>
      <c r="S208" t="s">
        <v>0</v>
      </c>
      <c r="T208" t="s">
        <v>0</v>
      </c>
    </row>
    <row r="209" spans="1:20" ht="14" hidden="1" customHeight="1" outlineLevel="3" x14ac:dyDescent="0.25">
      <c r="A209" t="s">
        <v>1</v>
      </c>
      <c r="B209" t="s">
        <v>52</v>
      </c>
      <c r="C209" t="s">
        <v>53</v>
      </c>
      <c r="D209" t="s">
        <v>627</v>
      </c>
      <c r="E209" t="s">
        <v>628</v>
      </c>
      <c r="F209" t="s">
        <v>61</v>
      </c>
      <c r="G209" s="2">
        <v>45887</v>
      </c>
      <c r="H209" s="2">
        <v>45887</v>
      </c>
      <c r="I209" t="s">
        <v>0</v>
      </c>
      <c r="J209" t="s">
        <v>629</v>
      </c>
      <c r="K209" s="3">
        <v>812.5</v>
      </c>
      <c r="L209" t="s">
        <v>8</v>
      </c>
      <c r="P209" t="s">
        <v>0</v>
      </c>
      <c r="Q209" s="3">
        <v>15286.13</v>
      </c>
      <c r="R209" t="s">
        <v>9</v>
      </c>
      <c r="S209" t="s">
        <v>0</v>
      </c>
      <c r="T209" t="s">
        <v>0</v>
      </c>
    </row>
    <row r="210" spans="1:20" ht="14" hidden="1" customHeight="1" outlineLevel="3" x14ac:dyDescent="0.25">
      <c r="A210" t="s">
        <v>1</v>
      </c>
      <c r="B210" t="s">
        <v>52</v>
      </c>
      <c r="C210" t="s">
        <v>53</v>
      </c>
      <c r="D210" t="s">
        <v>630</v>
      </c>
      <c r="E210" t="s">
        <v>631</v>
      </c>
      <c r="F210" t="s">
        <v>61</v>
      </c>
      <c r="G210" s="2">
        <v>45887</v>
      </c>
      <c r="H210" s="2">
        <v>45887</v>
      </c>
      <c r="I210" t="s">
        <v>0</v>
      </c>
      <c r="J210" t="s">
        <v>632</v>
      </c>
      <c r="K210" s="3">
        <v>2335</v>
      </c>
      <c r="L210" t="s">
        <v>8</v>
      </c>
      <c r="P210" t="s">
        <v>0</v>
      </c>
      <c r="Q210" s="3">
        <v>43929.99</v>
      </c>
      <c r="R210" t="s">
        <v>9</v>
      </c>
      <c r="S210" t="s">
        <v>0</v>
      </c>
      <c r="T210" t="s">
        <v>0</v>
      </c>
    </row>
    <row r="211" spans="1:20" ht="14" hidden="1" customHeight="1" outlineLevel="3" x14ac:dyDescent="0.25">
      <c r="A211" t="s">
        <v>1</v>
      </c>
      <c r="B211" t="s">
        <v>52</v>
      </c>
      <c r="C211" t="s">
        <v>53</v>
      </c>
      <c r="D211" t="s">
        <v>633</v>
      </c>
      <c r="E211" t="s">
        <v>634</v>
      </c>
      <c r="F211" t="s">
        <v>61</v>
      </c>
      <c r="G211" s="2">
        <v>45887</v>
      </c>
      <c r="H211" s="2">
        <v>45887</v>
      </c>
      <c r="I211" t="s">
        <v>0</v>
      </c>
      <c r="J211" t="s">
        <v>635</v>
      </c>
      <c r="K211" s="3">
        <v>750</v>
      </c>
      <c r="L211" t="s">
        <v>8</v>
      </c>
      <c r="P211" t="s">
        <v>0</v>
      </c>
      <c r="Q211" s="3">
        <v>14110.28</v>
      </c>
      <c r="R211" t="s">
        <v>9</v>
      </c>
      <c r="S211" t="s">
        <v>0</v>
      </c>
      <c r="T211" t="s">
        <v>0</v>
      </c>
    </row>
    <row r="212" spans="1:20" ht="14" hidden="1" customHeight="1" outlineLevel="3" x14ac:dyDescent="0.25">
      <c r="A212" t="s">
        <v>1</v>
      </c>
      <c r="B212" t="s">
        <v>52</v>
      </c>
      <c r="C212" t="s">
        <v>53</v>
      </c>
      <c r="D212" t="s">
        <v>636</v>
      </c>
      <c r="E212" t="s">
        <v>637</v>
      </c>
      <c r="F212" t="s">
        <v>61</v>
      </c>
      <c r="G212" s="2">
        <v>45887</v>
      </c>
      <c r="H212" s="2">
        <v>45887</v>
      </c>
      <c r="I212" t="s">
        <v>0</v>
      </c>
      <c r="J212" t="s">
        <v>638</v>
      </c>
      <c r="K212" s="3">
        <v>817.5</v>
      </c>
      <c r="L212" t="s">
        <v>8</v>
      </c>
      <c r="P212" t="s">
        <v>0</v>
      </c>
      <c r="Q212" s="3">
        <v>15380.2</v>
      </c>
      <c r="R212" t="s">
        <v>9</v>
      </c>
      <c r="S212" t="s">
        <v>0</v>
      </c>
      <c r="T212" t="s">
        <v>0</v>
      </c>
    </row>
    <row r="213" spans="1:20" ht="14" hidden="1" customHeight="1" outlineLevel="3" x14ac:dyDescent="0.25">
      <c r="A213" t="s">
        <v>1</v>
      </c>
      <c r="B213" t="s">
        <v>52</v>
      </c>
      <c r="C213" t="s">
        <v>53</v>
      </c>
      <c r="D213" t="s">
        <v>639</v>
      </c>
      <c r="E213" t="s">
        <v>640</v>
      </c>
      <c r="F213" t="s">
        <v>61</v>
      </c>
      <c r="G213" s="2">
        <v>45887</v>
      </c>
      <c r="H213" s="2">
        <v>45887</v>
      </c>
      <c r="I213" t="s">
        <v>0</v>
      </c>
      <c r="J213" t="s">
        <v>641</v>
      </c>
      <c r="K213" s="3">
        <v>750</v>
      </c>
      <c r="L213" t="s">
        <v>8</v>
      </c>
      <c r="P213" t="s">
        <v>0</v>
      </c>
      <c r="Q213" s="3">
        <v>14110.28</v>
      </c>
      <c r="R213" t="s">
        <v>9</v>
      </c>
      <c r="S213" t="s">
        <v>0</v>
      </c>
      <c r="T213" t="s">
        <v>0</v>
      </c>
    </row>
    <row r="214" spans="1:20" ht="14" hidden="1" customHeight="1" outlineLevel="3" x14ac:dyDescent="0.25">
      <c r="A214" t="s">
        <v>1</v>
      </c>
      <c r="B214" t="s">
        <v>52</v>
      </c>
      <c r="C214" t="s">
        <v>53</v>
      </c>
      <c r="D214" t="s">
        <v>642</v>
      </c>
      <c r="E214" t="s">
        <v>643</v>
      </c>
      <c r="F214" t="s">
        <v>61</v>
      </c>
      <c r="G214" s="2">
        <v>45887</v>
      </c>
      <c r="H214" s="2">
        <v>45887</v>
      </c>
      <c r="I214" t="s">
        <v>0</v>
      </c>
      <c r="J214" t="s">
        <v>644</v>
      </c>
      <c r="K214" s="3">
        <v>654</v>
      </c>
      <c r="L214" t="s">
        <v>8</v>
      </c>
      <c r="P214" t="s">
        <v>0</v>
      </c>
      <c r="Q214" s="3">
        <v>12304.16</v>
      </c>
      <c r="R214" t="s">
        <v>9</v>
      </c>
      <c r="S214" t="s">
        <v>0</v>
      </c>
      <c r="T214" t="s">
        <v>0</v>
      </c>
    </row>
    <row r="215" spans="1:20" ht="14" hidden="1" customHeight="1" outlineLevel="3" x14ac:dyDescent="0.25">
      <c r="A215" t="s">
        <v>1</v>
      </c>
      <c r="B215" t="s">
        <v>52</v>
      </c>
      <c r="C215" t="s">
        <v>53</v>
      </c>
      <c r="D215" t="s">
        <v>645</v>
      </c>
      <c r="E215" t="s">
        <v>646</v>
      </c>
      <c r="F215" t="s">
        <v>61</v>
      </c>
      <c r="G215" s="2">
        <v>45887</v>
      </c>
      <c r="H215" s="2">
        <v>45887</v>
      </c>
      <c r="I215" t="s">
        <v>0</v>
      </c>
      <c r="J215" t="s">
        <v>647</v>
      </c>
      <c r="K215" s="3">
        <v>750</v>
      </c>
      <c r="L215" t="s">
        <v>8</v>
      </c>
      <c r="P215" t="s">
        <v>0</v>
      </c>
      <c r="Q215" s="3">
        <v>14110.28</v>
      </c>
      <c r="R215" t="s">
        <v>9</v>
      </c>
      <c r="S215" t="s">
        <v>0</v>
      </c>
      <c r="T215" t="s">
        <v>0</v>
      </c>
    </row>
    <row r="216" spans="1:20" ht="14" hidden="1" customHeight="1" outlineLevel="3" x14ac:dyDescent="0.25">
      <c r="A216" t="s">
        <v>1</v>
      </c>
      <c r="B216" t="s">
        <v>52</v>
      </c>
      <c r="C216" t="s">
        <v>53</v>
      </c>
      <c r="D216" t="s">
        <v>648</v>
      </c>
      <c r="E216" t="s">
        <v>649</v>
      </c>
      <c r="F216" t="s">
        <v>61</v>
      </c>
      <c r="G216" s="2">
        <v>45887</v>
      </c>
      <c r="H216" s="2">
        <v>45887</v>
      </c>
      <c r="I216" t="s">
        <v>0</v>
      </c>
      <c r="J216" t="s">
        <v>650</v>
      </c>
      <c r="K216" s="3">
        <v>817.5</v>
      </c>
      <c r="L216" t="s">
        <v>8</v>
      </c>
      <c r="P216" t="s">
        <v>0</v>
      </c>
      <c r="Q216" s="3">
        <v>15380.2</v>
      </c>
      <c r="R216" t="s">
        <v>9</v>
      </c>
      <c r="S216" t="s">
        <v>0</v>
      </c>
      <c r="T216" t="s">
        <v>0</v>
      </c>
    </row>
    <row r="217" spans="1:20" ht="14" hidden="1" customHeight="1" outlineLevel="3" x14ac:dyDescent="0.25">
      <c r="A217" t="s">
        <v>1</v>
      </c>
      <c r="B217" t="s">
        <v>52</v>
      </c>
      <c r="C217" t="s">
        <v>53</v>
      </c>
      <c r="D217" t="s">
        <v>651</v>
      </c>
      <c r="E217" t="s">
        <v>652</v>
      </c>
      <c r="F217" t="s">
        <v>61</v>
      </c>
      <c r="G217" s="2">
        <v>45887</v>
      </c>
      <c r="H217" s="2">
        <v>45887</v>
      </c>
      <c r="I217" t="s">
        <v>0</v>
      </c>
      <c r="J217" t="s">
        <v>653</v>
      </c>
      <c r="K217" s="3">
        <v>812.5</v>
      </c>
      <c r="L217" t="s">
        <v>8</v>
      </c>
      <c r="P217" t="s">
        <v>0</v>
      </c>
      <c r="Q217" s="3">
        <v>15286.13</v>
      </c>
      <c r="R217" t="s">
        <v>9</v>
      </c>
      <c r="S217" t="s">
        <v>0</v>
      </c>
      <c r="T217" t="s">
        <v>0</v>
      </c>
    </row>
    <row r="218" spans="1:20" ht="14" hidden="1" customHeight="1" outlineLevel="3" x14ac:dyDescent="0.25">
      <c r="A218" t="s">
        <v>1</v>
      </c>
      <c r="B218" t="s">
        <v>52</v>
      </c>
      <c r="C218" t="s">
        <v>53</v>
      </c>
      <c r="D218" t="s">
        <v>654</v>
      </c>
      <c r="E218" t="s">
        <v>655</v>
      </c>
      <c r="F218" t="s">
        <v>61</v>
      </c>
      <c r="G218" s="2">
        <v>45887</v>
      </c>
      <c r="H218" s="2">
        <v>45887</v>
      </c>
      <c r="I218" t="s">
        <v>0</v>
      </c>
      <c r="J218" t="s">
        <v>656</v>
      </c>
      <c r="K218" s="3">
        <v>750</v>
      </c>
      <c r="L218" t="s">
        <v>8</v>
      </c>
      <c r="P218" t="s">
        <v>0</v>
      </c>
      <c r="Q218" s="3">
        <v>14110.28</v>
      </c>
      <c r="R218" t="s">
        <v>9</v>
      </c>
      <c r="S218" t="s">
        <v>0</v>
      </c>
      <c r="T218" t="s">
        <v>0</v>
      </c>
    </row>
    <row r="219" spans="1:20" ht="14" hidden="1" customHeight="1" outlineLevel="3" x14ac:dyDescent="0.25">
      <c r="A219" t="s">
        <v>1</v>
      </c>
      <c r="B219" t="s">
        <v>52</v>
      </c>
      <c r="C219" t="s">
        <v>53</v>
      </c>
      <c r="D219" t="s">
        <v>657</v>
      </c>
      <c r="E219" t="s">
        <v>658</v>
      </c>
      <c r="F219" t="s">
        <v>61</v>
      </c>
      <c r="G219" s="2">
        <v>45909</v>
      </c>
      <c r="H219" s="2">
        <v>45909</v>
      </c>
      <c r="I219" t="s">
        <v>0</v>
      </c>
      <c r="J219" t="s">
        <v>659</v>
      </c>
      <c r="K219" s="3">
        <v>820</v>
      </c>
      <c r="L219" t="s">
        <v>8</v>
      </c>
      <c r="P219" t="s">
        <v>0</v>
      </c>
      <c r="Q219" s="3">
        <v>15316.94</v>
      </c>
      <c r="R219" t="s">
        <v>9</v>
      </c>
      <c r="S219" t="s">
        <v>0</v>
      </c>
      <c r="T219" t="s">
        <v>0</v>
      </c>
    </row>
    <row r="220" spans="1:20" ht="14" hidden="1" customHeight="1" outlineLevel="3" x14ac:dyDescent="0.25">
      <c r="A220" t="s">
        <v>1</v>
      </c>
      <c r="B220" t="s">
        <v>52</v>
      </c>
      <c r="C220" t="s">
        <v>53</v>
      </c>
      <c r="D220" t="s">
        <v>660</v>
      </c>
      <c r="E220" t="s">
        <v>661</v>
      </c>
      <c r="F220" t="s">
        <v>61</v>
      </c>
      <c r="G220" s="2">
        <v>45909</v>
      </c>
      <c r="H220" s="2">
        <v>45909</v>
      </c>
      <c r="I220" t="s">
        <v>0</v>
      </c>
      <c r="J220" t="s">
        <v>662</v>
      </c>
      <c r="K220" s="3">
        <v>2047.3</v>
      </c>
      <c r="L220" t="s">
        <v>8</v>
      </c>
      <c r="P220" t="s">
        <v>0</v>
      </c>
      <c r="Q220" s="3">
        <v>38241.93</v>
      </c>
      <c r="R220" t="s">
        <v>9</v>
      </c>
      <c r="S220" t="s">
        <v>0</v>
      </c>
      <c r="T220" t="s">
        <v>0</v>
      </c>
    </row>
    <row r="221" spans="1:20" ht="14" hidden="1" customHeight="1" outlineLevel="3" x14ac:dyDescent="0.25">
      <c r="A221" t="s">
        <v>1</v>
      </c>
      <c r="B221" t="s">
        <v>52</v>
      </c>
      <c r="C221" t="s">
        <v>53</v>
      </c>
      <c r="D221" t="s">
        <v>663</v>
      </c>
      <c r="E221" t="s">
        <v>664</v>
      </c>
      <c r="F221" t="s">
        <v>61</v>
      </c>
      <c r="G221" s="2">
        <v>45909</v>
      </c>
      <c r="H221" s="2">
        <v>45909</v>
      </c>
      <c r="I221" t="s">
        <v>0</v>
      </c>
      <c r="J221" t="s">
        <v>665</v>
      </c>
      <c r="K221" s="3">
        <v>820</v>
      </c>
      <c r="L221" t="s">
        <v>8</v>
      </c>
      <c r="P221" t="s">
        <v>0</v>
      </c>
      <c r="Q221" s="3">
        <v>15316.94</v>
      </c>
      <c r="R221" t="s">
        <v>9</v>
      </c>
      <c r="S221" t="s">
        <v>0</v>
      </c>
      <c r="T221" t="s">
        <v>0</v>
      </c>
    </row>
    <row r="222" spans="1:20" ht="14" hidden="1" customHeight="1" outlineLevel="3" x14ac:dyDescent="0.25">
      <c r="A222" t="s">
        <v>1</v>
      </c>
      <c r="B222" t="s">
        <v>52</v>
      </c>
      <c r="C222" t="s">
        <v>53</v>
      </c>
      <c r="D222" t="s">
        <v>666</v>
      </c>
      <c r="E222" t="s">
        <v>667</v>
      </c>
      <c r="F222" t="s">
        <v>61</v>
      </c>
      <c r="G222" s="2">
        <v>45909</v>
      </c>
      <c r="H222" s="2">
        <v>45909</v>
      </c>
      <c r="I222" t="s">
        <v>0</v>
      </c>
      <c r="J222" t="s">
        <v>668</v>
      </c>
      <c r="K222" s="3">
        <v>546</v>
      </c>
      <c r="L222" t="s">
        <v>8</v>
      </c>
      <c r="P222" t="s">
        <v>0</v>
      </c>
      <c r="Q222" s="3">
        <v>10198.84</v>
      </c>
      <c r="R222" t="s">
        <v>9</v>
      </c>
      <c r="S222" t="s">
        <v>0</v>
      </c>
      <c r="T222" t="s">
        <v>0</v>
      </c>
    </row>
    <row r="223" spans="1:20" ht="14" hidden="1" customHeight="1" outlineLevel="3" x14ac:dyDescent="0.25">
      <c r="A223" t="s">
        <v>1</v>
      </c>
      <c r="B223" t="s">
        <v>52</v>
      </c>
      <c r="C223" t="s">
        <v>53</v>
      </c>
      <c r="D223" t="s">
        <v>669</v>
      </c>
      <c r="E223" t="s">
        <v>670</v>
      </c>
      <c r="F223" t="s">
        <v>61</v>
      </c>
      <c r="G223" s="2">
        <v>45909</v>
      </c>
      <c r="H223" s="2">
        <v>45909</v>
      </c>
      <c r="I223" t="s">
        <v>0</v>
      </c>
      <c r="J223" t="s">
        <v>671</v>
      </c>
      <c r="K223" s="3">
        <v>820</v>
      </c>
      <c r="L223" t="s">
        <v>8</v>
      </c>
      <c r="P223" t="s">
        <v>0</v>
      </c>
      <c r="Q223" s="3">
        <v>15316.94</v>
      </c>
      <c r="R223" t="s">
        <v>9</v>
      </c>
      <c r="S223" t="s">
        <v>0</v>
      </c>
      <c r="T223" t="s">
        <v>0</v>
      </c>
    </row>
    <row r="224" spans="1:20" ht="14" hidden="1" customHeight="1" outlineLevel="3" x14ac:dyDescent="0.25">
      <c r="A224" t="s">
        <v>1</v>
      </c>
      <c r="B224" t="s">
        <v>52</v>
      </c>
      <c r="C224" t="s">
        <v>53</v>
      </c>
      <c r="D224" t="s">
        <v>672</v>
      </c>
      <c r="E224" t="s">
        <v>673</v>
      </c>
      <c r="F224" t="s">
        <v>61</v>
      </c>
      <c r="G224" s="2">
        <v>45909</v>
      </c>
      <c r="H224" s="2">
        <v>45909</v>
      </c>
      <c r="I224" t="s">
        <v>0</v>
      </c>
      <c r="J224" t="s">
        <v>674</v>
      </c>
      <c r="K224" s="3">
        <v>546</v>
      </c>
      <c r="L224" t="s">
        <v>8</v>
      </c>
      <c r="P224" t="s">
        <v>0</v>
      </c>
      <c r="Q224" s="3">
        <v>10198.84</v>
      </c>
      <c r="R224" t="s">
        <v>9</v>
      </c>
      <c r="S224" t="s">
        <v>0</v>
      </c>
      <c r="T224" t="s">
        <v>0</v>
      </c>
    </row>
    <row r="225" spans="1:20" ht="14" hidden="1" customHeight="1" outlineLevel="3" x14ac:dyDescent="0.25">
      <c r="A225" t="s">
        <v>1</v>
      </c>
      <c r="B225" t="s">
        <v>52</v>
      </c>
      <c r="C225" t="s">
        <v>53</v>
      </c>
      <c r="D225" t="s">
        <v>675</v>
      </c>
      <c r="E225" t="s">
        <v>676</v>
      </c>
      <c r="F225" t="s">
        <v>61</v>
      </c>
      <c r="G225" s="2">
        <v>45909</v>
      </c>
      <c r="H225" s="2">
        <v>45909</v>
      </c>
      <c r="I225" t="s">
        <v>0</v>
      </c>
      <c r="J225" t="s">
        <v>677</v>
      </c>
      <c r="K225" s="3">
        <v>1536</v>
      </c>
      <c r="L225" t="s">
        <v>8</v>
      </c>
      <c r="P225" t="s">
        <v>0</v>
      </c>
      <c r="Q225" s="3">
        <v>28691.25</v>
      </c>
      <c r="R225" t="s">
        <v>9</v>
      </c>
      <c r="S225" t="s">
        <v>0</v>
      </c>
      <c r="T225" t="s">
        <v>0</v>
      </c>
    </row>
    <row r="226" spans="1:20" ht="14" hidden="1" customHeight="1" outlineLevel="3" x14ac:dyDescent="0.25">
      <c r="A226" t="s">
        <v>1</v>
      </c>
      <c r="B226" t="s">
        <v>52</v>
      </c>
      <c r="C226" t="s">
        <v>53</v>
      </c>
      <c r="D226" t="s">
        <v>678</v>
      </c>
      <c r="E226" t="s">
        <v>679</v>
      </c>
      <c r="F226" t="s">
        <v>61</v>
      </c>
      <c r="G226" s="2">
        <v>45909</v>
      </c>
      <c r="H226" s="2">
        <v>45909</v>
      </c>
      <c r="I226" t="s">
        <v>0</v>
      </c>
      <c r="J226" t="s">
        <v>680</v>
      </c>
      <c r="K226" s="3">
        <v>136.5</v>
      </c>
      <c r="L226" t="s">
        <v>8</v>
      </c>
      <c r="P226" t="s">
        <v>0</v>
      </c>
      <c r="Q226" s="3">
        <v>2549.71</v>
      </c>
      <c r="R226" t="s">
        <v>9</v>
      </c>
      <c r="S226" t="s">
        <v>0</v>
      </c>
      <c r="T226" t="s">
        <v>0</v>
      </c>
    </row>
    <row r="227" spans="1:20" ht="14" hidden="1" customHeight="1" outlineLevel="3" x14ac:dyDescent="0.25">
      <c r="A227" t="s">
        <v>1</v>
      </c>
      <c r="B227" t="s">
        <v>52</v>
      </c>
      <c r="C227" t="s">
        <v>53</v>
      </c>
      <c r="D227" t="s">
        <v>681</v>
      </c>
      <c r="E227" t="s">
        <v>682</v>
      </c>
      <c r="F227" t="s">
        <v>61</v>
      </c>
      <c r="G227" s="2">
        <v>45909</v>
      </c>
      <c r="H227" s="2">
        <v>45909</v>
      </c>
      <c r="I227" t="s">
        <v>0</v>
      </c>
      <c r="J227" t="s">
        <v>683</v>
      </c>
      <c r="K227" s="3">
        <v>814</v>
      </c>
      <c r="L227" t="s">
        <v>8</v>
      </c>
      <c r="P227" t="s">
        <v>0</v>
      </c>
      <c r="Q227" s="3">
        <v>15204.87</v>
      </c>
      <c r="R227" t="s">
        <v>9</v>
      </c>
      <c r="S227" t="s">
        <v>0</v>
      </c>
      <c r="T227" t="s">
        <v>0</v>
      </c>
    </row>
    <row r="228" spans="1:20" ht="14" hidden="1" customHeight="1" outlineLevel="3" x14ac:dyDescent="0.25">
      <c r="A228" t="s">
        <v>1</v>
      </c>
      <c r="B228" t="s">
        <v>52</v>
      </c>
      <c r="C228" t="s">
        <v>53</v>
      </c>
      <c r="D228" t="s">
        <v>684</v>
      </c>
      <c r="E228" t="s">
        <v>685</v>
      </c>
      <c r="F228" t="s">
        <v>61</v>
      </c>
      <c r="G228" s="2">
        <v>45909</v>
      </c>
      <c r="H228" s="2">
        <v>45909</v>
      </c>
      <c r="I228" t="s">
        <v>0</v>
      </c>
      <c r="J228" t="s">
        <v>686</v>
      </c>
      <c r="K228" s="3">
        <v>546</v>
      </c>
      <c r="L228" t="s">
        <v>8</v>
      </c>
      <c r="P228" t="s">
        <v>0</v>
      </c>
      <c r="Q228" s="3">
        <v>10198.84</v>
      </c>
      <c r="R228" t="s">
        <v>9</v>
      </c>
      <c r="S228" t="s">
        <v>0</v>
      </c>
      <c r="T228" t="s">
        <v>0</v>
      </c>
    </row>
    <row r="229" spans="1:20" ht="14" hidden="1" customHeight="1" outlineLevel="3" x14ac:dyDescent="0.25">
      <c r="A229" t="s">
        <v>1</v>
      </c>
      <c r="B229" t="s">
        <v>52</v>
      </c>
      <c r="C229" t="s">
        <v>53</v>
      </c>
      <c r="D229" t="s">
        <v>687</v>
      </c>
      <c r="E229" t="s">
        <v>688</v>
      </c>
      <c r="F229" t="s">
        <v>61</v>
      </c>
      <c r="G229" s="2">
        <v>45909</v>
      </c>
      <c r="H229" s="2">
        <v>45909</v>
      </c>
      <c r="I229" t="s">
        <v>0</v>
      </c>
      <c r="J229" t="s">
        <v>689</v>
      </c>
      <c r="K229" s="3">
        <v>820</v>
      </c>
      <c r="L229" t="s">
        <v>8</v>
      </c>
      <c r="P229" t="s">
        <v>0</v>
      </c>
      <c r="Q229" s="3">
        <v>15316.94</v>
      </c>
      <c r="R229" t="s">
        <v>9</v>
      </c>
      <c r="S229" t="s">
        <v>0</v>
      </c>
      <c r="T229" t="s">
        <v>0</v>
      </c>
    </row>
    <row r="230" spans="1:20" ht="14" hidden="1" customHeight="1" outlineLevel="3" x14ac:dyDescent="0.25">
      <c r="A230" t="s">
        <v>1</v>
      </c>
      <c r="B230" t="s">
        <v>52</v>
      </c>
      <c r="C230" t="s">
        <v>53</v>
      </c>
      <c r="D230" t="s">
        <v>690</v>
      </c>
      <c r="E230" t="s">
        <v>691</v>
      </c>
      <c r="F230" t="s">
        <v>61</v>
      </c>
      <c r="G230" s="2">
        <v>45909</v>
      </c>
      <c r="H230" s="2">
        <v>45909</v>
      </c>
      <c r="I230" t="s">
        <v>0</v>
      </c>
      <c r="J230" t="s">
        <v>692</v>
      </c>
      <c r="K230" s="3">
        <v>546</v>
      </c>
      <c r="L230" t="s">
        <v>8</v>
      </c>
      <c r="P230" t="s">
        <v>0</v>
      </c>
      <c r="Q230" s="3">
        <v>10198.84</v>
      </c>
      <c r="R230" t="s">
        <v>9</v>
      </c>
      <c r="S230" t="s">
        <v>0</v>
      </c>
      <c r="T230" t="s">
        <v>0</v>
      </c>
    </row>
    <row r="231" spans="1:20" ht="14" hidden="1" customHeight="1" outlineLevel="3" x14ac:dyDescent="0.25">
      <c r="A231" t="s">
        <v>1</v>
      </c>
      <c r="B231" t="s">
        <v>52</v>
      </c>
      <c r="C231" t="s">
        <v>53</v>
      </c>
      <c r="D231" t="s">
        <v>693</v>
      </c>
      <c r="E231" t="s">
        <v>694</v>
      </c>
      <c r="F231" t="s">
        <v>61</v>
      </c>
      <c r="G231" s="2">
        <v>45909</v>
      </c>
      <c r="H231" s="2">
        <v>45909</v>
      </c>
      <c r="I231" t="s">
        <v>0</v>
      </c>
      <c r="J231" t="s">
        <v>695</v>
      </c>
      <c r="K231" s="3">
        <v>1628</v>
      </c>
      <c r="L231" t="s">
        <v>8</v>
      </c>
      <c r="P231" t="s">
        <v>0</v>
      </c>
      <c r="Q231" s="3">
        <v>30409.74</v>
      </c>
      <c r="R231" t="s">
        <v>9</v>
      </c>
      <c r="S231" t="s">
        <v>0</v>
      </c>
      <c r="T231" t="s">
        <v>0</v>
      </c>
    </row>
    <row r="232" spans="1:20" ht="14" hidden="1" customHeight="1" outlineLevel="3" x14ac:dyDescent="0.25">
      <c r="A232" t="s">
        <v>1</v>
      </c>
      <c r="B232" t="s">
        <v>52</v>
      </c>
      <c r="C232" t="s">
        <v>53</v>
      </c>
      <c r="D232" t="s">
        <v>696</v>
      </c>
      <c r="E232" t="s">
        <v>697</v>
      </c>
      <c r="F232" t="s">
        <v>61</v>
      </c>
      <c r="G232" s="2">
        <v>45909</v>
      </c>
      <c r="H232" s="2">
        <v>45909</v>
      </c>
      <c r="I232" t="s">
        <v>0</v>
      </c>
      <c r="J232" t="s">
        <v>698</v>
      </c>
      <c r="K232" s="3">
        <v>546</v>
      </c>
      <c r="L232" t="s">
        <v>8</v>
      </c>
      <c r="P232" t="s">
        <v>0</v>
      </c>
      <c r="Q232" s="3">
        <v>10198.84</v>
      </c>
      <c r="R232" t="s">
        <v>9</v>
      </c>
      <c r="S232" t="s">
        <v>0</v>
      </c>
      <c r="T232" t="s">
        <v>0</v>
      </c>
    </row>
    <row r="233" spans="1:20" ht="14" hidden="1" customHeight="1" outlineLevel="3" x14ac:dyDescent="0.25">
      <c r="A233" t="s">
        <v>1</v>
      </c>
      <c r="B233" t="s">
        <v>52</v>
      </c>
      <c r="C233" t="s">
        <v>53</v>
      </c>
      <c r="D233" t="s">
        <v>699</v>
      </c>
      <c r="E233" t="s">
        <v>700</v>
      </c>
      <c r="F233" t="s">
        <v>61</v>
      </c>
      <c r="G233" s="2">
        <v>45909</v>
      </c>
      <c r="H233" s="2">
        <v>45909</v>
      </c>
      <c r="I233" t="s">
        <v>0</v>
      </c>
      <c r="J233" t="s">
        <v>701</v>
      </c>
      <c r="K233" s="3">
        <v>756</v>
      </c>
      <c r="L233" t="s">
        <v>8</v>
      </c>
      <c r="P233" t="s">
        <v>0</v>
      </c>
      <c r="Q233" s="3">
        <v>14121.48</v>
      </c>
      <c r="R233" t="s">
        <v>9</v>
      </c>
      <c r="S233" t="s">
        <v>0</v>
      </c>
      <c r="T233" t="s">
        <v>0</v>
      </c>
    </row>
    <row r="234" spans="1:20" ht="14" hidden="1" customHeight="1" outlineLevel="3" x14ac:dyDescent="0.25">
      <c r="A234" t="s">
        <v>1</v>
      </c>
      <c r="B234" t="s">
        <v>52</v>
      </c>
      <c r="C234" t="s">
        <v>53</v>
      </c>
      <c r="D234" t="s">
        <v>702</v>
      </c>
      <c r="E234" t="s">
        <v>703</v>
      </c>
      <c r="F234" t="s">
        <v>61</v>
      </c>
      <c r="G234" s="2">
        <v>45909</v>
      </c>
      <c r="H234" s="2">
        <v>45909</v>
      </c>
      <c r="I234" t="s">
        <v>0</v>
      </c>
      <c r="J234" t="s">
        <v>704</v>
      </c>
      <c r="K234" s="3">
        <v>546</v>
      </c>
      <c r="L234" t="s">
        <v>8</v>
      </c>
      <c r="P234" t="s">
        <v>0</v>
      </c>
      <c r="Q234" s="3">
        <v>10198.84</v>
      </c>
      <c r="R234" t="s">
        <v>9</v>
      </c>
      <c r="S234" t="s">
        <v>0</v>
      </c>
      <c r="T234" t="s">
        <v>0</v>
      </c>
    </row>
    <row r="235" spans="1:20" ht="14" hidden="1" customHeight="1" outlineLevel="3" x14ac:dyDescent="0.25">
      <c r="A235" t="s">
        <v>1</v>
      </c>
      <c r="B235" t="s">
        <v>52</v>
      </c>
      <c r="C235" t="s">
        <v>53</v>
      </c>
      <c r="D235" t="s">
        <v>705</v>
      </c>
      <c r="E235" t="s">
        <v>706</v>
      </c>
      <c r="F235" t="s">
        <v>61</v>
      </c>
      <c r="G235" s="2">
        <v>45909</v>
      </c>
      <c r="H235" s="2">
        <v>45909</v>
      </c>
      <c r="I235" t="s">
        <v>0</v>
      </c>
      <c r="J235" t="s">
        <v>707</v>
      </c>
      <c r="K235" s="3">
        <v>814</v>
      </c>
      <c r="L235" t="s">
        <v>8</v>
      </c>
      <c r="P235" t="s">
        <v>0</v>
      </c>
      <c r="Q235" s="3">
        <v>15204.87</v>
      </c>
      <c r="R235" t="s">
        <v>9</v>
      </c>
      <c r="S235" t="s">
        <v>0</v>
      </c>
      <c r="T235" t="s">
        <v>0</v>
      </c>
    </row>
    <row r="236" spans="1:20" ht="14" hidden="1" customHeight="1" outlineLevel="3" x14ac:dyDescent="0.25">
      <c r="A236" t="s">
        <v>1</v>
      </c>
      <c r="B236" t="s">
        <v>52</v>
      </c>
      <c r="C236" t="s">
        <v>53</v>
      </c>
      <c r="D236" t="s">
        <v>708</v>
      </c>
      <c r="E236" t="s">
        <v>709</v>
      </c>
      <c r="F236" t="s">
        <v>61</v>
      </c>
      <c r="G236" s="2">
        <v>45909</v>
      </c>
      <c r="H236" s="2">
        <v>45909</v>
      </c>
      <c r="I236" t="s">
        <v>0</v>
      </c>
      <c r="J236" t="s">
        <v>710</v>
      </c>
      <c r="K236" s="3">
        <v>546</v>
      </c>
      <c r="L236" t="s">
        <v>8</v>
      </c>
      <c r="P236" t="s">
        <v>0</v>
      </c>
      <c r="Q236" s="3">
        <v>10198.84</v>
      </c>
      <c r="R236" t="s">
        <v>9</v>
      </c>
      <c r="S236" t="s">
        <v>0</v>
      </c>
      <c r="T236" t="s">
        <v>0</v>
      </c>
    </row>
    <row r="237" spans="1:20" ht="14" hidden="1" customHeight="1" outlineLevel="3" x14ac:dyDescent="0.25">
      <c r="A237" t="s">
        <v>1</v>
      </c>
      <c r="B237" t="s">
        <v>52</v>
      </c>
      <c r="C237" t="s">
        <v>53</v>
      </c>
      <c r="D237" t="s">
        <v>711</v>
      </c>
      <c r="E237" t="s">
        <v>712</v>
      </c>
      <c r="F237" t="s">
        <v>61</v>
      </c>
      <c r="G237" s="2">
        <v>45909</v>
      </c>
      <c r="H237" s="2">
        <v>45909</v>
      </c>
      <c r="I237" t="s">
        <v>0</v>
      </c>
      <c r="J237" t="s">
        <v>713</v>
      </c>
      <c r="K237" s="3">
        <v>820</v>
      </c>
      <c r="L237" t="s">
        <v>8</v>
      </c>
      <c r="P237" t="s">
        <v>0</v>
      </c>
      <c r="Q237" s="3">
        <v>15316.94</v>
      </c>
      <c r="R237" t="s">
        <v>9</v>
      </c>
      <c r="S237" t="s">
        <v>0</v>
      </c>
      <c r="T237" t="s">
        <v>0</v>
      </c>
    </row>
    <row r="238" spans="1:20" ht="14" hidden="1" customHeight="1" outlineLevel="3" x14ac:dyDescent="0.25">
      <c r="A238" t="s">
        <v>1</v>
      </c>
      <c r="B238" t="s">
        <v>52</v>
      </c>
      <c r="C238" t="s">
        <v>53</v>
      </c>
      <c r="D238" t="s">
        <v>714</v>
      </c>
      <c r="E238" t="s">
        <v>715</v>
      </c>
      <c r="F238" t="s">
        <v>61</v>
      </c>
      <c r="G238" s="2">
        <v>45909</v>
      </c>
      <c r="H238" s="2">
        <v>45909</v>
      </c>
      <c r="I238" t="s">
        <v>0</v>
      </c>
      <c r="J238" t="s">
        <v>716</v>
      </c>
      <c r="K238" s="3">
        <v>546</v>
      </c>
      <c r="L238" t="s">
        <v>8</v>
      </c>
      <c r="P238" t="s">
        <v>0</v>
      </c>
      <c r="Q238" s="3">
        <v>10198.84</v>
      </c>
      <c r="R238" t="s">
        <v>9</v>
      </c>
      <c r="S238" t="s">
        <v>0</v>
      </c>
      <c r="T238" t="s">
        <v>0</v>
      </c>
    </row>
    <row r="239" spans="1:20" ht="14" hidden="1" customHeight="1" outlineLevel="3" x14ac:dyDescent="0.25">
      <c r="A239" t="s">
        <v>1</v>
      </c>
      <c r="B239" t="s">
        <v>52</v>
      </c>
      <c r="C239" t="s">
        <v>53</v>
      </c>
      <c r="D239" t="s">
        <v>717</v>
      </c>
      <c r="E239" t="s">
        <v>718</v>
      </c>
      <c r="F239" t="s">
        <v>61</v>
      </c>
      <c r="G239" s="2">
        <v>45909</v>
      </c>
      <c r="H239" s="2">
        <v>45909</v>
      </c>
      <c r="I239" t="s">
        <v>0</v>
      </c>
      <c r="J239" t="s">
        <v>719</v>
      </c>
      <c r="K239" s="3">
        <v>546</v>
      </c>
      <c r="L239" t="s">
        <v>8</v>
      </c>
      <c r="P239" t="s">
        <v>0</v>
      </c>
      <c r="Q239" s="3">
        <v>10198.84</v>
      </c>
      <c r="R239" t="s">
        <v>9</v>
      </c>
      <c r="S239" t="s">
        <v>0</v>
      </c>
      <c r="T239" t="s">
        <v>0</v>
      </c>
    </row>
    <row r="240" spans="1:20" ht="14" hidden="1" customHeight="1" outlineLevel="3" x14ac:dyDescent="0.25">
      <c r="A240" t="s">
        <v>1</v>
      </c>
      <c r="B240" t="s">
        <v>52</v>
      </c>
      <c r="C240" t="s">
        <v>53</v>
      </c>
      <c r="D240" t="s">
        <v>720</v>
      </c>
      <c r="E240" t="s">
        <v>721</v>
      </c>
      <c r="F240" t="s">
        <v>61</v>
      </c>
      <c r="G240" s="2">
        <v>45909</v>
      </c>
      <c r="H240" s="2">
        <v>45909</v>
      </c>
      <c r="I240" t="s">
        <v>0</v>
      </c>
      <c r="J240" t="s">
        <v>722</v>
      </c>
      <c r="K240" s="3">
        <v>7158.5</v>
      </c>
      <c r="L240" t="s">
        <v>8</v>
      </c>
      <c r="P240" t="s">
        <v>0</v>
      </c>
      <c r="Q240" s="3">
        <v>133715.04999999999</v>
      </c>
      <c r="R240" t="s">
        <v>9</v>
      </c>
      <c r="S240" t="s">
        <v>0</v>
      </c>
      <c r="T240" t="s">
        <v>0</v>
      </c>
    </row>
    <row r="241" spans="1:20" ht="14" hidden="1" customHeight="1" outlineLevel="3" x14ac:dyDescent="0.25">
      <c r="A241" t="s">
        <v>1</v>
      </c>
      <c r="B241" t="s">
        <v>52</v>
      </c>
      <c r="C241" t="s">
        <v>53</v>
      </c>
      <c r="D241" t="s">
        <v>723</v>
      </c>
      <c r="E241" t="s">
        <v>724</v>
      </c>
      <c r="F241" t="s">
        <v>61</v>
      </c>
      <c r="G241" s="2">
        <v>45909</v>
      </c>
      <c r="H241" s="2">
        <v>45909</v>
      </c>
      <c r="I241" t="s">
        <v>0</v>
      </c>
      <c r="J241" t="s">
        <v>725</v>
      </c>
      <c r="K241" s="3">
        <v>21881</v>
      </c>
      <c r="L241" t="s">
        <v>8</v>
      </c>
      <c r="P241" t="s">
        <v>0</v>
      </c>
      <c r="Q241" s="3">
        <v>408719.58</v>
      </c>
      <c r="R241" t="s">
        <v>9</v>
      </c>
      <c r="S241" t="s">
        <v>0</v>
      </c>
      <c r="T241" t="s">
        <v>0</v>
      </c>
    </row>
    <row r="242" spans="1:20" ht="14" hidden="1" customHeight="1" outlineLevel="3" x14ac:dyDescent="0.25">
      <c r="A242" t="s">
        <v>1</v>
      </c>
      <c r="B242" t="s">
        <v>52</v>
      </c>
      <c r="C242" t="s">
        <v>53</v>
      </c>
      <c r="D242" t="s">
        <v>726</v>
      </c>
      <c r="E242" t="s">
        <v>727</v>
      </c>
      <c r="F242" t="s">
        <v>61</v>
      </c>
      <c r="G242" s="2">
        <v>45909</v>
      </c>
      <c r="H242" s="2">
        <v>45909</v>
      </c>
      <c r="I242" t="s">
        <v>0</v>
      </c>
      <c r="J242" t="s">
        <v>728</v>
      </c>
      <c r="K242" s="3">
        <v>1676</v>
      </c>
      <c r="L242" t="s">
        <v>8</v>
      </c>
      <c r="P242" t="s">
        <v>0</v>
      </c>
      <c r="Q242" s="3">
        <v>31306.34</v>
      </c>
      <c r="R242" t="s">
        <v>9</v>
      </c>
      <c r="S242" t="s">
        <v>0</v>
      </c>
      <c r="T242" t="s">
        <v>0</v>
      </c>
    </row>
    <row r="243" spans="1:20" ht="14" hidden="1" customHeight="1" outlineLevel="3" x14ac:dyDescent="0.25">
      <c r="A243" t="s">
        <v>1</v>
      </c>
      <c r="B243" t="s">
        <v>52</v>
      </c>
      <c r="C243" t="s">
        <v>53</v>
      </c>
      <c r="D243" t="s">
        <v>729</v>
      </c>
      <c r="E243" t="s">
        <v>730</v>
      </c>
      <c r="F243" t="s">
        <v>61</v>
      </c>
      <c r="G243" s="2">
        <v>45909</v>
      </c>
      <c r="H243" s="2">
        <v>45909</v>
      </c>
      <c r="I243" t="s">
        <v>0</v>
      </c>
      <c r="J243" t="s">
        <v>731</v>
      </c>
      <c r="K243" s="3">
        <v>1894</v>
      </c>
      <c r="L243" t="s">
        <v>8</v>
      </c>
      <c r="P243" t="s">
        <v>0</v>
      </c>
      <c r="Q243" s="3">
        <v>35378.400000000001</v>
      </c>
      <c r="R243" t="s">
        <v>9</v>
      </c>
      <c r="S243" t="s">
        <v>0</v>
      </c>
      <c r="T243" t="s">
        <v>0</v>
      </c>
    </row>
    <row r="244" spans="1:20" ht="14" hidden="1" customHeight="1" outlineLevel="3" x14ac:dyDescent="0.25">
      <c r="A244" t="s">
        <v>1</v>
      </c>
      <c r="B244" t="s">
        <v>52</v>
      </c>
      <c r="C244" t="s">
        <v>53</v>
      </c>
      <c r="D244" t="s">
        <v>732</v>
      </c>
      <c r="E244" t="s">
        <v>733</v>
      </c>
      <c r="F244" t="s">
        <v>61</v>
      </c>
      <c r="G244" s="2">
        <v>45909</v>
      </c>
      <c r="H244" s="2">
        <v>45909</v>
      </c>
      <c r="I244" t="s">
        <v>0</v>
      </c>
      <c r="J244" t="s">
        <v>734</v>
      </c>
      <c r="K244" s="3">
        <v>630</v>
      </c>
      <c r="L244" t="s">
        <v>8</v>
      </c>
      <c r="P244" t="s">
        <v>0</v>
      </c>
      <c r="Q244" s="3">
        <v>11767.9</v>
      </c>
      <c r="R244" t="s">
        <v>9</v>
      </c>
      <c r="S244" t="s">
        <v>0</v>
      </c>
      <c r="T244" t="s">
        <v>0</v>
      </c>
    </row>
    <row r="245" spans="1:20" ht="14" hidden="1" customHeight="1" outlineLevel="3" x14ac:dyDescent="0.25">
      <c r="A245" t="s">
        <v>1</v>
      </c>
      <c r="B245" t="s">
        <v>52</v>
      </c>
      <c r="C245" t="s">
        <v>53</v>
      </c>
      <c r="D245" t="s">
        <v>735</v>
      </c>
      <c r="E245" t="s">
        <v>736</v>
      </c>
      <c r="F245" t="s">
        <v>61</v>
      </c>
      <c r="G245" s="2">
        <v>45909</v>
      </c>
      <c r="H245" s="2">
        <v>45909</v>
      </c>
      <c r="I245" t="s">
        <v>0</v>
      </c>
      <c r="J245" t="s">
        <v>737</v>
      </c>
      <c r="K245" s="3">
        <v>757.5</v>
      </c>
      <c r="L245" t="s">
        <v>8</v>
      </c>
      <c r="P245" t="s">
        <v>0</v>
      </c>
      <c r="Q245" s="3">
        <v>14149.49</v>
      </c>
      <c r="R245" t="s">
        <v>9</v>
      </c>
      <c r="S245" t="s">
        <v>0</v>
      </c>
      <c r="T245" t="s">
        <v>0</v>
      </c>
    </row>
    <row r="246" spans="1:20" ht="14" hidden="1" customHeight="1" outlineLevel="3" x14ac:dyDescent="0.25">
      <c r="A246" t="s">
        <v>1</v>
      </c>
      <c r="B246" t="s">
        <v>52</v>
      </c>
      <c r="C246" t="s">
        <v>53</v>
      </c>
      <c r="D246" t="s">
        <v>738</v>
      </c>
      <c r="E246" t="s">
        <v>739</v>
      </c>
      <c r="F246" t="s">
        <v>61</v>
      </c>
      <c r="G246" s="2">
        <v>45909</v>
      </c>
      <c r="H246" s="2">
        <v>45909</v>
      </c>
      <c r="I246" t="s">
        <v>0</v>
      </c>
      <c r="J246" t="s">
        <v>740</v>
      </c>
      <c r="K246" s="3">
        <v>60100.5</v>
      </c>
      <c r="L246" t="s">
        <v>8</v>
      </c>
      <c r="P246" t="s">
        <v>0</v>
      </c>
      <c r="Q246" s="3">
        <v>1122629.26</v>
      </c>
      <c r="R246" t="s">
        <v>9</v>
      </c>
      <c r="S246" t="s">
        <v>0</v>
      </c>
      <c r="T246" t="s">
        <v>0</v>
      </c>
    </row>
    <row r="247" spans="1:20" ht="14" hidden="1" customHeight="1" outlineLevel="3" x14ac:dyDescent="0.25">
      <c r="A247" t="s">
        <v>1</v>
      </c>
      <c r="B247" t="s">
        <v>52</v>
      </c>
      <c r="C247" t="s">
        <v>53</v>
      </c>
      <c r="D247" t="s">
        <v>741</v>
      </c>
      <c r="E247" t="s">
        <v>742</v>
      </c>
      <c r="F247" t="s">
        <v>61</v>
      </c>
      <c r="G247" s="2">
        <v>45909</v>
      </c>
      <c r="H247" s="2">
        <v>45909</v>
      </c>
      <c r="I247" t="s">
        <v>0</v>
      </c>
      <c r="J247" t="s">
        <v>743</v>
      </c>
      <c r="K247" s="3">
        <v>2616</v>
      </c>
      <c r="L247" t="s">
        <v>8</v>
      </c>
      <c r="P247" t="s">
        <v>0</v>
      </c>
      <c r="Q247" s="3">
        <v>48864.79</v>
      </c>
      <c r="R247" t="s">
        <v>9</v>
      </c>
      <c r="S247" t="s">
        <v>0</v>
      </c>
      <c r="T247" t="s">
        <v>0</v>
      </c>
    </row>
    <row r="248" spans="1:20" ht="14" hidden="1" customHeight="1" outlineLevel="3" x14ac:dyDescent="0.25">
      <c r="A248" t="s">
        <v>1</v>
      </c>
      <c r="B248" t="s">
        <v>52</v>
      </c>
      <c r="C248" t="s">
        <v>53</v>
      </c>
      <c r="D248" t="s">
        <v>744</v>
      </c>
      <c r="E248" t="s">
        <v>745</v>
      </c>
      <c r="F248" t="s">
        <v>61</v>
      </c>
      <c r="G248" s="2">
        <v>45909</v>
      </c>
      <c r="H248" s="2">
        <v>45909</v>
      </c>
      <c r="I248" t="s">
        <v>0</v>
      </c>
      <c r="J248" t="s">
        <v>746</v>
      </c>
      <c r="K248" s="3">
        <v>1475</v>
      </c>
      <c r="L248" t="s">
        <v>8</v>
      </c>
      <c r="P248" t="s">
        <v>0</v>
      </c>
      <c r="Q248" s="3">
        <v>27551.82</v>
      </c>
      <c r="R248" t="s">
        <v>9</v>
      </c>
      <c r="S248" t="s">
        <v>0</v>
      </c>
      <c r="T248" t="s">
        <v>0</v>
      </c>
    </row>
    <row r="249" spans="1:20" ht="14" hidden="1" customHeight="1" outlineLevel="3" x14ac:dyDescent="0.25">
      <c r="A249" t="s">
        <v>1</v>
      </c>
      <c r="B249" t="s">
        <v>52</v>
      </c>
      <c r="C249" t="s">
        <v>53</v>
      </c>
      <c r="D249" t="s">
        <v>747</v>
      </c>
      <c r="E249" t="s">
        <v>748</v>
      </c>
      <c r="F249" t="s">
        <v>61</v>
      </c>
      <c r="G249" s="2">
        <v>45909</v>
      </c>
      <c r="H249" s="2">
        <v>45909</v>
      </c>
      <c r="I249" t="s">
        <v>0</v>
      </c>
      <c r="J249" t="s">
        <v>749</v>
      </c>
      <c r="K249" s="3">
        <v>1894</v>
      </c>
      <c r="L249" t="s">
        <v>8</v>
      </c>
      <c r="P249" t="s">
        <v>0</v>
      </c>
      <c r="Q249" s="3">
        <v>35378.400000000001</v>
      </c>
      <c r="R249" t="s">
        <v>9</v>
      </c>
      <c r="S249" t="s">
        <v>0</v>
      </c>
      <c r="T249" t="s">
        <v>0</v>
      </c>
    </row>
    <row r="250" spans="1:20" ht="14" hidden="1" customHeight="1" outlineLevel="3" x14ac:dyDescent="0.25">
      <c r="A250" t="s">
        <v>1</v>
      </c>
      <c r="B250" t="s">
        <v>52</v>
      </c>
      <c r="C250" t="s">
        <v>53</v>
      </c>
      <c r="D250" t="s">
        <v>750</v>
      </c>
      <c r="E250" t="s">
        <v>751</v>
      </c>
      <c r="F250" t="s">
        <v>61</v>
      </c>
      <c r="G250" s="2">
        <v>45909</v>
      </c>
      <c r="H250" s="2">
        <v>45909</v>
      </c>
      <c r="I250" t="s">
        <v>0</v>
      </c>
      <c r="J250" t="s">
        <v>752</v>
      </c>
      <c r="K250" s="3">
        <v>2950</v>
      </c>
      <c r="L250" t="s">
        <v>8</v>
      </c>
      <c r="P250" t="s">
        <v>0</v>
      </c>
      <c r="Q250" s="3">
        <v>55103.64</v>
      </c>
      <c r="R250" t="s">
        <v>9</v>
      </c>
      <c r="S250" t="s">
        <v>0</v>
      </c>
      <c r="T250" t="s">
        <v>0</v>
      </c>
    </row>
    <row r="251" spans="1:20" ht="14" hidden="1" customHeight="1" outlineLevel="3" x14ac:dyDescent="0.25">
      <c r="A251" t="s">
        <v>1</v>
      </c>
      <c r="B251" t="s">
        <v>52</v>
      </c>
      <c r="C251" t="s">
        <v>53</v>
      </c>
      <c r="D251" t="s">
        <v>753</v>
      </c>
      <c r="E251" t="s">
        <v>754</v>
      </c>
      <c r="F251" t="s">
        <v>61</v>
      </c>
      <c r="G251" s="2">
        <v>45909</v>
      </c>
      <c r="H251" s="2">
        <v>45909</v>
      </c>
      <c r="I251" t="s">
        <v>0</v>
      </c>
      <c r="J251" t="s">
        <v>755</v>
      </c>
      <c r="K251" s="3">
        <v>1676</v>
      </c>
      <c r="L251" t="s">
        <v>8</v>
      </c>
      <c r="P251" t="s">
        <v>0</v>
      </c>
      <c r="Q251" s="3">
        <v>31306.34</v>
      </c>
      <c r="R251" t="s">
        <v>9</v>
      </c>
      <c r="S251" t="s">
        <v>0</v>
      </c>
      <c r="T251" t="s">
        <v>0</v>
      </c>
    </row>
    <row r="252" spans="1:20" ht="14" hidden="1" customHeight="1" outlineLevel="3" x14ac:dyDescent="0.25">
      <c r="A252" t="s">
        <v>1</v>
      </c>
      <c r="B252" t="s">
        <v>52</v>
      </c>
      <c r="C252" t="s">
        <v>53</v>
      </c>
      <c r="D252" t="s">
        <v>756</v>
      </c>
      <c r="E252" t="s">
        <v>757</v>
      </c>
      <c r="F252" t="s">
        <v>61</v>
      </c>
      <c r="G252" s="2">
        <v>45909</v>
      </c>
      <c r="H252" s="2">
        <v>45909</v>
      </c>
      <c r="I252" t="s">
        <v>0</v>
      </c>
      <c r="J252" t="s">
        <v>758</v>
      </c>
      <c r="K252" s="3">
        <v>1475</v>
      </c>
      <c r="L252" t="s">
        <v>8</v>
      </c>
      <c r="P252" t="s">
        <v>0</v>
      </c>
      <c r="Q252" s="3">
        <v>27551.82</v>
      </c>
      <c r="R252" t="s">
        <v>9</v>
      </c>
      <c r="S252" t="s">
        <v>0</v>
      </c>
      <c r="T252" t="s">
        <v>0</v>
      </c>
    </row>
    <row r="253" spans="1:20" ht="14" hidden="1" customHeight="1" outlineLevel="3" x14ac:dyDescent="0.25">
      <c r="A253" t="s">
        <v>1</v>
      </c>
      <c r="B253" t="s">
        <v>52</v>
      </c>
      <c r="C253" t="s">
        <v>53</v>
      </c>
      <c r="D253" t="s">
        <v>759</v>
      </c>
      <c r="E253" t="s">
        <v>760</v>
      </c>
      <c r="F253" t="s">
        <v>61</v>
      </c>
      <c r="G253" s="2">
        <v>45909</v>
      </c>
      <c r="H253" s="2">
        <v>45909</v>
      </c>
      <c r="I253" t="s">
        <v>0</v>
      </c>
      <c r="J253" t="s">
        <v>761</v>
      </c>
      <c r="K253" s="3">
        <v>1676</v>
      </c>
      <c r="L253" t="s">
        <v>8</v>
      </c>
      <c r="P253" t="s">
        <v>0</v>
      </c>
      <c r="Q253" s="3">
        <v>31306.34</v>
      </c>
      <c r="R253" t="s">
        <v>9</v>
      </c>
      <c r="S253" t="s">
        <v>0</v>
      </c>
      <c r="T253" t="s">
        <v>0</v>
      </c>
    </row>
    <row r="254" spans="1:20" ht="14" hidden="1" customHeight="1" outlineLevel="3" x14ac:dyDescent="0.25">
      <c r="A254" t="s">
        <v>1</v>
      </c>
      <c r="B254" t="s">
        <v>52</v>
      </c>
      <c r="C254" t="s">
        <v>53</v>
      </c>
      <c r="D254" t="s">
        <v>762</v>
      </c>
      <c r="E254" t="s">
        <v>763</v>
      </c>
      <c r="F254" t="s">
        <v>61</v>
      </c>
      <c r="G254" s="2">
        <v>45909</v>
      </c>
      <c r="H254" s="2">
        <v>45909</v>
      </c>
      <c r="I254" t="s">
        <v>0</v>
      </c>
      <c r="J254" t="s">
        <v>764</v>
      </c>
      <c r="K254" s="3">
        <v>300</v>
      </c>
      <c r="L254" t="s">
        <v>8</v>
      </c>
      <c r="P254" t="s">
        <v>0</v>
      </c>
      <c r="Q254" s="3">
        <v>5603.76</v>
      </c>
      <c r="R254" t="s">
        <v>9</v>
      </c>
      <c r="S254" t="s">
        <v>0</v>
      </c>
      <c r="T254" t="s">
        <v>0</v>
      </c>
    </row>
    <row r="255" spans="1:20" ht="14" hidden="1" customHeight="1" outlineLevel="3" x14ac:dyDescent="0.25">
      <c r="A255" t="s">
        <v>1</v>
      </c>
      <c r="B255" t="s">
        <v>52</v>
      </c>
      <c r="C255" t="s">
        <v>53</v>
      </c>
      <c r="D255" t="s">
        <v>765</v>
      </c>
      <c r="E255" t="s">
        <v>766</v>
      </c>
      <c r="F255" t="s">
        <v>61</v>
      </c>
      <c r="G255" s="2">
        <v>45909</v>
      </c>
      <c r="H255" s="2">
        <v>45909</v>
      </c>
      <c r="I255" t="s">
        <v>0</v>
      </c>
      <c r="J255" t="s">
        <v>767</v>
      </c>
      <c r="K255" s="3">
        <v>150</v>
      </c>
      <c r="L255" t="s">
        <v>8</v>
      </c>
      <c r="P255" t="s">
        <v>0</v>
      </c>
      <c r="Q255" s="3">
        <v>2801.88</v>
      </c>
      <c r="R255" t="s">
        <v>9</v>
      </c>
      <c r="S255" t="s">
        <v>0</v>
      </c>
      <c r="T255" t="s">
        <v>0</v>
      </c>
    </row>
    <row r="256" spans="1:20" ht="14" hidden="1" customHeight="1" outlineLevel="3" x14ac:dyDescent="0.25">
      <c r="A256" t="s">
        <v>1</v>
      </c>
      <c r="B256" t="s">
        <v>52</v>
      </c>
      <c r="C256" t="s">
        <v>53</v>
      </c>
      <c r="D256" t="s">
        <v>768</v>
      </c>
      <c r="E256" t="s">
        <v>769</v>
      </c>
      <c r="F256" t="s">
        <v>6</v>
      </c>
      <c r="G256" s="2">
        <v>45917</v>
      </c>
      <c r="H256" s="2">
        <v>45917</v>
      </c>
      <c r="I256" t="s">
        <v>0</v>
      </c>
      <c r="J256" t="s">
        <v>770</v>
      </c>
      <c r="K256" s="3">
        <v>888.64</v>
      </c>
      <c r="L256" t="s">
        <v>8</v>
      </c>
      <c r="P256" t="s">
        <v>0</v>
      </c>
      <c r="Q256" s="3">
        <v>16418.25</v>
      </c>
      <c r="R256" t="s">
        <v>9</v>
      </c>
      <c r="S256" t="s">
        <v>0</v>
      </c>
      <c r="T256" t="s">
        <v>0</v>
      </c>
    </row>
    <row r="257" spans="1:20" ht="14" hidden="1" customHeight="1" outlineLevel="3" x14ac:dyDescent="0.25">
      <c r="A257" t="s">
        <v>1</v>
      </c>
      <c r="B257" t="s">
        <v>52</v>
      </c>
      <c r="C257" t="s">
        <v>53</v>
      </c>
      <c r="D257" t="s">
        <v>771</v>
      </c>
      <c r="E257" t="s">
        <v>772</v>
      </c>
      <c r="F257" t="s">
        <v>61</v>
      </c>
      <c r="G257" s="2">
        <v>45927</v>
      </c>
      <c r="H257" s="2">
        <v>45927</v>
      </c>
      <c r="I257" t="s">
        <v>0</v>
      </c>
      <c r="J257" t="s">
        <v>773</v>
      </c>
      <c r="K257" s="3">
        <v>276</v>
      </c>
      <c r="L257" t="s">
        <v>8</v>
      </c>
      <c r="P257" t="s">
        <v>0</v>
      </c>
      <c r="Q257" s="3">
        <v>5091.01</v>
      </c>
      <c r="R257" t="s">
        <v>9</v>
      </c>
      <c r="S257" t="s">
        <v>0</v>
      </c>
      <c r="T257" t="s">
        <v>0</v>
      </c>
    </row>
    <row r="258" spans="1:20" ht="14" hidden="1" customHeight="1" outlineLevel="3" x14ac:dyDescent="0.25">
      <c r="A258" t="s">
        <v>1</v>
      </c>
      <c r="B258" t="s">
        <v>52</v>
      </c>
      <c r="C258" t="s">
        <v>53</v>
      </c>
      <c r="D258" t="s">
        <v>774</v>
      </c>
      <c r="E258" t="s">
        <v>775</v>
      </c>
      <c r="F258" t="s">
        <v>61</v>
      </c>
      <c r="G258" s="2">
        <v>45927</v>
      </c>
      <c r="H258" s="2">
        <v>45927</v>
      </c>
      <c r="I258" t="s">
        <v>0</v>
      </c>
      <c r="J258" t="s">
        <v>776</v>
      </c>
      <c r="K258" s="3">
        <v>266</v>
      </c>
      <c r="L258" t="s">
        <v>8</v>
      </c>
      <c r="P258" t="s">
        <v>0</v>
      </c>
      <c r="Q258" s="3">
        <v>4906.5600000000004</v>
      </c>
      <c r="R258" t="s">
        <v>9</v>
      </c>
      <c r="S258" t="s">
        <v>0</v>
      </c>
      <c r="T258" t="s">
        <v>0</v>
      </c>
    </row>
    <row r="259" spans="1:20" ht="14" hidden="1" customHeight="1" outlineLevel="3" x14ac:dyDescent="0.25">
      <c r="A259" t="s">
        <v>1</v>
      </c>
      <c r="B259" t="s">
        <v>52</v>
      </c>
      <c r="C259" t="s">
        <v>53</v>
      </c>
      <c r="D259" t="s">
        <v>777</v>
      </c>
      <c r="E259" t="s">
        <v>778</v>
      </c>
      <c r="F259" t="s">
        <v>61</v>
      </c>
      <c r="G259" s="2">
        <v>45927</v>
      </c>
      <c r="H259" s="2">
        <v>45927</v>
      </c>
      <c r="I259" t="s">
        <v>0</v>
      </c>
      <c r="J259" t="s">
        <v>779</v>
      </c>
      <c r="K259" s="3">
        <v>266</v>
      </c>
      <c r="L259" t="s">
        <v>8</v>
      </c>
      <c r="P259" t="s">
        <v>0</v>
      </c>
      <c r="Q259" s="3">
        <v>4906.5600000000004</v>
      </c>
      <c r="R259" t="s">
        <v>9</v>
      </c>
      <c r="S259" t="s">
        <v>0</v>
      </c>
      <c r="T259" t="s">
        <v>0</v>
      </c>
    </row>
    <row r="260" spans="1:20" ht="14" hidden="1" customHeight="1" outlineLevel="3" x14ac:dyDescent="0.25">
      <c r="A260" t="s">
        <v>1</v>
      </c>
      <c r="B260" t="s">
        <v>52</v>
      </c>
      <c r="C260" t="s">
        <v>53</v>
      </c>
      <c r="D260" t="s">
        <v>780</v>
      </c>
      <c r="E260" t="s">
        <v>781</v>
      </c>
      <c r="F260" t="s">
        <v>61</v>
      </c>
      <c r="G260" s="2">
        <v>45927</v>
      </c>
      <c r="H260" s="2">
        <v>45927</v>
      </c>
      <c r="I260" t="s">
        <v>0</v>
      </c>
      <c r="J260" t="s">
        <v>782</v>
      </c>
      <c r="K260" s="3">
        <v>266</v>
      </c>
      <c r="L260" t="s">
        <v>8</v>
      </c>
      <c r="P260" t="s">
        <v>0</v>
      </c>
      <c r="Q260" s="3">
        <v>4906.5600000000004</v>
      </c>
      <c r="R260" t="s">
        <v>9</v>
      </c>
      <c r="S260" t="s">
        <v>0</v>
      </c>
      <c r="T260" t="s">
        <v>0</v>
      </c>
    </row>
    <row r="261" spans="1:20" ht="14" hidden="1" customHeight="1" outlineLevel="3" x14ac:dyDescent="0.25">
      <c r="A261" t="s">
        <v>1</v>
      </c>
      <c r="B261" t="s">
        <v>52</v>
      </c>
      <c r="C261" t="s">
        <v>53</v>
      </c>
      <c r="D261" t="s">
        <v>783</v>
      </c>
      <c r="E261" t="s">
        <v>784</v>
      </c>
      <c r="F261" t="s">
        <v>61</v>
      </c>
      <c r="G261" s="2">
        <v>45993</v>
      </c>
      <c r="H261" s="2">
        <v>45993</v>
      </c>
      <c r="I261" t="s">
        <v>0</v>
      </c>
      <c r="J261" t="s">
        <v>785</v>
      </c>
      <c r="K261" s="3">
        <v>414</v>
      </c>
      <c r="L261" t="s">
        <v>8</v>
      </c>
      <c r="P261" t="s">
        <v>0</v>
      </c>
      <c r="Q261" s="3">
        <v>7579.31</v>
      </c>
      <c r="R261" t="s">
        <v>9</v>
      </c>
      <c r="S261" t="s">
        <v>0</v>
      </c>
      <c r="T261" t="s">
        <v>0</v>
      </c>
    </row>
    <row r="262" spans="1:20" ht="14" hidden="1" customHeight="1" outlineLevel="3" x14ac:dyDescent="0.25">
      <c r="A262" t="s">
        <v>1</v>
      </c>
      <c r="B262" t="s">
        <v>52</v>
      </c>
      <c r="C262" t="s">
        <v>53</v>
      </c>
      <c r="D262" t="s">
        <v>786</v>
      </c>
      <c r="E262" t="s">
        <v>787</v>
      </c>
      <c r="F262" t="s">
        <v>61</v>
      </c>
      <c r="G262" s="2">
        <v>45993</v>
      </c>
      <c r="H262" s="2">
        <v>45993</v>
      </c>
      <c r="I262" t="s">
        <v>0</v>
      </c>
      <c r="J262" t="s">
        <v>788</v>
      </c>
      <c r="K262" s="3">
        <v>10771.5</v>
      </c>
      <c r="L262" t="s">
        <v>8</v>
      </c>
      <c r="P262" t="s">
        <v>0</v>
      </c>
      <c r="Q262" s="3">
        <v>197199.24</v>
      </c>
      <c r="R262" t="s">
        <v>9</v>
      </c>
      <c r="S262" t="s">
        <v>0</v>
      </c>
      <c r="T262" t="s">
        <v>0</v>
      </c>
    </row>
    <row r="263" spans="1:20" ht="14" hidden="1" customHeight="1" outlineLevel="3" x14ac:dyDescent="0.25">
      <c r="A263" t="s">
        <v>1</v>
      </c>
      <c r="B263" t="s">
        <v>52</v>
      </c>
      <c r="C263" t="s">
        <v>53</v>
      </c>
      <c r="D263" t="s">
        <v>789</v>
      </c>
      <c r="E263" t="s">
        <v>790</v>
      </c>
      <c r="F263" t="s">
        <v>61</v>
      </c>
      <c r="G263" s="2">
        <v>45993</v>
      </c>
      <c r="H263" s="2">
        <v>45993</v>
      </c>
      <c r="I263" t="s">
        <v>0</v>
      </c>
      <c r="J263" t="s">
        <v>791</v>
      </c>
      <c r="K263" s="3">
        <v>655.5</v>
      </c>
      <c r="L263" t="s">
        <v>8</v>
      </c>
      <c r="P263" t="s">
        <v>0</v>
      </c>
      <c r="Q263" s="3">
        <v>12000.57</v>
      </c>
      <c r="R263" t="s">
        <v>9</v>
      </c>
      <c r="S263" t="s">
        <v>0</v>
      </c>
      <c r="T263" t="s">
        <v>0</v>
      </c>
    </row>
    <row r="264" spans="1:20" ht="14" hidden="1" customHeight="1" outlineLevel="3" x14ac:dyDescent="0.25">
      <c r="A264" t="s">
        <v>1</v>
      </c>
      <c r="B264" t="s">
        <v>52</v>
      </c>
      <c r="C264" t="s">
        <v>53</v>
      </c>
      <c r="D264" t="s">
        <v>792</v>
      </c>
      <c r="E264" t="s">
        <v>793</v>
      </c>
      <c r="F264" t="s">
        <v>61</v>
      </c>
      <c r="G264" s="2">
        <v>45995</v>
      </c>
      <c r="H264" s="2">
        <v>45995</v>
      </c>
      <c r="I264" t="s">
        <v>0</v>
      </c>
      <c r="J264" t="s">
        <v>794</v>
      </c>
      <c r="K264" s="3">
        <v>21076</v>
      </c>
      <c r="L264" t="s">
        <v>8</v>
      </c>
      <c r="P264" t="s">
        <v>0</v>
      </c>
      <c r="Q264" s="3">
        <v>385501.12</v>
      </c>
      <c r="R264" t="s">
        <v>9</v>
      </c>
      <c r="S264" t="s">
        <v>0</v>
      </c>
      <c r="T264" t="s">
        <v>0</v>
      </c>
    </row>
    <row r="265" spans="1:20" ht="14" hidden="1" customHeight="1" outlineLevel="3" x14ac:dyDescent="0.25">
      <c r="A265" t="s">
        <v>1</v>
      </c>
      <c r="B265" t="s">
        <v>52</v>
      </c>
      <c r="C265" t="s">
        <v>53</v>
      </c>
      <c r="D265" t="s">
        <v>795</v>
      </c>
      <c r="E265" t="s">
        <v>796</v>
      </c>
      <c r="F265" t="s">
        <v>61</v>
      </c>
      <c r="G265" s="2">
        <v>45995</v>
      </c>
      <c r="H265" s="2">
        <v>45995</v>
      </c>
      <c r="I265" t="s">
        <v>0</v>
      </c>
      <c r="J265" t="s">
        <v>797</v>
      </c>
      <c r="K265" s="3">
        <v>9936</v>
      </c>
      <c r="L265" t="s">
        <v>8</v>
      </c>
      <c r="P265" t="s">
        <v>0</v>
      </c>
      <c r="Q265" s="3">
        <v>181739.38</v>
      </c>
      <c r="R265" t="s">
        <v>9</v>
      </c>
      <c r="S265" t="s">
        <v>0</v>
      </c>
      <c r="T265" t="s">
        <v>0</v>
      </c>
    </row>
    <row r="266" spans="1:20" ht="14" hidden="1" customHeight="1" outlineLevel="3" x14ac:dyDescent="0.25">
      <c r="A266" t="s">
        <v>1</v>
      </c>
      <c r="B266" t="s">
        <v>52</v>
      </c>
      <c r="C266" t="s">
        <v>53</v>
      </c>
      <c r="D266" t="s">
        <v>798</v>
      </c>
      <c r="E266" t="s">
        <v>799</v>
      </c>
      <c r="F266" t="s">
        <v>61</v>
      </c>
      <c r="G266" s="2">
        <v>45995</v>
      </c>
      <c r="H266" s="2">
        <v>45995</v>
      </c>
      <c r="I266" t="s">
        <v>0</v>
      </c>
      <c r="J266" t="s">
        <v>800</v>
      </c>
      <c r="K266" s="3">
        <v>31128</v>
      </c>
      <c r="L266" t="s">
        <v>8</v>
      </c>
      <c r="P266" t="s">
        <v>0</v>
      </c>
      <c r="Q266" s="3">
        <v>569362.25</v>
      </c>
      <c r="R266" t="s">
        <v>9</v>
      </c>
      <c r="S266" t="s">
        <v>0</v>
      </c>
      <c r="T266" t="s">
        <v>0</v>
      </c>
    </row>
    <row r="267" spans="1:20" ht="14" hidden="1" customHeight="1" outlineLevel="3" x14ac:dyDescent="0.25">
      <c r="A267" t="s">
        <v>1</v>
      </c>
      <c r="B267" t="s">
        <v>52</v>
      </c>
      <c r="C267" t="s">
        <v>53</v>
      </c>
      <c r="D267" t="s">
        <v>801</v>
      </c>
      <c r="E267" t="s">
        <v>802</v>
      </c>
      <c r="F267" t="s">
        <v>61</v>
      </c>
      <c r="G267" s="2">
        <v>45995</v>
      </c>
      <c r="H267" s="2">
        <v>45995</v>
      </c>
      <c r="I267" t="s">
        <v>0</v>
      </c>
      <c r="J267" t="s">
        <v>803</v>
      </c>
      <c r="K267" s="3">
        <v>23216</v>
      </c>
      <c r="L267" t="s">
        <v>8</v>
      </c>
      <c r="P267" t="s">
        <v>0</v>
      </c>
      <c r="Q267" s="3">
        <v>424643.86</v>
      </c>
      <c r="R267" t="s">
        <v>9</v>
      </c>
      <c r="S267" t="s">
        <v>0</v>
      </c>
      <c r="T267" t="s">
        <v>0</v>
      </c>
    </row>
    <row r="268" spans="1:20" ht="14" hidden="1" customHeight="1" outlineLevel="3" x14ac:dyDescent="0.25">
      <c r="A268" t="s">
        <v>1</v>
      </c>
      <c r="B268" t="s">
        <v>52</v>
      </c>
      <c r="C268" t="s">
        <v>53</v>
      </c>
      <c r="D268" t="s">
        <v>804</v>
      </c>
      <c r="E268" t="s">
        <v>805</v>
      </c>
      <c r="F268" t="s">
        <v>61</v>
      </c>
      <c r="G268" s="2">
        <v>45995</v>
      </c>
      <c r="H268" s="2">
        <v>45995</v>
      </c>
      <c r="I268" t="s">
        <v>0</v>
      </c>
      <c r="J268" t="s">
        <v>806</v>
      </c>
      <c r="K268" s="3">
        <v>5472</v>
      </c>
      <c r="L268" t="s">
        <v>8</v>
      </c>
      <c r="P268" t="s">
        <v>0</v>
      </c>
      <c r="Q268" s="3">
        <v>100088.35</v>
      </c>
      <c r="R268" t="s">
        <v>9</v>
      </c>
      <c r="S268" t="s">
        <v>0</v>
      </c>
      <c r="T268" t="s">
        <v>0</v>
      </c>
    </row>
    <row r="269" spans="1:20" ht="14" hidden="1" customHeight="1" outlineLevel="3" x14ac:dyDescent="0.25">
      <c r="A269" t="s">
        <v>1</v>
      </c>
      <c r="B269" t="s">
        <v>52</v>
      </c>
      <c r="C269" t="s">
        <v>53</v>
      </c>
      <c r="D269" t="s">
        <v>807</v>
      </c>
      <c r="E269" t="s">
        <v>808</v>
      </c>
      <c r="F269" t="s">
        <v>61</v>
      </c>
      <c r="G269" s="2">
        <v>45995</v>
      </c>
      <c r="H269" s="2">
        <v>45995</v>
      </c>
      <c r="I269" t="s">
        <v>0</v>
      </c>
      <c r="J269" t="s">
        <v>809</v>
      </c>
      <c r="K269" s="3">
        <v>8120</v>
      </c>
      <c r="L269" t="s">
        <v>8</v>
      </c>
      <c r="P269" t="s">
        <v>0</v>
      </c>
      <c r="Q269" s="3">
        <v>148522.92000000001</v>
      </c>
      <c r="R269" t="s">
        <v>9</v>
      </c>
      <c r="S269" t="s">
        <v>0</v>
      </c>
      <c r="T269" t="s">
        <v>0</v>
      </c>
    </row>
    <row r="270" spans="1:20" ht="14" hidden="1" customHeight="1" outlineLevel="3" x14ac:dyDescent="0.25">
      <c r="A270" t="s">
        <v>1</v>
      </c>
      <c r="B270" t="s">
        <v>52</v>
      </c>
      <c r="C270" t="s">
        <v>53</v>
      </c>
      <c r="D270" t="s">
        <v>810</v>
      </c>
      <c r="E270" t="s">
        <v>811</v>
      </c>
      <c r="F270" t="s">
        <v>61</v>
      </c>
      <c r="G270" s="2">
        <v>45995</v>
      </c>
      <c r="H270" s="2">
        <v>45995</v>
      </c>
      <c r="I270" t="s">
        <v>0</v>
      </c>
      <c r="J270" t="s">
        <v>812</v>
      </c>
      <c r="K270" s="3">
        <v>7520</v>
      </c>
      <c r="L270" t="s">
        <v>8</v>
      </c>
      <c r="P270" t="s">
        <v>0</v>
      </c>
      <c r="Q270" s="3">
        <v>137548.32</v>
      </c>
      <c r="R270" t="s">
        <v>9</v>
      </c>
      <c r="S270" t="s">
        <v>0</v>
      </c>
      <c r="T270" t="s">
        <v>0</v>
      </c>
    </row>
    <row r="271" spans="1:20" ht="14" hidden="1" customHeight="1" outlineLevel="3" x14ac:dyDescent="0.25">
      <c r="A271" t="s">
        <v>1</v>
      </c>
      <c r="B271" t="s">
        <v>52</v>
      </c>
      <c r="C271" t="s">
        <v>53</v>
      </c>
      <c r="D271" t="s">
        <v>813</v>
      </c>
      <c r="E271" t="s">
        <v>814</v>
      </c>
      <c r="F271" t="s">
        <v>61</v>
      </c>
      <c r="G271" s="2">
        <v>45995</v>
      </c>
      <c r="H271" s="2">
        <v>45995</v>
      </c>
      <c r="I271" t="s">
        <v>0</v>
      </c>
      <c r="J271" t="s">
        <v>815</v>
      </c>
      <c r="K271" s="3">
        <v>16380</v>
      </c>
      <c r="L271" t="s">
        <v>8</v>
      </c>
      <c r="P271" t="s">
        <v>0</v>
      </c>
      <c r="Q271" s="3">
        <v>299606.58</v>
      </c>
      <c r="R271" t="s">
        <v>9</v>
      </c>
      <c r="S271" t="s">
        <v>0</v>
      </c>
      <c r="T271" t="s">
        <v>0</v>
      </c>
    </row>
    <row r="272" spans="1:20" ht="14" hidden="1" customHeight="1" outlineLevel="3" x14ac:dyDescent="0.25">
      <c r="A272" t="s">
        <v>1</v>
      </c>
      <c r="B272" t="s">
        <v>52</v>
      </c>
      <c r="C272" t="s">
        <v>53</v>
      </c>
      <c r="D272" t="s">
        <v>816</v>
      </c>
      <c r="E272" t="s">
        <v>817</v>
      </c>
      <c r="F272" t="s">
        <v>61</v>
      </c>
      <c r="G272" s="2">
        <v>45995</v>
      </c>
      <c r="H272" s="2">
        <v>45995</v>
      </c>
      <c r="I272" t="s">
        <v>0</v>
      </c>
      <c r="J272" t="s">
        <v>818</v>
      </c>
      <c r="K272" s="3">
        <v>26748</v>
      </c>
      <c r="L272" t="s">
        <v>8</v>
      </c>
      <c r="P272" t="s">
        <v>0</v>
      </c>
      <c r="Q272" s="3">
        <v>489247.67</v>
      </c>
      <c r="R272" t="s">
        <v>9</v>
      </c>
      <c r="S272" t="s">
        <v>0</v>
      </c>
      <c r="T272" t="s">
        <v>0</v>
      </c>
    </row>
    <row r="273" spans="1:20" ht="14" hidden="1" customHeight="1" outlineLevel="3" x14ac:dyDescent="0.25">
      <c r="A273" t="s">
        <v>1</v>
      </c>
      <c r="B273" t="s">
        <v>52</v>
      </c>
      <c r="C273" t="s">
        <v>53</v>
      </c>
      <c r="D273" t="s">
        <v>819</v>
      </c>
      <c r="E273" t="s">
        <v>820</v>
      </c>
      <c r="F273" t="s">
        <v>61</v>
      </c>
      <c r="G273" s="2">
        <v>45996</v>
      </c>
      <c r="H273" s="2">
        <v>45996</v>
      </c>
      <c r="I273" t="s">
        <v>0</v>
      </c>
      <c r="J273" t="s">
        <v>821</v>
      </c>
      <c r="K273" s="3">
        <v>4564</v>
      </c>
      <c r="L273" t="s">
        <v>8</v>
      </c>
      <c r="P273" t="s">
        <v>0</v>
      </c>
      <c r="Q273" s="3">
        <v>83357.81</v>
      </c>
      <c r="R273" t="s">
        <v>9</v>
      </c>
      <c r="S273" t="s">
        <v>0</v>
      </c>
      <c r="T273" t="s">
        <v>0</v>
      </c>
    </row>
    <row r="274" spans="1:20" ht="14" hidden="1" customHeight="1" outlineLevel="3" x14ac:dyDescent="0.25">
      <c r="A274" t="s">
        <v>1</v>
      </c>
      <c r="B274" t="s">
        <v>52</v>
      </c>
      <c r="C274" t="s">
        <v>53</v>
      </c>
      <c r="D274" t="s">
        <v>822</v>
      </c>
      <c r="E274" t="s">
        <v>823</v>
      </c>
      <c r="F274" t="s">
        <v>61</v>
      </c>
      <c r="G274" s="2">
        <v>45996</v>
      </c>
      <c r="H274" s="2">
        <v>45996</v>
      </c>
      <c r="I274" t="s">
        <v>0</v>
      </c>
      <c r="J274" t="s">
        <v>824</v>
      </c>
      <c r="K274" s="3">
        <v>4296</v>
      </c>
      <c r="L274" t="s">
        <v>8</v>
      </c>
      <c r="P274" t="s">
        <v>0</v>
      </c>
      <c r="Q274" s="3">
        <v>78463</v>
      </c>
      <c r="R274" t="s">
        <v>9</v>
      </c>
      <c r="S274" t="s">
        <v>0</v>
      </c>
      <c r="T274" t="s">
        <v>0</v>
      </c>
    </row>
    <row r="275" spans="1:20" ht="14" hidden="1" customHeight="1" outlineLevel="3" x14ac:dyDescent="0.25">
      <c r="A275" t="s">
        <v>1</v>
      </c>
      <c r="B275" t="s">
        <v>52</v>
      </c>
      <c r="C275" t="s">
        <v>53</v>
      </c>
      <c r="D275" t="s">
        <v>825</v>
      </c>
      <c r="E275" t="s">
        <v>826</v>
      </c>
      <c r="F275" t="s">
        <v>61</v>
      </c>
      <c r="G275" s="2">
        <v>45996</v>
      </c>
      <c r="H275" s="2">
        <v>45996</v>
      </c>
      <c r="I275" t="s">
        <v>0</v>
      </c>
      <c r="J275" t="s">
        <v>827</v>
      </c>
      <c r="K275" s="3">
        <v>1836</v>
      </c>
      <c r="L275" t="s">
        <v>8</v>
      </c>
      <c r="P275" t="s">
        <v>0</v>
      </c>
      <c r="Q275" s="3">
        <v>33533.07</v>
      </c>
      <c r="R275" t="s">
        <v>9</v>
      </c>
      <c r="S275" t="s">
        <v>0</v>
      </c>
      <c r="T275" t="s">
        <v>0</v>
      </c>
    </row>
    <row r="276" spans="1:20" ht="14" hidden="1" customHeight="1" outlineLevel="3" x14ac:dyDescent="0.25">
      <c r="A276" t="s">
        <v>1</v>
      </c>
      <c r="B276" t="s">
        <v>52</v>
      </c>
      <c r="C276" t="s">
        <v>53</v>
      </c>
      <c r="D276" t="s">
        <v>828</v>
      </c>
      <c r="E276" t="s">
        <v>829</v>
      </c>
      <c r="F276" t="s">
        <v>61</v>
      </c>
      <c r="G276" s="2">
        <v>45996</v>
      </c>
      <c r="H276" s="2">
        <v>45996</v>
      </c>
      <c r="I276" t="s">
        <v>0</v>
      </c>
      <c r="J276" t="s">
        <v>830</v>
      </c>
      <c r="K276" s="3">
        <v>1836</v>
      </c>
      <c r="L276" t="s">
        <v>8</v>
      </c>
      <c r="P276" t="s">
        <v>0</v>
      </c>
      <c r="Q276" s="3">
        <v>33533.07</v>
      </c>
      <c r="R276" t="s">
        <v>9</v>
      </c>
      <c r="S276" t="s">
        <v>0</v>
      </c>
      <c r="T276" t="s">
        <v>0</v>
      </c>
    </row>
    <row r="277" spans="1:20" ht="14" hidden="1" customHeight="1" outlineLevel="3" x14ac:dyDescent="0.25">
      <c r="A277" t="s">
        <v>1</v>
      </c>
      <c r="B277" t="s">
        <v>52</v>
      </c>
      <c r="C277" t="s">
        <v>53</v>
      </c>
      <c r="D277" t="s">
        <v>831</v>
      </c>
      <c r="E277" t="s">
        <v>832</v>
      </c>
      <c r="F277" t="s">
        <v>61</v>
      </c>
      <c r="G277" s="2">
        <v>45996</v>
      </c>
      <c r="H277" s="2">
        <v>45996</v>
      </c>
      <c r="I277" t="s">
        <v>0</v>
      </c>
      <c r="J277" t="s">
        <v>833</v>
      </c>
      <c r="K277" s="3">
        <v>3460.5</v>
      </c>
      <c r="L277" t="s">
        <v>8</v>
      </c>
      <c r="P277" t="s">
        <v>0</v>
      </c>
      <c r="Q277" s="3">
        <v>63203.26</v>
      </c>
      <c r="R277" t="s">
        <v>9</v>
      </c>
      <c r="S277" t="s">
        <v>0</v>
      </c>
      <c r="T277" t="s">
        <v>0</v>
      </c>
    </row>
    <row r="278" spans="1:20" ht="14" hidden="1" customHeight="1" outlineLevel="3" x14ac:dyDescent="0.25">
      <c r="A278" t="s">
        <v>1</v>
      </c>
      <c r="B278" t="s">
        <v>52</v>
      </c>
      <c r="C278" t="s">
        <v>53</v>
      </c>
      <c r="D278" t="s">
        <v>834</v>
      </c>
      <c r="E278" t="s">
        <v>835</v>
      </c>
      <c r="F278" t="s">
        <v>61</v>
      </c>
      <c r="G278" s="2">
        <v>45996</v>
      </c>
      <c r="H278" s="2">
        <v>45996</v>
      </c>
      <c r="I278" t="s">
        <v>0</v>
      </c>
      <c r="J278" t="s">
        <v>836</v>
      </c>
      <c r="K278" s="3">
        <v>1153.5</v>
      </c>
      <c r="L278" t="s">
        <v>8</v>
      </c>
      <c r="P278" t="s">
        <v>0</v>
      </c>
      <c r="Q278" s="3">
        <v>21067.75</v>
      </c>
      <c r="R278" t="s">
        <v>9</v>
      </c>
      <c r="S278" t="s">
        <v>0</v>
      </c>
      <c r="T278" t="s">
        <v>0</v>
      </c>
    </row>
    <row r="279" spans="1:20" ht="14" hidden="1" customHeight="1" outlineLevel="3" x14ac:dyDescent="0.25">
      <c r="A279" t="s">
        <v>1</v>
      </c>
      <c r="B279" t="s">
        <v>52</v>
      </c>
      <c r="C279" t="s">
        <v>53</v>
      </c>
      <c r="D279" t="s">
        <v>837</v>
      </c>
      <c r="E279" t="s">
        <v>838</v>
      </c>
      <c r="F279" t="s">
        <v>61</v>
      </c>
      <c r="G279" s="2">
        <v>45996</v>
      </c>
      <c r="H279" s="2">
        <v>45996</v>
      </c>
      <c r="I279" t="s">
        <v>0</v>
      </c>
      <c r="J279" t="s">
        <v>839</v>
      </c>
      <c r="K279" s="3">
        <v>5060.88</v>
      </c>
      <c r="L279" t="s">
        <v>8</v>
      </c>
      <c r="P279" t="s">
        <v>0</v>
      </c>
      <c r="Q279" s="3">
        <v>92432.92</v>
      </c>
      <c r="R279" t="s">
        <v>9</v>
      </c>
      <c r="S279" t="s">
        <v>0</v>
      </c>
      <c r="T279" t="s">
        <v>0</v>
      </c>
    </row>
    <row r="280" spans="1:20" ht="14" hidden="1" customHeight="1" outlineLevel="3" x14ac:dyDescent="0.25">
      <c r="A280" t="s">
        <v>1</v>
      </c>
      <c r="B280" t="s">
        <v>52</v>
      </c>
      <c r="C280" t="s">
        <v>53</v>
      </c>
      <c r="D280" t="s">
        <v>840</v>
      </c>
      <c r="E280" t="s">
        <v>841</v>
      </c>
      <c r="F280" t="s">
        <v>61</v>
      </c>
      <c r="G280" s="2">
        <v>45996</v>
      </c>
      <c r="H280" s="2">
        <v>45996</v>
      </c>
      <c r="I280" t="s">
        <v>0</v>
      </c>
      <c r="J280" t="s">
        <v>842</v>
      </c>
      <c r="K280" s="3">
        <v>2606.4</v>
      </c>
      <c r="L280" t="s">
        <v>8</v>
      </c>
      <c r="P280" t="s">
        <v>0</v>
      </c>
      <c r="Q280" s="3">
        <v>47603.81</v>
      </c>
      <c r="R280" t="s">
        <v>9</v>
      </c>
      <c r="S280" t="s">
        <v>0</v>
      </c>
      <c r="T280" t="s">
        <v>0</v>
      </c>
    </row>
    <row r="281" spans="1:20" ht="14" hidden="1" customHeight="1" outlineLevel="3" x14ac:dyDescent="0.25">
      <c r="A281" t="s">
        <v>1</v>
      </c>
      <c r="B281" t="s">
        <v>52</v>
      </c>
      <c r="C281" t="s">
        <v>53</v>
      </c>
      <c r="D281" t="s">
        <v>843</v>
      </c>
      <c r="E281" t="s">
        <v>844</v>
      </c>
      <c r="F281" t="s">
        <v>61</v>
      </c>
      <c r="G281" s="2">
        <v>45996</v>
      </c>
      <c r="H281" s="2">
        <v>45996</v>
      </c>
      <c r="I281" t="s">
        <v>0</v>
      </c>
      <c r="J281" t="s">
        <v>845</v>
      </c>
      <c r="K281" s="3">
        <v>732</v>
      </c>
      <c r="L281" t="s">
        <v>8</v>
      </c>
      <c r="P281" t="s">
        <v>0</v>
      </c>
      <c r="Q281" s="3">
        <v>13369.39</v>
      </c>
      <c r="R281" t="s">
        <v>9</v>
      </c>
      <c r="S281" t="s">
        <v>0</v>
      </c>
      <c r="T281" t="s">
        <v>0</v>
      </c>
    </row>
    <row r="282" spans="1:20" ht="14" hidden="1" customHeight="1" outlineLevel="3" x14ac:dyDescent="0.25">
      <c r="A282" t="s">
        <v>1</v>
      </c>
      <c r="B282" t="s">
        <v>52</v>
      </c>
      <c r="C282" t="s">
        <v>53</v>
      </c>
      <c r="D282" t="s">
        <v>846</v>
      </c>
      <c r="E282" t="s">
        <v>847</v>
      </c>
      <c r="F282" t="s">
        <v>61</v>
      </c>
      <c r="G282" s="2">
        <v>45996</v>
      </c>
      <c r="H282" s="2">
        <v>45996</v>
      </c>
      <c r="I282" t="s">
        <v>0</v>
      </c>
      <c r="J282" t="s">
        <v>848</v>
      </c>
      <c r="K282" s="3">
        <v>1194</v>
      </c>
      <c r="L282" t="s">
        <v>8</v>
      </c>
      <c r="P282" t="s">
        <v>0</v>
      </c>
      <c r="Q282" s="3">
        <v>21807.45</v>
      </c>
      <c r="R282" t="s">
        <v>9</v>
      </c>
      <c r="S282" t="s">
        <v>0</v>
      </c>
      <c r="T282" t="s">
        <v>0</v>
      </c>
    </row>
    <row r="283" spans="1:20" ht="14" hidden="1" customHeight="1" outlineLevel="3" x14ac:dyDescent="0.25">
      <c r="A283" t="s">
        <v>1</v>
      </c>
      <c r="B283" t="s">
        <v>52</v>
      </c>
      <c r="C283" t="s">
        <v>53</v>
      </c>
      <c r="D283" t="s">
        <v>849</v>
      </c>
      <c r="E283" t="s">
        <v>850</v>
      </c>
      <c r="F283" t="s">
        <v>61</v>
      </c>
      <c r="G283" s="2">
        <v>45996</v>
      </c>
      <c r="H283" s="2">
        <v>45996</v>
      </c>
      <c r="I283" t="s">
        <v>0</v>
      </c>
      <c r="J283" t="s">
        <v>851</v>
      </c>
      <c r="K283" s="3">
        <v>1836</v>
      </c>
      <c r="L283" t="s">
        <v>8</v>
      </c>
      <c r="P283" t="s">
        <v>0</v>
      </c>
      <c r="Q283" s="3">
        <v>33533.07</v>
      </c>
      <c r="R283" t="s">
        <v>9</v>
      </c>
      <c r="S283" t="s">
        <v>0</v>
      </c>
      <c r="T283" t="s">
        <v>0</v>
      </c>
    </row>
    <row r="284" spans="1:20" ht="14" hidden="1" customHeight="1" outlineLevel="3" x14ac:dyDescent="0.25">
      <c r="A284" t="s">
        <v>1</v>
      </c>
      <c r="B284" t="s">
        <v>52</v>
      </c>
      <c r="C284" t="s">
        <v>53</v>
      </c>
      <c r="D284" t="s">
        <v>852</v>
      </c>
      <c r="E284" t="s">
        <v>853</v>
      </c>
      <c r="F284" t="s">
        <v>61</v>
      </c>
      <c r="G284" s="2">
        <v>45996</v>
      </c>
      <c r="H284" s="2">
        <v>45996</v>
      </c>
      <c r="I284" t="s">
        <v>0</v>
      </c>
      <c r="J284" t="s">
        <v>854</v>
      </c>
      <c r="K284" s="3">
        <v>1194</v>
      </c>
      <c r="L284" t="s">
        <v>8</v>
      </c>
      <c r="P284" t="s">
        <v>0</v>
      </c>
      <c r="Q284" s="3">
        <v>21807.45</v>
      </c>
      <c r="R284" t="s">
        <v>9</v>
      </c>
      <c r="S284" t="s">
        <v>0</v>
      </c>
      <c r="T284" t="s">
        <v>0</v>
      </c>
    </row>
    <row r="285" spans="1:20" ht="14" hidden="1" customHeight="1" outlineLevel="3" x14ac:dyDescent="0.25">
      <c r="A285" t="s">
        <v>1</v>
      </c>
      <c r="B285" t="s">
        <v>52</v>
      </c>
      <c r="C285" t="s">
        <v>53</v>
      </c>
      <c r="D285" t="s">
        <v>855</v>
      </c>
      <c r="E285" t="s">
        <v>856</v>
      </c>
      <c r="F285" t="s">
        <v>61</v>
      </c>
      <c r="G285" s="2">
        <v>45996</v>
      </c>
      <c r="H285" s="2">
        <v>45996</v>
      </c>
      <c r="I285" t="s">
        <v>0</v>
      </c>
      <c r="J285" t="s">
        <v>857</v>
      </c>
      <c r="K285" s="3">
        <v>1836</v>
      </c>
      <c r="L285" t="s">
        <v>8</v>
      </c>
      <c r="P285" t="s">
        <v>0</v>
      </c>
      <c r="Q285" s="3">
        <v>33533.07</v>
      </c>
      <c r="R285" t="s">
        <v>9</v>
      </c>
      <c r="S285" t="s">
        <v>0</v>
      </c>
      <c r="T285" t="s">
        <v>0</v>
      </c>
    </row>
    <row r="286" spans="1:20" ht="14" hidden="1" customHeight="1" outlineLevel="3" x14ac:dyDescent="0.25">
      <c r="A286" t="s">
        <v>1</v>
      </c>
      <c r="B286" t="s">
        <v>52</v>
      </c>
      <c r="C286" t="s">
        <v>53</v>
      </c>
      <c r="D286" t="s">
        <v>858</v>
      </c>
      <c r="E286" t="s">
        <v>859</v>
      </c>
      <c r="F286" t="s">
        <v>61</v>
      </c>
      <c r="G286" s="2">
        <v>45996</v>
      </c>
      <c r="H286" s="2">
        <v>45996</v>
      </c>
      <c r="I286" t="s">
        <v>0</v>
      </c>
      <c r="J286" t="s">
        <v>860</v>
      </c>
      <c r="K286" s="3">
        <v>1194</v>
      </c>
      <c r="L286" t="s">
        <v>8</v>
      </c>
      <c r="P286" t="s">
        <v>0</v>
      </c>
      <c r="Q286" s="3">
        <v>21807.45</v>
      </c>
      <c r="R286" t="s">
        <v>9</v>
      </c>
      <c r="S286" t="s">
        <v>0</v>
      </c>
      <c r="T286" t="s">
        <v>0</v>
      </c>
    </row>
    <row r="287" spans="1:20" ht="14" hidden="1" customHeight="1" outlineLevel="3" x14ac:dyDescent="0.25">
      <c r="A287" t="s">
        <v>1</v>
      </c>
      <c r="B287" t="s">
        <v>52</v>
      </c>
      <c r="C287" t="s">
        <v>53</v>
      </c>
      <c r="D287" t="s">
        <v>861</v>
      </c>
      <c r="E287" t="s">
        <v>862</v>
      </c>
      <c r="F287" t="s">
        <v>61</v>
      </c>
      <c r="G287" s="2">
        <v>45996</v>
      </c>
      <c r="H287" s="2">
        <v>45996</v>
      </c>
      <c r="I287" t="s">
        <v>0</v>
      </c>
      <c r="J287" t="s">
        <v>863</v>
      </c>
      <c r="K287" s="3">
        <v>1836</v>
      </c>
      <c r="L287" t="s">
        <v>8</v>
      </c>
      <c r="P287" t="s">
        <v>0</v>
      </c>
      <c r="Q287" s="3">
        <v>33533.07</v>
      </c>
      <c r="R287" t="s">
        <v>9</v>
      </c>
      <c r="S287" t="s">
        <v>0</v>
      </c>
      <c r="T287" t="s">
        <v>0</v>
      </c>
    </row>
    <row r="288" spans="1:20" ht="14" hidden="1" customHeight="1" outlineLevel="3" x14ac:dyDescent="0.25">
      <c r="A288" t="s">
        <v>1</v>
      </c>
      <c r="B288" t="s">
        <v>52</v>
      </c>
      <c r="C288" t="s">
        <v>53</v>
      </c>
      <c r="D288" t="s">
        <v>864</v>
      </c>
      <c r="E288" t="s">
        <v>865</v>
      </c>
      <c r="F288" t="s">
        <v>61</v>
      </c>
      <c r="G288" s="2">
        <v>45996</v>
      </c>
      <c r="H288" s="2">
        <v>45996</v>
      </c>
      <c r="I288" t="s">
        <v>0</v>
      </c>
      <c r="J288" t="s">
        <v>866</v>
      </c>
      <c r="K288" s="3">
        <v>688</v>
      </c>
      <c r="L288" t="s">
        <v>8</v>
      </c>
      <c r="P288" t="s">
        <v>0</v>
      </c>
      <c r="Q288" s="3">
        <v>12565.77</v>
      </c>
      <c r="R288" t="s">
        <v>9</v>
      </c>
      <c r="S288" t="s">
        <v>0</v>
      </c>
      <c r="T288" t="s">
        <v>0</v>
      </c>
    </row>
    <row r="289" spans="1:20" ht="14" hidden="1" customHeight="1" outlineLevel="3" x14ac:dyDescent="0.25">
      <c r="A289" t="s">
        <v>1</v>
      </c>
      <c r="B289" t="s">
        <v>52</v>
      </c>
      <c r="C289" t="s">
        <v>53</v>
      </c>
      <c r="D289" t="s">
        <v>867</v>
      </c>
      <c r="E289" t="s">
        <v>868</v>
      </c>
      <c r="F289" t="s">
        <v>61</v>
      </c>
      <c r="G289" s="2">
        <v>45996</v>
      </c>
      <c r="H289" s="2">
        <v>45996</v>
      </c>
      <c r="I289" t="s">
        <v>0</v>
      </c>
      <c r="J289" t="s">
        <v>869</v>
      </c>
      <c r="K289" s="3">
        <v>8576.5</v>
      </c>
      <c r="L289" t="s">
        <v>8</v>
      </c>
      <c r="P289" t="s">
        <v>0</v>
      </c>
      <c r="Q289" s="3">
        <v>156642.91</v>
      </c>
      <c r="R289" t="s">
        <v>9</v>
      </c>
      <c r="S289" t="s">
        <v>0</v>
      </c>
      <c r="T289" t="s">
        <v>0</v>
      </c>
    </row>
    <row r="290" spans="1:20" ht="14" hidden="1" customHeight="1" outlineLevel="3" x14ac:dyDescent="0.25">
      <c r="A290" t="s">
        <v>1</v>
      </c>
      <c r="B290" t="s">
        <v>52</v>
      </c>
      <c r="C290" t="s">
        <v>53</v>
      </c>
      <c r="D290" t="s">
        <v>870</v>
      </c>
      <c r="E290" t="s">
        <v>871</v>
      </c>
      <c r="F290" t="s">
        <v>61</v>
      </c>
      <c r="G290" s="2">
        <v>45996</v>
      </c>
      <c r="H290" s="2">
        <v>45996</v>
      </c>
      <c r="I290" t="s">
        <v>0</v>
      </c>
      <c r="J290" t="s">
        <v>872</v>
      </c>
      <c r="K290" s="3">
        <v>8583.5</v>
      </c>
      <c r="L290" t="s">
        <v>8</v>
      </c>
      <c r="P290" t="s">
        <v>0</v>
      </c>
      <c r="Q290" s="3">
        <v>156770.76</v>
      </c>
      <c r="R290" t="s">
        <v>9</v>
      </c>
      <c r="S290" t="s">
        <v>0</v>
      </c>
      <c r="T290" t="s">
        <v>0</v>
      </c>
    </row>
    <row r="291" spans="1:20" ht="14" hidden="1" customHeight="1" outlineLevel="3" x14ac:dyDescent="0.25">
      <c r="A291" t="s">
        <v>1</v>
      </c>
      <c r="B291" t="s">
        <v>52</v>
      </c>
      <c r="C291" t="s">
        <v>53</v>
      </c>
      <c r="D291" t="s">
        <v>873</v>
      </c>
      <c r="E291" t="s">
        <v>874</v>
      </c>
      <c r="F291" t="s">
        <v>61</v>
      </c>
      <c r="G291" s="2">
        <v>45996</v>
      </c>
      <c r="H291" s="2">
        <v>45996</v>
      </c>
      <c r="I291" t="s">
        <v>0</v>
      </c>
      <c r="J291" t="s">
        <v>875</v>
      </c>
      <c r="K291" s="3">
        <v>2479.5</v>
      </c>
      <c r="L291" t="s">
        <v>8</v>
      </c>
      <c r="P291" t="s">
        <v>0</v>
      </c>
      <c r="Q291" s="3">
        <v>45286.080000000002</v>
      </c>
      <c r="R291" t="s">
        <v>9</v>
      </c>
      <c r="S291" t="s">
        <v>0</v>
      </c>
      <c r="T291" t="s">
        <v>0</v>
      </c>
    </row>
    <row r="292" spans="1:20" ht="14" hidden="1" customHeight="1" outlineLevel="3" x14ac:dyDescent="0.25">
      <c r="A292" t="s">
        <v>1</v>
      </c>
      <c r="B292" t="s">
        <v>52</v>
      </c>
      <c r="C292" t="s">
        <v>53</v>
      </c>
      <c r="D292" t="s">
        <v>876</v>
      </c>
      <c r="E292" t="s">
        <v>877</v>
      </c>
      <c r="F292" t="s">
        <v>61</v>
      </c>
      <c r="G292" s="2">
        <v>45996</v>
      </c>
      <c r="H292" s="2">
        <v>45996</v>
      </c>
      <c r="I292" t="s">
        <v>0</v>
      </c>
      <c r="J292" t="s">
        <v>878</v>
      </c>
      <c r="K292" s="3">
        <v>3280.5</v>
      </c>
      <c r="L292" t="s">
        <v>8</v>
      </c>
      <c r="P292" t="s">
        <v>0</v>
      </c>
      <c r="Q292" s="3">
        <v>59915.71</v>
      </c>
      <c r="R292" t="s">
        <v>9</v>
      </c>
      <c r="S292" t="s">
        <v>0</v>
      </c>
      <c r="T292" t="s">
        <v>0</v>
      </c>
    </row>
    <row r="293" spans="1:20" ht="14" hidden="1" customHeight="1" outlineLevel="3" x14ac:dyDescent="0.25">
      <c r="A293" t="s">
        <v>1</v>
      </c>
      <c r="B293" t="s">
        <v>52</v>
      </c>
      <c r="C293" t="s">
        <v>53</v>
      </c>
      <c r="D293" t="s">
        <v>879</v>
      </c>
      <c r="E293" t="s">
        <v>880</v>
      </c>
      <c r="F293" t="s">
        <v>61</v>
      </c>
      <c r="G293" s="2">
        <v>45996</v>
      </c>
      <c r="H293" s="2">
        <v>45996</v>
      </c>
      <c r="I293" t="s">
        <v>0</v>
      </c>
      <c r="J293" t="s">
        <v>881</v>
      </c>
      <c r="K293" s="3">
        <v>1438.8</v>
      </c>
      <c r="L293" t="s">
        <v>8</v>
      </c>
      <c r="P293" t="s">
        <v>0</v>
      </c>
      <c r="Q293" s="3">
        <v>26278.53</v>
      </c>
      <c r="R293" t="s">
        <v>9</v>
      </c>
      <c r="S293" t="s">
        <v>0</v>
      </c>
      <c r="T293" t="s">
        <v>0</v>
      </c>
    </row>
    <row r="294" spans="1:20" ht="14" hidden="1" customHeight="1" outlineLevel="3" x14ac:dyDescent="0.25">
      <c r="A294" t="s">
        <v>1</v>
      </c>
      <c r="B294" t="s">
        <v>52</v>
      </c>
      <c r="C294" t="s">
        <v>53</v>
      </c>
      <c r="D294" t="s">
        <v>882</v>
      </c>
      <c r="E294" t="s">
        <v>883</v>
      </c>
      <c r="F294" t="s">
        <v>61</v>
      </c>
      <c r="G294" s="2">
        <v>45996</v>
      </c>
      <c r="H294" s="2">
        <v>45996</v>
      </c>
      <c r="I294" t="s">
        <v>0</v>
      </c>
      <c r="J294" t="s">
        <v>884</v>
      </c>
      <c r="K294" s="3">
        <v>652.5</v>
      </c>
      <c r="L294" t="s">
        <v>8</v>
      </c>
      <c r="P294" t="s">
        <v>0</v>
      </c>
      <c r="Q294" s="3">
        <v>11917.39</v>
      </c>
      <c r="R294" t="s">
        <v>9</v>
      </c>
      <c r="S294" t="s">
        <v>0</v>
      </c>
      <c r="T294" t="s">
        <v>0</v>
      </c>
    </row>
    <row r="295" spans="1:20" ht="14" hidden="1" customHeight="1" outlineLevel="3" x14ac:dyDescent="0.25">
      <c r="A295" t="s">
        <v>1</v>
      </c>
      <c r="B295" t="s">
        <v>52</v>
      </c>
      <c r="C295" t="s">
        <v>53</v>
      </c>
      <c r="D295" t="s">
        <v>885</v>
      </c>
      <c r="E295" t="s">
        <v>886</v>
      </c>
      <c r="F295" t="s">
        <v>61</v>
      </c>
      <c r="G295" s="2">
        <v>45996</v>
      </c>
      <c r="H295" s="2">
        <v>45996</v>
      </c>
      <c r="I295" t="s">
        <v>0</v>
      </c>
      <c r="J295" t="s">
        <v>887</v>
      </c>
      <c r="K295" s="3">
        <v>22053</v>
      </c>
      <c r="L295" t="s">
        <v>8</v>
      </c>
      <c r="P295" t="s">
        <v>0</v>
      </c>
      <c r="Q295" s="3">
        <v>402780.4</v>
      </c>
      <c r="R295" t="s">
        <v>9</v>
      </c>
      <c r="S295" t="s">
        <v>0</v>
      </c>
      <c r="T295" t="s">
        <v>0</v>
      </c>
    </row>
    <row r="296" spans="1:20" ht="14" hidden="1" customHeight="1" outlineLevel="3" x14ac:dyDescent="0.25">
      <c r="A296" t="s">
        <v>1</v>
      </c>
      <c r="B296" t="s">
        <v>52</v>
      </c>
      <c r="C296" t="s">
        <v>53</v>
      </c>
      <c r="D296" t="s">
        <v>888</v>
      </c>
      <c r="E296" t="s">
        <v>889</v>
      </c>
      <c r="F296" t="s">
        <v>61</v>
      </c>
      <c r="G296" s="2">
        <v>45996</v>
      </c>
      <c r="H296" s="2">
        <v>45996</v>
      </c>
      <c r="I296" t="s">
        <v>0</v>
      </c>
      <c r="J296" t="s">
        <v>890</v>
      </c>
      <c r="K296" s="3">
        <v>1666.5</v>
      </c>
      <c r="L296" t="s">
        <v>8</v>
      </c>
      <c r="P296" t="s">
        <v>0</v>
      </c>
      <c r="Q296" s="3">
        <v>30437.29</v>
      </c>
      <c r="R296" t="s">
        <v>9</v>
      </c>
      <c r="S296" t="s">
        <v>0</v>
      </c>
      <c r="T296" t="s">
        <v>0</v>
      </c>
    </row>
    <row r="297" spans="1:20" ht="14" hidden="1" customHeight="1" outlineLevel="3" x14ac:dyDescent="0.25">
      <c r="A297" t="s">
        <v>1</v>
      </c>
      <c r="B297" t="s">
        <v>52</v>
      </c>
      <c r="C297" t="s">
        <v>53</v>
      </c>
      <c r="D297" t="s">
        <v>891</v>
      </c>
      <c r="E297" t="s">
        <v>892</v>
      </c>
      <c r="F297" t="s">
        <v>61</v>
      </c>
      <c r="G297" s="2">
        <v>45996</v>
      </c>
      <c r="H297" s="2">
        <v>45996</v>
      </c>
      <c r="I297" t="s">
        <v>0</v>
      </c>
      <c r="J297" t="s">
        <v>893</v>
      </c>
      <c r="K297" s="3">
        <v>6962</v>
      </c>
      <c r="L297" t="s">
        <v>8</v>
      </c>
      <c r="P297" t="s">
        <v>0</v>
      </c>
      <c r="Q297" s="3">
        <v>127155.36</v>
      </c>
      <c r="R297" t="s">
        <v>9</v>
      </c>
      <c r="S297" t="s">
        <v>0</v>
      </c>
      <c r="T297" t="s">
        <v>0</v>
      </c>
    </row>
    <row r="298" spans="1:20" ht="14" hidden="1" customHeight="1" outlineLevel="3" x14ac:dyDescent="0.25">
      <c r="A298" t="s">
        <v>1</v>
      </c>
      <c r="B298" t="s">
        <v>52</v>
      </c>
      <c r="C298" t="s">
        <v>53</v>
      </c>
      <c r="D298" t="s">
        <v>894</v>
      </c>
      <c r="E298" t="s">
        <v>895</v>
      </c>
      <c r="F298" t="s">
        <v>61</v>
      </c>
      <c r="G298" s="2">
        <v>45996</v>
      </c>
      <c r="H298" s="2">
        <v>45996</v>
      </c>
      <c r="I298" t="s">
        <v>0</v>
      </c>
      <c r="J298" t="s">
        <v>896</v>
      </c>
      <c r="K298" s="3">
        <v>8316</v>
      </c>
      <c r="L298" t="s">
        <v>8</v>
      </c>
      <c r="P298" t="s">
        <v>0</v>
      </c>
      <c r="Q298" s="3">
        <v>151885.09</v>
      </c>
      <c r="R298" t="s">
        <v>9</v>
      </c>
      <c r="S298" t="s">
        <v>0</v>
      </c>
      <c r="T298" t="s">
        <v>0</v>
      </c>
    </row>
    <row r="299" spans="1:20" ht="14" hidden="1" customHeight="1" outlineLevel="3" x14ac:dyDescent="0.25">
      <c r="A299" t="s">
        <v>1</v>
      </c>
      <c r="B299" t="s">
        <v>52</v>
      </c>
      <c r="C299" t="s">
        <v>53</v>
      </c>
      <c r="D299" t="s">
        <v>897</v>
      </c>
      <c r="E299" t="s">
        <v>898</v>
      </c>
      <c r="F299" t="s">
        <v>61</v>
      </c>
      <c r="G299" s="2">
        <v>45996</v>
      </c>
      <c r="H299" s="2">
        <v>45996</v>
      </c>
      <c r="I299" t="s">
        <v>0</v>
      </c>
      <c r="J299" t="s">
        <v>899</v>
      </c>
      <c r="K299" s="3">
        <v>6982.5</v>
      </c>
      <c r="L299" t="s">
        <v>8</v>
      </c>
      <c r="P299" t="s">
        <v>0</v>
      </c>
      <c r="Q299" s="3">
        <v>127529.78</v>
      </c>
      <c r="R299" t="s">
        <v>9</v>
      </c>
      <c r="S299" t="s">
        <v>0</v>
      </c>
      <c r="T299" t="s">
        <v>0</v>
      </c>
    </row>
    <row r="300" spans="1:20" ht="14" hidden="1" customHeight="1" outlineLevel="3" x14ac:dyDescent="0.25">
      <c r="A300" t="s">
        <v>1</v>
      </c>
      <c r="B300" t="s">
        <v>52</v>
      </c>
      <c r="C300" t="s">
        <v>53</v>
      </c>
      <c r="D300" t="s">
        <v>900</v>
      </c>
      <c r="E300" t="s">
        <v>901</v>
      </c>
      <c r="F300" t="s">
        <v>61</v>
      </c>
      <c r="G300" s="2">
        <v>45996</v>
      </c>
      <c r="H300" s="2">
        <v>45996</v>
      </c>
      <c r="I300" t="s">
        <v>0</v>
      </c>
      <c r="J300" t="s">
        <v>902</v>
      </c>
      <c r="K300" s="3">
        <v>7926</v>
      </c>
      <c r="L300" t="s">
        <v>8</v>
      </c>
      <c r="P300" t="s">
        <v>0</v>
      </c>
      <c r="Q300" s="3">
        <v>144762.04999999999</v>
      </c>
      <c r="R300" t="s">
        <v>9</v>
      </c>
      <c r="S300" t="s">
        <v>0</v>
      </c>
      <c r="T300" t="s">
        <v>0</v>
      </c>
    </row>
    <row r="301" spans="1:20" ht="14" hidden="1" customHeight="1" outlineLevel="3" x14ac:dyDescent="0.25">
      <c r="A301" t="s">
        <v>1</v>
      </c>
      <c r="B301" t="s">
        <v>52</v>
      </c>
      <c r="C301" t="s">
        <v>53</v>
      </c>
      <c r="D301" t="s">
        <v>903</v>
      </c>
      <c r="E301" t="s">
        <v>904</v>
      </c>
      <c r="F301" t="s">
        <v>61</v>
      </c>
      <c r="G301" s="2">
        <v>45996</v>
      </c>
      <c r="H301" s="2">
        <v>45996</v>
      </c>
      <c r="I301" t="s">
        <v>0</v>
      </c>
      <c r="J301" t="s">
        <v>905</v>
      </c>
      <c r="K301" s="3">
        <v>6962</v>
      </c>
      <c r="L301" t="s">
        <v>8</v>
      </c>
      <c r="P301" t="s">
        <v>0</v>
      </c>
      <c r="Q301" s="3">
        <v>127155.36</v>
      </c>
      <c r="R301" t="s">
        <v>9</v>
      </c>
      <c r="S301" t="s">
        <v>0</v>
      </c>
      <c r="T301" t="s">
        <v>0</v>
      </c>
    </row>
    <row r="302" spans="1:20" ht="14" hidden="1" customHeight="1" outlineLevel="3" x14ac:dyDescent="0.25">
      <c r="A302" t="s">
        <v>1</v>
      </c>
      <c r="B302" t="s">
        <v>52</v>
      </c>
      <c r="C302" t="s">
        <v>53</v>
      </c>
      <c r="D302" t="s">
        <v>906</v>
      </c>
      <c r="E302" t="s">
        <v>907</v>
      </c>
      <c r="F302" t="s">
        <v>61</v>
      </c>
      <c r="G302" s="2">
        <v>45996</v>
      </c>
      <c r="H302" s="2">
        <v>45996</v>
      </c>
      <c r="I302" t="s">
        <v>0</v>
      </c>
      <c r="J302" t="s">
        <v>908</v>
      </c>
      <c r="K302" s="3">
        <v>7905</v>
      </c>
      <c r="L302" t="s">
        <v>8</v>
      </c>
      <c r="P302" t="s">
        <v>0</v>
      </c>
      <c r="Q302" s="3">
        <v>144378.5</v>
      </c>
      <c r="R302" t="s">
        <v>9</v>
      </c>
      <c r="S302" t="s">
        <v>0</v>
      </c>
      <c r="T302" t="s">
        <v>0</v>
      </c>
    </row>
    <row r="303" spans="1:20" ht="14" hidden="1" customHeight="1" outlineLevel="3" x14ac:dyDescent="0.25">
      <c r="A303" t="s">
        <v>1</v>
      </c>
      <c r="B303" t="s">
        <v>52</v>
      </c>
      <c r="C303" t="s">
        <v>53</v>
      </c>
      <c r="D303" t="s">
        <v>909</v>
      </c>
      <c r="E303" t="s">
        <v>910</v>
      </c>
      <c r="F303" t="s">
        <v>61</v>
      </c>
      <c r="G303" s="2">
        <v>46013</v>
      </c>
      <c r="H303" s="2">
        <v>46013</v>
      </c>
      <c r="I303" t="s">
        <v>0</v>
      </c>
      <c r="J303" t="s">
        <v>911</v>
      </c>
      <c r="K303" s="3">
        <v>14208</v>
      </c>
      <c r="L303" t="s">
        <v>8</v>
      </c>
      <c r="P303" t="s">
        <v>0</v>
      </c>
      <c r="Q303" s="3">
        <v>255448.47</v>
      </c>
      <c r="R303" t="s">
        <v>9</v>
      </c>
      <c r="S303" t="s">
        <v>0</v>
      </c>
      <c r="T303" t="s">
        <v>0</v>
      </c>
    </row>
    <row r="304" spans="1:20" ht="14" hidden="1" customHeight="1" outlineLevel="3" x14ac:dyDescent="0.25">
      <c r="A304" t="s">
        <v>1</v>
      </c>
      <c r="B304" t="s">
        <v>52</v>
      </c>
      <c r="C304" t="s">
        <v>53</v>
      </c>
      <c r="D304" t="s">
        <v>912</v>
      </c>
      <c r="E304" t="s">
        <v>913</v>
      </c>
      <c r="F304" t="s">
        <v>61</v>
      </c>
      <c r="G304" s="2">
        <v>46014</v>
      </c>
      <c r="H304" s="2">
        <v>46014</v>
      </c>
      <c r="I304" t="s">
        <v>0</v>
      </c>
      <c r="J304" t="s">
        <v>914</v>
      </c>
      <c r="K304" s="3">
        <v>11736</v>
      </c>
      <c r="L304" t="s">
        <v>8</v>
      </c>
      <c r="P304" t="s">
        <v>0</v>
      </c>
      <c r="Q304" s="3">
        <v>211324.28</v>
      </c>
      <c r="R304" t="s">
        <v>9</v>
      </c>
      <c r="S304" t="s">
        <v>0</v>
      </c>
      <c r="T304" t="s">
        <v>0</v>
      </c>
    </row>
    <row r="305" spans="1:20" ht="14" hidden="1" customHeight="1" outlineLevel="3" x14ac:dyDescent="0.25">
      <c r="A305" t="s">
        <v>1</v>
      </c>
      <c r="B305" t="s">
        <v>52</v>
      </c>
      <c r="C305" t="s">
        <v>53</v>
      </c>
      <c r="D305" t="s">
        <v>915</v>
      </c>
      <c r="E305" t="s">
        <v>916</v>
      </c>
      <c r="F305" t="s">
        <v>61</v>
      </c>
      <c r="G305" s="2">
        <v>46048</v>
      </c>
      <c r="H305" s="2">
        <v>46048</v>
      </c>
      <c r="I305" t="s">
        <v>0</v>
      </c>
      <c r="J305" t="s">
        <v>917</v>
      </c>
      <c r="K305" s="3">
        <v>6048</v>
      </c>
      <c r="L305" t="s">
        <v>8</v>
      </c>
      <c r="M305">
        <v>870.71</v>
      </c>
      <c r="N305">
        <f t="shared" ref="N305:N307" si="0">K305*M305</f>
        <v>5266054.08</v>
      </c>
      <c r="O305">
        <f t="shared" ref="O305:O307" si="1">ROUND(N305,0)</f>
        <v>5266054</v>
      </c>
      <c r="P305" t="str">
        <f t="shared" ref="P305:P307" si="2">CONCATENATE("Invoice ",J305," Distribuidora Flexi SA de CV ","USD ",K305," TC ", M305)</f>
        <v>Invoice A-06936794 Distribuidora Flexi SA de CV USD 6048 TC 870.71</v>
      </c>
      <c r="Q305" s="3">
        <v>105735.97</v>
      </c>
      <c r="R305" t="s">
        <v>9</v>
      </c>
      <c r="S305" t="s">
        <v>0</v>
      </c>
      <c r="T305" t="s">
        <v>0</v>
      </c>
    </row>
    <row r="306" spans="1:20" ht="14" hidden="1" customHeight="1" outlineLevel="3" x14ac:dyDescent="0.25">
      <c r="A306" t="s">
        <v>1</v>
      </c>
      <c r="B306" t="s">
        <v>52</v>
      </c>
      <c r="C306" t="s">
        <v>53</v>
      </c>
      <c r="D306" t="s">
        <v>918</v>
      </c>
      <c r="E306" t="s">
        <v>919</v>
      </c>
      <c r="F306" t="s">
        <v>61</v>
      </c>
      <c r="G306" s="2">
        <v>46048</v>
      </c>
      <c r="H306" s="2">
        <v>46048</v>
      </c>
      <c r="I306" t="s">
        <v>0</v>
      </c>
      <c r="J306" t="s">
        <v>920</v>
      </c>
      <c r="K306" s="3">
        <v>5003.5200000000004</v>
      </c>
      <c r="L306" t="s">
        <v>8</v>
      </c>
      <c r="M306">
        <v>870.71</v>
      </c>
      <c r="N306">
        <f t="shared" si="0"/>
        <v>4356614.8992000008</v>
      </c>
      <c r="O306">
        <f t="shared" si="1"/>
        <v>4356615</v>
      </c>
      <c r="P306" t="str">
        <f t="shared" si="2"/>
        <v>Invoice A-06936795 Distribuidora Flexi SA de CV USD 5003.52 TC 870.71</v>
      </c>
      <c r="Q306" s="3">
        <v>87475.54</v>
      </c>
      <c r="R306" t="s">
        <v>9</v>
      </c>
      <c r="S306" t="s">
        <v>0</v>
      </c>
      <c r="T306" t="s">
        <v>0</v>
      </c>
    </row>
    <row r="307" spans="1:20" ht="14" hidden="1" customHeight="1" outlineLevel="3" x14ac:dyDescent="0.25">
      <c r="A307" t="s">
        <v>1</v>
      </c>
      <c r="B307" t="s">
        <v>52</v>
      </c>
      <c r="C307" t="s">
        <v>53</v>
      </c>
      <c r="D307" t="s">
        <v>921</v>
      </c>
      <c r="E307" t="s">
        <v>922</v>
      </c>
      <c r="F307" t="s">
        <v>61</v>
      </c>
      <c r="G307" s="2">
        <v>46049</v>
      </c>
      <c r="H307" s="2">
        <v>46049</v>
      </c>
      <c r="I307" t="s">
        <v>0</v>
      </c>
      <c r="J307" t="s">
        <v>923</v>
      </c>
      <c r="K307" s="3">
        <v>23436</v>
      </c>
      <c r="L307" t="s">
        <v>8</v>
      </c>
      <c r="M307">
        <v>862.98</v>
      </c>
      <c r="N307">
        <f t="shared" si="0"/>
        <v>20224799.280000001</v>
      </c>
      <c r="O307">
        <f t="shared" si="1"/>
        <v>20224799</v>
      </c>
      <c r="P307" t="str">
        <f t="shared" si="2"/>
        <v>Invoice A-06937283 Distribuidora Flexi SA de CV USD 23436 TC 862.98</v>
      </c>
      <c r="Q307" s="3">
        <v>409063.66</v>
      </c>
      <c r="R307" t="s">
        <v>9</v>
      </c>
      <c r="S307" t="s">
        <v>0</v>
      </c>
      <c r="T307" t="s">
        <v>0</v>
      </c>
    </row>
    <row r="308" spans="1:20" outlineLevel="2" collapsed="1" x14ac:dyDescent="0.25">
      <c r="A308" s="4" t="s">
        <v>0</v>
      </c>
      <c r="B308" s="4" t="s">
        <v>52</v>
      </c>
      <c r="C308" s="4" t="s">
        <v>0</v>
      </c>
      <c r="D308" s="4" t="s">
        <v>0</v>
      </c>
      <c r="E308" s="4" t="s">
        <v>0</v>
      </c>
      <c r="F308" s="4" t="s">
        <v>0</v>
      </c>
      <c r="G308" s="5"/>
      <c r="H308" s="5"/>
      <c r="I308" s="4" t="s">
        <v>0</v>
      </c>
      <c r="J308" s="4" t="s">
        <v>0</v>
      </c>
      <c r="K308" s="6">
        <v>1398350.05</v>
      </c>
      <c r="L308" s="4" t="s">
        <v>8</v>
      </c>
      <c r="M308" s="12" t="s">
        <v>1113</v>
      </c>
      <c r="N308" s="13">
        <f>+K308+K18</f>
        <v>1421365.9100000001</v>
      </c>
      <c r="O308" s="4"/>
      <c r="P308" s="4" t="s">
        <v>0</v>
      </c>
      <c r="Q308" s="6">
        <v>26580843.18</v>
      </c>
      <c r="R308" s="4" t="s">
        <v>9</v>
      </c>
      <c r="S308" s="4" t="s">
        <v>0</v>
      </c>
      <c r="T308" s="4" t="s">
        <v>0</v>
      </c>
    </row>
    <row r="309" spans="1:20" outlineLevel="1" x14ac:dyDescent="0.25">
      <c r="A309" s="4" t="s">
        <v>0</v>
      </c>
      <c r="B309" s="4" t="s">
        <v>52</v>
      </c>
      <c r="C309" s="4" t="s">
        <v>0</v>
      </c>
      <c r="D309" s="4" t="s">
        <v>0</v>
      </c>
      <c r="E309" s="4" t="s">
        <v>0</v>
      </c>
      <c r="F309" s="4" t="s">
        <v>0</v>
      </c>
      <c r="G309" s="5"/>
      <c r="H309" s="5"/>
      <c r="I309" s="4" t="s">
        <v>0</v>
      </c>
      <c r="J309" s="4" t="s">
        <v>0</v>
      </c>
      <c r="K309" s="6">
        <v>1398350.05</v>
      </c>
      <c r="L309" s="4" t="s">
        <v>8</v>
      </c>
      <c r="M309" s="4"/>
      <c r="N309" s="4"/>
      <c r="O309" s="4"/>
      <c r="P309" s="4" t="s">
        <v>0</v>
      </c>
      <c r="Q309" s="6">
        <v>26580843.18</v>
      </c>
      <c r="R309" s="4" t="s">
        <v>9</v>
      </c>
      <c r="S309" s="4" t="s">
        <v>0</v>
      </c>
      <c r="T309" s="4" t="s">
        <v>0</v>
      </c>
    </row>
    <row r="310" spans="1:20" ht="14" hidden="1" customHeight="1" outlineLevel="3" x14ac:dyDescent="0.25">
      <c r="A310" t="s">
        <v>924</v>
      </c>
      <c r="B310" t="s">
        <v>925</v>
      </c>
      <c r="C310" t="s">
        <v>926</v>
      </c>
      <c r="D310" t="s">
        <v>927</v>
      </c>
      <c r="E310" t="s">
        <v>928</v>
      </c>
      <c r="F310" t="s">
        <v>6</v>
      </c>
      <c r="G310" s="2">
        <v>44207</v>
      </c>
      <c r="H310" s="2">
        <v>44207</v>
      </c>
      <c r="I310" t="s">
        <v>0</v>
      </c>
      <c r="J310" t="s">
        <v>929</v>
      </c>
      <c r="K310" s="3">
        <v>12942.8</v>
      </c>
      <c r="L310" t="s">
        <v>9</v>
      </c>
      <c r="P310" t="s">
        <v>0</v>
      </c>
      <c r="Q310" s="3">
        <v>12942.8</v>
      </c>
      <c r="R310" t="s">
        <v>9</v>
      </c>
      <c r="S310" t="s">
        <v>0</v>
      </c>
      <c r="T310" t="s">
        <v>930</v>
      </c>
    </row>
    <row r="311" spans="1:20" ht="14" hidden="1" customHeight="1" outlineLevel="3" x14ac:dyDescent="0.25">
      <c r="A311" t="s">
        <v>924</v>
      </c>
      <c r="B311" t="s">
        <v>925</v>
      </c>
      <c r="C311" t="s">
        <v>926</v>
      </c>
      <c r="D311" t="s">
        <v>931</v>
      </c>
      <c r="E311" t="s">
        <v>932</v>
      </c>
      <c r="F311" t="s">
        <v>6</v>
      </c>
      <c r="G311" s="2">
        <v>44207</v>
      </c>
      <c r="H311" s="2">
        <v>44207</v>
      </c>
      <c r="I311" t="s">
        <v>0</v>
      </c>
      <c r="J311" t="s">
        <v>933</v>
      </c>
      <c r="K311" s="3">
        <v>22819.4</v>
      </c>
      <c r="L311" t="s">
        <v>9</v>
      </c>
      <c r="P311" t="s">
        <v>0</v>
      </c>
      <c r="Q311" s="3">
        <v>22819.4</v>
      </c>
      <c r="R311" t="s">
        <v>9</v>
      </c>
      <c r="S311" t="s">
        <v>0</v>
      </c>
      <c r="T311" t="s">
        <v>934</v>
      </c>
    </row>
    <row r="312" spans="1:20" outlineLevel="2" collapsed="1" x14ac:dyDescent="0.25">
      <c r="A312" s="4" t="s">
        <v>0</v>
      </c>
      <c r="B312" s="4" t="s">
        <v>925</v>
      </c>
      <c r="C312" s="4" t="s">
        <v>0</v>
      </c>
      <c r="D312" s="4" t="s">
        <v>0</v>
      </c>
      <c r="E312" s="4" t="s">
        <v>0</v>
      </c>
      <c r="F312" s="4" t="s">
        <v>0</v>
      </c>
      <c r="G312" s="5"/>
      <c r="H312" s="5"/>
      <c r="I312" s="4" t="s">
        <v>0</v>
      </c>
      <c r="J312" s="4" t="s">
        <v>0</v>
      </c>
      <c r="K312" s="6">
        <v>35762.199999999997</v>
      </c>
      <c r="L312" s="4" t="s">
        <v>9</v>
      </c>
      <c r="M312" s="12" t="s">
        <v>1116</v>
      </c>
      <c r="N312" s="4">
        <v>1788.39</v>
      </c>
      <c r="O312" s="4"/>
      <c r="P312" s="4" t="s">
        <v>0</v>
      </c>
      <c r="Q312" s="6">
        <v>35762.199999999997</v>
      </c>
      <c r="R312" s="4" t="s">
        <v>9</v>
      </c>
      <c r="S312" s="4" t="s">
        <v>0</v>
      </c>
      <c r="T312" s="4" t="s">
        <v>0</v>
      </c>
    </row>
    <row r="313" spans="1:20" outlineLevel="1" x14ac:dyDescent="0.25">
      <c r="A313" s="4" t="s">
        <v>0</v>
      </c>
      <c r="B313" s="4" t="s">
        <v>925</v>
      </c>
      <c r="C313" s="4" t="s">
        <v>0</v>
      </c>
      <c r="D313" s="4" t="s">
        <v>0</v>
      </c>
      <c r="E313" s="4" t="s">
        <v>0</v>
      </c>
      <c r="F313" s="4" t="s">
        <v>0</v>
      </c>
      <c r="G313" s="5"/>
      <c r="H313" s="5"/>
      <c r="I313" s="4" t="s">
        <v>0</v>
      </c>
      <c r="J313" s="4" t="s">
        <v>0</v>
      </c>
      <c r="K313" s="6">
        <v>35762.199999999997</v>
      </c>
      <c r="L313" s="4" t="s">
        <v>9</v>
      </c>
      <c r="M313" s="4"/>
      <c r="N313" s="4"/>
      <c r="O313" s="4"/>
      <c r="P313" s="4" t="s">
        <v>0</v>
      </c>
      <c r="Q313" s="6">
        <v>35762.199999999997</v>
      </c>
      <c r="R313" s="4" t="s">
        <v>9</v>
      </c>
      <c r="S313" s="4" t="s">
        <v>0</v>
      </c>
      <c r="T313" s="4" t="s">
        <v>0</v>
      </c>
    </row>
    <row r="314" spans="1:20" ht="14" hidden="1" customHeight="1" outlineLevel="3" x14ac:dyDescent="0.25">
      <c r="A314" t="s">
        <v>924</v>
      </c>
      <c r="B314" t="s">
        <v>2</v>
      </c>
      <c r="C314" t="s">
        <v>926</v>
      </c>
      <c r="D314" t="s">
        <v>935</v>
      </c>
      <c r="E314" t="s">
        <v>936</v>
      </c>
      <c r="F314" t="s">
        <v>6</v>
      </c>
      <c r="G314" s="2">
        <v>44476</v>
      </c>
      <c r="H314" s="2">
        <v>44476</v>
      </c>
      <c r="I314" t="s">
        <v>0</v>
      </c>
      <c r="J314" t="s">
        <v>937</v>
      </c>
      <c r="K314" s="3">
        <v>1680.33</v>
      </c>
      <c r="L314" t="s">
        <v>8</v>
      </c>
      <c r="P314" t="s">
        <v>0</v>
      </c>
      <c r="Q314" s="3">
        <v>34584.22</v>
      </c>
      <c r="R314" t="s">
        <v>9</v>
      </c>
      <c r="S314" t="s">
        <v>0</v>
      </c>
      <c r="T314" t="s">
        <v>938</v>
      </c>
    </row>
    <row r="315" spans="1:20" ht="14" hidden="1" customHeight="1" outlineLevel="3" x14ac:dyDescent="0.25">
      <c r="A315" t="s">
        <v>924</v>
      </c>
      <c r="B315" t="s">
        <v>2</v>
      </c>
      <c r="C315" t="s">
        <v>926</v>
      </c>
      <c r="D315" t="s">
        <v>939</v>
      </c>
      <c r="E315" t="s">
        <v>940</v>
      </c>
      <c r="F315" t="s">
        <v>6</v>
      </c>
      <c r="G315" s="2">
        <v>44509</v>
      </c>
      <c r="H315" s="2">
        <v>44509</v>
      </c>
      <c r="I315" t="s">
        <v>0</v>
      </c>
      <c r="J315" t="s">
        <v>941</v>
      </c>
      <c r="K315" s="3">
        <v>3880.87</v>
      </c>
      <c r="L315" t="s">
        <v>8</v>
      </c>
      <c r="P315" t="s">
        <v>0</v>
      </c>
      <c r="Q315" s="3">
        <v>79140.639999999999</v>
      </c>
      <c r="R315" t="s">
        <v>9</v>
      </c>
      <c r="S315" t="s">
        <v>0</v>
      </c>
      <c r="T315" t="s">
        <v>942</v>
      </c>
    </row>
    <row r="316" spans="1:20" ht="14" hidden="1" customHeight="1" outlineLevel="3" x14ac:dyDescent="0.25">
      <c r="A316" t="s">
        <v>924</v>
      </c>
      <c r="B316" t="s">
        <v>2</v>
      </c>
      <c r="C316" t="s">
        <v>926</v>
      </c>
      <c r="D316" t="s">
        <v>943</v>
      </c>
      <c r="E316" t="s">
        <v>944</v>
      </c>
      <c r="F316" t="s">
        <v>6</v>
      </c>
      <c r="G316" s="2">
        <v>44544</v>
      </c>
      <c r="H316" s="2">
        <v>44544</v>
      </c>
      <c r="I316" t="s">
        <v>0</v>
      </c>
      <c r="J316" t="s">
        <v>945</v>
      </c>
      <c r="K316" s="3">
        <v>1249.43</v>
      </c>
      <c r="L316" t="s">
        <v>8</v>
      </c>
      <c r="P316" t="s">
        <v>0</v>
      </c>
      <c r="Q316" s="3">
        <v>26103.34</v>
      </c>
      <c r="R316" t="s">
        <v>9</v>
      </c>
      <c r="S316" t="s">
        <v>0</v>
      </c>
      <c r="T316" t="s">
        <v>946</v>
      </c>
    </row>
    <row r="317" spans="1:20" ht="14" hidden="1" customHeight="1" outlineLevel="3" x14ac:dyDescent="0.25">
      <c r="A317" t="s">
        <v>924</v>
      </c>
      <c r="B317" t="s">
        <v>2</v>
      </c>
      <c r="C317" t="s">
        <v>926</v>
      </c>
      <c r="D317" t="s">
        <v>947</v>
      </c>
      <c r="E317" t="s">
        <v>948</v>
      </c>
      <c r="F317" t="s">
        <v>6</v>
      </c>
      <c r="G317" s="2">
        <v>44544</v>
      </c>
      <c r="H317" s="2">
        <v>44544</v>
      </c>
      <c r="I317" t="s">
        <v>0</v>
      </c>
      <c r="J317" t="s">
        <v>949</v>
      </c>
      <c r="K317" s="3">
        <v>1132.06</v>
      </c>
      <c r="L317" t="s">
        <v>8</v>
      </c>
      <c r="P317" t="s">
        <v>0</v>
      </c>
      <c r="Q317" s="3">
        <v>23651.22</v>
      </c>
      <c r="R317" t="s">
        <v>9</v>
      </c>
      <c r="S317" t="s">
        <v>0</v>
      </c>
      <c r="T317" t="s">
        <v>950</v>
      </c>
    </row>
    <row r="318" spans="1:20" ht="14" hidden="1" customHeight="1" outlineLevel="3" x14ac:dyDescent="0.25">
      <c r="A318" t="s">
        <v>924</v>
      </c>
      <c r="B318" t="s">
        <v>2</v>
      </c>
      <c r="C318" t="s">
        <v>926</v>
      </c>
      <c r="D318" t="s">
        <v>951</v>
      </c>
      <c r="E318" t="s">
        <v>952</v>
      </c>
      <c r="F318" t="s">
        <v>6</v>
      </c>
      <c r="G318" s="2">
        <v>44544</v>
      </c>
      <c r="H318" s="2">
        <v>44544</v>
      </c>
      <c r="I318" t="s">
        <v>0</v>
      </c>
      <c r="J318" t="s">
        <v>953</v>
      </c>
      <c r="K318" s="3">
        <v>1280.99</v>
      </c>
      <c r="L318" t="s">
        <v>8</v>
      </c>
      <c r="P318" t="s">
        <v>0</v>
      </c>
      <c r="Q318" s="3">
        <v>26762.7</v>
      </c>
      <c r="R318" t="s">
        <v>9</v>
      </c>
      <c r="S318" t="s">
        <v>0</v>
      </c>
      <c r="T318" t="s">
        <v>954</v>
      </c>
    </row>
    <row r="319" spans="1:20" ht="14" hidden="1" customHeight="1" outlineLevel="3" x14ac:dyDescent="0.25">
      <c r="A319" t="s">
        <v>924</v>
      </c>
      <c r="B319" t="s">
        <v>2</v>
      </c>
      <c r="C319" t="s">
        <v>926</v>
      </c>
      <c r="D319" t="s">
        <v>955</v>
      </c>
      <c r="E319" t="s">
        <v>956</v>
      </c>
      <c r="F319" t="s">
        <v>6</v>
      </c>
      <c r="G319" s="2">
        <v>44544</v>
      </c>
      <c r="H319" s="2">
        <v>44544</v>
      </c>
      <c r="I319" t="s">
        <v>0</v>
      </c>
      <c r="J319" t="s">
        <v>957</v>
      </c>
      <c r="K319" s="3">
        <v>1224.31</v>
      </c>
      <c r="L319" t="s">
        <v>8</v>
      </c>
      <c r="P319" t="s">
        <v>0</v>
      </c>
      <c r="Q319" s="3">
        <v>25578.53</v>
      </c>
      <c r="R319" t="s">
        <v>9</v>
      </c>
      <c r="S319" t="s">
        <v>0</v>
      </c>
      <c r="T319" t="s">
        <v>958</v>
      </c>
    </row>
    <row r="320" spans="1:20" ht="14" hidden="1" customHeight="1" outlineLevel="3" x14ac:dyDescent="0.25">
      <c r="A320" t="s">
        <v>924</v>
      </c>
      <c r="B320" t="s">
        <v>2</v>
      </c>
      <c r="C320" t="s">
        <v>926</v>
      </c>
      <c r="D320" t="s">
        <v>959</v>
      </c>
      <c r="E320" t="s">
        <v>960</v>
      </c>
      <c r="F320" t="s">
        <v>6</v>
      </c>
      <c r="G320" s="2">
        <v>44544</v>
      </c>
      <c r="H320" s="2">
        <v>44544</v>
      </c>
      <c r="I320" t="s">
        <v>0</v>
      </c>
      <c r="J320" t="s">
        <v>961</v>
      </c>
      <c r="K320" s="3">
        <v>1223.52</v>
      </c>
      <c r="L320" t="s">
        <v>8</v>
      </c>
      <c r="P320" t="s">
        <v>0</v>
      </c>
      <c r="Q320" s="3">
        <v>25562.02</v>
      </c>
      <c r="R320" t="s">
        <v>9</v>
      </c>
      <c r="S320" t="s">
        <v>0</v>
      </c>
      <c r="T320" t="s">
        <v>962</v>
      </c>
    </row>
    <row r="321" spans="1:20" ht="14" hidden="1" customHeight="1" outlineLevel="3" x14ac:dyDescent="0.25">
      <c r="A321" t="s">
        <v>924</v>
      </c>
      <c r="B321" t="s">
        <v>2</v>
      </c>
      <c r="C321" t="s">
        <v>926</v>
      </c>
      <c r="D321" t="s">
        <v>963</v>
      </c>
      <c r="E321" t="s">
        <v>964</v>
      </c>
      <c r="F321" t="s">
        <v>6</v>
      </c>
      <c r="G321" s="2">
        <v>44544</v>
      </c>
      <c r="H321" s="2">
        <v>44544</v>
      </c>
      <c r="I321" t="s">
        <v>0</v>
      </c>
      <c r="J321" t="s">
        <v>965</v>
      </c>
      <c r="K321" s="3">
        <v>1190.93</v>
      </c>
      <c r="L321" t="s">
        <v>8</v>
      </c>
      <c r="P321" t="s">
        <v>0</v>
      </c>
      <c r="Q321" s="3">
        <v>24881.15</v>
      </c>
      <c r="R321" t="s">
        <v>9</v>
      </c>
      <c r="S321" t="s">
        <v>0</v>
      </c>
      <c r="T321" t="s">
        <v>966</v>
      </c>
    </row>
    <row r="322" spans="1:20" ht="14" hidden="1" customHeight="1" outlineLevel="3" x14ac:dyDescent="0.25">
      <c r="A322" t="s">
        <v>924</v>
      </c>
      <c r="B322" t="s">
        <v>2</v>
      </c>
      <c r="C322" t="s">
        <v>926</v>
      </c>
      <c r="D322" t="s">
        <v>967</v>
      </c>
      <c r="E322" t="s">
        <v>968</v>
      </c>
      <c r="F322" t="s">
        <v>6</v>
      </c>
      <c r="G322" s="2">
        <v>44544</v>
      </c>
      <c r="H322" s="2">
        <v>44544</v>
      </c>
      <c r="I322" t="s">
        <v>0</v>
      </c>
      <c r="J322" t="s">
        <v>969</v>
      </c>
      <c r="K322" s="3">
        <v>1515.19</v>
      </c>
      <c r="L322" t="s">
        <v>8</v>
      </c>
      <c r="P322" t="s">
        <v>0</v>
      </c>
      <c r="Q322" s="3">
        <v>31655.65</v>
      </c>
      <c r="R322" t="s">
        <v>9</v>
      </c>
      <c r="S322" t="s">
        <v>0</v>
      </c>
      <c r="T322" t="s">
        <v>970</v>
      </c>
    </row>
    <row r="323" spans="1:20" ht="14" hidden="1" customHeight="1" outlineLevel="3" x14ac:dyDescent="0.25">
      <c r="A323" t="s">
        <v>924</v>
      </c>
      <c r="B323" t="s">
        <v>2</v>
      </c>
      <c r="C323" t="s">
        <v>926</v>
      </c>
      <c r="D323" t="s">
        <v>971</v>
      </c>
      <c r="E323" t="s">
        <v>972</v>
      </c>
      <c r="F323" t="s">
        <v>6</v>
      </c>
      <c r="G323" s="2">
        <v>44544</v>
      </c>
      <c r="H323" s="2">
        <v>44544</v>
      </c>
      <c r="I323" t="s">
        <v>0</v>
      </c>
      <c r="J323" t="s">
        <v>973</v>
      </c>
      <c r="K323" s="3">
        <v>1592.08</v>
      </c>
      <c r="L323" t="s">
        <v>8</v>
      </c>
      <c r="P323" t="s">
        <v>0</v>
      </c>
      <c r="Q323" s="3">
        <v>33262.050000000003</v>
      </c>
      <c r="R323" t="s">
        <v>9</v>
      </c>
      <c r="S323" t="s">
        <v>0</v>
      </c>
      <c r="T323" t="s">
        <v>974</v>
      </c>
    </row>
    <row r="324" spans="1:20" ht="14" hidden="1" customHeight="1" outlineLevel="3" x14ac:dyDescent="0.25">
      <c r="A324" t="s">
        <v>924</v>
      </c>
      <c r="B324" t="s">
        <v>2</v>
      </c>
      <c r="C324" t="s">
        <v>926</v>
      </c>
      <c r="D324" t="s">
        <v>975</v>
      </c>
      <c r="E324" t="s">
        <v>976</v>
      </c>
      <c r="F324" t="s">
        <v>6</v>
      </c>
      <c r="G324" s="2">
        <v>44544</v>
      </c>
      <c r="H324" s="2">
        <v>44544</v>
      </c>
      <c r="I324" t="s">
        <v>0</v>
      </c>
      <c r="J324" t="s">
        <v>977</v>
      </c>
      <c r="K324" s="3">
        <v>3782.39</v>
      </c>
      <c r="L324" t="s">
        <v>8</v>
      </c>
      <c r="P324" t="s">
        <v>0</v>
      </c>
      <c r="Q324" s="3">
        <v>79022.45</v>
      </c>
      <c r="R324" t="s">
        <v>9</v>
      </c>
      <c r="S324" t="s">
        <v>0</v>
      </c>
      <c r="T324" t="s">
        <v>978</v>
      </c>
    </row>
    <row r="325" spans="1:20" ht="14" hidden="1" customHeight="1" outlineLevel="3" x14ac:dyDescent="0.25">
      <c r="A325" t="s">
        <v>924</v>
      </c>
      <c r="B325" t="s">
        <v>2</v>
      </c>
      <c r="C325" t="s">
        <v>926</v>
      </c>
      <c r="D325" t="s">
        <v>979</v>
      </c>
      <c r="E325" t="s">
        <v>980</v>
      </c>
      <c r="F325" t="s">
        <v>6</v>
      </c>
      <c r="G325" s="2">
        <v>44557</v>
      </c>
      <c r="H325" s="2">
        <v>44557</v>
      </c>
      <c r="I325" t="s">
        <v>0</v>
      </c>
      <c r="J325" t="s">
        <v>981</v>
      </c>
      <c r="K325" s="3">
        <v>4335.3100000000004</v>
      </c>
      <c r="L325" t="s">
        <v>8</v>
      </c>
      <c r="P325" t="s">
        <v>0</v>
      </c>
      <c r="Q325" s="3">
        <v>89559.7</v>
      </c>
      <c r="R325" t="s">
        <v>9</v>
      </c>
      <c r="S325" t="s">
        <v>0</v>
      </c>
      <c r="T325" t="s">
        <v>982</v>
      </c>
    </row>
    <row r="326" spans="1:20" ht="14" hidden="1" customHeight="1" outlineLevel="3" x14ac:dyDescent="0.25">
      <c r="A326" t="s">
        <v>924</v>
      </c>
      <c r="B326" t="s">
        <v>2</v>
      </c>
      <c r="C326" t="s">
        <v>926</v>
      </c>
      <c r="D326" t="s">
        <v>983</v>
      </c>
      <c r="E326" t="s">
        <v>984</v>
      </c>
      <c r="F326" t="s">
        <v>6</v>
      </c>
      <c r="G326" s="2">
        <v>44574</v>
      </c>
      <c r="H326" s="2">
        <v>44574</v>
      </c>
      <c r="I326" t="s">
        <v>0</v>
      </c>
      <c r="J326" t="s">
        <v>985</v>
      </c>
      <c r="K326" s="3">
        <v>36.85</v>
      </c>
      <c r="L326" t="s">
        <v>8</v>
      </c>
      <c r="P326" t="s">
        <v>0</v>
      </c>
      <c r="Q326" s="3">
        <v>750.95</v>
      </c>
      <c r="R326" t="s">
        <v>9</v>
      </c>
      <c r="S326" t="s">
        <v>0</v>
      </c>
      <c r="T326" t="s">
        <v>986</v>
      </c>
    </row>
    <row r="327" spans="1:20" ht="14" hidden="1" customHeight="1" outlineLevel="3" x14ac:dyDescent="0.25">
      <c r="A327" t="s">
        <v>924</v>
      </c>
      <c r="B327" t="s">
        <v>2</v>
      </c>
      <c r="C327" t="s">
        <v>926</v>
      </c>
      <c r="D327" t="s">
        <v>987</v>
      </c>
      <c r="E327" t="s">
        <v>988</v>
      </c>
      <c r="F327" t="s">
        <v>6</v>
      </c>
      <c r="G327" s="2">
        <v>44603</v>
      </c>
      <c r="H327" s="2">
        <v>44603</v>
      </c>
      <c r="I327" t="s">
        <v>0</v>
      </c>
      <c r="J327" t="s">
        <v>989</v>
      </c>
      <c r="K327" s="3">
        <v>4322.3900000000003</v>
      </c>
      <c r="L327" t="s">
        <v>8</v>
      </c>
      <c r="P327" t="s">
        <v>0</v>
      </c>
      <c r="Q327" s="3">
        <v>88612.45</v>
      </c>
      <c r="R327" t="s">
        <v>9</v>
      </c>
      <c r="S327" t="s">
        <v>0</v>
      </c>
      <c r="T327" t="s">
        <v>990</v>
      </c>
    </row>
    <row r="328" spans="1:20" ht="14" hidden="1" customHeight="1" outlineLevel="3" x14ac:dyDescent="0.25">
      <c r="A328" t="s">
        <v>924</v>
      </c>
      <c r="B328" t="s">
        <v>2</v>
      </c>
      <c r="C328" t="s">
        <v>926</v>
      </c>
      <c r="D328" t="s">
        <v>991</v>
      </c>
      <c r="E328" t="s">
        <v>992</v>
      </c>
      <c r="F328" t="s">
        <v>6</v>
      </c>
      <c r="G328" s="2">
        <v>44631</v>
      </c>
      <c r="H328" s="2">
        <v>44631</v>
      </c>
      <c r="I328" t="s">
        <v>0</v>
      </c>
      <c r="J328" t="s">
        <v>993</v>
      </c>
      <c r="K328" s="3">
        <v>3994.32</v>
      </c>
      <c r="L328" t="s">
        <v>8</v>
      </c>
      <c r="P328" t="s">
        <v>0</v>
      </c>
      <c r="Q328" s="3">
        <v>83751.7</v>
      </c>
      <c r="R328" t="s">
        <v>9</v>
      </c>
      <c r="S328" t="s">
        <v>0</v>
      </c>
      <c r="T328" t="s">
        <v>994</v>
      </c>
    </row>
    <row r="329" spans="1:20" ht="14" hidden="1" customHeight="1" outlineLevel="3" x14ac:dyDescent="0.25">
      <c r="A329" t="s">
        <v>924</v>
      </c>
      <c r="B329" t="s">
        <v>2</v>
      </c>
      <c r="C329" t="s">
        <v>926</v>
      </c>
      <c r="D329" t="s">
        <v>995</v>
      </c>
      <c r="E329" t="s">
        <v>996</v>
      </c>
      <c r="F329" t="s">
        <v>6</v>
      </c>
      <c r="G329" s="2">
        <v>44659</v>
      </c>
      <c r="H329" s="2">
        <v>44659</v>
      </c>
      <c r="I329" t="s">
        <v>0</v>
      </c>
      <c r="J329" t="s">
        <v>997</v>
      </c>
      <c r="K329" s="3">
        <v>4776.87</v>
      </c>
      <c r="L329" t="s">
        <v>8</v>
      </c>
      <c r="P329" t="s">
        <v>0</v>
      </c>
      <c r="Q329" s="3">
        <v>95855.06</v>
      </c>
      <c r="R329" t="s">
        <v>9</v>
      </c>
      <c r="S329" t="s">
        <v>0</v>
      </c>
      <c r="T329" t="s">
        <v>998</v>
      </c>
    </row>
    <row r="330" spans="1:20" ht="14" hidden="1" customHeight="1" outlineLevel="3" x14ac:dyDescent="0.25">
      <c r="A330" t="s">
        <v>924</v>
      </c>
      <c r="B330" t="s">
        <v>2</v>
      </c>
      <c r="C330" t="s">
        <v>926</v>
      </c>
      <c r="D330" t="s">
        <v>999</v>
      </c>
      <c r="E330" t="s">
        <v>1000</v>
      </c>
      <c r="F330" t="s">
        <v>6</v>
      </c>
      <c r="G330" s="2">
        <v>44691</v>
      </c>
      <c r="H330" s="2">
        <v>44691</v>
      </c>
      <c r="I330" t="s">
        <v>0</v>
      </c>
      <c r="J330" t="s">
        <v>1001</v>
      </c>
      <c r="K330" s="3">
        <v>4640.4399999999996</v>
      </c>
      <c r="L330" t="s">
        <v>8</v>
      </c>
      <c r="P330" t="s">
        <v>0</v>
      </c>
      <c r="Q330" s="3">
        <v>93312.29</v>
      </c>
      <c r="R330" t="s">
        <v>9</v>
      </c>
      <c r="S330" t="s">
        <v>0</v>
      </c>
      <c r="T330" t="s">
        <v>1002</v>
      </c>
    </row>
    <row r="331" spans="1:20" ht="14" hidden="1" customHeight="1" outlineLevel="3" x14ac:dyDescent="0.25">
      <c r="A331" t="s">
        <v>924</v>
      </c>
      <c r="B331" t="s">
        <v>2</v>
      </c>
      <c r="C331" t="s">
        <v>926</v>
      </c>
      <c r="D331" t="s">
        <v>1003</v>
      </c>
      <c r="E331" t="s">
        <v>1004</v>
      </c>
      <c r="F331" t="s">
        <v>6</v>
      </c>
      <c r="G331" s="2">
        <v>44719</v>
      </c>
      <c r="H331" s="2">
        <v>44719</v>
      </c>
      <c r="I331" t="s">
        <v>0</v>
      </c>
      <c r="J331" t="s">
        <v>1005</v>
      </c>
      <c r="K331" s="3">
        <v>5248.11</v>
      </c>
      <c r="L331" t="s">
        <v>8</v>
      </c>
      <c r="P331" t="s">
        <v>0</v>
      </c>
      <c r="Q331" s="3">
        <v>102727.55</v>
      </c>
      <c r="R331" t="s">
        <v>9</v>
      </c>
      <c r="S331" t="s">
        <v>0</v>
      </c>
      <c r="T331" t="s">
        <v>1006</v>
      </c>
    </row>
    <row r="332" spans="1:20" ht="14" hidden="1" customHeight="1" outlineLevel="3" x14ac:dyDescent="0.25">
      <c r="A332" t="s">
        <v>924</v>
      </c>
      <c r="B332" t="s">
        <v>2</v>
      </c>
      <c r="C332" t="s">
        <v>926</v>
      </c>
      <c r="D332" t="s">
        <v>1007</v>
      </c>
      <c r="E332" t="s">
        <v>1008</v>
      </c>
      <c r="F332" t="s">
        <v>6</v>
      </c>
      <c r="G332" s="2">
        <v>44749</v>
      </c>
      <c r="H332" s="2">
        <v>44749</v>
      </c>
      <c r="I332" t="s">
        <v>0</v>
      </c>
      <c r="J332" t="s">
        <v>1009</v>
      </c>
      <c r="K332" s="3">
        <v>4793.84</v>
      </c>
      <c r="L332" t="s">
        <v>8</v>
      </c>
      <c r="P332" t="s">
        <v>0</v>
      </c>
      <c r="Q332" s="3">
        <v>98560.39</v>
      </c>
      <c r="R332" t="s">
        <v>9</v>
      </c>
      <c r="S332" t="s">
        <v>0</v>
      </c>
      <c r="T332" t="s">
        <v>1010</v>
      </c>
    </row>
    <row r="333" spans="1:20" ht="14" hidden="1" customHeight="1" outlineLevel="3" x14ac:dyDescent="0.25">
      <c r="A333" t="s">
        <v>924</v>
      </c>
      <c r="B333" t="s">
        <v>2</v>
      </c>
      <c r="C333" t="s">
        <v>926</v>
      </c>
      <c r="D333" t="s">
        <v>1011</v>
      </c>
      <c r="E333" t="s">
        <v>1012</v>
      </c>
      <c r="F333" t="s">
        <v>6</v>
      </c>
      <c r="G333" s="2">
        <v>44778</v>
      </c>
      <c r="H333" s="2">
        <v>44778</v>
      </c>
      <c r="I333" t="s">
        <v>0</v>
      </c>
      <c r="J333" t="s">
        <v>1013</v>
      </c>
      <c r="K333" s="3">
        <v>5255.93</v>
      </c>
      <c r="L333" t="s">
        <v>8</v>
      </c>
      <c r="P333" t="s">
        <v>0</v>
      </c>
      <c r="Q333" s="3">
        <v>108432.46</v>
      </c>
      <c r="R333" t="s">
        <v>9</v>
      </c>
      <c r="S333" t="s">
        <v>0</v>
      </c>
      <c r="T333" t="s">
        <v>1014</v>
      </c>
    </row>
    <row r="334" spans="1:20" ht="14" hidden="1" customHeight="1" outlineLevel="3" x14ac:dyDescent="0.25">
      <c r="A334" t="s">
        <v>924</v>
      </c>
      <c r="B334" t="s">
        <v>2</v>
      </c>
      <c r="C334" t="s">
        <v>926</v>
      </c>
      <c r="D334" t="s">
        <v>1015</v>
      </c>
      <c r="E334" t="s">
        <v>1016</v>
      </c>
      <c r="F334" t="s">
        <v>6</v>
      </c>
      <c r="G334" s="2">
        <v>44818</v>
      </c>
      <c r="H334" s="2">
        <v>44818</v>
      </c>
      <c r="I334" t="s">
        <v>0</v>
      </c>
      <c r="J334" t="s">
        <v>1017</v>
      </c>
      <c r="K334" s="3">
        <v>5791.15</v>
      </c>
      <c r="L334" t="s">
        <v>8</v>
      </c>
      <c r="P334" t="s">
        <v>0</v>
      </c>
      <c r="Q334" s="3">
        <v>114639.87</v>
      </c>
      <c r="R334" t="s">
        <v>9</v>
      </c>
      <c r="S334" t="s">
        <v>0</v>
      </c>
      <c r="T334" t="s">
        <v>1018</v>
      </c>
    </row>
    <row r="335" spans="1:20" ht="14" hidden="1" customHeight="1" outlineLevel="3" x14ac:dyDescent="0.25">
      <c r="A335" t="s">
        <v>924</v>
      </c>
      <c r="B335" t="s">
        <v>2</v>
      </c>
      <c r="C335" t="s">
        <v>3</v>
      </c>
      <c r="D335" t="s">
        <v>1019</v>
      </c>
      <c r="E335" t="s">
        <v>1020</v>
      </c>
      <c r="F335" t="s">
        <v>6</v>
      </c>
      <c r="G335" s="2">
        <v>44842</v>
      </c>
      <c r="H335" s="2">
        <v>44842</v>
      </c>
      <c r="I335" t="s">
        <v>0</v>
      </c>
      <c r="J335" t="s">
        <v>1021</v>
      </c>
      <c r="K335" s="3">
        <v>5586.25</v>
      </c>
      <c r="L335" t="s">
        <v>8</v>
      </c>
      <c r="P335" t="s">
        <v>0</v>
      </c>
      <c r="Q335" s="3">
        <v>112332.23</v>
      </c>
      <c r="R335" t="s">
        <v>9</v>
      </c>
      <c r="S335" t="s">
        <v>0</v>
      </c>
      <c r="T335" t="s">
        <v>1022</v>
      </c>
    </row>
    <row r="336" spans="1:20" ht="14" hidden="1" customHeight="1" outlineLevel="3" x14ac:dyDescent="0.25">
      <c r="A336" t="s">
        <v>924</v>
      </c>
      <c r="B336" t="s">
        <v>2</v>
      </c>
      <c r="C336" t="s">
        <v>3</v>
      </c>
      <c r="D336" t="s">
        <v>1023</v>
      </c>
      <c r="E336" t="s">
        <v>1024</v>
      </c>
      <c r="F336" t="s">
        <v>6</v>
      </c>
      <c r="G336" s="2">
        <v>44872</v>
      </c>
      <c r="H336" s="2">
        <v>44872</v>
      </c>
      <c r="I336" t="s">
        <v>0</v>
      </c>
      <c r="J336" t="s">
        <v>1025</v>
      </c>
      <c r="K336" s="3">
        <v>6302.91</v>
      </c>
      <c r="L336" t="s">
        <v>8</v>
      </c>
      <c r="P336" t="s">
        <v>0</v>
      </c>
      <c r="Q336" s="3">
        <v>123961.22</v>
      </c>
      <c r="R336" t="s">
        <v>9</v>
      </c>
      <c r="S336" t="s">
        <v>0</v>
      </c>
      <c r="T336" t="s">
        <v>1026</v>
      </c>
    </row>
    <row r="337" spans="1:20" ht="14" hidden="1" customHeight="1" outlineLevel="3" x14ac:dyDescent="0.25">
      <c r="A337" t="s">
        <v>924</v>
      </c>
      <c r="B337" t="s">
        <v>2</v>
      </c>
      <c r="C337" t="s">
        <v>3</v>
      </c>
      <c r="D337" t="s">
        <v>1027</v>
      </c>
      <c r="E337" t="s">
        <v>1028</v>
      </c>
      <c r="F337" t="s">
        <v>6</v>
      </c>
      <c r="G337" s="2">
        <v>44903</v>
      </c>
      <c r="H337" s="2">
        <v>44903</v>
      </c>
      <c r="I337" t="s">
        <v>0</v>
      </c>
      <c r="J337" t="s">
        <v>1029</v>
      </c>
      <c r="K337" s="3">
        <v>6119.55</v>
      </c>
      <c r="L337" t="s">
        <v>8</v>
      </c>
      <c r="P337" t="s">
        <v>0</v>
      </c>
      <c r="Q337" s="3">
        <v>121185.45</v>
      </c>
      <c r="R337" t="s">
        <v>9</v>
      </c>
      <c r="S337" t="s">
        <v>0</v>
      </c>
      <c r="T337" t="s">
        <v>1030</v>
      </c>
    </row>
    <row r="338" spans="1:20" ht="14" hidden="1" customHeight="1" outlineLevel="3" x14ac:dyDescent="0.25">
      <c r="A338" t="s">
        <v>924</v>
      </c>
      <c r="B338" t="s">
        <v>2</v>
      </c>
      <c r="C338" t="s">
        <v>3</v>
      </c>
      <c r="D338" t="s">
        <v>1031</v>
      </c>
      <c r="E338" t="s">
        <v>1032</v>
      </c>
      <c r="F338" t="s">
        <v>6</v>
      </c>
      <c r="G338" s="2">
        <v>44925</v>
      </c>
      <c r="H338" s="2">
        <v>44925</v>
      </c>
      <c r="I338" t="s">
        <v>0</v>
      </c>
      <c r="J338" t="s">
        <v>1033</v>
      </c>
      <c r="K338" s="3">
        <v>6478.95</v>
      </c>
      <c r="L338" t="s">
        <v>8</v>
      </c>
      <c r="P338" t="s">
        <v>0</v>
      </c>
      <c r="Q338" s="3">
        <v>125784.28</v>
      </c>
      <c r="R338" t="s">
        <v>9</v>
      </c>
      <c r="S338" t="s">
        <v>0</v>
      </c>
      <c r="T338" t="s">
        <v>1034</v>
      </c>
    </row>
    <row r="339" spans="1:20" ht="14" hidden="1" customHeight="1" outlineLevel="3" x14ac:dyDescent="0.25">
      <c r="A339" t="s">
        <v>924</v>
      </c>
      <c r="B339" t="s">
        <v>2</v>
      </c>
      <c r="C339" t="s">
        <v>3</v>
      </c>
      <c r="D339" t="s">
        <v>1035</v>
      </c>
      <c r="E339" t="s">
        <v>1036</v>
      </c>
      <c r="F339" t="s">
        <v>6</v>
      </c>
      <c r="G339" s="2">
        <v>44966</v>
      </c>
      <c r="H339" s="2">
        <v>44966</v>
      </c>
      <c r="I339" t="s">
        <v>0</v>
      </c>
      <c r="J339" t="s">
        <v>1037</v>
      </c>
      <c r="K339" s="3">
        <v>6663.11</v>
      </c>
      <c r="L339" t="s">
        <v>8</v>
      </c>
      <c r="P339" t="s">
        <v>0</v>
      </c>
      <c r="Q339" s="3">
        <v>126943.57</v>
      </c>
      <c r="R339" t="s">
        <v>9</v>
      </c>
      <c r="S339" t="s">
        <v>0</v>
      </c>
      <c r="T339" t="s">
        <v>1038</v>
      </c>
    </row>
    <row r="340" spans="1:20" ht="14" hidden="1" customHeight="1" outlineLevel="3" x14ac:dyDescent="0.25">
      <c r="A340" t="s">
        <v>924</v>
      </c>
      <c r="B340" t="s">
        <v>2</v>
      </c>
      <c r="C340" t="s">
        <v>3</v>
      </c>
      <c r="D340" t="s">
        <v>1039</v>
      </c>
      <c r="E340" t="s">
        <v>1040</v>
      </c>
      <c r="F340" t="s">
        <v>6</v>
      </c>
      <c r="G340" s="2">
        <v>44994</v>
      </c>
      <c r="H340" s="2">
        <v>44994</v>
      </c>
      <c r="I340" t="s">
        <v>0</v>
      </c>
      <c r="J340" t="s">
        <v>1041</v>
      </c>
      <c r="K340" s="3">
        <v>6276.15</v>
      </c>
      <c r="L340" t="s">
        <v>8</v>
      </c>
      <c r="P340" t="s">
        <v>0</v>
      </c>
      <c r="Q340" s="3">
        <v>113695.6</v>
      </c>
      <c r="R340" t="s">
        <v>9</v>
      </c>
      <c r="S340" t="s">
        <v>0</v>
      </c>
      <c r="T340" t="s">
        <v>1042</v>
      </c>
    </row>
    <row r="341" spans="1:20" ht="14" hidden="1" customHeight="1" outlineLevel="3" x14ac:dyDescent="0.25">
      <c r="A341" t="s">
        <v>924</v>
      </c>
      <c r="B341" t="s">
        <v>2</v>
      </c>
      <c r="C341" t="s">
        <v>3</v>
      </c>
      <c r="D341" t="s">
        <v>1043</v>
      </c>
      <c r="E341" t="s">
        <v>1044</v>
      </c>
      <c r="F341" t="s">
        <v>6</v>
      </c>
      <c r="G341" s="2">
        <v>45027</v>
      </c>
      <c r="H341" s="2">
        <v>45027</v>
      </c>
      <c r="I341" t="s">
        <v>0</v>
      </c>
      <c r="J341" t="s">
        <v>1045</v>
      </c>
      <c r="K341" s="3">
        <v>6838.32</v>
      </c>
      <c r="L341" t="s">
        <v>8</v>
      </c>
      <c r="P341" t="s">
        <v>0</v>
      </c>
      <c r="Q341" s="3">
        <v>125362.13</v>
      </c>
      <c r="R341" t="s">
        <v>9</v>
      </c>
      <c r="S341" t="s">
        <v>0</v>
      </c>
      <c r="T341" t="s">
        <v>1046</v>
      </c>
    </row>
    <row r="342" spans="1:20" ht="14" hidden="1" customHeight="1" outlineLevel="3" x14ac:dyDescent="0.25">
      <c r="A342" t="s">
        <v>924</v>
      </c>
      <c r="B342" t="s">
        <v>2</v>
      </c>
      <c r="C342" t="s">
        <v>3</v>
      </c>
      <c r="D342" t="s">
        <v>1047</v>
      </c>
      <c r="E342" t="s">
        <v>1048</v>
      </c>
      <c r="F342" t="s">
        <v>6</v>
      </c>
      <c r="G342" s="2">
        <v>45055</v>
      </c>
      <c r="H342" s="2">
        <v>45055</v>
      </c>
      <c r="I342" t="s">
        <v>0</v>
      </c>
      <c r="J342" t="s">
        <v>1049</v>
      </c>
      <c r="K342" s="3">
        <v>6767.26</v>
      </c>
      <c r="L342" t="s">
        <v>8</v>
      </c>
      <c r="P342" t="s">
        <v>0</v>
      </c>
      <c r="Q342" s="3">
        <v>120364.52</v>
      </c>
      <c r="R342" t="s">
        <v>9</v>
      </c>
      <c r="S342" t="s">
        <v>0</v>
      </c>
      <c r="T342" t="s">
        <v>1050</v>
      </c>
    </row>
    <row r="343" spans="1:20" ht="14" hidden="1" customHeight="1" outlineLevel="3" x14ac:dyDescent="0.25">
      <c r="A343" t="s">
        <v>924</v>
      </c>
      <c r="B343" t="s">
        <v>2</v>
      </c>
      <c r="C343" t="s">
        <v>3</v>
      </c>
      <c r="D343" t="s">
        <v>1051</v>
      </c>
      <c r="E343" t="s">
        <v>1052</v>
      </c>
      <c r="F343" t="s">
        <v>6</v>
      </c>
      <c r="G343" s="2">
        <v>45083</v>
      </c>
      <c r="H343" s="2">
        <v>45083</v>
      </c>
      <c r="I343" t="s">
        <v>0</v>
      </c>
      <c r="J343" t="s">
        <v>1053</v>
      </c>
      <c r="K343" s="3">
        <v>7065.97</v>
      </c>
      <c r="L343" t="s">
        <v>8</v>
      </c>
      <c r="P343" t="s">
        <v>0</v>
      </c>
      <c r="Q343" s="3">
        <v>123698.99</v>
      </c>
      <c r="R343" t="s">
        <v>9</v>
      </c>
      <c r="S343" t="s">
        <v>0</v>
      </c>
      <c r="T343" t="s">
        <v>1054</v>
      </c>
    </row>
    <row r="344" spans="1:20" ht="14" hidden="1" customHeight="1" outlineLevel="3" x14ac:dyDescent="0.25">
      <c r="A344" t="s">
        <v>924</v>
      </c>
      <c r="B344" t="s">
        <v>2</v>
      </c>
      <c r="C344" t="s">
        <v>3</v>
      </c>
      <c r="D344" t="s">
        <v>1055</v>
      </c>
      <c r="E344" t="s">
        <v>1056</v>
      </c>
      <c r="F344" t="s">
        <v>6</v>
      </c>
      <c r="G344" s="2">
        <v>45113</v>
      </c>
      <c r="H344" s="2">
        <v>45113</v>
      </c>
      <c r="I344" t="s">
        <v>0</v>
      </c>
      <c r="J344" t="s">
        <v>1057</v>
      </c>
      <c r="K344" s="3">
        <v>6798.2</v>
      </c>
      <c r="L344" t="s">
        <v>8</v>
      </c>
      <c r="P344" t="s">
        <v>0</v>
      </c>
      <c r="Q344" s="3">
        <v>115746.15</v>
      </c>
      <c r="R344" t="s">
        <v>9</v>
      </c>
      <c r="S344" t="s">
        <v>0</v>
      </c>
      <c r="T344" t="s">
        <v>1058</v>
      </c>
    </row>
    <row r="345" spans="1:20" ht="14" hidden="1" customHeight="1" outlineLevel="3" x14ac:dyDescent="0.25">
      <c r="A345" t="s">
        <v>924</v>
      </c>
      <c r="B345" t="s">
        <v>2</v>
      </c>
      <c r="C345" t="s">
        <v>3</v>
      </c>
      <c r="D345" t="s">
        <v>1059</v>
      </c>
      <c r="E345" t="s">
        <v>960</v>
      </c>
      <c r="F345" t="s">
        <v>6</v>
      </c>
      <c r="G345" s="2">
        <v>45146</v>
      </c>
      <c r="H345" s="2">
        <v>45146</v>
      </c>
      <c r="I345" t="s">
        <v>0</v>
      </c>
      <c r="J345" t="s">
        <v>1060</v>
      </c>
      <c r="K345" s="3">
        <v>6813.98</v>
      </c>
      <c r="L345" t="s">
        <v>8</v>
      </c>
      <c r="P345" t="s">
        <v>0</v>
      </c>
      <c r="Q345" s="3">
        <v>116215.84</v>
      </c>
      <c r="R345" t="s">
        <v>9</v>
      </c>
      <c r="S345" t="s">
        <v>0</v>
      </c>
      <c r="T345" t="s">
        <v>1061</v>
      </c>
    </row>
    <row r="346" spans="1:20" ht="14" hidden="1" customHeight="1" outlineLevel="3" x14ac:dyDescent="0.25">
      <c r="A346" t="s">
        <v>924</v>
      </c>
      <c r="B346" t="s">
        <v>2</v>
      </c>
      <c r="C346" t="s">
        <v>3</v>
      </c>
      <c r="D346" t="s">
        <v>1062</v>
      </c>
      <c r="E346" t="s">
        <v>1063</v>
      </c>
      <c r="F346" t="s">
        <v>6</v>
      </c>
      <c r="G346" s="2">
        <v>45176</v>
      </c>
      <c r="H346" s="2">
        <v>45176</v>
      </c>
      <c r="I346" t="s">
        <v>0</v>
      </c>
      <c r="J346" t="s">
        <v>1064</v>
      </c>
      <c r="K346" s="3">
        <v>6564.48</v>
      </c>
      <c r="L346" t="s">
        <v>8</v>
      </c>
      <c r="P346" t="s">
        <v>0</v>
      </c>
      <c r="Q346" s="3">
        <v>113888.48</v>
      </c>
      <c r="R346" t="s">
        <v>9</v>
      </c>
      <c r="S346" t="s">
        <v>0</v>
      </c>
      <c r="T346" t="s">
        <v>1065</v>
      </c>
    </row>
    <row r="347" spans="1:20" ht="14" hidden="1" customHeight="1" outlineLevel="3" x14ac:dyDescent="0.25">
      <c r="A347" t="s">
        <v>924</v>
      </c>
      <c r="B347" t="s">
        <v>2</v>
      </c>
      <c r="C347" t="s">
        <v>3</v>
      </c>
      <c r="D347" t="s">
        <v>1066</v>
      </c>
      <c r="E347" t="s">
        <v>1067</v>
      </c>
      <c r="F347" t="s">
        <v>6</v>
      </c>
      <c r="G347" s="2">
        <v>45209</v>
      </c>
      <c r="H347" s="2">
        <v>45209</v>
      </c>
      <c r="I347" t="s">
        <v>0</v>
      </c>
      <c r="J347" t="s">
        <v>1068</v>
      </c>
      <c r="K347" s="3">
        <v>6112.28</v>
      </c>
      <c r="L347" t="s">
        <v>8</v>
      </c>
      <c r="P347" t="s">
        <v>0</v>
      </c>
      <c r="Q347" s="3">
        <v>111143.87</v>
      </c>
      <c r="R347" t="s">
        <v>9</v>
      </c>
      <c r="S347" t="s">
        <v>0</v>
      </c>
      <c r="T347" t="s">
        <v>1069</v>
      </c>
    </row>
    <row r="348" spans="1:20" ht="14" hidden="1" customHeight="1" outlineLevel="3" x14ac:dyDescent="0.25">
      <c r="A348" t="s">
        <v>924</v>
      </c>
      <c r="B348" t="s">
        <v>2</v>
      </c>
      <c r="C348" t="s">
        <v>3</v>
      </c>
      <c r="D348" t="s">
        <v>1070</v>
      </c>
      <c r="E348" t="s">
        <v>1071</v>
      </c>
      <c r="F348" t="s">
        <v>6</v>
      </c>
      <c r="G348" s="2">
        <v>45238</v>
      </c>
      <c r="H348" s="2">
        <v>45238</v>
      </c>
      <c r="I348" t="s">
        <v>0</v>
      </c>
      <c r="J348" t="s">
        <v>1072</v>
      </c>
      <c r="K348" s="3">
        <v>6844.92</v>
      </c>
      <c r="L348" t="s">
        <v>8</v>
      </c>
      <c r="P348" t="s">
        <v>0</v>
      </c>
      <c r="Q348" s="3">
        <v>119996.92</v>
      </c>
      <c r="R348" t="s">
        <v>9</v>
      </c>
      <c r="S348" t="s">
        <v>0</v>
      </c>
      <c r="T348" t="s">
        <v>1073</v>
      </c>
    </row>
    <row r="349" spans="1:20" ht="14" hidden="1" customHeight="1" outlineLevel="3" x14ac:dyDescent="0.25">
      <c r="A349" t="s">
        <v>924</v>
      </c>
      <c r="B349" t="s">
        <v>2</v>
      </c>
      <c r="C349" t="s">
        <v>3</v>
      </c>
      <c r="D349" t="s">
        <v>1074</v>
      </c>
      <c r="E349" t="s">
        <v>1075</v>
      </c>
      <c r="F349" t="s">
        <v>6</v>
      </c>
      <c r="G349" s="2">
        <v>45268</v>
      </c>
      <c r="H349" s="2">
        <v>45268</v>
      </c>
      <c r="I349" t="s">
        <v>0</v>
      </c>
      <c r="J349" t="s">
        <v>1076</v>
      </c>
      <c r="K349" s="3">
        <v>6898.66</v>
      </c>
      <c r="L349" t="s">
        <v>8</v>
      </c>
      <c r="P349" t="s">
        <v>0</v>
      </c>
      <c r="Q349" s="3">
        <v>119129.51</v>
      </c>
      <c r="R349" t="s">
        <v>9</v>
      </c>
      <c r="S349" t="s">
        <v>0</v>
      </c>
      <c r="T349" t="s">
        <v>1077</v>
      </c>
    </row>
    <row r="350" spans="1:20" ht="14" hidden="1" customHeight="1" outlineLevel="3" x14ac:dyDescent="0.25">
      <c r="A350" t="s">
        <v>924</v>
      </c>
      <c r="B350" t="s">
        <v>2</v>
      </c>
      <c r="C350" t="s">
        <v>3</v>
      </c>
      <c r="D350" t="s">
        <v>1078</v>
      </c>
      <c r="E350" t="s">
        <v>1079</v>
      </c>
      <c r="F350" t="s">
        <v>6</v>
      </c>
      <c r="G350" s="2">
        <v>45289</v>
      </c>
      <c r="H350" s="2">
        <v>45289</v>
      </c>
      <c r="I350" t="s">
        <v>0</v>
      </c>
      <c r="J350" t="s">
        <v>1080</v>
      </c>
      <c r="K350" s="3">
        <v>6893.18</v>
      </c>
      <c r="L350" t="s">
        <v>8</v>
      </c>
      <c r="P350" t="s">
        <v>0</v>
      </c>
      <c r="Q350" s="3">
        <v>116646.39</v>
      </c>
      <c r="R350" t="s">
        <v>9</v>
      </c>
      <c r="S350" t="s">
        <v>0</v>
      </c>
      <c r="T350" t="s">
        <v>1081</v>
      </c>
    </row>
    <row r="351" spans="1:20" ht="14" hidden="1" customHeight="1" outlineLevel="3" x14ac:dyDescent="0.25">
      <c r="A351" t="s">
        <v>924</v>
      </c>
      <c r="B351" t="s">
        <v>2</v>
      </c>
      <c r="C351" t="s">
        <v>3</v>
      </c>
      <c r="D351" t="s">
        <v>1082</v>
      </c>
      <c r="E351" t="s">
        <v>1083</v>
      </c>
      <c r="F351" t="s">
        <v>1084</v>
      </c>
      <c r="G351" s="2">
        <v>45336</v>
      </c>
      <c r="H351" s="2">
        <v>45336</v>
      </c>
      <c r="I351" t="s">
        <v>0</v>
      </c>
      <c r="J351" t="s">
        <v>1085</v>
      </c>
      <c r="K351" s="3">
        <v>-220.25</v>
      </c>
      <c r="L351" t="s">
        <v>8</v>
      </c>
      <c r="P351" t="s">
        <v>0</v>
      </c>
      <c r="Q351" s="3">
        <v>-3759.23</v>
      </c>
      <c r="R351" t="s">
        <v>9</v>
      </c>
      <c r="S351" t="s">
        <v>0</v>
      </c>
      <c r="T351" t="s">
        <v>1086</v>
      </c>
    </row>
    <row r="352" spans="1:20" outlineLevel="2" collapsed="1" x14ac:dyDescent="0.25">
      <c r="A352" s="4" t="s">
        <v>0</v>
      </c>
      <c r="B352" s="4" t="s">
        <v>2</v>
      </c>
      <c r="C352" s="4" t="s">
        <v>0</v>
      </c>
      <c r="D352" s="4" t="s">
        <v>0</v>
      </c>
      <c r="E352" s="4" t="s">
        <v>0</v>
      </c>
      <c r="F352" s="4" t="s">
        <v>0</v>
      </c>
      <c r="G352" s="5"/>
      <c r="H352" s="5"/>
      <c r="I352" s="4" t="s">
        <v>0</v>
      </c>
      <c r="J352" s="4" t="s">
        <v>0</v>
      </c>
      <c r="K352" s="6">
        <v>167751.23000000001</v>
      </c>
      <c r="L352" s="4" t="s">
        <v>8</v>
      </c>
      <c r="M352" s="12" t="s">
        <v>1116</v>
      </c>
      <c r="N352" s="4">
        <v>167751.23000000001</v>
      </c>
      <c r="O352" s="4"/>
      <c r="P352" s="4" t="s">
        <v>0</v>
      </c>
      <c r="Q352" s="6">
        <v>3188742.31</v>
      </c>
      <c r="R352" s="4" t="s">
        <v>9</v>
      </c>
      <c r="S352" s="4" t="s">
        <v>0</v>
      </c>
      <c r="T352" s="4" t="s">
        <v>0</v>
      </c>
    </row>
    <row r="353" spans="1:20" outlineLevel="1" x14ac:dyDescent="0.25">
      <c r="A353" s="4" t="s">
        <v>0</v>
      </c>
      <c r="B353" s="4" t="s">
        <v>2</v>
      </c>
      <c r="C353" s="4" t="s">
        <v>0</v>
      </c>
      <c r="D353" s="4" t="s">
        <v>0</v>
      </c>
      <c r="E353" s="4" t="s">
        <v>0</v>
      </c>
      <c r="F353" s="4" t="s">
        <v>0</v>
      </c>
      <c r="G353" s="5"/>
      <c r="H353" s="5"/>
      <c r="I353" s="4" t="s">
        <v>0</v>
      </c>
      <c r="J353" s="4" t="s">
        <v>0</v>
      </c>
      <c r="K353" s="6">
        <v>167751.23000000001</v>
      </c>
      <c r="L353" s="4" t="s">
        <v>8</v>
      </c>
      <c r="M353" s="4"/>
      <c r="N353" s="4"/>
      <c r="O353" s="4"/>
      <c r="P353" s="4" t="s">
        <v>0</v>
      </c>
      <c r="Q353" s="6">
        <v>3188742.31</v>
      </c>
      <c r="R353" s="4" t="s">
        <v>9</v>
      </c>
      <c r="S353" s="4" t="s">
        <v>0</v>
      </c>
      <c r="T353" s="4" t="s">
        <v>0</v>
      </c>
    </row>
    <row r="354" spans="1:20" ht="14" hidden="1" customHeight="1" outlineLevel="3" x14ac:dyDescent="0.25">
      <c r="A354" t="s">
        <v>1087</v>
      </c>
      <c r="B354" t="s">
        <v>52</v>
      </c>
      <c r="C354" t="s">
        <v>53</v>
      </c>
      <c r="D354" t="s">
        <v>1088</v>
      </c>
      <c r="E354" t="s">
        <v>1089</v>
      </c>
      <c r="F354" t="s">
        <v>61</v>
      </c>
      <c r="G354" s="2">
        <v>46002</v>
      </c>
      <c r="H354" s="2">
        <v>46002</v>
      </c>
      <c r="I354" t="s">
        <v>0</v>
      </c>
      <c r="J354" t="s">
        <v>1090</v>
      </c>
      <c r="K354" s="3">
        <v>5529.42</v>
      </c>
      <c r="L354" t="s">
        <v>8</v>
      </c>
      <c r="P354" t="s">
        <v>0</v>
      </c>
      <c r="Q354" s="3">
        <v>100602.27</v>
      </c>
      <c r="R354" t="s">
        <v>9</v>
      </c>
      <c r="S354" t="s">
        <v>0</v>
      </c>
      <c r="T354" t="s">
        <v>0</v>
      </c>
    </row>
    <row r="355" spans="1:20" outlineLevel="2" collapsed="1" x14ac:dyDescent="0.25">
      <c r="A355" s="4" t="s">
        <v>0</v>
      </c>
      <c r="B355" s="4" t="s">
        <v>52</v>
      </c>
      <c r="C355" s="4" t="s">
        <v>0</v>
      </c>
      <c r="D355" s="4" t="s">
        <v>0</v>
      </c>
      <c r="E355" s="4" t="s">
        <v>0</v>
      </c>
      <c r="F355" s="4" t="s">
        <v>0</v>
      </c>
      <c r="G355" s="5"/>
      <c r="H355" s="5"/>
      <c r="I355" s="4" t="s">
        <v>0</v>
      </c>
      <c r="J355" s="4" t="s">
        <v>0</v>
      </c>
      <c r="K355" s="6">
        <v>5529.42</v>
      </c>
      <c r="L355" s="4" t="s">
        <v>8</v>
      </c>
      <c r="M355" s="12" t="s">
        <v>1115</v>
      </c>
      <c r="N355" s="4">
        <v>5529.42</v>
      </c>
      <c r="O355" s="4"/>
      <c r="P355" s="4" t="s">
        <v>0</v>
      </c>
      <c r="Q355" s="6">
        <v>100602.27</v>
      </c>
      <c r="R355" s="4" t="s">
        <v>9</v>
      </c>
      <c r="S355" s="4" t="s">
        <v>0</v>
      </c>
      <c r="T355" s="4" t="s">
        <v>0</v>
      </c>
    </row>
    <row r="356" spans="1:20" outlineLevel="1" x14ac:dyDescent="0.25">
      <c r="A356" s="4" t="s">
        <v>0</v>
      </c>
      <c r="B356" s="4" t="s">
        <v>52</v>
      </c>
      <c r="C356" s="4" t="s">
        <v>0</v>
      </c>
      <c r="D356" s="4" t="s">
        <v>0</v>
      </c>
      <c r="E356" s="4" t="s">
        <v>0</v>
      </c>
      <c r="F356" s="4" t="s">
        <v>0</v>
      </c>
      <c r="G356" s="5"/>
      <c r="H356" s="5"/>
      <c r="I356" s="4" t="s">
        <v>0</v>
      </c>
      <c r="J356" s="4" t="s">
        <v>0</v>
      </c>
      <c r="K356" s="6">
        <v>5529.42</v>
      </c>
      <c r="L356" s="4" t="s">
        <v>8</v>
      </c>
      <c r="M356" s="4"/>
      <c r="N356" s="4"/>
      <c r="O356" s="4"/>
      <c r="P356" s="4" t="s">
        <v>0</v>
      </c>
      <c r="Q356" s="6">
        <v>100602.27</v>
      </c>
      <c r="R356" s="4" t="s">
        <v>9</v>
      </c>
      <c r="S356" s="4" t="s">
        <v>0</v>
      </c>
      <c r="T356" s="4" t="s">
        <v>0</v>
      </c>
    </row>
    <row r="357" spans="1:20" ht="14" hidden="1" customHeight="1" outlineLevel="3" x14ac:dyDescent="0.25">
      <c r="A357" t="s">
        <v>1091</v>
      </c>
      <c r="B357" t="s">
        <v>52</v>
      </c>
      <c r="C357" t="s">
        <v>53</v>
      </c>
      <c r="D357" t="s">
        <v>1092</v>
      </c>
      <c r="E357" t="s">
        <v>1093</v>
      </c>
      <c r="F357" t="s">
        <v>6</v>
      </c>
      <c r="G357" s="2">
        <v>45218</v>
      </c>
      <c r="H357" s="2">
        <v>45218</v>
      </c>
      <c r="I357" t="s">
        <v>0</v>
      </c>
      <c r="J357" t="s">
        <v>1094</v>
      </c>
      <c r="K357" s="3">
        <v>76</v>
      </c>
      <c r="L357" t="s">
        <v>8</v>
      </c>
      <c r="P357" t="s">
        <v>0</v>
      </c>
      <c r="Q357" s="3">
        <v>1361.14</v>
      </c>
      <c r="R357" t="s">
        <v>9</v>
      </c>
      <c r="S357" t="s">
        <v>0</v>
      </c>
      <c r="T357" t="s">
        <v>1095</v>
      </c>
    </row>
    <row r="358" spans="1:20" outlineLevel="2" collapsed="1" x14ac:dyDescent="0.25">
      <c r="A358" s="4" t="s">
        <v>0</v>
      </c>
      <c r="B358" s="4" t="s">
        <v>52</v>
      </c>
      <c r="C358" s="4" t="s">
        <v>0</v>
      </c>
      <c r="D358" s="4" t="s">
        <v>0</v>
      </c>
      <c r="E358" s="4" t="s">
        <v>0</v>
      </c>
      <c r="F358" s="4" t="s">
        <v>0</v>
      </c>
      <c r="G358" s="5"/>
      <c r="H358" s="5"/>
      <c r="I358" s="4" t="s">
        <v>0</v>
      </c>
      <c r="J358" s="4" t="s">
        <v>0</v>
      </c>
      <c r="K358" s="6">
        <v>76</v>
      </c>
      <c r="L358" s="4" t="s">
        <v>8</v>
      </c>
      <c r="M358" s="12" t="s">
        <v>1114</v>
      </c>
      <c r="N358" s="4">
        <v>76</v>
      </c>
      <c r="O358" s="4"/>
      <c r="P358" s="4" t="s">
        <v>0</v>
      </c>
      <c r="Q358" s="6">
        <v>1361.14</v>
      </c>
      <c r="R358" s="4" t="s">
        <v>9</v>
      </c>
      <c r="S358" s="4" t="s">
        <v>0</v>
      </c>
      <c r="T358" s="4" t="s">
        <v>0</v>
      </c>
    </row>
    <row r="359" spans="1:20" outlineLevel="1" x14ac:dyDescent="0.25">
      <c r="A359" s="4" t="s">
        <v>0</v>
      </c>
      <c r="B359" s="4" t="s">
        <v>52</v>
      </c>
      <c r="C359" s="4" t="s">
        <v>0</v>
      </c>
      <c r="D359" s="4" t="s">
        <v>0</v>
      </c>
      <c r="E359" s="4" t="s">
        <v>0</v>
      </c>
      <c r="F359" s="4" t="s">
        <v>0</v>
      </c>
      <c r="G359" s="5"/>
      <c r="H359" s="5"/>
      <c r="I359" s="4" t="s">
        <v>0</v>
      </c>
      <c r="J359" s="4" t="s">
        <v>0</v>
      </c>
      <c r="K359" s="6">
        <v>76</v>
      </c>
      <c r="L359" s="4" t="s">
        <v>8</v>
      </c>
      <c r="M359" s="4"/>
      <c r="N359" s="4"/>
      <c r="O359" s="4"/>
      <c r="P359" s="4" t="s">
        <v>0</v>
      </c>
      <c r="Q359" s="6">
        <v>1361.14</v>
      </c>
      <c r="R359" s="4" t="s">
        <v>9</v>
      </c>
      <c r="S359" s="4" t="s">
        <v>0</v>
      </c>
      <c r="T359" s="4" t="s">
        <v>0</v>
      </c>
    </row>
    <row r="360" spans="1:20" x14ac:dyDescent="0.25">
      <c r="A360" s="7" t="s">
        <v>0</v>
      </c>
      <c r="B360" s="7" t="s">
        <v>0</v>
      </c>
      <c r="C360" s="7" t="s">
        <v>0</v>
      </c>
      <c r="D360" s="7" t="s">
        <v>0</v>
      </c>
      <c r="E360" s="7" t="s">
        <v>0</v>
      </c>
      <c r="F360" s="7" t="s">
        <v>0</v>
      </c>
      <c r="G360" s="8"/>
      <c r="H360" s="8"/>
      <c r="I360" s="7" t="s">
        <v>0</v>
      </c>
      <c r="J360" s="7" t="s">
        <v>0</v>
      </c>
      <c r="K360" s="9">
        <v>35762.199999999997</v>
      </c>
      <c r="L360" s="7" t="s">
        <v>9</v>
      </c>
      <c r="M360" s="7"/>
      <c r="N360" s="14">
        <f>SUM(N308:N358)</f>
        <v>1596510.95</v>
      </c>
      <c r="O360" s="7"/>
      <c r="P360" s="7" t="s">
        <v>0</v>
      </c>
      <c r="Q360" s="9">
        <v>30344347.780000001</v>
      </c>
      <c r="R360" s="7" t="s">
        <v>9</v>
      </c>
      <c r="S360" s="7" t="s">
        <v>0</v>
      </c>
      <c r="T360" s="7" t="s">
        <v>0</v>
      </c>
    </row>
    <row r="361" spans="1:20" x14ac:dyDescent="0.25">
      <c r="A361" s="7" t="s">
        <v>0</v>
      </c>
      <c r="B361" s="7" t="s">
        <v>0</v>
      </c>
      <c r="C361" s="7" t="s">
        <v>0</v>
      </c>
      <c r="D361" s="7" t="s">
        <v>0</v>
      </c>
      <c r="E361" s="7" t="s">
        <v>0</v>
      </c>
      <c r="F361" s="7" t="s">
        <v>0</v>
      </c>
      <c r="G361" s="8"/>
      <c r="H361" s="8"/>
      <c r="I361" s="7" t="s">
        <v>0</v>
      </c>
      <c r="J361" s="7" t="s">
        <v>0</v>
      </c>
      <c r="K361" s="9">
        <v>1594722.56</v>
      </c>
      <c r="L361" s="7" t="s">
        <v>8</v>
      </c>
      <c r="M361" s="7"/>
      <c r="N361" s="7"/>
      <c r="O361" s="7"/>
      <c r="P361" s="7" t="s">
        <v>0</v>
      </c>
      <c r="Q361" s="10"/>
      <c r="R361" s="7" t="s">
        <v>0</v>
      </c>
      <c r="S361" s="7" t="s">
        <v>0</v>
      </c>
      <c r="T361" s="7" t="s">
        <v>0</v>
      </c>
    </row>
  </sheetData>
  <autoFilter ref="A1:T361" xr:uid="{00000000-0001-0000-0000-000000000000}"/>
  <phoneticPr fontId="0" type="noConversion"/>
  <pageMargins left="0.75" right="0.75" top="1" bottom="1" header="0.5" footer="0.5"/>
  <headerFooter alignWithMargins="0"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4A9E3-03D0-4808-BB1C-D0C92A70A6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E8812D-4222-4B01-A2B5-1942B3940F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C99A30-990A-4EFA-A2FE-6705CF23F9A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Carolina Cabrera</cp:lastModifiedBy>
  <cp:revision>1</cp:revision>
  <dcterms:modified xsi:type="dcterms:W3CDTF">2026-02-12T21:51:52Z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