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Rodrigo/"/>
    </mc:Choice>
  </mc:AlternateContent>
  <xr:revisionPtr revIDLastSave="1" documentId="8_{3588BC13-5FE7-46FB-BD7A-44FDB8F00B3B}" xr6:coauthVersionLast="47" xr6:coauthVersionMax="47" xr10:uidLastSave="{C635BA70-32E1-435C-A6F6-BCABE36BD647}"/>
  <bookViews>
    <workbookView minimized="1" xWindow="666" yWindow="774" windowWidth="20751" windowHeight="9467" xr2:uid="{E152E18C-CE7E-4658-AD94-9AE030D4FBC0}"/>
  </bookViews>
  <sheets>
    <sheet name="Hoja1" sheetId="1" r:id="rId1"/>
  </sheets>
  <definedNames>
    <definedName name="_xlnm._FilterDatabase" localSheetId="0" hidden="1">Hoja1!$A$4:$T$225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5" i="1" l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225" i="1"/>
  <c r="Q224" i="1"/>
  <c r="Q223" i="1"/>
  <c r="Q222" i="1"/>
  <c r="S222" i="1" s="1"/>
  <c r="Q221" i="1"/>
  <c r="Q220" i="1"/>
  <c r="S220" i="1" s="1"/>
  <c r="Q219" i="1"/>
  <c r="Q218" i="1"/>
  <c r="Q217" i="1"/>
  <c r="Q216" i="1"/>
  <c r="S216" i="1" s="1"/>
  <c r="Q215" i="1"/>
  <c r="Q214" i="1"/>
  <c r="Q213" i="1"/>
  <c r="Q212" i="1"/>
  <c r="Q211" i="1"/>
  <c r="Q210" i="1"/>
  <c r="S210" i="1" s="1"/>
  <c r="Q209" i="1"/>
  <c r="Q208" i="1"/>
  <c r="S208" i="1" s="1"/>
  <c r="Q207" i="1"/>
  <c r="Q206" i="1"/>
  <c r="Q205" i="1"/>
  <c r="Q204" i="1"/>
  <c r="S204" i="1" s="1"/>
  <c r="Q203" i="1"/>
  <c r="Q202" i="1"/>
  <c r="Q201" i="1"/>
  <c r="Q200" i="1"/>
  <c r="Q199" i="1"/>
  <c r="Q198" i="1"/>
  <c r="S198" i="1" s="1"/>
  <c r="Q197" i="1"/>
  <c r="Q196" i="1"/>
  <c r="S196" i="1" s="1"/>
  <c r="Q195" i="1"/>
  <c r="Q194" i="1"/>
  <c r="Q193" i="1"/>
  <c r="Q192" i="1"/>
  <c r="S192" i="1" s="1"/>
  <c r="Q191" i="1"/>
  <c r="Q190" i="1"/>
  <c r="Q189" i="1"/>
  <c r="Q188" i="1"/>
  <c r="Q187" i="1"/>
  <c r="Q186" i="1"/>
  <c r="S186" i="1" s="1"/>
  <c r="Q185" i="1"/>
  <c r="Q184" i="1"/>
  <c r="S184" i="1" s="1"/>
  <c r="Q183" i="1"/>
  <c r="Q182" i="1"/>
  <c r="Q181" i="1"/>
  <c r="Q180" i="1"/>
  <c r="S180" i="1" s="1"/>
  <c r="Q179" i="1"/>
  <c r="Q178" i="1"/>
  <c r="Q177" i="1"/>
  <c r="Q176" i="1"/>
  <c r="Q175" i="1"/>
  <c r="Q174" i="1"/>
  <c r="S174" i="1" s="1"/>
  <c r="Q173" i="1"/>
  <c r="Q172" i="1"/>
  <c r="S172" i="1" s="1"/>
  <c r="Q171" i="1"/>
  <c r="Q170" i="1"/>
  <c r="Q169" i="1"/>
  <c r="Q168" i="1"/>
  <c r="S168" i="1" s="1"/>
  <c r="Q167" i="1"/>
  <c r="Q166" i="1"/>
  <c r="Q165" i="1"/>
  <c r="Q164" i="1"/>
  <c r="Q163" i="1"/>
  <c r="Q162" i="1"/>
  <c r="S162" i="1" s="1"/>
  <c r="Q161" i="1"/>
  <c r="Q160" i="1"/>
  <c r="S160" i="1" s="1"/>
  <c r="Q159" i="1"/>
  <c r="Q158" i="1"/>
  <c r="Q157" i="1"/>
  <c r="Q156" i="1"/>
  <c r="S156" i="1" s="1"/>
  <c r="Q155" i="1"/>
  <c r="Q154" i="1"/>
  <c r="Q153" i="1"/>
  <c r="Q152" i="1"/>
  <c r="Q151" i="1"/>
  <c r="Q150" i="1"/>
  <c r="S150" i="1" s="1"/>
  <c r="Q149" i="1"/>
  <c r="Q148" i="1"/>
  <c r="S148" i="1" s="1"/>
  <c r="Q147" i="1"/>
  <c r="Q146" i="1"/>
  <c r="Q145" i="1"/>
  <c r="Q144" i="1"/>
  <c r="S144" i="1" s="1"/>
  <c r="Q143" i="1"/>
  <c r="Q142" i="1"/>
  <c r="Q141" i="1"/>
  <c r="Q140" i="1"/>
  <c r="Q139" i="1"/>
  <c r="Q138" i="1"/>
  <c r="S138" i="1" s="1"/>
  <c r="Q137" i="1"/>
  <c r="Q136" i="1"/>
  <c r="S136" i="1" s="1"/>
  <c r="Q135" i="1"/>
  <c r="Q134" i="1"/>
  <c r="Q133" i="1"/>
  <c r="Q132" i="1"/>
  <c r="S132" i="1" s="1"/>
  <c r="Q131" i="1"/>
  <c r="Q130" i="1"/>
  <c r="Q129" i="1"/>
  <c r="Q128" i="1"/>
  <c r="Q127" i="1"/>
  <c r="Q126" i="1"/>
  <c r="S126" i="1" s="1"/>
  <c r="Q125" i="1"/>
  <c r="Q124" i="1"/>
  <c r="S124" i="1" s="1"/>
  <c r="Q123" i="1"/>
  <c r="Q122" i="1"/>
  <c r="Q121" i="1"/>
  <c r="Q120" i="1"/>
  <c r="S120" i="1" s="1"/>
  <c r="Q119" i="1"/>
  <c r="Q118" i="1"/>
  <c r="Q117" i="1"/>
  <c r="Q116" i="1"/>
  <c r="Q115" i="1"/>
  <c r="Q114" i="1"/>
  <c r="S114" i="1" s="1"/>
  <c r="Q113" i="1"/>
  <c r="Q112" i="1"/>
  <c r="S112" i="1" s="1"/>
  <c r="Q111" i="1"/>
  <c r="Q110" i="1"/>
  <c r="Q109" i="1"/>
  <c r="Q108" i="1"/>
  <c r="S108" i="1" s="1"/>
  <c r="Q107" i="1"/>
  <c r="Q106" i="1"/>
  <c r="Q105" i="1"/>
  <c r="Q104" i="1"/>
  <c r="Q103" i="1"/>
  <c r="Q102" i="1"/>
  <c r="S102" i="1" s="1"/>
  <c r="Q101" i="1"/>
  <c r="Q100" i="1"/>
  <c r="S100" i="1" s="1"/>
  <c r="Q99" i="1"/>
  <c r="Q98" i="1"/>
  <c r="Q97" i="1"/>
  <c r="Q96" i="1"/>
  <c r="S96" i="1" s="1"/>
  <c r="Q95" i="1"/>
  <c r="Q94" i="1"/>
  <c r="Q93" i="1"/>
  <c r="Q92" i="1"/>
  <c r="Q91" i="1"/>
  <c r="Q90" i="1"/>
  <c r="S90" i="1" s="1"/>
  <c r="Q89" i="1"/>
  <c r="Q88" i="1"/>
  <c r="S88" i="1" s="1"/>
  <c r="Q87" i="1"/>
  <c r="Q86" i="1"/>
  <c r="Q85" i="1"/>
  <c r="Q84" i="1"/>
  <c r="S84" i="1" s="1"/>
  <c r="Q83" i="1"/>
  <c r="Q82" i="1"/>
  <c r="Q81" i="1"/>
  <c r="Q80" i="1"/>
  <c r="Q79" i="1"/>
  <c r="Q78" i="1"/>
  <c r="S78" i="1" s="1"/>
  <c r="Q77" i="1"/>
  <c r="Q76" i="1"/>
  <c r="S76" i="1" s="1"/>
  <c r="Q75" i="1"/>
  <c r="Q74" i="1"/>
  <c r="Q73" i="1"/>
  <c r="Q72" i="1"/>
  <c r="S72" i="1" s="1"/>
  <c r="Q71" i="1"/>
  <c r="Q70" i="1"/>
  <c r="Q69" i="1"/>
  <c r="Q68" i="1"/>
  <c r="Q67" i="1"/>
  <c r="Q66" i="1"/>
  <c r="S66" i="1" s="1"/>
  <c r="Q65" i="1"/>
  <c r="Q64" i="1"/>
  <c r="S64" i="1" s="1"/>
  <c r="Q63" i="1"/>
  <c r="Q62" i="1"/>
  <c r="Q61" i="1"/>
  <c r="Q60" i="1"/>
  <c r="S60" i="1" s="1"/>
  <c r="Q59" i="1"/>
  <c r="Q58" i="1"/>
  <c r="Q57" i="1"/>
  <c r="Q56" i="1"/>
  <c r="Q55" i="1"/>
  <c r="Q54" i="1"/>
  <c r="S54" i="1" s="1"/>
  <c r="Q53" i="1"/>
  <c r="Q52" i="1"/>
  <c r="S52" i="1" s="1"/>
  <c r="Q51" i="1"/>
  <c r="Q50" i="1"/>
  <c r="Q49" i="1"/>
  <c r="Q48" i="1"/>
  <c r="S48" i="1" s="1"/>
  <c r="Q47" i="1"/>
  <c r="Q46" i="1"/>
  <c r="Q45" i="1"/>
  <c r="Q44" i="1"/>
  <c r="Q43" i="1"/>
  <c r="Q42" i="1"/>
  <c r="S42" i="1" s="1"/>
  <c r="Q41" i="1"/>
  <c r="Q40" i="1"/>
  <c r="S40" i="1" s="1"/>
  <c r="Q39" i="1"/>
  <c r="Q38" i="1"/>
  <c r="Q37" i="1"/>
  <c r="Q36" i="1"/>
  <c r="S36" i="1" s="1"/>
  <c r="Q35" i="1"/>
  <c r="Q34" i="1"/>
  <c r="Q33" i="1"/>
  <c r="Q32" i="1"/>
  <c r="Q31" i="1"/>
  <c r="Q30" i="1"/>
  <c r="S30" i="1" s="1"/>
  <c r="Q29" i="1"/>
  <c r="Q28" i="1"/>
  <c r="S28" i="1" s="1"/>
  <c r="Q27" i="1"/>
  <c r="Q26" i="1"/>
  <c r="Q25" i="1"/>
  <c r="Q24" i="1"/>
  <c r="S24" i="1" s="1"/>
  <c r="Q23" i="1"/>
  <c r="Q22" i="1"/>
  <c r="Q21" i="1"/>
  <c r="Q20" i="1"/>
  <c r="Q19" i="1"/>
  <c r="Q18" i="1"/>
  <c r="S18" i="1" s="1"/>
  <c r="Q17" i="1"/>
  <c r="Q16" i="1"/>
  <c r="S16" i="1" s="1"/>
  <c r="Q15" i="1"/>
  <c r="Q14" i="1"/>
  <c r="Q13" i="1"/>
  <c r="Q12" i="1"/>
  <c r="S12" i="1" s="1"/>
  <c r="Q11" i="1"/>
  <c r="Q10" i="1"/>
  <c r="Q9" i="1"/>
  <c r="Q8" i="1"/>
  <c r="Q7" i="1"/>
  <c r="Q6" i="1"/>
  <c r="S6" i="1" s="1"/>
  <c r="Q5" i="1"/>
  <c r="S67" i="1" l="1"/>
  <c r="S115" i="1"/>
  <c r="S151" i="1"/>
  <c r="S199" i="1"/>
  <c r="S211" i="1"/>
  <c r="S223" i="1"/>
  <c r="S7" i="1"/>
  <c r="S43" i="1"/>
  <c r="S79" i="1"/>
  <c r="S139" i="1"/>
  <c r="S187" i="1"/>
  <c r="S32" i="1"/>
  <c r="S68" i="1"/>
  <c r="S104" i="1"/>
  <c r="S152" i="1"/>
  <c r="S188" i="1"/>
  <c r="S212" i="1"/>
  <c r="S9" i="1"/>
  <c r="S45" i="1"/>
  <c r="S69" i="1"/>
  <c r="S81" i="1"/>
  <c r="S93" i="1"/>
  <c r="S129" i="1"/>
  <c r="S141" i="1"/>
  <c r="S153" i="1"/>
  <c r="S165" i="1"/>
  <c r="S177" i="1"/>
  <c r="S189" i="1"/>
  <c r="S201" i="1"/>
  <c r="S213" i="1"/>
  <c r="S225" i="1"/>
  <c r="S19" i="1"/>
  <c r="S55" i="1"/>
  <c r="S103" i="1"/>
  <c r="S175" i="1"/>
  <c r="S56" i="1"/>
  <c r="S92" i="1"/>
  <c r="S128" i="1"/>
  <c r="S164" i="1"/>
  <c r="S224" i="1"/>
  <c r="S33" i="1"/>
  <c r="S117" i="1"/>
  <c r="S31" i="1"/>
  <c r="S91" i="1"/>
  <c r="S127" i="1"/>
  <c r="S163" i="1"/>
  <c r="S20" i="1"/>
  <c r="S44" i="1"/>
  <c r="S80" i="1"/>
  <c r="S116" i="1"/>
  <c r="S140" i="1"/>
  <c r="S176" i="1"/>
  <c r="S200" i="1"/>
  <c r="S21" i="1"/>
  <c r="S57" i="1"/>
  <c r="S105" i="1"/>
  <c r="S25" i="1"/>
  <c r="S49" i="1"/>
  <c r="S61" i="1"/>
  <c r="S14" i="1"/>
  <c r="S50" i="1"/>
  <c r="S62" i="1"/>
  <c r="S74" i="1"/>
  <c r="S86" i="1"/>
  <c r="S98" i="1"/>
  <c r="S110" i="1"/>
  <c r="S122" i="1"/>
  <c r="S134" i="1"/>
  <c r="S146" i="1"/>
  <c r="S158" i="1"/>
  <c r="S170" i="1"/>
  <c r="S182" i="1"/>
  <c r="S194" i="1"/>
  <c r="S206" i="1"/>
  <c r="S218" i="1"/>
  <c r="S38" i="1"/>
  <c r="S27" i="1"/>
  <c r="S63" i="1"/>
  <c r="S75" i="1"/>
  <c r="S87" i="1"/>
  <c r="S99" i="1"/>
  <c r="S111" i="1"/>
  <c r="S123" i="1"/>
  <c r="S135" i="1"/>
  <c r="S147" i="1"/>
  <c r="S159" i="1"/>
  <c r="S171" i="1"/>
  <c r="S183" i="1"/>
  <c r="S195" i="1"/>
  <c r="S207" i="1"/>
  <c r="S219" i="1"/>
  <c r="S26" i="1"/>
  <c r="S39" i="1"/>
  <c r="S15" i="1"/>
  <c r="S51" i="1"/>
  <c r="Q2" i="1"/>
  <c r="S22" i="1"/>
  <c r="S34" i="1"/>
  <c r="S46" i="1"/>
  <c r="S58" i="1"/>
  <c r="S70" i="1"/>
  <c r="S82" i="1"/>
  <c r="S94" i="1"/>
  <c r="S106" i="1"/>
  <c r="S118" i="1"/>
  <c r="S130" i="1"/>
  <c r="S142" i="1"/>
  <c r="S154" i="1"/>
  <c r="S166" i="1"/>
  <c r="S178" i="1"/>
  <c r="S190" i="1"/>
  <c r="S202" i="1"/>
  <c r="S214" i="1"/>
  <c r="S5" i="1"/>
  <c r="S17" i="1"/>
  <c r="S29" i="1"/>
  <c r="S41" i="1"/>
  <c r="S53" i="1"/>
  <c r="S65" i="1"/>
  <c r="S77" i="1"/>
  <c r="S89" i="1"/>
  <c r="S101" i="1"/>
  <c r="S113" i="1"/>
  <c r="S125" i="1"/>
  <c r="S137" i="1"/>
  <c r="S149" i="1"/>
  <c r="S161" i="1"/>
  <c r="S173" i="1"/>
  <c r="S185" i="1"/>
  <c r="S197" i="1"/>
  <c r="S209" i="1"/>
  <c r="S221" i="1"/>
  <c r="S35" i="1"/>
  <c r="S95" i="1"/>
  <c r="S143" i="1"/>
  <c r="S167" i="1"/>
  <c r="S191" i="1"/>
  <c r="R2" i="1"/>
  <c r="S10" i="1"/>
  <c r="S47" i="1"/>
  <c r="S83" i="1"/>
  <c r="S107" i="1"/>
  <c r="S155" i="1"/>
  <c r="S179" i="1"/>
  <c r="S203" i="1"/>
  <c r="S215" i="1"/>
  <c r="S11" i="1"/>
  <c r="S59" i="1"/>
  <c r="S131" i="1"/>
  <c r="S73" i="1"/>
  <c r="S85" i="1"/>
  <c r="S97" i="1"/>
  <c r="S109" i="1"/>
  <c r="S121" i="1"/>
  <c r="S133" i="1"/>
  <c r="S145" i="1"/>
  <c r="S157" i="1"/>
  <c r="S169" i="1"/>
  <c r="S181" i="1"/>
  <c r="S193" i="1"/>
  <c r="S205" i="1"/>
  <c r="S217" i="1"/>
  <c r="S23" i="1"/>
  <c r="S71" i="1"/>
  <c r="S119" i="1"/>
  <c r="S13" i="1"/>
  <c r="S37" i="1"/>
  <c r="S8" i="1"/>
  <c r="S2" i="1" l="1"/>
</calcChain>
</file>

<file path=xl/sharedStrings.xml><?xml version="1.0" encoding="utf-8"?>
<sst xmlns="http://schemas.openxmlformats.org/spreadsheetml/2006/main" count="2668" uniqueCount="731">
  <si>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</si>
  <si>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</si>
  <si>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</si>
  <si>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</si>
  <si>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</si>
  <si>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</si>
  <si>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</si>
  <si>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</si>
  <si>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</si>
  <si>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</si>
  <si>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</si>
  <si>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</si>
  <si>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</si>
  <si>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</si>
  <si>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</si>
  <si>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</si>
  <si>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BODEGA CENTRAL</t>
  </si>
  <si>
    <t>0</t>
  </si>
  <si>
    <t>CODIGO GLOSA</t>
  </si>
  <si>
    <t>GLOSA</t>
  </si>
  <si>
    <t>GENERICO</t>
  </si>
  <si>
    <t>05/01/2026</t>
  </si>
  <si>
    <t>FV</t>
  </si>
  <si>
    <t>117201AZUL230</t>
  </si>
  <si>
    <t>7500421486375</t>
  </si>
  <si>
    <t>ZAPATILLA MUJER ATSIRI 117201AZUL</t>
  </si>
  <si>
    <t>CALZADO</t>
  </si>
  <si>
    <t>FLEXI</t>
  </si>
  <si>
    <t>ATSIRI</t>
  </si>
  <si>
    <t>ZAPATILLA</t>
  </si>
  <si>
    <t>NC</t>
  </si>
  <si>
    <t>127904TAN230</t>
  </si>
  <si>
    <t>7500421635315</t>
  </si>
  <si>
    <t>SANDALIA MUJER OLINDA 127904TAN</t>
  </si>
  <si>
    <t>OLINDA</t>
  </si>
  <si>
    <t>SANDALIA</t>
  </si>
  <si>
    <t>128404NEGRO240</t>
  </si>
  <si>
    <t>7500421689868</t>
  </si>
  <si>
    <t>SANDALIA MUJER ITACARE 128404NEGRO</t>
  </si>
  <si>
    <t>ITACARE</t>
  </si>
  <si>
    <t>126601HUESO220</t>
  </si>
  <si>
    <t>7500421603864</t>
  </si>
  <si>
    <t>MOCASIN MUJER HAYEK 126601HUESO</t>
  </si>
  <si>
    <t>HAYEK</t>
  </si>
  <si>
    <t>MOCASIN</t>
  </si>
  <si>
    <t>06/01/2026</t>
  </si>
  <si>
    <t>51727TAUPE260</t>
  </si>
  <si>
    <t>7500421721780</t>
  </si>
  <si>
    <t>ZAPATO MUJER LIBRA 51727TAUPE</t>
  </si>
  <si>
    <t>LIBRA</t>
  </si>
  <si>
    <t>ZAPATO</t>
  </si>
  <si>
    <t>104817NEGRO230</t>
  </si>
  <si>
    <t>7500421563038</t>
  </si>
  <si>
    <t>ZAPATO MUJER CATALEYA 104817NEGRO</t>
  </si>
  <si>
    <t>CATALEYA</t>
  </si>
  <si>
    <t>130201ROSA270</t>
  </si>
  <si>
    <t>7500421769393</t>
  </si>
  <si>
    <t>ZAPATILLA MUJER AZURE 130201ROSA</t>
  </si>
  <si>
    <t>AZURE</t>
  </si>
  <si>
    <t>116310BLANCO240</t>
  </si>
  <si>
    <t>7500421669754</t>
  </si>
  <si>
    <t>BALLERINA MUJER MARIE 116310BLANCO</t>
  </si>
  <si>
    <t>MARIE</t>
  </si>
  <si>
    <t>BALLERINA</t>
  </si>
  <si>
    <t>21202NEGRO230</t>
  </si>
  <si>
    <t>7506296161935</t>
  </si>
  <si>
    <t>BALLERINA MUJER DAFNE 21202NEGRO</t>
  </si>
  <si>
    <t>DAFNE</t>
  </si>
  <si>
    <t>2820442ROSAGLAM250</t>
  </si>
  <si>
    <t>4064195269112</t>
  </si>
  <si>
    <t>SANDALIA MUJER 2820442ROSAGLAM</t>
  </si>
  <si>
    <t>TAMARIS</t>
  </si>
  <si>
    <t>122703CAFE250</t>
  </si>
  <si>
    <t>7500421543368</t>
  </si>
  <si>
    <t>SANDALIA MUJER BIRGIT 122703CAFE</t>
  </si>
  <si>
    <t>BIRGIT</t>
  </si>
  <si>
    <t>412802SHEDRON280</t>
  </si>
  <si>
    <t>7500421542521</t>
  </si>
  <si>
    <t>ZAPATO HOMBRE OKAN 412802SHEDRON</t>
  </si>
  <si>
    <t>OKAN</t>
  </si>
  <si>
    <t>130801AVENA250</t>
  </si>
  <si>
    <t>7500421752678</t>
  </si>
  <si>
    <t>BALLERINA MUJER RIHANNA 130801AVENA</t>
  </si>
  <si>
    <t>RIHANNA</t>
  </si>
  <si>
    <t>130801AVENA260</t>
  </si>
  <si>
    <t>7500421752692</t>
  </si>
  <si>
    <t>21222NEGRO255</t>
  </si>
  <si>
    <t>7500421581285</t>
  </si>
  <si>
    <t>BALLERINA MUJER DAFNE 21222NEGRO</t>
  </si>
  <si>
    <t>101011NEGRO240</t>
  </si>
  <si>
    <t>7500421592991</t>
  </si>
  <si>
    <t>ZAPATILLA MUJER ALANIS 101011NEGRO</t>
  </si>
  <si>
    <t>ALANIS</t>
  </si>
  <si>
    <t>129501TAN250</t>
  </si>
  <si>
    <t>7500421701799</t>
  </si>
  <si>
    <t>SANDALIA MUJER CASSIA 129501TAN</t>
  </si>
  <si>
    <t>CASSIA</t>
  </si>
  <si>
    <t>126603ALGODON230</t>
  </si>
  <si>
    <t>7500421671405</t>
  </si>
  <si>
    <t>MOCASIN MUJER HAYEK 126603ALGODON</t>
  </si>
  <si>
    <t>07/01/2026</t>
  </si>
  <si>
    <t>128407CREMA250</t>
  </si>
  <si>
    <t>7500421828977</t>
  </si>
  <si>
    <t>SANDALIA MUJER ITACARE 128407CREMA</t>
  </si>
  <si>
    <t>128407CREMA260</t>
  </si>
  <si>
    <t>7500421828991</t>
  </si>
  <si>
    <t>122701NEGRO240</t>
  </si>
  <si>
    <t>7500421538722</t>
  </si>
  <si>
    <t>SANDALIA MUJER BIRGIT 122701NEGRO</t>
  </si>
  <si>
    <t>08/01/2026</t>
  </si>
  <si>
    <t>119901NEGRO230</t>
  </si>
  <si>
    <t>7500421595282</t>
  </si>
  <si>
    <t>MOCASIN MUJER KIRSTEN 119901NEGRO</t>
  </si>
  <si>
    <t>KIRSTEN</t>
  </si>
  <si>
    <t>116009NEGRO250</t>
  </si>
  <si>
    <t>7500421537756</t>
  </si>
  <si>
    <t>SANDALIA MUJER AMAPOLA 116009NEGRO</t>
  </si>
  <si>
    <t>AMAPOLA</t>
  </si>
  <si>
    <t>132201NEGRO250</t>
  </si>
  <si>
    <t>7500421775561</t>
  </si>
  <si>
    <t>ZAPATILLA MUJER BRISEA 132201NEGRO</t>
  </si>
  <si>
    <t>BRISEA</t>
  </si>
  <si>
    <t>105113TARO220</t>
  </si>
  <si>
    <t>7500421774076</t>
  </si>
  <si>
    <t>ZAPATILLA MUJER CASIOPEA 105113TARO</t>
  </si>
  <si>
    <t>CASIOPEA</t>
  </si>
  <si>
    <t>130602NEGRO230</t>
  </si>
  <si>
    <t>7500421738726</t>
  </si>
  <si>
    <t>BOOTIE MUJER MARIELA 130602NEGRO</t>
  </si>
  <si>
    <t>MARIELA</t>
  </si>
  <si>
    <t>BOOTIE</t>
  </si>
  <si>
    <t>104512NEGRO260</t>
  </si>
  <si>
    <t>7500421615973</t>
  </si>
  <si>
    <t>BOTIN MUJER IDRIS 104512NEGRO</t>
  </si>
  <si>
    <t>IDRIS</t>
  </si>
  <si>
    <t>BOTIN</t>
  </si>
  <si>
    <t>402518NEGRO280</t>
  </si>
  <si>
    <t>7500421577998</t>
  </si>
  <si>
    <t>BOTIN HOMBRE GASLY 402518NEGRO</t>
  </si>
  <si>
    <t>GASLY</t>
  </si>
  <si>
    <t>400102NEGRO290</t>
  </si>
  <si>
    <t>7500421333327</t>
  </si>
  <si>
    <t>ZAPATO HOMBRE PARKER 400102NEGRO</t>
  </si>
  <si>
    <t>PARKER</t>
  </si>
  <si>
    <t>127601NEGRO260</t>
  </si>
  <si>
    <t>7500421615584</t>
  </si>
  <si>
    <t>SANDALIA MUJER RORAIMA 127601NEGRO</t>
  </si>
  <si>
    <t>RORAIMA</t>
  </si>
  <si>
    <t>106414CAMEL240</t>
  </si>
  <si>
    <t>7500421627167</t>
  </si>
  <si>
    <t>SANDALIA MUJER CELINE 106414CAMEL</t>
  </si>
  <si>
    <t>CELINE</t>
  </si>
  <si>
    <t>124404NUDE220</t>
  </si>
  <si>
    <t>7500421545171</t>
  </si>
  <si>
    <t>ZAPATO MUJER PIPA 124404NUDE</t>
  </si>
  <si>
    <t>PIPA</t>
  </si>
  <si>
    <t>128506MAQUILLAJE250</t>
  </si>
  <si>
    <t>7500421690918</t>
  </si>
  <si>
    <t>SANDALIA MUJER LEXA 128506MAQUILLAJE</t>
  </si>
  <si>
    <t>LEXA</t>
  </si>
  <si>
    <t>124904AZUL260</t>
  </si>
  <si>
    <t>7500421750063</t>
  </si>
  <si>
    <t>ZAPATILLA MUJER NAMI 124904AZUL</t>
  </si>
  <si>
    <t>NAMI</t>
  </si>
  <si>
    <t>09/01/2026</t>
  </si>
  <si>
    <t>110401CAFE240</t>
  </si>
  <si>
    <t>7500421466292</t>
  </si>
  <si>
    <t>ZAPATO MUJER RENATA 110401CAFE</t>
  </si>
  <si>
    <t>RENATA</t>
  </si>
  <si>
    <t>413101SHEDRON290</t>
  </si>
  <si>
    <t>7500421551240</t>
  </si>
  <si>
    <t>ZAPATO HOMBRE POTTERY  413101SHEDRON</t>
  </si>
  <si>
    <t>POTTERY</t>
  </si>
  <si>
    <t>418102GRIS250</t>
  </si>
  <si>
    <t>7500421771846</t>
  </si>
  <si>
    <t>BOTIN HOMBRE THOMPSON 418102GRIS</t>
  </si>
  <si>
    <t>THOMPSON</t>
  </si>
  <si>
    <t>402518NEGRO290</t>
  </si>
  <si>
    <t>7500421578018</t>
  </si>
  <si>
    <t>118902VINO240</t>
  </si>
  <si>
    <t>7500421526590</t>
  </si>
  <si>
    <t>ZAPATO MUJER FLAVIA 118902VINO</t>
  </si>
  <si>
    <t>FLAVIA</t>
  </si>
  <si>
    <t>116009TAN260</t>
  </si>
  <si>
    <t>7500421639207</t>
  </si>
  <si>
    <t>SANDALIA MUJER AMAPOLA 116009TAN</t>
  </si>
  <si>
    <t>127202NEGRO260</t>
  </si>
  <si>
    <t>7500421609392</t>
  </si>
  <si>
    <t>ZAPATO MUJER MACKENZIE 127202NEGRO</t>
  </si>
  <si>
    <t>MACKENZIE</t>
  </si>
  <si>
    <t>409401AZUL250</t>
  </si>
  <si>
    <t>7500421498682</t>
  </si>
  <si>
    <t>ZAPATO HOMBRE TITANIUM 409401AZUL</t>
  </si>
  <si>
    <t>TITANIUM</t>
  </si>
  <si>
    <t>110402TAN270</t>
  </si>
  <si>
    <t>7500421522004</t>
  </si>
  <si>
    <t>ZAPATO MUJER RENATA 110402TAN</t>
  </si>
  <si>
    <t>130801AVENA240</t>
  </si>
  <si>
    <t>7500421752654</t>
  </si>
  <si>
    <t>130801NEGRO250</t>
  </si>
  <si>
    <t>7500421743881</t>
  </si>
  <si>
    <t>BALLERINA MUJER RIHANNA 130801NEGRO</t>
  </si>
  <si>
    <t>130801NEGRO260</t>
  </si>
  <si>
    <t>7500421743904</t>
  </si>
  <si>
    <t>116309NEGRO230</t>
  </si>
  <si>
    <t>7500421555729</t>
  </si>
  <si>
    <t>BALLERINA MUJER MARIE 116309NEGRO</t>
  </si>
  <si>
    <t>45605NEGRO220</t>
  </si>
  <si>
    <t>7500421398913</t>
  </si>
  <si>
    <t>ZAPATO MUJER CASTANA 45605NEGRO</t>
  </si>
  <si>
    <t>CASTAÑA</t>
  </si>
  <si>
    <t>127002ORO260</t>
  </si>
  <si>
    <t>7500421576458</t>
  </si>
  <si>
    <t>ZAPATO MUJER STEPHIE 127002ORO</t>
  </si>
  <si>
    <t>STEPHIE</t>
  </si>
  <si>
    <t>13/01/2026</t>
  </si>
  <si>
    <t>34930CAFE230</t>
  </si>
  <si>
    <t>7500421533536</t>
  </si>
  <si>
    <t>SANDALIA MUJER GAIA 34930CAFE</t>
  </si>
  <si>
    <t>GAIA</t>
  </si>
  <si>
    <t>14/01/2026</t>
  </si>
  <si>
    <t>407801NEGRO270</t>
  </si>
  <si>
    <t>7500421434246</t>
  </si>
  <si>
    <t>ZAPATO HOMBRE COOK 407801NEGRO</t>
  </si>
  <si>
    <t>COOK</t>
  </si>
  <si>
    <t>407402NEGRO270</t>
  </si>
  <si>
    <t>7500421514313</t>
  </si>
  <si>
    <t>MOCASIN HOMBRE BARBADOS 407402NEGRO</t>
  </si>
  <si>
    <t>BARBADOS</t>
  </si>
  <si>
    <t>404604SHEDRON280</t>
  </si>
  <si>
    <t>7500421426432</t>
  </si>
  <si>
    <t>BOTIN HOMBRE DINAMO 404604SHEDRON</t>
  </si>
  <si>
    <t>DINAMO</t>
  </si>
  <si>
    <t>119903NEGRO240</t>
  </si>
  <si>
    <t>7500421593653</t>
  </si>
  <si>
    <t>MOCASIN MUJER KIRSTEN 119903NEGRO</t>
  </si>
  <si>
    <t>123004MAQUILLAJE230</t>
  </si>
  <si>
    <t>7500421540138</t>
  </si>
  <si>
    <t>SANDALIA MUJER KADEISHA 123004MAQUILLAJE</t>
  </si>
  <si>
    <t>KADEISHA</t>
  </si>
  <si>
    <t>51727TAUPE250</t>
  </si>
  <si>
    <t>7500421721766</t>
  </si>
  <si>
    <t>45606NEGRO250</t>
  </si>
  <si>
    <t>7500421399163</t>
  </si>
  <si>
    <t>ZAPATO MUJER CASTANA 45606NEGRO</t>
  </si>
  <si>
    <t>107113BEIGE250</t>
  </si>
  <si>
    <t>7500421536216</t>
  </si>
  <si>
    <t>SANDALIA MUJER NORAH 107113BEIGE</t>
  </si>
  <si>
    <t>NORAH</t>
  </si>
  <si>
    <t>122903BLANCO230</t>
  </si>
  <si>
    <t>7500421539583</t>
  </si>
  <si>
    <t>SANDALIA MUJER DEYNA 122903BLANCO</t>
  </si>
  <si>
    <t>DEYNA</t>
  </si>
  <si>
    <t>109403VINO240</t>
  </si>
  <si>
    <t>7500421514542</t>
  </si>
  <si>
    <t>ZAPATO MUJER CHARIS 109403VINO</t>
  </si>
  <si>
    <t>CHARIS</t>
  </si>
  <si>
    <t>409405TAN280</t>
  </si>
  <si>
    <t>7500421552063</t>
  </si>
  <si>
    <t>ZAPATO HOMBRE TITANIUM 409405TAN</t>
  </si>
  <si>
    <t>104806CAFE260</t>
  </si>
  <si>
    <t>7500421461389</t>
  </si>
  <si>
    <t>ZAPATO MUJER CATALEYA 104806CAFE</t>
  </si>
  <si>
    <t>128301NUDE220</t>
  </si>
  <si>
    <t>7500421679456</t>
  </si>
  <si>
    <t>SANDALIA MUJER GILMA 128301NUDE</t>
  </si>
  <si>
    <t>GILMA</t>
  </si>
  <si>
    <t>413005TAN260</t>
  </si>
  <si>
    <t>7500421559031</t>
  </si>
  <si>
    <t>ZAPATILLA HOMBRE HIKA 413005TAN</t>
  </si>
  <si>
    <t>HIKA</t>
  </si>
  <si>
    <t>116309NEGRO235</t>
  </si>
  <si>
    <t>7500421555736</t>
  </si>
  <si>
    <t>134702NEGRO240</t>
  </si>
  <si>
    <t>7500421866511</t>
  </si>
  <si>
    <t>ZAPATILLA MUJER EILEEN 134702NEGRO</t>
  </si>
  <si>
    <t>EILEEN</t>
  </si>
  <si>
    <t>34914NEGRO240</t>
  </si>
  <si>
    <t>7500421440025</t>
  </si>
  <si>
    <t>SANDALIA MUJER GAIA 34914NEGRO</t>
  </si>
  <si>
    <t>127602NEGRO240</t>
  </si>
  <si>
    <t>7500421633458</t>
  </si>
  <si>
    <t>SANDALIA MUJER RORAIMA 127602NEGRO</t>
  </si>
  <si>
    <t>409501NEGRO270</t>
  </si>
  <si>
    <t>7500421499320</t>
  </si>
  <si>
    <t>ZAPATO HOMBRE WAZE 409501NEGRO</t>
  </si>
  <si>
    <t>WAZE</t>
  </si>
  <si>
    <t>104513NEGRO250</t>
  </si>
  <si>
    <t>7500421575796</t>
  </si>
  <si>
    <t>BOTA MUJER IDRIS 104513NEGRO</t>
  </si>
  <si>
    <t>BOTA</t>
  </si>
  <si>
    <t>130103NEGRO240</t>
  </si>
  <si>
    <t>7500421736463</t>
  </si>
  <si>
    <t>BOTIN MUJER FRANCIS 130103NEGRO</t>
  </si>
  <si>
    <t>FRANCIS</t>
  </si>
  <si>
    <t>128706ANTIMONIO270</t>
  </si>
  <si>
    <t>7500421810187</t>
  </si>
  <si>
    <t>ZAPATO MUJER ACAI 128706ANTIMONIO</t>
  </si>
  <si>
    <t>ACAI</t>
  </si>
  <si>
    <t>15/01/2026</t>
  </si>
  <si>
    <t>106411CEREZA250</t>
  </si>
  <si>
    <t>7500421559291</t>
  </si>
  <si>
    <t>SANDALIA MUJER CELINE 106411CEREZA</t>
  </si>
  <si>
    <t>412802SHEDRON290</t>
  </si>
  <si>
    <t>7500421542545</t>
  </si>
  <si>
    <t>102917NEGRO230</t>
  </si>
  <si>
    <t>7500421534410</t>
  </si>
  <si>
    <t>SANDALIA MUJER LORY 102917NEGRO</t>
  </si>
  <si>
    <t>LORY</t>
  </si>
  <si>
    <t>410904NEGRO270</t>
  </si>
  <si>
    <t>7500421582572</t>
  </si>
  <si>
    <t>BOTIN HOMBRE KLIMBER 410904NEGRO</t>
  </si>
  <si>
    <t>KLIMBER</t>
  </si>
  <si>
    <t>118909NEGRO270</t>
  </si>
  <si>
    <t>7500421314456</t>
  </si>
  <si>
    <t>BOTIN MUJER FLAVIA 118909NEGRO</t>
  </si>
  <si>
    <t>409502NEGRO270</t>
  </si>
  <si>
    <t>7500421499443</t>
  </si>
  <si>
    <t>ZAPATO HOMBRE WAZE 409502NEGRO</t>
  </si>
  <si>
    <t>21202NEGRO240</t>
  </si>
  <si>
    <t>7506296161959</t>
  </si>
  <si>
    <t>135602ORO240</t>
  </si>
  <si>
    <t>7500421883488</t>
  </si>
  <si>
    <t>SANDALIA MUJER ESTER 135602ORO</t>
  </si>
  <si>
    <t>ESTER</t>
  </si>
  <si>
    <t>127004NEGRO230</t>
  </si>
  <si>
    <t>7500421665725</t>
  </si>
  <si>
    <t>ZAPATO MUJER STEPHIE 127004NEGRO</t>
  </si>
  <si>
    <t>113313ORO240</t>
  </si>
  <si>
    <t>7500421537077</t>
  </si>
  <si>
    <t>SANDALIA MUJER EMILY 113313ORO</t>
  </si>
  <si>
    <t>EMILY</t>
  </si>
  <si>
    <t>125607BEIGE240</t>
  </si>
  <si>
    <t>7500421774557</t>
  </si>
  <si>
    <t>ZAPATILLA MUJER ASHLEY 125607BEIGE</t>
  </si>
  <si>
    <t>ASHLEY</t>
  </si>
  <si>
    <t>113313ORO230</t>
  </si>
  <si>
    <t>7500421537053</t>
  </si>
  <si>
    <t>113312CAFE230</t>
  </si>
  <si>
    <t>7500421536834</t>
  </si>
  <si>
    <t>SANDALIA MUJER EMILY 113312CAFE</t>
  </si>
  <si>
    <t>130403NEGRO250</t>
  </si>
  <si>
    <t>7500421737880</t>
  </si>
  <si>
    <t>BOTIN MUJER AREL 130403NEGRO</t>
  </si>
  <si>
    <t>AREL</t>
  </si>
  <si>
    <t>120301VINO270</t>
  </si>
  <si>
    <t>7500421522554</t>
  </si>
  <si>
    <t>ZAPATILLA MUJER DEBBIE 120301VINO</t>
  </si>
  <si>
    <t>DEBBIE</t>
  </si>
  <si>
    <t>404601NEGRO290</t>
  </si>
  <si>
    <t>7500421421796</t>
  </si>
  <si>
    <t>ZAPATO HOMBRE DINAMO 404601NEGRO</t>
  </si>
  <si>
    <t>131502TAUPE270</t>
  </si>
  <si>
    <t>7500421859537</t>
  </si>
  <si>
    <t>ZAPATILLA MUJER SALUMA 131502TAUPE</t>
  </si>
  <si>
    <t>SALUMA</t>
  </si>
  <si>
    <t>131601BLANCO250</t>
  </si>
  <si>
    <t>7500421765098</t>
  </si>
  <si>
    <t>ZAPATILLA MUJER INNA 131601BLANCO</t>
  </si>
  <si>
    <t>INNA</t>
  </si>
  <si>
    <t>129701MARINO250</t>
  </si>
  <si>
    <t>7500421692349</t>
  </si>
  <si>
    <t>ZAPATILLA MUJER LUCENA 129701MARINO</t>
  </si>
  <si>
    <t>LUCENA</t>
  </si>
  <si>
    <t>16/01/2026</t>
  </si>
  <si>
    <t>25911CAFE240</t>
  </si>
  <si>
    <t>7500421288306</t>
  </si>
  <si>
    <t>BOTIN MUJER MIROSLAVA 25911CAFE</t>
  </si>
  <si>
    <t>MIROSLAVA</t>
  </si>
  <si>
    <t>128404ALGODON260</t>
  </si>
  <si>
    <t>7500421689790</t>
  </si>
  <si>
    <t>SANDALIA MUJER ITACARE 128404ALGODON</t>
  </si>
  <si>
    <t>126706NEGRO260</t>
  </si>
  <si>
    <t>7500421689233</t>
  </si>
  <si>
    <t>ZAPATO MUJER EDITH 126706NEGRO</t>
  </si>
  <si>
    <t>EDITH</t>
  </si>
  <si>
    <t>124404NEGRO235</t>
  </si>
  <si>
    <t>7500421545317</t>
  </si>
  <si>
    <t>ZAPATO MUJER PIPA 124404NEGRO</t>
  </si>
  <si>
    <t>410401NEGRO260</t>
  </si>
  <si>
    <t>7500421500569</t>
  </si>
  <si>
    <t>MOCASIN HOMBRE COS 410401NEGRO</t>
  </si>
  <si>
    <t>COS</t>
  </si>
  <si>
    <t>124401ALGODON230</t>
  </si>
  <si>
    <t>7500421670392</t>
  </si>
  <si>
    <t>ZAPATO MUJER PIPA 124401ALGODON</t>
  </si>
  <si>
    <t>409901NEGRO280</t>
  </si>
  <si>
    <t>7500421497586</t>
  </si>
  <si>
    <t>ZAPATO HOMBRE RIDER 409901NEGRO</t>
  </si>
  <si>
    <t>RIDER</t>
  </si>
  <si>
    <t>104919AZUL260</t>
  </si>
  <si>
    <t>7500421773604</t>
  </si>
  <si>
    <t>ZAPATILLA MUJER GRECYA 104919AZUL</t>
  </si>
  <si>
    <t>GRECYA</t>
  </si>
  <si>
    <t>116009NEGRO220</t>
  </si>
  <si>
    <t>7500421537695</t>
  </si>
  <si>
    <t>124201PERLA260</t>
  </si>
  <si>
    <t>7500421644171</t>
  </si>
  <si>
    <t>SANDALIA MUJER DARIANA 124201PERLA</t>
  </si>
  <si>
    <t>DARIANA</t>
  </si>
  <si>
    <t>126710DORADO230</t>
  </si>
  <si>
    <t>7500421749128</t>
  </si>
  <si>
    <t>ZAPATO MUJER EDITH 126710DORADO</t>
  </si>
  <si>
    <t>127601NEGRO250</t>
  </si>
  <si>
    <t>7500421615560</t>
  </si>
  <si>
    <t>123007NEGRO250</t>
  </si>
  <si>
    <t>7500421640722</t>
  </si>
  <si>
    <t>SANDALIA MUJER KADEISHA 123007NEGRO</t>
  </si>
  <si>
    <t>126903NEGRO230</t>
  </si>
  <si>
    <t>7500421601662</t>
  </si>
  <si>
    <t>ZAPATO MUJER ZENOBIA 126903NEGRO</t>
  </si>
  <si>
    <t>ZENOBIA</t>
  </si>
  <si>
    <t>18131MADERA230</t>
  </si>
  <si>
    <t>7500421316399</t>
  </si>
  <si>
    <t>BOTIN MUJER KARIME 18131MADERA</t>
  </si>
  <si>
    <t>KARIME</t>
  </si>
  <si>
    <t>406404NEGRO280</t>
  </si>
  <si>
    <t>7500421515235</t>
  </si>
  <si>
    <t>BOTIN HOMBRE BALI 406404NEGRO</t>
  </si>
  <si>
    <t>BALI</t>
  </si>
  <si>
    <t>102921TERRACOTA260</t>
  </si>
  <si>
    <t>7500421637883</t>
  </si>
  <si>
    <t>SANDALIA MUJER LORY 102921TERRACOTA</t>
  </si>
  <si>
    <t>25913NEGRO230</t>
  </si>
  <si>
    <t>7500421415832</t>
  </si>
  <si>
    <t>BOTIN MUJER MIROSLAVA 25913NEGRO</t>
  </si>
  <si>
    <t>123704NEGRO260</t>
  </si>
  <si>
    <t>7500421541845</t>
  </si>
  <si>
    <t>SANDALIA MUJER ZURA 123704NEGRO</t>
  </si>
  <si>
    <t>ZURA</t>
  </si>
  <si>
    <t>50807TAN270</t>
  </si>
  <si>
    <t>7500421316603</t>
  </si>
  <si>
    <t>SANDALIA HOMBRE SANTIAGO 50807TAN</t>
  </si>
  <si>
    <t>SANTIAGO</t>
  </si>
  <si>
    <t>116009BLANCO270</t>
  </si>
  <si>
    <t>7500421537909</t>
  </si>
  <si>
    <t>SANDALIA MUJER AMAPOLA 116009BLANCO</t>
  </si>
  <si>
    <t>126708MARINO240</t>
  </si>
  <si>
    <t>7500421688472</t>
  </si>
  <si>
    <t>ZAPATO MUJER EDITH 126708MARINO</t>
  </si>
  <si>
    <t>404606NEGRO270</t>
  </si>
  <si>
    <t>7500421518984</t>
  </si>
  <si>
    <t>BOTIN HOMBRE DINAMO 404606NEGRO</t>
  </si>
  <si>
    <t>409405TAN270</t>
  </si>
  <si>
    <t>7500421552049</t>
  </si>
  <si>
    <t>123001BLANCO220</t>
  </si>
  <si>
    <t>7500421539781</t>
  </si>
  <si>
    <t>SANDALIA MUJER KADEISHA 123001BLANCO</t>
  </si>
  <si>
    <t>126602NEGRO240</t>
  </si>
  <si>
    <t>7500421315866</t>
  </si>
  <si>
    <t>MOCASIN MUJER HAYEK 126602NEGRO</t>
  </si>
  <si>
    <t>418202NEGRO270</t>
  </si>
  <si>
    <t>7500421760857</t>
  </si>
  <si>
    <t>MOCASIN HOMBRE MCCARTHY 418202NEGRO</t>
  </si>
  <si>
    <t>MCCARTHY</t>
  </si>
  <si>
    <t>133701TAUPE270</t>
  </si>
  <si>
    <t>7500421843956</t>
  </si>
  <si>
    <t>SANDALIA MUJER SIWA 133701TAUPE</t>
  </si>
  <si>
    <t>SIWA</t>
  </si>
  <si>
    <t>417501GRIS260</t>
  </si>
  <si>
    <t>7500421702727</t>
  </si>
  <si>
    <t>ZAPATILLA HOMBRE CARDIFF 417501GRIS</t>
  </si>
  <si>
    <t>CARDIFF</t>
  </si>
  <si>
    <t>19/01/2026</t>
  </si>
  <si>
    <t>127401VINO245</t>
  </si>
  <si>
    <t>7500421599037</t>
  </si>
  <si>
    <t>ZAPATO MUJER MANDY 127401VINO</t>
  </si>
  <si>
    <t>MANDY</t>
  </si>
  <si>
    <t>90718NEGRO290</t>
  </si>
  <si>
    <t>7500421507391</t>
  </si>
  <si>
    <t>ZAPATO HOMBRE SALAMANCA 90718NEGRO</t>
  </si>
  <si>
    <t>SALAMANCA</t>
  </si>
  <si>
    <t>413005TAN280</t>
  </si>
  <si>
    <t>7500421559079</t>
  </si>
  <si>
    <t>119302TAN240</t>
  </si>
  <si>
    <t>7500421528358</t>
  </si>
  <si>
    <t>ZAPATILLA MUJER ROSAURA 119302TAN</t>
  </si>
  <si>
    <t>ROSAURA</t>
  </si>
  <si>
    <t>106414BLANCO270</t>
  </si>
  <si>
    <t>7500421643440</t>
  </si>
  <si>
    <t>SANDALIA MUJER CELINE 106414BLANCO</t>
  </si>
  <si>
    <t>119302NEGRO240</t>
  </si>
  <si>
    <t>7500421525166</t>
  </si>
  <si>
    <t>ZAPATILLA MUJER ROSAURA 119302NEGRO</t>
  </si>
  <si>
    <t>116009BLANCO260</t>
  </si>
  <si>
    <t>7500421537886</t>
  </si>
  <si>
    <t>25913NEGRO240</t>
  </si>
  <si>
    <t>7500421415856</t>
  </si>
  <si>
    <t>400012CAOBA270</t>
  </si>
  <si>
    <t>7500421500125</t>
  </si>
  <si>
    <t>SANDALIA HOMBRE ODIN 400012CAOBA</t>
  </si>
  <si>
    <t>ODIN</t>
  </si>
  <si>
    <t>122703CAFE230</t>
  </si>
  <si>
    <t>7500421543320</t>
  </si>
  <si>
    <t>20/01/2026</t>
  </si>
  <si>
    <t>107303ROSA270</t>
  </si>
  <si>
    <t>7500421490303</t>
  </si>
  <si>
    <t>SANDALIA MUJER FETUCCINI 107303ROSA</t>
  </si>
  <si>
    <t>FETUCCINI</t>
  </si>
  <si>
    <t>106414NUDE270</t>
  </si>
  <si>
    <t>7500421650813</t>
  </si>
  <si>
    <t>SANDALIA MUJER CELINE 106414NUDE</t>
  </si>
  <si>
    <t>127601TAN240</t>
  </si>
  <si>
    <t>7500421633786</t>
  </si>
  <si>
    <t>SANDALIA MUJER RORAIMA 127601TAN</t>
  </si>
  <si>
    <t>117205BEIGE270</t>
  </si>
  <si>
    <t>7500421556023</t>
  </si>
  <si>
    <t>ZAPATILLA MUJER ATSIRI 117205BEIGE</t>
  </si>
  <si>
    <t>123703ORO250</t>
  </si>
  <si>
    <t>7500421641491</t>
  </si>
  <si>
    <t>SANDALIA MUJER ZURA 123703ORO</t>
  </si>
  <si>
    <t>90716NEGRO290</t>
  </si>
  <si>
    <t>7500421507155</t>
  </si>
  <si>
    <t>ZAPATO HOMBRE SALAMANCA 90716NEGRO</t>
  </si>
  <si>
    <t>123103NEGRO220</t>
  </si>
  <si>
    <t>7500421540558</t>
  </si>
  <si>
    <t>SANDALIA MUJER DOHA 123103NEGRO</t>
  </si>
  <si>
    <t>DOHA</t>
  </si>
  <si>
    <t>107701NEGRO230</t>
  </si>
  <si>
    <t>7500421450895</t>
  </si>
  <si>
    <t>ZAPATILLA MUJER CANOLI 107701NEGRO</t>
  </si>
  <si>
    <t>CANOLI</t>
  </si>
  <si>
    <t>107701ORO230</t>
  </si>
  <si>
    <t>7500421554739</t>
  </si>
  <si>
    <t>ZAPATILLA MUJER CANOLI 107701ORO</t>
  </si>
  <si>
    <t>135201BURGUNDY260</t>
  </si>
  <si>
    <t>7500421880142</t>
  </si>
  <si>
    <t>ZAPATILLA MUJER BRERA 135201BURGUNDY</t>
  </si>
  <si>
    <t>BRERA</t>
  </si>
  <si>
    <t>118908NEGRO220</t>
  </si>
  <si>
    <t>7500421703113</t>
  </si>
  <si>
    <t>ZAPATO MUJER FLAVIA 118908NEGRO</t>
  </si>
  <si>
    <t>132201LATTE240</t>
  </si>
  <si>
    <t>7500421775431</t>
  </si>
  <si>
    <t>ZAPATILLA MUJER BRISEA 132201LATTE</t>
  </si>
  <si>
    <t>127901NEGRO230</t>
  </si>
  <si>
    <t>7500421635094</t>
  </si>
  <si>
    <t>SANDALIA MUJER OLINDA 127901NEGRO</t>
  </si>
  <si>
    <t>403604MARINO280</t>
  </si>
  <si>
    <t>7500421435816</t>
  </si>
  <si>
    <t>MOCASIN HOMBRE YAUNDE 403604MARINO</t>
  </si>
  <si>
    <t>YAUNDE</t>
  </si>
  <si>
    <t>110421NEGRO260</t>
  </si>
  <si>
    <t>7500421730720</t>
  </si>
  <si>
    <t>BOTIN MUJER RENATA 110421NEGRO</t>
  </si>
  <si>
    <t>127004MARINO260</t>
  </si>
  <si>
    <t>7500421718797</t>
  </si>
  <si>
    <t>ZAPATO MUJER STEPHIE 127004MARINO</t>
  </si>
  <si>
    <t>417605TAUPE270</t>
  </si>
  <si>
    <t>7500421754733</t>
  </si>
  <si>
    <t>BOTIN HOMBRE HEIKO 417605TAUPE</t>
  </si>
  <si>
    <t>HEIKO</t>
  </si>
  <si>
    <t>404606TAN270</t>
  </si>
  <si>
    <t>7500421515099</t>
  </si>
  <si>
    <t>BOTIN HOMBRE DINAMO 404606TAN</t>
  </si>
  <si>
    <t>126606DORADO240</t>
  </si>
  <si>
    <t>7500421744505</t>
  </si>
  <si>
    <t>MOCASIN MUJER HAYEK 126606DORADO</t>
  </si>
  <si>
    <t>118702TAN240</t>
  </si>
  <si>
    <t>7500421518427</t>
  </si>
  <si>
    <t>ZAPATO MUJER CAMPBELL 118702TAN</t>
  </si>
  <si>
    <t>CAMPBELL</t>
  </si>
  <si>
    <t>409401AZUL280</t>
  </si>
  <si>
    <t>7500421498743</t>
  </si>
  <si>
    <t>420702BEIGE290</t>
  </si>
  <si>
    <t>7500421874936</t>
  </si>
  <si>
    <t>ZAPATILLA HOMBRE KING 420702BEIGE</t>
  </si>
  <si>
    <t>KING</t>
  </si>
  <si>
    <t>106411ORO240</t>
  </si>
  <si>
    <t>7500421535318</t>
  </si>
  <si>
    <t>SANDALIA MUJER CELINE 106411ORO</t>
  </si>
  <si>
    <t>418201TAN290</t>
  </si>
  <si>
    <t>7500421761007</t>
  </si>
  <si>
    <t>MOCASIN HOMBRE MCCARTHY 418201TAN</t>
  </si>
  <si>
    <t>400012CAOBA280</t>
  </si>
  <si>
    <t>7500421500149</t>
  </si>
  <si>
    <t>128503HUESO260</t>
  </si>
  <si>
    <t>7500421690604</t>
  </si>
  <si>
    <t>SANDALIA MUJER LEXA 128503HUESO</t>
  </si>
  <si>
    <t>21/01/2026</t>
  </si>
  <si>
    <t>1687976791</t>
  </si>
  <si>
    <t>DESPACHO</t>
  </si>
  <si>
    <t>NO APLICA</t>
  </si>
  <si>
    <t>106414NEGRO240</t>
  </si>
  <si>
    <t>7500421638507</t>
  </si>
  <si>
    <t>SANDALIA MUJER CELINE 106414NEGRO</t>
  </si>
  <si>
    <t>22/01/2026</t>
  </si>
  <si>
    <t>127602NUDE250</t>
  </si>
  <si>
    <t>7500421633250</t>
  </si>
  <si>
    <t>SANDALIA MUJER RORAIMA 127602NUDE</t>
  </si>
  <si>
    <t>126706ORO260</t>
  </si>
  <si>
    <t>7500421689004</t>
  </si>
  <si>
    <t>ZAPATO MUJER EDITH 126706ORO</t>
  </si>
  <si>
    <t>105113BEIGE260</t>
  </si>
  <si>
    <t>7500421774267</t>
  </si>
  <si>
    <t>ZAPATILLA MUJER CASIOPEA 105113BEIGE</t>
  </si>
  <si>
    <t>119901CAFE220</t>
  </si>
  <si>
    <t>7500421456811</t>
  </si>
  <si>
    <t>MOCASIN MUJER KIRSTEN 119901CAFE</t>
  </si>
  <si>
    <t>113325CREMA250</t>
  </si>
  <si>
    <t>7500421812792</t>
  </si>
  <si>
    <t>SANDALIA MUJER EMILY 113325CREMA</t>
  </si>
  <si>
    <t>48303BLANCO230</t>
  </si>
  <si>
    <t>7500421403976</t>
  </si>
  <si>
    <t>ZAPATO MUJER OFELIA 48303BLANCO</t>
  </si>
  <si>
    <t>OFELIA</t>
  </si>
  <si>
    <t>126602TAUPE230</t>
  </si>
  <si>
    <t>7500421315620</t>
  </si>
  <si>
    <t>MOCASIN MUJER HAYEK 126602TAUPE</t>
  </si>
  <si>
    <t>118902NEGRO260</t>
  </si>
  <si>
    <t>7500421526088</t>
  </si>
  <si>
    <t>ZAPATO MUJER FLAVIA 118902NEGRO</t>
  </si>
  <si>
    <t>123001BLANCO240</t>
  </si>
  <si>
    <t>7500421539828</t>
  </si>
  <si>
    <t>124202TAN260</t>
  </si>
  <si>
    <t>7500421554906</t>
  </si>
  <si>
    <t>SANDALIA MUJER DARIANA 124202TAN</t>
  </si>
  <si>
    <t>129203NEGRO230</t>
  </si>
  <si>
    <t>7500421716311</t>
  </si>
  <si>
    <t>ZAPATILLA MUJER BARDI 129203NEGRO</t>
  </si>
  <si>
    <t>BARDI</t>
  </si>
  <si>
    <t>126602NEGRO220</t>
  </si>
  <si>
    <t>7500421315828</t>
  </si>
  <si>
    <t>415307NEGRO280</t>
  </si>
  <si>
    <t>7500421929667</t>
  </si>
  <si>
    <t>ZAPATILLA HOMBRE FRASER 415307NEGRO</t>
  </si>
  <si>
    <t>FRASER</t>
  </si>
  <si>
    <t>23/01/2026</t>
  </si>
  <si>
    <t>125401BLANCO270</t>
  </si>
  <si>
    <t>7500421566442</t>
  </si>
  <si>
    <t>ZAPATILLA MUJER LINA 125401BLANCO</t>
  </si>
  <si>
    <t>LINA</t>
  </si>
  <si>
    <t>124802GRIS240</t>
  </si>
  <si>
    <t>7500421548400</t>
  </si>
  <si>
    <t>ZAPATILLA MUJER DANNA 124802GRIS</t>
  </si>
  <si>
    <t>DANNA</t>
  </si>
  <si>
    <t>133501ROJO230</t>
  </si>
  <si>
    <t>7500421854341</t>
  </si>
  <si>
    <t>SANDALIA MUJER KAIA 133501ROJO</t>
  </si>
  <si>
    <t>KAIA</t>
  </si>
  <si>
    <t>124802GRIS250</t>
  </si>
  <si>
    <t>7500421548424</t>
  </si>
  <si>
    <t>102921TERRACOTA230</t>
  </si>
  <si>
    <t>7500421637821</t>
  </si>
  <si>
    <t>417501NEGRO270</t>
  </si>
  <si>
    <t>7500421673805</t>
  </si>
  <si>
    <t>ZAPATILLA HOMBRE CARDIFF 417501NEGRO</t>
  </si>
  <si>
    <t>122901BEIGE230</t>
  </si>
  <si>
    <t>7500421539149</t>
  </si>
  <si>
    <t>SANDALIA MUJER DEYNA 122901BEIGE</t>
  </si>
  <si>
    <t>127703TERRACOTA250</t>
  </si>
  <si>
    <t>7500421634134</t>
  </si>
  <si>
    <t>SANDALIA MUJER MANAUS 127703TERRACOTA</t>
  </si>
  <si>
    <t>MANAUS</t>
  </si>
  <si>
    <t>123007TAUPE230</t>
  </si>
  <si>
    <t>7500421640906</t>
  </si>
  <si>
    <t>SANDALIA MUJER KADEISHA 123007TAUPE</t>
  </si>
  <si>
    <t>101407AZUL220</t>
  </si>
  <si>
    <t>7500421459546</t>
  </si>
  <si>
    <t>ZAPATILLA MUJER TESSA 101407AZUL</t>
  </si>
  <si>
    <t>TESSA</t>
  </si>
  <si>
    <t>113310TERRACOTA220</t>
  </si>
  <si>
    <t>7500421654637</t>
  </si>
  <si>
    <t>SANDALIA MUJER EMILY 113310TERRACOTA</t>
  </si>
  <si>
    <t>125401NEGRO250</t>
  </si>
  <si>
    <t>7500421594223</t>
  </si>
  <si>
    <t>ZAPATILLA MUJER LINA 125401NEGRO</t>
  </si>
  <si>
    <t>28/01/2026</t>
  </si>
  <si>
    <t>134503NEGRO240</t>
  </si>
  <si>
    <t>7500421863923</t>
  </si>
  <si>
    <t>ZAPATILLA MUJER MILAN 134503NEGRO</t>
  </si>
  <si>
    <t>MILAN</t>
  </si>
  <si>
    <t>102920NEGRO230</t>
  </si>
  <si>
    <t>7500421534854</t>
  </si>
  <si>
    <t>SANDALIA MUJER LORY 102920NEGRO</t>
  </si>
  <si>
    <t>100216ROSA230</t>
  </si>
  <si>
    <t>7500421490778</t>
  </si>
  <si>
    <t>SANDALIA MUJER PEONIA 100216ROSA</t>
  </si>
  <si>
    <t>PEONIA</t>
  </si>
  <si>
    <t>103504BEIGE230</t>
  </si>
  <si>
    <t>7500421610725</t>
  </si>
  <si>
    <t>ZAPATILLA MUJER JESSY 103504BEIGE</t>
  </si>
  <si>
    <t>JESSY</t>
  </si>
  <si>
    <t>102921TERRACOTA250</t>
  </si>
  <si>
    <t>7500421637869</t>
  </si>
  <si>
    <t>130208DORADO230</t>
  </si>
  <si>
    <t>7500421979518</t>
  </si>
  <si>
    <t>ZAPATILLA MUJER AZURE 130208DORADO</t>
  </si>
  <si>
    <t>107303ROSA230</t>
  </si>
  <si>
    <t>7500421490228</t>
  </si>
  <si>
    <t>128304BLANCO230</t>
  </si>
  <si>
    <t>7500421663646</t>
  </si>
  <si>
    <t>SANDALIA MUJER GILMA 128304BLANCO</t>
  </si>
  <si>
    <t>127202BEIGE250</t>
  </si>
  <si>
    <t>7500421731161</t>
  </si>
  <si>
    <t>ZAPATO MUJER MACKENZIE 127202BEIGE</t>
  </si>
  <si>
    <t>410801NEGRO270</t>
  </si>
  <si>
    <t>7500421497685</t>
  </si>
  <si>
    <t>ZAPATILLA HOMBRE LAUNCHER 410801NEGRO</t>
  </si>
  <si>
    <t>LAUNCHER</t>
  </si>
  <si>
    <t>418201TAN280</t>
  </si>
  <si>
    <t>7500421760987</t>
  </si>
  <si>
    <t>413005TAN290</t>
  </si>
  <si>
    <t>7500421559093</t>
  </si>
  <si>
    <t>51727NEGRO240</t>
  </si>
  <si>
    <t>7500421718865</t>
  </si>
  <si>
    <t>ZAPATO MUJER LIBRA 51727NEGRO</t>
  </si>
  <si>
    <t>127901NEGRO240</t>
  </si>
  <si>
    <t>7500421635117</t>
  </si>
  <si>
    <t>115306NEGRO230</t>
  </si>
  <si>
    <t>7500421537602</t>
  </si>
  <si>
    <t>SANDALIA MUJER XANDRA 115306NEGRO</t>
  </si>
  <si>
    <t>XANDRA</t>
  </si>
  <si>
    <t>402521NEGRO270</t>
  </si>
  <si>
    <t>7500421754139</t>
  </si>
  <si>
    <t>BOTIN HOMBRE GASLY 402521NEGRO</t>
  </si>
  <si>
    <t>48303BLANCO250</t>
  </si>
  <si>
    <t>7500421404010</t>
  </si>
  <si>
    <t>107303BROWN270</t>
  </si>
  <si>
    <t>7500421490419</t>
  </si>
  <si>
    <t>SANDALIA MUJER FETUCCINI 107303BROWN</t>
  </si>
  <si>
    <t>102919BLANCO260</t>
  </si>
  <si>
    <t>7500421534694</t>
  </si>
  <si>
    <t>SANDALIA MUJER LORY 102919BLANCO</t>
  </si>
  <si>
    <t>NETO</t>
  </si>
  <si>
    <t>COSTO VENTA</t>
  </si>
  <si>
    <t>MARGEN</t>
  </si>
  <si>
    <t>OBSERVACION</t>
  </si>
  <si>
    <t>APORTE MKTG MX</t>
  </si>
  <si>
    <t>APORTE RIPLEY MKPL</t>
  </si>
  <si>
    <t>NC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</si>
</sst>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0" fillId="0" borderId="0" xfId="0" quotePrefix="1"/>
    <xf numFmtId="3" fontId="0" fillId="0" borderId="0" xfId="0" applyNumberFormat="1"/>
    <xf numFmtId="0" fontId="2" fillId="0" borderId="0" xfId="0" applyFont="1"/>
    <xf numFmtId="42" fontId="2" fillId="0" borderId="0" xfId="1" applyFont="1" applyFill="1" applyBorder="1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0" fillId="0" borderId="0" xfId="0" applyNumberFormat="1"/>
    <xf numFmtId="42" fontId="2" fillId="2" borderId="2" xfId="1" applyFont="1" applyFill="1" applyBorder="1" applyAlignment="1">
      <alignment horizontal="center" vertical="center"/>
    </xf>
    <xf numFmtId="0" fontId="2" fillId="2" borderId="2" xfId="0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BF66-8A9F-4D6E-9815-F254B71BB92E}">
  <dimension ref="A2:T225"/>
  <sheetViews>
    <sheetView tabSelected="1" topLeftCell="A213" zoomScale="75" zoomScaleNormal="75" workbookViewId="0">
      <selection activeCell="A5" sqref="A5:XFD226"/>
    </sheetView>
  </sheetViews>
  <sheetFormatPr baseColWidth="10" defaultRowHeight="14" x14ac:dyDescent="0.3"/>
  <cols>
    <col min="1" max="1" width="7.296875" bestFit="1" customWidth="1"/>
    <col min="2" max="2" width="16.3984375" bestFit="1" customWidth="1"/>
    <col min="3" max="3" width="20.8984375" bestFit="1" customWidth="1"/>
    <col min="4" max="4" width="14.3984375" bestFit="1" customWidth="1"/>
    <col min="5" max="5" width="31.69921875" customWidth="1"/>
    <col min="6" max="6" width="10.3984375" bestFit="1" customWidth="1"/>
    <col min="7" max="7" width="9.8984375" bestFit="1" customWidth="1"/>
    <col min="8" max="8" width="11.296875" bestFit="1" customWidth="1"/>
    <col min="9" max="9" width="11.69921875" bestFit="1" customWidth="1"/>
    <col min="10" max="10" width="12.69921875" bestFit="1" customWidth="1"/>
    <col min="11" max="11" width="10.3984375" bestFit="1" customWidth="1"/>
    <col min="12" max="12" width="10" bestFit="1" customWidth="1"/>
    <col min="13" max="13" width="13.796875" bestFit="1" customWidth="1"/>
    <col min="14" max="14" width="10.19921875" bestFit="1" customWidth="1"/>
    <col min="15" max="15" width="9.3984375" bestFit="1" customWidth="1"/>
    <col min="16" max="16" width="16" bestFit="1" customWidth="1"/>
    <col min="17" max="17" width="12" style="6" bestFit="1" customWidth="1"/>
    <col min="18" max="18" width="14" style="6" bestFit="1" customWidth="1"/>
  </cols>
  <sheetData>
    <row r="2" spans="1:20" x14ac:dyDescent="0.3">
      <c r="Q2" s="6">
        <f>SUBTOTAL(9,Q5:Q225)</f>
        <v>-4433721.8487394974</v>
      </c>
      <c r="R2" s="6">
        <f t="shared" ref="R2:S2" si="0">SUBTOTAL(9,R5:R225)</f>
        <v>-5408770</v>
      </c>
      <c r="S2" s="6">
        <f t="shared" si="0"/>
        <v>975048.15126049973</v>
      </c>
    </row>
    <row r="3" spans="1:20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8" t="s">
        <v>724</v>
      </c>
      <c r="R3" s="8" t="s">
        <v>725</v>
      </c>
      <c r="S3" s="9" t="s">
        <v>726</v>
      </c>
      <c r="T3" s="9" t="s">
        <v>727</v>
      </c>
    </row>
    <row r="4" spans="1:2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4"/>
    </row>
    <row r="5" spans="1:20" x14ac:dyDescent="0.3">
      <c r="A5">
        <v>300</v>
      </c>
      <c r="B5" t="s">
        <v>16</v>
      </c>
      <c r="C5">
        <v>999999</v>
      </c>
      <c r="D5" s="2" t="s">
        <v>17</v>
      </c>
      <c r="E5" t="s">
        <v>18</v>
      </c>
      <c r="F5" t="s">
        <v>19</v>
      </c>
      <c r="G5" t="s">
        <v>19</v>
      </c>
      <c r="H5" t="s">
        <v>19</v>
      </c>
      <c r="I5" t="s">
        <v>20</v>
      </c>
      <c r="J5" t="s">
        <v>19</v>
      </c>
      <c r="K5" s="2" t="s">
        <v>21</v>
      </c>
      <c r="L5" t="s">
        <v>22</v>
      </c>
      <c r="M5">
        <v>736</v>
      </c>
      <c r="N5">
        <v>1</v>
      </c>
      <c r="O5" s="3">
        <v>4463778</v>
      </c>
      <c r="P5">
        <v>1</v>
      </c>
      <c r="Q5" s="6">
        <f>O5/1.19</f>
        <v>3751073.9495798321</v>
      </c>
      <c r="R5" s="6">
        <f>N5*P5</f>
        <v>1</v>
      </c>
      <c r="S5" s="7">
        <f>Q5-R5</f>
        <v>3751072.9495798321</v>
      </c>
      <c r="T5" t="s">
        <v>728</v>
      </c>
    </row>
    <row r="6" spans="1:20" x14ac:dyDescent="0.3">
      <c r="A6">
        <v>300</v>
      </c>
      <c r="B6" t="s">
        <v>16</v>
      </c>
      <c r="C6" t="s">
        <v>23</v>
      </c>
      <c r="D6" s="2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20</v>
      </c>
      <c r="J6" t="s">
        <v>29</v>
      </c>
      <c r="K6" s="2" t="s">
        <v>21</v>
      </c>
      <c r="L6" t="s">
        <v>30</v>
      </c>
      <c r="M6">
        <v>24718</v>
      </c>
      <c r="N6">
        <v>-1</v>
      </c>
      <c r="O6" s="3">
        <v>-36990</v>
      </c>
      <c r="P6" s="3">
        <v>22469</v>
      </c>
      <c r="Q6" s="6">
        <f t="shared" ref="Q6:Q69" si="1">O6/1.19</f>
        <v>-31084.033613445379</v>
      </c>
      <c r="R6" s="6">
        <f t="shared" ref="R6:R69" si="2">N6*P6</f>
        <v>-22469</v>
      </c>
      <c r="S6" s="7">
        <f t="shared" ref="S6:S69" si="3">Q6-R6</f>
        <v>-8615.0336134453792</v>
      </c>
      <c r="T6" t="s">
        <v>730</v>
      </c>
    </row>
    <row r="7" spans="1:20" x14ac:dyDescent="0.3">
      <c r="A7">
        <v>300</v>
      </c>
      <c r="B7" t="s">
        <v>16</v>
      </c>
      <c r="C7" t="s">
        <v>31</v>
      </c>
      <c r="D7" s="2" t="s">
        <v>32</v>
      </c>
      <c r="E7" t="s">
        <v>33</v>
      </c>
      <c r="F7" t="s">
        <v>26</v>
      </c>
      <c r="G7" t="s">
        <v>27</v>
      </c>
      <c r="H7" t="s">
        <v>34</v>
      </c>
      <c r="I7" t="s">
        <v>20</v>
      </c>
      <c r="J7" t="s">
        <v>35</v>
      </c>
      <c r="K7" s="2" t="s">
        <v>21</v>
      </c>
      <c r="L7" t="s">
        <v>30</v>
      </c>
      <c r="M7">
        <v>24719</v>
      </c>
      <c r="N7">
        <v>-1</v>
      </c>
      <c r="O7" s="3">
        <v>-44990</v>
      </c>
      <c r="P7" s="3">
        <v>26647</v>
      </c>
      <c r="Q7" s="6">
        <f t="shared" si="1"/>
        <v>-37806.722689075636</v>
      </c>
      <c r="R7" s="6">
        <f t="shared" si="2"/>
        <v>-26647</v>
      </c>
      <c r="S7" s="7">
        <f t="shared" si="3"/>
        <v>-11159.722689075636</v>
      </c>
      <c r="T7" t="s">
        <v>730</v>
      </c>
    </row>
    <row r="8" spans="1:20" x14ac:dyDescent="0.3">
      <c r="A8">
        <v>300</v>
      </c>
      <c r="B8" t="s">
        <v>16</v>
      </c>
      <c r="C8" t="s">
        <v>36</v>
      </c>
      <c r="D8" s="2" t="s">
        <v>37</v>
      </c>
      <c r="E8" t="s">
        <v>38</v>
      </c>
      <c r="F8" t="s">
        <v>26</v>
      </c>
      <c r="G8" t="s">
        <v>27</v>
      </c>
      <c r="H8" t="s">
        <v>39</v>
      </c>
      <c r="I8" t="s">
        <v>20</v>
      </c>
      <c r="J8" t="s">
        <v>35</v>
      </c>
      <c r="K8" s="2" t="s">
        <v>21</v>
      </c>
      <c r="L8" t="s">
        <v>30</v>
      </c>
      <c r="M8">
        <v>24720</v>
      </c>
      <c r="N8">
        <v>-1</v>
      </c>
      <c r="O8" s="3">
        <v>-44990</v>
      </c>
      <c r="P8" s="3">
        <v>27693</v>
      </c>
      <c r="Q8" s="6">
        <f t="shared" si="1"/>
        <v>-37806.722689075636</v>
      </c>
      <c r="R8" s="6">
        <f t="shared" si="2"/>
        <v>-27693</v>
      </c>
      <c r="S8" s="7">
        <f t="shared" si="3"/>
        <v>-10113.722689075636</v>
      </c>
      <c r="T8" t="s">
        <v>730</v>
      </c>
    </row>
    <row r="9" spans="1:20" x14ac:dyDescent="0.3">
      <c r="A9">
        <v>300</v>
      </c>
      <c r="B9" t="s">
        <v>16</v>
      </c>
      <c r="C9" t="s">
        <v>40</v>
      </c>
      <c r="D9" s="2" t="s">
        <v>41</v>
      </c>
      <c r="E9" t="s">
        <v>42</v>
      </c>
      <c r="F9" t="s">
        <v>26</v>
      </c>
      <c r="G9" t="s">
        <v>27</v>
      </c>
      <c r="H9" t="s">
        <v>43</v>
      </c>
      <c r="I9" t="s">
        <v>20</v>
      </c>
      <c r="J9" t="s">
        <v>44</v>
      </c>
      <c r="K9" s="2" t="s">
        <v>45</v>
      </c>
      <c r="L9" t="s">
        <v>30</v>
      </c>
      <c r="M9">
        <v>24721</v>
      </c>
      <c r="N9">
        <v>-1</v>
      </c>
      <c r="O9" s="3">
        <v>-34990</v>
      </c>
      <c r="P9" s="3">
        <v>22371</v>
      </c>
      <c r="Q9" s="6">
        <f t="shared" si="1"/>
        <v>-29403.361344537818</v>
      </c>
      <c r="R9" s="6">
        <f t="shared" si="2"/>
        <v>-22371</v>
      </c>
      <c r="S9" s="7">
        <f t="shared" si="3"/>
        <v>-7032.3613445378178</v>
      </c>
      <c r="T9" t="s">
        <v>730</v>
      </c>
    </row>
    <row r="10" spans="1:20" x14ac:dyDescent="0.3">
      <c r="A10">
        <v>300</v>
      </c>
      <c r="B10" t="s">
        <v>16</v>
      </c>
      <c r="C10" t="s">
        <v>46</v>
      </c>
      <c r="D10" s="2" t="s">
        <v>47</v>
      </c>
      <c r="E10" t="s">
        <v>48</v>
      </c>
      <c r="F10" t="s">
        <v>26</v>
      </c>
      <c r="G10" t="s">
        <v>27</v>
      </c>
      <c r="H10" t="s">
        <v>49</v>
      </c>
      <c r="I10" t="s">
        <v>20</v>
      </c>
      <c r="J10" t="s">
        <v>50</v>
      </c>
      <c r="K10" s="2" t="s">
        <v>45</v>
      </c>
      <c r="L10" t="s">
        <v>30</v>
      </c>
      <c r="M10">
        <v>24727</v>
      </c>
      <c r="N10">
        <v>-1</v>
      </c>
      <c r="O10" s="3">
        <v>-41990</v>
      </c>
      <c r="P10" s="3">
        <v>21039</v>
      </c>
      <c r="Q10" s="6">
        <f t="shared" si="1"/>
        <v>-35285.71428571429</v>
      </c>
      <c r="R10" s="6">
        <f t="shared" si="2"/>
        <v>-21039</v>
      </c>
      <c r="S10" s="7">
        <f t="shared" si="3"/>
        <v>-14246.71428571429</v>
      </c>
      <c r="T10" t="s">
        <v>730</v>
      </c>
    </row>
    <row r="11" spans="1:20" x14ac:dyDescent="0.3">
      <c r="A11">
        <v>300</v>
      </c>
      <c r="B11" t="s">
        <v>16</v>
      </c>
      <c r="C11" t="s">
        <v>51</v>
      </c>
      <c r="D11" s="2" t="s">
        <v>52</v>
      </c>
      <c r="E11" t="s">
        <v>53</v>
      </c>
      <c r="F11" t="s">
        <v>26</v>
      </c>
      <c r="G11" t="s">
        <v>27</v>
      </c>
      <c r="H11" t="s">
        <v>54</v>
      </c>
      <c r="I11" t="s">
        <v>20</v>
      </c>
      <c r="J11" t="s">
        <v>50</v>
      </c>
      <c r="K11" s="2" t="s">
        <v>45</v>
      </c>
      <c r="L11" t="s">
        <v>30</v>
      </c>
      <c r="M11">
        <v>24728</v>
      </c>
      <c r="N11">
        <v>-1</v>
      </c>
      <c r="O11" s="3">
        <v>-34990</v>
      </c>
      <c r="P11" s="3">
        <v>21972</v>
      </c>
      <c r="Q11" s="6">
        <f t="shared" si="1"/>
        <v>-29403.361344537818</v>
      </c>
      <c r="R11" s="6">
        <f t="shared" si="2"/>
        <v>-21972</v>
      </c>
      <c r="S11" s="7">
        <f t="shared" si="3"/>
        <v>-7431.3613445378178</v>
      </c>
      <c r="T11" t="s">
        <v>730</v>
      </c>
    </row>
    <row r="12" spans="1:20" x14ac:dyDescent="0.3">
      <c r="A12">
        <v>300</v>
      </c>
      <c r="B12" t="s">
        <v>16</v>
      </c>
      <c r="C12" t="s">
        <v>55</v>
      </c>
      <c r="D12" s="2" t="s">
        <v>56</v>
      </c>
      <c r="E12" t="s">
        <v>57</v>
      </c>
      <c r="F12" t="s">
        <v>26</v>
      </c>
      <c r="G12" t="s">
        <v>27</v>
      </c>
      <c r="H12" t="s">
        <v>58</v>
      </c>
      <c r="I12" t="s">
        <v>20</v>
      </c>
      <c r="J12" t="s">
        <v>29</v>
      </c>
      <c r="K12" s="2" t="s">
        <v>45</v>
      </c>
      <c r="L12" t="s">
        <v>30</v>
      </c>
      <c r="M12">
        <v>24729</v>
      </c>
      <c r="N12">
        <v>-1</v>
      </c>
      <c r="O12" s="3">
        <v>-44990</v>
      </c>
      <c r="P12" s="3">
        <v>27162</v>
      </c>
      <c r="Q12" s="6">
        <f t="shared" si="1"/>
        <v>-37806.722689075636</v>
      </c>
      <c r="R12" s="6">
        <f t="shared" si="2"/>
        <v>-27162</v>
      </c>
      <c r="S12" s="7">
        <f t="shared" si="3"/>
        <v>-10644.722689075636</v>
      </c>
      <c r="T12" t="s">
        <v>730</v>
      </c>
    </row>
    <row r="13" spans="1:20" x14ac:dyDescent="0.3">
      <c r="A13">
        <v>300</v>
      </c>
      <c r="B13" t="s">
        <v>16</v>
      </c>
      <c r="C13" t="s">
        <v>59</v>
      </c>
      <c r="D13" s="2" t="s">
        <v>60</v>
      </c>
      <c r="E13" t="s">
        <v>61</v>
      </c>
      <c r="F13" t="s">
        <v>26</v>
      </c>
      <c r="G13" t="s">
        <v>27</v>
      </c>
      <c r="H13" t="s">
        <v>62</v>
      </c>
      <c r="I13" t="s">
        <v>20</v>
      </c>
      <c r="J13" t="s">
        <v>63</v>
      </c>
      <c r="K13" s="2" t="s">
        <v>45</v>
      </c>
      <c r="L13" t="s">
        <v>30</v>
      </c>
      <c r="M13">
        <v>24730</v>
      </c>
      <c r="N13">
        <v>-1</v>
      </c>
      <c r="O13" s="3">
        <v>-41990</v>
      </c>
      <c r="P13" s="3">
        <v>22782</v>
      </c>
      <c r="Q13" s="6">
        <f t="shared" si="1"/>
        <v>-35285.71428571429</v>
      </c>
      <c r="R13" s="6">
        <f t="shared" si="2"/>
        <v>-22782</v>
      </c>
      <c r="S13" s="7">
        <f t="shared" si="3"/>
        <v>-12503.71428571429</v>
      </c>
      <c r="T13" t="s">
        <v>730</v>
      </c>
    </row>
    <row r="14" spans="1:20" x14ac:dyDescent="0.3">
      <c r="A14">
        <v>300</v>
      </c>
      <c r="B14" t="s">
        <v>16</v>
      </c>
      <c r="C14" t="s">
        <v>64</v>
      </c>
      <c r="D14" s="2" t="s">
        <v>65</v>
      </c>
      <c r="E14" t="s">
        <v>66</v>
      </c>
      <c r="F14" t="s">
        <v>26</v>
      </c>
      <c r="G14" t="s">
        <v>27</v>
      </c>
      <c r="H14" t="s">
        <v>67</v>
      </c>
      <c r="I14" t="s">
        <v>20</v>
      </c>
      <c r="J14" t="s">
        <v>63</v>
      </c>
      <c r="K14" s="2" t="s">
        <v>45</v>
      </c>
      <c r="L14" t="s">
        <v>30</v>
      </c>
      <c r="M14">
        <v>24731</v>
      </c>
      <c r="N14">
        <v>-1</v>
      </c>
      <c r="O14" s="3">
        <v>-37990</v>
      </c>
      <c r="P14" s="3">
        <v>19572</v>
      </c>
      <c r="Q14" s="6">
        <f t="shared" si="1"/>
        <v>-31924.36974789916</v>
      </c>
      <c r="R14" s="6">
        <f t="shared" si="2"/>
        <v>-19572</v>
      </c>
      <c r="S14" s="7">
        <f t="shared" si="3"/>
        <v>-12352.36974789916</v>
      </c>
      <c r="T14" t="s">
        <v>730</v>
      </c>
    </row>
    <row r="15" spans="1:20" x14ac:dyDescent="0.3">
      <c r="A15">
        <v>300</v>
      </c>
      <c r="B15" t="s">
        <v>16</v>
      </c>
      <c r="C15" t="s">
        <v>68</v>
      </c>
      <c r="D15" s="2" t="s">
        <v>69</v>
      </c>
      <c r="E15" t="s">
        <v>70</v>
      </c>
      <c r="F15" t="s">
        <v>26</v>
      </c>
      <c r="G15" t="s">
        <v>71</v>
      </c>
      <c r="H15">
        <v>28204</v>
      </c>
      <c r="I15" t="s">
        <v>20</v>
      </c>
      <c r="J15" t="s">
        <v>35</v>
      </c>
      <c r="K15" s="2" t="s">
        <v>45</v>
      </c>
      <c r="L15" t="s">
        <v>30</v>
      </c>
      <c r="M15">
        <v>24732</v>
      </c>
      <c r="N15">
        <v>-1</v>
      </c>
      <c r="O15" s="3">
        <v>-64950</v>
      </c>
      <c r="P15" s="3">
        <v>20434</v>
      </c>
      <c r="Q15" s="6">
        <f t="shared" si="1"/>
        <v>-54579.831932773115</v>
      </c>
      <c r="R15" s="6">
        <f t="shared" si="2"/>
        <v>-20434</v>
      </c>
      <c r="S15" s="7">
        <f t="shared" si="3"/>
        <v>-34145.831932773115</v>
      </c>
      <c r="T15" t="s">
        <v>730</v>
      </c>
    </row>
    <row r="16" spans="1:20" x14ac:dyDescent="0.3">
      <c r="A16">
        <v>300</v>
      </c>
      <c r="B16" t="s">
        <v>16</v>
      </c>
      <c r="C16" t="s">
        <v>72</v>
      </c>
      <c r="D16" s="2" t="s">
        <v>73</v>
      </c>
      <c r="E16" t="s">
        <v>74</v>
      </c>
      <c r="F16" t="s">
        <v>26</v>
      </c>
      <c r="G16" t="s">
        <v>27</v>
      </c>
      <c r="H16" t="s">
        <v>75</v>
      </c>
      <c r="I16" t="s">
        <v>20</v>
      </c>
      <c r="J16" t="s">
        <v>35</v>
      </c>
      <c r="K16" s="2" t="s">
        <v>45</v>
      </c>
      <c r="L16" t="s">
        <v>30</v>
      </c>
      <c r="M16">
        <v>24733</v>
      </c>
      <c r="N16">
        <v>-1</v>
      </c>
      <c r="O16" s="3">
        <v>-55990</v>
      </c>
      <c r="P16" s="3">
        <v>29789</v>
      </c>
      <c r="Q16" s="6">
        <f t="shared" si="1"/>
        <v>-47050.420168067227</v>
      </c>
      <c r="R16" s="6">
        <f t="shared" si="2"/>
        <v>-29789</v>
      </c>
      <c r="S16" s="7">
        <f t="shared" si="3"/>
        <v>-17261.420168067227</v>
      </c>
      <c r="T16" t="s">
        <v>730</v>
      </c>
    </row>
    <row r="17" spans="1:20" x14ac:dyDescent="0.3">
      <c r="A17">
        <v>300</v>
      </c>
      <c r="B17" t="s">
        <v>16</v>
      </c>
      <c r="C17" t="s">
        <v>76</v>
      </c>
      <c r="D17" s="2" t="s">
        <v>77</v>
      </c>
      <c r="E17" t="s">
        <v>78</v>
      </c>
      <c r="F17" t="s">
        <v>26</v>
      </c>
      <c r="G17" t="s">
        <v>27</v>
      </c>
      <c r="H17" t="s">
        <v>79</v>
      </c>
      <c r="I17" t="s">
        <v>20</v>
      </c>
      <c r="J17" t="s">
        <v>50</v>
      </c>
      <c r="K17" s="2" t="s">
        <v>45</v>
      </c>
      <c r="L17" t="s">
        <v>30</v>
      </c>
      <c r="M17">
        <v>24734</v>
      </c>
      <c r="N17">
        <v>-1</v>
      </c>
      <c r="O17" s="3">
        <v>-55990</v>
      </c>
      <c r="P17" s="3">
        <v>27945</v>
      </c>
      <c r="Q17" s="6">
        <f t="shared" si="1"/>
        <v>-47050.420168067227</v>
      </c>
      <c r="R17" s="6">
        <f t="shared" si="2"/>
        <v>-27945</v>
      </c>
      <c r="S17" s="7">
        <f t="shared" si="3"/>
        <v>-19105.420168067227</v>
      </c>
      <c r="T17" t="s">
        <v>730</v>
      </c>
    </row>
    <row r="18" spans="1:20" x14ac:dyDescent="0.3">
      <c r="A18">
        <v>300</v>
      </c>
      <c r="B18" t="s">
        <v>16</v>
      </c>
      <c r="C18" t="s">
        <v>80</v>
      </c>
      <c r="D18" s="2" t="s">
        <v>81</v>
      </c>
      <c r="E18" t="s">
        <v>82</v>
      </c>
      <c r="F18" t="s">
        <v>26</v>
      </c>
      <c r="G18" t="s">
        <v>27</v>
      </c>
      <c r="H18" t="s">
        <v>83</v>
      </c>
      <c r="I18" t="s">
        <v>20</v>
      </c>
      <c r="J18" t="s">
        <v>63</v>
      </c>
      <c r="K18" s="2" t="s">
        <v>45</v>
      </c>
      <c r="L18" t="s">
        <v>30</v>
      </c>
      <c r="M18">
        <v>24735</v>
      </c>
      <c r="N18">
        <v>-1</v>
      </c>
      <c r="O18" s="3">
        <v>-41989</v>
      </c>
      <c r="P18" s="3">
        <v>19066</v>
      </c>
      <c r="Q18" s="6">
        <f t="shared" si="1"/>
        <v>-35284.873949579836</v>
      </c>
      <c r="R18" s="6">
        <f t="shared" si="2"/>
        <v>-19066</v>
      </c>
      <c r="S18" s="7">
        <f t="shared" si="3"/>
        <v>-16218.873949579836</v>
      </c>
      <c r="T18" t="s">
        <v>730</v>
      </c>
    </row>
    <row r="19" spans="1:20" x14ac:dyDescent="0.3">
      <c r="A19">
        <v>300</v>
      </c>
      <c r="B19" t="s">
        <v>16</v>
      </c>
      <c r="C19" t="s">
        <v>84</v>
      </c>
      <c r="D19" s="2" t="s">
        <v>85</v>
      </c>
      <c r="E19" t="s">
        <v>82</v>
      </c>
      <c r="F19" t="s">
        <v>26</v>
      </c>
      <c r="G19" t="s">
        <v>27</v>
      </c>
      <c r="H19" t="s">
        <v>83</v>
      </c>
      <c r="I19" t="s">
        <v>20</v>
      </c>
      <c r="J19" t="s">
        <v>63</v>
      </c>
      <c r="K19" s="2" t="s">
        <v>45</v>
      </c>
      <c r="L19" t="s">
        <v>30</v>
      </c>
      <c r="M19">
        <v>24735</v>
      </c>
      <c r="N19">
        <v>-1</v>
      </c>
      <c r="O19" s="3">
        <v>-41990</v>
      </c>
      <c r="P19" s="3">
        <v>19030</v>
      </c>
      <c r="Q19" s="6">
        <f t="shared" si="1"/>
        <v>-35285.71428571429</v>
      </c>
      <c r="R19" s="6">
        <f t="shared" si="2"/>
        <v>-19030</v>
      </c>
      <c r="S19" s="7">
        <f t="shared" si="3"/>
        <v>-16255.71428571429</v>
      </c>
      <c r="T19" t="s">
        <v>730</v>
      </c>
    </row>
    <row r="20" spans="1:20" x14ac:dyDescent="0.3">
      <c r="A20">
        <v>300</v>
      </c>
      <c r="B20" t="s">
        <v>16</v>
      </c>
      <c r="C20" t="s">
        <v>86</v>
      </c>
      <c r="D20" s="2" t="s">
        <v>87</v>
      </c>
      <c r="E20" t="s">
        <v>88</v>
      </c>
      <c r="F20" t="s">
        <v>26</v>
      </c>
      <c r="G20" t="s">
        <v>27</v>
      </c>
      <c r="H20" t="s">
        <v>67</v>
      </c>
      <c r="I20" t="s">
        <v>20</v>
      </c>
      <c r="J20" t="s">
        <v>63</v>
      </c>
      <c r="K20" s="2" t="s">
        <v>45</v>
      </c>
      <c r="L20" t="s">
        <v>30</v>
      </c>
      <c r="M20">
        <v>24736</v>
      </c>
      <c r="N20">
        <v>-1</v>
      </c>
      <c r="O20" s="3">
        <v>-39990</v>
      </c>
      <c r="P20" s="3">
        <v>19832</v>
      </c>
      <c r="Q20" s="6">
        <f t="shared" si="1"/>
        <v>-33605.042016806721</v>
      </c>
      <c r="R20" s="6">
        <f t="shared" si="2"/>
        <v>-19832</v>
      </c>
      <c r="S20" s="7">
        <f t="shared" si="3"/>
        <v>-13773.042016806721</v>
      </c>
      <c r="T20" t="s">
        <v>730</v>
      </c>
    </row>
    <row r="21" spans="1:20" x14ac:dyDescent="0.3">
      <c r="A21">
        <v>300</v>
      </c>
      <c r="B21" t="s">
        <v>16</v>
      </c>
      <c r="C21" t="s">
        <v>89</v>
      </c>
      <c r="D21" s="2" t="s">
        <v>90</v>
      </c>
      <c r="E21" t="s">
        <v>91</v>
      </c>
      <c r="F21" t="s">
        <v>26</v>
      </c>
      <c r="G21" t="s">
        <v>27</v>
      </c>
      <c r="H21" t="s">
        <v>92</v>
      </c>
      <c r="I21" t="s">
        <v>20</v>
      </c>
      <c r="J21" t="s">
        <v>29</v>
      </c>
      <c r="K21" s="2" t="s">
        <v>45</v>
      </c>
      <c r="L21" t="s">
        <v>30</v>
      </c>
      <c r="M21">
        <v>24737</v>
      </c>
      <c r="N21">
        <v>-1</v>
      </c>
      <c r="O21" s="3">
        <v>-49990</v>
      </c>
      <c r="P21" s="3">
        <v>26275</v>
      </c>
      <c r="Q21" s="6">
        <f t="shared" si="1"/>
        <v>-42008.403361344543</v>
      </c>
      <c r="R21" s="6">
        <f t="shared" si="2"/>
        <v>-26275</v>
      </c>
      <c r="S21" s="7">
        <f t="shared" si="3"/>
        <v>-15733.403361344543</v>
      </c>
      <c r="T21" t="s">
        <v>730</v>
      </c>
    </row>
    <row r="22" spans="1:20" x14ac:dyDescent="0.3">
      <c r="A22">
        <v>300</v>
      </c>
      <c r="B22" t="s">
        <v>16</v>
      </c>
      <c r="C22" t="s">
        <v>93</v>
      </c>
      <c r="D22" s="2" t="s">
        <v>94</v>
      </c>
      <c r="E22" t="s">
        <v>95</v>
      </c>
      <c r="F22" t="s">
        <v>26</v>
      </c>
      <c r="G22" t="s">
        <v>27</v>
      </c>
      <c r="H22" t="s">
        <v>96</v>
      </c>
      <c r="I22" t="s">
        <v>20</v>
      </c>
      <c r="J22" t="s">
        <v>35</v>
      </c>
      <c r="K22" s="2" t="s">
        <v>45</v>
      </c>
      <c r="L22" t="s">
        <v>30</v>
      </c>
      <c r="M22">
        <v>24738</v>
      </c>
      <c r="N22">
        <v>-1</v>
      </c>
      <c r="O22" s="3">
        <v>-41990</v>
      </c>
      <c r="P22" s="3">
        <v>15655</v>
      </c>
      <c r="Q22" s="6">
        <f t="shared" si="1"/>
        <v>-35285.71428571429</v>
      </c>
      <c r="R22" s="6">
        <f t="shared" si="2"/>
        <v>-15655</v>
      </c>
      <c r="S22" s="7">
        <f t="shared" si="3"/>
        <v>-19630.71428571429</v>
      </c>
      <c r="T22" t="s">
        <v>730</v>
      </c>
    </row>
    <row r="23" spans="1:20" x14ac:dyDescent="0.3">
      <c r="A23">
        <v>300</v>
      </c>
      <c r="B23" t="s">
        <v>16</v>
      </c>
      <c r="C23" t="s">
        <v>97</v>
      </c>
      <c r="D23" s="2" t="s">
        <v>98</v>
      </c>
      <c r="E23" t="s">
        <v>99</v>
      </c>
      <c r="F23" t="s">
        <v>26</v>
      </c>
      <c r="G23" t="s">
        <v>27</v>
      </c>
      <c r="H23" t="s">
        <v>43</v>
      </c>
      <c r="I23" t="s">
        <v>20</v>
      </c>
      <c r="J23" t="s">
        <v>44</v>
      </c>
      <c r="K23" s="2" t="s">
        <v>45</v>
      </c>
      <c r="L23" t="s">
        <v>30</v>
      </c>
      <c r="M23">
        <v>24739</v>
      </c>
      <c r="N23">
        <v>-1</v>
      </c>
      <c r="O23" s="3">
        <v>-48990</v>
      </c>
      <c r="P23" s="3">
        <v>27313</v>
      </c>
      <c r="Q23" s="6">
        <f t="shared" si="1"/>
        <v>-41168.067226890758</v>
      </c>
      <c r="R23" s="6">
        <f t="shared" si="2"/>
        <v>-27313</v>
      </c>
      <c r="S23" s="7">
        <f t="shared" si="3"/>
        <v>-13855.067226890758</v>
      </c>
      <c r="T23" t="s">
        <v>730</v>
      </c>
    </row>
    <row r="24" spans="1:20" x14ac:dyDescent="0.3">
      <c r="A24">
        <v>300</v>
      </c>
      <c r="B24" t="s">
        <v>16</v>
      </c>
      <c r="C24">
        <v>999999</v>
      </c>
      <c r="D24" s="2" t="s">
        <v>17</v>
      </c>
      <c r="E24" t="s">
        <v>18</v>
      </c>
      <c r="F24" t="s">
        <v>19</v>
      </c>
      <c r="G24" t="s">
        <v>19</v>
      </c>
      <c r="H24" t="s">
        <v>19</v>
      </c>
      <c r="I24" t="s">
        <v>20</v>
      </c>
      <c r="J24" t="s">
        <v>19</v>
      </c>
      <c r="K24" s="2" t="s">
        <v>100</v>
      </c>
      <c r="L24" t="s">
        <v>22</v>
      </c>
      <c r="M24">
        <v>747</v>
      </c>
      <c r="N24">
        <v>1</v>
      </c>
      <c r="O24" s="3">
        <v>556280</v>
      </c>
      <c r="P24">
        <v>1</v>
      </c>
      <c r="Q24" s="6">
        <f t="shared" si="1"/>
        <v>467462.18487394962</v>
      </c>
      <c r="R24" s="6">
        <f t="shared" si="2"/>
        <v>1</v>
      </c>
      <c r="S24" s="7">
        <f t="shared" si="3"/>
        <v>467461.18487394962</v>
      </c>
      <c r="T24" t="s">
        <v>729</v>
      </c>
    </row>
    <row r="25" spans="1:20" x14ac:dyDescent="0.3">
      <c r="A25">
        <v>300</v>
      </c>
      <c r="B25" t="s">
        <v>16</v>
      </c>
      <c r="C25" t="s">
        <v>101</v>
      </c>
      <c r="D25" s="2" t="s">
        <v>102</v>
      </c>
      <c r="E25" t="s">
        <v>103</v>
      </c>
      <c r="F25" t="s">
        <v>26</v>
      </c>
      <c r="G25" t="s">
        <v>27</v>
      </c>
      <c r="H25" t="s">
        <v>39</v>
      </c>
      <c r="I25" t="s">
        <v>20</v>
      </c>
      <c r="J25" t="s">
        <v>35</v>
      </c>
      <c r="K25" s="2" t="s">
        <v>100</v>
      </c>
      <c r="L25" t="s">
        <v>30</v>
      </c>
      <c r="M25">
        <v>24740</v>
      </c>
      <c r="N25">
        <v>-1</v>
      </c>
      <c r="O25" s="3">
        <v>-59990</v>
      </c>
      <c r="P25" s="3">
        <v>28722</v>
      </c>
      <c r="Q25" s="6">
        <f t="shared" si="1"/>
        <v>-50411.764705882357</v>
      </c>
      <c r="R25" s="6">
        <f t="shared" si="2"/>
        <v>-28722</v>
      </c>
      <c r="S25" s="7">
        <f t="shared" si="3"/>
        <v>-21689.764705882357</v>
      </c>
      <c r="T25" t="s">
        <v>730</v>
      </c>
    </row>
    <row r="26" spans="1:20" x14ac:dyDescent="0.3">
      <c r="A26">
        <v>300</v>
      </c>
      <c r="B26" t="s">
        <v>16</v>
      </c>
      <c r="C26" t="s">
        <v>104</v>
      </c>
      <c r="D26" s="2" t="s">
        <v>105</v>
      </c>
      <c r="E26" t="s">
        <v>103</v>
      </c>
      <c r="F26" t="s">
        <v>26</v>
      </c>
      <c r="G26" t="s">
        <v>27</v>
      </c>
      <c r="H26" t="s">
        <v>39</v>
      </c>
      <c r="I26" t="s">
        <v>20</v>
      </c>
      <c r="J26" t="s">
        <v>35</v>
      </c>
      <c r="K26" s="2" t="s">
        <v>100</v>
      </c>
      <c r="L26" t="s">
        <v>30</v>
      </c>
      <c r="M26">
        <v>24740</v>
      </c>
      <c r="N26">
        <v>-1</v>
      </c>
      <c r="O26" s="3">
        <v>-59990</v>
      </c>
      <c r="P26" s="3">
        <v>28722</v>
      </c>
      <c r="Q26" s="6">
        <f t="shared" si="1"/>
        <v>-50411.764705882357</v>
      </c>
      <c r="R26" s="6">
        <f t="shared" si="2"/>
        <v>-28722</v>
      </c>
      <c r="S26" s="7">
        <f t="shared" si="3"/>
        <v>-21689.764705882357</v>
      </c>
      <c r="T26" t="s">
        <v>730</v>
      </c>
    </row>
    <row r="27" spans="1:20" x14ac:dyDescent="0.3">
      <c r="A27">
        <v>300</v>
      </c>
      <c r="B27" t="s">
        <v>16</v>
      </c>
      <c r="C27" t="s">
        <v>106</v>
      </c>
      <c r="D27" s="2" t="s">
        <v>107</v>
      </c>
      <c r="E27" t="s">
        <v>108</v>
      </c>
      <c r="F27" t="s">
        <v>26</v>
      </c>
      <c r="G27" t="s">
        <v>27</v>
      </c>
      <c r="H27" t="s">
        <v>75</v>
      </c>
      <c r="I27" t="s">
        <v>20</v>
      </c>
      <c r="J27" t="s">
        <v>35</v>
      </c>
      <c r="K27" s="2" t="s">
        <v>109</v>
      </c>
      <c r="L27" t="s">
        <v>30</v>
      </c>
      <c r="M27">
        <v>24741</v>
      </c>
      <c r="N27">
        <v>-1</v>
      </c>
      <c r="O27" s="3">
        <v>-47989</v>
      </c>
      <c r="P27" s="3">
        <v>32860</v>
      </c>
      <c r="Q27" s="6">
        <f t="shared" si="1"/>
        <v>-40326.89075630252</v>
      </c>
      <c r="R27" s="6">
        <f t="shared" si="2"/>
        <v>-32860</v>
      </c>
      <c r="S27" s="7">
        <f t="shared" si="3"/>
        <v>-7466.8907563025205</v>
      </c>
      <c r="T27" t="s">
        <v>730</v>
      </c>
    </row>
    <row r="28" spans="1:20" x14ac:dyDescent="0.3">
      <c r="A28">
        <v>300</v>
      </c>
      <c r="B28" t="s">
        <v>16</v>
      </c>
      <c r="C28" t="s">
        <v>110</v>
      </c>
      <c r="D28" s="2" t="s">
        <v>111</v>
      </c>
      <c r="E28" t="s">
        <v>112</v>
      </c>
      <c r="F28" t="s">
        <v>26</v>
      </c>
      <c r="G28" t="s">
        <v>27</v>
      </c>
      <c r="H28" t="s">
        <v>113</v>
      </c>
      <c r="I28" t="s">
        <v>20</v>
      </c>
      <c r="J28" t="s">
        <v>44</v>
      </c>
      <c r="K28" s="2" t="s">
        <v>109</v>
      </c>
      <c r="L28" t="s">
        <v>30</v>
      </c>
      <c r="M28">
        <v>24742</v>
      </c>
      <c r="N28">
        <v>-1</v>
      </c>
      <c r="O28" s="3">
        <v>-48990</v>
      </c>
      <c r="P28" s="3">
        <v>20820</v>
      </c>
      <c r="Q28" s="6">
        <f t="shared" si="1"/>
        <v>-41168.067226890758</v>
      </c>
      <c r="R28" s="6">
        <f t="shared" si="2"/>
        <v>-20820</v>
      </c>
      <c r="S28" s="7">
        <f t="shared" si="3"/>
        <v>-20348.067226890758</v>
      </c>
      <c r="T28" t="s">
        <v>730</v>
      </c>
    </row>
    <row r="29" spans="1:20" x14ac:dyDescent="0.3">
      <c r="A29">
        <v>300</v>
      </c>
      <c r="B29" t="s">
        <v>16</v>
      </c>
      <c r="C29" t="s">
        <v>114</v>
      </c>
      <c r="D29" s="2" t="s">
        <v>115</v>
      </c>
      <c r="E29" t="s">
        <v>116</v>
      </c>
      <c r="F29" t="s">
        <v>26</v>
      </c>
      <c r="G29" t="s">
        <v>27</v>
      </c>
      <c r="H29" t="s">
        <v>117</v>
      </c>
      <c r="I29" t="s">
        <v>20</v>
      </c>
      <c r="J29" t="s">
        <v>35</v>
      </c>
      <c r="K29" s="2" t="s">
        <v>109</v>
      </c>
      <c r="L29" t="s">
        <v>30</v>
      </c>
      <c r="M29">
        <v>24743</v>
      </c>
      <c r="N29">
        <v>-1</v>
      </c>
      <c r="O29" s="3">
        <v>-48990</v>
      </c>
      <c r="P29" s="3">
        <v>24965</v>
      </c>
      <c r="Q29" s="6">
        <f t="shared" si="1"/>
        <v>-41168.067226890758</v>
      </c>
      <c r="R29" s="6">
        <f t="shared" si="2"/>
        <v>-24965</v>
      </c>
      <c r="S29" s="7">
        <f t="shared" si="3"/>
        <v>-16203.067226890758</v>
      </c>
      <c r="T29" t="s">
        <v>730</v>
      </c>
    </row>
    <row r="30" spans="1:20" x14ac:dyDescent="0.3">
      <c r="A30">
        <v>300</v>
      </c>
      <c r="B30" t="s">
        <v>16</v>
      </c>
      <c r="C30" t="s">
        <v>118</v>
      </c>
      <c r="D30" s="2" t="s">
        <v>119</v>
      </c>
      <c r="E30" t="s">
        <v>120</v>
      </c>
      <c r="F30" t="s">
        <v>26</v>
      </c>
      <c r="G30" t="s">
        <v>27</v>
      </c>
      <c r="H30" t="s">
        <v>121</v>
      </c>
      <c r="I30" t="s">
        <v>20</v>
      </c>
      <c r="J30" t="s">
        <v>29</v>
      </c>
      <c r="K30" s="2" t="s">
        <v>109</v>
      </c>
      <c r="L30" t="s">
        <v>30</v>
      </c>
      <c r="M30">
        <v>24744</v>
      </c>
      <c r="N30">
        <v>-1</v>
      </c>
      <c r="O30" s="3">
        <v>-41990</v>
      </c>
      <c r="P30" s="3">
        <v>16817</v>
      </c>
      <c r="Q30" s="6">
        <f t="shared" si="1"/>
        <v>-35285.71428571429</v>
      </c>
      <c r="R30" s="6">
        <f t="shared" si="2"/>
        <v>-16817</v>
      </c>
      <c r="S30" s="7">
        <f t="shared" si="3"/>
        <v>-18468.71428571429</v>
      </c>
      <c r="T30" t="s">
        <v>730</v>
      </c>
    </row>
    <row r="31" spans="1:20" x14ac:dyDescent="0.3">
      <c r="A31">
        <v>300</v>
      </c>
      <c r="B31" t="s">
        <v>16</v>
      </c>
      <c r="C31" t="s">
        <v>122</v>
      </c>
      <c r="D31" s="2" t="s">
        <v>123</v>
      </c>
      <c r="E31" t="s">
        <v>124</v>
      </c>
      <c r="F31" t="s">
        <v>26</v>
      </c>
      <c r="G31" t="s">
        <v>27</v>
      </c>
      <c r="H31" t="s">
        <v>125</v>
      </c>
      <c r="I31" t="s">
        <v>20</v>
      </c>
      <c r="J31" t="s">
        <v>29</v>
      </c>
      <c r="K31" s="2" t="s">
        <v>109</v>
      </c>
      <c r="L31" t="s">
        <v>30</v>
      </c>
      <c r="M31">
        <v>24745</v>
      </c>
      <c r="N31">
        <v>-1</v>
      </c>
      <c r="O31" s="3">
        <v>-41990</v>
      </c>
      <c r="P31" s="3">
        <v>15398</v>
      </c>
      <c r="Q31" s="6">
        <f t="shared" si="1"/>
        <v>-35285.71428571429</v>
      </c>
      <c r="R31" s="6">
        <f t="shared" si="2"/>
        <v>-15398</v>
      </c>
      <c r="S31" s="7">
        <f t="shared" si="3"/>
        <v>-19887.71428571429</v>
      </c>
      <c r="T31" t="s">
        <v>730</v>
      </c>
    </row>
    <row r="32" spans="1:20" x14ac:dyDescent="0.3">
      <c r="A32">
        <v>300</v>
      </c>
      <c r="B32" t="s">
        <v>16</v>
      </c>
      <c r="C32" t="s">
        <v>126</v>
      </c>
      <c r="D32" s="2" t="s">
        <v>127</v>
      </c>
      <c r="E32" t="s">
        <v>128</v>
      </c>
      <c r="F32" t="s">
        <v>26</v>
      </c>
      <c r="G32" t="s">
        <v>27</v>
      </c>
      <c r="H32" t="s">
        <v>129</v>
      </c>
      <c r="I32" t="s">
        <v>20</v>
      </c>
      <c r="J32" t="s">
        <v>130</v>
      </c>
      <c r="K32" s="2" t="s">
        <v>109</v>
      </c>
      <c r="L32" t="s">
        <v>30</v>
      </c>
      <c r="M32">
        <v>24746</v>
      </c>
      <c r="N32">
        <v>-1</v>
      </c>
      <c r="O32" s="3">
        <v>-55990</v>
      </c>
      <c r="P32" s="3">
        <v>29046</v>
      </c>
      <c r="Q32" s="6">
        <f t="shared" si="1"/>
        <v>-47050.420168067227</v>
      </c>
      <c r="R32" s="6">
        <f t="shared" si="2"/>
        <v>-29046</v>
      </c>
      <c r="S32" s="7">
        <f t="shared" si="3"/>
        <v>-18004.420168067227</v>
      </c>
      <c r="T32" t="s">
        <v>730</v>
      </c>
    </row>
    <row r="33" spans="1:20" x14ac:dyDescent="0.3">
      <c r="A33">
        <v>300</v>
      </c>
      <c r="B33" t="s">
        <v>16</v>
      </c>
      <c r="C33" t="s">
        <v>131</v>
      </c>
      <c r="D33" s="2" t="s">
        <v>132</v>
      </c>
      <c r="E33" t="s">
        <v>133</v>
      </c>
      <c r="F33" t="s">
        <v>26</v>
      </c>
      <c r="G33" t="s">
        <v>27</v>
      </c>
      <c r="H33" t="s">
        <v>134</v>
      </c>
      <c r="I33" t="s">
        <v>20</v>
      </c>
      <c r="J33" t="s">
        <v>135</v>
      </c>
      <c r="K33" s="2" t="s">
        <v>109</v>
      </c>
      <c r="L33" t="s">
        <v>30</v>
      </c>
      <c r="M33">
        <v>24747</v>
      </c>
      <c r="N33">
        <v>-1</v>
      </c>
      <c r="O33" s="3">
        <v>-62990</v>
      </c>
      <c r="P33" s="3">
        <v>31385</v>
      </c>
      <c r="Q33" s="6">
        <f t="shared" si="1"/>
        <v>-52932.773109243702</v>
      </c>
      <c r="R33" s="6">
        <f t="shared" si="2"/>
        <v>-31385</v>
      </c>
      <c r="S33" s="7">
        <f t="shared" si="3"/>
        <v>-21547.773109243702</v>
      </c>
      <c r="T33" t="s">
        <v>730</v>
      </c>
    </row>
    <row r="34" spans="1:20" x14ac:dyDescent="0.3">
      <c r="A34">
        <v>300</v>
      </c>
      <c r="B34" t="s">
        <v>16</v>
      </c>
      <c r="C34" t="s">
        <v>136</v>
      </c>
      <c r="D34" s="2" t="s">
        <v>137</v>
      </c>
      <c r="E34" t="s">
        <v>138</v>
      </c>
      <c r="F34" t="s">
        <v>26</v>
      </c>
      <c r="G34" t="s">
        <v>27</v>
      </c>
      <c r="H34" t="s">
        <v>139</v>
      </c>
      <c r="I34" t="s">
        <v>20</v>
      </c>
      <c r="J34" t="s">
        <v>135</v>
      </c>
      <c r="K34" s="2" t="s">
        <v>109</v>
      </c>
      <c r="L34" t="s">
        <v>30</v>
      </c>
      <c r="M34">
        <v>24748</v>
      </c>
      <c r="N34">
        <v>-1</v>
      </c>
      <c r="O34" s="3">
        <v>-55990</v>
      </c>
      <c r="P34" s="3">
        <v>33918</v>
      </c>
      <c r="Q34" s="6">
        <f t="shared" si="1"/>
        <v>-47050.420168067227</v>
      </c>
      <c r="R34" s="6">
        <f t="shared" si="2"/>
        <v>-33918</v>
      </c>
      <c r="S34" s="7">
        <f t="shared" si="3"/>
        <v>-13132.420168067227</v>
      </c>
      <c r="T34" t="s">
        <v>730</v>
      </c>
    </row>
    <row r="35" spans="1:20" x14ac:dyDescent="0.3">
      <c r="A35">
        <v>300</v>
      </c>
      <c r="B35" t="s">
        <v>16</v>
      </c>
      <c r="C35" t="s">
        <v>140</v>
      </c>
      <c r="D35" s="2" t="s">
        <v>141</v>
      </c>
      <c r="E35" t="s">
        <v>142</v>
      </c>
      <c r="F35" t="s">
        <v>26</v>
      </c>
      <c r="G35" t="s">
        <v>27</v>
      </c>
      <c r="H35" t="s">
        <v>143</v>
      </c>
      <c r="I35" t="s">
        <v>20</v>
      </c>
      <c r="J35" t="s">
        <v>50</v>
      </c>
      <c r="K35" s="2" t="s">
        <v>109</v>
      </c>
      <c r="L35" t="s">
        <v>30</v>
      </c>
      <c r="M35">
        <v>24749</v>
      </c>
      <c r="N35">
        <v>-1</v>
      </c>
      <c r="O35" s="3">
        <v>-49990</v>
      </c>
      <c r="P35" s="3">
        <v>26914</v>
      </c>
      <c r="Q35" s="6">
        <f t="shared" si="1"/>
        <v>-42008.403361344543</v>
      </c>
      <c r="R35" s="6">
        <f t="shared" si="2"/>
        <v>-26914</v>
      </c>
      <c r="S35" s="7">
        <f t="shared" si="3"/>
        <v>-15094.403361344543</v>
      </c>
      <c r="T35" t="s">
        <v>730</v>
      </c>
    </row>
    <row r="36" spans="1:20" x14ac:dyDescent="0.3">
      <c r="A36">
        <v>300</v>
      </c>
      <c r="B36" t="s">
        <v>16</v>
      </c>
      <c r="C36" t="s">
        <v>144</v>
      </c>
      <c r="D36" s="2" t="s">
        <v>145</v>
      </c>
      <c r="E36" t="s">
        <v>146</v>
      </c>
      <c r="F36" t="s">
        <v>26</v>
      </c>
      <c r="G36" t="s">
        <v>27</v>
      </c>
      <c r="H36" t="s">
        <v>147</v>
      </c>
      <c r="I36" t="s">
        <v>20</v>
      </c>
      <c r="J36" t="s">
        <v>35</v>
      </c>
      <c r="K36" s="2" t="s">
        <v>109</v>
      </c>
      <c r="L36" t="s">
        <v>30</v>
      </c>
      <c r="M36">
        <v>24750</v>
      </c>
      <c r="N36">
        <v>-1</v>
      </c>
      <c r="O36" s="3">
        <v>-43990</v>
      </c>
      <c r="P36" s="3">
        <v>25615</v>
      </c>
      <c r="Q36" s="6">
        <f t="shared" si="1"/>
        <v>-36966.386554621851</v>
      </c>
      <c r="R36" s="6">
        <f t="shared" si="2"/>
        <v>-25615</v>
      </c>
      <c r="S36" s="7">
        <f t="shared" si="3"/>
        <v>-11351.386554621851</v>
      </c>
      <c r="T36" t="s">
        <v>730</v>
      </c>
    </row>
    <row r="37" spans="1:20" x14ac:dyDescent="0.3">
      <c r="A37">
        <v>300</v>
      </c>
      <c r="B37" t="s">
        <v>16</v>
      </c>
      <c r="C37" t="s">
        <v>148</v>
      </c>
      <c r="D37" s="2" t="s">
        <v>149</v>
      </c>
      <c r="E37" t="s">
        <v>150</v>
      </c>
      <c r="F37" t="s">
        <v>26</v>
      </c>
      <c r="G37" t="s">
        <v>27</v>
      </c>
      <c r="H37" t="s">
        <v>151</v>
      </c>
      <c r="I37" t="s">
        <v>20</v>
      </c>
      <c r="J37" t="s">
        <v>35</v>
      </c>
      <c r="K37" s="2" t="s">
        <v>109</v>
      </c>
      <c r="L37" t="s">
        <v>30</v>
      </c>
      <c r="M37">
        <v>24751</v>
      </c>
      <c r="N37">
        <v>-1</v>
      </c>
      <c r="O37" s="3">
        <v>-48990</v>
      </c>
      <c r="P37" s="3">
        <v>21486</v>
      </c>
      <c r="Q37" s="6">
        <f t="shared" si="1"/>
        <v>-41168.067226890758</v>
      </c>
      <c r="R37" s="6">
        <f t="shared" si="2"/>
        <v>-21486</v>
      </c>
      <c r="S37" s="7">
        <f t="shared" si="3"/>
        <v>-19682.067226890758</v>
      </c>
      <c r="T37" t="s">
        <v>730</v>
      </c>
    </row>
    <row r="38" spans="1:20" x14ac:dyDescent="0.3">
      <c r="A38">
        <v>300</v>
      </c>
      <c r="B38" t="s">
        <v>16</v>
      </c>
      <c r="C38" t="s">
        <v>152</v>
      </c>
      <c r="D38" s="2" t="s">
        <v>153</v>
      </c>
      <c r="E38" t="s">
        <v>154</v>
      </c>
      <c r="F38" t="s">
        <v>26</v>
      </c>
      <c r="G38" t="s">
        <v>27</v>
      </c>
      <c r="H38" t="s">
        <v>155</v>
      </c>
      <c r="I38" t="s">
        <v>20</v>
      </c>
      <c r="J38" t="s">
        <v>50</v>
      </c>
      <c r="K38" s="2" t="s">
        <v>109</v>
      </c>
      <c r="L38" t="s">
        <v>30</v>
      </c>
      <c r="M38">
        <v>24752</v>
      </c>
      <c r="N38">
        <v>-1</v>
      </c>
      <c r="O38" s="3">
        <v>-48990</v>
      </c>
      <c r="P38" s="3">
        <v>22397</v>
      </c>
      <c r="Q38" s="6">
        <f t="shared" si="1"/>
        <v>-41168.067226890758</v>
      </c>
      <c r="R38" s="6">
        <f t="shared" si="2"/>
        <v>-22397</v>
      </c>
      <c r="S38" s="7">
        <f t="shared" si="3"/>
        <v>-18771.067226890758</v>
      </c>
      <c r="T38" t="s">
        <v>730</v>
      </c>
    </row>
    <row r="39" spans="1:20" x14ac:dyDescent="0.3">
      <c r="A39">
        <v>300</v>
      </c>
      <c r="B39" t="s">
        <v>16</v>
      </c>
      <c r="C39" t="s">
        <v>156</v>
      </c>
      <c r="D39" s="2" t="s">
        <v>157</v>
      </c>
      <c r="E39" t="s">
        <v>158</v>
      </c>
      <c r="F39" t="s">
        <v>26</v>
      </c>
      <c r="G39" t="s">
        <v>27</v>
      </c>
      <c r="H39" t="s">
        <v>159</v>
      </c>
      <c r="I39" t="s">
        <v>20</v>
      </c>
      <c r="J39" t="s">
        <v>35</v>
      </c>
      <c r="K39" s="2" t="s">
        <v>109</v>
      </c>
      <c r="L39" t="s">
        <v>30</v>
      </c>
      <c r="M39">
        <v>24753</v>
      </c>
      <c r="N39">
        <v>-1</v>
      </c>
      <c r="O39" s="3">
        <v>-44990</v>
      </c>
      <c r="P39" s="3">
        <v>19235</v>
      </c>
      <c r="Q39" s="6">
        <f t="shared" si="1"/>
        <v>-37806.722689075636</v>
      </c>
      <c r="R39" s="6">
        <f t="shared" si="2"/>
        <v>-19235</v>
      </c>
      <c r="S39" s="7">
        <f t="shared" si="3"/>
        <v>-18571.722689075636</v>
      </c>
      <c r="T39" t="s">
        <v>730</v>
      </c>
    </row>
    <row r="40" spans="1:20" x14ac:dyDescent="0.3">
      <c r="A40">
        <v>300</v>
      </c>
      <c r="B40" t="s">
        <v>16</v>
      </c>
      <c r="C40" t="s">
        <v>160</v>
      </c>
      <c r="D40" s="2" t="s">
        <v>161</v>
      </c>
      <c r="E40" t="s">
        <v>162</v>
      </c>
      <c r="F40" t="s">
        <v>26</v>
      </c>
      <c r="G40" t="s">
        <v>27</v>
      </c>
      <c r="H40" t="s">
        <v>163</v>
      </c>
      <c r="I40" t="s">
        <v>20</v>
      </c>
      <c r="J40" t="s">
        <v>29</v>
      </c>
      <c r="K40" s="2" t="s">
        <v>164</v>
      </c>
      <c r="L40" t="s">
        <v>30</v>
      </c>
      <c r="M40">
        <v>24754</v>
      </c>
      <c r="N40">
        <v>-1</v>
      </c>
      <c r="O40" s="3">
        <v>-41990</v>
      </c>
      <c r="P40" s="3">
        <v>17216</v>
      </c>
      <c r="Q40" s="6">
        <f t="shared" si="1"/>
        <v>-35285.71428571429</v>
      </c>
      <c r="R40" s="6">
        <f t="shared" si="2"/>
        <v>-17216</v>
      </c>
      <c r="S40" s="7">
        <f t="shared" si="3"/>
        <v>-18069.71428571429</v>
      </c>
      <c r="T40" t="s">
        <v>730</v>
      </c>
    </row>
    <row r="41" spans="1:20" x14ac:dyDescent="0.3">
      <c r="A41">
        <v>300</v>
      </c>
      <c r="B41" t="s">
        <v>16</v>
      </c>
      <c r="C41" t="s">
        <v>165</v>
      </c>
      <c r="D41" s="2" t="s">
        <v>166</v>
      </c>
      <c r="E41" t="s">
        <v>167</v>
      </c>
      <c r="F41" t="s">
        <v>26</v>
      </c>
      <c r="G41" t="s">
        <v>27</v>
      </c>
      <c r="H41" t="s">
        <v>168</v>
      </c>
      <c r="I41" t="s">
        <v>20</v>
      </c>
      <c r="J41" t="s">
        <v>50</v>
      </c>
      <c r="K41" s="2" t="s">
        <v>164</v>
      </c>
      <c r="L41" t="s">
        <v>30</v>
      </c>
      <c r="M41">
        <v>24755</v>
      </c>
      <c r="N41">
        <v>-1</v>
      </c>
      <c r="O41" s="3">
        <v>-48990</v>
      </c>
      <c r="P41" s="3">
        <v>20211</v>
      </c>
      <c r="Q41" s="6">
        <f t="shared" si="1"/>
        <v>-41168.067226890758</v>
      </c>
      <c r="R41" s="6">
        <f t="shared" si="2"/>
        <v>-20211</v>
      </c>
      <c r="S41" s="7">
        <f t="shared" si="3"/>
        <v>-20957.067226890758</v>
      </c>
      <c r="T41" t="s">
        <v>730</v>
      </c>
    </row>
    <row r="42" spans="1:20" x14ac:dyDescent="0.3">
      <c r="A42">
        <v>300</v>
      </c>
      <c r="B42" t="s">
        <v>16</v>
      </c>
      <c r="C42" t="s">
        <v>169</v>
      </c>
      <c r="D42" s="2" t="s">
        <v>170</v>
      </c>
      <c r="E42" t="s">
        <v>171</v>
      </c>
      <c r="F42" t="s">
        <v>26</v>
      </c>
      <c r="G42" t="s">
        <v>27</v>
      </c>
      <c r="H42" t="s">
        <v>172</v>
      </c>
      <c r="I42" t="s">
        <v>20</v>
      </c>
      <c r="J42" t="s">
        <v>50</v>
      </c>
      <c r="K42" s="2" t="s">
        <v>164</v>
      </c>
      <c r="L42" t="s">
        <v>30</v>
      </c>
      <c r="M42">
        <v>24759</v>
      </c>
      <c r="N42">
        <v>-1</v>
      </c>
      <c r="O42" s="3">
        <v>-43990</v>
      </c>
      <c r="P42" s="3">
        <v>28455</v>
      </c>
      <c r="Q42" s="6">
        <f t="shared" si="1"/>
        <v>-36966.386554621851</v>
      </c>
      <c r="R42" s="6">
        <f t="shared" si="2"/>
        <v>-28455</v>
      </c>
      <c r="S42" s="7">
        <f t="shared" si="3"/>
        <v>-8511.3865546218512</v>
      </c>
      <c r="T42" t="s">
        <v>730</v>
      </c>
    </row>
    <row r="43" spans="1:20" x14ac:dyDescent="0.3">
      <c r="A43">
        <v>300</v>
      </c>
      <c r="B43" t="s">
        <v>16</v>
      </c>
      <c r="C43" t="s">
        <v>173</v>
      </c>
      <c r="D43" s="2" t="s">
        <v>174</v>
      </c>
      <c r="E43" t="s">
        <v>175</v>
      </c>
      <c r="F43" t="s">
        <v>26</v>
      </c>
      <c r="G43" t="s">
        <v>27</v>
      </c>
      <c r="H43" t="s">
        <v>176</v>
      </c>
      <c r="I43" t="s">
        <v>20</v>
      </c>
      <c r="J43" t="s">
        <v>135</v>
      </c>
      <c r="K43" s="2" t="s">
        <v>164</v>
      </c>
      <c r="L43" t="s">
        <v>30</v>
      </c>
      <c r="M43">
        <v>24760</v>
      </c>
      <c r="N43">
        <v>-1</v>
      </c>
      <c r="O43" s="3">
        <v>-62990</v>
      </c>
      <c r="P43" s="3">
        <v>38117</v>
      </c>
      <c r="Q43" s="6">
        <f t="shared" si="1"/>
        <v>-52932.773109243702</v>
      </c>
      <c r="R43" s="6">
        <f t="shared" si="2"/>
        <v>-38117</v>
      </c>
      <c r="S43" s="7">
        <f t="shared" si="3"/>
        <v>-14815.773109243702</v>
      </c>
      <c r="T43" t="s">
        <v>730</v>
      </c>
    </row>
    <row r="44" spans="1:20" x14ac:dyDescent="0.3">
      <c r="A44">
        <v>300</v>
      </c>
      <c r="B44" t="s">
        <v>16</v>
      </c>
      <c r="C44" t="s">
        <v>177</v>
      </c>
      <c r="D44" s="2" t="s">
        <v>178</v>
      </c>
      <c r="E44" t="s">
        <v>138</v>
      </c>
      <c r="F44" t="s">
        <v>26</v>
      </c>
      <c r="G44" t="s">
        <v>27</v>
      </c>
      <c r="H44" t="s">
        <v>139</v>
      </c>
      <c r="I44" t="s">
        <v>20</v>
      </c>
      <c r="J44" t="s">
        <v>135</v>
      </c>
      <c r="K44" s="2" t="s">
        <v>164</v>
      </c>
      <c r="L44" t="s">
        <v>30</v>
      </c>
      <c r="M44">
        <v>24761</v>
      </c>
      <c r="N44">
        <v>-1</v>
      </c>
      <c r="O44" s="3">
        <v>-62990</v>
      </c>
      <c r="P44" s="3">
        <v>33979</v>
      </c>
      <c r="Q44" s="6">
        <f t="shared" si="1"/>
        <v>-52932.773109243702</v>
      </c>
      <c r="R44" s="6">
        <f t="shared" si="2"/>
        <v>-33979</v>
      </c>
      <c r="S44" s="7">
        <f t="shared" si="3"/>
        <v>-18953.773109243702</v>
      </c>
      <c r="T44" t="s">
        <v>730</v>
      </c>
    </row>
    <row r="45" spans="1:20" x14ac:dyDescent="0.3">
      <c r="A45">
        <v>300</v>
      </c>
      <c r="B45" t="s">
        <v>16</v>
      </c>
      <c r="C45" t="s">
        <v>179</v>
      </c>
      <c r="D45" s="2" t="s">
        <v>180</v>
      </c>
      <c r="E45" t="s">
        <v>181</v>
      </c>
      <c r="F45" t="s">
        <v>26</v>
      </c>
      <c r="G45" t="s">
        <v>27</v>
      </c>
      <c r="H45" t="s">
        <v>182</v>
      </c>
      <c r="I45" t="s">
        <v>20</v>
      </c>
      <c r="J45" t="s">
        <v>50</v>
      </c>
      <c r="K45" s="2" t="s">
        <v>164</v>
      </c>
      <c r="L45" t="s">
        <v>30</v>
      </c>
      <c r="M45">
        <v>24762</v>
      </c>
      <c r="N45">
        <v>-1</v>
      </c>
      <c r="O45" s="3">
        <v>-43990</v>
      </c>
      <c r="P45" s="3">
        <v>25828</v>
      </c>
      <c r="Q45" s="6">
        <f t="shared" si="1"/>
        <v>-36966.386554621851</v>
      </c>
      <c r="R45" s="6">
        <f t="shared" si="2"/>
        <v>-25828</v>
      </c>
      <c r="S45" s="7">
        <f t="shared" si="3"/>
        <v>-11138.386554621851</v>
      </c>
      <c r="T45" t="s">
        <v>730</v>
      </c>
    </row>
    <row r="46" spans="1:20" x14ac:dyDescent="0.3">
      <c r="A46">
        <v>300</v>
      </c>
      <c r="B46" t="s">
        <v>16</v>
      </c>
      <c r="C46" t="s">
        <v>183</v>
      </c>
      <c r="D46" s="2" t="s">
        <v>184</v>
      </c>
      <c r="E46" t="s">
        <v>185</v>
      </c>
      <c r="F46" t="s">
        <v>26</v>
      </c>
      <c r="G46" t="s">
        <v>27</v>
      </c>
      <c r="H46" t="s">
        <v>117</v>
      </c>
      <c r="I46" t="s">
        <v>20</v>
      </c>
      <c r="J46" t="s">
        <v>35</v>
      </c>
      <c r="K46" s="2" t="s">
        <v>164</v>
      </c>
      <c r="L46" t="s">
        <v>30</v>
      </c>
      <c r="M46">
        <v>24763</v>
      </c>
      <c r="N46">
        <v>-1</v>
      </c>
      <c r="O46" s="3">
        <v>-40990</v>
      </c>
      <c r="P46" s="3">
        <v>27099</v>
      </c>
      <c r="Q46" s="6">
        <f t="shared" si="1"/>
        <v>-34445.378151260506</v>
      </c>
      <c r="R46" s="6">
        <f t="shared" si="2"/>
        <v>-27099</v>
      </c>
      <c r="S46" s="7">
        <f t="shared" si="3"/>
        <v>-7346.3781512605055</v>
      </c>
      <c r="T46" t="s">
        <v>730</v>
      </c>
    </row>
    <row r="47" spans="1:20" x14ac:dyDescent="0.3">
      <c r="A47">
        <v>300</v>
      </c>
      <c r="B47" t="s">
        <v>16</v>
      </c>
      <c r="C47" t="s">
        <v>186</v>
      </c>
      <c r="D47" s="2" t="s">
        <v>187</v>
      </c>
      <c r="E47" t="s">
        <v>188</v>
      </c>
      <c r="F47" t="s">
        <v>26</v>
      </c>
      <c r="G47" t="s">
        <v>27</v>
      </c>
      <c r="H47" t="s">
        <v>189</v>
      </c>
      <c r="I47" t="s">
        <v>20</v>
      </c>
      <c r="J47" t="s">
        <v>50</v>
      </c>
      <c r="K47" s="2" t="s">
        <v>164</v>
      </c>
      <c r="L47" t="s">
        <v>30</v>
      </c>
      <c r="M47">
        <v>24764</v>
      </c>
      <c r="N47">
        <v>-1</v>
      </c>
      <c r="O47" s="3">
        <v>-51990</v>
      </c>
      <c r="P47" s="3">
        <v>33792</v>
      </c>
      <c r="Q47" s="6">
        <f t="shared" si="1"/>
        <v>-43689.075630252104</v>
      </c>
      <c r="R47" s="6">
        <f t="shared" si="2"/>
        <v>-33792</v>
      </c>
      <c r="S47" s="7">
        <f t="shared" si="3"/>
        <v>-9897.075630252104</v>
      </c>
      <c r="T47" t="s">
        <v>730</v>
      </c>
    </row>
    <row r="48" spans="1:20" x14ac:dyDescent="0.3">
      <c r="A48">
        <v>300</v>
      </c>
      <c r="B48" t="s">
        <v>16</v>
      </c>
      <c r="C48" t="s">
        <v>190</v>
      </c>
      <c r="D48" s="2" t="s">
        <v>191</v>
      </c>
      <c r="E48" t="s">
        <v>192</v>
      </c>
      <c r="F48" t="s">
        <v>26</v>
      </c>
      <c r="G48" t="s">
        <v>27</v>
      </c>
      <c r="H48" t="s">
        <v>193</v>
      </c>
      <c r="I48" t="s">
        <v>20</v>
      </c>
      <c r="J48" t="s">
        <v>50</v>
      </c>
      <c r="K48" s="2" t="s">
        <v>164</v>
      </c>
      <c r="L48" t="s">
        <v>30</v>
      </c>
      <c r="M48">
        <v>24765</v>
      </c>
      <c r="N48">
        <v>-1</v>
      </c>
      <c r="O48" s="3">
        <v>-51990</v>
      </c>
      <c r="P48" s="3">
        <v>25137</v>
      </c>
      <c r="Q48" s="6">
        <f t="shared" si="1"/>
        <v>-43689.075630252104</v>
      </c>
      <c r="R48" s="6">
        <f t="shared" si="2"/>
        <v>-25137</v>
      </c>
      <c r="S48" s="7">
        <f t="shared" si="3"/>
        <v>-18552.075630252104</v>
      </c>
      <c r="T48" t="s">
        <v>730</v>
      </c>
    </row>
    <row r="49" spans="1:20" x14ac:dyDescent="0.3">
      <c r="A49">
        <v>300</v>
      </c>
      <c r="B49" t="s">
        <v>16</v>
      </c>
      <c r="C49" t="s">
        <v>194</v>
      </c>
      <c r="D49" s="2" t="s">
        <v>195</v>
      </c>
      <c r="E49" t="s">
        <v>196</v>
      </c>
      <c r="F49" t="s">
        <v>26</v>
      </c>
      <c r="G49" t="s">
        <v>27</v>
      </c>
      <c r="H49" t="s">
        <v>168</v>
      </c>
      <c r="I49" t="s">
        <v>20</v>
      </c>
      <c r="J49" t="s">
        <v>50</v>
      </c>
      <c r="K49" s="2" t="s">
        <v>164</v>
      </c>
      <c r="L49" t="s">
        <v>30</v>
      </c>
      <c r="M49">
        <v>24766</v>
      </c>
      <c r="N49">
        <v>-1</v>
      </c>
      <c r="O49" s="3">
        <v>-69951</v>
      </c>
      <c r="P49" s="3">
        <v>28001</v>
      </c>
      <c r="Q49" s="6">
        <f t="shared" si="1"/>
        <v>-58782.352941176476</v>
      </c>
      <c r="R49" s="6">
        <f t="shared" si="2"/>
        <v>-28001</v>
      </c>
      <c r="S49" s="7">
        <f t="shared" si="3"/>
        <v>-30781.352941176476</v>
      </c>
      <c r="T49" t="s">
        <v>730</v>
      </c>
    </row>
    <row r="50" spans="1:20" x14ac:dyDescent="0.3">
      <c r="A50">
        <v>300</v>
      </c>
      <c r="B50" t="s">
        <v>16</v>
      </c>
      <c r="C50" t="s">
        <v>197</v>
      </c>
      <c r="D50" s="2" t="s">
        <v>198</v>
      </c>
      <c r="E50" t="s">
        <v>82</v>
      </c>
      <c r="F50" t="s">
        <v>26</v>
      </c>
      <c r="G50" t="s">
        <v>27</v>
      </c>
      <c r="H50" t="s">
        <v>83</v>
      </c>
      <c r="I50" t="s">
        <v>20</v>
      </c>
      <c r="J50" t="s">
        <v>63</v>
      </c>
      <c r="K50" s="2" t="s">
        <v>164</v>
      </c>
      <c r="L50" t="s">
        <v>30</v>
      </c>
      <c r="M50">
        <v>24767</v>
      </c>
      <c r="N50">
        <v>-1</v>
      </c>
      <c r="O50" s="3">
        <v>-39990</v>
      </c>
      <c r="P50" s="3">
        <v>19046</v>
      </c>
      <c r="Q50" s="6">
        <f t="shared" si="1"/>
        <v>-33605.042016806721</v>
      </c>
      <c r="R50" s="6">
        <f t="shared" si="2"/>
        <v>-19046</v>
      </c>
      <c r="S50" s="7">
        <f t="shared" si="3"/>
        <v>-14559.042016806721</v>
      </c>
      <c r="T50" t="s">
        <v>730</v>
      </c>
    </row>
    <row r="51" spans="1:20" x14ac:dyDescent="0.3">
      <c r="A51">
        <v>300</v>
      </c>
      <c r="B51" t="s">
        <v>16</v>
      </c>
      <c r="C51" t="s">
        <v>80</v>
      </c>
      <c r="D51" s="2" t="s">
        <v>81</v>
      </c>
      <c r="E51" t="s">
        <v>82</v>
      </c>
      <c r="F51" t="s">
        <v>26</v>
      </c>
      <c r="G51" t="s">
        <v>27</v>
      </c>
      <c r="H51" t="s">
        <v>83</v>
      </c>
      <c r="I51" t="s">
        <v>20</v>
      </c>
      <c r="J51" t="s">
        <v>63</v>
      </c>
      <c r="K51" s="2" t="s">
        <v>164</v>
      </c>
      <c r="L51" t="s">
        <v>30</v>
      </c>
      <c r="M51">
        <v>24767</v>
      </c>
      <c r="N51">
        <v>-1</v>
      </c>
      <c r="O51" s="3">
        <v>-39990</v>
      </c>
      <c r="P51" s="3">
        <v>19066</v>
      </c>
      <c r="Q51" s="6">
        <f t="shared" si="1"/>
        <v>-33605.042016806721</v>
      </c>
      <c r="R51" s="6">
        <f t="shared" si="2"/>
        <v>-19066</v>
      </c>
      <c r="S51" s="7">
        <f t="shared" si="3"/>
        <v>-14539.042016806721</v>
      </c>
      <c r="T51" t="s">
        <v>730</v>
      </c>
    </row>
    <row r="52" spans="1:20" x14ac:dyDescent="0.3">
      <c r="A52">
        <v>300</v>
      </c>
      <c r="B52" t="s">
        <v>16</v>
      </c>
      <c r="C52" t="s">
        <v>199</v>
      </c>
      <c r="D52" s="2" t="s">
        <v>200</v>
      </c>
      <c r="E52" t="s">
        <v>201</v>
      </c>
      <c r="F52" t="s">
        <v>26</v>
      </c>
      <c r="G52" t="s">
        <v>27</v>
      </c>
      <c r="H52" t="s">
        <v>83</v>
      </c>
      <c r="I52" t="s">
        <v>20</v>
      </c>
      <c r="J52" t="s">
        <v>63</v>
      </c>
      <c r="K52" s="2" t="s">
        <v>164</v>
      </c>
      <c r="L52" t="s">
        <v>30</v>
      </c>
      <c r="M52">
        <v>24768</v>
      </c>
      <c r="N52">
        <v>-1</v>
      </c>
      <c r="O52" s="3">
        <v>-41990</v>
      </c>
      <c r="P52" s="3">
        <v>19074</v>
      </c>
      <c r="Q52" s="6">
        <f t="shared" si="1"/>
        <v>-35285.71428571429</v>
      </c>
      <c r="R52" s="6">
        <f t="shared" si="2"/>
        <v>-19074</v>
      </c>
      <c r="S52" s="7">
        <f t="shared" si="3"/>
        <v>-16211.71428571429</v>
      </c>
      <c r="T52" t="s">
        <v>730</v>
      </c>
    </row>
    <row r="53" spans="1:20" x14ac:dyDescent="0.3">
      <c r="A53">
        <v>300</v>
      </c>
      <c r="B53" t="s">
        <v>16</v>
      </c>
      <c r="C53" t="s">
        <v>202</v>
      </c>
      <c r="D53" s="2" t="s">
        <v>203</v>
      </c>
      <c r="E53" t="s">
        <v>201</v>
      </c>
      <c r="F53" t="s">
        <v>26</v>
      </c>
      <c r="G53" t="s">
        <v>27</v>
      </c>
      <c r="H53" t="s">
        <v>83</v>
      </c>
      <c r="I53" t="s">
        <v>20</v>
      </c>
      <c r="J53" t="s">
        <v>63</v>
      </c>
      <c r="K53" s="2" t="s">
        <v>164</v>
      </c>
      <c r="L53" t="s">
        <v>30</v>
      </c>
      <c r="M53">
        <v>24769</v>
      </c>
      <c r="N53">
        <v>-1</v>
      </c>
      <c r="O53" s="3">
        <v>-41990</v>
      </c>
      <c r="P53" s="3">
        <v>19051</v>
      </c>
      <c r="Q53" s="6">
        <f t="shared" si="1"/>
        <v>-35285.71428571429</v>
      </c>
      <c r="R53" s="6">
        <f t="shared" si="2"/>
        <v>-19051</v>
      </c>
      <c r="S53" s="7">
        <f t="shared" si="3"/>
        <v>-16234.71428571429</v>
      </c>
      <c r="T53" t="s">
        <v>730</v>
      </c>
    </row>
    <row r="54" spans="1:20" x14ac:dyDescent="0.3">
      <c r="A54">
        <v>300</v>
      </c>
      <c r="B54" t="s">
        <v>16</v>
      </c>
      <c r="C54" t="s">
        <v>204</v>
      </c>
      <c r="D54" s="2" t="s">
        <v>205</v>
      </c>
      <c r="E54" t="s">
        <v>206</v>
      </c>
      <c r="F54" t="s">
        <v>26</v>
      </c>
      <c r="G54" t="s">
        <v>27</v>
      </c>
      <c r="H54" t="s">
        <v>62</v>
      </c>
      <c r="I54" t="s">
        <v>20</v>
      </c>
      <c r="J54" t="s">
        <v>63</v>
      </c>
      <c r="K54" s="2" t="s">
        <v>164</v>
      </c>
      <c r="L54" t="s">
        <v>30</v>
      </c>
      <c r="M54">
        <v>24770</v>
      </c>
      <c r="N54">
        <v>-1</v>
      </c>
      <c r="O54" s="3">
        <v>-41990</v>
      </c>
      <c r="P54" s="3">
        <v>20242</v>
      </c>
      <c r="Q54" s="6">
        <f t="shared" si="1"/>
        <v>-35285.71428571429</v>
      </c>
      <c r="R54" s="6">
        <f t="shared" si="2"/>
        <v>-20242</v>
      </c>
      <c r="S54" s="7">
        <f t="shared" si="3"/>
        <v>-15043.71428571429</v>
      </c>
      <c r="T54" t="s">
        <v>730</v>
      </c>
    </row>
    <row r="55" spans="1:20" x14ac:dyDescent="0.3">
      <c r="A55">
        <v>300</v>
      </c>
      <c r="B55" t="s">
        <v>16</v>
      </c>
      <c r="C55" t="s">
        <v>204</v>
      </c>
      <c r="D55" s="2" t="s">
        <v>205</v>
      </c>
      <c r="E55" t="s">
        <v>206</v>
      </c>
      <c r="F55" t="s">
        <v>26</v>
      </c>
      <c r="G55" t="s">
        <v>27</v>
      </c>
      <c r="H55" t="s">
        <v>62</v>
      </c>
      <c r="I55" t="s">
        <v>20</v>
      </c>
      <c r="J55" t="s">
        <v>63</v>
      </c>
      <c r="K55" s="2" t="s">
        <v>164</v>
      </c>
      <c r="L55" t="s">
        <v>30</v>
      </c>
      <c r="M55">
        <v>24771</v>
      </c>
      <c r="N55">
        <v>-1</v>
      </c>
      <c r="O55" s="3">
        <v>-41990</v>
      </c>
      <c r="P55" s="3">
        <v>20242</v>
      </c>
      <c r="Q55" s="6">
        <f t="shared" si="1"/>
        <v>-35285.71428571429</v>
      </c>
      <c r="R55" s="6">
        <f t="shared" si="2"/>
        <v>-20242</v>
      </c>
      <c r="S55" s="7">
        <f t="shared" si="3"/>
        <v>-15043.71428571429</v>
      </c>
      <c r="T55" t="s">
        <v>730</v>
      </c>
    </row>
    <row r="56" spans="1:20" x14ac:dyDescent="0.3">
      <c r="A56">
        <v>300</v>
      </c>
      <c r="B56" t="s">
        <v>16</v>
      </c>
      <c r="C56" t="s">
        <v>207</v>
      </c>
      <c r="D56" s="2" t="s">
        <v>208</v>
      </c>
      <c r="E56" t="s">
        <v>209</v>
      </c>
      <c r="F56" t="s">
        <v>26</v>
      </c>
      <c r="G56" t="s">
        <v>27</v>
      </c>
      <c r="H56" t="s">
        <v>210</v>
      </c>
      <c r="I56" t="s">
        <v>20</v>
      </c>
      <c r="J56" t="s">
        <v>50</v>
      </c>
      <c r="K56" s="2" t="s">
        <v>164</v>
      </c>
      <c r="L56" t="s">
        <v>30</v>
      </c>
      <c r="M56">
        <v>24772</v>
      </c>
      <c r="N56">
        <v>-1</v>
      </c>
      <c r="O56" s="3">
        <v>-39990</v>
      </c>
      <c r="P56" s="3">
        <v>21519</v>
      </c>
      <c r="Q56" s="6">
        <f t="shared" si="1"/>
        <v>-33605.042016806721</v>
      </c>
      <c r="R56" s="6">
        <f t="shared" si="2"/>
        <v>-21519</v>
      </c>
      <c r="S56" s="7">
        <f t="shared" si="3"/>
        <v>-12086.042016806721</v>
      </c>
      <c r="T56" t="s">
        <v>730</v>
      </c>
    </row>
    <row r="57" spans="1:20" x14ac:dyDescent="0.3">
      <c r="A57">
        <v>300</v>
      </c>
      <c r="B57" t="s">
        <v>16</v>
      </c>
      <c r="C57" t="s">
        <v>211</v>
      </c>
      <c r="D57" s="2" t="s">
        <v>212</v>
      </c>
      <c r="E57" t="s">
        <v>213</v>
      </c>
      <c r="F57" t="s">
        <v>26</v>
      </c>
      <c r="G57" t="s">
        <v>27</v>
      </c>
      <c r="H57" t="s">
        <v>214</v>
      </c>
      <c r="I57" t="s">
        <v>20</v>
      </c>
      <c r="J57" t="s">
        <v>50</v>
      </c>
      <c r="K57" s="2" t="s">
        <v>215</v>
      </c>
      <c r="L57" t="s">
        <v>30</v>
      </c>
      <c r="M57">
        <v>24773</v>
      </c>
      <c r="N57">
        <v>-1</v>
      </c>
      <c r="O57" s="3">
        <v>-48990</v>
      </c>
      <c r="P57" s="3">
        <v>23813</v>
      </c>
      <c r="Q57" s="6">
        <f t="shared" si="1"/>
        <v>-41168.067226890758</v>
      </c>
      <c r="R57" s="6">
        <f t="shared" si="2"/>
        <v>-23813</v>
      </c>
      <c r="S57" s="7">
        <f t="shared" si="3"/>
        <v>-17355.067226890758</v>
      </c>
      <c r="T57" t="s">
        <v>730</v>
      </c>
    </row>
    <row r="58" spans="1:20" x14ac:dyDescent="0.3">
      <c r="A58">
        <v>300</v>
      </c>
      <c r="B58" t="s">
        <v>16</v>
      </c>
      <c r="C58" t="s">
        <v>216</v>
      </c>
      <c r="D58" s="2" t="s">
        <v>217</v>
      </c>
      <c r="E58" t="s">
        <v>218</v>
      </c>
      <c r="F58" t="s">
        <v>26</v>
      </c>
      <c r="G58" t="s">
        <v>27</v>
      </c>
      <c r="H58" t="s">
        <v>219</v>
      </c>
      <c r="I58" t="s">
        <v>20</v>
      </c>
      <c r="J58" t="s">
        <v>35</v>
      </c>
      <c r="K58" s="2" t="s">
        <v>220</v>
      </c>
      <c r="L58" t="s">
        <v>30</v>
      </c>
      <c r="M58">
        <v>24783</v>
      </c>
      <c r="N58">
        <v>-1</v>
      </c>
      <c r="O58" s="3">
        <v>-34990</v>
      </c>
      <c r="P58" s="3">
        <v>21553</v>
      </c>
      <c r="Q58" s="6">
        <f t="shared" si="1"/>
        <v>-29403.361344537818</v>
      </c>
      <c r="R58" s="6">
        <f t="shared" si="2"/>
        <v>-21553</v>
      </c>
      <c r="S58" s="7">
        <f t="shared" si="3"/>
        <v>-7850.3613445378178</v>
      </c>
      <c r="T58" t="s">
        <v>730</v>
      </c>
    </row>
    <row r="59" spans="1:20" x14ac:dyDescent="0.3">
      <c r="A59">
        <v>300</v>
      </c>
      <c r="B59" t="s">
        <v>16</v>
      </c>
      <c r="C59" t="s">
        <v>221</v>
      </c>
      <c r="D59" s="2" t="s">
        <v>222</v>
      </c>
      <c r="E59" t="s">
        <v>223</v>
      </c>
      <c r="F59" t="s">
        <v>26</v>
      </c>
      <c r="G59" t="s">
        <v>27</v>
      </c>
      <c r="H59" t="s">
        <v>224</v>
      </c>
      <c r="I59" t="s">
        <v>20</v>
      </c>
      <c r="J59" t="s">
        <v>50</v>
      </c>
      <c r="K59" s="2" t="s">
        <v>220</v>
      </c>
      <c r="L59" t="s">
        <v>30</v>
      </c>
      <c r="M59">
        <v>24784</v>
      </c>
      <c r="N59">
        <v>-1</v>
      </c>
      <c r="O59" s="3">
        <v>-48990</v>
      </c>
      <c r="P59" s="3">
        <v>25627</v>
      </c>
      <c r="Q59" s="6">
        <f t="shared" si="1"/>
        <v>-41168.067226890758</v>
      </c>
      <c r="R59" s="6">
        <f t="shared" si="2"/>
        <v>-25627</v>
      </c>
      <c r="S59" s="7">
        <f t="shared" si="3"/>
        <v>-15541.067226890758</v>
      </c>
      <c r="T59" t="s">
        <v>730</v>
      </c>
    </row>
    <row r="60" spans="1:20" x14ac:dyDescent="0.3">
      <c r="A60">
        <v>300</v>
      </c>
      <c r="B60" t="s">
        <v>16</v>
      </c>
      <c r="C60" t="s">
        <v>225</v>
      </c>
      <c r="D60" s="2" t="s">
        <v>226</v>
      </c>
      <c r="E60" t="s">
        <v>227</v>
      </c>
      <c r="F60" t="s">
        <v>26</v>
      </c>
      <c r="G60" t="s">
        <v>27</v>
      </c>
      <c r="H60" t="s">
        <v>228</v>
      </c>
      <c r="I60" t="s">
        <v>20</v>
      </c>
      <c r="J60" t="s">
        <v>44</v>
      </c>
      <c r="K60" s="2" t="s">
        <v>220</v>
      </c>
      <c r="L60" t="s">
        <v>30</v>
      </c>
      <c r="M60">
        <v>24785</v>
      </c>
      <c r="N60">
        <v>-1</v>
      </c>
      <c r="O60" s="3">
        <v>-48990</v>
      </c>
      <c r="P60" s="3">
        <v>28039</v>
      </c>
      <c r="Q60" s="6">
        <f t="shared" si="1"/>
        <v>-41168.067226890758</v>
      </c>
      <c r="R60" s="6">
        <f t="shared" si="2"/>
        <v>-28039</v>
      </c>
      <c r="S60" s="7">
        <f t="shared" si="3"/>
        <v>-13129.067226890758</v>
      </c>
      <c r="T60" t="s">
        <v>730</v>
      </c>
    </row>
    <row r="61" spans="1:20" x14ac:dyDescent="0.3">
      <c r="A61">
        <v>300</v>
      </c>
      <c r="B61" t="s">
        <v>16</v>
      </c>
      <c r="C61" t="s">
        <v>229</v>
      </c>
      <c r="D61" s="2" t="s">
        <v>230</v>
      </c>
      <c r="E61" t="s">
        <v>231</v>
      </c>
      <c r="F61" t="s">
        <v>26</v>
      </c>
      <c r="G61" t="s">
        <v>27</v>
      </c>
      <c r="H61" t="s">
        <v>232</v>
      </c>
      <c r="I61" t="s">
        <v>20</v>
      </c>
      <c r="J61" t="s">
        <v>135</v>
      </c>
      <c r="K61" s="2" t="s">
        <v>220</v>
      </c>
      <c r="L61" t="s">
        <v>30</v>
      </c>
      <c r="M61">
        <v>24786</v>
      </c>
      <c r="N61">
        <v>-1</v>
      </c>
      <c r="O61" s="3">
        <v>-55990</v>
      </c>
      <c r="P61" s="3">
        <v>32316</v>
      </c>
      <c r="Q61" s="6">
        <f t="shared" si="1"/>
        <v>-47050.420168067227</v>
      </c>
      <c r="R61" s="6">
        <f t="shared" si="2"/>
        <v>-32316</v>
      </c>
      <c r="S61" s="7">
        <f t="shared" si="3"/>
        <v>-14734.420168067227</v>
      </c>
      <c r="T61" t="s">
        <v>730</v>
      </c>
    </row>
    <row r="62" spans="1:20" x14ac:dyDescent="0.3">
      <c r="A62">
        <v>300</v>
      </c>
      <c r="B62" t="s">
        <v>16</v>
      </c>
      <c r="C62" t="s">
        <v>233</v>
      </c>
      <c r="D62" s="2" t="s">
        <v>234</v>
      </c>
      <c r="E62" t="s">
        <v>235</v>
      </c>
      <c r="F62" t="s">
        <v>26</v>
      </c>
      <c r="G62" t="s">
        <v>27</v>
      </c>
      <c r="H62" t="s">
        <v>113</v>
      </c>
      <c r="I62" t="s">
        <v>20</v>
      </c>
      <c r="J62" t="s">
        <v>44</v>
      </c>
      <c r="K62" s="2" t="s">
        <v>220</v>
      </c>
      <c r="L62" t="s">
        <v>30</v>
      </c>
      <c r="M62">
        <v>24787</v>
      </c>
      <c r="N62">
        <v>-1</v>
      </c>
      <c r="O62" s="3">
        <v>-48990</v>
      </c>
      <c r="P62" s="3">
        <v>20494</v>
      </c>
      <c r="Q62" s="6">
        <f t="shared" si="1"/>
        <v>-41168.067226890758</v>
      </c>
      <c r="R62" s="6">
        <f t="shared" si="2"/>
        <v>-20494</v>
      </c>
      <c r="S62" s="7">
        <f t="shared" si="3"/>
        <v>-20674.067226890758</v>
      </c>
      <c r="T62" t="s">
        <v>730</v>
      </c>
    </row>
    <row r="63" spans="1:20" x14ac:dyDescent="0.3">
      <c r="A63">
        <v>300</v>
      </c>
      <c r="B63" t="s">
        <v>16</v>
      </c>
      <c r="C63" t="s">
        <v>236</v>
      </c>
      <c r="D63" s="2" t="s">
        <v>237</v>
      </c>
      <c r="E63" t="s">
        <v>238</v>
      </c>
      <c r="F63" t="s">
        <v>26</v>
      </c>
      <c r="G63" t="s">
        <v>27</v>
      </c>
      <c r="H63" t="s">
        <v>239</v>
      </c>
      <c r="I63" t="s">
        <v>20</v>
      </c>
      <c r="J63" t="s">
        <v>35</v>
      </c>
      <c r="K63" s="2" t="s">
        <v>220</v>
      </c>
      <c r="L63" t="s">
        <v>30</v>
      </c>
      <c r="M63">
        <v>24788</v>
      </c>
      <c r="N63">
        <v>-1</v>
      </c>
      <c r="O63" s="3">
        <v>-51990</v>
      </c>
      <c r="P63" s="3">
        <v>25042</v>
      </c>
      <c r="Q63" s="6">
        <f t="shared" si="1"/>
        <v>-43689.075630252104</v>
      </c>
      <c r="R63" s="6">
        <f t="shared" si="2"/>
        <v>-25042</v>
      </c>
      <c r="S63" s="7">
        <f t="shared" si="3"/>
        <v>-18647.075630252104</v>
      </c>
      <c r="T63" t="s">
        <v>730</v>
      </c>
    </row>
    <row r="64" spans="1:20" x14ac:dyDescent="0.3">
      <c r="A64">
        <v>300</v>
      </c>
      <c r="B64" t="s">
        <v>16</v>
      </c>
      <c r="C64" t="s">
        <v>240</v>
      </c>
      <c r="D64" s="2" t="s">
        <v>241</v>
      </c>
      <c r="E64" t="s">
        <v>48</v>
      </c>
      <c r="F64" t="s">
        <v>26</v>
      </c>
      <c r="G64" t="s">
        <v>27</v>
      </c>
      <c r="H64" t="s">
        <v>49</v>
      </c>
      <c r="I64" t="s">
        <v>20</v>
      </c>
      <c r="J64" t="s">
        <v>50</v>
      </c>
      <c r="K64" s="2" t="s">
        <v>220</v>
      </c>
      <c r="L64" t="s">
        <v>30</v>
      </c>
      <c r="M64">
        <v>24789</v>
      </c>
      <c r="N64">
        <v>-1</v>
      </c>
      <c r="O64" s="3">
        <v>-36990</v>
      </c>
      <c r="P64" s="3">
        <v>21039</v>
      </c>
      <c r="Q64" s="6">
        <f t="shared" si="1"/>
        <v>-31084.033613445379</v>
      </c>
      <c r="R64" s="6">
        <f t="shared" si="2"/>
        <v>-21039</v>
      </c>
      <c r="S64" s="7">
        <f t="shared" si="3"/>
        <v>-10045.033613445379</v>
      </c>
      <c r="T64" t="s">
        <v>730</v>
      </c>
    </row>
    <row r="65" spans="1:20" x14ac:dyDescent="0.3">
      <c r="A65">
        <v>300</v>
      </c>
      <c r="B65" t="s">
        <v>16</v>
      </c>
      <c r="C65" t="s">
        <v>242</v>
      </c>
      <c r="D65" s="2" t="s">
        <v>243</v>
      </c>
      <c r="E65" t="s">
        <v>244</v>
      </c>
      <c r="F65" t="s">
        <v>26</v>
      </c>
      <c r="G65" t="s">
        <v>27</v>
      </c>
      <c r="H65" t="s">
        <v>210</v>
      </c>
      <c r="I65" t="s">
        <v>20</v>
      </c>
      <c r="J65" t="s">
        <v>50</v>
      </c>
      <c r="K65" s="2" t="s">
        <v>220</v>
      </c>
      <c r="L65" t="s">
        <v>30</v>
      </c>
      <c r="M65">
        <v>24790</v>
      </c>
      <c r="N65">
        <v>-1</v>
      </c>
      <c r="O65" s="3">
        <v>-54949</v>
      </c>
      <c r="P65" s="3">
        <v>19151</v>
      </c>
      <c r="Q65" s="6">
        <f t="shared" si="1"/>
        <v>-46175.63025210084</v>
      </c>
      <c r="R65" s="6">
        <f t="shared" si="2"/>
        <v>-19151</v>
      </c>
      <c r="S65" s="7">
        <f t="shared" si="3"/>
        <v>-27024.63025210084</v>
      </c>
      <c r="T65" t="s">
        <v>730</v>
      </c>
    </row>
    <row r="66" spans="1:20" x14ac:dyDescent="0.3">
      <c r="A66">
        <v>300</v>
      </c>
      <c r="B66" t="s">
        <v>16</v>
      </c>
      <c r="C66" t="s">
        <v>245</v>
      </c>
      <c r="D66" s="2" t="s">
        <v>246</v>
      </c>
      <c r="E66" t="s">
        <v>247</v>
      </c>
      <c r="F66" t="s">
        <v>26</v>
      </c>
      <c r="G66" t="s">
        <v>27</v>
      </c>
      <c r="H66" t="s">
        <v>248</v>
      </c>
      <c r="I66" t="s">
        <v>20</v>
      </c>
      <c r="J66" t="s">
        <v>35</v>
      </c>
      <c r="K66" s="2" t="s">
        <v>220</v>
      </c>
      <c r="L66" t="s">
        <v>30</v>
      </c>
      <c r="M66">
        <v>24791</v>
      </c>
      <c r="N66">
        <v>-1</v>
      </c>
      <c r="O66" s="3">
        <v>-34990</v>
      </c>
      <c r="P66" s="3">
        <v>19694</v>
      </c>
      <c r="Q66" s="6">
        <f t="shared" si="1"/>
        <v>-29403.361344537818</v>
      </c>
      <c r="R66" s="6">
        <f t="shared" si="2"/>
        <v>-19694</v>
      </c>
      <c r="S66" s="7">
        <f t="shared" si="3"/>
        <v>-9709.3613445378178</v>
      </c>
      <c r="T66" t="s">
        <v>730</v>
      </c>
    </row>
    <row r="67" spans="1:20" x14ac:dyDescent="0.3">
      <c r="A67">
        <v>300</v>
      </c>
      <c r="B67" t="s">
        <v>16</v>
      </c>
      <c r="C67" t="s">
        <v>249</v>
      </c>
      <c r="D67" s="2" t="s">
        <v>250</v>
      </c>
      <c r="E67" t="s">
        <v>251</v>
      </c>
      <c r="F67" t="s">
        <v>26</v>
      </c>
      <c r="G67" t="s">
        <v>27</v>
      </c>
      <c r="H67" t="s">
        <v>252</v>
      </c>
      <c r="I67" t="s">
        <v>20</v>
      </c>
      <c r="J67" t="s">
        <v>35</v>
      </c>
      <c r="K67" s="2" t="s">
        <v>220</v>
      </c>
      <c r="L67" t="s">
        <v>30</v>
      </c>
      <c r="M67">
        <v>24792</v>
      </c>
      <c r="N67">
        <v>-1</v>
      </c>
      <c r="O67" s="3">
        <v>-41990</v>
      </c>
      <c r="P67" s="3">
        <v>25042</v>
      </c>
      <c r="Q67" s="6">
        <f t="shared" si="1"/>
        <v>-35285.71428571429</v>
      </c>
      <c r="R67" s="6">
        <f t="shared" si="2"/>
        <v>-25042</v>
      </c>
      <c r="S67" s="7">
        <f t="shared" si="3"/>
        <v>-10243.71428571429</v>
      </c>
      <c r="T67" t="s">
        <v>730</v>
      </c>
    </row>
    <row r="68" spans="1:20" x14ac:dyDescent="0.3">
      <c r="A68">
        <v>300</v>
      </c>
      <c r="B68" t="s">
        <v>16</v>
      </c>
      <c r="C68" t="s">
        <v>253</v>
      </c>
      <c r="D68" s="2" t="s">
        <v>254</v>
      </c>
      <c r="E68" t="s">
        <v>255</v>
      </c>
      <c r="F68" t="s">
        <v>26</v>
      </c>
      <c r="G68" t="s">
        <v>27</v>
      </c>
      <c r="H68" t="s">
        <v>256</v>
      </c>
      <c r="I68" t="s">
        <v>20</v>
      </c>
      <c r="J68" t="s">
        <v>50</v>
      </c>
      <c r="K68" s="2" t="s">
        <v>220</v>
      </c>
      <c r="L68" t="s">
        <v>30</v>
      </c>
      <c r="M68">
        <v>24793</v>
      </c>
      <c r="N68">
        <v>-1</v>
      </c>
      <c r="O68" s="3">
        <v>-41990</v>
      </c>
      <c r="P68" s="3">
        <v>20905</v>
      </c>
      <c r="Q68" s="6">
        <f t="shared" si="1"/>
        <v>-35285.71428571429</v>
      </c>
      <c r="R68" s="6">
        <f t="shared" si="2"/>
        <v>-20905</v>
      </c>
      <c r="S68" s="7">
        <f t="shared" si="3"/>
        <v>-14380.71428571429</v>
      </c>
      <c r="T68" t="s">
        <v>730</v>
      </c>
    </row>
    <row r="69" spans="1:20" x14ac:dyDescent="0.3">
      <c r="A69">
        <v>300</v>
      </c>
      <c r="B69" t="s">
        <v>16</v>
      </c>
      <c r="C69" t="s">
        <v>257</v>
      </c>
      <c r="D69" s="2" t="s">
        <v>258</v>
      </c>
      <c r="E69" t="s">
        <v>259</v>
      </c>
      <c r="F69" t="s">
        <v>26</v>
      </c>
      <c r="G69" t="s">
        <v>27</v>
      </c>
      <c r="H69" t="s">
        <v>193</v>
      </c>
      <c r="I69" t="s">
        <v>20</v>
      </c>
      <c r="J69" t="s">
        <v>50</v>
      </c>
      <c r="K69" s="2" t="s">
        <v>220</v>
      </c>
      <c r="L69" t="s">
        <v>30</v>
      </c>
      <c r="M69">
        <v>24794</v>
      </c>
      <c r="N69">
        <v>-1</v>
      </c>
      <c r="O69" s="3">
        <v>-51990</v>
      </c>
      <c r="P69" s="3">
        <v>27718</v>
      </c>
      <c r="Q69" s="6">
        <f t="shared" si="1"/>
        <v>-43689.075630252104</v>
      </c>
      <c r="R69" s="6">
        <f t="shared" si="2"/>
        <v>-27718</v>
      </c>
      <c r="S69" s="7">
        <f t="shared" si="3"/>
        <v>-15971.075630252104</v>
      </c>
      <c r="T69" t="s">
        <v>730</v>
      </c>
    </row>
    <row r="70" spans="1:20" x14ac:dyDescent="0.3">
      <c r="A70">
        <v>300</v>
      </c>
      <c r="B70" t="s">
        <v>16</v>
      </c>
      <c r="C70" t="s">
        <v>260</v>
      </c>
      <c r="D70" s="2" t="s">
        <v>261</v>
      </c>
      <c r="E70" t="s">
        <v>262</v>
      </c>
      <c r="F70" t="s">
        <v>26</v>
      </c>
      <c r="G70" t="s">
        <v>27</v>
      </c>
      <c r="H70" t="s">
        <v>54</v>
      </c>
      <c r="I70" t="s">
        <v>20</v>
      </c>
      <c r="J70" t="s">
        <v>50</v>
      </c>
      <c r="K70" s="2" t="s">
        <v>220</v>
      </c>
      <c r="L70" t="s">
        <v>30</v>
      </c>
      <c r="M70">
        <v>24795</v>
      </c>
      <c r="N70">
        <v>-1</v>
      </c>
      <c r="O70" s="3">
        <v>-48990</v>
      </c>
      <c r="P70" s="3">
        <v>22533</v>
      </c>
      <c r="Q70" s="6">
        <f t="shared" ref="Q70:Q133" si="4">O70/1.19</f>
        <v>-41168.067226890758</v>
      </c>
      <c r="R70" s="6">
        <f t="shared" ref="R70:R133" si="5">N70*P70</f>
        <v>-22533</v>
      </c>
      <c r="S70" s="7">
        <f t="shared" ref="S70:S133" si="6">Q70-R70</f>
        <v>-18635.067226890758</v>
      </c>
      <c r="T70" t="s">
        <v>730</v>
      </c>
    </row>
    <row r="71" spans="1:20" x14ac:dyDescent="0.3">
      <c r="A71">
        <v>300</v>
      </c>
      <c r="B71" t="s">
        <v>16</v>
      </c>
      <c r="C71" t="s">
        <v>263</v>
      </c>
      <c r="D71" s="2" t="s">
        <v>264</v>
      </c>
      <c r="E71" t="s">
        <v>265</v>
      </c>
      <c r="F71" t="s">
        <v>26</v>
      </c>
      <c r="G71" t="s">
        <v>27</v>
      </c>
      <c r="H71" t="s">
        <v>266</v>
      </c>
      <c r="I71" t="s">
        <v>20</v>
      </c>
      <c r="J71" t="s">
        <v>35</v>
      </c>
      <c r="K71" s="2" t="s">
        <v>220</v>
      </c>
      <c r="L71" t="s">
        <v>30</v>
      </c>
      <c r="M71">
        <v>24796</v>
      </c>
      <c r="N71">
        <v>-1</v>
      </c>
      <c r="O71" s="3">
        <v>-51990</v>
      </c>
      <c r="P71" s="3">
        <v>24334</v>
      </c>
      <c r="Q71" s="6">
        <f t="shared" si="4"/>
        <v>-43689.075630252104</v>
      </c>
      <c r="R71" s="6">
        <f t="shared" si="5"/>
        <v>-24334</v>
      </c>
      <c r="S71" s="7">
        <f t="shared" si="6"/>
        <v>-19355.075630252104</v>
      </c>
      <c r="T71" t="s">
        <v>730</v>
      </c>
    </row>
    <row r="72" spans="1:20" x14ac:dyDescent="0.3">
      <c r="A72">
        <v>300</v>
      </c>
      <c r="B72" t="s">
        <v>16</v>
      </c>
      <c r="C72" t="s">
        <v>267</v>
      </c>
      <c r="D72" s="2" t="s">
        <v>268</v>
      </c>
      <c r="E72" t="s">
        <v>269</v>
      </c>
      <c r="F72" t="s">
        <v>26</v>
      </c>
      <c r="G72" t="s">
        <v>27</v>
      </c>
      <c r="H72" t="s">
        <v>270</v>
      </c>
      <c r="I72" t="s">
        <v>20</v>
      </c>
      <c r="J72" t="s">
        <v>29</v>
      </c>
      <c r="K72" s="2" t="s">
        <v>220</v>
      </c>
      <c r="L72" t="s">
        <v>30</v>
      </c>
      <c r="M72">
        <v>24797</v>
      </c>
      <c r="N72">
        <v>-1</v>
      </c>
      <c r="O72" s="3">
        <v>-48990</v>
      </c>
      <c r="P72" s="3">
        <v>25602</v>
      </c>
      <c r="Q72" s="6">
        <f t="shared" si="4"/>
        <v>-41168.067226890758</v>
      </c>
      <c r="R72" s="6">
        <f t="shared" si="5"/>
        <v>-25602</v>
      </c>
      <c r="S72" s="7">
        <f t="shared" si="6"/>
        <v>-15566.067226890758</v>
      </c>
      <c r="T72" t="s">
        <v>730</v>
      </c>
    </row>
    <row r="73" spans="1:20" x14ac:dyDescent="0.3">
      <c r="A73">
        <v>300</v>
      </c>
      <c r="B73" t="s">
        <v>16</v>
      </c>
      <c r="C73" t="s">
        <v>204</v>
      </c>
      <c r="D73" s="2" t="s">
        <v>205</v>
      </c>
      <c r="E73" t="s">
        <v>206</v>
      </c>
      <c r="F73" t="s">
        <v>26</v>
      </c>
      <c r="G73" t="s">
        <v>27</v>
      </c>
      <c r="H73" t="s">
        <v>62</v>
      </c>
      <c r="I73" t="s">
        <v>20</v>
      </c>
      <c r="J73" t="s">
        <v>63</v>
      </c>
      <c r="K73" s="2" t="s">
        <v>220</v>
      </c>
      <c r="L73" t="s">
        <v>30</v>
      </c>
      <c r="M73">
        <v>24798</v>
      </c>
      <c r="N73">
        <v>-1</v>
      </c>
      <c r="O73" s="3">
        <v>-29989</v>
      </c>
      <c r="P73" s="3">
        <v>20242</v>
      </c>
      <c r="Q73" s="6">
        <f t="shared" si="4"/>
        <v>-25200.840336134454</v>
      </c>
      <c r="R73" s="6">
        <f t="shared" si="5"/>
        <v>-20242</v>
      </c>
      <c r="S73" s="7">
        <f t="shared" si="6"/>
        <v>-4958.8403361344535</v>
      </c>
      <c r="T73" t="s">
        <v>730</v>
      </c>
    </row>
    <row r="74" spans="1:20" x14ac:dyDescent="0.3">
      <c r="A74">
        <v>300</v>
      </c>
      <c r="B74" t="s">
        <v>16</v>
      </c>
      <c r="C74" t="s">
        <v>271</v>
      </c>
      <c r="D74" s="2" t="s">
        <v>272</v>
      </c>
      <c r="E74" t="s">
        <v>206</v>
      </c>
      <c r="F74" t="s">
        <v>26</v>
      </c>
      <c r="G74" t="s">
        <v>27</v>
      </c>
      <c r="H74" t="s">
        <v>62</v>
      </c>
      <c r="I74" t="s">
        <v>20</v>
      </c>
      <c r="J74" t="s">
        <v>63</v>
      </c>
      <c r="K74" s="2" t="s">
        <v>220</v>
      </c>
      <c r="L74" t="s">
        <v>30</v>
      </c>
      <c r="M74">
        <v>24798</v>
      </c>
      <c r="N74">
        <v>-1</v>
      </c>
      <c r="O74" s="3">
        <v>-29990</v>
      </c>
      <c r="P74" s="3">
        <v>23655</v>
      </c>
      <c r="Q74" s="6">
        <f t="shared" si="4"/>
        <v>-25201.680672268907</v>
      </c>
      <c r="R74" s="6">
        <f t="shared" si="5"/>
        <v>-23655</v>
      </c>
      <c r="S74" s="7">
        <f t="shared" si="6"/>
        <v>-1546.6806722689071</v>
      </c>
      <c r="T74" t="s">
        <v>730</v>
      </c>
    </row>
    <row r="75" spans="1:20" x14ac:dyDescent="0.3">
      <c r="A75">
        <v>300</v>
      </c>
      <c r="B75" t="s">
        <v>16</v>
      </c>
      <c r="C75" t="s">
        <v>273</v>
      </c>
      <c r="D75" s="2" t="s">
        <v>274</v>
      </c>
      <c r="E75" t="s">
        <v>275</v>
      </c>
      <c r="F75" t="s">
        <v>26</v>
      </c>
      <c r="G75" t="s">
        <v>27</v>
      </c>
      <c r="H75" t="s">
        <v>276</v>
      </c>
      <c r="I75" t="s">
        <v>20</v>
      </c>
      <c r="J75" t="s">
        <v>29</v>
      </c>
      <c r="K75" s="2" t="s">
        <v>220</v>
      </c>
      <c r="L75" t="s">
        <v>30</v>
      </c>
      <c r="M75">
        <v>24799</v>
      </c>
      <c r="N75">
        <v>-1</v>
      </c>
      <c r="O75" s="3">
        <v>-79950</v>
      </c>
      <c r="P75" s="3">
        <v>32843</v>
      </c>
      <c r="Q75" s="6">
        <f t="shared" si="4"/>
        <v>-67184.873949579836</v>
      </c>
      <c r="R75" s="6">
        <f t="shared" si="5"/>
        <v>-32843</v>
      </c>
      <c r="S75" s="7">
        <f t="shared" si="6"/>
        <v>-34341.873949579836</v>
      </c>
      <c r="T75" t="s">
        <v>730</v>
      </c>
    </row>
    <row r="76" spans="1:20" x14ac:dyDescent="0.3">
      <c r="A76">
        <v>300</v>
      </c>
      <c r="B76" t="s">
        <v>16</v>
      </c>
      <c r="C76" t="s">
        <v>277</v>
      </c>
      <c r="D76" s="2" t="s">
        <v>278</v>
      </c>
      <c r="E76" t="s">
        <v>279</v>
      </c>
      <c r="F76" t="s">
        <v>26</v>
      </c>
      <c r="G76" t="s">
        <v>27</v>
      </c>
      <c r="H76" t="s">
        <v>219</v>
      </c>
      <c r="I76" t="s">
        <v>20</v>
      </c>
      <c r="J76" t="s">
        <v>35</v>
      </c>
      <c r="K76" s="2" t="s">
        <v>220</v>
      </c>
      <c r="L76" t="s">
        <v>30</v>
      </c>
      <c r="M76">
        <v>24800</v>
      </c>
      <c r="N76">
        <v>-1</v>
      </c>
      <c r="O76" s="3">
        <v>-41990</v>
      </c>
      <c r="P76" s="3">
        <v>13540</v>
      </c>
      <c r="Q76" s="6">
        <f t="shared" si="4"/>
        <v>-35285.71428571429</v>
      </c>
      <c r="R76" s="6">
        <f t="shared" si="5"/>
        <v>-13540</v>
      </c>
      <c r="S76" s="7">
        <f t="shared" si="6"/>
        <v>-21745.71428571429</v>
      </c>
      <c r="T76" t="s">
        <v>730</v>
      </c>
    </row>
    <row r="77" spans="1:20" x14ac:dyDescent="0.3">
      <c r="A77">
        <v>300</v>
      </c>
      <c r="B77" t="s">
        <v>16</v>
      </c>
      <c r="C77" t="s">
        <v>280</v>
      </c>
      <c r="D77" s="2" t="s">
        <v>281</v>
      </c>
      <c r="E77" t="s">
        <v>282</v>
      </c>
      <c r="F77" t="s">
        <v>26</v>
      </c>
      <c r="G77" t="s">
        <v>27</v>
      </c>
      <c r="H77" t="s">
        <v>147</v>
      </c>
      <c r="I77" t="s">
        <v>20</v>
      </c>
      <c r="J77" t="s">
        <v>35</v>
      </c>
      <c r="K77" s="2" t="s">
        <v>220</v>
      </c>
      <c r="L77" t="s">
        <v>30</v>
      </c>
      <c r="M77">
        <v>24801</v>
      </c>
      <c r="N77">
        <v>-1</v>
      </c>
      <c r="O77" s="3">
        <v>-48990</v>
      </c>
      <c r="P77" s="3">
        <v>28778</v>
      </c>
      <c r="Q77" s="6">
        <f t="shared" si="4"/>
        <v>-41168.067226890758</v>
      </c>
      <c r="R77" s="6">
        <f t="shared" si="5"/>
        <v>-28778</v>
      </c>
      <c r="S77" s="7">
        <f t="shared" si="6"/>
        <v>-12390.067226890758</v>
      </c>
      <c r="T77" t="s">
        <v>730</v>
      </c>
    </row>
    <row r="78" spans="1:20" x14ac:dyDescent="0.3">
      <c r="A78">
        <v>300</v>
      </c>
      <c r="B78" t="s">
        <v>16</v>
      </c>
      <c r="C78" t="s">
        <v>283</v>
      </c>
      <c r="D78" s="2" t="s">
        <v>284</v>
      </c>
      <c r="E78" t="s">
        <v>285</v>
      </c>
      <c r="F78" t="s">
        <v>26</v>
      </c>
      <c r="G78" t="s">
        <v>27</v>
      </c>
      <c r="H78" t="s">
        <v>286</v>
      </c>
      <c r="I78" t="s">
        <v>20</v>
      </c>
      <c r="J78" t="s">
        <v>50</v>
      </c>
      <c r="K78" s="2" t="s">
        <v>220</v>
      </c>
      <c r="L78" t="s">
        <v>30</v>
      </c>
      <c r="M78">
        <v>24802</v>
      </c>
      <c r="N78">
        <v>-1</v>
      </c>
      <c r="O78" s="3">
        <v>-44990</v>
      </c>
      <c r="P78" s="3">
        <v>25246</v>
      </c>
      <c r="Q78" s="6">
        <f t="shared" si="4"/>
        <v>-37806.722689075636</v>
      </c>
      <c r="R78" s="6">
        <f t="shared" si="5"/>
        <v>-25246</v>
      </c>
      <c r="S78" s="7">
        <f t="shared" si="6"/>
        <v>-12560.722689075636</v>
      </c>
      <c r="T78" t="s">
        <v>730</v>
      </c>
    </row>
    <row r="79" spans="1:20" x14ac:dyDescent="0.3">
      <c r="A79">
        <v>300</v>
      </c>
      <c r="B79" t="s">
        <v>16</v>
      </c>
      <c r="C79" t="s">
        <v>287</v>
      </c>
      <c r="D79" s="2" t="s">
        <v>288</v>
      </c>
      <c r="E79" t="s">
        <v>289</v>
      </c>
      <c r="F79" t="s">
        <v>26</v>
      </c>
      <c r="G79" t="s">
        <v>27</v>
      </c>
      <c r="H79" t="s">
        <v>134</v>
      </c>
      <c r="I79" t="s">
        <v>20</v>
      </c>
      <c r="J79" t="s">
        <v>290</v>
      </c>
      <c r="K79" s="2" t="s">
        <v>220</v>
      </c>
      <c r="L79" t="s">
        <v>30</v>
      </c>
      <c r="M79">
        <v>24803</v>
      </c>
      <c r="N79">
        <v>-1</v>
      </c>
      <c r="O79" s="3">
        <v>-76989</v>
      </c>
      <c r="P79" s="3">
        <v>36915</v>
      </c>
      <c r="Q79" s="6">
        <f t="shared" si="4"/>
        <v>-64696.638655462186</v>
      </c>
      <c r="R79" s="6">
        <f t="shared" si="5"/>
        <v>-36915</v>
      </c>
      <c r="S79" s="7">
        <f t="shared" si="6"/>
        <v>-27781.638655462186</v>
      </c>
      <c r="T79" t="s">
        <v>730</v>
      </c>
    </row>
    <row r="80" spans="1:20" x14ac:dyDescent="0.3">
      <c r="A80">
        <v>300</v>
      </c>
      <c r="B80" t="s">
        <v>16</v>
      </c>
      <c r="C80" t="s">
        <v>291</v>
      </c>
      <c r="D80" s="2" t="s">
        <v>292</v>
      </c>
      <c r="E80" t="s">
        <v>293</v>
      </c>
      <c r="F80" t="s">
        <v>26</v>
      </c>
      <c r="G80" t="s">
        <v>27</v>
      </c>
      <c r="H80" t="s">
        <v>294</v>
      </c>
      <c r="I80" t="s">
        <v>20</v>
      </c>
      <c r="J80" t="s">
        <v>135</v>
      </c>
      <c r="K80" s="2" t="s">
        <v>220</v>
      </c>
      <c r="L80" t="s">
        <v>30</v>
      </c>
      <c r="M80">
        <v>24804</v>
      </c>
      <c r="N80">
        <v>-1</v>
      </c>
      <c r="O80" s="3">
        <v>-49990</v>
      </c>
      <c r="P80" s="3">
        <v>37703</v>
      </c>
      <c r="Q80" s="6">
        <f t="shared" si="4"/>
        <v>-42008.403361344543</v>
      </c>
      <c r="R80" s="6">
        <f t="shared" si="5"/>
        <v>-37703</v>
      </c>
      <c r="S80" s="7">
        <f t="shared" si="6"/>
        <v>-4305.4033613445426</v>
      </c>
      <c r="T80" t="s">
        <v>730</v>
      </c>
    </row>
    <row r="81" spans="1:20" x14ac:dyDescent="0.3">
      <c r="A81">
        <v>300</v>
      </c>
      <c r="B81" t="s">
        <v>16</v>
      </c>
      <c r="C81" t="s">
        <v>295</v>
      </c>
      <c r="D81" s="2" t="s">
        <v>296</v>
      </c>
      <c r="E81" t="s">
        <v>297</v>
      </c>
      <c r="F81" t="s">
        <v>26</v>
      </c>
      <c r="G81" t="s">
        <v>27</v>
      </c>
      <c r="H81" t="s">
        <v>298</v>
      </c>
      <c r="I81" t="s">
        <v>20</v>
      </c>
      <c r="J81" t="s">
        <v>50</v>
      </c>
      <c r="K81" s="2" t="s">
        <v>299</v>
      </c>
      <c r="L81" t="s">
        <v>30</v>
      </c>
      <c r="M81">
        <v>24805</v>
      </c>
      <c r="N81">
        <v>-1</v>
      </c>
      <c r="O81" s="3">
        <v>-69949</v>
      </c>
      <c r="P81" s="3">
        <v>25989</v>
      </c>
      <c r="Q81" s="6">
        <f t="shared" si="4"/>
        <v>-58780.672268907569</v>
      </c>
      <c r="R81" s="6">
        <f t="shared" si="5"/>
        <v>-25989</v>
      </c>
      <c r="S81" s="7">
        <f t="shared" si="6"/>
        <v>-32791.672268907569</v>
      </c>
      <c r="T81" t="s">
        <v>730</v>
      </c>
    </row>
    <row r="82" spans="1:20" x14ac:dyDescent="0.3">
      <c r="A82">
        <v>300</v>
      </c>
      <c r="B82" t="s">
        <v>16</v>
      </c>
      <c r="C82" t="s">
        <v>300</v>
      </c>
      <c r="D82" s="2" t="s">
        <v>301</v>
      </c>
      <c r="E82" t="s">
        <v>302</v>
      </c>
      <c r="F82" t="s">
        <v>26</v>
      </c>
      <c r="G82" t="s">
        <v>27</v>
      </c>
      <c r="H82" t="s">
        <v>151</v>
      </c>
      <c r="I82" t="s">
        <v>20</v>
      </c>
      <c r="J82" t="s">
        <v>35</v>
      </c>
      <c r="K82" s="2" t="s">
        <v>299</v>
      </c>
      <c r="L82" t="s">
        <v>30</v>
      </c>
      <c r="M82">
        <v>24806</v>
      </c>
      <c r="N82">
        <v>-1</v>
      </c>
      <c r="O82" s="3">
        <v>-48990</v>
      </c>
      <c r="P82" s="3">
        <v>18728</v>
      </c>
      <c r="Q82" s="6">
        <f t="shared" si="4"/>
        <v>-41168.067226890758</v>
      </c>
      <c r="R82" s="6">
        <f t="shared" si="5"/>
        <v>-18728</v>
      </c>
      <c r="S82" s="7">
        <f t="shared" si="6"/>
        <v>-22440.067226890758</v>
      </c>
      <c r="T82" t="s">
        <v>730</v>
      </c>
    </row>
    <row r="83" spans="1:20" x14ac:dyDescent="0.3">
      <c r="A83">
        <v>300</v>
      </c>
      <c r="B83" t="s">
        <v>16</v>
      </c>
      <c r="C83" t="s">
        <v>303</v>
      </c>
      <c r="D83" s="2" t="s">
        <v>304</v>
      </c>
      <c r="E83" t="s">
        <v>78</v>
      </c>
      <c r="F83" t="s">
        <v>26</v>
      </c>
      <c r="G83" t="s">
        <v>27</v>
      </c>
      <c r="H83" t="s">
        <v>79</v>
      </c>
      <c r="I83" t="s">
        <v>20</v>
      </c>
      <c r="J83" t="s">
        <v>50</v>
      </c>
      <c r="K83" s="2" t="s">
        <v>299</v>
      </c>
      <c r="L83" t="s">
        <v>30</v>
      </c>
      <c r="M83">
        <v>24807</v>
      </c>
      <c r="N83">
        <v>-1</v>
      </c>
      <c r="O83" s="3">
        <v>-59990</v>
      </c>
      <c r="P83" s="3">
        <v>28053</v>
      </c>
      <c r="Q83" s="6">
        <f t="shared" si="4"/>
        <v>-50411.764705882357</v>
      </c>
      <c r="R83" s="6">
        <f t="shared" si="5"/>
        <v>-28053</v>
      </c>
      <c r="S83" s="7">
        <f t="shared" si="6"/>
        <v>-22358.764705882357</v>
      </c>
      <c r="T83" t="s">
        <v>730</v>
      </c>
    </row>
    <row r="84" spans="1:20" x14ac:dyDescent="0.3">
      <c r="A84">
        <v>300</v>
      </c>
      <c r="B84" t="s">
        <v>16</v>
      </c>
      <c r="C84" t="s">
        <v>303</v>
      </c>
      <c r="D84" s="2" t="s">
        <v>304</v>
      </c>
      <c r="E84" t="s">
        <v>78</v>
      </c>
      <c r="F84" t="s">
        <v>26</v>
      </c>
      <c r="G84" t="s">
        <v>27</v>
      </c>
      <c r="H84" t="s">
        <v>79</v>
      </c>
      <c r="I84" t="s">
        <v>20</v>
      </c>
      <c r="J84" t="s">
        <v>50</v>
      </c>
      <c r="K84" s="2" t="s">
        <v>299</v>
      </c>
      <c r="L84" t="s">
        <v>30</v>
      </c>
      <c r="M84">
        <v>24808</v>
      </c>
      <c r="N84">
        <v>-1</v>
      </c>
      <c r="O84" s="3">
        <v>-59990</v>
      </c>
      <c r="P84" s="3">
        <v>28053</v>
      </c>
      <c r="Q84" s="6">
        <f t="shared" si="4"/>
        <v>-50411.764705882357</v>
      </c>
      <c r="R84" s="6">
        <f t="shared" si="5"/>
        <v>-28053</v>
      </c>
      <c r="S84" s="7">
        <f t="shared" si="6"/>
        <v>-22358.764705882357</v>
      </c>
      <c r="T84" t="s">
        <v>730</v>
      </c>
    </row>
    <row r="85" spans="1:20" x14ac:dyDescent="0.3">
      <c r="A85">
        <v>300</v>
      </c>
      <c r="B85" t="s">
        <v>16</v>
      </c>
      <c r="C85" t="s">
        <v>305</v>
      </c>
      <c r="D85" s="2" t="s">
        <v>306</v>
      </c>
      <c r="E85" t="s">
        <v>307</v>
      </c>
      <c r="F85" t="s">
        <v>26</v>
      </c>
      <c r="G85" t="s">
        <v>27</v>
      </c>
      <c r="H85" t="s">
        <v>308</v>
      </c>
      <c r="I85" t="s">
        <v>20</v>
      </c>
      <c r="J85" t="s">
        <v>35</v>
      </c>
      <c r="K85" s="2" t="s">
        <v>299</v>
      </c>
      <c r="L85" t="s">
        <v>30</v>
      </c>
      <c r="M85">
        <v>24809</v>
      </c>
      <c r="N85">
        <v>-1</v>
      </c>
      <c r="O85" s="3">
        <v>-44990</v>
      </c>
      <c r="P85" s="3">
        <v>23009</v>
      </c>
      <c r="Q85" s="6">
        <f t="shared" si="4"/>
        <v>-37806.722689075636</v>
      </c>
      <c r="R85" s="6">
        <f t="shared" si="5"/>
        <v>-23009</v>
      </c>
      <c r="S85" s="7">
        <f t="shared" si="6"/>
        <v>-14797.722689075636</v>
      </c>
      <c r="T85" t="s">
        <v>730</v>
      </c>
    </row>
    <row r="86" spans="1:20" x14ac:dyDescent="0.3">
      <c r="A86">
        <v>300</v>
      </c>
      <c r="B86" t="s">
        <v>16</v>
      </c>
      <c r="C86" t="s">
        <v>197</v>
      </c>
      <c r="D86" s="2" t="s">
        <v>198</v>
      </c>
      <c r="E86" t="s">
        <v>82</v>
      </c>
      <c r="F86" t="s">
        <v>26</v>
      </c>
      <c r="G86" t="s">
        <v>27</v>
      </c>
      <c r="H86" t="s">
        <v>83</v>
      </c>
      <c r="I86" t="s">
        <v>20</v>
      </c>
      <c r="J86" t="s">
        <v>63</v>
      </c>
      <c r="K86" s="2" t="s">
        <v>299</v>
      </c>
      <c r="L86" t="s">
        <v>30</v>
      </c>
      <c r="M86">
        <v>24810</v>
      </c>
      <c r="N86">
        <v>-1</v>
      </c>
      <c r="O86" s="3">
        <v>-41990</v>
      </c>
      <c r="P86" s="3">
        <v>19046</v>
      </c>
      <c r="Q86" s="6">
        <f t="shared" si="4"/>
        <v>-35285.71428571429</v>
      </c>
      <c r="R86" s="6">
        <f t="shared" si="5"/>
        <v>-19046</v>
      </c>
      <c r="S86" s="7">
        <f t="shared" si="6"/>
        <v>-16239.71428571429</v>
      </c>
      <c r="T86" t="s">
        <v>730</v>
      </c>
    </row>
    <row r="87" spans="1:20" x14ac:dyDescent="0.3">
      <c r="A87">
        <v>300</v>
      </c>
      <c r="B87" t="s">
        <v>16</v>
      </c>
      <c r="C87" t="s">
        <v>309</v>
      </c>
      <c r="D87" s="2" t="s">
        <v>310</v>
      </c>
      <c r="E87" t="s">
        <v>311</v>
      </c>
      <c r="F87" t="s">
        <v>26</v>
      </c>
      <c r="G87" t="s">
        <v>27</v>
      </c>
      <c r="H87" t="s">
        <v>312</v>
      </c>
      <c r="I87" t="s">
        <v>20</v>
      </c>
      <c r="J87" t="s">
        <v>135</v>
      </c>
      <c r="K87" s="2" t="s">
        <v>299</v>
      </c>
      <c r="L87" t="s">
        <v>30</v>
      </c>
      <c r="M87">
        <v>24811</v>
      </c>
      <c r="N87">
        <v>-1</v>
      </c>
      <c r="O87" s="3">
        <v>-62990</v>
      </c>
      <c r="P87" s="3">
        <v>37255</v>
      </c>
      <c r="Q87" s="6">
        <f t="shared" si="4"/>
        <v>-52932.773109243702</v>
      </c>
      <c r="R87" s="6">
        <f t="shared" si="5"/>
        <v>-37255</v>
      </c>
      <c r="S87" s="7">
        <f t="shared" si="6"/>
        <v>-15677.773109243702</v>
      </c>
      <c r="T87" t="s">
        <v>730</v>
      </c>
    </row>
    <row r="88" spans="1:20" x14ac:dyDescent="0.3">
      <c r="A88">
        <v>300</v>
      </c>
      <c r="B88" t="s">
        <v>16</v>
      </c>
      <c r="C88" t="s">
        <v>313</v>
      </c>
      <c r="D88" s="2" t="s">
        <v>314</v>
      </c>
      <c r="E88" t="s">
        <v>315</v>
      </c>
      <c r="F88" t="s">
        <v>26</v>
      </c>
      <c r="G88" t="s">
        <v>27</v>
      </c>
      <c r="H88" t="s">
        <v>182</v>
      </c>
      <c r="I88" t="s">
        <v>20</v>
      </c>
      <c r="J88" t="s">
        <v>135</v>
      </c>
      <c r="K88" s="2" t="s">
        <v>299</v>
      </c>
      <c r="L88" t="s">
        <v>30</v>
      </c>
      <c r="M88">
        <v>24812</v>
      </c>
      <c r="N88">
        <v>-1</v>
      </c>
      <c r="O88" s="3">
        <v>-62990</v>
      </c>
      <c r="P88" s="3">
        <v>36205</v>
      </c>
      <c r="Q88" s="6">
        <f t="shared" si="4"/>
        <v>-52932.773109243702</v>
      </c>
      <c r="R88" s="6">
        <f t="shared" si="5"/>
        <v>-36205</v>
      </c>
      <c r="S88" s="7">
        <f t="shared" si="6"/>
        <v>-16727.773109243702</v>
      </c>
      <c r="T88" t="s">
        <v>730</v>
      </c>
    </row>
    <row r="89" spans="1:20" x14ac:dyDescent="0.3">
      <c r="A89">
        <v>300</v>
      </c>
      <c r="B89" t="s">
        <v>16</v>
      </c>
      <c r="C89" t="s">
        <v>316</v>
      </c>
      <c r="D89" s="2" t="s">
        <v>317</v>
      </c>
      <c r="E89" t="s">
        <v>318</v>
      </c>
      <c r="F89" t="s">
        <v>26</v>
      </c>
      <c r="G89" t="s">
        <v>27</v>
      </c>
      <c r="H89" t="s">
        <v>286</v>
      </c>
      <c r="I89" t="s">
        <v>20</v>
      </c>
      <c r="J89" t="s">
        <v>50</v>
      </c>
      <c r="K89" s="2" t="s">
        <v>299</v>
      </c>
      <c r="L89" t="s">
        <v>30</v>
      </c>
      <c r="M89">
        <v>24813</v>
      </c>
      <c r="N89">
        <v>-1</v>
      </c>
      <c r="O89" s="3">
        <v>-39990</v>
      </c>
      <c r="P89" s="3">
        <v>22855</v>
      </c>
      <c r="Q89" s="6">
        <f t="shared" si="4"/>
        <v>-33605.042016806721</v>
      </c>
      <c r="R89" s="6">
        <f t="shared" si="5"/>
        <v>-22855</v>
      </c>
      <c r="S89" s="7">
        <f t="shared" si="6"/>
        <v>-10750.042016806721</v>
      </c>
      <c r="T89" t="s">
        <v>730</v>
      </c>
    </row>
    <row r="90" spans="1:20" x14ac:dyDescent="0.3">
      <c r="A90">
        <v>300</v>
      </c>
      <c r="B90" t="s">
        <v>16</v>
      </c>
      <c r="C90" t="s">
        <v>319</v>
      </c>
      <c r="D90" s="2" t="s">
        <v>320</v>
      </c>
      <c r="E90" t="s">
        <v>66</v>
      </c>
      <c r="F90" t="s">
        <v>26</v>
      </c>
      <c r="G90" t="s">
        <v>27</v>
      </c>
      <c r="H90" t="s">
        <v>67</v>
      </c>
      <c r="I90" t="s">
        <v>20</v>
      </c>
      <c r="J90" t="s">
        <v>63</v>
      </c>
      <c r="K90" s="2" t="s">
        <v>299</v>
      </c>
      <c r="L90" t="s">
        <v>30</v>
      </c>
      <c r="M90">
        <v>24814</v>
      </c>
      <c r="N90">
        <v>-1</v>
      </c>
      <c r="O90" s="3">
        <v>-32990</v>
      </c>
      <c r="P90" s="3">
        <v>20054</v>
      </c>
      <c r="Q90" s="6">
        <f t="shared" si="4"/>
        <v>-27722.689075630253</v>
      </c>
      <c r="R90" s="6">
        <f t="shared" si="5"/>
        <v>-20054</v>
      </c>
      <c r="S90" s="7">
        <f t="shared" si="6"/>
        <v>-7668.6890756302528</v>
      </c>
      <c r="T90" t="s">
        <v>730</v>
      </c>
    </row>
    <row r="91" spans="1:20" x14ac:dyDescent="0.3">
      <c r="A91">
        <v>300</v>
      </c>
      <c r="B91" t="s">
        <v>16</v>
      </c>
      <c r="C91" t="s">
        <v>321</v>
      </c>
      <c r="D91" s="2" t="s">
        <v>322</v>
      </c>
      <c r="E91" t="s">
        <v>323</v>
      </c>
      <c r="F91" t="s">
        <v>26</v>
      </c>
      <c r="G91" t="s">
        <v>27</v>
      </c>
      <c r="H91" t="s">
        <v>324</v>
      </c>
      <c r="I91" t="s">
        <v>20</v>
      </c>
      <c r="J91" t="s">
        <v>35</v>
      </c>
      <c r="K91" s="2" t="s">
        <v>299</v>
      </c>
      <c r="L91" t="s">
        <v>30</v>
      </c>
      <c r="M91">
        <v>24815</v>
      </c>
      <c r="N91">
        <v>-1</v>
      </c>
      <c r="O91" s="3">
        <v>-51990</v>
      </c>
      <c r="P91" s="3">
        <v>24559</v>
      </c>
      <c r="Q91" s="6">
        <f t="shared" si="4"/>
        <v>-43689.075630252104</v>
      </c>
      <c r="R91" s="6">
        <f t="shared" si="5"/>
        <v>-24559</v>
      </c>
      <c r="S91" s="7">
        <f t="shared" si="6"/>
        <v>-19130.075630252104</v>
      </c>
      <c r="T91" t="s">
        <v>730</v>
      </c>
    </row>
    <row r="92" spans="1:20" x14ac:dyDescent="0.3">
      <c r="A92">
        <v>300</v>
      </c>
      <c r="B92" t="s">
        <v>16</v>
      </c>
      <c r="C92" t="s">
        <v>325</v>
      </c>
      <c r="D92" s="2" t="s">
        <v>326</v>
      </c>
      <c r="E92" t="s">
        <v>327</v>
      </c>
      <c r="F92" t="s">
        <v>26</v>
      </c>
      <c r="G92" t="s">
        <v>27</v>
      </c>
      <c r="H92" t="s">
        <v>214</v>
      </c>
      <c r="I92" t="s">
        <v>20</v>
      </c>
      <c r="J92" t="s">
        <v>50</v>
      </c>
      <c r="K92" s="2" t="s">
        <v>299</v>
      </c>
      <c r="L92" t="s">
        <v>30</v>
      </c>
      <c r="M92">
        <v>24816</v>
      </c>
      <c r="N92">
        <v>-1</v>
      </c>
      <c r="O92" s="3">
        <v>-41990</v>
      </c>
      <c r="P92" s="3">
        <v>27868</v>
      </c>
      <c r="Q92" s="6">
        <f t="shared" si="4"/>
        <v>-35285.71428571429</v>
      </c>
      <c r="R92" s="6">
        <f t="shared" si="5"/>
        <v>-27868</v>
      </c>
      <c r="S92" s="7">
        <f t="shared" si="6"/>
        <v>-7417.7142857142899</v>
      </c>
      <c r="T92" t="s">
        <v>730</v>
      </c>
    </row>
    <row r="93" spans="1:20" x14ac:dyDescent="0.3">
      <c r="A93">
        <v>300</v>
      </c>
      <c r="B93" t="s">
        <v>16</v>
      </c>
      <c r="C93" t="s">
        <v>328</v>
      </c>
      <c r="D93" s="2" t="s">
        <v>329</v>
      </c>
      <c r="E93" t="s">
        <v>330</v>
      </c>
      <c r="F93" t="s">
        <v>26</v>
      </c>
      <c r="G93" t="s">
        <v>27</v>
      </c>
      <c r="H93" t="s">
        <v>331</v>
      </c>
      <c r="I93" t="s">
        <v>20</v>
      </c>
      <c r="J93" t="s">
        <v>35</v>
      </c>
      <c r="K93" s="2" t="s">
        <v>299</v>
      </c>
      <c r="L93" t="s">
        <v>30</v>
      </c>
      <c r="M93">
        <v>24817</v>
      </c>
      <c r="N93">
        <v>-1</v>
      </c>
      <c r="O93" s="3">
        <v>-51990</v>
      </c>
      <c r="P93" s="3">
        <v>24522</v>
      </c>
      <c r="Q93" s="6">
        <f t="shared" si="4"/>
        <v>-43689.075630252104</v>
      </c>
      <c r="R93" s="6">
        <f t="shared" si="5"/>
        <v>-24522</v>
      </c>
      <c r="S93" s="7">
        <f t="shared" si="6"/>
        <v>-19167.075630252104</v>
      </c>
      <c r="T93" t="s">
        <v>730</v>
      </c>
    </row>
    <row r="94" spans="1:20" x14ac:dyDescent="0.3">
      <c r="A94">
        <v>300</v>
      </c>
      <c r="B94" t="s">
        <v>16</v>
      </c>
      <c r="C94" t="s">
        <v>332</v>
      </c>
      <c r="D94" s="2" t="s">
        <v>333</v>
      </c>
      <c r="E94" t="s">
        <v>334</v>
      </c>
      <c r="F94" t="s">
        <v>26</v>
      </c>
      <c r="G94" t="s">
        <v>27</v>
      </c>
      <c r="H94" t="s">
        <v>335</v>
      </c>
      <c r="I94" t="s">
        <v>20</v>
      </c>
      <c r="J94" t="s">
        <v>29</v>
      </c>
      <c r="K94" s="2" t="s">
        <v>299</v>
      </c>
      <c r="L94" t="s">
        <v>30</v>
      </c>
      <c r="M94">
        <v>24818</v>
      </c>
      <c r="N94">
        <v>-1</v>
      </c>
      <c r="O94" s="3">
        <v>-37990</v>
      </c>
      <c r="P94" s="3">
        <v>12681</v>
      </c>
      <c r="Q94" s="6">
        <f t="shared" si="4"/>
        <v>-31924.36974789916</v>
      </c>
      <c r="R94" s="6">
        <f t="shared" si="5"/>
        <v>-12681</v>
      </c>
      <c r="S94" s="7">
        <f t="shared" si="6"/>
        <v>-19243.36974789916</v>
      </c>
      <c r="T94" t="s">
        <v>730</v>
      </c>
    </row>
    <row r="95" spans="1:20" x14ac:dyDescent="0.3">
      <c r="A95">
        <v>300</v>
      </c>
      <c r="B95" t="s">
        <v>16</v>
      </c>
      <c r="C95" t="s">
        <v>336</v>
      </c>
      <c r="D95" s="2" t="s">
        <v>337</v>
      </c>
      <c r="E95" t="s">
        <v>330</v>
      </c>
      <c r="F95" t="s">
        <v>26</v>
      </c>
      <c r="G95" t="s">
        <v>27</v>
      </c>
      <c r="H95" t="s">
        <v>331</v>
      </c>
      <c r="I95" t="s">
        <v>20</v>
      </c>
      <c r="J95" t="s">
        <v>35</v>
      </c>
      <c r="K95" s="2" t="s">
        <v>299</v>
      </c>
      <c r="L95" t="s">
        <v>30</v>
      </c>
      <c r="M95">
        <v>24819</v>
      </c>
      <c r="N95">
        <v>-1</v>
      </c>
      <c r="O95" s="3">
        <v>-51990</v>
      </c>
      <c r="P95" s="3">
        <v>24471</v>
      </c>
      <c r="Q95" s="6">
        <f t="shared" si="4"/>
        <v>-43689.075630252104</v>
      </c>
      <c r="R95" s="6">
        <f t="shared" si="5"/>
        <v>-24471</v>
      </c>
      <c r="S95" s="7">
        <f t="shared" si="6"/>
        <v>-19218.075630252104</v>
      </c>
      <c r="T95" t="s">
        <v>730</v>
      </c>
    </row>
    <row r="96" spans="1:20" x14ac:dyDescent="0.3">
      <c r="A96">
        <v>300</v>
      </c>
      <c r="B96" t="s">
        <v>16</v>
      </c>
      <c r="C96" t="s">
        <v>338</v>
      </c>
      <c r="D96" s="2" t="s">
        <v>339</v>
      </c>
      <c r="E96" t="s">
        <v>340</v>
      </c>
      <c r="F96" t="s">
        <v>26</v>
      </c>
      <c r="G96" t="s">
        <v>27</v>
      </c>
      <c r="H96" t="s">
        <v>331</v>
      </c>
      <c r="I96" t="s">
        <v>20</v>
      </c>
      <c r="J96" t="s">
        <v>35</v>
      </c>
      <c r="K96" s="2" t="s">
        <v>299</v>
      </c>
      <c r="L96" t="s">
        <v>30</v>
      </c>
      <c r="M96">
        <v>24820</v>
      </c>
      <c r="N96">
        <v>-1</v>
      </c>
      <c r="O96" s="3">
        <v>-36990</v>
      </c>
      <c r="P96" s="3">
        <v>21727</v>
      </c>
      <c r="Q96" s="6">
        <f t="shared" si="4"/>
        <v>-31084.033613445379</v>
      </c>
      <c r="R96" s="6">
        <f t="shared" si="5"/>
        <v>-21727</v>
      </c>
      <c r="S96" s="7">
        <f t="shared" si="6"/>
        <v>-9357.0336134453792</v>
      </c>
      <c r="T96" t="s">
        <v>730</v>
      </c>
    </row>
    <row r="97" spans="1:20" x14ac:dyDescent="0.3">
      <c r="A97">
        <v>300</v>
      </c>
      <c r="B97" t="s">
        <v>16</v>
      </c>
      <c r="C97" t="s">
        <v>341</v>
      </c>
      <c r="D97" s="2" t="s">
        <v>342</v>
      </c>
      <c r="E97" t="s">
        <v>343</v>
      </c>
      <c r="F97" t="s">
        <v>26</v>
      </c>
      <c r="G97" t="s">
        <v>27</v>
      </c>
      <c r="H97" t="s">
        <v>344</v>
      </c>
      <c r="I97" t="s">
        <v>20</v>
      </c>
      <c r="J97" t="s">
        <v>135</v>
      </c>
      <c r="K97" s="2" t="s">
        <v>299</v>
      </c>
      <c r="L97" t="s">
        <v>30</v>
      </c>
      <c r="M97">
        <v>24821</v>
      </c>
      <c r="N97">
        <v>-1</v>
      </c>
      <c r="O97" s="3">
        <v>-51990</v>
      </c>
      <c r="P97" s="3">
        <v>32034</v>
      </c>
      <c r="Q97" s="6">
        <f t="shared" si="4"/>
        <v>-43689.075630252104</v>
      </c>
      <c r="R97" s="6">
        <f t="shared" si="5"/>
        <v>-32034</v>
      </c>
      <c r="S97" s="7">
        <f t="shared" si="6"/>
        <v>-11655.075630252104</v>
      </c>
      <c r="T97" t="s">
        <v>730</v>
      </c>
    </row>
    <row r="98" spans="1:20" x14ac:dyDescent="0.3">
      <c r="A98">
        <v>300</v>
      </c>
      <c r="B98" t="s">
        <v>16</v>
      </c>
      <c r="C98" t="s">
        <v>345</v>
      </c>
      <c r="D98" s="2" t="s">
        <v>346</v>
      </c>
      <c r="E98" t="s">
        <v>347</v>
      </c>
      <c r="F98" t="s">
        <v>26</v>
      </c>
      <c r="G98" t="s">
        <v>27</v>
      </c>
      <c r="H98" t="s">
        <v>348</v>
      </c>
      <c r="I98" t="s">
        <v>20</v>
      </c>
      <c r="J98" t="s">
        <v>29</v>
      </c>
      <c r="K98" s="2" t="s">
        <v>299</v>
      </c>
      <c r="L98" t="s">
        <v>30</v>
      </c>
      <c r="M98">
        <v>24822</v>
      </c>
      <c r="N98">
        <v>-1</v>
      </c>
      <c r="O98" s="3">
        <v>-31990</v>
      </c>
      <c r="P98" s="3">
        <v>22172</v>
      </c>
      <c r="Q98" s="6">
        <f t="shared" si="4"/>
        <v>-26882.352941176472</v>
      </c>
      <c r="R98" s="6">
        <f t="shared" si="5"/>
        <v>-22172</v>
      </c>
      <c r="S98" s="7">
        <f t="shared" si="6"/>
        <v>-4710.3529411764721</v>
      </c>
      <c r="T98" t="s">
        <v>730</v>
      </c>
    </row>
    <row r="99" spans="1:20" x14ac:dyDescent="0.3">
      <c r="A99">
        <v>300</v>
      </c>
      <c r="B99" t="s">
        <v>16</v>
      </c>
      <c r="C99" t="s">
        <v>349</v>
      </c>
      <c r="D99" s="2" t="s">
        <v>350</v>
      </c>
      <c r="E99" t="s">
        <v>351</v>
      </c>
      <c r="F99" t="s">
        <v>26</v>
      </c>
      <c r="G99" t="s">
        <v>27</v>
      </c>
      <c r="H99" t="s">
        <v>232</v>
      </c>
      <c r="I99" t="s">
        <v>20</v>
      </c>
      <c r="J99" t="s">
        <v>50</v>
      </c>
      <c r="K99" s="2" t="s">
        <v>299</v>
      </c>
      <c r="L99" t="s">
        <v>30</v>
      </c>
      <c r="M99">
        <v>24823</v>
      </c>
      <c r="N99">
        <v>-2</v>
      </c>
      <c r="O99" s="3">
        <v>-97980</v>
      </c>
      <c r="P99" s="3">
        <v>25834</v>
      </c>
      <c r="Q99" s="6">
        <f t="shared" si="4"/>
        <v>-82336.134453781517</v>
      </c>
      <c r="R99" s="6">
        <f t="shared" si="5"/>
        <v>-51668</v>
      </c>
      <c r="S99" s="7">
        <f t="shared" si="6"/>
        <v>-30668.134453781517</v>
      </c>
      <c r="T99" t="s">
        <v>730</v>
      </c>
    </row>
    <row r="100" spans="1:20" x14ac:dyDescent="0.3">
      <c r="A100">
        <v>300</v>
      </c>
      <c r="B100" t="s">
        <v>16</v>
      </c>
      <c r="C100" t="s">
        <v>352</v>
      </c>
      <c r="D100" s="2" t="s">
        <v>353</v>
      </c>
      <c r="E100" t="s">
        <v>354</v>
      </c>
      <c r="F100" t="s">
        <v>26</v>
      </c>
      <c r="G100" t="s">
        <v>27</v>
      </c>
      <c r="H100" t="s">
        <v>355</v>
      </c>
      <c r="I100" t="s">
        <v>20</v>
      </c>
      <c r="J100" t="s">
        <v>29</v>
      </c>
      <c r="K100" s="2" t="s">
        <v>299</v>
      </c>
      <c r="L100" t="s">
        <v>30</v>
      </c>
      <c r="M100">
        <v>24824</v>
      </c>
      <c r="N100">
        <v>-1</v>
      </c>
      <c r="O100" s="3">
        <v>-35990</v>
      </c>
      <c r="P100" s="3">
        <v>18607</v>
      </c>
      <c r="Q100" s="6">
        <f t="shared" si="4"/>
        <v>-30243.697478991598</v>
      </c>
      <c r="R100" s="6">
        <f t="shared" si="5"/>
        <v>-18607</v>
      </c>
      <c r="S100" s="7">
        <f t="shared" si="6"/>
        <v>-11636.697478991598</v>
      </c>
      <c r="T100" t="s">
        <v>730</v>
      </c>
    </row>
    <row r="101" spans="1:20" x14ac:dyDescent="0.3">
      <c r="A101">
        <v>300</v>
      </c>
      <c r="B101" t="s">
        <v>16</v>
      </c>
      <c r="C101" t="s">
        <v>356</v>
      </c>
      <c r="D101" s="2" t="s">
        <v>357</v>
      </c>
      <c r="E101" t="s">
        <v>358</v>
      </c>
      <c r="F101" t="s">
        <v>26</v>
      </c>
      <c r="G101" t="s">
        <v>27</v>
      </c>
      <c r="H101" t="s">
        <v>359</v>
      </c>
      <c r="I101" t="s">
        <v>20</v>
      </c>
      <c r="J101" t="s">
        <v>29</v>
      </c>
      <c r="K101" s="2" t="s">
        <v>299</v>
      </c>
      <c r="L101" t="s">
        <v>30</v>
      </c>
      <c r="M101">
        <v>24825</v>
      </c>
      <c r="N101">
        <v>-1</v>
      </c>
      <c r="O101" s="3">
        <v>-54949</v>
      </c>
      <c r="P101" s="3">
        <v>17386</v>
      </c>
      <c r="Q101" s="6">
        <f t="shared" si="4"/>
        <v>-46175.63025210084</v>
      </c>
      <c r="R101" s="6">
        <f t="shared" si="5"/>
        <v>-17386</v>
      </c>
      <c r="S101" s="7">
        <f t="shared" si="6"/>
        <v>-28789.63025210084</v>
      </c>
      <c r="T101" t="s">
        <v>730</v>
      </c>
    </row>
    <row r="102" spans="1:20" x14ac:dyDescent="0.3">
      <c r="A102">
        <v>300</v>
      </c>
      <c r="B102" t="s">
        <v>16</v>
      </c>
      <c r="C102" t="s">
        <v>360</v>
      </c>
      <c r="D102" s="2" t="s">
        <v>361</v>
      </c>
      <c r="E102" t="s">
        <v>362</v>
      </c>
      <c r="F102" t="s">
        <v>26</v>
      </c>
      <c r="G102" t="s">
        <v>27</v>
      </c>
      <c r="H102" t="s">
        <v>363</v>
      </c>
      <c r="I102" t="s">
        <v>20</v>
      </c>
      <c r="J102" t="s">
        <v>29</v>
      </c>
      <c r="K102" s="2" t="s">
        <v>364</v>
      </c>
      <c r="L102" t="s">
        <v>30</v>
      </c>
      <c r="M102">
        <v>24826</v>
      </c>
      <c r="N102">
        <v>-1</v>
      </c>
      <c r="O102" s="3">
        <v>-48990</v>
      </c>
      <c r="P102" s="3">
        <v>26454</v>
      </c>
      <c r="Q102" s="6">
        <f t="shared" si="4"/>
        <v>-41168.067226890758</v>
      </c>
      <c r="R102" s="6">
        <f t="shared" si="5"/>
        <v>-26454</v>
      </c>
      <c r="S102" s="7">
        <f t="shared" si="6"/>
        <v>-14714.067226890758</v>
      </c>
      <c r="T102" t="s">
        <v>730</v>
      </c>
    </row>
    <row r="103" spans="1:20" x14ac:dyDescent="0.3">
      <c r="A103">
        <v>300</v>
      </c>
      <c r="B103" t="s">
        <v>16</v>
      </c>
      <c r="C103" t="s">
        <v>365</v>
      </c>
      <c r="D103" s="2" t="s">
        <v>366</v>
      </c>
      <c r="E103" t="s">
        <v>367</v>
      </c>
      <c r="F103" t="s">
        <v>26</v>
      </c>
      <c r="G103" t="s">
        <v>27</v>
      </c>
      <c r="H103" t="s">
        <v>368</v>
      </c>
      <c r="I103" t="s">
        <v>20</v>
      </c>
      <c r="J103" t="s">
        <v>135</v>
      </c>
      <c r="K103" s="2" t="s">
        <v>364</v>
      </c>
      <c r="L103" t="s">
        <v>30</v>
      </c>
      <c r="M103">
        <v>24827</v>
      </c>
      <c r="N103">
        <v>-1</v>
      </c>
      <c r="O103" s="3">
        <v>-64950</v>
      </c>
      <c r="P103" s="3">
        <v>27315</v>
      </c>
      <c r="Q103" s="6">
        <f t="shared" si="4"/>
        <v>-54579.831932773115</v>
      </c>
      <c r="R103" s="6">
        <f t="shared" si="5"/>
        <v>-27315</v>
      </c>
      <c r="S103" s="7">
        <f t="shared" si="6"/>
        <v>-27264.831932773115</v>
      </c>
      <c r="T103" t="s">
        <v>730</v>
      </c>
    </row>
    <row r="104" spans="1:20" x14ac:dyDescent="0.3">
      <c r="A104">
        <v>300</v>
      </c>
      <c r="B104" t="s">
        <v>16</v>
      </c>
      <c r="C104" t="s">
        <v>369</v>
      </c>
      <c r="D104" s="2" t="s">
        <v>370</v>
      </c>
      <c r="E104" t="s">
        <v>371</v>
      </c>
      <c r="F104" t="s">
        <v>26</v>
      </c>
      <c r="G104" t="s">
        <v>27</v>
      </c>
      <c r="H104" t="s">
        <v>39</v>
      </c>
      <c r="I104" t="s">
        <v>20</v>
      </c>
      <c r="J104" t="s">
        <v>35</v>
      </c>
      <c r="K104" s="2" t="s">
        <v>364</v>
      </c>
      <c r="L104" t="s">
        <v>30</v>
      </c>
      <c r="M104">
        <v>24828</v>
      </c>
      <c r="N104">
        <v>-1</v>
      </c>
      <c r="O104" s="3">
        <v>-51990</v>
      </c>
      <c r="P104" s="3">
        <v>27611</v>
      </c>
      <c r="Q104" s="6">
        <f t="shared" si="4"/>
        <v>-43689.075630252104</v>
      </c>
      <c r="R104" s="6">
        <f t="shared" si="5"/>
        <v>-27611</v>
      </c>
      <c r="S104" s="7">
        <f t="shared" si="6"/>
        <v>-16078.075630252104</v>
      </c>
      <c r="T104" t="s">
        <v>730</v>
      </c>
    </row>
    <row r="105" spans="1:20" x14ac:dyDescent="0.3">
      <c r="A105">
        <v>300</v>
      </c>
      <c r="B105" t="s">
        <v>16</v>
      </c>
      <c r="C105" t="s">
        <v>271</v>
      </c>
      <c r="D105" s="2" t="s">
        <v>272</v>
      </c>
      <c r="E105" t="s">
        <v>206</v>
      </c>
      <c r="F105" t="s">
        <v>26</v>
      </c>
      <c r="G105" t="s">
        <v>27</v>
      </c>
      <c r="H105" t="s">
        <v>62</v>
      </c>
      <c r="I105" t="s">
        <v>20</v>
      </c>
      <c r="J105" t="s">
        <v>63</v>
      </c>
      <c r="K105" s="2" t="s">
        <v>364</v>
      </c>
      <c r="L105" t="s">
        <v>30</v>
      </c>
      <c r="M105">
        <v>24829</v>
      </c>
      <c r="N105">
        <v>-1</v>
      </c>
      <c r="O105" s="3">
        <v>-29990</v>
      </c>
      <c r="P105" s="3">
        <v>23655</v>
      </c>
      <c r="Q105" s="6">
        <f t="shared" si="4"/>
        <v>-25201.680672268907</v>
      </c>
      <c r="R105" s="6">
        <f t="shared" si="5"/>
        <v>-23655</v>
      </c>
      <c r="S105" s="7">
        <f t="shared" si="6"/>
        <v>-1546.6806722689071</v>
      </c>
      <c r="T105" t="s">
        <v>730</v>
      </c>
    </row>
    <row r="106" spans="1:20" x14ac:dyDescent="0.3">
      <c r="A106">
        <v>300</v>
      </c>
      <c r="B106" t="s">
        <v>16</v>
      </c>
      <c r="C106" t="s">
        <v>372</v>
      </c>
      <c r="D106" s="2" t="s">
        <v>373</v>
      </c>
      <c r="E106" t="s">
        <v>374</v>
      </c>
      <c r="F106" t="s">
        <v>26</v>
      </c>
      <c r="G106" t="s">
        <v>27</v>
      </c>
      <c r="H106" t="s">
        <v>375</v>
      </c>
      <c r="I106" t="s">
        <v>20</v>
      </c>
      <c r="J106" t="s">
        <v>50</v>
      </c>
      <c r="K106" s="2" t="s">
        <v>364</v>
      </c>
      <c r="L106" t="s">
        <v>30</v>
      </c>
      <c r="M106">
        <v>24830</v>
      </c>
      <c r="N106">
        <v>-1</v>
      </c>
      <c r="O106" s="3">
        <v>-51990</v>
      </c>
      <c r="P106" s="3">
        <v>31929</v>
      </c>
      <c r="Q106" s="6">
        <f t="shared" si="4"/>
        <v>-43689.075630252104</v>
      </c>
      <c r="R106" s="6">
        <f t="shared" si="5"/>
        <v>-31929</v>
      </c>
      <c r="S106" s="7">
        <f t="shared" si="6"/>
        <v>-11760.075630252104</v>
      </c>
      <c r="T106" t="s">
        <v>730</v>
      </c>
    </row>
    <row r="107" spans="1:20" x14ac:dyDescent="0.3">
      <c r="A107">
        <v>300</v>
      </c>
      <c r="B107" t="s">
        <v>16</v>
      </c>
      <c r="C107" t="s">
        <v>376</v>
      </c>
      <c r="D107" s="2" t="s">
        <v>377</v>
      </c>
      <c r="E107" t="s">
        <v>378</v>
      </c>
      <c r="F107" t="s">
        <v>26</v>
      </c>
      <c r="G107" t="s">
        <v>27</v>
      </c>
      <c r="H107" t="s">
        <v>155</v>
      </c>
      <c r="I107" t="s">
        <v>20</v>
      </c>
      <c r="J107" t="s">
        <v>50</v>
      </c>
      <c r="K107" s="2" t="s">
        <v>364</v>
      </c>
      <c r="L107" t="s">
        <v>30</v>
      </c>
      <c r="M107">
        <v>24831</v>
      </c>
      <c r="N107">
        <v>-1</v>
      </c>
      <c r="O107" s="3">
        <v>-48990</v>
      </c>
      <c r="P107" s="3">
        <v>25729</v>
      </c>
      <c r="Q107" s="6">
        <f t="shared" si="4"/>
        <v>-41168.067226890758</v>
      </c>
      <c r="R107" s="6">
        <f t="shared" si="5"/>
        <v>-25729</v>
      </c>
      <c r="S107" s="7">
        <f t="shared" si="6"/>
        <v>-15439.067226890758</v>
      </c>
      <c r="T107" t="s">
        <v>730</v>
      </c>
    </row>
    <row r="108" spans="1:20" x14ac:dyDescent="0.3">
      <c r="A108">
        <v>300</v>
      </c>
      <c r="B108" t="s">
        <v>16</v>
      </c>
      <c r="C108" t="s">
        <v>379</v>
      </c>
      <c r="D108" s="2" t="s">
        <v>380</v>
      </c>
      <c r="E108" t="s">
        <v>381</v>
      </c>
      <c r="F108" t="s">
        <v>26</v>
      </c>
      <c r="G108" t="s">
        <v>27</v>
      </c>
      <c r="H108" t="s">
        <v>382</v>
      </c>
      <c r="I108" t="s">
        <v>20</v>
      </c>
      <c r="J108" t="s">
        <v>44</v>
      </c>
      <c r="K108" s="2" t="s">
        <v>364</v>
      </c>
      <c r="L108" t="s">
        <v>30</v>
      </c>
      <c r="M108">
        <v>24832</v>
      </c>
      <c r="N108">
        <v>-1</v>
      </c>
      <c r="O108" s="3">
        <v>-48990</v>
      </c>
      <c r="P108" s="3">
        <v>25873</v>
      </c>
      <c r="Q108" s="6">
        <f t="shared" si="4"/>
        <v>-41168.067226890758</v>
      </c>
      <c r="R108" s="6">
        <f t="shared" si="5"/>
        <v>-25873</v>
      </c>
      <c r="S108" s="7">
        <f t="shared" si="6"/>
        <v>-15295.067226890758</v>
      </c>
      <c r="T108" t="s">
        <v>730</v>
      </c>
    </row>
    <row r="109" spans="1:20" x14ac:dyDescent="0.3">
      <c r="A109">
        <v>300</v>
      </c>
      <c r="B109" t="s">
        <v>16</v>
      </c>
      <c r="C109" t="s">
        <v>383</v>
      </c>
      <c r="D109" s="2" t="s">
        <v>384</v>
      </c>
      <c r="E109" t="s">
        <v>385</v>
      </c>
      <c r="F109" t="s">
        <v>26</v>
      </c>
      <c r="G109" t="s">
        <v>27</v>
      </c>
      <c r="H109" t="s">
        <v>155</v>
      </c>
      <c r="I109" t="s">
        <v>20</v>
      </c>
      <c r="J109" t="s">
        <v>50</v>
      </c>
      <c r="K109" s="2" t="s">
        <v>364</v>
      </c>
      <c r="L109" t="s">
        <v>30</v>
      </c>
      <c r="M109">
        <v>24833</v>
      </c>
      <c r="N109">
        <v>-1</v>
      </c>
      <c r="O109" s="3">
        <v>-48990</v>
      </c>
      <c r="P109" s="3">
        <v>27672</v>
      </c>
      <c r="Q109" s="6">
        <f t="shared" si="4"/>
        <v>-41168.067226890758</v>
      </c>
      <c r="R109" s="6">
        <f t="shared" si="5"/>
        <v>-27672</v>
      </c>
      <c r="S109" s="7">
        <f t="shared" si="6"/>
        <v>-13496.067226890758</v>
      </c>
      <c r="T109" t="s">
        <v>730</v>
      </c>
    </row>
    <row r="110" spans="1:20" x14ac:dyDescent="0.3">
      <c r="A110">
        <v>300</v>
      </c>
      <c r="B110" t="s">
        <v>16</v>
      </c>
      <c r="C110" t="s">
        <v>386</v>
      </c>
      <c r="D110" s="2" t="s">
        <v>387</v>
      </c>
      <c r="E110" t="s">
        <v>388</v>
      </c>
      <c r="F110" t="s">
        <v>26</v>
      </c>
      <c r="G110" t="s">
        <v>27</v>
      </c>
      <c r="H110" t="s">
        <v>389</v>
      </c>
      <c r="I110" t="s">
        <v>20</v>
      </c>
      <c r="J110" t="s">
        <v>50</v>
      </c>
      <c r="K110" s="2" t="s">
        <v>364</v>
      </c>
      <c r="L110" t="s">
        <v>30</v>
      </c>
      <c r="M110">
        <v>24834</v>
      </c>
      <c r="N110">
        <v>-1</v>
      </c>
      <c r="O110" s="3">
        <v>-48990</v>
      </c>
      <c r="P110" s="3">
        <v>25157</v>
      </c>
      <c r="Q110" s="6">
        <f t="shared" si="4"/>
        <v>-41168.067226890758</v>
      </c>
      <c r="R110" s="6">
        <f t="shared" si="5"/>
        <v>-25157</v>
      </c>
      <c r="S110" s="7">
        <f t="shared" si="6"/>
        <v>-16011.067226890758</v>
      </c>
      <c r="T110" t="s">
        <v>730</v>
      </c>
    </row>
    <row r="111" spans="1:20" x14ac:dyDescent="0.3">
      <c r="A111">
        <v>300</v>
      </c>
      <c r="B111" t="s">
        <v>16</v>
      </c>
      <c r="C111" t="s">
        <v>390</v>
      </c>
      <c r="D111" s="2" t="s">
        <v>391</v>
      </c>
      <c r="E111" t="s">
        <v>392</v>
      </c>
      <c r="F111" t="s">
        <v>26</v>
      </c>
      <c r="G111" t="s">
        <v>27</v>
      </c>
      <c r="H111" t="s">
        <v>393</v>
      </c>
      <c r="I111" t="s">
        <v>20</v>
      </c>
      <c r="J111" t="s">
        <v>29</v>
      </c>
      <c r="K111" s="2" t="s">
        <v>364</v>
      </c>
      <c r="L111" t="s">
        <v>30</v>
      </c>
      <c r="M111">
        <v>24835</v>
      </c>
      <c r="N111">
        <v>-1</v>
      </c>
      <c r="O111" s="3">
        <v>-34990</v>
      </c>
      <c r="P111" s="3">
        <v>10981</v>
      </c>
      <c r="Q111" s="6">
        <f t="shared" si="4"/>
        <v>-29403.361344537818</v>
      </c>
      <c r="R111" s="6">
        <f t="shared" si="5"/>
        <v>-10981</v>
      </c>
      <c r="S111" s="7">
        <f t="shared" si="6"/>
        <v>-18422.361344537818</v>
      </c>
      <c r="T111" t="s">
        <v>730</v>
      </c>
    </row>
    <row r="112" spans="1:20" x14ac:dyDescent="0.3">
      <c r="A112">
        <v>300</v>
      </c>
      <c r="B112" t="s">
        <v>16</v>
      </c>
      <c r="C112" t="s">
        <v>394</v>
      </c>
      <c r="D112" s="2" t="s">
        <v>395</v>
      </c>
      <c r="E112" t="s">
        <v>116</v>
      </c>
      <c r="F112" t="s">
        <v>26</v>
      </c>
      <c r="G112" t="s">
        <v>27</v>
      </c>
      <c r="H112" t="s">
        <v>117</v>
      </c>
      <c r="I112" t="s">
        <v>20</v>
      </c>
      <c r="J112" t="s">
        <v>35</v>
      </c>
      <c r="K112" s="2" t="s">
        <v>364</v>
      </c>
      <c r="L112" t="s">
        <v>30</v>
      </c>
      <c r="M112">
        <v>24836</v>
      </c>
      <c r="N112">
        <v>-1</v>
      </c>
      <c r="O112" s="3">
        <v>-48990</v>
      </c>
      <c r="P112" s="3">
        <v>23756</v>
      </c>
      <c r="Q112" s="6">
        <f t="shared" si="4"/>
        <v>-41168.067226890758</v>
      </c>
      <c r="R112" s="6">
        <f t="shared" si="5"/>
        <v>-23756</v>
      </c>
      <c r="S112" s="7">
        <f t="shared" si="6"/>
        <v>-17412.067226890758</v>
      </c>
      <c r="T112" t="s">
        <v>730</v>
      </c>
    </row>
    <row r="113" spans="1:20" x14ac:dyDescent="0.3">
      <c r="A113">
        <v>300</v>
      </c>
      <c r="B113" t="s">
        <v>16</v>
      </c>
      <c r="C113" t="s">
        <v>396</v>
      </c>
      <c r="D113" s="2" t="s">
        <v>397</v>
      </c>
      <c r="E113" t="s">
        <v>398</v>
      </c>
      <c r="F113" t="s">
        <v>26</v>
      </c>
      <c r="G113" t="s">
        <v>27</v>
      </c>
      <c r="H113" t="s">
        <v>399</v>
      </c>
      <c r="I113" t="s">
        <v>20</v>
      </c>
      <c r="J113" t="s">
        <v>35</v>
      </c>
      <c r="K113" s="2" t="s">
        <v>364</v>
      </c>
      <c r="L113" t="s">
        <v>30</v>
      </c>
      <c r="M113">
        <v>24837</v>
      </c>
      <c r="N113">
        <v>-1</v>
      </c>
      <c r="O113" s="3">
        <v>-48990</v>
      </c>
      <c r="P113" s="3">
        <v>25705</v>
      </c>
      <c r="Q113" s="6">
        <f t="shared" si="4"/>
        <v>-41168.067226890758</v>
      </c>
      <c r="R113" s="6">
        <f t="shared" si="5"/>
        <v>-25705</v>
      </c>
      <c r="S113" s="7">
        <f t="shared" si="6"/>
        <v>-15463.067226890758</v>
      </c>
      <c r="T113" t="s">
        <v>730</v>
      </c>
    </row>
    <row r="114" spans="1:20" x14ac:dyDescent="0.3">
      <c r="A114">
        <v>300</v>
      </c>
      <c r="B114" t="s">
        <v>16</v>
      </c>
      <c r="C114" t="s">
        <v>400</v>
      </c>
      <c r="D114" s="2" t="s">
        <v>401</v>
      </c>
      <c r="E114" t="s">
        <v>402</v>
      </c>
      <c r="F114" t="s">
        <v>26</v>
      </c>
      <c r="G114" t="s">
        <v>27</v>
      </c>
      <c r="H114" t="s">
        <v>375</v>
      </c>
      <c r="I114" t="s">
        <v>20</v>
      </c>
      <c r="J114" t="s">
        <v>50</v>
      </c>
      <c r="K114" s="2" t="s">
        <v>364</v>
      </c>
      <c r="L114" t="s">
        <v>30</v>
      </c>
      <c r="M114">
        <v>24838</v>
      </c>
      <c r="N114">
        <v>-1</v>
      </c>
      <c r="O114" s="3">
        <v>-51990</v>
      </c>
      <c r="P114" s="3">
        <v>27316</v>
      </c>
      <c r="Q114" s="6">
        <f t="shared" si="4"/>
        <v>-43689.075630252104</v>
      </c>
      <c r="R114" s="6">
        <f t="shared" si="5"/>
        <v>-27316</v>
      </c>
      <c r="S114" s="7">
        <f t="shared" si="6"/>
        <v>-16373.075630252104</v>
      </c>
      <c r="T114" t="s">
        <v>730</v>
      </c>
    </row>
    <row r="115" spans="1:20" x14ac:dyDescent="0.3">
      <c r="A115">
        <v>300</v>
      </c>
      <c r="B115" t="s">
        <v>16</v>
      </c>
      <c r="C115" t="s">
        <v>403</v>
      </c>
      <c r="D115" s="2" t="s">
        <v>404</v>
      </c>
      <c r="E115" t="s">
        <v>146</v>
      </c>
      <c r="F115" t="s">
        <v>26</v>
      </c>
      <c r="G115" t="s">
        <v>27</v>
      </c>
      <c r="H115" t="s">
        <v>147</v>
      </c>
      <c r="I115" t="s">
        <v>20</v>
      </c>
      <c r="J115" t="s">
        <v>35</v>
      </c>
      <c r="K115" s="2" t="s">
        <v>364</v>
      </c>
      <c r="L115" t="s">
        <v>30</v>
      </c>
      <c r="M115">
        <v>24839</v>
      </c>
      <c r="N115">
        <v>-1</v>
      </c>
      <c r="O115" s="3">
        <v>-48990</v>
      </c>
      <c r="P115" s="3">
        <v>26053</v>
      </c>
      <c r="Q115" s="6">
        <f t="shared" si="4"/>
        <v>-41168.067226890758</v>
      </c>
      <c r="R115" s="6">
        <f t="shared" si="5"/>
        <v>-26053</v>
      </c>
      <c r="S115" s="7">
        <f t="shared" si="6"/>
        <v>-15115.067226890758</v>
      </c>
      <c r="T115" t="s">
        <v>730</v>
      </c>
    </row>
    <row r="116" spans="1:20" x14ac:dyDescent="0.3">
      <c r="A116">
        <v>300</v>
      </c>
      <c r="B116" t="s">
        <v>16</v>
      </c>
      <c r="C116" t="s">
        <v>405</v>
      </c>
      <c r="D116" s="2" t="s">
        <v>406</v>
      </c>
      <c r="E116" t="s">
        <v>407</v>
      </c>
      <c r="F116" t="s">
        <v>26</v>
      </c>
      <c r="G116" t="s">
        <v>27</v>
      </c>
      <c r="H116" t="s">
        <v>239</v>
      </c>
      <c r="I116" t="s">
        <v>20</v>
      </c>
      <c r="J116" t="s">
        <v>35</v>
      </c>
      <c r="K116" s="2" t="s">
        <v>364</v>
      </c>
      <c r="L116" t="s">
        <v>30</v>
      </c>
      <c r="M116">
        <v>24840</v>
      </c>
      <c r="N116">
        <v>-1</v>
      </c>
      <c r="O116" s="3">
        <v>-51990</v>
      </c>
      <c r="P116" s="3">
        <v>30392</v>
      </c>
      <c r="Q116" s="6">
        <f t="shared" si="4"/>
        <v>-43689.075630252104</v>
      </c>
      <c r="R116" s="6">
        <f t="shared" si="5"/>
        <v>-30392</v>
      </c>
      <c r="S116" s="7">
        <f t="shared" si="6"/>
        <v>-13297.075630252104</v>
      </c>
      <c r="T116" t="s">
        <v>730</v>
      </c>
    </row>
    <row r="117" spans="1:20" x14ac:dyDescent="0.3">
      <c r="A117">
        <v>300</v>
      </c>
      <c r="B117" t="s">
        <v>16</v>
      </c>
      <c r="C117" t="s">
        <v>408</v>
      </c>
      <c r="D117" s="2" t="s">
        <v>409</v>
      </c>
      <c r="E117" t="s">
        <v>410</v>
      </c>
      <c r="F117" t="s">
        <v>26</v>
      </c>
      <c r="G117" t="s">
        <v>27</v>
      </c>
      <c r="H117" t="s">
        <v>411</v>
      </c>
      <c r="I117" t="s">
        <v>20</v>
      </c>
      <c r="J117" t="s">
        <v>50</v>
      </c>
      <c r="K117" s="2" t="s">
        <v>364</v>
      </c>
      <c r="L117" t="s">
        <v>30</v>
      </c>
      <c r="M117">
        <v>24841</v>
      </c>
      <c r="N117">
        <v>-1</v>
      </c>
      <c r="O117" s="3">
        <v>-51990</v>
      </c>
      <c r="P117" s="3">
        <v>26235</v>
      </c>
      <c r="Q117" s="6">
        <f t="shared" si="4"/>
        <v>-43689.075630252104</v>
      </c>
      <c r="R117" s="6">
        <f t="shared" si="5"/>
        <v>-26235</v>
      </c>
      <c r="S117" s="7">
        <f t="shared" si="6"/>
        <v>-17454.075630252104</v>
      </c>
      <c r="T117" t="s">
        <v>730</v>
      </c>
    </row>
    <row r="118" spans="1:20" x14ac:dyDescent="0.3">
      <c r="A118">
        <v>300</v>
      </c>
      <c r="B118" t="s">
        <v>16</v>
      </c>
      <c r="C118" t="s">
        <v>412</v>
      </c>
      <c r="D118" s="2" t="s">
        <v>413</v>
      </c>
      <c r="E118" t="s">
        <v>414</v>
      </c>
      <c r="F118" t="s">
        <v>26</v>
      </c>
      <c r="G118" t="s">
        <v>27</v>
      </c>
      <c r="H118" t="s">
        <v>415</v>
      </c>
      <c r="I118" t="s">
        <v>20</v>
      </c>
      <c r="J118" t="s">
        <v>135</v>
      </c>
      <c r="K118" s="2" t="s">
        <v>364</v>
      </c>
      <c r="L118" t="s">
        <v>30</v>
      </c>
      <c r="M118">
        <v>24842</v>
      </c>
      <c r="N118">
        <v>-1</v>
      </c>
      <c r="O118" s="3">
        <v>-37991</v>
      </c>
      <c r="P118" s="3">
        <v>27092</v>
      </c>
      <c r="Q118" s="6">
        <f t="shared" si="4"/>
        <v>-31925.210084033613</v>
      </c>
      <c r="R118" s="6">
        <f t="shared" si="5"/>
        <v>-27092</v>
      </c>
      <c r="S118" s="7">
        <f t="shared" si="6"/>
        <v>-4833.2100840336134</v>
      </c>
      <c r="T118" t="s">
        <v>730</v>
      </c>
    </row>
    <row r="119" spans="1:20" x14ac:dyDescent="0.3">
      <c r="A119">
        <v>300</v>
      </c>
      <c r="B119" t="s">
        <v>16</v>
      </c>
      <c r="C119" t="s">
        <v>416</v>
      </c>
      <c r="D119" s="2" t="s">
        <v>417</v>
      </c>
      <c r="E119" t="s">
        <v>418</v>
      </c>
      <c r="F119" t="s">
        <v>26</v>
      </c>
      <c r="G119" t="s">
        <v>27</v>
      </c>
      <c r="H119" t="s">
        <v>419</v>
      </c>
      <c r="I119" t="s">
        <v>20</v>
      </c>
      <c r="J119" t="s">
        <v>135</v>
      </c>
      <c r="K119" s="2" t="s">
        <v>364</v>
      </c>
      <c r="L119" t="s">
        <v>30</v>
      </c>
      <c r="M119">
        <v>24843</v>
      </c>
      <c r="N119">
        <v>-1</v>
      </c>
      <c r="O119" s="3">
        <v>-55990</v>
      </c>
      <c r="P119" s="3">
        <v>30833</v>
      </c>
      <c r="Q119" s="6">
        <f t="shared" si="4"/>
        <v>-47050.420168067227</v>
      </c>
      <c r="R119" s="6">
        <f t="shared" si="5"/>
        <v>-30833</v>
      </c>
      <c r="S119" s="7">
        <f t="shared" si="6"/>
        <v>-16217.420168067227</v>
      </c>
      <c r="T119" t="s">
        <v>730</v>
      </c>
    </row>
    <row r="120" spans="1:20" x14ac:dyDescent="0.3">
      <c r="A120">
        <v>300</v>
      </c>
      <c r="B120" t="s">
        <v>16</v>
      </c>
      <c r="C120" t="s">
        <v>420</v>
      </c>
      <c r="D120" s="2" t="s">
        <v>421</v>
      </c>
      <c r="E120" t="s">
        <v>422</v>
      </c>
      <c r="F120" t="s">
        <v>26</v>
      </c>
      <c r="G120" t="s">
        <v>27</v>
      </c>
      <c r="H120" t="s">
        <v>308</v>
      </c>
      <c r="I120" t="s">
        <v>20</v>
      </c>
      <c r="J120" t="s">
        <v>35</v>
      </c>
      <c r="K120" s="2" t="s">
        <v>364</v>
      </c>
      <c r="L120" t="s">
        <v>30</v>
      </c>
      <c r="M120">
        <v>24844</v>
      </c>
      <c r="N120">
        <v>-1</v>
      </c>
      <c r="O120" s="3">
        <v>-48990</v>
      </c>
      <c r="P120" s="3">
        <v>26446</v>
      </c>
      <c r="Q120" s="6">
        <f t="shared" si="4"/>
        <v>-41168.067226890758</v>
      </c>
      <c r="R120" s="6">
        <f t="shared" si="5"/>
        <v>-26446</v>
      </c>
      <c r="S120" s="7">
        <f t="shared" si="6"/>
        <v>-14722.067226890758</v>
      </c>
      <c r="T120" t="s">
        <v>730</v>
      </c>
    </row>
    <row r="121" spans="1:20" x14ac:dyDescent="0.3">
      <c r="A121">
        <v>300</v>
      </c>
      <c r="B121" t="s">
        <v>16</v>
      </c>
      <c r="C121" t="s">
        <v>423</v>
      </c>
      <c r="D121" s="2" t="s">
        <v>424</v>
      </c>
      <c r="E121" t="s">
        <v>425</v>
      </c>
      <c r="F121" t="s">
        <v>26</v>
      </c>
      <c r="G121" t="s">
        <v>27</v>
      </c>
      <c r="H121" t="s">
        <v>368</v>
      </c>
      <c r="I121" t="s">
        <v>20</v>
      </c>
      <c r="J121" t="s">
        <v>135</v>
      </c>
      <c r="K121" s="2" t="s">
        <v>364</v>
      </c>
      <c r="L121" t="s">
        <v>30</v>
      </c>
      <c r="M121">
        <v>24845</v>
      </c>
      <c r="N121">
        <v>-1</v>
      </c>
      <c r="O121" s="3">
        <v>-37990</v>
      </c>
      <c r="P121" s="3">
        <v>23738</v>
      </c>
      <c r="Q121" s="6">
        <f t="shared" si="4"/>
        <v>-31924.36974789916</v>
      </c>
      <c r="R121" s="6">
        <f t="shared" si="5"/>
        <v>-23738</v>
      </c>
      <c r="S121" s="7">
        <f t="shared" si="6"/>
        <v>-8186.3697478991598</v>
      </c>
      <c r="T121" t="s">
        <v>730</v>
      </c>
    </row>
    <row r="122" spans="1:20" x14ac:dyDescent="0.3">
      <c r="A122">
        <v>300</v>
      </c>
      <c r="B122" t="s">
        <v>16</v>
      </c>
      <c r="C122" t="s">
        <v>426</v>
      </c>
      <c r="D122" s="2" t="s">
        <v>427</v>
      </c>
      <c r="E122" t="s">
        <v>428</v>
      </c>
      <c r="F122" t="s">
        <v>26</v>
      </c>
      <c r="G122" t="s">
        <v>27</v>
      </c>
      <c r="H122" t="s">
        <v>429</v>
      </c>
      <c r="I122" t="s">
        <v>20</v>
      </c>
      <c r="J122" t="s">
        <v>35</v>
      </c>
      <c r="K122" s="2" t="s">
        <v>364</v>
      </c>
      <c r="L122" t="s">
        <v>30</v>
      </c>
      <c r="M122">
        <v>24846</v>
      </c>
      <c r="N122">
        <v>-1</v>
      </c>
      <c r="O122" s="3">
        <v>-48990</v>
      </c>
      <c r="P122" s="3">
        <v>22920</v>
      </c>
      <c r="Q122" s="6">
        <f t="shared" si="4"/>
        <v>-41168.067226890758</v>
      </c>
      <c r="R122" s="6">
        <f t="shared" si="5"/>
        <v>-22920</v>
      </c>
      <c r="S122" s="7">
        <f t="shared" si="6"/>
        <v>-18248.067226890758</v>
      </c>
      <c r="T122" t="s">
        <v>730</v>
      </c>
    </row>
    <row r="123" spans="1:20" x14ac:dyDescent="0.3">
      <c r="A123">
        <v>300</v>
      </c>
      <c r="B123" t="s">
        <v>16</v>
      </c>
      <c r="C123" t="s">
        <v>430</v>
      </c>
      <c r="D123" s="2" t="s">
        <v>431</v>
      </c>
      <c r="E123" t="s">
        <v>432</v>
      </c>
      <c r="F123" t="s">
        <v>26</v>
      </c>
      <c r="G123" t="s">
        <v>27</v>
      </c>
      <c r="H123" t="s">
        <v>433</v>
      </c>
      <c r="I123" t="s">
        <v>20</v>
      </c>
      <c r="J123" t="s">
        <v>35</v>
      </c>
      <c r="K123" s="2" t="s">
        <v>364</v>
      </c>
      <c r="L123" t="s">
        <v>30</v>
      </c>
      <c r="M123">
        <v>24847</v>
      </c>
      <c r="N123">
        <v>-1</v>
      </c>
      <c r="O123" s="3">
        <v>-58989</v>
      </c>
      <c r="P123" s="3">
        <v>27036</v>
      </c>
      <c r="Q123" s="6">
        <f t="shared" si="4"/>
        <v>-49570.588235294119</v>
      </c>
      <c r="R123" s="6">
        <f t="shared" si="5"/>
        <v>-27036</v>
      </c>
      <c r="S123" s="7">
        <f t="shared" si="6"/>
        <v>-22534.588235294119</v>
      </c>
      <c r="T123" t="s">
        <v>730</v>
      </c>
    </row>
    <row r="124" spans="1:20" x14ac:dyDescent="0.3">
      <c r="A124">
        <v>300</v>
      </c>
      <c r="B124" t="s">
        <v>16</v>
      </c>
      <c r="C124" t="s">
        <v>260</v>
      </c>
      <c r="D124" s="2" t="s">
        <v>261</v>
      </c>
      <c r="E124" t="s">
        <v>262</v>
      </c>
      <c r="F124" t="s">
        <v>26</v>
      </c>
      <c r="G124" t="s">
        <v>27</v>
      </c>
      <c r="H124" t="s">
        <v>54</v>
      </c>
      <c r="I124" t="s">
        <v>20</v>
      </c>
      <c r="J124" t="s">
        <v>50</v>
      </c>
      <c r="K124" s="2" t="s">
        <v>364</v>
      </c>
      <c r="L124" t="s">
        <v>30</v>
      </c>
      <c r="M124">
        <v>24848</v>
      </c>
      <c r="N124">
        <v>-1</v>
      </c>
      <c r="O124" s="3">
        <v>-48990</v>
      </c>
      <c r="P124" s="3">
        <v>22533</v>
      </c>
      <c r="Q124" s="6">
        <f t="shared" si="4"/>
        <v>-41168.067226890758</v>
      </c>
      <c r="R124" s="6">
        <f t="shared" si="5"/>
        <v>-22533</v>
      </c>
      <c r="S124" s="7">
        <f t="shared" si="6"/>
        <v>-18635.067226890758</v>
      </c>
      <c r="T124" t="s">
        <v>730</v>
      </c>
    </row>
    <row r="125" spans="1:20" x14ac:dyDescent="0.3">
      <c r="A125">
        <v>300</v>
      </c>
      <c r="B125" t="s">
        <v>16</v>
      </c>
      <c r="C125" t="s">
        <v>434</v>
      </c>
      <c r="D125" s="2" t="s">
        <v>435</v>
      </c>
      <c r="E125" t="s">
        <v>436</v>
      </c>
      <c r="F125" t="s">
        <v>26</v>
      </c>
      <c r="G125" t="s">
        <v>27</v>
      </c>
      <c r="H125" t="s">
        <v>117</v>
      </c>
      <c r="I125" t="s">
        <v>20</v>
      </c>
      <c r="J125" t="s">
        <v>35</v>
      </c>
      <c r="K125" s="2" t="s">
        <v>364</v>
      </c>
      <c r="L125" t="s">
        <v>30</v>
      </c>
      <c r="M125">
        <v>24849</v>
      </c>
      <c r="N125">
        <v>-1</v>
      </c>
      <c r="O125" s="3">
        <v>-48990</v>
      </c>
      <c r="P125" s="3">
        <v>23439</v>
      </c>
      <c r="Q125" s="6">
        <f t="shared" si="4"/>
        <v>-41168.067226890758</v>
      </c>
      <c r="R125" s="6">
        <f t="shared" si="5"/>
        <v>-23439</v>
      </c>
      <c r="S125" s="7">
        <f t="shared" si="6"/>
        <v>-17729.067226890758</v>
      </c>
      <c r="T125" t="s">
        <v>730</v>
      </c>
    </row>
    <row r="126" spans="1:20" x14ac:dyDescent="0.3">
      <c r="A126">
        <v>300</v>
      </c>
      <c r="B126" t="s">
        <v>16</v>
      </c>
      <c r="C126" t="s">
        <v>437</v>
      </c>
      <c r="D126" s="2" t="s">
        <v>438</v>
      </c>
      <c r="E126" t="s">
        <v>439</v>
      </c>
      <c r="F126" t="s">
        <v>26</v>
      </c>
      <c r="G126" t="s">
        <v>27</v>
      </c>
      <c r="H126" t="s">
        <v>375</v>
      </c>
      <c r="I126" t="s">
        <v>20</v>
      </c>
      <c r="J126" t="s">
        <v>50</v>
      </c>
      <c r="K126" s="2" t="s">
        <v>364</v>
      </c>
      <c r="L126" t="s">
        <v>30</v>
      </c>
      <c r="M126">
        <v>24850</v>
      </c>
      <c r="N126">
        <v>-1</v>
      </c>
      <c r="O126" s="3">
        <v>-51990</v>
      </c>
      <c r="P126" s="3">
        <v>30739</v>
      </c>
      <c r="Q126" s="6">
        <f t="shared" si="4"/>
        <v>-43689.075630252104</v>
      </c>
      <c r="R126" s="6">
        <f t="shared" si="5"/>
        <v>-30739</v>
      </c>
      <c r="S126" s="7">
        <f t="shared" si="6"/>
        <v>-12950.075630252104</v>
      </c>
      <c r="T126" t="s">
        <v>730</v>
      </c>
    </row>
    <row r="127" spans="1:20" x14ac:dyDescent="0.3">
      <c r="A127">
        <v>300</v>
      </c>
      <c r="B127" t="s">
        <v>16</v>
      </c>
      <c r="C127" t="s">
        <v>423</v>
      </c>
      <c r="D127" s="2" t="s">
        <v>424</v>
      </c>
      <c r="E127" t="s">
        <v>425</v>
      </c>
      <c r="F127" t="s">
        <v>26</v>
      </c>
      <c r="G127" t="s">
        <v>27</v>
      </c>
      <c r="H127" t="s">
        <v>368</v>
      </c>
      <c r="I127" t="s">
        <v>20</v>
      </c>
      <c r="J127" t="s">
        <v>135</v>
      </c>
      <c r="K127" s="2" t="s">
        <v>364</v>
      </c>
      <c r="L127" t="s">
        <v>30</v>
      </c>
      <c r="M127">
        <v>24851</v>
      </c>
      <c r="N127">
        <v>-1</v>
      </c>
      <c r="O127" s="3">
        <v>-44990</v>
      </c>
      <c r="P127" s="3">
        <v>23738</v>
      </c>
      <c r="Q127" s="6">
        <f t="shared" si="4"/>
        <v>-37806.722689075636</v>
      </c>
      <c r="R127" s="6">
        <f t="shared" si="5"/>
        <v>-23738</v>
      </c>
      <c r="S127" s="7">
        <f t="shared" si="6"/>
        <v>-14068.722689075636</v>
      </c>
      <c r="T127" t="s">
        <v>730</v>
      </c>
    </row>
    <row r="128" spans="1:20" x14ac:dyDescent="0.3">
      <c r="A128">
        <v>300</v>
      </c>
      <c r="B128" t="s">
        <v>16</v>
      </c>
      <c r="C128" t="s">
        <v>440</v>
      </c>
      <c r="D128" s="2" t="s">
        <v>441</v>
      </c>
      <c r="E128" t="s">
        <v>442</v>
      </c>
      <c r="F128" t="s">
        <v>26</v>
      </c>
      <c r="G128" t="s">
        <v>27</v>
      </c>
      <c r="H128" t="s">
        <v>232</v>
      </c>
      <c r="I128" t="s">
        <v>20</v>
      </c>
      <c r="J128" t="s">
        <v>135</v>
      </c>
      <c r="K128" s="2" t="s">
        <v>364</v>
      </c>
      <c r="L128" t="s">
        <v>30</v>
      </c>
      <c r="M128">
        <v>24852</v>
      </c>
      <c r="N128">
        <v>-1</v>
      </c>
      <c r="O128" s="3">
        <v>-55990</v>
      </c>
      <c r="P128" s="3">
        <v>32893</v>
      </c>
      <c r="Q128" s="6">
        <f t="shared" si="4"/>
        <v>-47050.420168067227</v>
      </c>
      <c r="R128" s="6">
        <f t="shared" si="5"/>
        <v>-32893</v>
      </c>
      <c r="S128" s="7">
        <f t="shared" si="6"/>
        <v>-14157.420168067227</v>
      </c>
      <c r="T128" t="s">
        <v>730</v>
      </c>
    </row>
    <row r="129" spans="1:20" x14ac:dyDescent="0.3">
      <c r="A129">
        <v>300</v>
      </c>
      <c r="B129" t="s">
        <v>16</v>
      </c>
      <c r="C129" t="s">
        <v>443</v>
      </c>
      <c r="D129" s="2" t="s">
        <v>444</v>
      </c>
      <c r="E129" t="s">
        <v>259</v>
      </c>
      <c r="F129" t="s">
        <v>26</v>
      </c>
      <c r="G129" t="s">
        <v>27</v>
      </c>
      <c r="H129" t="s">
        <v>193</v>
      </c>
      <c r="I129" t="s">
        <v>20</v>
      </c>
      <c r="J129" t="s">
        <v>50</v>
      </c>
      <c r="K129" s="2" t="s">
        <v>364</v>
      </c>
      <c r="L129" t="s">
        <v>30</v>
      </c>
      <c r="M129">
        <v>24853</v>
      </c>
      <c r="N129">
        <v>-1</v>
      </c>
      <c r="O129" s="3">
        <v>-46304</v>
      </c>
      <c r="P129" s="3">
        <v>27753</v>
      </c>
      <c r="Q129" s="6">
        <f t="shared" si="4"/>
        <v>-38910.924369747903</v>
      </c>
      <c r="R129" s="6">
        <f t="shared" si="5"/>
        <v>-27753</v>
      </c>
      <c r="S129" s="7">
        <f t="shared" si="6"/>
        <v>-11157.924369747903</v>
      </c>
      <c r="T129" t="s">
        <v>730</v>
      </c>
    </row>
    <row r="130" spans="1:20" x14ac:dyDescent="0.3">
      <c r="A130">
        <v>300</v>
      </c>
      <c r="B130" t="s">
        <v>16</v>
      </c>
      <c r="C130" t="s">
        <v>445</v>
      </c>
      <c r="D130" s="2" t="s">
        <v>446</v>
      </c>
      <c r="E130" t="s">
        <v>447</v>
      </c>
      <c r="F130" t="s">
        <v>26</v>
      </c>
      <c r="G130" t="s">
        <v>27</v>
      </c>
      <c r="H130" t="s">
        <v>239</v>
      </c>
      <c r="I130" t="s">
        <v>20</v>
      </c>
      <c r="J130" t="s">
        <v>35</v>
      </c>
      <c r="K130" s="2" t="s">
        <v>364</v>
      </c>
      <c r="L130" t="s">
        <v>30</v>
      </c>
      <c r="M130">
        <v>24854</v>
      </c>
      <c r="N130">
        <v>-1</v>
      </c>
      <c r="O130" s="3">
        <v>-48990</v>
      </c>
      <c r="P130" s="3">
        <v>23888</v>
      </c>
      <c r="Q130" s="6">
        <f t="shared" si="4"/>
        <v>-41168.067226890758</v>
      </c>
      <c r="R130" s="6">
        <f t="shared" si="5"/>
        <v>-23888</v>
      </c>
      <c r="S130" s="7">
        <f t="shared" si="6"/>
        <v>-17280.067226890758</v>
      </c>
      <c r="T130" t="s">
        <v>730</v>
      </c>
    </row>
    <row r="131" spans="1:20" x14ac:dyDescent="0.3">
      <c r="A131">
        <v>300</v>
      </c>
      <c r="B131" t="s">
        <v>16</v>
      </c>
      <c r="C131" t="s">
        <v>448</v>
      </c>
      <c r="D131" s="2" t="s">
        <v>449</v>
      </c>
      <c r="E131" t="s">
        <v>450</v>
      </c>
      <c r="F131" t="s">
        <v>26</v>
      </c>
      <c r="G131" t="s">
        <v>27</v>
      </c>
      <c r="H131" t="s">
        <v>43</v>
      </c>
      <c r="I131" t="s">
        <v>20</v>
      </c>
      <c r="J131" t="s">
        <v>44</v>
      </c>
      <c r="K131" s="2" t="s">
        <v>364</v>
      </c>
      <c r="L131" t="s">
        <v>30</v>
      </c>
      <c r="M131">
        <v>24855</v>
      </c>
      <c r="N131">
        <v>-1</v>
      </c>
      <c r="O131" s="3">
        <v>-48990</v>
      </c>
      <c r="P131" s="3">
        <v>25747</v>
      </c>
      <c r="Q131" s="6">
        <f t="shared" si="4"/>
        <v>-41168.067226890758</v>
      </c>
      <c r="R131" s="6">
        <f t="shared" si="5"/>
        <v>-25747</v>
      </c>
      <c r="S131" s="7">
        <f t="shared" si="6"/>
        <v>-15421.067226890758</v>
      </c>
      <c r="T131" t="s">
        <v>730</v>
      </c>
    </row>
    <row r="132" spans="1:20" x14ac:dyDescent="0.3">
      <c r="A132">
        <v>300</v>
      </c>
      <c r="B132" t="s">
        <v>16</v>
      </c>
      <c r="C132" t="s">
        <v>451</v>
      </c>
      <c r="D132" s="2" t="s">
        <v>452</v>
      </c>
      <c r="E132" t="s">
        <v>453</v>
      </c>
      <c r="F132" t="s">
        <v>26</v>
      </c>
      <c r="G132" t="s">
        <v>27</v>
      </c>
      <c r="H132" t="s">
        <v>454</v>
      </c>
      <c r="I132" t="s">
        <v>20</v>
      </c>
      <c r="J132" t="s">
        <v>44</v>
      </c>
      <c r="K132" s="2" t="s">
        <v>364</v>
      </c>
      <c r="L132" t="s">
        <v>30</v>
      </c>
      <c r="M132">
        <v>24855</v>
      </c>
      <c r="N132">
        <v>-1</v>
      </c>
      <c r="O132" s="3">
        <v>-44990</v>
      </c>
      <c r="P132" s="3">
        <v>21627</v>
      </c>
      <c r="Q132" s="6">
        <f t="shared" si="4"/>
        <v>-37806.722689075636</v>
      </c>
      <c r="R132" s="6">
        <f t="shared" si="5"/>
        <v>-21627</v>
      </c>
      <c r="S132" s="7">
        <f t="shared" si="6"/>
        <v>-16179.722689075636</v>
      </c>
      <c r="T132" t="s">
        <v>730</v>
      </c>
    </row>
    <row r="133" spans="1:20" x14ac:dyDescent="0.3">
      <c r="A133">
        <v>300</v>
      </c>
      <c r="B133" t="s">
        <v>16</v>
      </c>
      <c r="C133" t="s">
        <v>455</v>
      </c>
      <c r="D133" s="2" t="s">
        <v>456</v>
      </c>
      <c r="E133" t="s">
        <v>457</v>
      </c>
      <c r="F133" t="s">
        <v>26</v>
      </c>
      <c r="G133" t="s">
        <v>27</v>
      </c>
      <c r="H133" t="s">
        <v>458</v>
      </c>
      <c r="I133" t="s">
        <v>20</v>
      </c>
      <c r="J133" t="s">
        <v>35</v>
      </c>
      <c r="K133" s="2" t="s">
        <v>364</v>
      </c>
      <c r="L133" t="s">
        <v>30</v>
      </c>
      <c r="M133">
        <v>24856</v>
      </c>
      <c r="N133">
        <v>-1</v>
      </c>
      <c r="O133" s="3">
        <v>-44990</v>
      </c>
      <c r="P133" s="3">
        <v>25058</v>
      </c>
      <c r="Q133" s="6">
        <f t="shared" si="4"/>
        <v>-37806.722689075636</v>
      </c>
      <c r="R133" s="6">
        <f t="shared" si="5"/>
        <v>-25058</v>
      </c>
      <c r="S133" s="7">
        <f t="shared" si="6"/>
        <v>-12748.722689075636</v>
      </c>
      <c r="T133" t="s">
        <v>730</v>
      </c>
    </row>
    <row r="134" spans="1:20" x14ac:dyDescent="0.3">
      <c r="A134">
        <v>300</v>
      </c>
      <c r="B134" t="s">
        <v>16</v>
      </c>
      <c r="C134" t="s">
        <v>459</v>
      </c>
      <c r="D134" s="2" t="s">
        <v>460</v>
      </c>
      <c r="E134" t="s">
        <v>461</v>
      </c>
      <c r="F134" t="s">
        <v>26</v>
      </c>
      <c r="G134" t="s">
        <v>27</v>
      </c>
      <c r="H134" t="s">
        <v>462</v>
      </c>
      <c r="I134" t="s">
        <v>20</v>
      </c>
      <c r="J134" t="s">
        <v>29</v>
      </c>
      <c r="K134" s="2" t="s">
        <v>463</v>
      </c>
      <c r="L134" t="s">
        <v>30</v>
      </c>
      <c r="M134">
        <v>24857</v>
      </c>
      <c r="N134">
        <v>-1</v>
      </c>
      <c r="O134" s="3">
        <v>-44990</v>
      </c>
      <c r="P134" s="3">
        <v>14950</v>
      </c>
      <c r="Q134" s="6">
        <f t="shared" ref="Q134:Q197" si="7">O134/1.19</f>
        <v>-37806.722689075636</v>
      </c>
      <c r="R134" s="6">
        <f t="shared" ref="R134:R197" si="8">N134*P134</f>
        <v>-14950</v>
      </c>
      <c r="S134" s="7">
        <f t="shared" ref="S134:S197" si="9">Q134-R134</f>
        <v>-22856.722689075636</v>
      </c>
      <c r="T134" t="s">
        <v>730</v>
      </c>
    </row>
    <row r="135" spans="1:20" x14ac:dyDescent="0.3">
      <c r="A135">
        <v>300</v>
      </c>
      <c r="B135" t="s">
        <v>16</v>
      </c>
      <c r="C135" t="s">
        <v>464</v>
      </c>
      <c r="D135" s="2" t="s">
        <v>465</v>
      </c>
      <c r="E135" t="s">
        <v>466</v>
      </c>
      <c r="F135" t="s">
        <v>26</v>
      </c>
      <c r="G135" t="s">
        <v>27</v>
      </c>
      <c r="H135" t="s">
        <v>467</v>
      </c>
      <c r="I135" t="s">
        <v>20</v>
      </c>
      <c r="J135" t="s">
        <v>50</v>
      </c>
      <c r="K135" s="2" t="s">
        <v>463</v>
      </c>
      <c r="L135" t="s">
        <v>30</v>
      </c>
      <c r="M135">
        <v>24864</v>
      </c>
      <c r="N135">
        <v>-1</v>
      </c>
      <c r="O135" s="3">
        <v>-48990</v>
      </c>
      <c r="P135" s="3">
        <v>28795</v>
      </c>
      <c r="Q135" s="6">
        <f t="shared" si="7"/>
        <v>-41168.067226890758</v>
      </c>
      <c r="R135" s="6">
        <f t="shared" si="8"/>
        <v>-28795</v>
      </c>
      <c r="S135" s="7">
        <f t="shared" si="9"/>
        <v>-12373.067226890758</v>
      </c>
      <c r="T135" t="s">
        <v>730</v>
      </c>
    </row>
    <row r="136" spans="1:20" x14ac:dyDescent="0.3">
      <c r="A136">
        <v>300</v>
      </c>
      <c r="B136" t="s">
        <v>16</v>
      </c>
      <c r="C136" t="s">
        <v>468</v>
      </c>
      <c r="D136" s="2" t="s">
        <v>469</v>
      </c>
      <c r="E136" t="s">
        <v>470</v>
      </c>
      <c r="F136" t="s">
        <v>26</v>
      </c>
      <c r="G136" t="s">
        <v>27</v>
      </c>
      <c r="H136" t="s">
        <v>471</v>
      </c>
      <c r="I136" t="s">
        <v>20</v>
      </c>
      <c r="J136" t="s">
        <v>50</v>
      </c>
      <c r="K136" s="2" t="s">
        <v>463</v>
      </c>
      <c r="L136" t="s">
        <v>30</v>
      </c>
      <c r="M136">
        <v>24865</v>
      </c>
      <c r="N136">
        <v>-1</v>
      </c>
      <c r="O136" s="3">
        <v>-48990</v>
      </c>
      <c r="P136" s="3">
        <v>26651</v>
      </c>
      <c r="Q136" s="6">
        <f t="shared" si="7"/>
        <v>-41168.067226890758</v>
      </c>
      <c r="R136" s="6">
        <f t="shared" si="8"/>
        <v>-26651</v>
      </c>
      <c r="S136" s="7">
        <f t="shared" si="9"/>
        <v>-14517.067226890758</v>
      </c>
      <c r="T136" t="s">
        <v>730</v>
      </c>
    </row>
    <row r="137" spans="1:20" x14ac:dyDescent="0.3">
      <c r="A137">
        <v>300</v>
      </c>
      <c r="B137" t="s">
        <v>16</v>
      </c>
      <c r="C137" t="s">
        <v>472</v>
      </c>
      <c r="D137" s="2" t="s">
        <v>473</v>
      </c>
      <c r="E137" t="s">
        <v>269</v>
      </c>
      <c r="F137" t="s">
        <v>26</v>
      </c>
      <c r="G137" t="s">
        <v>27</v>
      </c>
      <c r="H137" t="s">
        <v>270</v>
      </c>
      <c r="I137" t="s">
        <v>20</v>
      </c>
      <c r="J137" t="s">
        <v>29</v>
      </c>
      <c r="K137" s="2" t="s">
        <v>463</v>
      </c>
      <c r="L137" t="s">
        <v>30</v>
      </c>
      <c r="M137">
        <v>24866</v>
      </c>
      <c r="N137">
        <v>-1</v>
      </c>
      <c r="O137" s="3">
        <v>-48990</v>
      </c>
      <c r="P137" s="3">
        <v>25095</v>
      </c>
      <c r="Q137" s="6">
        <f t="shared" si="7"/>
        <v>-41168.067226890758</v>
      </c>
      <c r="R137" s="6">
        <f t="shared" si="8"/>
        <v>-25095</v>
      </c>
      <c r="S137" s="7">
        <f t="shared" si="9"/>
        <v>-16073.067226890758</v>
      </c>
      <c r="T137" t="s">
        <v>730</v>
      </c>
    </row>
    <row r="138" spans="1:20" x14ac:dyDescent="0.3">
      <c r="A138">
        <v>300</v>
      </c>
      <c r="B138" t="s">
        <v>16</v>
      </c>
      <c r="C138" t="s">
        <v>474</v>
      </c>
      <c r="D138" s="2" t="s">
        <v>475</v>
      </c>
      <c r="E138" t="s">
        <v>476</v>
      </c>
      <c r="F138" t="s">
        <v>26</v>
      </c>
      <c r="G138" t="s">
        <v>27</v>
      </c>
      <c r="H138" t="s">
        <v>477</v>
      </c>
      <c r="I138" t="s">
        <v>20</v>
      </c>
      <c r="J138" t="s">
        <v>29</v>
      </c>
      <c r="K138" s="2" t="s">
        <v>463</v>
      </c>
      <c r="L138" t="s">
        <v>30</v>
      </c>
      <c r="M138">
        <v>24867</v>
      </c>
      <c r="N138">
        <v>-1</v>
      </c>
      <c r="O138" s="3">
        <v>-48990</v>
      </c>
      <c r="P138" s="3">
        <v>23582</v>
      </c>
      <c r="Q138" s="6">
        <f t="shared" si="7"/>
        <v>-41168.067226890758</v>
      </c>
      <c r="R138" s="6">
        <f t="shared" si="8"/>
        <v>-23582</v>
      </c>
      <c r="S138" s="7">
        <f t="shared" si="9"/>
        <v>-17586.067226890758</v>
      </c>
      <c r="T138" t="s">
        <v>730</v>
      </c>
    </row>
    <row r="139" spans="1:20" x14ac:dyDescent="0.3">
      <c r="A139">
        <v>300</v>
      </c>
      <c r="B139" t="s">
        <v>16</v>
      </c>
      <c r="C139" t="s">
        <v>478</v>
      </c>
      <c r="D139" s="2" t="s">
        <v>479</v>
      </c>
      <c r="E139" t="s">
        <v>480</v>
      </c>
      <c r="F139" t="s">
        <v>26</v>
      </c>
      <c r="G139" t="s">
        <v>27</v>
      </c>
      <c r="H139" t="s">
        <v>151</v>
      </c>
      <c r="I139" t="s">
        <v>20</v>
      </c>
      <c r="J139" t="s">
        <v>35</v>
      </c>
      <c r="K139" s="2" t="s">
        <v>463</v>
      </c>
      <c r="L139" t="s">
        <v>30</v>
      </c>
      <c r="M139">
        <v>24868</v>
      </c>
      <c r="N139">
        <v>-1</v>
      </c>
      <c r="O139" s="3">
        <v>-48990</v>
      </c>
      <c r="P139" s="3">
        <v>20904</v>
      </c>
      <c r="Q139" s="6">
        <f t="shared" si="7"/>
        <v>-41168.067226890758</v>
      </c>
      <c r="R139" s="6">
        <f t="shared" si="8"/>
        <v>-20904</v>
      </c>
      <c r="S139" s="7">
        <f t="shared" si="9"/>
        <v>-20264.067226890758</v>
      </c>
      <c r="T139" t="s">
        <v>730</v>
      </c>
    </row>
    <row r="140" spans="1:20" x14ac:dyDescent="0.3">
      <c r="A140">
        <v>300</v>
      </c>
      <c r="B140" t="s">
        <v>16</v>
      </c>
      <c r="C140" t="s">
        <v>481</v>
      </c>
      <c r="D140" s="2" t="s">
        <v>482</v>
      </c>
      <c r="E140" t="s">
        <v>483</v>
      </c>
      <c r="F140" t="s">
        <v>26</v>
      </c>
      <c r="G140" t="s">
        <v>27</v>
      </c>
      <c r="H140" t="s">
        <v>477</v>
      </c>
      <c r="I140" t="s">
        <v>20</v>
      </c>
      <c r="J140" t="s">
        <v>29</v>
      </c>
      <c r="K140" s="2" t="s">
        <v>463</v>
      </c>
      <c r="L140" t="s">
        <v>30</v>
      </c>
      <c r="M140">
        <v>24869</v>
      </c>
      <c r="N140">
        <v>-1</v>
      </c>
      <c r="O140" s="3">
        <v>-40990</v>
      </c>
      <c r="P140" s="3">
        <v>24273</v>
      </c>
      <c r="Q140" s="6">
        <f t="shared" si="7"/>
        <v>-34445.378151260506</v>
      </c>
      <c r="R140" s="6">
        <f t="shared" si="8"/>
        <v>-24273</v>
      </c>
      <c r="S140" s="7">
        <f t="shared" si="9"/>
        <v>-10172.378151260506</v>
      </c>
      <c r="T140" t="s">
        <v>730</v>
      </c>
    </row>
    <row r="141" spans="1:20" x14ac:dyDescent="0.3">
      <c r="A141">
        <v>300</v>
      </c>
      <c r="B141" t="s">
        <v>16</v>
      </c>
      <c r="C141" t="s">
        <v>484</v>
      </c>
      <c r="D141" s="2" t="s">
        <v>485</v>
      </c>
      <c r="E141" t="s">
        <v>436</v>
      </c>
      <c r="F141" t="s">
        <v>26</v>
      </c>
      <c r="G141" t="s">
        <v>27</v>
      </c>
      <c r="H141" t="s">
        <v>117</v>
      </c>
      <c r="I141" t="s">
        <v>20</v>
      </c>
      <c r="J141" t="s">
        <v>35</v>
      </c>
      <c r="K141" s="2" t="s">
        <v>463</v>
      </c>
      <c r="L141" t="s">
        <v>30</v>
      </c>
      <c r="M141">
        <v>24870</v>
      </c>
      <c r="N141">
        <v>-1</v>
      </c>
      <c r="O141" s="3">
        <v>-48990</v>
      </c>
      <c r="P141" s="3">
        <v>23798</v>
      </c>
      <c r="Q141" s="6">
        <f t="shared" si="7"/>
        <v>-41168.067226890758</v>
      </c>
      <c r="R141" s="6">
        <f t="shared" si="8"/>
        <v>-23798</v>
      </c>
      <c r="S141" s="7">
        <f t="shared" si="9"/>
        <v>-17370.067226890758</v>
      </c>
      <c r="T141" t="s">
        <v>730</v>
      </c>
    </row>
    <row r="142" spans="1:20" x14ac:dyDescent="0.3">
      <c r="A142">
        <v>300</v>
      </c>
      <c r="B142" t="s">
        <v>16</v>
      </c>
      <c r="C142" t="s">
        <v>486</v>
      </c>
      <c r="D142" s="2" t="s">
        <v>487</v>
      </c>
      <c r="E142" t="s">
        <v>425</v>
      </c>
      <c r="F142" t="s">
        <v>26</v>
      </c>
      <c r="G142" t="s">
        <v>27</v>
      </c>
      <c r="H142" t="s">
        <v>368</v>
      </c>
      <c r="I142" t="s">
        <v>20</v>
      </c>
      <c r="J142" t="s">
        <v>135</v>
      </c>
      <c r="K142" s="2" t="s">
        <v>463</v>
      </c>
      <c r="L142" t="s">
        <v>30</v>
      </c>
      <c r="M142">
        <v>24871</v>
      </c>
      <c r="N142">
        <v>-1</v>
      </c>
      <c r="O142" s="3">
        <v>-44990</v>
      </c>
      <c r="P142" s="3">
        <v>25296</v>
      </c>
      <c r="Q142" s="6">
        <f t="shared" si="7"/>
        <v>-37806.722689075636</v>
      </c>
      <c r="R142" s="6">
        <f t="shared" si="8"/>
        <v>-25296</v>
      </c>
      <c r="S142" s="7">
        <f t="shared" si="9"/>
        <v>-12510.722689075636</v>
      </c>
      <c r="T142" t="s">
        <v>730</v>
      </c>
    </row>
    <row r="143" spans="1:20" x14ac:dyDescent="0.3">
      <c r="A143">
        <v>300</v>
      </c>
      <c r="B143" t="s">
        <v>16</v>
      </c>
      <c r="C143" t="s">
        <v>488</v>
      </c>
      <c r="D143" s="2" t="s">
        <v>489</v>
      </c>
      <c r="E143" t="s">
        <v>490</v>
      </c>
      <c r="F143" t="s">
        <v>26</v>
      </c>
      <c r="G143" t="s">
        <v>27</v>
      </c>
      <c r="H143" t="s">
        <v>491</v>
      </c>
      <c r="I143" t="s">
        <v>20</v>
      </c>
      <c r="J143" t="s">
        <v>35</v>
      </c>
      <c r="K143" s="2" t="s">
        <v>463</v>
      </c>
      <c r="L143" t="s">
        <v>30</v>
      </c>
      <c r="M143">
        <v>24872</v>
      </c>
      <c r="N143">
        <v>-1</v>
      </c>
      <c r="O143" s="3">
        <v>-48990</v>
      </c>
      <c r="P143" s="3">
        <v>25948</v>
      </c>
      <c r="Q143" s="6">
        <f t="shared" si="7"/>
        <v>-41168.067226890758</v>
      </c>
      <c r="R143" s="6">
        <f t="shared" si="8"/>
        <v>-25948</v>
      </c>
      <c r="S143" s="7">
        <f t="shared" si="9"/>
        <v>-15220.067226890758</v>
      </c>
      <c r="T143" t="s">
        <v>730</v>
      </c>
    </row>
    <row r="144" spans="1:20" x14ac:dyDescent="0.3">
      <c r="A144">
        <v>300</v>
      </c>
      <c r="B144" t="s">
        <v>16</v>
      </c>
      <c r="C144" t="s">
        <v>492</v>
      </c>
      <c r="D144" s="2" t="s">
        <v>493</v>
      </c>
      <c r="E144" t="s">
        <v>74</v>
      </c>
      <c r="F144" t="s">
        <v>26</v>
      </c>
      <c r="G144" t="s">
        <v>27</v>
      </c>
      <c r="H144" t="s">
        <v>75</v>
      </c>
      <c r="I144" t="s">
        <v>20</v>
      </c>
      <c r="J144" t="s">
        <v>35</v>
      </c>
      <c r="K144" s="2" t="s">
        <v>494</v>
      </c>
      <c r="L144" t="s">
        <v>30</v>
      </c>
      <c r="M144">
        <v>24873</v>
      </c>
      <c r="N144">
        <v>-1</v>
      </c>
      <c r="O144" s="3">
        <v>-55990</v>
      </c>
      <c r="P144" s="3">
        <v>30043</v>
      </c>
      <c r="Q144" s="6">
        <f t="shared" si="7"/>
        <v>-47050.420168067227</v>
      </c>
      <c r="R144" s="6">
        <f t="shared" si="8"/>
        <v>-30043</v>
      </c>
      <c r="S144" s="7">
        <f t="shared" si="9"/>
        <v>-17007.420168067227</v>
      </c>
      <c r="T144" t="s">
        <v>730</v>
      </c>
    </row>
    <row r="145" spans="1:20" x14ac:dyDescent="0.3">
      <c r="A145">
        <v>300</v>
      </c>
      <c r="B145" t="s">
        <v>16</v>
      </c>
      <c r="C145" t="s">
        <v>495</v>
      </c>
      <c r="D145" s="2" t="s">
        <v>496</v>
      </c>
      <c r="E145" t="s">
        <v>497</v>
      </c>
      <c r="F145" t="s">
        <v>26</v>
      </c>
      <c r="G145" t="s">
        <v>27</v>
      </c>
      <c r="H145" t="s">
        <v>498</v>
      </c>
      <c r="I145" t="s">
        <v>20</v>
      </c>
      <c r="J145" t="s">
        <v>35</v>
      </c>
      <c r="K145" s="2" t="s">
        <v>494</v>
      </c>
      <c r="L145" t="s">
        <v>30</v>
      </c>
      <c r="M145">
        <v>24874</v>
      </c>
      <c r="N145">
        <v>-1</v>
      </c>
      <c r="O145" s="3">
        <v>-34990</v>
      </c>
      <c r="P145" s="3">
        <v>22779</v>
      </c>
      <c r="Q145" s="6">
        <f t="shared" si="7"/>
        <v>-29403.361344537818</v>
      </c>
      <c r="R145" s="6">
        <f t="shared" si="8"/>
        <v>-22779</v>
      </c>
      <c r="S145" s="7">
        <f t="shared" si="9"/>
        <v>-6624.3613445378178</v>
      </c>
      <c r="T145" t="s">
        <v>730</v>
      </c>
    </row>
    <row r="146" spans="1:20" x14ac:dyDescent="0.3">
      <c r="A146">
        <v>300</v>
      </c>
      <c r="B146" t="s">
        <v>16</v>
      </c>
      <c r="C146" t="s">
        <v>499</v>
      </c>
      <c r="D146" s="2" t="s">
        <v>500</v>
      </c>
      <c r="E146" t="s">
        <v>501</v>
      </c>
      <c r="F146" t="s">
        <v>26</v>
      </c>
      <c r="G146" t="s">
        <v>27</v>
      </c>
      <c r="H146" t="s">
        <v>151</v>
      </c>
      <c r="I146" t="s">
        <v>20</v>
      </c>
      <c r="J146" t="s">
        <v>35</v>
      </c>
      <c r="K146" s="2" t="s">
        <v>494</v>
      </c>
      <c r="L146" t="s">
        <v>30</v>
      </c>
      <c r="M146">
        <v>24875</v>
      </c>
      <c r="N146">
        <v>-1</v>
      </c>
      <c r="O146" s="3">
        <v>-48990</v>
      </c>
      <c r="P146" s="3">
        <v>22952</v>
      </c>
      <c r="Q146" s="6">
        <f t="shared" si="7"/>
        <v>-41168.067226890758</v>
      </c>
      <c r="R146" s="6">
        <f t="shared" si="8"/>
        <v>-22952</v>
      </c>
      <c r="S146" s="7">
        <f t="shared" si="9"/>
        <v>-18216.067226890758</v>
      </c>
      <c r="T146" t="s">
        <v>730</v>
      </c>
    </row>
    <row r="147" spans="1:20" x14ac:dyDescent="0.3">
      <c r="A147">
        <v>300</v>
      </c>
      <c r="B147" t="s">
        <v>16</v>
      </c>
      <c r="C147" t="s">
        <v>502</v>
      </c>
      <c r="D147" s="2" t="s">
        <v>503</v>
      </c>
      <c r="E147" t="s">
        <v>504</v>
      </c>
      <c r="F147" t="s">
        <v>26</v>
      </c>
      <c r="G147" t="s">
        <v>27</v>
      </c>
      <c r="H147" t="s">
        <v>147</v>
      </c>
      <c r="I147" t="s">
        <v>20</v>
      </c>
      <c r="J147" t="s">
        <v>35</v>
      </c>
      <c r="K147" s="2" t="s">
        <v>494</v>
      </c>
      <c r="L147" t="s">
        <v>30</v>
      </c>
      <c r="M147">
        <v>24876</v>
      </c>
      <c r="N147">
        <v>-1</v>
      </c>
      <c r="O147" s="3">
        <v>-48990</v>
      </c>
      <c r="P147" s="3">
        <v>23042</v>
      </c>
      <c r="Q147" s="6">
        <f t="shared" si="7"/>
        <v>-41168.067226890758</v>
      </c>
      <c r="R147" s="6">
        <f t="shared" si="8"/>
        <v>-23042</v>
      </c>
      <c r="S147" s="7">
        <f t="shared" si="9"/>
        <v>-18126.067226890758</v>
      </c>
      <c r="T147" t="s">
        <v>730</v>
      </c>
    </row>
    <row r="148" spans="1:20" x14ac:dyDescent="0.3">
      <c r="A148">
        <v>300</v>
      </c>
      <c r="B148" t="s">
        <v>16</v>
      </c>
      <c r="C148" t="s">
        <v>505</v>
      </c>
      <c r="D148" s="2" t="s">
        <v>506</v>
      </c>
      <c r="E148" t="s">
        <v>507</v>
      </c>
      <c r="F148" t="s">
        <v>26</v>
      </c>
      <c r="G148" t="s">
        <v>27</v>
      </c>
      <c r="H148" t="s">
        <v>28</v>
      </c>
      <c r="I148" t="s">
        <v>20</v>
      </c>
      <c r="J148" t="s">
        <v>29</v>
      </c>
      <c r="K148" s="2" t="s">
        <v>494</v>
      </c>
      <c r="L148" t="s">
        <v>30</v>
      </c>
      <c r="M148">
        <v>24877</v>
      </c>
      <c r="N148">
        <v>-1</v>
      </c>
      <c r="O148" s="3">
        <v>-51990</v>
      </c>
      <c r="P148" s="3">
        <v>24710</v>
      </c>
      <c r="Q148" s="6">
        <f t="shared" si="7"/>
        <v>-43689.075630252104</v>
      </c>
      <c r="R148" s="6">
        <f t="shared" si="8"/>
        <v>-24710</v>
      </c>
      <c r="S148" s="7">
        <f t="shared" si="9"/>
        <v>-18979.075630252104</v>
      </c>
      <c r="T148" t="s">
        <v>730</v>
      </c>
    </row>
    <row r="149" spans="1:20" x14ac:dyDescent="0.3">
      <c r="A149">
        <v>300</v>
      </c>
      <c r="B149" t="s">
        <v>16</v>
      </c>
      <c r="C149" t="s">
        <v>508</v>
      </c>
      <c r="D149" s="2" t="s">
        <v>509</v>
      </c>
      <c r="E149" t="s">
        <v>510</v>
      </c>
      <c r="F149" t="s">
        <v>26</v>
      </c>
      <c r="G149" t="s">
        <v>27</v>
      </c>
      <c r="H149" t="s">
        <v>429</v>
      </c>
      <c r="I149" t="s">
        <v>20</v>
      </c>
      <c r="J149" t="s">
        <v>35</v>
      </c>
      <c r="K149" s="2" t="s">
        <v>494</v>
      </c>
      <c r="L149" t="s">
        <v>30</v>
      </c>
      <c r="M149">
        <v>24878</v>
      </c>
      <c r="N149">
        <v>-1</v>
      </c>
      <c r="O149" s="3">
        <v>-48990</v>
      </c>
      <c r="P149" s="3">
        <v>26176</v>
      </c>
      <c r="Q149" s="6">
        <f t="shared" si="7"/>
        <v>-41168.067226890758</v>
      </c>
      <c r="R149" s="6">
        <f t="shared" si="8"/>
        <v>-26176</v>
      </c>
      <c r="S149" s="7">
        <f t="shared" si="9"/>
        <v>-14992.067226890758</v>
      </c>
      <c r="T149" t="s">
        <v>730</v>
      </c>
    </row>
    <row r="150" spans="1:20" x14ac:dyDescent="0.3">
      <c r="A150">
        <v>300</v>
      </c>
      <c r="B150" t="s">
        <v>16</v>
      </c>
      <c r="C150" t="s">
        <v>511</v>
      </c>
      <c r="D150" s="2" t="s">
        <v>512</v>
      </c>
      <c r="E150" t="s">
        <v>513</v>
      </c>
      <c r="F150" t="s">
        <v>26</v>
      </c>
      <c r="G150" t="s">
        <v>27</v>
      </c>
      <c r="H150" t="s">
        <v>471</v>
      </c>
      <c r="I150" t="s">
        <v>20</v>
      </c>
      <c r="J150" t="s">
        <v>50</v>
      </c>
      <c r="K150" s="2" t="s">
        <v>494</v>
      </c>
      <c r="L150" t="s">
        <v>30</v>
      </c>
      <c r="M150">
        <v>24879</v>
      </c>
      <c r="N150">
        <v>-1</v>
      </c>
      <c r="O150" s="3">
        <v>-48990</v>
      </c>
      <c r="P150" s="3">
        <v>24399</v>
      </c>
      <c r="Q150" s="6">
        <f t="shared" si="7"/>
        <v>-41168.067226890758</v>
      </c>
      <c r="R150" s="6">
        <f t="shared" si="8"/>
        <v>-24399</v>
      </c>
      <c r="S150" s="7">
        <f t="shared" si="9"/>
        <v>-16769.067226890758</v>
      </c>
      <c r="T150" t="s">
        <v>730</v>
      </c>
    </row>
    <row r="151" spans="1:20" x14ac:dyDescent="0.3">
      <c r="A151">
        <v>300</v>
      </c>
      <c r="B151" t="s">
        <v>16</v>
      </c>
      <c r="C151" t="s">
        <v>514</v>
      </c>
      <c r="D151" s="2" t="s">
        <v>515</v>
      </c>
      <c r="E151" t="s">
        <v>516</v>
      </c>
      <c r="F151" t="s">
        <v>26</v>
      </c>
      <c r="G151" t="s">
        <v>27</v>
      </c>
      <c r="H151" t="s">
        <v>517</v>
      </c>
      <c r="I151" t="s">
        <v>20</v>
      </c>
      <c r="J151" t="s">
        <v>35</v>
      </c>
      <c r="K151" s="2" t="s">
        <v>494</v>
      </c>
      <c r="L151" t="s">
        <v>30</v>
      </c>
      <c r="M151">
        <v>24880</v>
      </c>
      <c r="N151">
        <v>-1</v>
      </c>
      <c r="O151" s="3">
        <v>-37990</v>
      </c>
      <c r="P151" s="3">
        <v>21430</v>
      </c>
      <c r="Q151" s="6">
        <f t="shared" si="7"/>
        <v>-31924.36974789916</v>
      </c>
      <c r="R151" s="6">
        <f t="shared" si="8"/>
        <v>-21430</v>
      </c>
      <c r="S151" s="7">
        <f t="shared" si="9"/>
        <v>-10494.36974789916</v>
      </c>
      <c r="T151" t="s">
        <v>730</v>
      </c>
    </row>
    <row r="152" spans="1:20" x14ac:dyDescent="0.3">
      <c r="A152">
        <v>300</v>
      </c>
      <c r="B152" t="s">
        <v>16</v>
      </c>
      <c r="C152" t="s">
        <v>518</v>
      </c>
      <c r="D152" s="2" t="s">
        <v>519</v>
      </c>
      <c r="E152" t="s">
        <v>520</v>
      </c>
      <c r="F152" t="s">
        <v>26</v>
      </c>
      <c r="G152" t="s">
        <v>27</v>
      </c>
      <c r="H152" t="s">
        <v>521</v>
      </c>
      <c r="I152" t="s">
        <v>20</v>
      </c>
      <c r="J152" t="s">
        <v>29</v>
      </c>
      <c r="K152" s="2" t="s">
        <v>494</v>
      </c>
      <c r="L152" t="s">
        <v>30</v>
      </c>
      <c r="M152">
        <v>24881</v>
      </c>
      <c r="N152">
        <v>-1</v>
      </c>
      <c r="O152" s="3">
        <v>-37991</v>
      </c>
      <c r="P152" s="3">
        <v>20523</v>
      </c>
      <c r="Q152" s="6">
        <f t="shared" si="7"/>
        <v>-31925.210084033613</v>
      </c>
      <c r="R152" s="6">
        <f t="shared" si="8"/>
        <v>-20523</v>
      </c>
      <c r="S152" s="7">
        <f t="shared" si="9"/>
        <v>-11402.210084033613</v>
      </c>
      <c r="T152" t="s">
        <v>730</v>
      </c>
    </row>
    <row r="153" spans="1:20" x14ac:dyDescent="0.3">
      <c r="A153">
        <v>300</v>
      </c>
      <c r="B153" t="s">
        <v>16</v>
      </c>
      <c r="C153" t="s">
        <v>522</v>
      </c>
      <c r="D153" s="2" t="s">
        <v>523</v>
      </c>
      <c r="E153" t="s">
        <v>524</v>
      </c>
      <c r="F153" t="s">
        <v>26</v>
      </c>
      <c r="G153" t="s">
        <v>27</v>
      </c>
      <c r="H153" t="s">
        <v>521</v>
      </c>
      <c r="I153" t="s">
        <v>20</v>
      </c>
      <c r="J153" t="s">
        <v>29</v>
      </c>
      <c r="K153" s="2" t="s">
        <v>494</v>
      </c>
      <c r="L153" t="s">
        <v>30</v>
      </c>
      <c r="M153">
        <v>24881</v>
      </c>
      <c r="N153">
        <v>-1</v>
      </c>
      <c r="O153" s="3">
        <v>-37990</v>
      </c>
      <c r="P153" s="3">
        <v>20415</v>
      </c>
      <c r="Q153" s="6">
        <f t="shared" si="7"/>
        <v>-31924.36974789916</v>
      </c>
      <c r="R153" s="6">
        <f t="shared" si="8"/>
        <v>-20415</v>
      </c>
      <c r="S153" s="7">
        <f t="shared" si="9"/>
        <v>-11509.36974789916</v>
      </c>
      <c r="T153" t="s">
        <v>730</v>
      </c>
    </row>
    <row r="154" spans="1:20" x14ac:dyDescent="0.3">
      <c r="A154">
        <v>300</v>
      </c>
      <c r="B154" t="s">
        <v>16</v>
      </c>
      <c r="C154" t="s">
        <v>525</v>
      </c>
      <c r="D154" s="2" t="s">
        <v>526</v>
      </c>
      <c r="E154" t="s">
        <v>527</v>
      </c>
      <c r="F154" t="s">
        <v>26</v>
      </c>
      <c r="G154" t="s">
        <v>27</v>
      </c>
      <c r="H154" t="s">
        <v>528</v>
      </c>
      <c r="I154" t="s">
        <v>20</v>
      </c>
      <c r="J154" t="s">
        <v>29</v>
      </c>
      <c r="K154" s="2" t="s">
        <v>494</v>
      </c>
      <c r="L154" t="s">
        <v>30</v>
      </c>
      <c r="M154">
        <v>24882</v>
      </c>
      <c r="N154">
        <v>-1</v>
      </c>
      <c r="O154" s="3">
        <v>-37990</v>
      </c>
      <c r="P154" s="3">
        <v>15745</v>
      </c>
      <c r="Q154" s="6">
        <f t="shared" si="7"/>
        <v>-31924.36974789916</v>
      </c>
      <c r="R154" s="6">
        <f t="shared" si="8"/>
        <v>-15745</v>
      </c>
      <c r="S154" s="7">
        <f t="shared" si="9"/>
        <v>-16179.36974789916</v>
      </c>
      <c r="T154" t="s">
        <v>730</v>
      </c>
    </row>
    <row r="155" spans="1:20" x14ac:dyDescent="0.3">
      <c r="A155">
        <v>300</v>
      </c>
      <c r="B155" t="s">
        <v>16</v>
      </c>
      <c r="C155" t="s">
        <v>529</v>
      </c>
      <c r="D155" s="2" t="s">
        <v>530</v>
      </c>
      <c r="E155" t="s">
        <v>531</v>
      </c>
      <c r="F155" t="s">
        <v>26</v>
      </c>
      <c r="G155" t="s">
        <v>27</v>
      </c>
      <c r="H155" t="s">
        <v>182</v>
      </c>
      <c r="I155" t="s">
        <v>20</v>
      </c>
      <c r="J155" t="s">
        <v>50</v>
      </c>
      <c r="K155" s="2" t="s">
        <v>494</v>
      </c>
      <c r="L155" t="s">
        <v>30</v>
      </c>
      <c r="M155">
        <v>24883</v>
      </c>
      <c r="N155">
        <v>-1</v>
      </c>
      <c r="O155" s="3">
        <v>-48990</v>
      </c>
      <c r="P155" s="3">
        <v>28069</v>
      </c>
      <c r="Q155" s="6">
        <f t="shared" si="7"/>
        <v>-41168.067226890758</v>
      </c>
      <c r="R155" s="6">
        <f t="shared" si="8"/>
        <v>-28069</v>
      </c>
      <c r="S155" s="7">
        <f t="shared" si="9"/>
        <v>-13099.067226890758</v>
      </c>
      <c r="T155" t="s">
        <v>730</v>
      </c>
    </row>
    <row r="156" spans="1:20" x14ac:dyDescent="0.3">
      <c r="A156">
        <v>300</v>
      </c>
      <c r="B156" t="s">
        <v>16</v>
      </c>
      <c r="C156" t="s">
        <v>532</v>
      </c>
      <c r="D156" s="2" t="s">
        <v>533</v>
      </c>
      <c r="E156" t="s">
        <v>534</v>
      </c>
      <c r="F156" t="s">
        <v>26</v>
      </c>
      <c r="G156" t="s">
        <v>27</v>
      </c>
      <c r="H156" t="s">
        <v>121</v>
      </c>
      <c r="I156" t="s">
        <v>20</v>
      </c>
      <c r="J156" t="s">
        <v>29</v>
      </c>
      <c r="K156" s="2" t="s">
        <v>494</v>
      </c>
      <c r="L156" t="s">
        <v>30</v>
      </c>
      <c r="M156">
        <v>24884</v>
      </c>
      <c r="N156">
        <v>-1</v>
      </c>
      <c r="O156" s="3">
        <v>-41990</v>
      </c>
      <c r="P156" s="3">
        <v>16817</v>
      </c>
      <c r="Q156" s="6">
        <f t="shared" si="7"/>
        <v>-35285.71428571429</v>
      </c>
      <c r="R156" s="6">
        <f t="shared" si="8"/>
        <v>-16817</v>
      </c>
      <c r="S156" s="7">
        <f t="shared" si="9"/>
        <v>-18468.71428571429</v>
      </c>
      <c r="T156" t="s">
        <v>730</v>
      </c>
    </row>
    <row r="157" spans="1:20" x14ac:dyDescent="0.3">
      <c r="A157">
        <v>300</v>
      </c>
      <c r="B157" t="s">
        <v>16</v>
      </c>
      <c r="C157" t="s">
        <v>535</v>
      </c>
      <c r="D157" s="2" t="s">
        <v>536</v>
      </c>
      <c r="E157" t="s">
        <v>537</v>
      </c>
      <c r="F157" t="s">
        <v>26</v>
      </c>
      <c r="G157" t="s">
        <v>27</v>
      </c>
      <c r="H157" t="s">
        <v>34</v>
      </c>
      <c r="I157" t="s">
        <v>20</v>
      </c>
      <c r="J157" t="s">
        <v>35</v>
      </c>
      <c r="K157" s="2" t="s">
        <v>494</v>
      </c>
      <c r="L157" t="s">
        <v>30</v>
      </c>
      <c r="M157">
        <v>24885</v>
      </c>
      <c r="N157">
        <v>-1</v>
      </c>
      <c r="O157" s="3">
        <v>-44990</v>
      </c>
      <c r="P157" s="3">
        <v>27805</v>
      </c>
      <c r="Q157" s="6">
        <f t="shared" si="7"/>
        <v>-37806.722689075636</v>
      </c>
      <c r="R157" s="6">
        <f t="shared" si="8"/>
        <v>-27805</v>
      </c>
      <c r="S157" s="7">
        <f t="shared" si="9"/>
        <v>-10001.722689075636</v>
      </c>
      <c r="T157" t="s">
        <v>730</v>
      </c>
    </row>
    <row r="158" spans="1:20" x14ac:dyDescent="0.3">
      <c r="A158">
        <v>300</v>
      </c>
      <c r="B158" t="s">
        <v>16</v>
      </c>
      <c r="C158" t="s">
        <v>538</v>
      </c>
      <c r="D158" s="2" t="s">
        <v>539</v>
      </c>
      <c r="E158" t="s">
        <v>540</v>
      </c>
      <c r="F158" t="s">
        <v>26</v>
      </c>
      <c r="G158" t="s">
        <v>27</v>
      </c>
      <c r="H158" t="s">
        <v>541</v>
      </c>
      <c r="I158" t="s">
        <v>20</v>
      </c>
      <c r="J158" t="s">
        <v>44</v>
      </c>
      <c r="K158" s="2" t="s">
        <v>494</v>
      </c>
      <c r="L158" t="s">
        <v>30</v>
      </c>
      <c r="M158">
        <v>24886</v>
      </c>
      <c r="N158">
        <v>-1</v>
      </c>
      <c r="O158" s="3">
        <v>-51990</v>
      </c>
      <c r="P158" s="3">
        <v>35879</v>
      </c>
      <c r="Q158" s="6">
        <f t="shared" si="7"/>
        <v>-43689.075630252104</v>
      </c>
      <c r="R158" s="6">
        <f t="shared" si="8"/>
        <v>-35879</v>
      </c>
      <c r="S158" s="7">
        <f t="shared" si="9"/>
        <v>-7810.075630252104</v>
      </c>
      <c r="T158" t="s">
        <v>730</v>
      </c>
    </row>
    <row r="159" spans="1:20" x14ac:dyDescent="0.3">
      <c r="A159">
        <v>300</v>
      </c>
      <c r="B159" t="s">
        <v>16</v>
      </c>
      <c r="C159" t="s">
        <v>542</v>
      </c>
      <c r="D159" s="2" t="s">
        <v>543</v>
      </c>
      <c r="E159" t="s">
        <v>544</v>
      </c>
      <c r="F159" t="s">
        <v>26</v>
      </c>
      <c r="G159" t="s">
        <v>27</v>
      </c>
      <c r="H159" t="s">
        <v>168</v>
      </c>
      <c r="I159" t="s">
        <v>20</v>
      </c>
      <c r="J159" t="s">
        <v>135</v>
      </c>
      <c r="K159" s="2" t="s">
        <v>494</v>
      </c>
      <c r="L159" t="s">
        <v>30</v>
      </c>
      <c r="M159">
        <v>24887</v>
      </c>
      <c r="N159">
        <v>-1</v>
      </c>
      <c r="O159" s="3">
        <v>-51990</v>
      </c>
      <c r="P159" s="3">
        <v>30744</v>
      </c>
      <c r="Q159" s="6">
        <f t="shared" si="7"/>
        <v>-43689.075630252104</v>
      </c>
      <c r="R159" s="6">
        <f t="shared" si="8"/>
        <v>-30744</v>
      </c>
      <c r="S159" s="7">
        <f t="shared" si="9"/>
        <v>-12945.075630252104</v>
      </c>
      <c r="T159" t="s">
        <v>730</v>
      </c>
    </row>
    <row r="160" spans="1:20" x14ac:dyDescent="0.3">
      <c r="A160">
        <v>300</v>
      </c>
      <c r="B160" t="s">
        <v>16</v>
      </c>
      <c r="C160" t="s">
        <v>211</v>
      </c>
      <c r="D160" s="2" t="s">
        <v>212</v>
      </c>
      <c r="E160" t="s">
        <v>213</v>
      </c>
      <c r="F160" t="s">
        <v>26</v>
      </c>
      <c r="G160" t="s">
        <v>27</v>
      </c>
      <c r="H160" t="s">
        <v>214</v>
      </c>
      <c r="I160" t="s">
        <v>20</v>
      </c>
      <c r="J160" t="s">
        <v>50</v>
      </c>
      <c r="K160" s="2" t="s">
        <v>494</v>
      </c>
      <c r="L160" t="s">
        <v>30</v>
      </c>
      <c r="M160">
        <v>24888</v>
      </c>
      <c r="N160">
        <v>-1</v>
      </c>
      <c r="O160" s="3">
        <v>-43991</v>
      </c>
      <c r="P160" s="3">
        <v>23813</v>
      </c>
      <c r="Q160" s="6">
        <f t="shared" si="7"/>
        <v>-36967.226890756305</v>
      </c>
      <c r="R160" s="6">
        <f t="shared" si="8"/>
        <v>-23813</v>
      </c>
      <c r="S160" s="7">
        <f t="shared" si="9"/>
        <v>-13154.226890756305</v>
      </c>
      <c r="T160" t="s">
        <v>730</v>
      </c>
    </row>
    <row r="161" spans="1:20" x14ac:dyDescent="0.3">
      <c r="A161">
        <v>300</v>
      </c>
      <c r="B161" t="s">
        <v>16</v>
      </c>
      <c r="C161" t="s">
        <v>545</v>
      </c>
      <c r="D161" s="2" t="s">
        <v>546</v>
      </c>
      <c r="E161" t="s">
        <v>547</v>
      </c>
      <c r="F161" t="s">
        <v>26</v>
      </c>
      <c r="G161" t="s">
        <v>27</v>
      </c>
      <c r="H161" t="s">
        <v>214</v>
      </c>
      <c r="I161" t="s">
        <v>20</v>
      </c>
      <c r="J161" t="s">
        <v>50</v>
      </c>
      <c r="K161" s="2" t="s">
        <v>494</v>
      </c>
      <c r="L161" t="s">
        <v>30</v>
      </c>
      <c r="M161">
        <v>24888</v>
      </c>
      <c r="N161">
        <v>-1</v>
      </c>
      <c r="O161" s="3">
        <v>-43990</v>
      </c>
      <c r="P161" s="3">
        <v>28154</v>
      </c>
      <c r="Q161" s="6">
        <f t="shared" si="7"/>
        <v>-36966.386554621851</v>
      </c>
      <c r="R161" s="6">
        <f t="shared" si="8"/>
        <v>-28154</v>
      </c>
      <c r="S161" s="7">
        <f t="shared" si="9"/>
        <v>-8812.3865546218512</v>
      </c>
      <c r="T161" t="s">
        <v>730</v>
      </c>
    </row>
    <row r="162" spans="1:20" x14ac:dyDescent="0.3">
      <c r="A162">
        <v>300</v>
      </c>
      <c r="B162" t="s">
        <v>16</v>
      </c>
      <c r="C162" t="s">
        <v>548</v>
      </c>
      <c r="D162" s="2" t="s">
        <v>549</v>
      </c>
      <c r="E162" t="s">
        <v>550</v>
      </c>
      <c r="F162" t="s">
        <v>26</v>
      </c>
      <c r="G162" t="s">
        <v>27</v>
      </c>
      <c r="H162" t="s">
        <v>551</v>
      </c>
      <c r="I162" t="s">
        <v>20</v>
      </c>
      <c r="J162" t="s">
        <v>135</v>
      </c>
      <c r="K162" s="2" t="s">
        <v>494</v>
      </c>
      <c r="L162" t="s">
        <v>30</v>
      </c>
      <c r="M162">
        <v>24889</v>
      </c>
      <c r="N162">
        <v>-1</v>
      </c>
      <c r="O162" s="3">
        <v>-64989</v>
      </c>
      <c r="P162" s="3">
        <v>33777</v>
      </c>
      <c r="Q162" s="6">
        <f t="shared" si="7"/>
        <v>-54612.60504201681</v>
      </c>
      <c r="R162" s="6">
        <f t="shared" si="8"/>
        <v>-33777</v>
      </c>
      <c r="S162" s="7">
        <f t="shared" si="9"/>
        <v>-20835.60504201681</v>
      </c>
      <c r="T162" t="s">
        <v>730</v>
      </c>
    </row>
    <row r="163" spans="1:20" x14ac:dyDescent="0.3">
      <c r="A163">
        <v>300</v>
      </c>
      <c r="B163" t="s">
        <v>16</v>
      </c>
      <c r="C163" t="s">
        <v>552</v>
      </c>
      <c r="D163" s="2" t="s">
        <v>553</v>
      </c>
      <c r="E163" t="s">
        <v>554</v>
      </c>
      <c r="F163" t="s">
        <v>26</v>
      </c>
      <c r="G163" t="s">
        <v>27</v>
      </c>
      <c r="H163" t="s">
        <v>232</v>
      </c>
      <c r="I163" t="s">
        <v>20</v>
      </c>
      <c r="J163" t="s">
        <v>135</v>
      </c>
      <c r="K163" s="2" t="s">
        <v>494</v>
      </c>
      <c r="L163" t="s">
        <v>30</v>
      </c>
      <c r="M163">
        <v>24890</v>
      </c>
      <c r="N163">
        <v>-1</v>
      </c>
      <c r="O163" s="3">
        <v>-52990</v>
      </c>
      <c r="P163" s="3">
        <v>33315</v>
      </c>
      <c r="Q163" s="6">
        <f t="shared" si="7"/>
        <v>-44529.411764705881</v>
      </c>
      <c r="R163" s="6">
        <f t="shared" si="8"/>
        <v>-33315</v>
      </c>
      <c r="S163" s="7">
        <f t="shared" si="9"/>
        <v>-11214.411764705881</v>
      </c>
      <c r="T163" t="s">
        <v>730</v>
      </c>
    </row>
    <row r="164" spans="1:20" x14ac:dyDescent="0.3">
      <c r="A164">
        <v>300</v>
      </c>
      <c r="B164" t="s">
        <v>16</v>
      </c>
      <c r="C164" t="s">
        <v>555</v>
      </c>
      <c r="D164" s="2" t="s">
        <v>556</v>
      </c>
      <c r="E164" t="s">
        <v>557</v>
      </c>
      <c r="F164" t="s">
        <v>26</v>
      </c>
      <c r="G164" t="s">
        <v>27</v>
      </c>
      <c r="H164" t="s">
        <v>43</v>
      </c>
      <c r="I164" t="s">
        <v>20</v>
      </c>
      <c r="J164" t="s">
        <v>44</v>
      </c>
      <c r="K164" s="2" t="s">
        <v>494</v>
      </c>
      <c r="L164" t="s">
        <v>30</v>
      </c>
      <c r="M164">
        <v>24891</v>
      </c>
      <c r="N164">
        <v>-1</v>
      </c>
      <c r="O164" s="3">
        <v>-53991</v>
      </c>
      <c r="P164" s="3">
        <v>31000</v>
      </c>
      <c r="Q164" s="6">
        <f t="shared" si="7"/>
        <v>-45370.588235294119</v>
      </c>
      <c r="R164" s="6">
        <f t="shared" si="8"/>
        <v>-31000</v>
      </c>
      <c r="S164" s="7">
        <f t="shared" si="9"/>
        <v>-14370.588235294119</v>
      </c>
      <c r="T164" t="s">
        <v>730</v>
      </c>
    </row>
    <row r="165" spans="1:20" x14ac:dyDescent="0.3">
      <c r="A165">
        <v>300</v>
      </c>
      <c r="B165" t="s">
        <v>16</v>
      </c>
      <c r="C165" t="s">
        <v>558</v>
      </c>
      <c r="D165" s="2" t="s">
        <v>559</v>
      </c>
      <c r="E165" t="s">
        <v>560</v>
      </c>
      <c r="F165" t="s">
        <v>26</v>
      </c>
      <c r="G165" t="s">
        <v>27</v>
      </c>
      <c r="H165" t="s">
        <v>561</v>
      </c>
      <c r="I165" t="s">
        <v>20</v>
      </c>
      <c r="J165" t="s">
        <v>50</v>
      </c>
      <c r="K165" s="2" t="s">
        <v>494</v>
      </c>
      <c r="L165" t="s">
        <v>30</v>
      </c>
      <c r="M165">
        <v>24892</v>
      </c>
      <c r="N165">
        <v>-1</v>
      </c>
      <c r="O165" s="3">
        <v>-51990</v>
      </c>
      <c r="P165" s="3">
        <v>30060</v>
      </c>
      <c r="Q165" s="6">
        <f t="shared" si="7"/>
        <v>-43689.075630252104</v>
      </c>
      <c r="R165" s="6">
        <f t="shared" si="8"/>
        <v>-30060</v>
      </c>
      <c r="S165" s="7">
        <f t="shared" si="9"/>
        <v>-13629.075630252104</v>
      </c>
      <c r="T165" t="s">
        <v>730</v>
      </c>
    </row>
    <row r="166" spans="1:20" x14ac:dyDescent="0.3">
      <c r="A166">
        <v>300</v>
      </c>
      <c r="B166" t="s">
        <v>16</v>
      </c>
      <c r="C166" t="s">
        <v>562</v>
      </c>
      <c r="D166" s="2" t="s">
        <v>563</v>
      </c>
      <c r="E166" t="s">
        <v>192</v>
      </c>
      <c r="F166" t="s">
        <v>26</v>
      </c>
      <c r="G166" t="s">
        <v>27</v>
      </c>
      <c r="H166" t="s">
        <v>193</v>
      </c>
      <c r="I166" t="s">
        <v>20</v>
      </c>
      <c r="J166" t="s">
        <v>50</v>
      </c>
      <c r="K166" s="2" t="s">
        <v>494</v>
      </c>
      <c r="L166" t="s">
        <v>30</v>
      </c>
      <c r="M166">
        <v>24893</v>
      </c>
      <c r="N166">
        <v>-1</v>
      </c>
      <c r="O166" s="3">
        <v>-51990</v>
      </c>
      <c r="P166" s="3">
        <v>25724</v>
      </c>
      <c r="Q166" s="6">
        <f t="shared" si="7"/>
        <v>-43689.075630252104</v>
      </c>
      <c r="R166" s="6">
        <f t="shared" si="8"/>
        <v>-25724</v>
      </c>
      <c r="S166" s="7">
        <f t="shared" si="9"/>
        <v>-17965.075630252104</v>
      </c>
      <c r="T166" t="s">
        <v>730</v>
      </c>
    </row>
    <row r="167" spans="1:20" x14ac:dyDescent="0.3">
      <c r="A167">
        <v>300</v>
      </c>
      <c r="B167" t="s">
        <v>16</v>
      </c>
      <c r="C167" t="s">
        <v>564</v>
      </c>
      <c r="D167" s="2" t="s">
        <v>565</v>
      </c>
      <c r="E167" t="s">
        <v>566</v>
      </c>
      <c r="F167" t="s">
        <v>26</v>
      </c>
      <c r="G167" t="s">
        <v>27</v>
      </c>
      <c r="H167" t="s">
        <v>567</v>
      </c>
      <c r="I167" t="s">
        <v>20</v>
      </c>
      <c r="J167" t="s">
        <v>29</v>
      </c>
      <c r="K167" s="2" t="s">
        <v>494</v>
      </c>
      <c r="L167" t="s">
        <v>30</v>
      </c>
      <c r="M167">
        <v>24894</v>
      </c>
      <c r="N167">
        <v>-1</v>
      </c>
      <c r="O167" s="3">
        <v>-48990</v>
      </c>
      <c r="P167" s="3">
        <v>21101</v>
      </c>
      <c r="Q167" s="6">
        <f t="shared" si="7"/>
        <v>-41168.067226890758</v>
      </c>
      <c r="R167" s="6">
        <f t="shared" si="8"/>
        <v>-21101</v>
      </c>
      <c r="S167" s="7">
        <f t="shared" si="9"/>
        <v>-20067.067226890758</v>
      </c>
      <c r="T167" t="s">
        <v>730</v>
      </c>
    </row>
    <row r="168" spans="1:20" x14ac:dyDescent="0.3">
      <c r="A168">
        <v>300</v>
      </c>
      <c r="B168" t="s">
        <v>16</v>
      </c>
      <c r="C168" t="s">
        <v>568</v>
      </c>
      <c r="D168" s="2" t="s">
        <v>569</v>
      </c>
      <c r="E168" t="s">
        <v>570</v>
      </c>
      <c r="F168" t="s">
        <v>26</v>
      </c>
      <c r="G168" t="s">
        <v>27</v>
      </c>
      <c r="H168" t="s">
        <v>151</v>
      </c>
      <c r="I168" t="s">
        <v>20</v>
      </c>
      <c r="J168" t="s">
        <v>35</v>
      </c>
      <c r="K168" s="2" t="s">
        <v>494</v>
      </c>
      <c r="L168" t="s">
        <v>30</v>
      </c>
      <c r="M168">
        <v>24895</v>
      </c>
      <c r="N168">
        <v>-1</v>
      </c>
      <c r="O168" s="3">
        <v>-48990</v>
      </c>
      <c r="P168" s="3">
        <v>19281</v>
      </c>
      <c r="Q168" s="6">
        <f t="shared" si="7"/>
        <v>-41168.067226890758</v>
      </c>
      <c r="R168" s="6">
        <f t="shared" si="8"/>
        <v>-19281</v>
      </c>
      <c r="S168" s="7">
        <f t="shared" si="9"/>
        <v>-21887.067226890758</v>
      </c>
      <c r="T168" t="s">
        <v>730</v>
      </c>
    </row>
    <row r="169" spans="1:20" x14ac:dyDescent="0.3">
      <c r="A169">
        <v>300</v>
      </c>
      <c r="B169" t="s">
        <v>16</v>
      </c>
      <c r="C169" t="s">
        <v>571</v>
      </c>
      <c r="D169" s="2" t="s">
        <v>572</v>
      </c>
      <c r="E169" t="s">
        <v>573</v>
      </c>
      <c r="F169" t="s">
        <v>26</v>
      </c>
      <c r="G169" t="s">
        <v>27</v>
      </c>
      <c r="H169" t="s">
        <v>454</v>
      </c>
      <c r="I169" t="s">
        <v>20</v>
      </c>
      <c r="J169" t="s">
        <v>44</v>
      </c>
      <c r="K169" s="2" t="s">
        <v>494</v>
      </c>
      <c r="L169" t="s">
        <v>30</v>
      </c>
      <c r="M169">
        <v>24896</v>
      </c>
      <c r="N169">
        <v>-1</v>
      </c>
      <c r="O169" s="3">
        <v>-64950</v>
      </c>
      <c r="P169" s="3">
        <v>20699</v>
      </c>
      <c r="Q169" s="6">
        <f t="shared" si="7"/>
        <v>-54579.831932773115</v>
      </c>
      <c r="R169" s="6">
        <f t="shared" si="8"/>
        <v>-20699</v>
      </c>
      <c r="S169" s="7">
        <f t="shared" si="9"/>
        <v>-33880.831932773115</v>
      </c>
      <c r="T169" t="s">
        <v>730</v>
      </c>
    </row>
    <row r="170" spans="1:20" x14ac:dyDescent="0.3">
      <c r="A170">
        <v>300</v>
      </c>
      <c r="B170" t="s">
        <v>16</v>
      </c>
      <c r="C170" t="s">
        <v>328</v>
      </c>
      <c r="D170" s="2" t="s">
        <v>329</v>
      </c>
      <c r="E170" t="s">
        <v>330</v>
      </c>
      <c r="F170" t="s">
        <v>26</v>
      </c>
      <c r="G170" t="s">
        <v>27</v>
      </c>
      <c r="H170" t="s">
        <v>331</v>
      </c>
      <c r="I170" t="s">
        <v>20</v>
      </c>
      <c r="J170" t="s">
        <v>35</v>
      </c>
      <c r="K170" s="2" t="s">
        <v>494</v>
      </c>
      <c r="L170" t="s">
        <v>30</v>
      </c>
      <c r="M170">
        <v>24897</v>
      </c>
      <c r="N170">
        <v>-1</v>
      </c>
      <c r="O170" s="3">
        <v>-44990</v>
      </c>
      <c r="P170" s="3">
        <v>24522</v>
      </c>
      <c r="Q170" s="6">
        <f t="shared" si="7"/>
        <v>-37806.722689075636</v>
      </c>
      <c r="R170" s="6">
        <f t="shared" si="8"/>
        <v>-24522</v>
      </c>
      <c r="S170" s="7">
        <f t="shared" si="9"/>
        <v>-13284.722689075636</v>
      </c>
      <c r="T170" t="s">
        <v>730</v>
      </c>
    </row>
    <row r="171" spans="1:20" x14ac:dyDescent="0.3">
      <c r="A171">
        <v>300</v>
      </c>
      <c r="B171" t="s">
        <v>16</v>
      </c>
      <c r="C171" t="s">
        <v>574</v>
      </c>
      <c r="D171" s="2" t="s">
        <v>575</v>
      </c>
      <c r="E171" t="s">
        <v>490</v>
      </c>
      <c r="F171" t="s">
        <v>26</v>
      </c>
      <c r="G171" t="s">
        <v>27</v>
      </c>
      <c r="H171" t="s">
        <v>491</v>
      </c>
      <c r="I171" t="s">
        <v>20</v>
      </c>
      <c r="J171" t="s">
        <v>35</v>
      </c>
      <c r="K171" s="2" t="s">
        <v>494</v>
      </c>
      <c r="L171" t="s">
        <v>30</v>
      </c>
      <c r="M171">
        <v>24898</v>
      </c>
      <c r="N171">
        <v>-1</v>
      </c>
      <c r="O171" s="3">
        <v>-48990</v>
      </c>
      <c r="P171" s="3">
        <v>25768</v>
      </c>
      <c r="Q171" s="6">
        <f t="shared" si="7"/>
        <v>-41168.067226890758</v>
      </c>
      <c r="R171" s="6">
        <f t="shared" si="8"/>
        <v>-25768</v>
      </c>
      <c r="S171" s="7">
        <f t="shared" si="9"/>
        <v>-15400.067226890758</v>
      </c>
      <c r="T171" t="s">
        <v>730</v>
      </c>
    </row>
    <row r="172" spans="1:20" x14ac:dyDescent="0.3">
      <c r="A172">
        <v>300</v>
      </c>
      <c r="B172" t="s">
        <v>16</v>
      </c>
      <c r="C172" t="s">
        <v>169</v>
      </c>
      <c r="D172" s="2" t="s">
        <v>170</v>
      </c>
      <c r="E172" t="s">
        <v>171</v>
      </c>
      <c r="F172" t="s">
        <v>26</v>
      </c>
      <c r="G172" t="s">
        <v>27</v>
      </c>
      <c r="H172" t="s">
        <v>172</v>
      </c>
      <c r="I172" t="s">
        <v>20</v>
      </c>
      <c r="J172" t="s">
        <v>50</v>
      </c>
      <c r="K172" s="2" t="s">
        <v>494</v>
      </c>
      <c r="L172" t="s">
        <v>30</v>
      </c>
      <c r="M172">
        <v>24899</v>
      </c>
      <c r="N172">
        <v>-1</v>
      </c>
      <c r="O172" s="3">
        <v>-48990</v>
      </c>
      <c r="P172" s="3">
        <v>28455</v>
      </c>
      <c r="Q172" s="6">
        <f t="shared" si="7"/>
        <v>-41168.067226890758</v>
      </c>
      <c r="R172" s="6">
        <f t="shared" si="8"/>
        <v>-28455</v>
      </c>
      <c r="S172" s="7">
        <f t="shared" si="9"/>
        <v>-12713.067226890758</v>
      </c>
      <c r="T172" t="s">
        <v>730</v>
      </c>
    </row>
    <row r="173" spans="1:20" x14ac:dyDescent="0.3">
      <c r="A173">
        <v>300</v>
      </c>
      <c r="B173" t="s">
        <v>16</v>
      </c>
      <c r="C173" t="s">
        <v>576</v>
      </c>
      <c r="D173" s="2" t="s">
        <v>577</v>
      </c>
      <c r="E173" t="s">
        <v>578</v>
      </c>
      <c r="F173" t="s">
        <v>26</v>
      </c>
      <c r="G173" t="s">
        <v>27</v>
      </c>
      <c r="H173" t="s">
        <v>159</v>
      </c>
      <c r="I173" t="s">
        <v>20</v>
      </c>
      <c r="J173" t="s">
        <v>35</v>
      </c>
      <c r="K173" s="2" t="s">
        <v>579</v>
      </c>
      <c r="L173" t="s">
        <v>30</v>
      </c>
      <c r="M173">
        <v>24900</v>
      </c>
      <c r="N173">
        <v>-1</v>
      </c>
      <c r="O173" s="3">
        <v>-34990</v>
      </c>
      <c r="P173" s="3">
        <v>27342</v>
      </c>
      <c r="Q173" s="6">
        <f t="shared" si="7"/>
        <v>-29403.361344537818</v>
      </c>
      <c r="R173" s="6">
        <f t="shared" si="8"/>
        <v>-27342</v>
      </c>
      <c r="S173" s="7">
        <f t="shared" si="9"/>
        <v>-2061.3613445378178</v>
      </c>
      <c r="T173" t="s">
        <v>730</v>
      </c>
    </row>
    <row r="174" spans="1:20" x14ac:dyDescent="0.3">
      <c r="A174">
        <v>300</v>
      </c>
      <c r="B174" t="s">
        <v>16</v>
      </c>
      <c r="C174">
        <v>1687976791</v>
      </c>
      <c r="D174" s="2" t="s">
        <v>580</v>
      </c>
      <c r="E174" t="s">
        <v>581</v>
      </c>
      <c r="F174" t="s">
        <v>581</v>
      </c>
      <c r="G174" t="s">
        <v>582</v>
      </c>
      <c r="H174" t="s">
        <v>582</v>
      </c>
      <c r="I174" t="s">
        <v>20</v>
      </c>
      <c r="J174" t="s">
        <v>582</v>
      </c>
      <c r="K174" s="2" t="s">
        <v>579</v>
      </c>
      <c r="L174" t="s">
        <v>30</v>
      </c>
      <c r="M174">
        <v>24900</v>
      </c>
      <c r="N174">
        <v>-1</v>
      </c>
      <c r="O174" s="3">
        <v>-3200</v>
      </c>
      <c r="P174">
        <v>1</v>
      </c>
      <c r="Q174" s="6">
        <f t="shared" si="7"/>
        <v>-2689.0756302521008</v>
      </c>
      <c r="R174" s="6">
        <f t="shared" si="8"/>
        <v>-1</v>
      </c>
      <c r="S174" s="7">
        <f t="shared" si="9"/>
        <v>-2688.0756302521008</v>
      </c>
      <c r="T174" t="s">
        <v>730</v>
      </c>
    </row>
    <row r="175" spans="1:20" x14ac:dyDescent="0.3">
      <c r="A175">
        <v>300</v>
      </c>
      <c r="B175" t="s">
        <v>16</v>
      </c>
      <c r="C175" t="s">
        <v>583</v>
      </c>
      <c r="D175" s="2" t="s">
        <v>584</v>
      </c>
      <c r="E175" t="s">
        <v>585</v>
      </c>
      <c r="F175" t="s">
        <v>26</v>
      </c>
      <c r="G175" t="s">
        <v>27</v>
      </c>
      <c r="H175" t="s">
        <v>151</v>
      </c>
      <c r="I175" t="s">
        <v>20</v>
      </c>
      <c r="J175" t="s">
        <v>35</v>
      </c>
      <c r="K175" s="2" t="s">
        <v>586</v>
      </c>
      <c r="L175" t="s">
        <v>30</v>
      </c>
      <c r="M175">
        <v>24901</v>
      </c>
      <c r="N175">
        <v>-1</v>
      </c>
      <c r="O175" s="3">
        <v>-48990</v>
      </c>
      <c r="P175" s="3">
        <v>23387</v>
      </c>
      <c r="Q175" s="6">
        <f t="shared" si="7"/>
        <v>-41168.067226890758</v>
      </c>
      <c r="R175" s="6">
        <f t="shared" si="8"/>
        <v>-23387</v>
      </c>
      <c r="S175" s="7">
        <f t="shared" si="9"/>
        <v>-17781.067226890758</v>
      </c>
      <c r="T175" t="s">
        <v>730</v>
      </c>
    </row>
    <row r="176" spans="1:20" x14ac:dyDescent="0.3">
      <c r="A176">
        <v>300</v>
      </c>
      <c r="B176" t="s">
        <v>16</v>
      </c>
      <c r="C176" t="s">
        <v>587</v>
      </c>
      <c r="D176" s="2" t="s">
        <v>588</v>
      </c>
      <c r="E176" t="s">
        <v>589</v>
      </c>
      <c r="F176" t="s">
        <v>26</v>
      </c>
      <c r="G176" t="s">
        <v>27</v>
      </c>
      <c r="H176" t="s">
        <v>147</v>
      </c>
      <c r="I176" t="s">
        <v>20</v>
      </c>
      <c r="J176" t="s">
        <v>35</v>
      </c>
      <c r="K176" s="2" t="s">
        <v>586</v>
      </c>
      <c r="L176" t="s">
        <v>30</v>
      </c>
      <c r="M176">
        <v>24902</v>
      </c>
      <c r="N176">
        <v>-1</v>
      </c>
      <c r="O176" s="3">
        <v>-48990</v>
      </c>
      <c r="P176" s="3">
        <v>28703</v>
      </c>
      <c r="Q176" s="6">
        <f t="shared" si="7"/>
        <v>-41168.067226890758</v>
      </c>
      <c r="R176" s="6">
        <f t="shared" si="8"/>
        <v>-28703</v>
      </c>
      <c r="S176" s="7">
        <f t="shared" si="9"/>
        <v>-12465.067226890758</v>
      </c>
      <c r="T176" t="s">
        <v>730</v>
      </c>
    </row>
    <row r="177" spans="1:20" x14ac:dyDescent="0.3">
      <c r="A177">
        <v>300</v>
      </c>
      <c r="B177" t="s">
        <v>16</v>
      </c>
      <c r="C177" t="s">
        <v>590</v>
      </c>
      <c r="D177" s="2" t="s">
        <v>591</v>
      </c>
      <c r="E177" t="s">
        <v>592</v>
      </c>
      <c r="F177" t="s">
        <v>26</v>
      </c>
      <c r="G177" t="s">
        <v>27</v>
      </c>
      <c r="H177" t="s">
        <v>375</v>
      </c>
      <c r="I177" t="s">
        <v>20</v>
      </c>
      <c r="J177" t="s">
        <v>50</v>
      </c>
      <c r="K177" s="2" t="s">
        <v>586</v>
      </c>
      <c r="L177" t="s">
        <v>30</v>
      </c>
      <c r="M177">
        <v>24906</v>
      </c>
      <c r="N177">
        <v>-1</v>
      </c>
      <c r="O177" s="3">
        <v>-51990</v>
      </c>
      <c r="P177" s="3">
        <v>32207</v>
      </c>
      <c r="Q177" s="6">
        <f t="shared" si="7"/>
        <v>-43689.075630252104</v>
      </c>
      <c r="R177" s="6">
        <f t="shared" si="8"/>
        <v>-32207</v>
      </c>
      <c r="S177" s="7">
        <f t="shared" si="9"/>
        <v>-11482.075630252104</v>
      </c>
      <c r="T177" t="s">
        <v>730</v>
      </c>
    </row>
    <row r="178" spans="1:20" x14ac:dyDescent="0.3">
      <c r="A178">
        <v>300</v>
      </c>
      <c r="B178" t="s">
        <v>16</v>
      </c>
      <c r="C178" t="s">
        <v>593</v>
      </c>
      <c r="D178" s="2" t="s">
        <v>594</v>
      </c>
      <c r="E178" t="s">
        <v>595</v>
      </c>
      <c r="F178" t="s">
        <v>26</v>
      </c>
      <c r="G178" t="s">
        <v>27</v>
      </c>
      <c r="H178" t="s">
        <v>125</v>
      </c>
      <c r="I178" t="s">
        <v>20</v>
      </c>
      <c r="J178" t="s">
        <v>29</v>
      </c>
      <c r="K178" s="2" t="s">
        <v>586</v>
      </c>
      <c r="L178" t="s">
        <v>30</v>
      </c>
      <c r="M178">
        <v>24907</v>
      </c>
      <c r="N178">
        <v>-1</v>
      </c>
      <c r="O178" s="3">
        <v>-41990</v>
      </c>
      <c r="P178" s="3">
        <v>15398</v>
      </c>
      <c r="Q178" s="6">
        <f t="shared" si="7"/>
        <v>-35285.71428571429</v>
      </c>
      <c r="R178" s="6">
        <f t="shared" si="8"/>
        <v>-15398</v>
      </c>
      <c r="S178" s="7">
        <f t="shared" si="9"/>
        <v>-19887.71428571429</v>
      </c>
      <c r="T178" t="s">
        <v>730</v>
      </c>
    </row>
    <row r="179" spans="1:20" x14ac:dyDescent="0.3">
      <c r="A179">
        <v>300</v>
      </c>
      <c r="B179" t="s">
        <v>16</v>
      </c>
      <c r="C179" t="s">
        <v>596</v>
      </c>
      <c r="D179" s="2" t="s">
        <v>597</v>
      </c>
      <c r="E179" t="s">
        <v>598</v>
      </c>
      <c r="F179" t="s">
        <v>26</v>
      </c>
      <c r="G179" t="s">
        <v>27</v>
      </c>
      <c r="H179" t="s">
        <v>113</v>
      </c>
      <c r="I179" t="s">
        <v>20</v>
      </c>
      <c r="J179" t="s">
        <v>44</v>
      </c>
      <c r="K179" s="2" t="s">
        <v>586</v>
      </c>
      <c r="L179" t="s">
        <v>30</v>
      </c>
      <c r="M179">
        <v>24908</v>
      </c>
      <c r="N179">
        <v>-1</v>
      </c>
      <c r="O179" s="3">
        <v>-48990</v>
      </c>
      <c r="P179" s="3">
        <v>20109</v>
      </c>
      <c r="Q179" s="6">
        <f t="shared" si="7"/>
        <v>-41168.067226890758</v>
      </c>
      <c r="R179" s="6">
        <f t="shared" si="8"/>
        <v>-20109</v>
      </c>
      <c r="S179" s="7">
        <f t="shared" si="9"/>
        <v>-21059.067226890758</v>
      </c>
      <c r="T179" t="s">
        <v>730</v>
      </c>
    </row>
    <row r="180" spans="1:20" x14ac:dyDescent="0.3">
      <c r="A180">
        <v>300</v>
      </c>
      <c r="B180" t="s">
        <v>16</v>
      </c>
      <c r="C180" t="s">
        <v>599</v>
      </c>
      <c r="D180" s="2" t="s">
        <v>600</v>
      </c>
      <c r="E180" t="s">
        <v>601</v>
      </c>
      <c r="F180" t="s">
        <v>26</v>
      </c>
      <c r="G180" t="s">
        <v>27</v>
      </c>
      <c r="H180" t="s">
        <v>331</v>
      </c>
      <c r="I180" t="s">
        <v>20</v>
      </c>
      <c r="J180" t="s">
        <v>35</v>
      </c>
      <c r="K180" s="2" t="s">
        <v>586</v>
      </c>
      <c r="L180" t="s">
        <v>30</v>
      </c>
      <c r="M180">
        <v>24909</v>
      </c>
      <c r="N180">
        <v>-1</v>
      </c>
      <c r="O180" s="3">
        <v>-74950</v>
      </c>
      <c r="P180" s="3">
        <v>27922</v>
      </c>
      <c r="Q180" s="6">
        <f t="shared" si="7"/>
        <v>-62983.193277310929</v>
      </c>
      <c r="R180" s="6">
        <f t="shared" si="8"/>
        <v>-27922</v>
      </c>
      <c r="S180" s="7">
        <f t="shared" si="9"/>
        <v>-35061.193277310929</v>
      </c>
      <c r="T180" t="s">
        <v>730</v>
      </c>
    </row>
    <row r="181" spans="1:20" x14ac:dyDescent="0.3">
      <c r="A181">
        <v>300</v>
      </c>
      <c r="B181" t="s">
        <v>16</v>
      </c>
      <c r="C181" t="s">
        <v>602</v>
      </c>
      <c r="D181" s="2" t="s">
        <v>603</v>
      </c>
      <c r="E181" t="s">
        <v>604</v>
      </c>
      <c r="F181" t="s">
        <v>26</v>
      </c>
      <c r="G181" t="s">
        <v>27</v>
      </c>
      <c r="H181" t="s">
        <v>605</v>
      </c>
      <c r="I181" t="s">
        <v>20</v>
      </c>
      <c r="J181" t="s">
        <v>50</v>
      </c>
      <c r="K181" s="2" t="s">
        <v>586</v>
      </c>
      <c r="L181" t="s">
        <v>30</v>
      </c>
      <c r="M181">
        <v>24910</v>
      </c>
      <c r="N181">
        <v>-1</v>
      </c>
      <c r="O181" s="3">
        <v>-48990</v>
      </c>
      <c r="P181" s="3">
        <v>21838</v>
      </c>
      <c r="Q181" s="6">
        <f t="shared" si="7"/>
        <v>-41168.067226890758</v>
      </c>
      <c r="R181" s="6">
        <f t="shared" si="8"/>
        <v>-21838</v>
      </c>
      <c r="S181" s="7">
        <f t="shared" si="9"/>
        <v>-19330.067226890758</v>
      </c>
      <c r="T181" t="s">
        <v>730</v>
      </c>
    </row>
    <row r="182" spans="1:20" x14ac:dyDescent="0.3">
      <c r="A182">
        <v>300</v>
      </c>
      <c r="B182" t="s">
        <v>16</v>
      </c>
      <c r="C182" t="s">
        <v>606</v>
      </c>
      <c r="D182" s="2" t="s">
        <v>607</v>
      </c>
      <c r="E182" t="s">
        <v>608</v>
      </c>
      <c r="F182" t="s">
        <v>26</v>
      </c>
      <c r="G182" t="s">
        <v>27</v>
      </c>
      <c r="H182" t="s">
        <v>43</v>
      </c>
      <c r="I182" t="s">
        <v>20</v>
      </c>
      <c r="J182" t="s">
        <v>44</v>
      </c>
      <c r="K182" s="2" t="s">
        <v>586</v>
      </c>
      <c r="L182" t="s">
        <v>30</v>
      </c>
      <c r="M182">
        <v>24911</v>
      </c>
      <c r="N182">
        <v>-1</v>
      </c>
      <c r="O182" s="3">
        <v>-48990</v>
      </c>
      <c r="P182" s="3">
        <v>25521</v>
      </c>
      <c r="Q182" s="6">
        <f t="shared" si="7"/>
        <v>-41168.067226890758</v>
      </c>
      <c r="R182" s="6">
        <f t="shared" si="8"/>
        <v>-25521</v>
      </c>
      <c r="S182" s="7">
        <f t="shared" si="9"/>
        <v>-15647.067226890758</v>
      </c>
      <c r="T182" t="s">
        <v>730</v>
      </c>
    </row>
    <row r="183" spans="1:20" x14ac:dyDescent="0.3">
      <c r="A183">
        <v>300</v>
      </c>
      <c r="B183" t="s">
        <v>16</v>
      </c>
      <c r="C183" t="s">
        <v>609</v>
      </c>
      <c r="D183" s="2" t="s">
        <v>610</v>
      </c>
      <c r="E183" t="s">
        <v>611</v>
      </c>
      <c r="F183" t="s">
        <v>26</v>
      </c>
      <c r="G183" t="s">
        <v>27</v>
      </c>
      <c r="H183" t="s">
        <v>182</v>
      </c>
      <c r="I183" t="s">
        <v>20</v>
      </c>
      <c r="J183" t="s">
        <v>50</v>
      </c>
      <c r="K183" s="2" t="s">
        <v>586</v>
      </c>
      <c r="L183" t="s">
        <v>30</v>
      </c>
      <c r="M183">
        <v>24912</v>
      </c>
      <c r="N183">
        <v>-1</v>
      </c>
      <c r="O183" s="3">
        <v>-48990</v>
      </c>
      <c r="P183" s="3">
        <v>27137</v>
      </c>
      <c r="Q183" s="6">
        <f t="shared" si="7"/>
        <v>-41168.067226890758</v>
      </c>
      <c r="R183" s="6">
        <f t="shared" si="8"/>
        <v>-27137</v>
      </c>
      <c r="S183" s="7">
        <f t="shared" si="9"/>
        <v>-14031.067226890758</v>
      </c>
      <c r="T183" t="s">
        <v>730</v>
      </c>
    </row>
    <row r="184" spans="1:20" x14ac:dyDescent="0.3">
      <c r="A184">
        <v>300</v>
      </c>
      <c r="B184" t="s">
        <v>16</v>
      </c>
      <c r="C184" t="s">
        <v>612</v>
      </c>
      <c r="D184" s="2" t="s">
        <v>613</v>
      </c>
      <c r="E184" t="s">
        <v>447</v>
      </c>
      <c r="F184" t="s">
        <v>26</v>
      </c>
      <c r="G184" t="s">
        <v>27</v>
      </c>
      <c r="H184" t="s">
        <v>239</v>
      </c>
      <c r="I184" t="s">
        <v>20</v>
      </c>
      <c r="J184" t="s">
        <v>35</v>
      </c>
      <c r="K184" s="2" t="s">
        <v>586</v>
      </c>
      <c r="L184" t="s">
        <v>30</v>
      </c>
      <c r="M184">
        <v>24913</v>
      </c>
      <c r="N184">
        <v>-1</v>
      </c>
      <c r="O184" s="3">
        <v>-48990</v>
      </c>
      <c r="P184" s="3">
        <v>24212</v>
      </c>
      <c r="Q184" s="6">
        <f t="shared" si="7"/>
        <v>-41168.067226890758</v>
      </c>
      <c r="R184" s="6">
        <f t="shared" si="8"/>
        <v>-24212</v>
      </c>
      <c r="S184" s="7">
        <f t="shared" si="9"/>
        <v>-16956.067226890758</v>
      </c>
      <c r="T184" t="s">
        <v>730</v>
      </c>
    </row>
    <row r="185" spans="1:20" x14ac:dyDescent="0.3">
      <c r="A185">
        <v>300</v>
      </c>
      <c r="B185" t="s">
        <v>16</v>
      </c>
      <c r="C185" t="s">
        <v>614</v>
      </c>
      <c r="D185" s="2" t="s">
        <v>615</v>
      </c>
      <c r="E185" t="s">
        <v>616</v>
      </c>
      <c r="F185" t="s">
        <v>26</v>
      </c>
      <c r="G185" t="s">
        <v>27</v>
      </c>
      <c r="H185" t="s">
        <v>399</v>
      </c>
      <c r="I185" t="s">
        <v>20</v>
      </c>
      <c r="J185" t="s">
        <v>35</v>
      </c>
      <c r="K185" s="2" t="s">
        <v>586</v>
      </c>
      <c r="L185" t="s">
        <v>30</v>
      </c>
      <c r="M185">
        <v>24914</v>
      </c>
      <c r="N185">
        <v>-1</v>
      </c>
      <c r="O185" s="3">
        <v>-48990</v>
      </c>
      <c r="P185" s="3">
        <v>22849</v>
      </c>
      <c r="Q185" s="6">
        <f t="shared" si="7"/>
        <v>-41168.067226890758</v>
      </c>
      <c r="R185" s="6">
        <f t="shared" si="8"/>
        <v>-22849</v>
      </c>
      <c r="S185" s="7">
        <f t="shared" si="9"/>
        <v>-18319.067226890758</v>
      </c>
      <c r="T185" t="s">
        <v>730</v>
      </c>
    </row>
    <row r="186" spans="1:20" x14ac:dyDescent="0.3">
      <c r="A186">
        <v>300</v>
      </c>
      <c r="B186" t="s">
        <v>16</v>
      </c>
      <c r="C186" t="s">
        <v>303</v>
      </c>
      <c r="D186" s="2" t="s">
        <v>304</v>
      </c>
      <c r="E186" t="s">
        <v>78</v>
      </c>
      <c r="F186" t="s">
        <v>26</v>
      </c>
      <c r="G186" t="s">
        <v>27</v>
      </c>
      <c r="H186" t="s">
        <v>79</v>
      </c>
      <c r="I186" t="s">
        <v>20</v>
      </c>
      <c r="J186" t="s">
        <v>50</v>
      </c>
      <c r="K186" s="2" t="s">
        <v>586</v>
      </c>
      <c r="L186" t="s">
        <v>30</v>
      </c>
      <c r="M186">
        <v>24915</v>
      </c>
      <c r="N186">
        <v>-1</v>
      </c>
      <c r="O186" s="3">
        <v>-49990</v>
      </c>
      <c r="P186" s="3">
        <v>28053</v>
      </c>
      <c r="Q186" s="6">
        <f t="shared" si="7"/>
        <v>-42008.403361344543</v>
      </c>
      <c r="R186" s="6">
        <f t="shared" si="8"/>
        <v>-28053</v>
      </c>
      <c r="S186" s="7">
        <f t="shared" si="9"/>
        <v>-13955.403361344543</v>
      </c>
      <c r="T186" t="s">
        <v>730</v>
      </c>
    </row>
    <row r="187" spans="1:20" x14ac:dyDescent="0.3">
      <c r="A187">
        <v>300</v>
      </c>
      <c r="B187" t="s">
        <v>16</v>
      </c>
      <c r="C187" t="s">
        <v>617</v>
      </c>
      <c r="D187" s="2" t="s">
        <v>618</v>
      </c>
      <c r="E187" t="s">
        <v>619</v>
      </c>
      <c r="F187" t="s">
        <v>26</v>
      </c>
      <c r="G187" t="s">
        <v>27</v>
      </c>
      <c r="H187" t="s">
        <v>620</v>
      </c>
      <c r="I187" t="s">
        <v>20</v>
      </c>
      <c r="J187" t="s">
        <v>29</v>
      </c>
      <c r="K187" s="2" t="s">
        <v>586</v>
      </c>
      <c r="L187" t="s">
        <v>30</v>
      </c>
      <c r="M187">
        <v>24916</v>
      </c>
      <c r="N187">
        <v>-1</v>
      </c>
      <c r="O187" s="3">
        <v>-45990</v>
      </c>
      <c r="P187" s="3">
        <v>13328</v>
      </c>
      <c r="Q187" s="6">
        <f t="shared" si="7"/>
        <v>-38647.058823529413</v>
      </c>
      <c r="R187" s="6">
        <f t="shared" si="8"/>
        <v>-13328</v>
      </c>
      <c r="S187" s="7">
        <f t="shared" si="9"/>
        <v>-25319.058823529413</v>
      </c>
      <c r="T187" t="s">
        <v>730</v>
      </c>
    </row>
    <row r="188" spans="1:20" x14ac:dyDescent="0.3">
      <c r="A188">
        <v>300</v>
      </c>
      <c r="B188" t="s">
        <v>16</v>
      </c>
      <c r="C188" t="s">
        <v>621</v>
      </c>
      <c r="D188" s="2" t="s">
        <v>622</v>
      </c>
      <c r="E188" t="s">
        <v>450</v>
      </c>
      <c r="F188" t="s">
        <v>26</v>
      </c>
      <c r="G188" t="s">
        <v>27</v>
      </c>
      <c r="H188" t="s">
        <v>43</v>
      </c>
      <c r="I188" t="s">
        <v>20</v>
      </c>
      <c r="J188" t="s">
        <v>44</v>
      </c>
      <c r="K188" s="2" t="s">
        <v>586</v>
      </c>
      <c r="L188" t="s">
        <v>30</v>
      </c>
      <c r="M188">
        <v>24917</v>
      </c>
      <c r="N188">
        <v>-1</v>
      </c>
      <c r="O188" s="3">
        <v>-48990</v>
      </c>
      <c r="P188" s="3">
        <v>25439</v>
      </c>
      <c r="Q188" s="6">
        <f t="shared" si="7"/>
        <v>-41168.067226890758</v>
      </c>
      <c r="R188" s="6">
        <f t="shared" si="8"/>
        <v>-25439</v>
      </c>
      <c r="S188" s="7">
        <f t="shared" si="9"/>
        <v>-15729.067226890758</v>
      </c>
      <c r="T188" t="s">
        <v>730</v>
      </c>
    </row>
    <row r="189" spans="1:20" x14ac:dyDescent="0.3">
      <c r="A189">
        <v>300</v>
      </c>
      <c r="B189" t="s">
        <v>16</v>
      </c>
      <c r="C189" t="s">
        <v>623</v>
      </c>
      <c r="D189" s="2" t="s">
        <v>624</v>
      </c>
      <c r="E189" t="s">
        <v>625</v>
      </c>
      <c r="F189" t="s">
        <v>26</v>
      </c>
      <c r="G189" t="s">
        <v>27</v>
      </c>
      <c r="H189" t="s">
        <v>626</v>
      </c>
      <c r="I189" t="s">
        <v>20</v>
      </c>
      <c r="J189" t="s">
        <v>29</v>
      </c>
      <c r="K189" s="2" t="s">
        <v>627</v>
      </c>
      <c r="L189" t="s">
        <v>30</v>
      </c>
      <c r="M189">
        <v>24921</v>
      </c>
      <c r="N189">
        <v>-1</v>
      </c>
      <c r="O189" s="3">
        <v>-34990</v>
      </c>
      <c r="P189" s="3">
        <v>15368</v>
      </c>
      <c r="Q189" s="6">
        <f t="shared" si="7"/>
        <v>-29403.361344537818</v>
      </c>
      <c r="R189" s="6">
        <f t="shared" si="8"/>
        <v>-15368</v>
      </c>
      <c r="S189" s="7">
        <f t="shared" si="9"/>
        <v>-14035.361344537818</v>
      </c>
      <c r="T189" t="s">
        <v>730</v>
      </c>
    </row>
    <row r="190" spans="1:20" x14ac:dyDescent="0.3">
      <c r="A190">
        <v>300</v>
      </c>
      <c r="B190" t="s">
        <v>16</v>
      </c>
      <c r="C190" t="s">
        <v>628</v>
      </c>
      <c r="D190" s="2" t="s">
        <v>629</v>
      </c>
      <c r="E190" t="s">
        <v>630</v>
      </c>
      <c r="F190" t="s">
        <v>26</v>
      </c>
      <c r="G190" t="s">
        <v>27</v>
      </c>
      <c r="H190" t="s">
        <v>631</v>
      </c>
      <c r="I190" t="s">
        <v>20</v>
      </c>
      <c r="J190" t="s">
        <v>29</v>
      </c>
      <c r="K190" s="2" t="s">
        <v>627</v>
      </c>
      <c r="L190" t="s">
        <v>30</v>
      </c>
      <c r="M190">
        <v>24922</v>
      </c>
      <c r="N190">
        <v>-1</v>
      </c>
      <c r="O190" s="3">
        <v>-48990</v>
      </c>
      <c r="P190" s="3">
        <v>23240</v>
      </c>
      <c r="Q190" s="6">
        <f t="shared" si="7"/>
        <v>-41168.067226890758</v>
      </c>
      <c r="R190" s="6">
        <f t="shared" si="8"/>
        <v>-23240</v>
      </c>
      <c r="S190" s="7">
        <f t="shared" si="9"/>
        <v>-17928.067226890758</v>
      </c>
      <c r="T190" t="s">
        <v>730</v>
      </c>
    </row>
    <row r="191" spans="1:20" x14ac:dyDescent="0.3">
      <c r="A191">
        <v>300</v>
      </c>
      <c r="B191" t="s">
        <v>16</v>
      </c>
      <c r="C191" t="s">
        <v>632</v>
      </c>
      <c r="D191" s="2" t="s">
        <v>633</v>
      </c>
      <c r="E191" t="s">
        <v>634</v>
      </c>
      <c r="F191" t="s">
        <v>26</v>
      </c>
      <c r="G191" t="s">
        <v>27</v>
      </c>
      <c r="H191" t="s">
        <v>635</v>
      </c>
      <c r="I191" t="s">
        <v>20</v>
      </c>
      <c r="J191" t="s">
        <v>29</v>
      </c>
      <c r="K191" s="2" t="s">
        <v>627</v>
      </c>
      <c r="L191" t="s">
        <v>30</v>
      </c>
      <c r="M191">
        <v>24923</v>
      </c>
      <c r="N191">
        <v>-1</v>
      </c>
      <c r="O191" s="3">
        <v>-29990</v>
      </c>
      <c r="P191" s="3">
        <v>17994</v>
      </c>
      <c r="Q191" s="6">
        <f t="shared" si="7"/>
        <v>-25201.680672268907</v>
      </c>
      <c r="R191" s="6">
        <f t="shared" si="8"/>
        <v>-17994</v>
      </c>
      <c r="S191" s="7">
        <f t="shared" si="9"/>
        <v>-7207.6806722689071</v>
      </c>
      <c r="T191" t="s">
        <v>730</v>
      </c>
    </row>
    <row r="192" spans="1:20" x14ac:dyDescent="0.3">
      <c r="A192">
        <v>300</v>
      </c>
      <c r="B192" t="s">
        <v>16</v>
      </c>
      <c r="C192" t="s">
        <v>636</v>
      </c>
      <c r="D192" s="2" t="s">
        <v>637</v>
      </c>
      <c r="E192" t="s">
        <v>638</v>
      </c>
      <c r="F192" t="s">
        <v>26</v>
      </c>
      <c r="G192" t="s">
        <v>27</v>
      </c>
      <c r="H192" t="s">
        <v>639</v>
      </c>
      <c r="I192" t="s">
        <v>20</v>
      </c>
      <c r="J192" t="s">
        <v>35</v>
      </c>
      <c r="K192" s="2" t="s">
        <v>627</v>
      </c>
      <c r="L192" t="s">
        <v>30</v>
      </c>
      <c r="M192">
        <v>24924</v>
      </c>
      <c r="N192">
        <v>-1</v>
      </c>
      <c r="O192" s="3">
        <v>-74950</v>
      </c>
      <c r="P192" s="3">
        <v>26125</v>
      </c>
      <c r="Q192" s="6">
        <f t="shared" si="7"/>
        <v>-62983.193277310929</v>
      </c>
      <c r="R192" s="6">
        <f t="shared" si="8"/>
        <v>-26125</v>
      </c>
      <c r="S192" s="7">
        <f t="shared" si="9"/>
        <v>-36858.193277310929</v>
      </c>
      <c r="T192" t="s">
        <v>730</v>
      </c>
    </row>
    <row r="193" spans="1:20" x14ac:dyDescent="0.3">
      <c r="A193">
        <v>300</v>
      </c>
      <c r="B193" t="s">
        <v>16</v>
      </c>
      <c r="C193" t="s">
        <v>640</v>
      </c>
      <c r="D193" s="2" t="s">
        <v>641</v>
      </c>
      <c r="E193" t="s">
        <v>634</v>
      </c>
      <c r="F193" t="s">
        <v>26</v>
      </c>
      <c r="G193" t="s">
        <v>27</v>
      </c>
      <c r="H193" t="s">
        <v>635</v>
      </c>
      <c r="I193" t="s">
        <v>20</v>
      </c>
      <c r="J193" t="s">
        <v>29</v>
      </c>
      <c r="K193" s="2" t="s">
        <v>627</v>
      </c>
      <c r="L193" t="s">
        <v>30</v>
      </c>
      <c r="M193">
        <v>24925</v>
      </c>
      <c r="N193">
        <v>-1</v>
      </c>
      <c r="O193" s="3">
        <v>-29990</v>
      </c>
      <c r="P193" s="3">
        <v>17994</v>
      </c>
      <c r="Q193" s="6">
        <f t="shared" si="7"/>
        <v>-25201.680672268907</v>
      </c>
      <c r="R193" s="6">
        <f t="shared" si="8"/>
        <v>-17994</v>
      </c>
      <c r="S193" s="7">
        <f t="shared" si="9"/>
        <v>-7207.6806722689071</v>
      </c>
      <c r="T193" t="s">
        <v>730</v>
      </c>
    </row>
    <row r="194" spans="1:20" x14ac:dyDescent="0.3">
      <c r="A194">
        <v>300</v>
      </c>
      <c r="B194" t="s">
        <v>16</v>
      </c>
      <c r="C194" t="s">
        <v>642</v>
      </c>
      <c r="D194" s="2" t="s">
        <v>643</v>
      </c>
      <c r="E194" t="s">
        <v>422</v>
      </c>
      <c r="F194" t="s">
        <v>26</v>
      </c>
      <c r="G194" t="s">
        <v>27</v>
      </c>
      <c r="H194" t="s">
        <v>308</v>
      </c>
      <c r="I194" t="s">
        <v>20</v>
      </c>
      <c r="J194" t="s">
        <v>35</v>
      </c>
      <c r="K194" s="2" t="s">
        <v>627</v>
      </c>
      <c r="L194" t="s">
        <v>30</v>
      </c>
      <c r="M194">
        <v>24926</v>
      </c>
      <c r="N194">
        <v>-1</v>
      </c>
      <c r="O194" s="3">
        <v>-34990</v>
      </c>
      <c r="P194" s="3">
        <v>26446</v>
      </c>
      <c r="Q194" s="6">
        <f t="shared" si="7"/>
        <v>-29403.361344537818</v>
      </c>
      <c r="R194" s="6">
        <f t="shared" si="8"/>
        <v>-26446</v>
      </c>
      <c r="S194" s="7">
        <f t="shared" si="9"/>
        <v>-2957.3613445378178</v>
      </c>
      <c r="T194" t="s">
        <v>730</v>
      </c>
    </row>
    <row r="195" spans="1:20" x14ac:dyDescent="0.3">
      <c r="A195">
        <v>300</v>
      </c>
      <c r="B195" t="s">
        <v>16</v>
      </c>
      <c r="C195" t="s">
        <v>349</v>
      </c>
      <c r="D195" s="2" t="s">
        <v>350</v>
      </c>
      <c r="E195" t="s">
        <v>351</v>
      </c>
      <c r="F195" t="s">
        <v>26</v>
      </c>
      <c r="G195" t="s">
        <v>27</v>
      </c>
      <c r="H195" t="s">
        <v>232</v>
      </c>
      <c r="I195" t="s">
        <v>20</v>
      </c>
      <c r="J195" t="s">
        <v>50</v>
      </c>
      <c r="K195" s="2" t="s">
        <v>627</v>
      </c>
      <c r="L195" t="s">
        <v>30</v>
      </c>
      <c r="M195">
        <v>24927</v>
      </c>
      <c r="N195">
        <v>-1</v>
      </c>
      <c r="O195" s="3">
        <v>-48990</v>
      </c>
      <c r="P195" s="3">
        <v>25834</v>
      </c>
      <c r="Q195" s="6">
        <f t="shared" si="7"/>
        <v>-41168.067226890758</v>
      </c>
      <c r="R195" s="6">
        <f t="shared" si="8"/>
        <v>-25834</v>
      </c>
      <c r="S195" s="7">
        <f t="shared" si="9"/>
        <v>-15334.067226890758</v>
      </c>
      <c r="T195" t="s">
        <v>730</v>
      </c>
    </row>
    <row r="196" spans="1:20" x14ac:dyDescent="0.3">
      <c r="A196">
        <v>300</v>
      </c>
      <c r="B196" t="s">
        <v>16</v>
      </c>
      <c r="C196" t="s">
        <v>644</v>
      </c>
      <c r="D196" s="2" t="s">
        <v>645</v>
      </c>
      <c r="E196" t="s">
        <v>646</v>
      </c>
      <c r="F196" t="s">
        <v>26</v>
      </c>
      <c r="G196" t="s">
        <v>27</v>
      </c>
      <c r="H196" t="s">
        <v>462</v>
      </c>
      <c r="I196" t="s">
        <v>20</v>
      </c>
      <c r="J196" t="s">
        <v>29</v>
      </c>
      <c r="K196" s="2" t="s">
        <v>627</v>
      </c>
      <c r="L196" t="s">
        <v>30</v>
      </c>
      <c r="M196">
        <v>24928</v>
      </c>
      <c r="N196">
        <v>-1</v>
      </c>
      <c r="O196" s="3">
        <v>-31990</v>
      </c>
      <c r="P196" s="3">
        <v>14950</v>
      </c>
      <c r="Q196" s="6">
        <f t="shared" si="7"/>
        <v>-26882.352941176472</v>
      </c>
      <c r="R196" s="6">
        <f t="shared" si="8"/>
        <v>-14950</v>
      </c>
      <c r="S196" s="7">
        <f t="shared" si="9"/>
        <v>-11932.352941176472</v>
      </c>
      <c r="T196" t="s">
        <v>730</v>
      </c>
    </row>
    <row r="197" spans="1:20" x14ac:dyDescent="0.3">
      <c r="A197">
        <v>300</v>
      </c>
      <c r="B197" t="s">
        <v>16</v>
      </c>
      <c r="C197" t="s">
        <v>379</v>
      </c>
      <c r="D197" s="2" t="s">
        <v>380</v>
      </c>
      <c r="E197" t="s">
        <v>381</v>
      </c>
      <c r="F197" t="s">
        <v>26</v>
      </c>
      <c r="G197" t="s">
        <v>27</v>
      </c>
      <c r="H197" t="s">
        <v>382</v>
      </c>
      <c r="I197" t="s">
        <v>20</v>
      </c>
      <c r="J197" t="s">
        <v>44</v>
      </c>
      <c r="K197" s="2" t="s">
        <v>627</v>
      </c>
      <c r="L197" t="s">
        <v>30</v>
      </c>
      <c r="M197">
        <v>24929</v>
      </c>
      <c r="N197">
        <v>-1</v>
      </c>
      <c r="O197" s="3">
        <v>-48990</v>
      </c>
      <c r="P197" s="3">
        <v>25873</v>
      </c>
      <c r="Q197" s="6">
        <f t="shared" si="7"/>
        <v>-41168.067226890758</v>
      </c>
      <c r="R197" s="6">
        <f t="shared" si="8"/>
        <v>-25873</v>
      </c>
      <c r="S197" s="7">
        <f t="shared" si="9"/>
        <v>-15295.067226890758</v>
      </c>
      <c r="T197" t="s">
        <v>730</v>
      </c>
    </row>
    <row r="198" spans="1:20" x14ac:dyDescent="0.3">
      <c r="A198">
        <v>300</v>
      </c>
      <c r="B198" t="s">
        <v>16</v>
      </c>
      <c r="C198" t="s">
        <v>647</v>
      </c>
      <c r="D198" s="2" t="s">
        <v>648</v>
      </c>
      <c r="E198" t="s">
        <v>649</v>
      </c>
      <c r="F198" t="s">
        <v>26</v>
      </c>
      <c r="G198" t="s">
        <v>27</v>
      </c>
      <c r="H198" t="s">
        <v>252</v>
      </c>
      <c r="I198" t="s">
        <v>20</v>
      </c>
      <c r="J198" t="s">
        <v>35</v>
      </c>
      <c r="K198" s="2" t="s">
        <v>627</v>
      </c>
      <c r="L198" t="s">
        <v>30</v>
      </c>
      <c r="M198">
        <v>24930</v>
      </c>
      <c r="N198">
        <v>-1</v>
      </c>
      <c r="O198" s="3">
        <v>-29990</v>
      </c>
      <c r="P198" s="3">
        <v>25042</v>
      </c>
      <c r="Q198" s="6">
        <f t="shared" ref="Q198:Q225" si="10">O198/1.19</f>
        <v>-25201.680672268907</v>
      </c>
      <c r="R198" s="6">
        <f t="shared" ref="R198:R225" si="11">N198*P198</f>
        <v>-25042</v>
      </c>
      <c r="S198" s="7">
        <f t="shared" ref="S198:S225" si="12">Q198-R198</f>
        <v>-159.68067226890707</v>
      </c>
      <c r="T198" t="s">
        <v>730</v>
      </c>
    </row>
    <row r="199" spans="1:20" x14ac:dyDescent="0.3">
      <c r="A199">
        <v>300</v>
      </c>
      <c r="B199" t="s">
        <v>16</v>
      </c>
      <c r="C199" t="s">
        <v>650</v>
      </c>
      <c r="D199" s="2" t="s">
        <v>651</v>
      </c>
      <c r="E199" t="s">
        <v>652</v>
      </c>
      <c r="F199" t="s">
        <v>26</v>
      </c>
      <c r="G199" t="s">
        <v>27</v>
      </c>
      <c r="H199" t="s">
        <v>653</v>
      </c>
      <c r="I199" t="s">
        <v>20</v>
      </c>
      <c r="J199" t="s">
        <v>35</v>
      </c>
      <c r="K199" s="2" t="s">
        <v>627</v>
      </c>
      <c r="L199" t="s">
        <v>30</v>
      </c>
      <c r="M199">
        <v>24931</v>
      </c>
      <c r="N199">
        <v>-1</v>
      </c>
      <c r="O199" s="3">
        <v>-48990</v>
      </c>
      <c r="P199" s="3">
        <v>25791</v>
      </c>
      <c r="Q199" s="6">
        <f t="shared" si="10"/>
        <v>-41168.067226890758</v>
      </c>
      <c r="R199" s="6">
        <f t="shared" si="11"/>
        <v>-25791</v>
      </c>
      <c r="S199" s="7">
        <f t="shared" si="12"/>
        <v>-15377.067226890758</v>
      </c>
      <c r="T199" t="s">
        <v>730</v>
      </c>
    </row>
    <row r="200" spans="1:20" x14ac:dyDescent="0.3">
      <c r="A200">
        <v>300</v>
      </c>
      <c r="B200" t="s">
        <v>16</v>
      </c>
      <c r="C200" t="s">
        <v>642</v>
      </c>
      <c r="D200" s="2" t="s">
        <v>643</v>
      </c>
      <c r="E200" t="s">
        <v>422</v>
      </c>
      <c r="F200" t="s">
        <v>26</v>
      </c>
      <c r="G200" t="s">
        <v>27</v>
      </c>
      <c r="H200" t="s">
        <v>308</v>
      </c>
      <c r="I200" t="s">
        <v>20</v>
      </c>
      <c r="J200" t="s">
        <v>35</v>
      </c>
      <c r="K200" s="2" t="s">
        <v>627</v>
      </c>
      <c r="L200" t="s">
        <v>30</v>
      </c>
      <c r="M200">
        <v>24932</v>
      </c>
      <c r="N200">
        <v>-1</v>
      </c>
      <c r="O200" s="3">
        <v>-34990</v>
      </c>
      <c r="P200" s="3">
        <v>26446</v>
      </c>
      <c r="Q200" s="6">
        <f t="shared" si="10"/>
        <v>-29403.361344537818</v>
      </c>
      <c r="R200" s="6">
        <f t="shared" si="11"/>
        <v>-26446</v>
      </c>
      <c r="S200" s="7">
        <f t="shared" si="12"/>
        <v>-2957.3613445378178</v>
      </c>
      <c r="T200" t="s">
        <v>730</v>
      </c>
    </row>
    <row r="201" spans="1:20" x14ac:dyDescent="0.3">
      <c r="A201">
        <v>300</v>
      </c>
      <c r="B201" t="s">
        <v>16</v>
      </c>
      <c r="C201" t="s">
        <v>654</v>
      </c>
      <c r="D201" s="2" t="s">
        <v>655</v>
      </c>
      <c r="E201" t="s">
        <v>656</v>
      </c>
      <c r="F201" t="s">
        <v>26</v>
      </c>
      <c r="G201" t="s">
        <v>27</v>
      </c>
      <c r="H201" t="s">
        <v>239</v>
      </c>
      <c r="I201" t="s">
        <v>20</v>
      </c>
      <c r="J201" t="s">
        <v>35</v>
      </c>
      <c r="K201" s="2" t="s">
        <v>627</v>
      </c>
      <c r="L201" t="s">
        <v>30</v>
      </c>
      <c r="M201">
        <v>24932</v>
      </c>
      <c r="N201">
        <v>-1</v>
      </c>
      <c r="O201" s="3">
        <v>-36990</v>
      </c>
      <c r="P201" s="3">
        <v>29851</v>
      </c>
      <c r="Q201" s="6">
        <f t="shared" si="10"/>
        <v>-31084.033613445379</v>
      </c>
      <c r="R201" s="6">
        <f t="shared" si="11"/>
        <v>-29851</v>
      </c>
      <c r="S201" s="7">
        <f t="shared" si="12"/>
        <v>-1233.0336134453792</v>
      </c>
      <c r="T201" t="s">
        <v>730</v>
      </c>
    </row>
    <row r="202" spans="1:20" x14ac:dyDescent="0.3">
      <c r="A202">
        <v>300</v>
      </c>
      <c r="B202" t="s">
        <v>16</v>
      </c>
      <c r="C202" t="s">
        <v>657</v>
      </c>
      <c r="D202" s="2" t="s">
        <v>658</v>
      </c>
      <c r="E202" t="s">
        <v>659</v>
      </c>
      <c r="F202" t="s">
        <v>26</v>
      </c>
      <c r="G202" t="s">
        <v>27</v>
      </c>
      <c r="H202" t="s">
        <v>660</v>
      </c>
      <c r="I202" t="s">
        <v>20</v>
      </c>
      <c r="J202" t="s">
        <v>29</v>
      </c>
      <c r="K202" s="2" t="s">
        <v>627</v>
      </c>
      <c r="L202" t="s">
        <v>30</v>
      </c>
      <c r="M202">
        <v>24933</v>
      </c>
      <c r="N202">
        <v>-1</v>
      </c>
      <c r="O202" s="3">
        <v>-26990</v>
      </c>
      <c r="P202" s="3">
        <v>17954</v>
      </c>
      <c r="Q202" s="6">
        <f t="shared" si="10"/>
        <v>-22680.672268907565</v>
      </c>
      <c r="R202" s="6">
        <f t="shared" si="11"/>
        <v>-17954</v>
      </c>
      <c r="S202" s="7">
        <f t="shared" si="12"/>
        <v>-4726.672268907565</v>
      </c>
      <c r="T202" t="s">
        <v>730</v>
      </c>
    </row>
    <row r="203" spans="1:20" x14ac:dyDescent="0.3">
      <c r="A203">
        <v>300</v>
      </c>
      <c r="B203" t="s">
        <v>16</v>
      </c>
      <c r="C203" t="s">
        <v>661</v>
      </c>
      <c r="D203" s="2" t="s">
        <v>662</v>
      </c>
      <c r="E203" t="s">
        <v>663</v>
      </c>
      <c r="F203" t="s">
        <v>26</v>
      </c>
      <c r="G203" t="s">
        <v>27</v>
      </c>
      <c r="H203" t="s">
        <v>331</v>
      </c>
      <c r="I203" t="s">
        <v>20</v>
      </c>
      <c r="J203" t="s">
        <v>35</v>
      </c>
      <c r="K203" s="2" t="s">
        <v>627</v>
      </c>
      <c r="L203" t="s">
        <v>30</v>
      </c>
      <c r="M203">
        <v>24934</v>
      </c>
      <c r="N203">
        <v>-1</v>
      </c>
      <c r="O203" s="3">
        <v>-36990</v>
      </c>
      <c r="P203" s="3">
        <v>25347</v>
      </c>
      <c r="Q203" s="6">
        <f t="shared" si="10"/>
        <v>-31084.033613445379</v>
      </c>
      <c r="R203" s="6">
        <f t="shared" si="11"/>
        <v>-25347</v>
      </c>
      <c r="S203" s="7">
        <f t="shared" si="12"/>
        <v>-5737.0336134453792</v>
      </c>
      <c r="T203" t="s">
        <v>730</v>
      </c>
    </row>
    <row r="204" spans="1:20" x14ac:dyDescent="0.3">
      <c r="A204">
        <v>300</v>
      </c>
      <c r="B204" t="s">
        <v>16</v>
      </c>
      <c r="C204" t="s">
        <v>664</v>
      </c>
      <c r="D204" s="2" t="s">
        <v>665</v>
      </c>
      <c r="E204" t="s">
        <v>666</v>
      </c>
      <c r="F204" t="s">
        <v>26</v>
      </c>
      <c r="G204" t="s">
        <v>27</v>
      </c>
      <c r="H204" t="s">
        <v>631</v>
      </c>
      <c r="I204" t="s">
        <v>20</v>
      </c>
      <c r="J204" t="s">
        <v>29</v>
      </c>
      <c r="K204" s="2" t="s">
        <v>627</v>
      </c>
      <c r="L204" t="s">
        <v>30</v>
      </c>
      <c r="M204">
        <v>24935</v>
      </c>
      <c r="N204">
        <v>-1</v>
      </c>
      <c r="O204" s="3">
        <v>-48990</v>
      </c>
      <c r="P204" s="3">
        <v>22992</v>
      </c>
      <c r="Q204" s="6">
        <f t="shared" si="10"/>
        <v>-41168.067226890758</v>
      </c>
      <c r="R204" s="6">
        <f t="shared" si="11"/>
        <v>-22992</v>
      </c>
      <c r="S204" s="7">
        <f t="shared" si="12"/>
        <v>-18176.067226890758</v>
      </c>
      <c r="T204" t="s">
        <v>730</v>
      </c>
    </row>
    <row r="205" spans="1:20" x14ac:dyDescent="0.3">
      <c r="A205">
        <v>300</v>
      </c>
      <c r="B205" t="s">
        <v>16</v>
      </c>
      <c r="C205" t="s">
        <v>319</v>
      </c>
      <c r="D205" s="2" t="s">
        <v>320</v>
      </c>
      <c r="E205" t="s">
        <v>66</v>
      </c>
      <c r="F205" t="s">
        <v>26</v>
      </c>
      <c r="G205" t="s">
        <v>27</v>
      </c>
      <c r="H205" t="s">
        <v>67</v>
      </c>
      <c r="I205" t="s">
        <v>20</v>
      </c>
      <c r="J205" t="s">
        <v>63</v>
      </c>
      <c r="K205" s="2" t="s">
        <v>667</v>
      </c>
      <c r="L205" t="s">
        <v>30</v>
      </c>
      <c r="M205">
        <v>24942</v>
      </c>
      <c r="N205">
        <v>-1</v>
      </c>
      <c r="O205" s="3">
        <v>-32990</v>
      </c>
      <c r="P205" s="3">
        <v>20054</v>
      </c>
      <c r="Q205" s="6">
        <f t="shared" si="10"/>
        <v>-27722.689075630253</v>
      </c>
      <c r="R205" s="6">
        <f t="shared" si="11"/>
        <v>-20054</v>
      </c>
      <c r="S205" s="7">
        <f t="shared" si="12"/>
        <v>-7668.6890756302528</v>
      </c>
      <c r="T205" t="s">
        <v>730</v>
      </c>
    </row>
    <row r="206" spans="1:20" x14ac:dyDescent="0.3">
      <c r="A206">
        <v>300</v>
      </c>
      <c r="B206" t="s">
        <v>16</v>
      </c>
      <c r="C206" t="s">
        <v>668</v>
      </c>
      <c r="D206" s="2" t="s">
        <v>669</v>
      </c>
      <c r="E206" t="s">
        <v>670</v>
      </c>
      <c r="F206" t="s">
        <v>26</v>
      </c>
      <c r="G206" t="s">
        <v>27</v>
      </c>
      <c r="H206" t="s">
        <v>671</v>
      </c>
      <c r="I206" t="s">
        <v>20</v>
      </c>
      <c r="J206" t="s">
        <v>29</v>
      </c>
      <c r="K206" s="2" t="s">
        <v>667</v>
      </c>
      <c r="L206" t="s">
        <v>30</v>
      </c>
      <c r="M206">
        <v>24943</v>
      </c>
      <c r="N206">
        <v>-1</v>
      </c>
      <c r="O206" s="3">
        <v>-55990</v>
      </c>
      <c r="P206" s="3">
        <v>28049</v>
      </c>
      <c r="Q206" s="6">
        <f t="shared" si="10"/>
        <v>-47050.420168067227</v>
      </c>
      <c r="R206" s="6">
        <f t="shared" si="11"/>
        <v>-28049</v>
      </c>
      <c r="S206" s="7">
        <f t="shared" si="12"/>
        <v>-19001.420168067227</v>
      </c>
      <c r="T206" t="s">
        <v>730</v>
      </c>
    </row>
    <row r="207" spans="1:20" x14ac:dyDescent="0.3">
      <c r="A207">
        <v>300</v>
      </c>
      <c r="B207" t="s">
        <v>16</v>
      </c>
      <c r="C207" t="s">
        <v>672</v>
      </c>
      <c r="D207" s="2" t="s">
        <v>673</v>
      </c>
      <c r="E207" t="s">
        <v>674</v>
      </c>
      <c r="F207" t="s">
        <v>26</v>
      </c>
      <c r="G207" t="s">
        <v>27</v>
      </c>
      <c r="H207" t="s">
        <v>308</v>
      </c>
      <c r="I207" t="s">
        <v>20</v>
      </c>
      <c r="J207" t="s">
        <v>35</v>
      </c>
      <c r="K207" s="2" t="s">
        <v>667</v>
      </c>
      <c r="L207" t="s">
        <v>30</v>
      </c>
      <c r="M207">
        <v>24944</v>
      </c>
      <c r="N207">
        <v>-1</v>
      </c>
      <c r="O207" s="3">
        <v>-48990</v>
      </c>
      <c r="P207" s="3">
        <v>23643</v>
      </c>
      <c r="Q207" s="6">
        <f t="shared" si="10"/>
        <v>-41168.067226890758</v>
      </c>
      <c r="R207" s="6">
        <f t="shared" si="11"/>
        <v>-23643</v>
      </c>
      <c r="S207" s="7">
        <f t="shared" si="12"/>
        <v>-17525.067226890758</v>
      </c>
      <c r="T207" t="s">
        <v>730</v>
      </c>
    </row>
    <row r="208" spans="1:20" x14ac:dyDescent="0.3">
      <c r="A208">
        <v>300</v>
      </c>
      <c r="B208" t="s">
        <v>16</v>
      </c>
      <c r="C208" t="s">
        <v>675</v>
      </c>
      <c r="D208" s="2" t="s">
        <v>676</v>
      </c>
      <c r="E208" t="s">
        <v>677</v>
      </c>
      <c r="F208" t="s">
        <v>26</v>
      </c>
      <c r="G208" t="s">
        <v>27</v>
      </c>
      <c r="H208" t="s">
        <v>678</v>
      </c>
      <c r="I208" t="s">
        <v>20</v>
      </c>
      <c r="J208" t="s">
        <v>35</v>
      </c>
      <c r="K208" s="2" t="s">
        <v>667</v>
      </c>
      <c r="L208" t="s">
        <v>30</v>
      </c>
      <c r="M208">
        <v>24945</v>
      </c>
      <c r="N208">
        <v>-1</v>
      </c>
      <c r="O208" s="3">
        <v>-29990</v>
      </c>
      <c r="P208" s="3">
        <v>18740</v>
      </c>
      <c r="Q208" s="6">
        <f t="shared" si="10"/>
        <v>-25201.680672268907</v>
      </c>
      <c r="R208" s="6">
        <f t="shared" si="11"/>
        <v>-18740</v>
      </c>
      <c r="S208" s="7">
        <f t="shared" si="12"/>
        <v>-6461.6806722689071</v>
      </c>
      <c r="T208" t="s">
        <v>730</v>
      </c>
    </row>
    <row r="209" spans="1:20" x14ac:dyDescent="0.3">
      <c r="A209">
        <v>300</v>
      </c>
      <c r="B209" t="s">
        <v>16</v>
      </c>
      <c r="C209" t="s">
        <v>679</v>
      </c>
      <c r="D209" s="2" t="s">
        <v>680</v>
      </c>
      <c r="E209" t="s">
        <v>681</v>
      </c>
      <c r="F209" t="s">
        <v>26</v>
      </c>
      <c r="G209" t="s">
        <v>27</v>
      </c>
      <c r="H209" t="s">
        <v>682</v>
      </c>
      <c r="I209" t="s">
        <v>20</v>
      </c>
      <c r="J209" t="s">
        <v>29</v>
      </c>
      <c r="K209" s="2" t="s">
        <v>667</v>
      </c>
      <c r="L209" t="s">
        <v>30</v>
      </c>
      <c r="M209">
        <v>24946</v>
      </c>
      <c r="N209">
        <v>-1</v>
      </c>
      <c r="O209" s="3">
        <v>-34990</v>
      </c>
      <c r="P209" s="3">
        <v>25974</v>
      </c>
      <c r="Q209" s="6">
        <f t="shared" si="10"/>
        <v>-29403.361344537818</v>
      </c>
      <c r="R209" s="6">
        <f t="shared" si="11"/>
        <v>-25974</v>
      </c>
      <c r="S209" s="7">
        <f t="shared" si="12"/>
        <v>-3429.3613445378178</v>
      </c>
      <c r="T209" t="s">
        <v>730</v>
      </c>
    </row>
    <row r="210" spans="1:20" x14ac:dyDescent="0.3">
      <c r="A210">
        <v>300</v>
      </c>
      <c r="B210" t="s">
        <v>16</v>
      </c>
      <c r="C210" t="s">
        <v>683</v>
      </c>
      <c r="D210" s="2" t="s">
        <v>684</v>
      </c>
      <c r="E210" t="s">
        <v>422</v>
      </c>
      <c r="F210" t="s">
        <v>26</v>
      </c>
      <c r="G210" t="s">
        <v>27</v>
      </c>
      <c r="H210" t="s">
        <v>308</v>
      </c>
      <c r="I210" t="s">
        <v>20</v>
      </c>
      <c r="J210" t="s">
        <v>35</v>
      </c>
      <c r="K210" s="2" t="s">
        <v>667</v>
      </c>
      <c r="L210" t="s">
        <v>30</v>
      </c>
      <c r="M210">
        <v>24947</v>
      </c>
      <c r="N210">
        <v>-1</v>
      </c>
      <c r="O210" s="3">
        <v>-28990</v>
      </c>
      <c r="P210" s="3">
        <v>26377</v>
      </c>
      <c r="Q210" s="6">
        <f t="shared" si="10"/>
        <v>-24361.344537815126</v>
      </c>
      <c r="R210" s="6">
        <f t="shared" si="11"/>
        <v>-26377</v>
      </c>
      <c r="S210" s="7">
        <f t="shared" si="12"/>
        <v>2015.6554621848736</v>
      </c>
      <c r="T210" t="s">
        <v>730</v>
      </c>
    </row>
    <row r="211" spans="1:20" x14ac:dyDescent="0.3">
      <c r="A211">
        <v>300</v>
      </c>
      <c r="B211" t="s">
        <v>16</v>
      </c>
      <c r="C211" t="s">
        <v>685</v>
      </c>
      <c r="D211" s="2" t="s">
        <v>686</v>
      </c>
      <c r="E211" t="s">
        <v>687</v>
      </c>
      <c r="F211" t="s">
        <v>26</v>
      </c>
      <c r="G211" t="s">
        <v>27</v>
      </c>
      <c r="H211" t="s">
        <v>58</v>
      </c>
      <c r="I211" t="s">
        <v>20</v>
      </c>
      <c r="J211" t="s">
        <v>29</v>
      </c>
      <c r="K211" s="2" t="s">
        <v>667</v>
      </c>
      <c r="L211" t="s">
        <v>30</v>
      </c>
      <c r="M211">
        <v>24948</v>
      </c>
      <c r="N211">
        <v>-1</v>
      </c>
      <c r="O211" s="3">
        <v>-67455</v>
      </c>
      <c r="P211" s="3">
        <v>25232</v>
      </c>
      <c r="Q211" s="6">
        <f t="shared" si="10"/>
        <v>-56684.873949579836</v>
      </c>
      <c r="R211" s="6">
        <f t="shared" si="11"/>
        <v>-25232</v>
      </c>
      <c r="S211" s="7">
        <f t="shared" si="12"/>
        <v>-31452.873949579836</v>
      </c>
      <c r="T211" t="s">
        <v>730</v>
      </c>
    </row>
    <row r="212" spans="1:20" x14ac:dyDescent="0.3">
      <c r="A212">
        <v>300</v>
      </c>
      <c r="B212" t="s">
        <v>16</v>
      </c>
      <c r="C212" t="s">
        <v>688</v>
      </c>
      <c r="D212" s="2" t="s">
        <v>689</v>
      </c>
      <c r="E212" t="s">
        <v>497</v>
      </c>
      <c r="F212" t="s">
        <v>26</v>
      </c>
      <c r="G212" t="s">
        <v>27</v>
      </c>
      <c r="H212" t="s">
        <v>498</v>
      </c>
      <c r="I212" t="s">
        <v>20</v>
      </c>
      <c r="J212" t="s">
        <v>35</v>
      </c>
      <c r="K212" s="2" t="s">
        <v>667</v>
      </c>
      <c r="L212" t="s">
        <v>30</v>
      </c>
      <c r="M212">
        <v>24949</v>
      </c>
      <c r="N212">
        <v>-1</v>
      </c>
      <c r="O212" s="3">
        <v>-30990</v>
      </c>
      <c r="P212" s="3">
        <v>22901</v>
      </c>
      <c r="Q212" s="6">
        <f t="shared" si="10"/>
        <v>-26042.016806722691</v>
      </c>
      <c r="R212" s="6">
        <f t="shared" si="11"/>
        <v>-22901</v>
      </c>
      <c r="S212" s="7">
        <f t="shared" si="12"/>
        <v>-3141.0168067226914</v>
      </c>
      <c r="T212" t="s">
        <v>730</v>
      </c>
    </row>
    <row r="213" spans="1:20" x14ac:dyDescent="0.3">
      <c r="A213">
        <v>300</v>
      </c>
      <c r="B213" t="s">
        <v>16</v>
      </c>
      <c r="C213" t="s">
        <v>690</v>
      </c>
      <c r="D213" s="2" t="s">
        <v>691</v>
      </c>
      <c r="E213" t="s">
        <v>692</v>
      </c>
      <c r="F213" t="s">
        <v>26</v>
      </c>
      <c r="G213" t="s">
        <v>27</v>
      </c>
      <c r="H213" t="s">
        <v>266</v>
      </c>
      <c r="I213" t="s">
        <v>20</v>
      </c>
      <c r="J213" t="s">
        <v>35</v>
      </c>
      <c r="K213" s="2" t="s">
        <v>667</v>
      </c>
      <c r="L213" t="s">
        <v>30</v>
      </c>
      <c r="M213">
        <v>24949</v>
      </c>
      <c r="N213">
        <v>-1</v>
      </c>
      <c r="O213" s="3">
        <v>-45990</v>
      </c>
      <c r="P213" s="3">
        <v>29218</v>
      </c>
      <c r="Q213" s="6">
        <f t="shared" si="10"/>
        <v>-38647.058823529413</v>
      </c>
      <c r="R213" s="6">
        <f t="shared" si="11"/>
        <v>-29218</v>
      </c>
      <c r="S213" s="7">
        <f t="shared" si="12"/>
        <v>-9429.0588235294126</v>
      </c>
      <c r="T213" t="s">
        <v>730</v>
      </c>
    </row>
    <row r="214" spans="1:20" x14ac:dyDescent="0.3">
      <c r="A214">
        <v>300</v>
      </c>
      <c r="B214" t="s">
        <v>16</v>
      </c>
      <c r="C214" t="s">
        <v>495</v>
      </c>
      <c r="D214" s="2" t="s">
        <v>496</v>
      </c>
      <c r="E214" t="s">
        <v>497</v>
      </c>
      <c r="F214" t="s">
        <v>26</v>
      </c>
      <c r="G214" t="s">
        <v>27</v>
      </c>
      <c r="H214" t="s">
        <v>498</v>
      </c>
      <c r="I214" t="s">
        <v>20</v>
      </c>
      <c r="J214" t="s">
        <v>35</v>
      </c>
      <c r="K214" s="2" t="s">
        <v>667</v>
      </c>
      <c r="L214" t="s">
        <v>30</v>
      </c>
      <c r="M214">
        <v>24950</v>
      </c>
      <c r="N214">
        <v>-1</v>
      </c>
      <c r="O214" s="3">
        <v>-34990</v>
      </c>
      <c r="P214" s="3">
        <v>22779</v>
      </c>
      <c r="Q214" s="6">
        <f t="shared" si="10"/>
        <v>-29403.361344537818</v>
      </c>
      <c r="R214" s="6">
        <f t="shared" si="11"/>
        <v>-22779</v>
      </c>
      <c r="S214" s="7">
        <f t="shared" si="12"/>
        <v>-6624.3613445378178</v>
      </c>
      <c r="T214" t="s">
        <v>730</v>
      </c>
    </row>
    <row r="215" spans="1:20" x14ac:dyDescent="0.3">
      <c r="A215">
        <v>300</v>
      </c>
      <c r="B215" t="s">
        <v>16</v>
      </c>
      <c r="C215" t="s">
        <v>693</v>
      </c>
      <c r="D215" s="2" t="s">
        <v>694</v>
      </c>
      <c r="E215" t="s">
        <v>695</v>
      </c>
      <c r="F215" t="s">
        <v>26</v>
      </c>
      <c r="G215" t="s">
        <v>27</v>
      </c>
      <c r="H215" t="s">
        <v>189</v>
      </c>
      <c r="I215" t="s">
        <v>20</v>
      </c>
      <c r="J215" t="s">
        <v>50</v>
      </c>
      <c r="K215" s="2" t="s">
        <v>667</v>
      </c>
      <c r="L215" t="s">
        <v>30</v>
      </c>
      <c r="M215">
        <v>24951</v>
      </c>
      <c r="N215">
        <v>-1</v>
      </c>
      <c r="O215" s="3">
        <v>-44990</v>
      </c>
      <c r="P215" s="3">
        <v>32789</v>
      </c>
      <c r="Q215" s="6">
        <f t="shared" si="10"/>
        <v>-37806.722689075636</v>
      </c>
      <c r="R215" s="6">
        <f t="shared" si="11"/>
        <v>-32789</v>
      </c>
      <c r="S215" s="7">
        <f t="shared" si="12"/>
        <v>-5017.7226890756356</v>
      </c>
      <c r="T215" t="s">
        <v>730</v>
      </c>
    </row>
    <row r="216" spans="1:20" x14ac:dyDescent="0.3">
      <c r="A216">
        <v>300</v>
      </c>
      <c r="B216" t="s">
        <v>16</v>
      </c>
      <c r="C216" t="s">
        <v>696</v>
      </c>
      <c r="D216" s="2" t="s">
        <v>697</v>
      </c>
      <c r="E216" t="s">
        <v>698</v>
      </c>
      <c r="F216" t="s">
        <v>26</v>
      </c>
      <c r="G216" t="s">
        <v>27</v>
      </c>
      <c r="H216" t="s">
        <v>699</v>
      </c>
      <c r="I216" t="s">
        <v>20</v>
      </c>
      <c r="J216" t="s">
        <v>29</v>
      </c>
      <c r="K216" s="2" t="s">
        <v>667</v>
      </c>
      <c r="L216" t="s">
        <v>30</v>
      </c>
      <c r="M216">
        <v>24952</v>
      </c>
      <c r="N216">
        <v>-1</v>
      </c>
      <c r="O216" s="3">
        <v>-34990</v>
      </c>
      <c r="P216" s="3">
        <v>25499</v>
      </c>
      <c r="Q216" s="6">
        <f t="shared" si="10"/>
        <v>-29403.361344537818</v>
      </c>
      <c r="R216" s="6">
        <f t="shared" si="11"/>
        <v>-25499</v>
      </c>
      <c r="S216" s="7">
        <f t="shared" si="12"/>
        <v>-3904.3613445378178</v>
      </c>
      <c r="T216" t="s">
        <v>730</v>
      </c>
    </row>
    <row r="217" spans="1:20" x14ac:dyDescent="0.3">
      <c r="A217">
        <v>300</v>
      </c>
      <c r="B217" t="s">
        <v>16</v>
      </c>
      <c r="C217" t="s">
        <v>700</v>
      </c>
      <c r="D217" s="2" t="s">
        <v>701</v>
      </c>
      <c r="E217" t="s">
        <v>573</v>
      </c>
      <c r="F217" t="s">
        <v>26</v>
      </c>
      <c r="G217" t="s">
        <v>27</v>
      </c>
      <c r="H217" t="s">
        <v>454</v>
      </c>
      <c r="I217" t="s">
        <v>20</v>
      </c>
      <c r="J217" t="s">
        <v>44</v>
      </c>
      <c r="K217" s="2" t="s">
        <v>667</v>
      </c>
      <c r="L217" t="s">
        <v>30</v>
      </c>
      <c r="M217">
        <v>24953</v>
      </c>
      <c r="N217">
        <v>-1</v>
      </c>
      <c r="O217" s="3">
        <v>-49990</v>
      </c>
      <c r="P217" s="3">
        <v>20699</v>
      </c>
      <c r="Q217" s="6">
        <f t="shared" si="10"/>
        <v>-42008.403361344543</v>
      </c>
      <c r="R217" s="6">
        <f t="shared" si="11"/>
        <v>-20699</v>
      </c>
      <c r="S217" s="7">
        <f t="shared" si="12"/>
        <v>-21309.403361344543</v>
      </c>
      <c r="T217" t="s">
        <v>730</v>
      </c>
    </row>
    <row r="218" spans="1:20" x14ac:dyDescent="0.3">
      <c r="A218">
        <v>300</v>
      </c>
      <c r="B218" t="s">
        <v>16</v>
      </c>
      <c r="C218" t="s">
        <v>702</v>
      </c>
      <c r="D218" s="2" t="s">
        <v>703</v>
      </c>
      <c r="E218" t="s">
        <v>269</v>
      </c>
      <c r="F218" t="s">
        <v>26</v>
      </c>
      <c r="G218" t="s">
        <v>27</v>
      </c>
      <c r="H218" t="s">
        <v>270</v>
      </c>
      <c r="I218" t="s">
        <v>20</v>
      </c>
      <c r="J218" t="s">
        <v>29</v>
      </c>
      <c r="K218" s="2" t="s">
        <v>667</v>
      </c>
      <c r="L218" t="s">
        <v>30</v>
      </c>
      <c r="M218">
        <v>24954</v>
      </c>
      <c r="N218">
        <v>-1</v>
      </c>
      <c r="O218" s="3">
        <v>-34990</v>
      </c>
      <c r="P218" s="3">
        <v>25203</v>
      </c>
      <c r="Q218" s="6">
        <f t="shared" si="10"/>
        <v>-29403.361344537818</v>
      </c>
      <c r="R218" s="6">
        <f t="shared" si="11"/>
        <v>-25203</v>
      </c>
      <c r="S218" s="7">
        <f t="shared" si="12"/>
        <v>-4200.3613445378178</v>
      </c>
      <c r="T218" t="s">
        <v>730</v>
      </c>
    </row>
    <row r="219" spans="1:20" x14ac:dyDescent="0.3">
      <c r="A219">
        <v>300</v>
      </c>
      <c r="B219" t="s">
        <v>16</v>
      </c>
      <c r="C219" t="s">
        <v>704</v>
      </c>
      <c r="D219" s="2" t="s">
        <v>705</v>
      </c>
      <c r="E219" t="s">
        <v>706</v>
      </c>
      <c r="F219" t="s">
        <v>26</v>
      </c>
      <c r="G219" t="s">
        <v>27</v>
      </c>
      <c r="H219" t="s">
        <v>49</v>
      </c>
      <c r="I219" t="s">
        <v>20</v>
      </c>
      <c r="J219" t="s">
        <v>50</v>
      </c>
      <c r="K219" s="2" t="s">
        <v>667</v>
      </c>
      <c r="L219" t="s">
        <v>30</v>
      </c>
      <c r="M219">
        <v>24955</v>
      </c>
      <c r="N219">
        <v>-1</v>
      </c>
      <c r="O219" s="3">
        <v>-37791</v>
      </c>
      <c r="P219" s="3">
        <v>21039</v>
      </c>
      <c r="Q219" s="6">
        <f t="shared" si="10"/>
        <v>-31757.142857142859</v>
      </c>
      <c r="R219" s="6">
        <f t="shared" si="11"/>
        <v>-21039</v>
      </c>
      <c r="S219" s="7">
        <f t="shared" si="12"/>
        <v>-10718.142857142859</v>
      </c>
      <c r="T219" t="s">
        <v>730</v>
      </c>
    </row>
    <row r="220" spans="1:20" x14ac:dyDescent="0.3">
      <c r="A220">
        <v>300</v>
      </c>
      <c r="B220" t="s">
        <v>16</v>
      </c>
      <c r="C220" t="s">
        <v>707</v>
      </c>
      <c r="D220" s="2" t="s">
        <v>708</v>
      </c>
      <c r="E220" t="s">
        <v>537</v>
      </c>
      <c r="F220" t="s">
        <v>26</v>
      </c>
      <c r="G220" t="s">
        <v>27</v>
      </c>
      <c r="H220" t="s">
        <v>34</v>
      </c>
      <c r="I220" t="s">
        <v>20</v>
      </c>
      <c r="J220" t="s">
        <v>35</v>
      </c>
      <c r="K220" s="2" t="s">
        <v>667</v>
      </c>
      <c r="L220" t="s">
        <v>30</v>
      </c>
      <c r="M220">
        <v>24956</v>
      </c>
      <c r="N220">
        <v>-1</v>
      </c>
      <c r="O220" s="3">
        <v>-44990</v>
      </c>
      <c r="P220" s="3">
        <v>28033</v>
      </c>
      <c r="Q220" s="6">
        <f t="shared" si="10"/>
        <v>-37806.722689075636</v>
      </c>
      <c r="R220" s="6">
        <f t="shared" si="11"/>
        <v>-28033</v>
      </c>
      <c r="S220" s="7">
        <f t="shared" si="12"/>
        <v>-9773.7226890756356</v>
      </c>
      <c r="T220" t="s">
        <v>730</v>
      </c>
    </row>
    <row r="221" spans="1:20" x14ac:dyDescent="0.3">
      <c r="A221">
        <v>300</v>
      </c>
      <c r="B221" t="s">
        <v>16</v>
      </c>
      <c r="C221" t="s">
        <v>709</v>
      </c>
      <c r="D221" s="2" t="s">
        <v>710</v>
      </c>
      <c r="E221" t="s">
        <v>711</v>
      </c>
      <c r="F221" t="s">
        <v>26</v>
      </c>
      <c r="G221" t="s">
        <v>27</v>
      </c>
      <c r="H221" t="s">
        <v>712</v>
      </c>
      <c r="I221" t="s">
        <v>20</v>
      </c>
      <c r="J221" t="s">
        <v>35</v>
      </c>
      <c r="K221" s="2" t="s">
        <v>667</v>
      </c>
      <c r="L221" t="s">
        <v>30</v>
      </c>
      <c r="M221">
        <v>24957</v>
      </c>
      <c r="N221">
        <v>-1</v>
      </c>
      <c r="O221" s="3">
        <v>-31990</v>
      </c>
      <c r="P221" s="3">
        <v>23331</v>
      </c>
      <c r="Q221" s="6">
        <f t="shared" si="10"/>
        <v>-26882.352941176472</v>
      </c>
      <c r="R221" s="6">
        <f t="shared" si="11"/>
        <v>-23331</v>
      </c>
      <c r="S221" s="7">
        <f t="shared" si="12"/>
        <v>-3551.3529411764721</v>
      </c>
      <c r="T221" t="s">
        <v>730</v>
      </c>
    </row>
    <row r="222" spans="1:20" x14ac:dyDescent="0.3">
      <c r="A222">
        <v>300</v>
      </c>
      <c r="B222" t="s">
        <v>16</v>
      </c>
      <c r="C222" t="s">
        <v>713</v>
      </c>
      <c r="D222" s="2" t="s">
        <v>714</v>
      </c>
      <c r="E222" t="s">
        <v>715</v>
      </c>
      <c r="F222" t="s">
        <v>26</v>
      </c>
      <c r="G222" t="s">
        <v>27</v>
      </c>
      <c r="H222" t="s">
        <v>139</v>
      </c>
      <c r="I222" t="s">
        <v>20</v>
      </c>
      <c r="J222" t="s">
        <v>135</v>
      </c>
      <c r="K222" s="2" t="s">
        <v>667</v>
      </c>
      <c r="L222" t="s">
        <v>30</v>
      </c>
      <c r="M222">
        <v>24958</v>
      </c>
      <c r="N222">
        <v>-1</v>
      </c>
      <c r="O222" s="3">
        <v>-62990</v>
      </c>
      <c r="P222" s="3">
        <v>35318</v>
      </c>
      <c r="Q222" s="6">
        <f t="shared" si="10"/>
        <v>-52932.773109243702</v>
      </c>
      <c r="R222" s="6">
        <f t="shared" si="11"/>
        <v>-35318</v>
      </c>
      <c r="S222" s="7">
        <f t="shared" si="12"/>
        <v>-17614.773109243702</v>
      </c>
      <c r="T222" t="s">
        <v>730</v>
      </c>
    </row>
    <row r="223" spans="1:20" x14ac:dyDescent="0.3">
      <c r="A223">
        <v>300</v>
      </c>
      <c r="B223" t="s">
        <v>16</v>
      </c>
      <c r="C223" t="s">
        <v>716</v>
      </c>
      <c r="D223" s="2" t="s">
        <v>717</v>
      </c>
      <c r="E223" t="s">
        <v>604</v>
      </c>
      <c r="F223" t="s">
        <v>26</v>
      </c>
      <c r="G223" t="s">
        <v>27</v>
      </c>
      <c r="H223" t="s">
        <v>605</v>
      </c>
      <c r="I223" t="s">
        <v>20</v>
      </c>
      <c r="J223" t="s">
        <v>50</v>
      </c>
      <c r="K223" s="2" t="s">
        <v>667</v>
      </c>
      <c r="L223" t="s">
        <v>30</v>
      </c>
      <c r="M223">
        <v>24959</v>
      </c>
      <c r="N223">
        <v>-1</v>
      </c>
      <c r="O223" s="3">
        <v>-48990</v>
      </c>
      <c r="P223" s="3">
        <v>21993</v>
      </c>
      <c r="Q223" s="6">
        <f t="shared" si="10"/>
        <v>-41168.067226890758</v>
      </c>
      <c r="R223" s="6">
        <f t="shared" si="11"/>
        <v>-21993</v>
      </c>
      <c r="S223" s="7">
        <f t="shared" si="12"/>
        <v>-19175.067226890758</v>
      </c>
      <c r="T223" t="s">
        <v>730</v>
      </c>
    </row>
    <row r="224" spans="1:20" x14ac:dyDescent="0.3">
      <c r="A224">
        <v>300</v>
      </c>
      <c r="B224" t="s">
        <v>16</v>
      </c>
      <c r="C224" t="s">
        <v>718</v>
      </c>
      <c r="D224" s="2" t="s">
        <v>719</v>
      </c>
      <c r="E224" t="s">
        <v>720</v>
      </c>
      <c r="F224" t="s">
        <v>26</v>
      </c>
      <c r="G224" t="s">
        <v>27</v>
      </c>
      <c r="H224" t="s">
        <v>498</v>
      </c>
      <c r="I224" t="s">
        <v>20</v>
      </c>
      <c r="J224" t="s">
        <v>35</v>
      </c>
      <c r="K224" s="2" t="s">
        <v>667</v>
      </c>
      <c r="L224" t="s">
        <v>30</v>
      </c>
      <c r="M224">
        <v>24960</v>
      </c>
      <c r="N224">
        <v>-1</v>
      </c>
      <c r="O224" s="3">
        <v>-34991</v>
      </c>
      <c r="P224" s="3">
        <v>22623</v>
      </c>
      <c r="Q224" s="6">
        <f t="shared" si="10"/>
        <v>-29404.201680672271</v>
      </c>
      <c r="R224" s="6">
        <f t="shared" si="11"/>
        <v>-22623</v>
      </c>
      <c r="S224" s="7">
        <f t="shared" si="12"/>
        <v>-6781.2016806722713</v>
      </c>
      <c r="T224" t="s">
        <v>730</v>
      </c>
    </row>
    <row r="225" spans="1:20" x14ac:dyDescent="0.3">
      <c r="A225">
        <v>300</v>
      </c>
      <c r="B225" t="s">
        <v>16</v>
      </c>
      <c r="C225" t="s">
        <v>721</v>
      </c>
      <c r="D225" s="2" t="s">
        <v>722</v>
      </c>
      <c r="E225" t="s">
        <v>723</v>
      </c>
      <c r="F225" t="s">
        <v>26</v>
      </c>
      <c r="G225" t="s">
        <v>27</v>
      </c>
      <c r="H225" t="s">
        <v>308</v>
      </c>
      <c r="I225" t="s">
        <v>20</v>
      </c>
      <c r="J225" t="s">
        <v>35</v>
      </c>
      <c r="K225" s="2" t="s">
        <v>667</v>
      </c>
      <c r="L225" t="s">
        <v>30</v>
      </c>
      <c r="M225">
        <v>24961</v>
      </c>
      <c r="N225">
        <v>-1</v>
      </c>
      <c r="O225" s="3">
        <v>-34990</v>
      </c>
      <c r="P225" s="3">
        <v>24596</v>
      </c>
      <c r="Q225" s="6">
        <f t="shared" si="10"/>
        <v>-29403.361344537818</v>
      </c>
      <c r="R225" s="6">
        <f t="shared" si="11"/>
        <v>-24596</v>
      </c>
      <c r="S225" s="7">
        <f t="shared" si="12"/>
        <v>-4807.3613445378178</v>
      </c>
      <c r="T225" t="s">
        <v>730</v>
      </c>
    </row>
  </sheetData>
  <autoFilter ref="A4:T225" xr:uid="{5009BF66-8A9F-4D6E-9815-F254B71BB92E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A66172-10FE-4801-AF52-8E419FA996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C25FE9-2C7D-42B9-92C9-3FEF32B0FC6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EBCA05C2-C67F-4C2C-9026-6589B85ACDD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2026-02-04T14:01:26Z</dcterms:created>
  <dcterms:modified xsi:type="dcterms:W3CDTF">2026-02-10T13:30:53Z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