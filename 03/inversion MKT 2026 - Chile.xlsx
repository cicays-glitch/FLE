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MKT/03/"/>
    </mc:Choice>
  </mc:AlternateContent>
  <xr:revisionPtr revIDLastSave="2466" documentId="8_{62703BC6-5A6B-4F8C-B041-205BFA82B8B5}" xr6:coauthVersionLast="47" xr6:coauthVersionMax="47" xr10:uidLastSave="{8D02DA2A-FAB5-4982-A44D-45BC1D6DF206}"/>
  <bookViews>
    <workbookView xWindow="20558" yWindow="0" windowWidth="20546" windowHeight="6695" tabRatio="720" activeTab="1" xr2:uid="{317E68FA-24F3-4B4B-8773-A8671968B245}"/>
  </bookViews>
  <sheets>
    <sheet name="Enero" sheetId="1" r:id="rId1"/>
    <sheet name="Febrero" sheetId="2" r:id="rId2"/>
    <sheet name="Marzo" sheetId="3" r:id="rId3"/>
    <sheet name="Abr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33" i="1"/>
  <c r="C16" i="4"/>
  <c r="E27" i="3"/>
  <c r="E26" i="3"/>
  <c r="E25" i="3"/>
  <c r="E21" i="3"/>
  <c r="E15" i="3"/>
  <c r="E10" i="3"/>
  <c r="E6" i="3"/>
  <c r="C27" i="3"/>
  <c r="C25" i="3"/>
  <c r="C21" i="3"/>
  <c r="C15" i="3"/>
  <c r="C6" i="3"/>
  <c r="C21" i="4"/>
  <c r="E21" i="4" s="1"/>
  <c r="E16" i="4"/>
  <c r="C10" i="4"/>
  <c r="E10" i="4" s="1"/>
  <c r="C6" i="4"/>
  <c r="E27" i="2"/>
  <c r="E26" i="2"/>
  <c r="E25" i="2"/>
  <c r="C25" i="2"/>
  <c r="E21" i="2"/>
  <c r="E18" i="2"/>
  <c r="E19" i="2"/>
  <c r="E17" i="2"/>
  <c r="E15" i="2"/>
  <c r="E12" i="2"/>
  <c r="E10" i="2"/>
  <c r="C6" i="2"/>
  <c r="E6" i="2" s="1"/>
  <c r="E8" i="2"/>
  <c r="E4" i="2"/>
  <c r="E3" i="2"/>
  <c r="C21" i="2"/>
  <c r="C10" i="3"/>
  <c r="C16" i="1"/>
  <c r="C10" i="1"/>
  <c r="C6" i="1"/>
  <c r="E21" i="1"/>
  <c r="E18" i="1"/>
  <c r="E16" i="1"/>
  <c r="E14" i="1"/>
  <c r="E13" i="1"/>
  <c r="E12" i="1"/>
  <c r="E8" i="1"/>
  <c r="E6" i="1"/>
  <c r="E4" i="1"/>
  <c r="E3" i="1"/>
  <c r="E6" i="4" l="1"/>
  <c r="C25" i="4"/>
  <c r="C25" i="1"/>
  <c r="E25" i="1" s="1"/>
  <c r="E10" i="1"/>
  <c r="C21" i="1"/>
  <c r="C26" i="4" l="1"/>
  <c r="E25" i="4"/>
  <c r="C26" i="3"/>
  <c r="C10" i="2"/>
  <c r="C15" i="2"/>
  <c r="E26" i="4" l="1"/>
  <c r="C27" i="4"/>
  <c r="E27" i="4" s="1"/>
  <c r="C26" i="2"/>
  <c r="C26" i="1"/>
  <c r="E26" i="1" s="1"/>
  <c r="C27" i="1" l="1"/>
  <c r="E27" i="1" s="1"/>
  <c r="C27" i="2"/>
</calcChain>
</file>

<file path=xl/sharedStrings.xml><?xml version="1.0" encoding="utf-8"?>
<sst xmlns="http://schemas.openxmlformats.org/spreadsheetml/2006/main" count="141" uniqueCount="82">
  <si>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</si>
  <si>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</si>
  <si>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</si>
  <si>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</si>
  <si>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</si>
  <si>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</si>
  <si>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</si>
  <si>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</si>
  <si>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</si>
  <si>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MONTO PESOS</t>
  </si>
  <si>
    <t>Google</t>
  </si>
  <si>
    <t xml:space="preserve">Meta </t>
  </si>
  <si>
    <t>iva</t>
  </si>
  <si>
    <t>total</t>
  </si>
  <si>
    <t>Total sin iva</t>
  </si>
  <si>
    <t>Total Febrero</t>
  </si>
  <si>
    <t>CL</t>
  </si>
  <si>
    <t>USD</t>
  </si>
  <si>
    <t xml:space="preserve">proforma </t>
  </si>
  <si>
    <t>Conector Looker Studio - Meta</t>
  </si>
  <si>
    <t>Invoice-140B68EC-0004</t>
  </si>
  <si>
    <t>Agencia UGC - primer pago</t>
  </si>
  <si>
    <t>Hello87_Enero50%ugc</t>
  </si>
  <si>
    <t>reel ugc - Sophie</t>
  </si>
  <si>
    <t>bhe_sophie-187</t>
  </si>
  <si>
    <t>ree  ugc - Conce</t>
  </si>
  <si>
    <t>bhe_janiceConce-2</t>
  </si>
  <si>
    <t>https://www.instagram.com/p/DUEvBn4js5z/</t>
  </si>
  <si>
    <t>https://drive.google.com/drive/u/0/folders/1DBS89kiGV79HHE2H8LMEZq2et8DfUUD4</t>
  </si>
  <si>
    <t>https://drive.google.com/drive/u/0/folders/15mngiIXR8fc3Sc0S1OSdfvYpr88_RuYy</t>
  </si>
  <si>
    <t xml:space="preserve"> se publica en febrero</t>
  </si>
  <si>
    <t>https://www.instagram.com/p/DTyrHwODm7O/</t>
  </si>
  <si>
    <t>https://www.instagram.com/p/DTeGi-bkYL_/</t>
  </si>
  <si>
    <t>transacciones_MetaEnero26</t>
  </si>
  <si>
    <t xml:space="preserve">US del dia </t>
  </si>
  <si>
    <t>factura</t>
  </si>
  <si>
    <t>PENDIENTE</t>
  </si>
  <si>
    <t>2do pago agencia UGC</t>
  </si>
  <si>
    <t>materiales</t>
  </si>
  <si>
    <t>google_8379915865627719_20260131</t>
  </si>
  <si>
    <t>factura 762</t>
  </si>
  <si>
    <t>Total Marzo</t>
  </si>
  <si>
    <t>8379915865627719_20260228</t>
  </si>
  <si>
    <t>FacturaFlexi_2do50%F</t>
  </si>
  <si>
    <t>1 reel Flexi</t>
  </si>
  <si>
    <t>bhe_OMAR-1</t>
  </si>
  <si>
    <t>bhe_Catalina-8</t>
  </si>
  <si>
    <t>apoyo video</t>
  </si>
  <si>
    <t>Material grabacion</t>
  </si>
  <si>
    <t>factura8183</t>
  </si>
  <si>
    <t>Meta_facturasFebrero26</t>
  </si>
  <si>
    <t>https://www.instagram.com/p/DUhBh3OjsSu/</t>
  </si>
  <si>
    <t>https://www.instagram.com/p/DUtRb6kkTIq/</t>
  </si>
  <si>
    <t>https://www.instagram.com/p/DUUMavnDgaC/</t>
  </si>
  <si>
    <t>https://drive.google.com/drive/folders/1jrjioVSrDwVBuXQjBvplo0eg4wEkoxz8</t>
  </si>
  <si>
    <t>Para grabaciones de producto MercadoLibre e IG</t>
  </si>
  <si>
    <t>895,14</t>
  </si>
  <si>
    <t>2do pago agencia UGC (I)</t>
  </si>
  <si>
    <t>ugc independiente</t>
  </si>
  <si>
    <t>3 reel Flexi</t>
  </si>
  <si>
    <t>factura 766</t>
  </si>
  <si>
    <t>51_ugctalcaMarzo</t>
  </si>
  <si>
    <t>95_ugc_chilemarzo50%(i)</t>
  </si>
  <si>
    <t>bhe_andy-252</t>
  </si>
  <si>
    <t>2 reel Flexi</t>
  </si>
  <si>
    <t>bhe_Omar-2</t>
  </si>
  <si>
    <t>google_8379915865627719_20260331</t>
  </si>
  <si>
    <t>https://www.instagram.com/p/DWU7h-GBda7/</t>
  </si>
  <si>
    <t>https://www.instagram.com/p/DVoPE-Hp3mh/</t>
  </si>
  <si>
    <t>https://www.instagram.com/p/DV9uFatBiMh/</t>
  </si>
  <si>
    <t>materiales (rosas reel)</t>
  </si>
  <si>
    <t>rosas_756172</t>
  </si>
  <si>
    <t>meta_facturasMarzo</t>
  </si>
  <si>
    <t>922,17</t>
  </si>
  <si>
    <t>Total Abril</t>
  </si>
  <si>
    <t>apertura, testimonial, concurso</t>
  </si>
  <si>
    <t>mama portera</t>
  </si>
  <si>
    <t>botas mama</t>
  </si>
  <si>
    <t>factura 774</t>
  </si>
  <si>
    <t>ok</t>
  </si>
  <si>
    <t>recibo pago F762 MKT USD2934.06 TC895.14</t>
  </si>
  <si>
    <t>recibo pago F766 MKT USD2732.12 TC923.25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</si>
</sst>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182D4F"/>
      <name val="Segoe UI"/>
      <family val="2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1" fontId="7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0" fontId="1" fillId="4" borderId="0" xfId="0" applyFont="1" applyFill="1"/>
    <xf numFmtId="0" fontId="0" fillId="0" borderId="0" xfId="0" applyAlignment="1">
      <alignment horizontal="right"/>
    </xf>
    <xf numFmtId="42" fontId="4" fillId="5" borderId="0" xfId="0" applyNumberFormat="1" applyFont="1" applyFill="1"/>
    <xf numFmtId="44" fontId="0" fillId="6" borderId="0" xfId="0" applyNumberFormat="1" applyFill="1"/>
    <xf numFmtId="0" fontId="0" fillId="0" borderId="0" xfId="0" applyAlignment="1">
      <alignment horizontal="left"/>
    </xf>
    <xf numFmtId="0" fontId="5" fillId="0" borderId="0" xfId="1"/>
    <xf numFmtId="0" fontId="6" fillId="0" borderId="0" xfId="0" applyFont="1"/>
    <xf numFmtId="44" fontId="1" fillId="0" borderId="0" xfId="0" applyNumberFormat="1" applyFont="1"/>
    <xf numFmtId="44" fontId="0" fillId="7" borderId="0" xfId="0" applyNumberFormat="1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0" xfId="2" applyFont="1"/>
  </cellXfs>
  <cellStyles count="3">
    <cellStyle name="Hipervínculo" xfId="1" builtinId="8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0/folders/1DBS89kiGV79HHE2H8LMEZq2et8DfUU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rgb="FFFFFF00"/>
  </sheetPr>
  <dimension ref="A1:H33"/>
  <sheetViews>
    <sheetView topLeftCell="A22" zoomScale="83" zoomScaleNormal="83" workbookViewId="0">
      <selection activeCell="E33" sqref="E33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26.296875" customWidth="1"/>
    <col min="5" max="5" width="13" customWidth="1"/>
    <col min="6" max="6" width="38.59765625" customWidth="1"/>
    <col min="7" max="7" width="19.8984375" customWidth="1"/>
    <col min="8" max="8" width="20.59765625" customWidth="1"/>
  </cols>
  <sheetData>
    <row r="1" spans="1:8" ht="14.4" x14ac:dyDescent="0.3">
      <c r="A1" s="17">
        <v>45658</v>
      </c>
      <c r="E1" s="23">
        <v>856.06</v>
      </c>
    </row>
    <row r="2" spans="1:8" ht="14.4" x14ac:dyDescent="0.3">
      <c r="B2" t="s">
        <v>3</v>
      </c>
      <c r="C2" t="s">
        <v>9</v>
      </c>
      <c r="D2" t="s">
        <v>4</v>
      </c>
      <c r="E2" t="s">
        <v>34</v>
      </c>
      <c r="F2" t="s">
        <v>7</v>
      </c>
    </row>
    <row r="3" spans="1:8" x14ac:dyDescent="0.3">
      <c r="A3" s="28" t="s">
        <v>2</v>
      </c>
      <c r="B3" s="1" t="s">
        <v>10</v>
      </c>
      <c r="C3" s="2">
        <v>873992</v>
      </c>
      <c r="D3" s="14" t="s">
        <v>39</v>
      </c>
      <c r="E3" s="5">
        <f>C3/856.06</f>
        <v>1020.9471298740743</v>
      </c>
    </row>
    <row r="4" spans="1:8" x14ac:dyDescent="0.3">
      <c r="A4" s="29"/>
      <c r="B4" s="1" t="s">
        <v>11</v>
      </c>
      <c r="C4" s="2">
        <v>564626</v>
      </c>
      <c r="D4" s="13" t="s">
        <v>33</v>
      </c>
      <c r="E4" s="5">
        <f>C4/856.06</f>
        <v>659.56358199191652</v>
      </c>
    </row>
    <row r="5" spans="1:8" x14ac:dyDescent="0.3">
      <c r="A5" s="29"/>
      <c r="B5" s="1"/>
      <c r="C5" s="2"/>
      <c r="D5" s="15"/>
      <c r="E5" s="5"/>
    </row>
    <row r="6" spans="1:8" x14ac:dyDescent="0.3">
      <c r="A6" s="30"/>
      <c r="B6" s="3"/>
      <c r="C6" s="4">
        <f>SUM(C3:C4)</f>
        <v>1438618</v>
      </c>
      <c r="E6" s="5">
        <f>C6/856.06</f>
        <v>1680.5107118659907</v>
      </c>
    </row>
    <row r="8" spans="1:8" x14ac:dyDescent="0.3">
      <c r="A8" s="32" t="s">
        <v>0</v>
      </c>
      <c r="B8" s="1" t="s">
        <v>6</v>
      </c>
      <c r="C8" s="2">
        <v>170182</v>
      </c>
      <c r="D8" s="13" t="s">
        <v>33</v>
      </c>
      <c r="E8" s="5">
        <f>C8/856.06</f>
        <v>198.79681330747846</v>
      </c>
    </row>
    <row r="9" spans="1:8" x14ac:dyDescent="0.3">
      <c r="A9" s="32"/>
      <c r="B9" s="1"/>
      <c r="C9" s="1"/>
    </row>
    <row r="10" spans="1:8" x14ac:dyDescent="0.3">
      <c r="A10" s="33"/>
      <c r="B10" s="3"/>
      <c r="C10" s="4">
        <f>SUM(C8:C8)</f>
        <v>170182</v>
      </c>
      <c r="E10" s="5">
        <f>C10/856.06</f>
        <v>198.79681330747846</v>
      </c>
    </row>
    <row r="11" spans="1:8" ht="14.4" x14ac:dyDescent="0.3">
      <c r="G11" t="s">
        <v>30</v>
      </c>
      <c r="H11" t="s">
        <v>30</v>
      </c>
    </row>
    <row r="12" spans="1:8" x14ac:dyDescent="0.3">
      <c r="A12" s="28" t="s">
        <v>1</v>
      </c>
      <c r="B12" s="1" t="s">
        <v>21</v>
      </c>
      <c r="C12" s="2">
        <v>245000</v>
      </c>
      <c r="D12" s="13" t="s">
        <v>22</v>
      </c>
      <c r="E12" s="5">
        <f>C12/856.06</f>
        <v>286.19489288134014</v>
      </c>
      <c r="F12" t="s">
        <v>27</v>
      </c>
      <c r="G12" s="24" t="s">
        <v>28</v>
      </c>
      <c r="H12" t="s">
        <v>29</v>
      </c>
    </row>
    <row r="13" spans="1:8" x14ac:dyDescent="0.3">
      <c r="A13" s="29"/>
      <c r="B13" s="1" t="s">
        <v>23</v>
      </c>
      <c r="C13" s="2">
        <v>75000</v>
      </c>
      <c r="D13" s="13" t="s">
        <v>24</v>
      </c>
      <c r="E13" s="5">
        <f>C13/856.06</f>
        <v>87.610681494287789</v>
      </c>
      <c r="F13" t="s">
        <v>32</v>
      </c>
    </row>
    <row r="14" spans="1:8" x14ac:dyDescent="0.3">
      <c r="A14" s="29"/>
      <c r="B14" s="1" t="s">
        <v>25</v>
      </c>
      <c r="C14" s="2">
        <v>33900</v>
      </c>
      <c r="D14" s="13" t="s">
        <v>26</v>
      </c>
      <c r="E14" s="5">
        <f>C14/856.06</f>
        <v>39.600028035418077</v>
      </c>
      <c r="F14" t="s">
        <v>31</v>
      </c>
    </row>
    <row r="15" spans="1:8" x14ac:dyDescent="0.3">
      <c r="A15" s="29"/>
      <c r="B15" s="1"/>
      <c r="C15" s="2"/>
      <c r="D15" s="13"/>
    </row>
    <row r="16" spans="1:8" x14ac:dyDescent="0.3">
      <c r="A16" s="30"/>
      <c r="B16" s="3"/>
      <c r="C16" s="4">
        <f>SUM(C12:C14)</f>
        <v>353900</v>
      </c>
      <c r="D16" s="13"/>
      <c r="E16" s="5">
        <f>C16/856.06</f>
        <v>413.405602411046</v>
      </c>
      <c r="G16" s="12"/>
    </row>
    <row r="17" spans="1:6" ht="14.4" x14ac:dyDescent="0.3">
      <c r="D17" s="13"/>
    </row>
    <row r="18" spans="1:6" ht="14.4" customHeight="1" x14ac:dyDescent="0.3">
      <c r="A18" s="28" t="s">
        <v>5</v>
      </c>
      <c r="B18" s="1" t="s">
        <v>19</v>
      </c>
      <c r="C18" s="2">
        <v>148000</v>
      </c>
      <c r="D18" s="13" t="s">
        <v>20</v>
      </c>
      <c r="E18" s="5">
        <f>C18/856.06</f>
        <v>172.8850781487279</v>
      </c>
    </row>
    <row r="19" spans="1:6" ht="14.4" customHeight="1" x14ac:dyDescent="0.3">
      <c r="A19" s="29"/>
      <c r="B19" s="1"/>
      <c r="C19" s="2"/>
      <c r="D19" s="13"/>
    </row>
    <row r="20" spans="1:6" x14ac:dyDescent="0.3">
      <c r="A20" s="29"/>
      <c r="B20" s="1"/>
      <c r="C20" s="1"/>
      <c r="F20" s="12"/>
    </row>
    <row r="21" spans="1:6" x14ac:dyDescent="0.3">
      <c r="A21" s="30"/>
      <c r="B21" s="3"/>
      <c r="C21" s="4">
        <f>SUM(C18:C19)</f>
        <v>148000</v>
      </c>
      <c r="E21" s="5">
        <f>C21/856.06</f>
        <v>172.8850781487279</v>
      </c>
    </row>
    <row r="22" spans="1:6" ht="14.4" x14ac:dyDescent="0.3">
      <c r="A22" s="10"/>
      <c r="C22" s="11"/>
      <c r="E22" s="5"/>
    </row>
    <row r="23" spans="1:6" ht="14.4" x14ac:dyDescent="0.3">
      <c r="A23" s="10"/>
      <c r="C23" s="11"/>
      <c r="E23" s="5"/>
    </row>
    <row r="25" spans="1:6" ht="14.4" x14ac:dyDescent="0.3">
      <c r="B25" s="6" t="s">
        <v>14</v>
      </c>
      <c r="C25" s="7">
        <f>SUM(C6+C10+C16+C21)</f>
        <v>2110700</v>
      </c>
      <c r="E25" s="22">
        <f>C25/856.06</f>
        <v>2465.598205733243</v>
      </c>
    </row>
    <row r="26" spans="1:6" ht="14.4" x14ac:dyDescent="0.3">
      <c r="B26" t="s">
        <v>12</v>
      </c>
      <c r="C26" s="16">
        <f>C25*19/100</f>
        <v>401033</v>
      </c>
      <c r="E26" s="5">
        <f>C26/856.06</f>
        <v>468.4636590893162</v>
      </c>
    </row>
    <row r="27" spans="1:6" ht="14.4" x14ac:dyDescent="0.3">
      <c r="B27" t="s">
        <v>13</v>
      </c>
      <c r="C27" s="21">
        <f>SUM(C25:C26)</f>
        <v>2511733</v>
      </c>
      <c r="E27" s="22">
        <f>C27/856.06</f>
        <v>2934.0618648225595</v>
      </c>
    </row>
    <row r="30" spans="1:6" ht="14.4" x14ac:dyDescent="0.3">
      <c r="C30" t="s">
        <v>40</v>
      </c>
      <c r="D30" s="20" t="s">
        <v>18</v>
      </c>
      <c r="E30">
        <v>19</v>
      </c>
      <c r="F30" s="19" t="s">
        <v>79</v>
      </c>
    </row>
    <row r="32" spans="1:6" x14ac:dyDescent="0.3">
      <c r="E32">
        <v>2867.21</v>
      </c>
      <c r="F32" t="s">
        <v>80</v>
      </c>
    </row>
    <row r="33" spans="5:5" x14ac:dyDescent="0.3">
      <c r="E33" s="34">
        <f>E32*895.14</f>
        <v>2566554.3594</v>
      </c>
    </row>
  </sheetData>
  <mergeCells count="4">
    <mergeCell ref="A3:A6"/>
    <mergeCell ref="A8:A10"/>
    <mergeCell ref="A12:A16"/>
    <mergeCell ref="A18:A21"/>
  </mergeCells>
  <phoneticPr fontId="2" type="noConversion"/>
  <hyperlinks>
    <hyperlink ref="G12" r:id="rId1" xr:uid="{3950C6B3-DCA0-4FC7-BBD1-0E3EEBF5CFD5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dimension ref="A1:H33"/>
  <sheetViews>
    <sheetView tabSelected="1" topLeftCell="A22" workbookViewId="0">
      <selection activeCell="H30" sqref="H30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24.3984375" customWidth="1"/>
    <col min="5" max="5" width="10.69921875" customWidth="1"/>
    <col min="6" max="6" width="27" customWidth="1"/>
  </cols>
  <sheetData>
    <row r="1" spans="1:7" x14ac:dyDescent="0.3">
      <c r="A1" s="9">
        <v>2025</v>
      </c>
      <c r="E1" s="25" t="s">
        <v>56</v>
      </c>
    </row>
    <row r="2" spans="1:7" x14ac:dyDescent="0.3">
      <c r="B2" t="s">
        <v>3</v>
      </c>
      <c r="C2" t="s">
        <v>9</v>
      </c>
      <c r="D2" t="s">
        <v>4</v>
      </c>
      <c r="E2" t="s">
        <v>8</v>
      </c>
      <c r="F2" t="s">
        <v>7</v>
      </c>
    </row>
    <row r="3" spans="1:7" x14ac:dyDescent="0.3">
      <c r="A3" s="28" t="s">
        <v>2</v>
      </c>
      <c r="B3" s="1" t="s">
        <v>10</v>
      </c>
      <c r="C3" s="2">
        <v>777262</v>
      </c>
      <c r="D3" s="14" t="s">
        <v>42</v>
      </c>
      <c r="E3" s="5">
        <f>C3/895.14</f>
        <v>868.31333646133567</v>
      </c>
    </row>
    <row r="4" spans="1:7" x14ac:dyDescent="0.3">
      <c r="A4" s="29"/>
      <c r="B4" s="1" t="s">
        <v>11</v>
      </c>
      <c r="C4" s="2">
        <v>516563</v>
      </c>
      <c r="D4" s="13" t="s">
        <v>50</v>
      </c>
      <c r="E4" s="5">
        <f>C4/895.14</f>
        <v>577.07509439864157</v>
      </c>
    </row>
    <row r="5" spans="1:7" x14ac:dyDescent="0.3">
      <c r="A5" s="29"/>
      <c r="B5" s="1"/>
      <c r="C5" s="2"/>
      <c r="D5" s="13"/>
      <c r="E5" s="5"/>
    </row>
    <row r="6" spans="1:7" x14ac:dyDescent="0.3">
      <c r="A6" s="30"/>
      <c r="B6" s="3"/>
      <c r="C6" s="4">
        <f>SUM(C3:C5)</f>
        <v>1293825</v>
      </c>
      <c r="E6" s="26">
        <f>C6/895.14</f>
        <v>1445.3884308599772</v>
      </c>
    </row>
    <row r="8" spans="1:7" x14ac:dyDescent="0.3">
      <c r="A8" s="31" t="s">
        <v>0</v>
      </c>
      <c r="B8" s="1" t="s">
        <v>6</v>
      </c>
      <c r="C8" s="2">
        <v>371333</v>
      </c>
      <c r="D8" s="13" t="s">
        <v>50</v>
      </c>
      <c r="E8" s="5">
        <f>C8/895.14</f>
        <v>414.83231673257814</v>
      </c>
      <c r="F8" s="12"/>
    </row>
    <row r="9" spans="1:7" x14ac:dyDescent="0.3">
      <c r="A9" s="32"/>
      <c r="B9" s="1"/>
      <c r="C9" s="2"/>
      <c r="D9" s="13"/>
    </row>
    <row r="10" spans="1:7" x14ac:dyDescent="0.3">
      <c r="A10" s="33"/>
      <c r="B10" s="3"/>
      <c r="C10" s="4">
        <f>SUM(C8:C9)</f>
        <v>371333</v>
      </c>
      <c r="D10" s="12"/>
      <c r="E10" s="26">
        <f>C10/895.14</f>
        <v>414.83231673257814</v>
      </c>
    </row>
    <row r="12" spans="1:7" x14ac:dyDescent="0.3">
      <c r="A12" s="28" t="s">
        <v>1</v>
      </c>
      <c r="B12" s="1" t="s">
        <v>37</v>
      </c>
      <c r="C12" s="2">
        <v>245000</v>
      </c>
      <c r="D12" s="13" t="s">
        <v>43</v>
      </c>
      <c r="E12" s="5">
        <f>C12/895.14</f>
        <v>273.70020332015105</v>
      </c>
      <c r="F12" t="s">
        <v>51</v>
      </c>
      <c r="G12" t="s">
        <v>52</v>
      </c>
    </row>
    <row r="13" spans="1:7" x14ac:dyDescent="0.3">
      <c r="A13" s="29"/>
      <c r="B13" s="1"/>
      <c r="C13" s="2"/>
      <c r="D13" s="13"/>
    </row>
    <row r="14" spans="1:7" x14ac:dyDescent="0.3">
      <c r="A14" s="29"/>
      <c r="B14" s="1"/>
      <c r="C14" s="2"/>
      <c r="D14" s="13"/>
    </row>
    <row r="15" spans="1:7" x14ac:dyDescent="0.3">
      <c r="A15" s="30"/>
      <c r="B15" s="3"/>
      <c r="C15" s="4">
        <f>SUM(C12:C14)</f>
        <v>245000</v>
      </c>
      <c r="D15" s="13"/>
      <c r="E15" s="26">
        <f>C15/895.14</f>
        <v>273.70020332015105</v>
      </c>
    </row>
    <row r="16" spans="1:7" x14ac:dyDescent="0.3">
      <c r="D16" s="13"/>
    </row>
    <row r="17" spans="1:8" x14ac:dyDescent="0.3">
      <c r="A17" s="28" t="s">
        <v>5</v>
      </c>
      <c r="B17" s="1" t="s">
        <v>44</v>
      </c>
      <c r="C17" s="2">
        <v>70000</v>
      </c>
      <c r="D17" s="13" t="s">
        <v>45</v>
      </c>
      <c r="E17" s="5">
        <f>C17/895.14</f>
        <v>78.200058091471732</v>
      </c>
      <c r="F17" t="s">
        <v>53</v>
      </c>
      <c r="G17" s="18"/>
      <c r="H17" s="18"/>
    </row>
    <row r="18" spans="1:8" x14ac:dyDescent="0.3">
      <c r="A18" s="29"/>
      <c r="B18" s="1" t="s">
        <v>47</v>
      </c>
      <c r="C18" s="2">
        <v>30000</v>
      </c>
      <c r="D18" s="13" t="s">
        <v>46</v>
      </c>
      <c r="E18" s="5">
        <f t="shared" ref="E18:E21" si="0">C18/895.14</f>
        <v>33.514310610630737</v>
      </c>
      <c r="F18" t="s">
        <v>53</v>
      </c>
    </row>
    <row r="19" spans="1:8" x14ac:dyDescent="0.3">
      <c r="A19" s="29"/>
      <c r="B19" s="1" t="s">
        <v>48</v>
      </c>
      <c r="C19" s="2">
        <v>44990</v>
      </c>
      <c r="D19" t="s">
        <v>49</v>
      </c>
      <c r="E19" s="5">
        <f t="shared" si="0"/>
        <v>50.260294479075903</v>
      </c>
      <c r="F19" s="12" t="s">
        <v>55</v>
      </c>
      <c r="G19" t="s">
        <v>54</v>
      </c>
    </row>
    <row r="20" spans="1:8" x14ac:dyDescent="0.3">
      <c r="A20" s="29"/>
      <c r="B20" s="1"/>
      <c r="C20" s="1"/>
      <c r="F20" s="12"/>
    </row>
    <row r="21" spans="1:8" x14ac:dyDescent="0.3">
      <c r="A21" s="30"/>
      <c r="B21" s="3"/>
      <c r="C21" s="4">
        <f>SUM(C17:C19)</f>
        <v>144990</v>
      </c>
      <c r="E21" s="26">
        <f t="shared" si="0"/>
        <v>161.97466318117836</v>
      </c>
    </row>
    <row r="22" spans="1:8" x14ac:dyDescent="0.3">
      <c r="A22" s="10"/>
      <c r="C22" s="11"/>
      <c r="E22" s="5"/>
    </row>
    <row r="23" spans="1:8" x14ac:dyDescent="0.3">
      <c r="A23" s="10"/>
      <c r="C23" s="11"/>
      <c r="E23" s="5"/>
    </row>
    <row r="24" spans="1:8" x14ac:dyDescent="0.3">
      <c r="C24" t="s">
        <v>16</v>
      </c>
      <c r="E24" t="s">
        <v>17</v>
      </c>
    </row>
    <row r="25" spans="1:8" x14ac:dyDescent="0.3">
      <c r="B25" s="6" t="s">
        <v>15</v>
      </c>
      <c r="C25" s="7">
        <f>SUM(C6+C10+C15+C21)</f>
        <v>2055148</v>
      </c>
      <c r="E25" s="27">
        <f>C25/895.14</f>
        <v>2295.8956140938849</v>
      </c>
    </row>
    <row r="26" spans="1:8" x14ac:dyDescent="0.3">
      <c r="B26" t="s">
        <v>12</v>
      </c>
      <c r="C26" s="16">
        <f>C25*19/100</f>
        <v>390478.12</v>
      </c>
      <c r="E26" s="5">
        <f>C26/895.14</f>
        <v>436.22016667783811</v>
      </c>
    </row>
    <row r="27" spans="1:8" x14ac:dyDescent="0.3">
      <c r="B27" t="s">
        <v>13</v>
      </c>
      <c r="C27" s="7">
        <f>SUM(C25:C26)</f>
        <v>2445626.12</v>
      </c>
      <c r="E27" s="27">
        <f>C27/895.14</f>
        <v>2732.1157807717232</v>
      </c>
      <c r="F27" s="18"/>
    </row>
    <row r="30" spans="1:8" x14ac:dyDescent="0.3">
      <c r="C30" t="s">
        <v>60</v>
      </c>
      <c r="D30" s="20" t="s">
        <v>18</v>
      </c>
      <c r="E30">
        <v>21</v>
      </c>
      <c r="F30" s="19" t="s">
        <v>36</v>
      </c>
    </row>
    <row r="32" spans="1:8" x14ac:dyDescent="0.3">
      <c r="F32" t="s">
        <v>81</v>
      </c>
    </row>
    <row r="33" spans="5:5" x14ac:dyDescent="0.3">
      <c r="E33" s="34">
        <f>E27*923.25</f>
        <v>2522425.8945974936</v>
      </c>
    </row>
  </sheetData>
  <mergeCells count="4">
    <mergeCell ref="A3:A6"/>
    <mergeCell ref="A8:A10"/>
    <mergeCell ref="A12:A15"/>
    <mergeCell ref="A17:A21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8D8E-2426-4EE6-B725-7FEE29AFF41D}">
  <dimension ref="A1:H30"/>
  <sheetViews>
    <sheetView topLeftCell="B25" workbookViewId="0">
      <selection activeCell="C33" sqref="C33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32.296875" customWidth="1"/>
    <col min="5" max="5" width="10.69921875" customWidth="1"/>
    <col min="6" max="6" width="23.3984375" customWidth="1"/>
    <col min="7" max="7" width="21.296875" customWidth="1"/>
  </cols>
  <sheetData>
    <row r="1" spans="1:8" x14ac:dyDescent="0.3">
      <c r="A1" s="9">
        <v>2025</v>
      </c>
      <c r="E1" s="25" t="s">
        <v>73</v>
      </c>
    </row>
    <row r="2" spans="1:8" x14ac:dyDescent="0.3">
      <c r="B2" t="s">
        <v>3</v>
      </c>
      <c r="C2" t="s">
        <v>9</v>
      </c>
      <c r="D2" t="s">
        <v>4</v>
      </c>
      <c r="E2" t="s">
        <v>8</v>
      </c>
      <c r="F2" t="s">
        <v>7</v>
      </c>
    </row>
    <row r="3" spans="1:8" x14ac:dyDescent="0.3">
      <c r="A3" s="28" t="s">
        <v>2</v>
      </c>
      <c r="B3" s="1" t="s">
        <v>10</v>
      </c>
      <c r="C3" s="2">
        <v>777265</v>
      </c>
      <c r="D3" s="14" t="s">
        <v>66</v>
      </c>
      <c r="E3" s="5"/>
    </row>
    <row r="4" spans="1:8" x14ac:dyDescent="0.3">
      <c r="A4" s="29"/>
      <c r="B4" s="1" t="s">
        <v>11</v>
      </c>
      <c r="C4" s="2">
        <v>532120</v>
      </c>
      <c r="D4" s="13" t="s">
        <v>72</v>
      </c>
      <c r="E4" s="5"/>
    </row>
    <row r="5" spans="1:8" x14ac:dyDescent="0.3">
      <c r="A5" s="29"/>
      <c r="B5" s="1"/>
      <c r="C5" s="2"/>
      <c r="D5" s="13"/>
      <c r="E5" s="5"/>
    </row>
    <row r="6" spans="1:8" x14ac:dyDescent="0.3">
      <c r="A6" s="30"/>
      <c r="B6" s="3"/>
      <c r="C6" s="4">
        <f>SUM(C3:C5)</f>
        <v>1309385</v>
      </c>
      <c r="E6" s="5">
        <f>C6/922.17</f>
        <v>1419.8954639600074</v>
      </c>
    </row>
    <row r="8" spans="1:8" x14ac:dyDescent="0.3">
      <c r="A8" s="31" t="s">
        <v>0</v>
      </c>
      <c r="B8" s="1" t="s">
        <v>6</v>
      </c>
      <c r="C8" s="2">
        <v>939128</v>
      </c>
      <c r="D8" s="13" t="s">
        <v>72</v>
      </c>
      <c r="F8" s="12"/>
    </row>
    <row r="9" spans="1:8" x14ac:dyDescent="0.3">
      <c r="A9" s="32"/>
      <c r="B9" s="1"/>
      <c r="C9" s="2"/>
      <c r="D9" s="13"/>
    </row>
    <row r="10" spans="1:8" x14ac:dyDescent="0.3">
      <c r="A10" s="33"/>
      <c r="B10" s="3"/>
      <c r="C10" s="4">
        <f>SUM(C8:C9)</f>
        <v>939128</v>
      </c>
      <c r="D10" s="12"/>
      <c r="E10" s="5">
        <f>C10/922.17</f>
        <v>1018.3892340891593</v>
      </c>
    </row>
    <row r="12" spans="1:8" x14ac:dyDescent="0.3">
      <c r="A12" s="28" t="s">
        <v>1</v>
      </c>
      <c r="B12" s="1" t="s">
        <v>57</v>
      </c>
      <c r="C12" s="2">
        <v>245000</v>
      </c>
      <c r="D12" s="13" t="s">
        <v>62</v>
      </c>
      <c r="G12" s="18"/>
      <c r="H12" s="18"/>
    </row>
    <row r="13" spans="1:8" x14ac:dyDescent="0.3">
      <c r="A13" s="29"/>
      <c r="B13" s="1" t="s">
        <v>58</v>
      </c>
      <c r="C13" s="2">
        <v>80000</v>
      </c>
      <c r="D13" s="13" t="s">
        <v>61</v>
      </c>
    </row>
    <row r="14" spans="1:8" x14ac:dyDescent="0.3">
      <c r="A14" s="29"/>
      <c r="B14" s="1"/>
      <c r="C14" s="2"/>
      <c r="D14" s="13"/>
    </row>
    <row r="15" spans="1:8" x14ac:dyDescent="0.3">
      <c r="A15" s="30"/>
      <c r="B15" s="3"/>
      <c r="C15" s="4">
        <f>SUM(C12:C14)</f>
        <v>325000</v>
      </c>
      <c r="D15" s="13"/>
      <c r="E15" s="5">
        <f>C15/922.17</f>
        <v>352.4295954108245</v>
      </c>
    </row>
    <row r="16" spans="1:8" x14ac:dyDescent="0.3">
      <c r="D16" s="13"/>
    </row>
    <row r="17" spans="1:7" x14ac:dyDescent="0.3">
      <c r="A17" s="28" t="s">
        <v>5</v>
      </c>
      <c r="B17" s="1" t="s">
        <v>44</v>
      </c>
      <c r="C17" s="2">
        <v>80000</v>
      </c>
      <c r="D17" s="13" t="s">
        <v>63</v>
      </c>
      <c r="F17" t="s">
        <v>68</v>
      </c>
    </row>
    <row r="18" spans="1:7" x14ac:dyDescent="0.3">
      <c r="A18" s="29"/>
      <c r="B18" s="1" t="s">
        <v>64</v>
      </c>
      <c r="C18" s="2">
        <v>160000</v>
      </c>
      <c r="D18" s="13" t="s">
        <v>65</v>
      </c>
      <c r="F18" t="s">
        <v>67</v>
      </c>
      <c r="G18" t="s">
        <v>69</v>
      </c>
    </row>
    <row r="19" spans="1:7" x14ac:dyDescent="0.3">
      <c r="A19" s="29"/>
      <c r="B19" s="1" t="s">
        <v>70</v>
      </c>
      <c r="C19" s="2">
        <v>35000</v>
      </c>
      <c r="D19" t="s">
        <v>71</v>
      </c>
      <c r="F19" t="s">
        <v>68</v>
      </c>
    </row>
    <row r="20" spans="1:7" x14ac:dyDescent="0.3">
      <c r="A20" s="29"/>
      <c r="B20" s="1"/>
      <c r="C20" s="1"/>
      <c r="F20" s="12"/>
    </row>
    <row r="21" spans="1:7" x14ac:dyDescent="0.3">
      <c r="A21" s="30"/>
      <c r="B21" s="3"/>
      <c r="C21" s="4">
        <f>SUM(C17:C19)</f>
        <v>275000</v>
      </c>
      <c r="E21" s="5">
        <f>C21/922.17</f>
        <v>298.20965765531304</v>
      </c>
    </row>
    <row r="22" spans="1:7" x14ac:dyDescent="0.3">
      <c r="A22" s="10"/>
      <c r="C22" s="11"/>
      <c r="E22" s="5"/>
    </row>
    <row r="23" spans="1:7" x14ac:dyDescent="0.3">
      <c r="A23" s="10"/>
      <c r="C23" s="11"/>
      <c r="E23" s="5"/>
    </row>
    <row r="24" spans="1:7" x14ac:dyDescent="0.3">
      <c r="C24" t="s">
        <v>16</v>
      </c>
      <c r="E24" t="s">
        <v>17</v>
      </c>
    </row>
    <row r="25" spans="1:7" x14ac:dyDescent="0.3">
      <c r="B25" s="6" t="s">
        <v>41</v>
      </c>
      <c r="C25" s="7">
        <f>SUM(C6+C10+C15+C21)</f>
        <v>2848513</v>
      </c>
      <c r="E25" s="22">
        <f>C25/922.17</f>
        <v>3088.9239511153041</v>
      </c>
    </row>
    <row r="26" spans="1:7" x14ac:dyDescent="0.3">
      <c r="B26" t="s">
        <v>12</v>
      </c>
      <c r="C26" s="16">
        <f>C25*19/100</f>
        <v>541217.47</v>
      </c>
      <c r="E26" s="5">
        <f>C26/922.17</f>
        <v>586.89555071190773</v>
      </c>
    </row>
    <row r="27" spans="1:7" x14ac:dyDescent="0.3">
      <c r="B27" t="s">
        <v>13</v>
      </c>
      <c r="C27" s="7">
        <f>SUM(C25:C26)</f>
        <v>3389730.4699999997</v>
      </c>
      <c r="E27" s="22">
        <f>C27/922.17</f>
        <v>3675.8195018272118</v>
      </c>
      <c r="F27" s="18"/>
    </row>
    <row r="30" spans="1:7" x14ac:dyDescent="0.3">
      <c r="C30" t="s">
        <v>78</v>
      </c>
      <c r="D30" s="20" t="s">
        <v>18</v>
      </c>
      <c r="E30" s="23">
        <v>22</v>
      </c>
      <c r="F30" s="19" t="s">
        <v>36</v>
      </c>
    </row>
  </sheetData>
  <mergeCells count="4">
    <mergeCell ref="A3:A6"/>
    <mergeCell ref="A8:A10"/>
    <mergeCell ref="A12:A15"/>
    <mergeCell ref="A17:A21"/>
  </mergeCells>
  <phoneticPr fontId="2" type="noConversion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F6E4-1FDF-4B68-A77E-FF9ACEE20E57}">
  <dimension ref="A1:F30"/>
  <sheetViews>
    <sheetView topLeftCell="A22" workbookViewId="0">
      <selection activeCell="D31" sqref="D31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32.296875" customWidth="1"/>
    <col min="5" max="5" width="10.69921875" customWidth="1"/>
    <col min="6" max="6" width="38.5976562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9</v>
      </c>
      <c r="D2" t="s">
        <v>4</v>
      </c>
      <c r="E2" t="s">
        <v>8</v>
      </c>
      <c r="F2" t="s">
        <v>7</v>
      </c>
    </row>
    <row r="3" spans="1:6" x14ac:dyDescent="0.3">
      <c r="A3" s="28" t="s">
        <v>2</v>
      </c>
      <c r="B3" s="1" t="s">
        <v>10</v>
      </c>
      <c r="C3" s="2">
        <v>880000</v>
      </c>
      <c r="D3" s="14"/>
      <c r="E3" s="5"/>
    </row>
    <row r="4" spans="1:6" x14ac:dyDescent="0.3">
      <c r="A4" s="29"/>
      <c r="B4" s="1" t="s">
        <v>11</v>
      </c>
      <c r="C4" s="2">
        <v>590000</v>
      </c>
      <c r="D4" s="13"/>
      <c r="E4" s="5"/>
    </row>
    <row r="5" spans="1:6" x14ac:dyDescent="0.3">
      <c r="A5" s="29"/>
      <c r="B5" s="1"/>
      <c r="C5" s="2"/>
      <c r="D5" s="13"/>
      <c r="E5" s="5"/>
    </row>
    <row r="6" spans="1:6" x14ac:dyDescent="0.3">
      <c r="A6" s="30"/>
      <c r="B6" s="3"/>
      <c r="C6" s="4">
        <f>SUM(C3:C5)</f>
        <v>1470000</v>
      </c>
      <c r="E6" s="5">
        <f>C6/953.11</f>
        <v>1542.3193545341041</v>
      </c>
    </row>
    <row r="8" spans="1:6" x14ac:dyDescent="0.3">
      <c r="A8" s="31" t="s">
        <v>0</v>
      </c>
      <c r="B8" s="1" t="s">
        <v>6</v>
      </c>
      <c r="C8" s="2">
        <v>1000000</v>
      </c>
      <c r="D8" s="13"/>
      <c r="F8" s="12"/>
    </row>
    <row r="9" spans="1:6" x14ac:dyDescent="0.3">
      <c r="A9" s="32"/>
      <c r="B9" s="1"/>
      <c r="C9" s="2"/>
      <c r="D9" s="13"/>
    </row>
    <row r="10" spans="1:6" x14ac:dyDescent="0.3">
      <c r="A10" s="33"/>
      <c r="B10" s="3"/>
      <c r="C10" s="4">
        <f>SUM(C8:C9)</f>
        <v>1000000</v>
      </c>
      <c r="D10" s="12"/>
      <c r="E10" s="5">
        <f>C10/953.11</f>
        <v>1049.1968398191184</v>
      </c>
    </row>
    <row r="12" spans="1:6" x14ac:dyDescent="0.3">
      <c r="A12" s="28" t="s">
        <v>1</v>
      </c>
      <c r="B12" s="1" t="s">
        <v>57</v>
      </c>
      <c r="C12" s="2">
        <v>245000</v>
      </c>
      <c r="D12" s="13"/>
    </row>
    <row r="13" spans="1:6" x14ac:dyDescent="0.3">
      <c r="A13" s="29"/>
      <c r="B13" s="1" t="s">
        <v>58</v>
      </c>
      <c r="C13" s="2">
        <v>100000</v>
      </c>
      <c r="D13" s="13" t="s">
        <v>77</v>
      </c>
    </row>
    <row r="14" spans="1:6" x14ac:dyDescent="0.3">
      <c r="A14" s="29"/>
      <c r="B14" s="1" t="s">
        <v>58</v>
      </c>
      <c r="C14" s="2">
        <v>100000</v>
      </c>
      <c r="D14" s="13" t="s">
        <v>76</v>
      </c>
    </row>
    <row r="15" spans="1:6" x14ac:dyDescent="0.3">
      <c r="A15" s="29"/>
      <c r="B15" s="1"/>
      <c r="C15" s="2"/>
      <c r="D15" s="13"/>
    </row>
    <row r="16" spans="1:6" x14ac:dyDescent="0.3">
      <c r="A16" s="30"/>
      <c r="B16" s="3"/>
      <c r="C16" s="4">
        <f>SUM(C12:C14)</f>
        <v>445000</v>
      </c>
      <c r="D16" s="13"/>
      <c r="E16" s="5">
        <f>C16/953.11</f>
        <v>466.89259371950772</v>
      </c>
    </row>
    <row r="17" spans="1:6" x14ac:dyDescent="0.3">
      <c r="D17" s="13"/>
    </row>
    <row r="18" spans="1:6" x14ac:dyDescent="0.3">
      <c r="A18" s="28" t="s">
        <v>5</v>
      </c>
      <c r="B18" s="1" t="s">
        <v>59</v>
      </c>
      <c r="C18" s="2">
        <v>320000</v>
      </c>
      <c r="D18" s="13" t="s">
        <v>75</v>
      </c>
    </row>
    <row r="19" spans="1:6" x14ac:dyDescent="0.3">
      <c r="A19" s="29"/>
      <c r="B19" s="1" t="s">
        <v>38</v>
      </c>
      <c r="C19" s="2">
        <v>20000</v>
      </c>
      <c r="D19" s="13"/>
    </row>
    <row r="20" spans="1:6" x14ac:dyDescent="0.3">
      <c r="A20" s="29"/>
      <c r="B20" s="1"/>
      <c r="C20" s="1"/>
      <c r="F20" s="12"/>
    </row>
    <row r="21" spans="1:6" x14ac:dyDescent="0.3">
      <c r="A21" s="30"/>
      <c r="B21" s="3"/>
      <c r="C21" s="4">
        <f>SUM(C18:C19)</f>
        <v>340000</v>
      </c>
      <c r="E21" s="5">
        <f>C21/953.11</f>
        <v>356.72692553850027</v>
      </c>
    </row>
    <row r="22" spans="1:6" x14ac:dyDescent="0.3">
      <c r="A22" s="10"/>
      <c r="C22" s="11"/>
      <c r="E22" s="5"/>
    </row>
    <row r="23" spans="1:6" x14ac:dyDescent="0.3">
      <c r="A23" s="10"/>
      <c r="C23" s="11"/>
      <c r="E23" s="5"/>
    </row>
    <row r="24" spans="1:6" x14ac:dyDescent="0.3">
      <c r="C24" t="s">
        <v>16</v>
      </c>
      <c r="E24" t="s">
        <v>17</v>
      </c>
    </row>
    <row r="25" spans="1:6" x14ac:dyDescent="0.3">
      <c r="B25" s="6" t="s">
        <v>74</v>
      </c>
      <c r="C25" s="7">
        <f>SUM(C6+C10+C16+C21)</f>
        <v>3255000</v>
      </c>
      <c r="E25" s="8">
        <f>C25/953.11</f>
        <v>3415.1357136112306</v>
      </c>
    </row>
    <row r="26" spans="1:6" x14ac:dyDescent="0.3">
      <c r="B26" t="s">
        <v>12</v>
      </c>
      <c r="C26" s="16">
        <f>C25*19/100</f>
        <v>618450</v>
      </c>
      <c r="E26" s="5">
        <f>C26/953.11</f>
        <v>648.87578558613382</v>
      </c>
    </row>
    <row r="27" spans="1:6" x14ac:dyDescent="0.3">
      <c r="B27" t="s">
        <v>13</v>
      </c>
      <c r="C27" s="7">
        <f>SUM(C25:C26)</f>
        <v>3873450</v>
      </c>
      <c r="E27" s="8">
        <f>C27/953.11</f>
        <v>4064.0114991973642</v>
      </c>
      <c r="F27" s="18"/>
    </row>
    <row r="30" spans="1:6" x14ac:dyDescent="0.3">
      <c r="C30" t="s">
        <v>35</v>
      </c>
      <c r="D30" s="20" t="s">
        <v>18</v>
      </c>
      <c r="F30" s="19"/>
    </row>
  </sheetData>
  <mergeCells count="4">
    <mergeCell ref="A3:A6"/>
    <mergeCell ref="A8:A10"/>
    <mergeCell ref="A12:A16"/>
    <mergeCell ref="A18:A21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4314B4-449D-44DB-8AFF-0439587CAC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E69404-78AE-4D4E-B3EB-13034220D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7AB786-A0FE-4A3E-9C6E-B693AB3484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Febrero</vt:lpstr>
      <vt:lpstr>Marzo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dcterms:created xsi:type="dcterms:W3CDTF">2025-01-09T21:01:51Z</dcterms:created>
  <dcterms:modified xsi:type="dcterms:W3CDTF">2026-04-12T22:58:26Z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