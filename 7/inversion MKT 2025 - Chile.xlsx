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FLEXI/MKT/"/>
    </mc:Choice>
  </mc:AlternateContent>
  <xr:revisionPtr revIDLastSave="867" documentId="8_{62703BC6-5A6B-4F8C-B041-205BFA82B8B5}" xr6:coauthVersionLast="47" xr6:coauthVersionMax="47" xr10:uidLastSave="{2DA752D0-4F4C-4AA9-87BE-6CFCE803B832}"/>
  <bookViews>
    <workbookView xWindow="-120" yWindow="-120" windowWidth="20730" windowHeight="11040" xr2:uid="{317E68FA-24F3-4B4B-8773-A8671968B245}"/>
  </bookViews>
  <sheets>
    <sheet name="Enero" sheetId="1" r:id="rId1"/>
    <sheet name="Febrero" sheetId="2" r:id="rId2"/>
    <sheet name="Marzo" sheetId="3" r:id="rId3"/>
    <sheet name="Abril" sheetId="4" r:id="rId4"/>
    <sheet name="Mayo" sheetId="5" r:id="rId5"/>
    <sheet name="presupuestojuni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0" i="2" l="1"/>
  <c r="D50" i="2"/>
  <c r="E28" i="5"/>
  <c r="E27" i="5"/>
  <c r="E26" i="5"/>
  <c r="E22" i="5"/>
  <c r="E16" i="5"/>
  <c r="E11" i="5"/>
  <c r="E6" i="5"/>
  <c r="C22" i="5" l="1"/>
  <c r="C21" i="6"/>
  <c r="C16" i="6"/>
  <c r="C11" i="6"/>
  <c r="C6" i="6"/>
  <c r="C27" i="1"/>
  <c r="C16" i="5"/>
  <c r="C11" i="5"/>
  <c r="C6" i="5"/>
  <c r="E11" i="4"/>
  <c r="E6" i="4"/>
  <c r="C11" i="4"/>
  <c r="E33" i="3"/>
  <c r="E32" i="3"/>
  <c r="E31" i="3"/>
  <c r="E27" i="3"/>
  <c r="E21" i="3"/>
  <c r="E12" i="3"/>
  <c r="E7" i="3"/>
  <c r="C6" i="4"/>
  <c r="C22" i="4"/>
  <c r="E22" i="4" s="1"/>
  <c r="C16" i="4"/>
  <c r="E16" i="4" s="1"/>
  <c r="C25" i="6" l="1"/>
  <c r="C26" i="6" s="1"/>
  <c r="C27" i="6" s="1"/>
  <c r="C26" i="5"/>
  <c r="C26" i="4"/>
  <c r="E26" i="4" s="1"/>
  <c r="C27" i="3"/>
  <c r="C21" i="3"/>
  <c r="C7" i="3"/>
  <c r="C12" i="3"/>
  <c r="E28" i="2"/>
  <c r="E27" i="2"/>
  <c r="E26" i="2"/>
  <c r="E22" i="2"/>
  <c r="E17" i="2"/>
  <c r="E12" i="2"/>
  <c r="E7" i="2"/>
  <c r="C27" i="2"/>
  <c r="C28" i="2" s="1"/>
  <c r="C12" i="2"/>
  <c r="C7" i="2"/>
  <c r="E27" i="1"/>
  <c r="E20" i="1"/>
  <c r="E14" i="1"/>
  <c r="E9" i="1"/>
  <c r="C22" i="2"/>
  <c r="C17" i="2"/>
  <c r="C14" i="1"/>
  <c r="C9" i="1"/>
  <c r="C20" i="1"/>
  <c r="C27" i="5" l="1"/>
  <c r="C27" i="4"/>
  <c r="E27" i="4" s="1"/>
  <c r="C31" i="3"/>
  <c r="C32" i="3" s="1"/>
  <c r="C26" i="2"/>
  <c r="C31" i="1"/>
  <c r="C32" i="1" l="1"/>
  <c r="E32" i="1" s="1"/>
  <c r="E31" i="1"/>
  <c r="C33" i="1"/>
  <c r="E33" i="1" s="1"/>
  <c r="C28" i="5"/>
  <c r="C28" i="4"/>
  <c r="E28" i="4" s="1"/>
  <c r="C33" i="3"/>
</calcChain>
</file>

<file path=xl/sharedStrings.xml><?xml version="1.0" encoding="utf-8"?>
<sst xmlns="http://schemas.openxmlformats.org/spreadsheetml/2006/main" count="245" uniqueCount="138">
  <si>
    <t>APERTURA</t>
  </si>
  <si>
    <t>INFLUENCERS</t>
  </si>
  <si>
    <t>CONVERSION</t>
  </si>
  <si>
    <t>PLATAFORMAS</t>
  </si>
  <si>
    <t>FACTURA</t>
  </si>
  <si>
    <t>VIDEO, GUIONES Y MATERIALES EXTRAS</t>
  </si>
  <si>
    <t>Meta</t>
  </si>
  <si>
    <t>TESTIMONIOS</t>
  </si>
  <si>
    <t>US del dia</t>
  </si>
  <si>
    <t>Meta cola dic.</t>
  </si>
  <si>
    <t>Apoyo Flexi tips (mafer)</t>
  </si>
  <si>
    <t>Reel flexitips</t>
  </si>
  <si>
    <t>Reel zapatilla flexi</t>
  </si>
  <si>
    <t>MONTO PESOS</t>
  </si>
  <si>
    <t>Conector Dashboard Enero</t>
  </si>
  <si>
    <t>Conector Dashboard Anual -Enero</t>
  </si>
  <si>
    <t>140B68EC-0003</t>
  </si>
  <si>
    <t>140B68EC-0002</t>
  </si>
  <si>
    <t>bhe_181</t>
  </si>
  <si>
    <t>bhe_83</t>
  </si>
  <si>
    <t>bhe_8</t>
  </si>
  <si>
    <t>https://www.instagram.com/p/DEyFmC5v-_8/</t>
  </si>
  <si>
    <t>https://www.instagram.com/p/DFdVwNNvEp6/</t>
  </si>
  <si>
    <t>https://www.instagram.com/p/DEvlzk2xpm-/</t>
  </si>
  <si>
    <t>https://www.instagram.com/p/DFYvr8QxTxo/</t>
  </si>
  <si>
    <t>8749154898530171-8776025262509806</t>
  </si>
  <si>
    <t>8945198845592446-8855436034568724</t>
  </si>
  <si>
    <t>8776309499148049-8730744877037839</t>
  </si>
  <si>
    <t>8700792476699744-8731318266980503</t>
  </si>
  <si>
    <t>Permanente - Kari (2 videos)</t>
  </si>
  <si>
    <t>Google</t>
  </si>
  <si>
    <t xml:space="preserve">Meta </t>
  </si>
  <si>
    <t>Reel 1</t>
  </si>
  <si>
    <t>Reel 2</t>
  </si>
  <si>
    <t>iva</t>
  </si>
  <si>
    <t>total</t>
  </si>
  <si>
    <t>US del dia 969</t>
  </si>
  <si>
    <t>Total sin iva</t>
  </si>
  <si>
    <t>Meta_8997438513701804-9038348866277436</t>
  </si>
  <si>
    <t>Meta_9029757547136572-9037682303010759</t>
  </si>
  <si>
    <t>Meta_9163419147103745-9019491904829802</t>
  </si>
  <si>
    <t>bhe-87Kari</t>
  </si>
  <si>
    <t>bhe_183_videosAndy</t>
  </si>
  <si>
    <t>https://www.instagram.com/p/DGB-NuARw3p/</t>
  </si>
  <si>
    <t>https://www.instagram.com/p/DF3lRozxLyq/</t>
  </si>
  <si>
    <t>https://www.instagram.com/p/DGMPF8cP8sc/</t>
  </si>
  <si>
    <t>Permanente - Kari (1 video)</t>
  </si>
  <si>
    <t>Total Febrero</t>
  </si>
  <si>
    <t>CL</t>
  </si>
  <si>
    <t>USD</t>
  </si>
  <si>
    <t>Fee agencia (25%)</t>
  </si>
  <si>
    <t>PAGADO</t>
  </si>
  <si>
    <t>https://www.instagram.com/p/DGyZLPUR80l/</t>
  </si>
  <si>
    <t>https://www.instagram.com/p/DHbhwdWx42q/</t>
  </si>
  <si>
    <t>https://www.instagram.com/p/DHrjWXIxuuh/</t>
  </si>
  <si>
    <t>Influencers Agencia - Marianne S.</t>
  </si>
  <si>
    <t>Influencers Agencia - Javiera</t>
  </si>
  <si>
    <t>https://www.instagram.com/p/DGwSKXGxnL-/</t>
  </si>
  <si>
    <t>https://www.instagram.com/p/DHKIcjmx5rW/</t>
  </si>
  <si>
    <t>FAC 000933 - InfluencersAgencia</t>
  </si>
  <si>
    <t>boletaAndy_186</t>
  </si>
  <si>
    <t>Reel 1 -Andy G. / Guiones, grab, edición</t>
  </si>
  <si>
    <t>Reel 2 -Andy G. / Guiones, grab, edición</t>
  </si>
  <si>
    <t>Reel 3 -Andy G. / Guiones, grab, edición</t>
  </si>
  <si>
    <t>boletaAndy_187</t>
  </si>
  <si>
    <t>https://www.instagram.com/p/DG4DftjMVtX/</t>
  </si>
  <si>
    <t>boletaMafer_26797857-9</t>
  </si>
  <si>
    <t>boleta_kari_90</t>
  </si>
  <si>
    <t>3 videios Kari Santoro</t>
  </si>
  <si>
    <t>Mafer - Apoyo Flexitips</t>
  </si>
  <si>
    <t>https://www.instagram.com/p/DG9T7zqstZf/</t>
  </si>
  <si>
    <t>Meta reconocimiento y trafico</t>
  </si>
  <si>
    <t>google_8379915865627719_20250331</t>
  </si>
  <si>
    <t>Meta_facturasMarzo.zip</t>
  </si>
  <si>
    <t>Total Marzo</t>
  </si>
  <si>
    <t>Influencers 1</t>
  </si>
  <si>
    <t>factura 611</t>
  </si>
  <si>
    <t>proforma N7</t>
  </si>
  <si>
    <t>proforma N8</t>
  </si>
  <si>
    <t>factura 617</t>
  </si>
  <si>
    <t>factura 642</t>
  </si>
  <si>
    <t>proforma N9</t>
  </si>
  <si>
    <t>google_20250430</t>
  </si>
  <si>
    <t>Agencia_FAC_1006</t>
  </si>
  <si>
    <t>bhe_kari-93</t>
  </si>
  <si>
    <t>MercadoPago_79661885</t>
  </si>
  <si>
    <t>materiales /microfono para grabación</t>
  </si>
  <si>
    <t>bhe_Andy-189</t>
  </si>
  <si>
    <t>pagos_metaAbril2025.zip</t>
  </si>
  <si>
    <t>Apoyo - Seba video mamá</t>
  </si>
  <si>
    <t>bhe_mafer-10</t>
  </si>
  <si>
    <t>factura</t>
  </si>
  <si>
    <t xml:space="preserve">proforma </t>
  </si>
  <si>
    <t>https://www.instagram.com/p/DIKjNiSRY-0/</t>
  </si>
  <si>
    <t>https://www.instagram.com/p/DIcecHNxJd0/</t>
  </si>
  <si>
    <t>https://www.instagram.com/p/DIxQ-2sxi9B/</t>
  </si>
  <si>
    <t>https://www.instagram.com/p/DIzz5r4Rkv2/</t>
  </si>
  <si>
    <t>https://www.instagram.com/p/DJAKducPsRF/</t>
  </si>
  <si>
    <t>https://www.instagram.com/p/DI4s38aoO9o/</t>
  </si>
  <si>
    <t>2 videos Kari Santoro</t>
  </si>
  <si>
    <t>grabación y edición, influencer agencia</t>
  </si>
  <si>
    <t>Total Abril</t>
  </si>
  <si>
    <t>Reel 4-Andy G. / Guiones, grab, edición</t>
  </si>
  <si>
    <t>factura 660</t>
  </si>
  <si>
    <t xml:space="preserve">proforma 10 </t>
  </si>
  <si>
    <t>materiales - APSSORTEO</t>
  </si>
  <si>
    <t>APPSORTEOSCOM_0000423932</t>
  </si>
  <si>
    <t>bhe_andy-195</t>
  </si>
  <si>
    <t>Influencers 1 - Luis Ugalde</t>
  </si>
  <si>
    <t>Influencers 2 - Simón Oliveros</t>
  </si>
  <si>
    <t>bhe_infl_luisU-96</t>
  </si>
  <si>
    <t>bhe_simon-112</t>
  </si>
  <si>
    <t>Apoyo - video Vespucio</t>
  </si>
  <si>
    <t>bhe_Sebastian-1</t>
  </si>
  <si>
    <t>1 video Kari Santoro</t>
  </si>
  <si>
    <t>bhe_Kari-95</t>
  </si>
  <si>
    <t>google_8379915865627719_20250531</t>
  </si>
  <si>
    <t>meta_Mayo2025</t>
  </si>
  <si>
    <t>https://www.instagram.com/p/DJ-WGFCv6-I/</t>
  </si>
  <si>
    <t>https://www.instagram.com/p/DKGLFfXxqgK/</t>
  </si>
  <si>
    <t>https://www.instagram.com/p/DJKPmU0R3tF/</t>
  </si>
  <si>
    <t>https://www.instagram.com/p/DJe59iXx3nI/</t>
  </si>
  <si>
    <t>https://www.instagram.com/p/DKVuEpFxgju/</t>
  </si>
  <si>
    <t>video en edición - cierre Vespucio q se atraso</t>
  </si>
  <si>
    <t>https://www.instagram.com/p/DJdFiu1RhqS/</t>
  </si>
  <si>
    <t>* app para poder hacer sorteo de concurso</t>
  </si>
  <si>
    <t>cyber</t>
  </si>
  <si>
    <t>Maca toundro</t>
  </si>
  <si>
    <t>agencia</t>
  </si>
  <si>
    <t xml:space="preserve"> e videos ig</t>
  </si>
  <si>
    <t>materiales</t>
  </si>
  <si>
    <t>optimización etiqueta .cl</t>
  </si>
  <si>
    <t>* etiqueta que muestra si llega hoy o mañana el calzado, si vives en la region principal del pais, esto ayuda a la decisión de compra del cliente.</t>
  </si>
  <si>
    <t>https://www.flexishoes.cl/mujer</t>
  </si>
  <si>
    <t>Total Mayo</t>
  </si>
  <si>
    <t>Cetryk_F.295</t>
  </si>
  <si>
    <t>factura 671</t>
  </si>
  <si>
    <t>pagado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</si>
</sst>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_ &quot;$&quot;* #,##0_ ;_ &quot;$&quot;* \-#,##0_ ;_ &quot;$&quot;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42" fontId="0" fillId="2" borderId="0" xfId="0" applyNumberFormat="1" applyFill="1"/>
    <xf numFmtId="0" fontId="0" fillId="2" borderId="1" xfId="0" applyFill="1" applyBorder="1"/>
    <xf numFmtId="42" fontId="1" fillId="2" borderId="1" xfId="0" applyNumberFormat="1" applyFont="1" applyFill="1" applyBorder="1"/>
    <xf numFmtId="44" fontId="0" fillId="0" borderId="0" xfId="0" applyNumberFormat="1"/>
    <xf numFmtId="0" fontId="0" fillId="3" borderId="0" xfId="0" applyFill="1"/>
    <xf numFmtId="42" fontId="0" fillId="3" borderId="0" xfId="0" applyNumberFormat="1" applyFill="1"/>
    <xf numFmtId="44" fontId="0" fillId="3" borderId="0" xfId="0" applyNumberFormat="1" applyFill="1"/>
    <xf numFmtId="0" fontId="1" fillId="0" borderId="0" xfId="0" applyFont="1" applyAlignment="1">
      <alignment horizontal="left"/>
    </xf>
    <xf numFmtId="0" fontId="0" fillId="0" borderId="0" xfId="0" applyAlignment="1">
      <alignment horizontal="center" vertical="center" wrapText="1"/>
    </xf>
    <xf numFmtId="42" fontId="1" fillId="0" borderId="0" xfId="0" applyNumberFormat="1" applyFont="1"/>
    <xf numFmtId="42" fontId="0" fillId="0" borderId="0" xfId="0" applyNumberFormat="1"/>
    <xf numFmtId="0" fontId="3" fillId="0" borderId="0" xfId="0" applyFont="1"/>
    <xf numFmtId="0" fontId="3" fillId="0" borderId="0" xfId="0" applyFont="1" applyAlignment="1">
      <alignment horizontal="left"/>
    </xf>
    <xf numFmtId="42" fontId="3" fillId="0" borderId="0" xfId="0" applyNumberFormat="1" applyFont="1"/>
    <xf numFmtId="164" fontId="0" fillId="0" borderId="0" xfId="0" applyNumberFormat="1"/>
    <xf numFmtId="17" fontId="1" fillId="0" borderId="0" xfId="0" applyNumberFormat="1" applyFont="1" applyAlignment="1">
      <alignment horizontal="left"/>
    </xf>
    <xf numFmtId="0" fontId="1" fillId="0" borderId="0" xfId="0" applyFont="1"/>
    <xf numFmtId="44" fontId="0" fillId="4" borderId="0" xfId="0" applyNumberFormat="1" applyFill="1"/>
    <xf numFmtId="0" fontId="1" fillId="5" borderId="0" xfId="0" applyFont="1" applyFill="1"/>
    <xf numFmtId="0" fontId="0" fillId="0" borderId="0" xfId="0" applyAlignment="1">
      <alignment horizontal="right"/>
    </xf>
    <xf numFmtId="44" fontId="0" fillId="6" borderId="0" xfId="0" applyNumberFormat="1" applyFill="1"/>
    <xf numFmtId="0" fontId="0" fillId="7" borderId="0" xfId="0" applyFill="1"/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5" Type="http://schemas.openxmlformats.org/officeDocument/2006/relationships/image" Target="../media/image6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png"/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91807</xdr:colOff>
      <xdr:row>37</xdr:row>
      <xdr:rowOff>68855</xdr:rowOff>
    </xdr:from>
    <xdr:to>
      <xdr:col>5</xdr:col>
      <xdr:colOff>2436747</xdr:colOff>
      <xdr:row>43</xdr:row>
      <xdr:rowOff>22420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A7D2393-6B38-2E08-17F0-4A06D96DC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8253" y="7264247"/>
          <a:ext cx="7887801" cy="11241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5</xdr:col>
      <xdr:colOff>2191863</xdr:colOff>
      <xdr:row>44</xdr:row>
      <xdr:rowOff>57450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728063-1686-9DE8-9BC5-E0A4575DB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9200" y="6286500"/>
          <a:ext cx="7973538" cy="2152950"/>
        </a:xfrm>
        <a:prstGeom prst="rect">
          <a:avLst/>
        </a:prstGeom>
      </xdr:spPr>
    </xdr:pic>
    <xdr:clientData/>
  </xdr:twoCellAnchor>
  <xdr:twoCellAnchor editAs="oneCell">
    <xdr:from>
      <xdr:col>6</xdr:col>
      <xdr:colOff>428625</xdr:colOff>
      <xdr:row>31</xdr:row>
      <xdr:rowOff>180975</xdr:rowOff>
    </xdr:from>
    <xdr:to>
      <xdr:col>16</xdr:col>
      <xdr:colOff>515426</xdr:colOff>
      <xdr:row>45</xdr:row>
      <xdr:rowOff>347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596DBF-53C2-8852-12E6-F53FD75AC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1250" y="6086475"/>
          <a:ext cx="7706801" cy="2486372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17</xdr:col>
      <xdr:colOff>86801</xdr:colOff>
      <xdr:row>57</xdr:row>
      <xdr:rowOff>86029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B4C591D-CA8D-B219-F98B-A6DAAE993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334625" y="8763000"/>
          <a:ext cx="7706801" cy="2181529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58</xdr:row>
      <xdr:rowOff>0</xdr:rowOff>
    </xdr:from>
    <xdr:to>
      <xdr:col>17</xdr:col>
      <xdr:colOff>10590</xdr:colOff>
      <xdr:row>68</xdr:row>
      <xdr:rowOff>86003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BBD730B-6799-0DE7-FF72-FFB2090C3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334625" y="11049000"/>
          <a:ext cx="7630590" cy="1991003"/>
        </a:xfrm>
        <a:prstGeom prst="rect">
          <a:avLst/>
        </a:prstGeom>
      </xdr:spPr>
    </xdr:pic>
    <xdr:clientData/>
  </xdr:twoCellAnchor>
  <xdr:twoCellAnchor editAs="oneCell">
    <xdr:from>
      <xdr:col>9</xdr:col>
      <xdr:colOff>161925</xdr:colOff>
      <xdr:row>27</xdr:row>
      <xdr:rowOff>95250</xdr:rowOff>
    </xdr:from>
    <xdr:to>
      <xdr:col>14</xdr:col>
      <xdr:colOff>257720</xdr:colOff>
      <xdr:row>31</xdr:row>
      <xdr:rowOff>76304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BF6F7E25-64BC-A6BB-CBA7-18D0CF655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020550" y="5238750"/>
          <a:ext cx="3905795" cy="7430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857250</xdr:colOff>
      <xdr:row>35</xdr:row>
      <xdr:rowOff>57150</xdr:rowOff>
    </xdr:from>
    <xdr:to>
      <xdr:col>5</xdr:col>
      <xdr:colOff>1725118</xdr:colOff>
      <xdr:row>45</xdr:row>
      <xdr:rowOff>19311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4A52E0-4828-7416-A7CD-1F60EE99C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6724650"/>
          <a:ext cx="7830643" cy="186716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31</xdr:row>
      <xdr:rowOff>142875</xdr:rowOff>
    </xdr:from>
    <xdr:to>
      <xdr:col>6</xdr:col>
      <xdr:colOff>515452</xdr:colOff>
      <xdr:row>43</xdr:row>
      <xdr:rowOff>28878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5DD98C-50F6-C323-A6BE-9F93176A8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3125" y="6048375"/>
          <a:ext cx="7897327" cy="2172003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12</xdr:col>
      <xdr:colOff>429455</xdr:colOff>
      <xdr:row>35</xdr:row>
      <xdr:rowOff>19451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74796A6-DE99-9886-A4D8-D84F7EEDC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944350" y="3810000"/>
          <a:ext cx="5944430" cy="2876951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15</xdr:col>
      <xdr:colOff>220194</xdr:colOff>
      <xdr:row>18</xdr:row>
      <xdr:rowOff>66791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A605891-D658-D4A0-C4FA-E0D77118B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944350" y="2667000"/>
          <a:ext cx="8021169" cy="82879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8</xdr:col>
      <xdr:colOff>1174703</xdr:colOff>
      <xdr:row>27</xdr:row>
      <xdr:rowOff>162665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3BDD438-5FCF-D738-1806-E6FD53762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96375" y="0"/>
          <a:ext cx="5353797" cy="5306165"/>
        </a:xfrm>
        <a:prstGeom prst="rect">
          <a:avLst/>
        </a:prstGeom>
      </xdr:spPr>
    </xdr:pic>
    <xdr:clientData/>
  </xdr:twoCellAnchor>
  <xdr:twoCellAnchor editAs="oneCell">
    <xdr:from>
      <xdr:col>8</xdr:col>
      <xdr:colOff>1107282</xdr:colOff>
      <xdr:row>0</xdr:row>
      <xdr:rowOff>0</xdr:rowOff>
    </xdr:from>
    <xdr:to>
      <xdr:col>16</xdr:col>
      <xdr:colOff>498934</xdr:colOff>
      <xdr:row>42</xdr:row>
      <xdr:rowOff>47625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9767F78-7688-922B-4A2A-A3CB8F04E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382751" y="0"/>
          <a:ext cx="7214058" cy="804862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33</xdr:row>
      <xdr:rowOff>35718</xdr:rowOff>
    </xdr:from>
    <xdr:to>
      <xdr:col>7</xdr:col>
      <xdr:colOff>276174</xdr:colOff>
      <xdr:row>40</xdr:row>
      <xdr:rowOff>35718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912F319-AE64-DF87-7912-88683F7ED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71563" y="6322218"/>
          <a:ext cx="10694142" cy="1333500"/>
        </a:xfrm>
        <a:prstGeom prst="rect">
          <a:avLst/>
        </a:prstGeom>
      </xdr:spPr>
    </xdr:pic>
    <xdr:clientData/>
  </xdr:twoCellAnchor>
  <xdr:twoCellAnchor editAs="oneCell">
    <xdr:from>
      <xdr:col>3</xdr:col>
      <xdr:colOff>59531</xdr:colOff>
      <xdr:row>41</xdr:row>
      <xdr:rowOff>11907</xdr:rowOff>
    </xdr:from>
    <xdr:to>
      <xdr:col>7</xdr:col>
      <xdr:colOff>720265</xdr:colOff>
      <xdr:row>52</xdr:row>
      <xdr:rowOff>145568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02621B9-92DD-FC0D-E296-ADDB4B615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131469" y="7822407"/>
          <a:ext cx="8078327" cy="22291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2A5D-9C18-4E9F-978F-64A8B3B6A0F1}">
  <sheetPr>
    <tabColor theme="9" tint="0.79998168889431442"/>
  </sheetPr>
  <dimension ref="A1:G36"/>
  <sheetViews>
    <sheetView tabSelected="1" topLeftCell="A27" zoomScale="83" zoomScaleNormal="83" workbookViewId="0">
      <selection activeCell="D67" sqref="D67"/>
    </sheetView>
  </sheetViews>
  <sheetFormatPr baseColWidth="10" defaultRowHeight="15" x14ac:dyDescent="0.25"/>
  <cols>
    <col min="1" max="1" width="18.28515625" customWidth="1"/>
    <col min="2" max="2" width="28.42578125" customWidth="1"/>
    <col min="3" max="3" width="15.28515625" customWidth="1"/>
    <col min="4" max="4" width="26.28515625" customWidth="1"/>
    <col min="5" max="5" width="13" customWidth="1"/>
    <col min="6" max="6" width="38.5703125" customWidth="1"/>
  </cols>
  <sheetData>
    <row r="1" spans="1:7" x14ac:dyDescent="0.25">
      <c r="A1" s="17">
        <v>45658</v>
      </c>
    </row>
    <row r="2" spans="1:7" x14ac:dyDescent="0.25">
      <c r="B2" t="s">
        <v>3</v>
      </c>
      <c r="C2" t="s">
        <v>13</v>
      </c>
      <c r="D2" t="s">
        <v>4</v>
      </c>
      <c r="E2" t="s">
        <v>36</v>
      </c>
      <c r="F2" t="s">
        <v>7</v>
      </c>
    </row>
    <row r="3" spans="1:7" x14ac:dyDescent="0.25">
      <c r="A3" s="24" t="s">
        <v>2</v>
      </c>
      <c r="B3" s="1" t="s">
        <v>30</v>
      </c>
      <c r="C3" s="2">
        <v>819560</v>
      </c>
      <c r="D3" s="14">
        <v>20250131</v>
      </c>
      <c r="E3" s="5"/>
    </row>
    <row r="4" spans="1:7" x14ac:dyDescent="0.25">
      <c r="A4" s="25"/>
      <c r="B4" s="1" t="s">
        <v>9</v>
      </c>
      <c r="C4" s="2">
        <v>77748</v>
      </c>
      <c r="D4" s="13" t="s">
        <v>25</v>
      </c>
      <c r="E4" s="5"/>
      <c r="F4" s="12"/>
      <c r="G4" s="12"/>
    </row>
    <row r="5" spans="1:7" x14ac:dyDescent="0.25">
      <c r="A5" s="25"/>
      <c r="B5" s="1" t="s">
        <v>31</v>
      </c>
      <c r="C5" s="2">
        <v>28109</v>
      </c>
      <c r="D5" s="13" t="s">
        <v>27</v>
      </c>
      <c r="E5" s="5"/>
    </row>
    <row r="6" spans="1:7" x14ac:dyDescent="0.25">
      <c r="A6" s="25"/>
      <c r="B6" s="1" t="s">
        <v>31</v>
      </c>
      <c r="C6" s="2">
        <v>55269</v>
      </c>
      <c r="D6" s="13" t="s">
        <v>28</v>
      </c>
      <c r="E6" s="5"/>
    </row>
    <row r="7" spans="1:7" x14ac:dyDescent="0.25">
      <c r="A7" s="25"/>
      <c r="B7" s="1" t="s">
        <v>31</v>
      </c>
      <c r="C7" s="2">
        <v>443730</v>
      </c>
      <c r="D7" s="13" t="s">
        <v>26</v>
      </c>
      <c r="E7" s="5"/>
    </row>
    <row r="8" spans="1:7" x14ac:dyDescent="0.25">
      <c r="A8" s="25"/>
      <c r="B8" s="1"/>
      <c r="C8" s="2"/>
      <c r="D8" s="15"/>
      <c r="E8" s="5"/>
    </row>
    <row r="9" spans="1:7" x14ac:dyDescent="0.25">
      <c r="A9" s="26"/>
      <c r="B9" s="3"/>
      <c r="C9" s="4">
        <f>SUM(C3:C7)</f>
        <v>1424416</v>
      </c>
      <c r="E9" s="5">
        <f>C9/969</f>
        <v>1469.985552115583</v>
      </c>
    </row>
    <row r="11" spans="1:7" x14ac:dyDescent="0.25">
      <c r="A11" s="27" t="s">
        <v>0</v>
      </c>
      <c r="B11" s="1" t="s">
        <v>9</v>
      </c>
      <c r="C11" s="2">
        <v>254038</v>
      </c>
      <c r="D11" s="13" t="s">
        <v>26</v>
      </c>
    </row>
    <row r="12" spans="1:7" x14ac:dyDescent="0.25">
      <c r="A12" s="28"/>
      <c r="B12" s="1" t="s">
        <v>6</v>
      </c>
      <c r="C12" s="2">
        <v>48158</v>
      </c>
      <c r="D12" s="13" t="s">
        <v>25</v>
      </c>
    </row>
    <row r="13" spans="1:7" x14ac:dyDescent="0.25">
      <c r="A13" s="28"/>
      <c r="B13" s="1"/>
      <c r="C13" s="1"/>
    </row>
    <row r="14" spans="1:7" x14ac:dyDescent="0.25">
      <c r="A14" s="29"/>
      <c r="B14" s="3"/>
      <c r="C14" s="4">
        <f>SUM(C11:C12)</f>
        <v>302196</v>
      </c>
      <c r="E14" s="5">
        <f>C14/969</f>
        <v>311.8637770897833</v>
      </c>
    </row>
    <row r="16" spans="1:7" x14ac:dyDescent="0.25">
      <c r="A16" s="24" t="s">
        <v>1</v>
      </c>
      <c r="B16" s="1" t="s">
        <v>29</v>
      </c>
      <c r="C16" s="2">
        <v>100000</v>
      </c>
      <c r="D16" s="13" t="s">
        <v>19</v>
      </c>
      <c r="F16" t="s">
        <v>21</v>
      </c>
    </row>
    <row r="17" spans="1:6" x14ac:dyDescent="0.25">
      <c r="A17" s="25"/>
      <c r="B17" s="1"/>
      <c r="C17" s="2"/>
      <c r="D17" s="13"/>
      <c r="F17" t="s">
        <v>22</v>
      </c>
    </row>
    <row r="18" spans="1:6" x14ac:dyDescent="0.25">
      <c r="A18" s="25"/>
      <c r="B18" s="1" t="s">
        <v>10</v>
      </c>
      <c r="C18" s="2">
        <v>15000</v>
      </c>
      <c r="D18" s="13" t="s">
        <v>20</v>
      </c>
      <c r="F18" t="s">
        <v>23</v>
      </c>
    </row>
    <row r="19" spans="1:6" x14ac:dyDescent="0.25">
      <c r="A19" s="25"/>
      <c r="B19" s="1"/>
      <c r="C19" s="2"/>
      <c r="D19" s="13"/>
    </row>
    <row r="20" spans="1:6" x14ac:dyDescent="0.25">
      <c r="A20" s="26"/>
      <c r="B20" s="3"/>
      <c r="C20" s="4">
        <f>SUM(C16:C19)</f>
        <v>115000</v>
      </c>
      <c r="D20" s="13"/>
      <c r="E20" s="5">
        <f>C20/969</f>
        <v>118.67905056759545</v>
      </c>
    </row>
    <row r="21" spans="1:6" x14ac:dyDescent="0.25">
      <c r="D21" s="13"/>
    </row>
    <row r="22" spans="1:6" ht="14.45" customHeight="1" x14ac:dyDescent="0.25">
      <c r="A22" s="24" t="s">
        <v>5</v>
      </c>
      <c r="B22" s="1" t="s">
        <v>11</v>
      </c>
      <c r="C22" s="2">
        <v>80000</v>
      </c>
      <c r="D22" s="13" t="s">
        <v>18</v>
      </c>
      <c r="F22" t="s">
        <v>23</v>
      </c>
    </row>
    <row r="23" spans="1:6" ht="14.45" customHeight="1" x14ac:dyDescent="0.25">
      <c r="A23" s="25"/>
      <c r="B23" s="1" t="s">
        <v>12</v>
      </c>
      <c r="C23" s="2">
        <v>80000</v>
      </c>
      <c r="D23" s="13" t="s">
        <v>18</v>
      </c>
      <c r="F23" t="s">
        <v>24</v>
      </c>
    </row>
    <row r="24" spans="1:6" x14ac:dyDescent="0.25">
      <c r="A24" s="25"/>
      <c r="B24" s="1" t="s">
        <v>14</v>
      </c>
      <c r="C24" s="2">
        <v>14660</v>
      </c>
      <c r="D24" s="13" t="s">
        <v>16</v>
      </c>
    </row>
    <row r="25" spans="1:6" x14ac:dyDescent="0.25">
      <c r="A25" s="25"/>
      <c r="B25" s="1" t="s">
        <v>15</v>
      </c>
      <c r="C25" s="2">
        <v>132050</v>
      </c>
      <c r="D25" s="13" t="s">
        <v>17</v>
      </c>
    </row>
    <row r="26" spans="1:6" x14ac:dyDescent="0.25">
      <c r="A26" s="25"/>
      <c r="B26" s="1"/>
      <c r="C26" s="1"/>
      <c r="F26" s="12"/>
    </row>
    <row r="27" spans="1:6" x14ac:dyDescent="0.25">
      <c r="A27" s="26"/>
      <c r="B27" s="3"/>
      <c r="C27" s="4">
        <f>SUM(C22:C25)</f>
        <v>306710</v>
      </c>
      <c r="E27" s="5">
        <f>C27/969</f>
        <v>316.52218782249741</v>
      </c>
    </row>
    <row r="28" spans="1:6" x14ac:dyDescent="0.25">
      <c r="A28" s="10"/>
      <c r="C28" s="11"/>
      <c r="E28" s="5"/>
    </row>
    <row r="29" spans="1:6" x14ac:dyDescent="0.25">
      <c r="A29" s="10"/>
      <c r="C29" s="11"/>
      <c r="E29" s="5"/>
    </row>
    <row r="31" spans="1:6" x14ac:dyDescent="0.25">
      <c r="B31" s="6" t="s">
        <v>37</v>
      </c>
      <c r="C31" s="7">
        <f>SUM(C9+C14+C20+C27)</f>
        <v>2148322</v>
      </c>
      <c r="E31" s="8">
        <f>C31/969</f>
        <v>2217.0505675954591</v>
      </c>
    </row>
    <row r="32" spans="1:6" x14ac:dyDescent="0.25">
      <c r="B32" t="s">
        <v>34</v>
      </c>
      <c r="C32" s="16">
        <f>C31*19/100</f>
        <v>408181.18</v>
      </c>
      <c r="E32" s="8">
        <f t="shared" ref="E32:E33" si="0">C32/969</f>
        <v>421.23960784313726</v>
      </c>
    </row>
    <row r="33" spans="2:6" x14ac:dyDescent="0.25">
      <c r="B33" t="s">
        <v>35</v>
      </c>
      <c r="C33" s="12">
        <f>SUM(C31:C32)</f>
        <v>2556503.1800000002</v>
      </c>
      <c r="E33" s="8">
        <f t="shared" si="0"/>
        <v>2638.2901754385966</v>
      </c>
    </row>
    <row r="36" spans="2:6" x14ac:dyDescent="0.25">
      <c r="C36" t="s">
        <v>76</v>
      </c>
      <c r="D36" s="21" t="s">
        <v>77</v>
      </c>
      <c r="F36" s="20" t="s">
        <v>51</v>
      </c>
    </row>
  </sheetData>
  <mergeCells count="4">
    <mergeCell ref="A3:A9"/>
    <mergeCell ref="A11:A14"/>
    <mergeCell ref="A16:A20"/>
    <mergeCell ref="A22:A27"/>
  </mergeCells>
  <phoneticPr fontId="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2112-4C16-472B-8A82-5B6C6244F879}">
  <sheetPr>
    <tabColor theme="9"/>
  </sheetPr>
  <dimension ref="A1:F50"/>
  <sheetViews>
    <sheetView topLeftCell="D51" workbookViewId="0">
      <selection activeCell="E51" sqref="E51"/>
    </sheetView>
  </sheetViews>
  <sheetFormatPr baseColWidth="10" defaultRowHeight="15" x14ac:dyDescent="0.25"/>
  <cols>
    <col min="1" max="1" width="18.28515625" customWidth="1"/>
    <col min="2" max="2" width="28.42578125" customWidth="1"/>
    <col min="3" max="3" width="15.28515625" customWidth="1"/>
    <col min="4" max="4" width="32.28515625" customWidth="1"/>
    <col min="5" max="5" width="10.7109375" customWidth="1"/>
    <col min="6" max="6" width="38.570312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24" t="s">
        <v>2</v>
      </c>
      <c r="B3" s="1" t="s">
        <v>30</v>
      </c>
      <c r="C3" s="2">
        <v>831698</v>
      </c>
      <c r="D3" s="14">
        <v>20250228</v>
      </c>
      <c r="E3" s="5"/>
    </row>
    <row r="4" spans="1:6" x14ac:dyDescent="0.25">
      <c r="A4" s="25"/>
      <c r="B4" s="1" t="s">
        <v>31</v>
      </c>
      <c r="C4" s="2">
        <v>444737</v>
      </c>
      <c r="D4" s="13" t="s">
        <v>39</v>
      </c>
      <c r="E4" s="5"/>
    </row>
    <row r="5" spans="1:6" x14ac:dyDescent="0.25">
      <c r="A5" s="25"/>
      <c r="B5" s="1" t="s">
        <v>31</v>
      </c>
      <c r="C5" s="2">
        <v>39376</v>
      </c>
      <c r="D5" s="13" t="s">
        <v>40</v>
      </c>
      <c r="E5" s="5"/>
    </row>
    <row r="6" spans="1:6" x14ac:dyDescent="0.25">
      <c r="A6" s="25"/>
      <c r="B6" s="1" t="s">
        <v>31</v>
      </c>
      <c r="C6" s="2">
        <v>2626</v>
      </c>
      <c r="D6" s="13" t="s">
        <v>38</v>
      </c>
      <c r="E6" s="5"/>
    </row>
    <row r="7" spans="1:6" x14ac:dyDescent="0.25">
      <c r="A7" s="26"/>
      <c r="B7" s="3"/>
      <c r="C7" s="4">
        <f>SUM(C3:C6)</f>
        <v>1318437</v>
      </c>
      <c r="E7" s="5">
        <f>C7/953.11</f>
        <v>1383.2999339005992</v>
      </c>
    </row>
    <row r="9" spans="1:6" x14ac:dyDescent="0.25">
      <c r="A9" s="27" t="s">
        <v>0</v>
      </c>
      <c r="B9" s="1" t="s">
        <v>6</v>
      </c>
      <c r="C9" s="2">
        <v>122218</v>
      </c>
      <c r="D9" s="13" t="s">
        <v>39</v>
      </c>
      <c r="F9" s="12"/>
    </row>
    <row r="10" spans="1:6" x14ac:dyDescent="0.25">
      <c r="A10" s="28"/>
      <c r="B10" s="1"/>
      <c r="C10" s="2">
        <v>1123</v>
      </c>
      <c r="D10" s="13" t="s">
        <v>40</v>
      </c>
    </row>
    <row r="11" spans="1:6" x14ac:dyDescent="0.25">
      <c r="A11" s="28"/>
      <c r="B11" s="1"/>
      <c r="C11" s="1">
        <v>109</v>
      </c>
      <c r="D11" s="13" t="s">
        <v>38</v>
      </c>
    </row>
    <row r="12" spans="1:6" x14ac:dyDescent="0.25">
      <c r="A12" s="29"/>
      <c r="B12" s="3"/>
      <c r="C12" s="4">
        <f>SUM(C9:C11)</f>
        <v>123450</v>
      </c>
      <c r="D12" s="12"/>
      <c r="E12" s="5">
        <f>C12/953.11</f>
        <v>129.52334987567016</v>
      </c>
    </row>
    <row r="14" spans="1:6" x14ac:dyDescent="0.25">
      <c r="A14" s="24" t="s">
        <v>1</v>
      </c>
      <c r="B14" s="1" t="s">
        <v>46</v>
      </c>
      <c r="C14" s="2">
        <v>50000</v>
      </c>
      <c r="D14" s="13" t="s">
        <v>41</v>
      </c>
      <c r="F14" t="s">
        <v>43</v>
      </c>
    </row>
    <row r="15" spans="1:6" x14ac:dyDescent="0.25">
      <c r="A15" s="25"/>
      <c r="B15" s="1"/>
      <c r="C15" s="2"/>
      <c r="D15" s="13"/>
    </row>
    <row r="16" spans="1:6" x14ac:dyDescent="0.25">
      <c r="A16" s="25"/>
      <c r="B16" s="1"/>
      <c r="C16" s="2"/>
      <c r="D16" s="13"/>
    </row>
    <row r="17" spans="1:6" x14ac:dyDescent="0.25">
      <c r="A17" s="26"/>
      <c r="B17" s="3"/>
      <c r="C17" s="4">
        <f>SUM(C14:C16)</f>
        <v>50000</v>
      </c>
      <c r="D17" s="13"/>
      <c r="E17" s="5">
        <f>C17/953.11</f>
        <v>52.459841990955923</v>
      </c>
    </row>
    <row r="18" spans="1:6" x14ac:dyDescent="0.25">
      <c r="D18" s="13"/>
    </row>
    <row r="19" spans="1:6" x14ac:dyDescent="0.25">
      <c r="A19" s="24" t="s">
        <v>5</v>
      </c>
      <c r="B19" s="1" t="s">
        <v>32</v>
      </c>
      <c r="C19" s="2">
        <v>80000</v>
      </c>
      <c r="D19" s="13" t="s">
        <v>42</v>
      </c>
      <c r="F19" t="s">
        <v>44</v>
      </c>
    </row>
    <row r="20" spans="1:6" x14ac:dyDescent="0.25">
      <c r="A20" s="25"/>
      <c r="B20" s="1" t="s">
        <v>33</v>
      </c>
      <c r="C20" s="2">
        <v>80000</v>
      </c>
      <c r="D20" s="13" t="s">
        <v>42</v>
      </c>
      <c r="F20" t="s">
        <v>45</v>
      </c>
    </row>
    <row r="21" spans="1:6" x14ac:dyDescent="0.25">
      <c r="A21" s="25"/>
      <c r="B21" s="1"/>
      <c r="C21" s="1"/>
      <c r="F21" s="12"/>
    </row>
    <row r="22" spans="1:6" x14ac:dyDescent="0.25">
      <c r="A22" s="26"/>
      <c r="B22" s="3"/>
      <c r="C22" s="4">
        <f>SUM(C19:C20)</f>
        <v>160000</v>
      </c>
      <c r="E22" s="5">
        <f>C22/953.11</f>
        <v>167.87149437105896</v>
      </c>
    </row>
    <row r="23" spans="1:6" x14ac:dyDescent="0.25">
      <c r="A23" s="10"/>
      <c r="C23" s="11"/>
      <c r="E23" s="5"/>
    </row>
    <row r="24" spans="1:6" x14ac:dyDescent="0.25">
      <c r="A24" s="10"/>
      <c r="C24" s="11"/>
      <c r="E24" s="5"/>
    </row>
    <row r="25" spans="1:6" x14ac:dyDescent="0.25">
      <c r="C25" t="s">
        <v>48</v>
      </c>
      <c r="E25" t="s">
        <v>49</v>
      </c>
    </row>
    <row r="26" spans="1:6" x14ac:dyDescent="0.25">
      <c r="B26" s="6" t="s">
        <v>47</v>
      </c>
      <c r="C26" s="7">
        <f>SUM(C7+C12+C17+C22)</f>
        <v>1651887</v>
      </c>
      <c r="E26" s="8">
        <f>C26/953.11</f>
        <v>1733.1546201382841</v>
      </c>
    </row>
    <row r="27" spans="1:6" x14ac:dyDescent="0.25">
      <c r="B27" t="s">
        <v>34</v>
      </c>
      <c r="C27" s="16">
        <f>C26*19/100</f>
        <v>313858.53000000003</v>
      </c>
      <c r="E27" s="5">
        <f>C27/953.11</f>
        <v>329.299377826274</v>
      </c>
    </row>
    <row r="28" spans="1:6" x14ac:dyDescent="0.25">
      <c r="B28" t="s">
        <v>35</v>
      </c>
      <c r="C28" s="7">
        <f>SUM(C26:C27)</f>
        <v>1965745.53</v>
      </c>
      <c r="E28" s="8">
        <f>C28/953.11</f>
        <v>2062.4539979645583</v>
      </c>
      <c r="F28" s="18"/>
    </row>
    <row r="31" spans="1:6" x14ac:dyDescent="0.25">
      <c r="C31" t="s">
        <v>79</v>
      </c>
      <c r="D31" s="21" t="s">
        <v>78</v>
      </c>
      <c r="F31" s="20" t="s">
        <v>51</v>
      </c>
    </row>
    <row r="50" spans="4:5" x14ac:dyDescent="0.25">
      <c r="D50" s="12">
        <f>+C28+Marzo!$C$33</f>
        <v>6687620.3100000005</v>
      </c>
      <c r="E50" s="5">
        <f>+E28+Marzo!$E$33</f>
        <v>6901.432046745047</v>
      </c>
    </row>
  </sheetData>
  <mergeCells count="4">
    <mergeCell ref="A3:A7"/>
    <mergeCell ref="A9:A12"/>
    <mergeCell ref="A14:A17"/>
    <mergeCell ref="A19:A22"/>
  </mergeCells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057F-31AB-470A-A4B0-11B445885338}">
  <sheetPr>
    <tabColor theme="9"/>
  </sheetPr>
  <dimension ref="A1:F35"/>
  <sheetViews>
    <sheetView topLeftCell="A31" workbookViewId="0">
      <selection activeCell="C31" sqref="C31"/>
    </sheetView>
  </sheetViews>
  <sheetFormatPr baseColWidth="10" defaultRowHeight="15" x14ac:dyDescent="0.25"/>
  <cols>
    <col min="1" max="1" width="16.7109375" customWidth="1"/>
    <col min="2" max="2" width="33.42578125" customWidth="1"/>
    <col min="3" max="3" width="14" customWidth="1"/>
    <col min="4" max="4" width="28.85546875" customWidth="1"/>
    <col min="6" max="6" width="26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24" t="s">
        <v>2</v>
      </c>
      <c r="B3" s="1" t="s">
        <v>30</v>
      </c>
      <c r="C3" s="2">
        <v>883702</v>
      </c>
      <c r="D3" s="14" t="s">
        <v>72</v>
      </c>
      <c r="E3" s="5"/>
    </row>
    <row r="4" spans="1:6" x14ac:dyDescent="0.25">
      <c r="A4" s="25"/>
      <c r="B4" s="1" t="s">
        <v>31</v>
      </c>
      <c r="C4" s="2">
        <v>569153</v>
      </c>
      <c r="D4" s="13" t="s">
        <v>73</v>
      </c>
      <c r="E4" s="5"/>
    </row>
    <row r="5" spans="1:6" x14ac:dyDescent="0.25">
      <c r="A5" s="25"/>
      <c r="B5" s="1"/>
      <c r="C5" s="2"/>
      <c r="D5" s="13"/>
      <c r="E5" s="5"/>
    </row>
    <row r="6" spans="1:6" x14ac:dyDescent="0.25">
      <c r="A6" s="25"/>
      <c r="B6" s="1"/>
      <c r="C6" s="2"/>
      <c r="D6" s="13"/>
      <c r="E6" s="5"/>
    </row>
    <row r="7" spans="1:6" x14ac:dyDescent="0.25">
      <c r="A7" s="26"/>
      <c r="B7" s="3"/>
      <c r="C7" s="4">
        <f>SUM(C3:C6)</f>
        <v>1452855</v>
      </c>
      <c r="E7" s="5">
        <f>C7/975.8</f>
        <v>1488.8860422217667</v>
      </c>
    </row>
    <row r="9" spans="1:6" x14ac:dyDescent="0.25">
      <c r="A9" s="27" t="s">
        <v>0</v>
      </c>
      <c r="B9" s="1" t="s">
        <v>71</v>
      </c>
      <c r="C9" s="2">
        <v>1159814</v>
      </c>
      <c r="D9" s="13" t="s">
        <v>73</v>
      </c>
    </row>
    <row r="10" spans="1:6" x14ac:dyDescent="0.25">
      <c r="A10" s="28"/>
      <c r="B10" s="1"/>
      <c r="C10" s="2"/>
      <c r="D10" s="13"/>
    </row>
    <row r="11" spans="1:6" x14ac:dyDescent="0.25">
      <c r="A11" s="28"/>
      <c r="B11" s="1"/>
      <c r="C11" s="1"/>
      <c r="D11" s="13"/>
    </row>
    <row r="12" spans="1:6" x14ac:dyDescent="0.25">
      <c r="A12" s="29"/>
      <c r="B12" s="3"/>
      <c r="C12" s="4">
        <f>SUM(C9:C11)</f>
        <v>1159814</v>
      </c>
      <c r="D12" s="12"/>
      <c r="E12" s="5">
        <f>C12/975.8</f>
        <v>1188.5775773724124</v>
      </c>
    </row>
    <row r="14" spans="1:6" x14ac:dyDescent="0.25">
      <c r="A14" s="24" t="s">
        <v>1</v>
      </c>
      <c r="B14" s="1" t="s">
        <v>68</v>
      </c>
      <c r="C14" s="2">
        <v>150000</v>
      </c>
      <c r="D14" s="13" t="s">
        <v>67</v>
      </c>
      <c r="F14" t="s">
        <v>52</v>
      </c>
    </row>
    <row r="15" spans="1:6" x14ac:dyDescent="0.25">
      <c r="A15" s="25"/>
      <c r="B15" s="1"/>
      <c r="C15" s="2"/>
      <c r="F15" t="s">
        <v>53</v>
      </c>
    </row>
    <row r="16" spans="1:6" x14ac:dyDescent="0.25">
      <c r="A16" s="25"/>
      <c r="B16" s="1"/>
      <c r="C16" s="2"/>
      <c r="D16" s="13"/>
      <c r="F16" t="s">
        <v>54</v>
      </c>
    </row>
    <row r="17" spans="1:6" x14ac:dyDescent="0.25">
      <c r="A17" s="25"/>
      <c r="B17" s="1"/>
      <c r="C17" s="2"/>
      <c r="D17" s="13"/>
    </row>
    <row r="18" spans="1:6" x14ac:dyDescent="0.25">
      <c r="A18" s="25"/>
      <c r="B18" s="1" t="s">
        <v>56</v>
      </c>
      <c r="C18" s="2">
        <v>409357</v>
      </c>
      <c r="D18" s="13" t="s">
        <v>59</v>
      </c>
      <c r="F18" t="s">
        <v>57</v>
      </c>
    </row>
    <row r="19" spans="1:6" x14ac:dyDescent="0.25">
      <c r="A19" s="25"/>
      <c r="B19" s="1" t="s">
        <v>55</v>
      </c>
      <c r="C19" s="2">
        <v>350877</v>
      </c>
      <c r="D19" s="13" t="s">
        <v>59</v>
      </c>
      <c r="F19" t="s">
        <v>58</v>
      </c>
    </row>
    <row r="20" spans="1:6" x14ac:dyDescent="0.25">
      <c r="A20" s="25"/>
      <c r="B20" s="1" t="s">
        <v>50</v>
      </c>
      <c r="C20" s="2">
        <v>190059</v>
      </c>
      <c r="D20" s="13" t="s">
        <v>59</v>
      </c>
    </row>
    <row r="21" spans="1:6" x14ac:dyDescent="0.25">
      <c r="A21" s="26"/>
      <c r="B21" s="3"/>
      <c r="C21" s="4">
        <f>SUM(C14:C20)</f>
        <v>1100293</v>
      </c>
      <c r="D21" s="13"/>
      <c r="E21" s="5">
        <f>C21/975.8</f>
        <v>1127.5804468128715</v>
      </c>
    </row>
    <row r="22" spans="1:6" x14ac:dyDescent="0.25">
      <c r="D22" s="13"/>
    </row>
    <row r="23" spans="1:6" x14ac:dyDescent="0.25">
      <c r="A23" s="24" t="s">
        <v>5</v>
      </c>
      <c r="B23" s="1" t="s">
        <v>61</v>
      </c>
      <c r="C23" s="2">
        <v>80000</v>
      </c>
      <c r="D23" s="13" t="s">
        <v>60</v>
      </c>
      <c r="F23" t="s">
        <v>65</v>
      </c>
    </row>
    <row r="24" spans="1:6" x14ac:dyDescent="0.25">
      <c r="A24" s="25"/>
      <c r="B24" s="1" t="s">
        <v>62</v>
      </c>
      <c r="C24" s="2">
        <v>80000</v>
      </c>
      <c r="D24" s="13" t="s">
        <v>60</v>
      </c>
      <c r="F24" t="s">
        <v>70</v>
      </c>
    </row>
    <row r="25" spans="1:6" x14ac:dyDescent="0.25">
      <c r="A25" s="25"/>
      <c r="B25" s="1" t="s">
        <v>63</v>
      </c>
      <c r="C25" s="2">
        <v>80000</v>
      </c>
      <c r="D25" s="13" t="s">
        <v>64</v>
      </c>
      <c r="F25" t="s">
        <v>54</v>
      </c>
    </row>
    <row r="26" spans="1:6" x14ac:dyDescent="0.25">
      <c r="A26" s="25"/>
      <c r="B26" s="1" t="s">
        <v>69</v>
      </c>
      <c r="C26" s="2">
        <v>15000</v>
      </c>
      <c r="D26" t="s">
        <v>66</v>
      </c>
      <c r="F26" t="s">
        <v>65</v>
      </c>
    </row>
    <row r="27" spans="1:6" x14ac:dyDescent="0.25">
      <c r="A27" s="26"/>
      <c r="B27" s="3"/>
      <c r="C27" s="4">
        <f>SUM(C23:C26)</f>
        <v>255000</v>
      </c>
      <c r="E27" s="5">
        <f>C27/975.8</f>
        <v>261.32404181184671</v>
      </c>
    </row>
    <row r="28" spans="1:6" x14ac:dyDescent="0.25">
      <c r="A28" s="10"/>
      <c r="C28" s="11"/>
      <c r="E28" s="5"/>
    </row>
    <row r="29" spans="1:6" x14ac:dyDescent="0.25">
      <c r="A29" s="10"/>
      <c r="C29" s="11"/>
      <c r="E29" s="5"/>
    </row>
    <row r="30" spans="1:6" x14ac:dyDescent="0.25">
      <c r="C30" t="s">
        <v>48</v>
      </c>
      <c r="E30" t="s">
        <v>49</v>
      </c>
    </row>
    <row r="31" spans="1:6" x14ac:dyDescent="0.25">
      <c r="B31" s="6" t="s">
        <v>74</v>
      </c>
      <c r="C31" s="7">
        <f>SUM(C7+C12+C21+C27)</f>
        <v>3967962</v>
      </c>
      <c r="E31" s="19">
        <f>C31/975.8</f>
        <v>4066.3681082188973</v>
      </c>
    </row>
    <row r="32" spans="1:6" x14ac:dyDescent="0.25">
      <c r="B32" t="s">
        <v>34</v>
      </c>
      <c r="C32" s="16">
        <f>C31*19/100</f>
        <v>753912.78</v>
      </c>
      <c r="E32" s="5">
        <f>C32/975.8</f>
        <v>772.60994056159052</v>
      </c>
    </row>
    <row r="33" spans="2:6" x14ac:dyDescent="0.25">
      <c r="B33" t="s">
        <v>35</v>
      </c>
      <c r="C33" s="7">
        <f>SUM(C31:C32)</f>
        <v>4721874.78</v>
      </c>
      <c r="E33" s="19">
        <f>C33/975.8</f>
        <v>4838.9780487804883</v>
      </c>
    </row>
    <row r="35" spans="2:6" x14ac:dyDescent="0.25">
      <c r="C35" t="s">
        <v>80</v>
      </c>
      <c r="D35" s="21" t="s">
        <v>81</v>
      </c>
      <c r="F35" s="20" t="s">
        <v>51</v>
      </c>
    </row>
  </sheetData>
  <mergeCells count="4">
    <mergeCell ref="A3:A7"/>
    <mergeCell ref="A9:A12"/>
    <mergeCell ref="A14:A21"/>
    <mergeCell ref="A23:A27"/>
  </mergeCells>
  <phoneticPr fontId="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B3DA0-1AB3-4BC6-B5BF-AA585FD5BBDC}">
  <sheetPr>
    <tabColor theme="9"/>
  </sheetPr>
  <dimension ref="A1:H31"/>
  <sheetViews>
    <sheetView topLeftCell="D21" workbookViewId="0">
      <selection activeCell="H15" sqref="H15"/>
    </sheetView>
  </sheetViews>
  <sheetFormatPr baseColWidth="10" defaultRowHeight="15" x14ac:dyDescent="0.25"/>
  <cols>
    <col min="1" max="1" width="16.7109375" customWidth="1"/>
    <col min="2" max="2" width="33.42578125" customWidth="1"/>
    <col min="3" max="3" width="14" customWidth="1"/>
    <col min="4" max="4" width="28.85546875" customWidth="1"/>
    <col min="6" max="6" width="38.42578125" customWidth="1"/>
    <col min="7" max="7" width="36.28515625" customWidth="1"/>
    <col min="8" max="8" width="37" customWidth="1"/>
  </cols>
  <sheetData>
    <row r="1" spans="1:7" x14ac:dyDescent="0.25">
      <c r="A1" s="9">
        <v>2025</v>
      </c>
    </row>
    <row r="2" spans="1:7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7" x14ac:dyDescent="0.25">
      <c r="A3" s="24" t="s">
        <v>2</v>
      </c>
      <c r="B3" s="1" t="s">
        <v>30</v>
      </c>
      <c r="C3" s="2">
        <v>930834</v>
      </c>
      <c r="D3" s="14" t="s">
        <v>82</v>
      </c>
      <c r="E3" s="5"/>
    </row>
    <row r="4" spans="1:7" x14ac:dyDescent="0.25">
      <c r="A4" s="25"/>
      <c r="B4" s="1" t="s">
        <v>31</v>
      </c>
      <c r="C4" s="2">
        <v>532106</v>
      </c>
      <c r="D4" s="13" t="s">
        <v>88</v>
      </c>
      <c r="E4" s="5"/>
    </row>
    <row r="5" spans="1:7" x14ac:dyDescent="0.25">
      <c r="A5" s="25"/>
      <c r="B5" s="1"/>
      <c r="C5" s="2"/>
      <c r="D5" s="13"/>
      <c r="E5" s="5"/>
    </row>
    <row r="6" spans="1:7" x14ac:dyDescent="0.25">
      <c r="A6" s="26"/>
      <c r="B6" s="3"/>
      <c r="C6" s="4">
        <f>SUM(C3:C5)</f>
        <v>1462940</v>
      </c>
      <c r="E6" s="5">
        <f>C6/940.18</f>
        <v>1556.021187432194</v>
      </c>
    </row>
    <row r="8" spans="1:7" x14ac:dyDescent="0.25">
      <c r="A8" s="27" t="s">
        <v>0</v>
      </c>
      <c r="B8" s="1" t="s">
        <v>71</v>
      </c>
      <c r="C8" s="2">
        <v>1243306</v>
      </c>
      <c r="D8" s="13" t="s">
        <v>88</v>
      </c>
    </row>
    <row r="9" spans="1:7" x14ac:dyDescent="0.25">
      <c r="A9" s="28"/>
      <c r="B9" s="1"/>
      <c r="C9" s="2"/>
      <c r="D9" s="13"/>
    </row>
    <row r="10" spans="1:7" x14ac:dyDescent="0.25">
      <c r="A10" s="28"/>
      <c r="B10" s="1"/>
      <c r="C10" s="1"/>
      <c r="D10" s="13"/>
    </row>
    <row r="11" spans="1:7" x14ac:dyDescent="0.25">
      <c r="A11" s="29"/>
      <c r="B11" s="3"/>
      <c r="C11" s="4">
        <f>SUM(C8:C10)</f>
        <v>1243306</v>
      </c>
      <c r="D11" s="12"/>
      <c r="E11" s="5">
        <f>C11/940.18</f>
        <v>1322.4127294773341</v>
      </c>
    </row>
    <row r="13" spans="1:7" x14ac:dyDescent="0.25">
      <c r="A13" s="24" t="s">
        <v>1</v>
      </c>
      <c r="B13" s="1" t="s">
        <v>99</v>
      </c>
      <c r="C13" s="2">
        <v>150000</v>
      </c>
      <c r="D13" s="13" t="s">
        <v>84</v>
      </c>
      <c r="F13" t="s">
        <v>96</v>
      </c>
      <c r="G13" t="s">
        <v>97</v>
      </c>
    </row>
    <row r="14" spans="1:7" x14ac:dyDescent="0.25">
      <c r="A14" s="25"/>
      <c r="B14" s="1" t="s">
        <v>75</v>
      </c>
      <c r="C14" s="2">
        <v>409357</v>
      </c>
      <c r="D14" s="13" t="s">
        <v>83</v>
      </c>
      <c r="F14" t="s">
        <v>93</v>
      </c>
    </row>
    <row r="15" spans="1:7" x14ac:dyDescent="0.25">
      <c r="A15" s="25"/>
      <c r="B15" s="1" t="s">
        <v>50</v>
      </c>
      <c r="C15" s="2">
        <v>102339</v>
      </c>
      <c r="D15" s="13" t="s">
        <v>83</v>
      </c>
    </row>
    <row r="16" spans="1:7" x14ac:dyDescent="0.25">
      <c r="A16" s="26"/>
      <c r="B16" s="3"/>
      <c r="C16" s="4">
        <f>SUM(C13:C15)</f>
        <v>661696</v>
      </c>
      <c r="D16" s="13"/>
      <c r="E16" s="5">
        <f>C16/940.18</f>
        <v>703.79714522750965</v>
      </c>
    </row>
    <row r="17" spans="1:8" x14ac:dyDescent="0.25">
      <c r="C17" s="12"/>
      <c r="D17" s="13"/>
    </row>
    <row r="18" spans="1:8" x14ac:dyDescent="0.25">
      <c r="A18" s="24" t="s">
        <v>5</v>
      </c>
      <c r="B18" s="1" t="s">
        <v>63</v>
      </c>
      <c r="C18" s="2">
        <v>240000</v>
      </c>
      <c r="D18" s="13" t="s">
        <v>87</v>
      </c>
      <c r="F18" t="s">
        <v>94</v>
      </c>
      <c r="G18" t="s">
        <v>95</v>
      </c>
      <c r="H18" t="s">
        <v>96</v>
      </c>
    </row>
    <row r="19" spans="1:8" x14ac:dyDescent="0.25">
      <c r="A19" s="25"/>
      <c r="B19" s="1" t="s">
        <v>100</v>
      </c>
      <c r="C19" s="2">
        <v>80000</v>
      </c>
      <c r="D19" s="13" t="s">
        <v>87</v>
      </c>
      <c r="F19" t="s">
        <v>93</v>
      </c>
    </row>
    <row r="20" spans="1:8" x14ac:dyDescent="0.25">
      <c r="A20" s="25"/>
      <c r="B20" s="1" t="s">
        <v>89</v>
      </c>
      <c r="C20" s="2">
        <v>20000</v>
      </c>
      <c r="D20" s="13" t="s">
        <v>90</v>
      </c>
      <c r="F20" t="s">
        <v>98</v>
      </c>
    </row>
    <row r="21" spans="1:8" x14ac:dyDescent="0.25">
      <c r="A21" s="25"/>
      <c r="B21" s="1" t="s">
        <v>86</v>
      </c>
      <c r="C21" s="2">
        <v>66166</v>
      </c>
      <c r="D21" s="13" t="s">
        <v>85</v>
      </c>
      <c r="F21" t="s">
        <v>98</v>
      </c>
    </row>
    <row r="22" spans="1:8" x14ac:dyDescent="0.25">
      <c r="A22" s="26"/>
      <c r="B22" s="3"/>
      <c r="C22" s="4">
        <f>SUM(C18:C21)</f>
        <v>406166</v>
      </c>
      <c r="E22" s="5">
        <f>C22/940.18</f>
        <v>432.00876427918058</v>
      </c>
    </row>
    <row r="23" spans="1:8" x14ac:dyDescent="0.25">
      <c r="A23" s="10"/>
      <c r="C23" s="11"/>
      <c r="E23" s="5"/>
    </row>
    <row r="24" spans="1:8" x14ac:dyDescent="0.25">
      <c r="A24" s="10"/>
      <c r="C24" s="11"/>
      <c r="E24" s="5"/>
    </row>
    <row r="25" spans="1:8" x14ac:dyDescent="0.25">
      <c r="C25" t="s">
        <v>48</v>
      </c>
      <c r="E25" t="s">
        <v>49</v>
      </c>
    </row>
    <row r="26" spans="1:8" x14ac:dyDescent="0.25">
      <c r="B26" s="6" t="s">
        <v>101</v>
      </c>
      <c r="C26" s="7">
        <f>SUM(C6+C11+C16+C22)</f>
        <v>3774108</v>
      </c>
      <c r="E26" s="22">
        <f>C26/940.18</f>
        <v>4014.2398264162184</v>
      </c>
      <c r="G26" s="12"/>
    </row>
    <row r="27" spans="1:8" x14ac:dyDescent="0.25">
      <c r="B27" t="s">
        <v>34</v>
      </c>
      <c r="C27" s="16">
        <f>C26*19/100</f>
        <v>717080.52</v>
      </c>
      <c r="E27" s="5">
        <f>C27/940.18</f>
        <v>762.70556701908151</v>
      </c>
    </row>
    <row r="28" spans="1:8" x14ac:dyDescent="0.25">
      <c r="B28" t="s">
        <v>35</v>
      </c>
      <c r="C28" s="7">
        <f>SUM(C26:C27)</f>
        <v>4491188.5199999996</v>
      </c>
      <c r="E28" s="22">
        <f>C28/940.18</f>
        <v>4776.9453934352996</v>
      </c>
    </row>
    <row r="31" spans="1:8" x14ac:dyDescent="0.25">
      <c r="C31" t="s">
        <v>103</v>
      </c>
      <c r="D31" s="21" t="s">
        <v>104</v>
      </c>
      <c r="F31" s="20" t="s">
        <v>51</v>
      </c>
    </row>
  </sheetData>
  <mergeCells count="4">
    <mergeCell ref="A3:A6"/>
    <mergeCell ref="A8:A11"/>
    <mergeCell ref="A13:A16"/>
    <mergeCell ref="A18:A22"/>
  </mergeCells>
  <phoneticPr fontId="2" type="noConversion"/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B220E-8ED5-4F42-BCF3-D2FB6C8C08E2}">
  <sheetPr>
    <tabColor rgb="FF92D050"/>
  </sheetPr>
  <dimension ref="A1:I31"/>
  <sheetViews>
    <sheetView topLeftCell="A21" zoomScale="80" zoomScaleNormal="80" workbookViewId="0">
      <selection activeCell="I52" sqref="I52"/>
    </sheetView>
  </sheetViews>
  <sheetFormatPr baseColWidth="10" defaultRowHeight="15" x14ac:dyDescent="0.25"/>
  <cols>
    <col min="1" max="1" width="15.28515625" customWidth="1"/>
    <col min="2" max="2" width="31.85546875" customWidth="1"/>
    <col min="3" max="3" width="14" customWidth="1"/>
    <col min="4" max="4" width="26.42578125" customWidth="1"/>
    <col min="6" max="6" width="37.42578125" customWidth="1"/>
    <col min="7" max="7" width="35.85546875" customWidth="1"/>
    <col min="8" max="8" width="26.7109375" customWidth="1"/>
    <col min="9" max="9" width="37.28515625" customWidth="1"/>
  </cols>
  <sheetData>
    <row r="1" spans="1:6" x14ac:dyDescent="0.25">
      <c r="A1" s="9">
        <v>2025</v>
      </c>
    </row>
    <row r="2" spans="1:6" x14ac:dyDescent="0.25">
      <c r="B2" t="s">
        <v>3</v>
      </c>
      <c r="C2" t="s">
        <v>13</v>
      </c>
      <c r="D2" t="s">
        <v>4</v>
      </c>
      <c r="E2" t="s">
        <v>8</v>
      </c>
      <c r="F2" t="s">
        <v>7</v>
      </c>
    </row>
    <row r="3" spans="1:6" x14ac:dyDescent="0.25">
      <c r="A3" s="24" t="s">
        <v>2</v>
      </c>
      <c r="B3" s="1" t="s">
        <v>30</v>
      </c>
      <c r="C3" s="2">
        <v>910543</v>
      </c>
      <c r="D3" s="14" t="s">
        <v>116</v>
      </c>
      <c r="E3" s="5"/>
    </row>
    <row r="4" spans="1:6" x14ac:dyDescent="0.25">
      <c r="A4" s="25"/>
      <c r="B4" s="1" t="s">
        <v>31</v>
      </c>
      <c r="C4" s="2">
        <v>559446</v>
      </c>
      <c r="D4" s="13" t="s">
        <v>117</v>
      </c>
      <c r="E4" s="5"/>
    </row>
    <row r="5" spans="1:6" x14ac:dyDescent="0.25">
      <c r="A5" s="25"/>
      <c r="B5" s="1"/>
      <c r="C5" s="2"/>
      <c r="D5" s="13"/>
      <c r="E5" s="5"/>
    </row>
    <row r="6" spans="1:6" x14ac:dyDescent="0.25">
      <c r="A6" s="26"/>
      <c r="B6" s="3"/>
      <c r="C6" s="4">
        <f>SUM(C3:C5)</f>
        <v>1469989</v>
      </c>
      <c r="E6" s="5">
        <f>C6/936.89</f>
        <v>1569.0091686323901</v>
      </c>
    </row>
    <row r="8" spans="1:6" x14ac:dyDescent="0.25">
      <c r="A8" s="27" t="s">
        <v>0</v>
      </c>
      <c r="B8" s="1" t="s">
        <v>71</v>
      </c>
      <c r="C8" s="2">
        <v>1143954</v>
      </c>
      <c r="D8" s="13" t="s">
        <v>117</v>
      </c>
    </row>
    <row r="9" spans="1:6" x14ac:dyDescent="0.25">
      <c r="A9" s="28"/>
      <c r="B9" s="1"/>
      <c r="C9" s="2"/>
      <c r="D9" s="13"/>
    </row>
    <row r="10" spans="1:6" x14ac:dyDescent="0.25">
      <c r="A10" s="28"/>
      <c r="B10" s="1"/>
      <c r="C10" s="1"/>
      <c r="D10" s="13"/>
    </row>
    <row r="11" spans="1:6" x14ac:dyDescent="0.25">
      <c r="A11" s="29"/>
      <c r="B11" s="3"/>
      <c r="C11" s="4">
        <f>SUM(C8:C10)</f>
        <v>1143954</v>
      </c>
      <c r="D11" s="12"/>
      <c r="E11" s="5">
        <f>C11/936.89</f>
        <v>1221.0120718547535</v>
      </c>
    </row>
    <row r="13" spans="1:6" x14ac:dyDescent="0.25">
      <c r="A13" s="24" t="s">
        <v>1</v>
      </c>
      <c r="B13" s="1" t="s">
        <v>114</v>
      </c>
      <c r="C13" s="2">
        <v>60000</v>
      </c>
      <c r="D13" s="13" t="s">
        <v>115</v>
      </c>
      <c r="F13" t="s">
        <v>118</v>
      </c>
    </row>
    <row r="14" spans="1:6" x14ac:dyDescent="0.25">
      <c r="A14" s="25"/>
      <c r="B14" s="1" t="s">
        <v>108</v>
      </c>
      <c r="C14" s="2">
        <v>150000</v>
      </c>
      <c r="D14" s="13" t="s">
        <v>110</v>
      </c>
      <c r="F14" t="s">
        <v>120</v>
      </c>
    </row>
    <row r="15" spans="1:6" x14ac:dyDescent="0.25">
      <c r="A15" s="25"/>
      <c r="B15" s="1" t="s">
        <v>109</v>
      </c>
      <c r="C15" s="2">
        <v>350000</v>
      </c>
      <c r="D15" s="13" t="s">
        <v>111</v>
      </c>
      <c r="F15" t="s">
        <v>119</v>
      </c>
    </row>
    <row r="16" spans="1:6" x14ac:dyDescent="0.25">
      <c r="A16" s="26"/>
      <c r="B16" s="3"/>
      <c r="C16" s="4">
        <f>SUM(C13:C15)</f>
        <v>560000</v>
      </c>
      <c r="D16" s="13"/>
      <c r="E16" s="5">
        <f>C16/936.89</f>
        <v>597.722251278165</v>
      </c>
    </row>
    <row r="17" spans="1:9" x14ac:dyDescent="0.25">
      <c r="C17" s="12"/>
      <c r="D17" s="13"/>
    </row>
    <row r="18" spans="1:9" x14ac:dyDescent="0.25">
      <c r="A18" s="24" t="s">
        <v>5</v>
      </c>
      <c r="B18" s="1" t="s">
        <v>102</v>
      </c>
      <c r="C18" s="2">
        <v>320000</v>
      </c>
      <c r="D18" s="13" t="s">
        <v>107</v>
      </c>
      <c r="F18" t="s">
        <v>120</v>
      </c>
      <c r="G18" t="s">
        <v>119</v>
      </c>
      <c r="H18" t="s">
        <v>121</v>
      </c>
      <c r="I18" t="s">
        <v>122</v>
      </c>
    </row>
    <row r="19" spans="1:9" x14ac:dyDescent="0.25">
      <c r="A19" s="25"/>
      <c r="B19" s="1" t="s">
        <v>112</v>
      </c>
      <c r="C19" s="2">
        <v>20000</v>
      </c>
      <c r="D19" s="13" t="s">
        <v>113</v>
      </c>
      <c r="F19" t="s">
        <v>123</v>
      </c>
    </row>
    <row r="20" spans="1:9" x14ac:dyDescent="0.25">
      <c r="A20" s="25"/>
      <c r="B20" s="1" t="s">
        <v>105</v>
      </c>
      <c r="C20" s="2">
        <v>9000</v>
      </c>
      <c r="D20" s="13" t="s">
        <v>106</v>
      </c>
      <c r="F20" t="s">
        <v>124</v>
      </c>
      <c r="G20" t="s">
        <v>125</v>
      </c>
    </row>
    <row r="21" spans="1:9" x14ac:dyDescent="0.25">
      <c r="A21" s="25"/>
      <c r="B21" s="1" t="s">
        <v>131</v>
      </c>
      <c r="C21" s="2">
        <v>440391</v>
      </c>
      <c r="D21" s="13" t="s">
        <v>135</v>
      </c>
      <c r="F21" t="s">
        <v>133</v>
      </c>
      <c r="G21" t="s">
        <v>132</v>
      </c>
    </row>
    <row r="22" spans="1:9" x14ac:dyDescent="0.25">
      <c r="A22" s="26"/>
      <c r="B22" s="3"/>
      <c r="C22" s="4">
        <f>SUM(C18:C21)</f>
        <v>789391</v>
      </c>
      <c r="E22" s="5">
        <f>C22/936.89</f>
        <v>842.56529581914629</v>
      </c>
    </row>
    <row r="23" spans="1:9" x14ac:dyDescent="0.25">
      <c r="A23" s="10"/>
      <c r="C23" s="11"/>
      <c r="E23" s="5"/>
    </row>
    <row r="24" spans="1:9" x14ac:dyDescent="0.25">
      <c r="A24" s="10"/>
      <c r="C24" s="11"/>
      <c r="E24" s="5"/>
    </row>
    <row r="25" spans="1:9" x14ac:dyDescent="0.25">
      <c r="C25" t="s">
        <v>48</v>
      </c>
      <c r="E25" t="s">
        <v>49</v>
      </c>
    </row>
    <row r="26" spans="1:9" x14ac:dyDescent="0.25">
      <c r="B26" s="6" t="s">
        <v>134</v>
      </c>
      <c r="C26" s="7">
        <f>SUM(C6+C11+C16+C22)</f>
        <v>3963334</v>
      </c>
      <c r="E26" s="5">
        <f>C26/936.89</f>
        <v>4230.3087875844549</v>
      </c>
    </row>
    <row r="27" spans="1:9" x14ac:dyDescent="0.25">
      <c r="B27" t="s">
        <v>34</v>
      </c>
      <c r="C27" s="16">
        <f>C26*19/100</f>
        <v>753033.46</v>
      </c>
      <c r="E27" s="5">
        <f>C27/936.89</f>
        <v>803.75866964104637</v>
      </c>
    </row>
    <row r="28" spans="1:9" x14ac:dyDescent="0.25">
      <c r="B28" t="s">
        <v>35</v>
      </c>
      <c r="C28" s="7">
        <f>SUM(C26:C27)</f>
        <v>4716367.46</v>
      </c>
      <c r="E28" s="5">
        <f>C28/936.89</f>
        <v>5034.0674572255011</v>
      </c>
    </row>
    <row r="31" spans="1:9" x14ac:dyDescent="0.25">
      <c r="C31" t="s">
        <v>136</v>
      </c>
      <c r="D31" s="21" t="s">
        <v>92</v>
      </c>
      <c r="E31">
        <v>11</v>
      </c>
      <c r="F31" s="23" t="s">
        <v>137</v>
      </c>
    </row>
  </sheetData>
  <mergeCells count="4">
    <mergeCell ref="A3:A6"/>
    <mergeCell ref="A8:A11"/>
    <mergeCell ref="A13:A16"/>
    <mergeCell ref="A18:A22"/>
  </mergeCells>
  <pageMargins left="0.7" right="0.7" top="0.75" bottom="0.75" header="0.3" footer="0.3"/>
  <headerFooter>
    <oddFooter>&amp;C_x000D_&amp;1#&amp;"Calibri"&amp;10&amp;K000000 Calificación: Publico, apto para su distribución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A15C2-DB58-4A24-8A05-2493F6EE1EB6}">
  <dimension ref="A1:C30"/>
  <sheetViews>
    <sheetView topLeftCell="A21" workbookViewId="0">
      <selection activeCell="E26" sqref="E26"/>
    </sheetView>
  </sheetViews>
  <sheetFormatPr baseColWidth="10" defaultRowHeight="15" x14ac:dyDescent="0.25"/>
  <cols>
    <col min="1" max="1" width="15.28515625" customWidth="1"/>
    <col min="2" max="2" width="31.85546875" customWidth="1"/>
    <col min="3" max="3" width="14" customWidth="1"/>
  </cols>
  <sheetData>
    <row r="1" spans="1:3" x14ac:dyDescent="0.25">
      <c r="A1" s="9">
        <v>2025</v>
      </c>
    </row>
    <row r="2" spans="1:3" x14ac:dyDescent="0.25">
      <c r="B2" t="s">
        <v>3</v>
      </c>
      <c r="C2" t="s">
        <v>13</v>
      </c>
    </row>
    <row r="3" spans="1:3" x14ac:dyDescent="0.25">
      <c r="A3" s="24" t="s">
        <v>2</v>
      </c>
      <c r="B3" s="1" t="s">
        <v>30</v>
      </c>
      <c r="C3" s="2">
        <v>770000</v>
      </c>
    </row>
    <row r="4" spans="1:3" x14ac:dyDescent="0.25">
      <c r="A4" s="25"/>
      <c r="B4" s="1" t="s">
        <v>31</v>
      </c>
      <c r="C4" s="2">
        <v>480000</v>
      </c>
    </row>
    <row r="5" spans="1:3" x14ac:dyDescent="0.25">
      <c r="A5" s="25"/>
      <c r="B5" s="1" t="s">
        <v>126</v>
      </c>
      <c r="C5" s="2">
        <v>1300000</v>
      </c>
    </row>
    <row r="6" spans="1:3" x14ac:dyDescent="0.25">
      <c r="A6" s="26"/>
      <c r="B6" s="3"/>
      <c r="C6" s="4">
        <f>SUM(C3:C5)</f>
        <v>2550000</v>
      </c>
    </row>
    <row r="8" spans="1:3" x14ac:dyDescent="0.25">
      <c r="A8" s="27" t="s">
        <v>0</v>
      </c>
      <c r="B8" s="1" t="s">
        <v>71</v>
      </c>
      <c r="C8" s="2">
        <v>600000</v>
      </c>
    </row>
    <row r="9" spans="1:3" x14ac:dyDescent="0.25">
      <c r="A9" s="28"/>
      <c r="B9" s="1"/>
      <c r="C9" s="2"/>
    </row>
    <row r="10" spans="1:3" x14ac:dyDescent="0.25">
      <c r="A10" s="28"/>
      <c r="B10" s="1"/>
      <c r="C10" s="1"/>
    </row>
    <row r="11" spans="1:3" x14ac:dyDescent="0.25">
      <c r="A11" s="29"/>
      <c r="B11" s="3"/>
      <c r="C11" s="4">
        <f>SUM(C8:C10)</f>
        <v>600000</v>
      </c>
    </row>
    <row r="13" spans="1:3" x14ac:dyDescent="0.25">
      <c r="A13" s="24" t="s">
        <v>1</v>
      </c>
      <c r="B13" s="1" t="s">
        <v>114</v>
      </c>
      <c r="C13" s="2">
        <v>100000</v>
      </c>
    </row>
    <row r="14" spans="1:3" x14ac:dyDescent="0.25">
      <c r="A14" s="25"/>
      <c r="B14" s="1" t="s">
        <v>127</v>
      </c>
      <c r="C14" s="2">
        <v>650000</v>
      </c>
    </row>
    <row r="15" spans="1:3" x14ac:dyDescent="0.25">
      <c r="A15" s="25"/>
      <c r="B15" s="1" t="s">
        <v>128</v>
      </c>
      <c r="C15" s="2">
        <v>150000</v>
      </c>
    </row>
    <row r="16" spans="1:3" x14ac:dyDescent="0.25">
      <c r="A16" s="26"/>
      <c r="B16" s="3"/>
      <c r="C16" s="4">
        <f>SUM(C13:C15)</f>
        <v>900000</v>
      </c>
    </row>
    <row r="17" spans="1:3" x14ac:dyDescent="0.25">
      <c r="C17" s="12"/>
    </row>
    <row r="18" spans="1:3" x14ac:dyDescent="0.25">
      <c r="A18" s="24" t="s">
        <v>5</v>
      </c>
      <c r="B18" s="1" t="s">
        <v>129</v>
      </c>
      <c r="C18" s="2">
        <v>240000</v>
      </c>
    </row>
    <row r="19" spans="1:3" x14ac:dyDescent="0.25">
      <c r="A19" s="25"/>
      <c r="B19" s="1" t="s">
        <v>130</v>
      </c>
      <c r="C19" s="2">
        <v>30000</v>
      </c>
    </row>
    <row r="20" spans="1:3" x14ac:dyDescent="0.25">
      <c r="A20" s="25"/>
      <c r="B20" s="1"/>
      <c r="C20" s="2"/>
    </row>
    <row r="21" spans="1:3" x14ac:dyDescent="0.25">
      <c r="A21" s="26"/>
      <c r="B21" s="3"/>
      <c r="C21" s="4">
        <f>SUM(C18:C20)</f>
        <v>270000</v>
      </c>
    </row>
    <row r="22" spans="1:3" x14ac:dyDescent="0.25">
      <c r="A22" s="10"/>
      <c r="C22" s="11"/>
    </row>
    <row r="23" spans="1:3" x14ac:dyDescent="0.25">
      <c r="A23" s="10"/>
      <c r="C23" s="11"/>
    </row>
    <row r="24" spans="1:3" x14ac:dyDescent="0.25">
      <c r="C24" t="s">
        <v>48</v>
      </c>
    </row>
    <row r="25" spans="1:3" x14ac:dyDescent="0.25">
      <c r="B25" s="6" t="s">
        <v>101</v>
      </c>
      <c r="C25" s="7">
        <f>SUM(C6+C11+C16+C21)</f>
        <v>4320000</v>
      </c>
    </row>
    <row r="26" spans="1:3" x14ac:dyDescent="0.25">
      <c r="B26" t="s">
        <v>34</v>
      </c>
      <c r="C26" s="16">
        <f>C25*19/100</f>
        <v>820800</v>
      </c>
    </row>
    <row r="27" spans="1:3" x14ac:dyDescent="0.25">
      <c r="B27" t="s">
        <v>35</v>
      </c>
      <c r="C27" s="7">
        <f>SUM(C25:C26)</f>
        <v>5140800</v>
      </c>
    </row>
    <row r="30" spans="1:3" x14ac:dyDescent="0.25">
      <c r="C30" t="s">
        <v>91</v>
      </c>
    </row>
  </sheetData>
  <mergeCells count="4">
    <mergeCell ref="A3:A6"/>
    <mergeCell ref="A8:A11"/>
    <mergeCell ref="A13:A16"/>
    <mergeCell ref="A18:A21"/>
  </mergeCells>
  <pageMargins left="0.7" right="0.7" top="0.75" bottom="0.75" header="0.3" footer="0.3"/>
  <headerFooter>
    <oddFooter>&amp;C_x000D_&amp;1#&amp;"Calibri"&amp;10&amp;K000000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d745ab360262bb857df02af1a33bfe20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eb64c9e94d6b2a91590b4df7037309e8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9BB8C4-498B-45A8-B4A5-916A85813B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33AAC9-C8F8-4E97-97B2-630DC05F730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B4138D22-F995-47E5-8EC7-104A0489DC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8ec313-c772-4af8-8363-8ff52de2e6b8"/>
    <ds:schemaRef ds:uri="6a7ff2fa-cd4c-4111-a6ab-75351164d8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Enero</vt:lpstr>
      <vt:lpstr>Febrero</vt:lpstr>
      <vt:lpstr>Marzo</vt:lpstr>
      <vt:lpstr>Abril</vt:lpstr>
      <vt:lpstr>Mayo</vt:lpstr>
      <vt:lpstr>presupuestojunio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Flores</dc:creator>
  <cp:lastModifiedBy>Carolina Cabrera</cp:lastModifiedBy>
  <dcterms:created xsi:type="dcterms:W3CDTF">2025-01-09T21:01:51Z</dcterms:created>
  <dcterms:modified xsi:type="dcterms:W3CDTF">2025-07-15T21:17:23Z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