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H:\GRUPO FLEXI\Analisis Contratos Tiendas\"/>
    </mc:Choice>
  </mc:AlternateContent>
  <xr:revisionPtr revIDLastSave="0" documentId="13_ncr:1_{4720AA4D-FB1E-4108-ABFB-C80752E2A044}" xr6:coauthVersionLast="47" xr6:coauthVersionMax="47" xr10:uidLastSave="{00000000-0000-0000-0000-000000000000}"/>
  <bookViews>
    <workbookView xWindow="-120" yWindow="-120" windowWidth="20730" windowHeight="11160" activeTab="1" xr2:uid="{50C8426F-8DFD-4FBD-A269-F5F954CD8D32}"/>
  </bookViews>
  <sheets>
    <sheet name="Resumen Contrato" sheetId="1" r:id="rId1"/>
    <sheet name="Contrato vs Factura (mensual)" sheetId="2" r:id="rId2"/>
    <sheet name="Cobros Adicionales" sheetId="4" r:id="rId3"/>
    <sheet name="Mayores Contables" sheetId="6" r:id="rId4"/>
  </sheets>
  <externalReferences>
    <externalReference r:id="rId5"/>
  </externalReferences>
  <definedNames>
    <definedName name="_xlnm._FilterDatabase" localSheetId="1" hidden="1">'Contrato vs Factura (mensual)'!$B$12:$V$76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N15" i="2" l="1"/>
  <c r="AC76" i="2" l="1"/>
  <c r="J16" i="6"/>
  <c r="I16" i="6"/>
  <c r="H16" i="6"/>
  <c r="G16" i="6"/>
  <c r="F16" i="6"/>
  <c r="E16" i="6"/>
  <c r="D16" i="6"/>
  <c r="K14" i="6"/>
  <c r="K9" i="6" l="1"/>
  <c r="K16" i="6" s="1"/>
  <c r="B3" i="6"/>
  <c r="G20" i="4" l="1"/>
  <c r="H20" i="4" s="1"/>
  <c r="AB70" i="2"/>
  <c r="AC74" i="2"/>
  <c r="AL75" i="2" l="1"/>
  <c r="AC75" i="2"/>
  <c r="J18" i="6" s="1"/>
  <c r="J20" i="6" s="1"/>
  <c r="R75" i="2"/>
  <c r="S75" i="2" s="1"/>
  <c r="AK75" i="2" s="1"/>
  <c r="L75" i="2"/>
  <c r="AL74" i="2"/>
  <c r="R74" i="2"/>
  <c r="S74" i="2" s="1"/>
  <c r="AK74" i="2" s="1"/>
  <c r="L74" i="2"/>
  <c r="AL73" i="2"/>
  <c r="R73" i="2"/>
  <c r="S73" i="2" s="1"/>
  <c r="AK73" i="2" s="1"/>
  <c r="L73" i="2"/>
  <c r="H75" i="2"/>
  <c r="H74" i="2"/>
  <c r="H73" i="2"/>
  <c r="R72" i="2"/>
  <c r="S72" i="2" s="1"/>
  <c r="AK72" i="2" s="1"/>
  <c r="L72" i="2"/>
  <c r="H72" i="2"/>
  <c r="I72" i="2" s="1"/>
  <c r="R71" i="2"/>
  <c r="S71" i="2" s="1"/>
  <c r="AK71" i="2" s="1"/>
  <c r="L71" i="2"/>
  <c r="H71" i="2"/>
  <c r="AL72" i="2"/>
  <c r="AL71" i="2"/>
  <c r="AL70" i="2"/>
  <c r="AC72" i="2"/>
  <c r="AC71" i="2"/>
  <c r="AC70" i="2"/>
  <c r="R70" i="2"/>
  <c r="S70" i="2" s="1"/>
  <c r="L70" i="2"/>
  <c r="H70" i="2"/>
  <c r="AB40" i="2"/>
  <c r="X47" i="2"/>
  <c r="X46" i="2"/>
  <c r="X45" i="2"/>
  <c r="X43" i="2"/>
  <c r="X44" i="2"/>
  <c r="X40" i="2"/>
  <c r="AC42" i="2"/>
  <c r="AC41" i="2"/>
  <c r="I18" i="6" l="1"/>
  <c r="I20" i="6" s="1"/>
  <c r="N75" i="2"/>
  <c r="AI75" i="2" s="1"/>
  <c r="P75" i="2"/>
  <c r="AJ75" i="2" s="1"/>
  <c r="P70" i="2"/>
  <c r="AJ70" i="2" s="1"/>
  <c r="P74" i="2"/>
  <c r="AJ74" i="2" s="1"/>
  <c r="AH73" i="2"/>
  <c r="P73" i="2"/>
  <c r="AJ73" i="2" s="1"/>
  <c r="AH70" i="2"/>
  <c r="AH74" i="2"/>
  <c r="AH75" i="2"/>
  <c r="T75" i="2"/>
  <c r="N73" i="2"/>
  <c r="AI73" i="2" s="1"/>
  <c r="N74" i="2"/>
  <c r="AI74" i="2" s="1"/>
  <c r="N70" i="2"/>
  <c r="AI70" i="2" s="1"/>
  <c r="AK70" i="2"/>
  <c r="AH72" i="2"/>
  <c r="P72" i="2"/>
  <c r="AJ72" i="2" s="1"/>
  <c r="N72" i="2"/>
  <c r="AI72" i="2" s="1"/>
  <c r="P71" i="2"/>
  <c r="AJ71" i="2" s="1"/>
  <c r="AH71" i="2"/>
  <c r="N71" i="2"/>
  <c r="AI71" i="2" s="1"/>
  <c r="AC47" i="2"/>
  <c r="AC46" i="2"/>
  <c r="AC45" i="2"/>
  <c r="AC44" i="2"/>
  <c r="AC43" i="2"/>
  <c r="AC40" i="2"/>
  <c r="AC39" i="2"/>
  <c r="AC38" i="2"/>
  <c r="AC37" i="2"/>
  <c r="AC15" i="2"/>
  <c r="AC16" i="2"/>
  <c r="AC17" i="2"/>
  <c r="AC18" i="2"/>
  <c r="AC19" i="2"/>
  <c r="AC20" i="2"/>
  <c r="AC26" i="2"/>
  <c r="AC27" i="2"/>
  <c r="AC28" i="2"/>
  <c r="AC29" i="2"/>
  <c r="AC25" i="2"/>
  <c r="AB32" i="2"/>
  <c r="AC24" i="2"/>
  <c r="X36" i="2"/>
  <c r="AC36" i="2" s="1"/>
  <c r="X35" i="2"/>
  <c r="AC35" i="2" s="1"/>
  <c r="X23" i="2"/>
  <c r="AC23" i="2" s="1"/>
  <c r="X34" i="2"/>
  <c r="AC34" i="2" s="1"/>
  <c r="X33" i="2"/>
  <c r="AC33" i="2" s="1"/>
  <c r="AC21" i="2"/>
  <c r="AC22" i="2"/>
  <c r="X32" i="2"/>
  <c r="X30" i="2"/>
  <c r="AB30" i="2"/>
  <c r="AL30" i="2" s="1"/>
  <c r="X31" i="2"/>
  <c r="AC31" i="2" s="1"/>
  <c r="X57" i="2"/>
  <c r="X56" i="2"/>
  <c r="X55" i="2"/>
  <c r="X54" i="2"/>
  <c r="X53" i="2"/>
  <c r="AC51" i="2"/>
  <c r="X52" i="2"/>
  <c r="AC52" i="2" s="1"/>
  <c r="X50" i="2"/>
  <c r="AC50" i="2" s="1"/>
  <c r="X49" i="2"/>
  <c r="AC49" i="2" s="1"/>
  <c r="AC48" i="2"/>
  <c r="AL15" i="2"/>
  <c r="AL38" i="2"/>
  <c r="AL37" i="2"/>
  <c r="AL36" i="2"/>
  <c r="AL35" i="2"/>
  <c r="AL34" i="2"/>
  <c r="AL33" i="2"/>
  <c r="AL31" i="2"/>
  <c r="AL29" i="2"/>
  <c r="AL28" i="2"/>
  <c r="AL27" i="2"/>
  <c r="AL26" i="2"/>
  <c r="AL25" i="2"/>
  <c r="AL24" i="2"/>
  <c r="AL23" i="2"/>
  <c r="AL22" i="2"/>
  <c r="AL21" i="2"/>
  <c r="AL20" i="2"/>
  <c r="AL19" i="2"/>
  <c r="AL18" i="2"/>
  <c r="AL17" i="2"/>
  <c r="AL16" i="2"/>
  <c r="AL58" i="2"/>
  <c r="AL57" i="2"/>
  <c r="AL56" i="2"/>
  <c r="AL55" i="2"/>
  <c r="AL54" i="2"/>
  <c r="AL53" i="2"/>
  <c r="AL52" i="2"/>
  <c r="AL51" i="2"/>
  <c r="AL50" i="2"/>
  <c r="AL49" i="2"/>
  <c r="AL48" i="2"/>
  <c r="AL47" i="2"/>
  <c r="AL46" i="2"/>
  <c r="AL45" i="2"/>
  <c r="AL44" i="2"/>
  <c r="AL43" i="2"/>
  <c r="AL42" i="2"/>
  <c r="AL41" i="2"/>
  <c r="AL40" i="2"/>
  <c r="AL39" i="2"/>
  <c r="G18" i="6" l="1"/>
  <c r="D18" i="6"/>
  <c r="AM75" i="2"/>
  <c r="AM73" i="2"/>
  <c r="AM70" i="2"/>
  <c r="AC32" i="2"/>
  <c r="AM74" i="2"/>
  <c r="T73" i="2"/>
  <c r="J23" i="6" s="1"/>
  <c r="J25" i="6" s="1"/>
  <c r="T74" i="2"/>
  <c r="AE75" i="2"/>
  <c r="U75" i="2"/>
  <c r="V75" i="2" s="1"/>
  <c r="T70" i="2"/>
  <c r="I23" i="6" s="1"/>
  <c r="I25" i="6" s="1"/>
  <c r="T72" i="2"/>
  <c r="AM72" i="2"/>
  <c r="T71" i="2"/>
  <c r="AM71" i="2"/>
  <c r="AC30" i="2"/>
  <c r="AL32" i="2"/>
  <c r="AL69" i="2"/>
  <c r="AL68" i="2"/>
  <c r="AL67" i="2"/>
  <c r="AB63" i="2"/>
  <c r="AL63" i="2" s="1"/>
  <c r="AB61" i="2"/>
  <c r="AL61" i="2" s="1"/>
  <c r="AB60" i="2"/>
  <c r="AL60" i="2" s="1"/>
  <c r="AB59" i="2"/>
  <c r="AL59" i="2" s="1"/>
  <c r="G15" i="4"/>
  <c r="H15" i="4" s="1"/>
  <c r="G14" i="4"/>
  <c r="H14" i="4" s="1"/>
  <c r="G13" i="4"/>
  <c r="H13" i="4" s="1"/>
  <c r="AB66" i="2"/>
  <c r="AC66" i="2" s="1"/>
  <c r="G12" i="4"/>
  <c r="H12" i="4" s="1"/>
  <c r="AB65" i="2"/>
  <c r="AL65" i="2" s="1"/>
  <c r="AB64" i="2"/>
  <c r="AC64" i="2" s="1"/>
  <c r="X63" i="2"/>
  <c r="AB62" i="2"/>
  <c r="AL62" i="2" s="1"/>
  <c r="X62" i="2"/>
  <c r="G8" i="4"/>
  <c r="H8" i="4" s="1"/>
  <c r="AC60" i="2"/>
  <c r="G11" i="4"/>
  <c r="H11" i="4" s="1"/>
  <c r="G10" i="4"/>
  <c r="H10" i="4" s="1"/>
  <c r="AC67" i="2"/>
  <c r="AC68" i="2"/>
  <c r="AC69" i="2"/>
  <c r="G9" i="4"/>
  <c r="H9" i="4" s="1"/>
  <c r="G7" i="4"/>
  <c r="H7" i="4" s="1"/>
  <c r="K69" i="2"/>
  <c r="K58" i="2"/>
  <c r="K47" i="2"/>
  <c r="K36" i="2"/>
  <c r="K25" i="2"/>
  <c r="K68" i="2"/>
  <c r="K57" i="2"/>
  <c r="K46" i="2"/>
  <c r="K35" i="2"/>
  <c r="K24" i="2"/>
  <c r="K67" i="2"/>
  <c r="K56" i="2"/>
  <c r="K45" i="2"/>
  <c r="K34" i="2"/>
  <c r="K23" i="2"/>
  <c r="K66" i="2"/>
  <c r="K55" i="2"/>
  <c r="K44" i="2"/>
  <c r="K33" i="2"/>
  <c r="K22" i="2"/>
  <c r="K65" i="2"/>
  <c r="K54" i="2"/>
  <c r="K43" i="2"/>
  <c r="K32" i="2"/>
  <c r="K21" i="2"/>
  <c r="K64" i="2"/>
  <c r="K53" i="2"/>
  <c r="K31" i="2"/>
  <c r="L31" i="2" s="1"/>
  <c r="K20" i="2"/>
  <c r="K19" i="2"/>
  <c r="K62" i="2"/>
  <c r="K51" i="2"/>
  <c r="K40" i="2"/>
  <c r="K29" i="2"/>
  <c r="K18" i="2"/>
  <c r="K61" i="2"/>
  <c r="K50" i="2"/>
  <c r="K39" i="2"/>
  <c r="K28" i="2"/>
  <c r="K17" i="2"/>
  <c r="K60" i="2"/>
  <c r="K49" i="2"/>
  <c r="K38" i="2"/>
  <c r="K27" i="2"/>
  <c r="K59" i="2"/>
  <c r="K48" i="2"/>
  <c r="K37" i="2"/>
  <c r="K26" i="2"/>
  <c r="AC53" i="2"/>
  <c r="AC54" i="2"/>
  <c r="AC55" i="2"/>
  <c r="AC56" i="2"/>
  <c r="AC57" i="2"/>
  <c r="AC58" i="2"/>
  <c r="R69" i="2"/>
  <c r="S69" i="2" s="1"/>
  <c r="AK69" i="2" s="1"/>
  <c r="R68" i="2"/>
  <c r="S68" i="2" s="1"/>
  <c r="AK68" i="2" s="1"/>
  <c r="R67" i="2"/>
  <c r="S67" i="2" s="1"/>
  <c r="AK67" i="2" s="1"/>
  <c r="R66" i="2"/>
  <c r="S66" i="2" s="1"/>
  <c r="AK66" i="2" s="1"/>
  <c r="R65" i="2"/>
  <c r="S65" i="2" s="1"/>
  <c r="AK65" i="2" s="1"/>
  <c r="R64" i="2"/>
  <c r="S64" i="2" s="1"/>
  <c r="AK64" i="2" s="1"/>
  <c r="R63" i="2"/>
  <c r="S63" i="2" s="1"/>
  <c r="AK63" i="2" s="1"/>
  <c r="R62" i="2"/>
  <c r="S62" i="2" s="1"/>
  <c r="AK62" i="2" s="1"/>
  <c r="R61" i="2"/>
  <c r="S61" i="2" s="1"/>
  <c r="AK61" i="2" s="1"/>
  <c r="R60" i="2"/>
  <c r="S60" i="2" s="1"/>
  <c r="AK60" i="2" s="1"/>
  <c r="R59" i="2"/>
  <c r="S59" i="2" s="1"/>
  <c r="AK59" i="2" s="1"/>
  <c r="R58" i="2"/>
  <c r="S58" i="2" s="1"/>
  <c r="AK58" i="2" s="1"/>
  <c r="R57" i="2"/>
  <c r="S57" i="2" s="1"/>
  <c r="AK57" i="2" s="1"/>
  <c r="R56" i="2"/>
  <c r="S56" i="2" s="1"/>
  <c r="AK56" i="2" s="1"/>
  <c r="R55" i="2"/>
  <c r="S55" i="2" s="1"/>
  <c r="AK55" i="2" s="1"/>
  <c r="R54" i="2"/>
  <c r="S54" i="2" s="1"/>
  <c r="AK54" i="2" s="1"/>
  <c r="R53" i="2"/>
  <c r="S53" i="2" s="1"/>
  <c r="AK53" i="2" s="1"/>
  <c r="R52" i="2"/>
  <c r="S52" i="2" s="1"/>
  <c r="AK52" i="2" s="1"/>
  <c r="R51" i="2"/>
  <c r="S51" i="2" s="1"/>
  <c r="AK51" i="2" s="1"/>
  <c r="R50" i="2"/>
  <c r="S50" i="2" s="1"/>
  <c r="AK50" i="2" s="1"/>
  <c r="R49" i="2"/>
  <c r="S49" i="2" s="1"/>
  <c r="AK49" i="2" s="1"/>
  <c r="R48" i="2"/>
  <c r="S48" i="2" s="1"/>
  <c r="AK48" i="2" s="1"/>
  <c r="R47" i="2"/>
  <c r="S47" i="2" s="1"/>
  <c r="AK47" i="2" s="1"/>
  <c r="R46" i="2"/>
  <c r="S46" i="2" s="1"/>
  <c r="AK46" i="2" s="1"/>
  <c r="R45" i="2"/>
  <c r="S45" i="2" s="1"/>
  <c r="AK45" i="2" s="1"/>
  <c r="R44" i="2"/>
  <c r="S44" i="2" s="1"/>
  <c r="AK44" i="2" s="1"/>
  <c r="R43" i="2"/>
  <c r="S43" i="2" s="1"/>
  <c r="AK43" i="2" s="1"/>
  <c r="R42" i="2"/>
  <c r="S42" i="2" s="1"/>
  <c r="AK42" i="2" s="1"/>
  <c r="R41" i="2"/>
  <c r="S41" i="2" s="1"/>
  <c r="AK41" i="2" s="1"/>
  <c r="R40" i="2"/>
  <c r="S40" i="2" s="1"/>
  <c r="AK40" i="2" s="1"/>
  <c r="R39" i="2"/>
  <c r="S39" i="2" s="1"/>
  <c r="AK39" i="2" s="1"/>
  <c r="R38" i="2"/>
  <c r="S38" i="2" s="1"/>
  <c r="AK38" i="2" s="1"/>
  <c r="R37" i="2"/>
  <c r="S37" i="2" s="1"/>
  <c r="AK37" i="2" s="1"/>
  <c r="R36" i="2"/>
  <c r="S36" i="2" s="1"/>
  <c r="AK36" i="2" s="1"/>
  <c r="R35" i="2"/>
  <c r="S35" i="2" s="1"/>
  <c r="AK35" i="2" s="1"/>
  <c r="R34" i="2"/>
  <c r="S34" i="2" s="1"/>
  <c r="AK34" i="2" s="1"/>
  <c r="R33" i="2"/>
  <c r="S33" i="2" s="1"/>
  <c r="AK33" i="2" s="1"/>
  <c r="R32" i="2"/>
  <c r="S32" i="2" s="1"/>
  <c r="AK32" i="2" s="1"/>
  <c r="R31" i="2"/>
  <c r="S31" i="2" s="1"/>
  <c r="AK31" i="2" s="1"/>
  <c r="R30" i="2"/>
  <c r="S30" i="2" s="1"/>
  <c r="AK30" i="2" s="1"/>
  <c r="R29" i="2"/>
  <c r="S29" i="2" s="1"/>
  <c r="AK29" i="2" s="1"/>
  <c r="R28" i="2"/>
  <c r="S28" i="2" s="1"/>
  <c r="AK28" i="2" s="1"/>
  <c r="R27" i="2"/>
  <c r="S27" i="2" s="1"/>
  <c r="AK27" i="2" s="1"/>
  <c r="R26" i="2"/>
  <c r="S26" i="2" s="1"/>
  <c r="AK26" i="2" s="1"/>
  <c r="R25" i="2"/>
  <c r="S25" i="2" s="1"/>
  <c r="AK25" i="2" s="1"/>
  <c r="R24" i="2"/>
  <c r="S24" i="2" s="1"/>
  <c r="AK24" i="2" s="1"/>
  <c r="R23" i="2"/>
  <c r="S23" i="2" s="1"/>
  <c r="AK23" i="2" s="1"/>
  <c r="R22" i="2"/>
  <c r="S22" i="2" s="1"/>
  <c r="AK22" i="2" s="1"/>
  <c r="R21" i="2"/>
  <c r="S21" i="2" s="1"/>
  <c r="AK21" i="2" s="1"/>
  <c r="R20" i="2"/>
  <c r="S20" i="2" s="1"/>
  <c r="AK20" i="2" s="1"/>
  <c r="R19" i="2"/>
  <c r="S19" i="2" s="1"/>
  <c r="AK19" i="2" s="1"/>
  <c r="R18" i="2"/>
  <c r="S18" i="2" s="1"/>
  <c r="AK18" i="2" s="1"/>
  <c r="R17" i="2"/>
  <c r="S17" i="2" s="1"/>
  <c r="AK17" i="2" s="1"/>
  <c r="R16" i="2"/>
  <c r="S16" i="2" s="1"/>
  <c r="AK16" i="2" s="1"/>
  <c r="R15" i="2"/>
  <c r="S15" i="2" s="1"/>
  <c r="AK15" i="2" s="1"/>
  <c r="H18" i="6" l="1"/>
  <c r="H20" i="6" s="1"/>
  <c r="E18" i="6"/>
  <c r="E20" i="6" s="1"/>
  <c r="G20" i="6"/>
  <c r="AN75" i="2"/>
  <c r="D20" i="6"/>
  <c r="U74" i="2"/>
  <c r="V74" i="2" s="1"/>
  <c r="AE74" i="2"/>
  <c r="AN74" i="2" s="1"/>
  <c r="U73" i="2"/>
  <c r="V73" i="2" s="1"/>
  <c r="AE73" i="2"/>
  <c r="AN73" i="2" s="1"/>
  <c r="U70" i="2"/>
  <c r="V70" i="2" s="1"/>
  <c r="AE70" i="2"/>
  <c r="AE72" i="2"/>
  <c r="AN72" i="2" s="1"/>
  <c r="U72" i="2"/>
  <c r="V72" i="2" s="1"/>
  <c r="U71" i="2"/>
  <c r="V71" i="2" s="1"/>
  <c r="AE71" i="2"/>
  <c r="AN71" i="2" s="1"/>
  <c r="AC61" i="2"/>
  <c r="AC59" i="2"/>
  <c r="AC65" i="2"/>
  <c r="AL66" i="2"/>
  <c r="AL64" i="2"/>
  <c r="AC63" i="2"/>
  <c r="AC62" i="2"/>
  <c r="F18" i="6" l="1"/>
  <c r="K18" i="6" s="1"/>
  <c r="AN70" i="2"/>
  <c r="N19" i="1"/>
  <c r="L69" i="2"/>
  <c r="H69" i="2"/>
  <c r="I69" i="2" s="1"/>
  <c r="L68" i="2"/>
  <c r="H68" i="2"/>
  <c r="I68" i="2" s="1"/>
  <c r="L67" i="2"/>
  <c r="H67" i="2"/>
  <c r="I67" i="2" s="1"/>
  <c r="L66" i="2"/>
  <c r="H66" i="2"/>
  <c r="I66" i="2" s="1"/>
  <c r="L65" i="2"/>
  <c r="H65" i="2"/>
  <c r="I65" i="2" s="1"/>
  <c r="L64" i="2"/>
  <c r="H64" i="2"/>
  <c r="I64" i="2" s="1"/>
  <c r="L63" i="2"/>
  <c r="H63" i="2"/>
  <c r="I63" i="2" s="1"/>
  <c r="L62" i="2"/>
  <c r="H62" i="2"/>
  <c r="I62" i="2" s="1"/>
  <c r="L61" i="2"/>
  <c r="H61" i="2"/>
  <c r="I61" i="2" s="1"/>
  <c r="L60" i="2"/>
  <c r="H60" i="2"/>
  <c r="I60" i="2" s="1"/>
  <c r="L59" i="2"/>
  <c r="H59" i="2"/>
  <c r="I59" i="2" s="1"/>
  <c r="N18" i="1"/>
  <c r="F20" i="6" l="1"/>
  <c r="K20" i="6" s="1"/>
  <c r="AH61" i="2"/>
  <c r="AH63" i="2"/>
  <c r="AH65" i="2"/>
  <c r="AH67" i="2"/>
  <c r="AH69" i="2"/>
  <c r="AH60" i="2"/>
  <c r="AH62" i="2"/>
  <c r="AH64" i="2"/>
  <c r="AH66" i="2"/>
  <c r="AH68" i="2"/>
  <c r="AH59" i="2"/>
  <c r="N60" i="2"/>
  <c r="AI60" i="2" s="1"/>
  <c r="P60" i="2"/>
  <c r="AJ60" i="2" s="1"/>
  <c r="P62" i="2"/>
  <c r="AJ62" i="2" s="1"/>
  <c r="N62" i="2"/>
  <c r="AI62" i="2" s="1"/>
  <c r="N64" i="2"/>
  <c r="AI64" i="2" s="1"/>
  <c r="P64" i="2"/>
  <c r="AJ64" i="2" s="1"/>
  <c r="P66" i="2"/>
  <c r="AJ66" i="2" s="1"/>
  <c r="N66" i="2"/>
  <c r="AI66" i="2" s="1"/>
  <c r="N68" i="2"/>
  <c r="AI68" i="2" s="1"/>
  <c r="P68" i="2"/>
  <c r="AJ68" i="2" s="1"/>
  <c r="P59" i="2"/>
  <c r="AJ59" i="2" s="1"/>
  <c r="N59" i="2"/>
  <c r="AI59" i="2" s="1"/>
  <c r="P61" i="2"/>
  <c r="AJ61" i="2" s="1"/>
  <c r="N61" i="2"/>
  <c r="AI61" i="2" s="1"/>
  <c r="P63" i="2"/>
  <c r="AJ63" i="2" s="1"/>
  <c r="N63" i="2"/>
  <c r="AI63" i="2" s="1"/>
  <c r="P65" i="2"/>
  <c r="AJ65" i="2" s="1"/>
  <c r="N65" i="2"/>
  <c r="AI65" i="2" s="1"/>
  <c r="P67" i="2"/>
  <c r="AJ67" i="2" s="1"/>
  <c r="N67" i="2"/>
  <c r="AI67" i="2" s="1"/>
  <c r="P69" i="2"/>
  <c r="AJ69" i="2" s="1"/>
  <c r="N69" i="2"/>
  <c r="AI69" i="2" s="1"/>
  <c r="K16" i="2"/>
  <c r="K15" i="2"/>
  <c r="AM67" i="2" l="1"/>
  <c r="AM69" i="2"/>
  <c r="AM61" i="2"/>
  <c r="AM65" i="2"/>
  <c r="AM63" i="2"/>
  <c r="AM64" i="2"/>
  <c r="AM59" i="2"/>
  <c r="AM62" i="2"/>
  <c r="AM68" i="2"/>
  <c r="AM60" i="2"/>
  <c r="AM66" i="2"/>
  <c r="T69" i="2"/>
  <c r="AE69" i="2" s="1"/>
  <c r="T61" i="2"/>
  <c r="AE61" i="2" s="1"/>
  <c r="T66" i="2"/>
  <c r="T65" i="2"/>
  <c r="AE65" i="2" s="1"/>
  <c r="T62" i="2"/>
  <c r="T67" i="2"/>
  <c r="T63" i="2"/>
  <c r="T64" i="2"/>
  <c r="AE64" i="2" s="1"/>
  <c r="T68" i="2"/>
  <c r="T60" i="2"/>
  <c r="T59" i="2"/>
  <c r="L58" i="2"/>
  <c r="H58" i="2"/>
  <c r="I58" i="2" s="1"/>
  <c r="L57" i="2"/>
  <c r="H57" i="2"/>
  <c r="I57" i="2" s="1"/>
  <c r="L56" i="2"/>
  <c r="H56" i="2"/>
  <c r="I56" i="2" s="1"/>
  <c r="L55" i="2"/>
  <c r="H55" i="2"/>
  <c r="I55" i="2" s="1"/>
  <c r="L54" i="2"/>
  <c r="H54" i="2"/>
  <c r="I54" i="2" s="1"/>
  <c r="L53" i="2"/>
  <c r="H53" i="2"/>
  <c r="I53" i="2" s="1"/>
  <c r="AH53" i="2" s="1"/>
  <c r="L52" i="2"/>
  <c r="H52" i="2"/>
  <c r="I52" i="2" s="1"/>
  <c r="L51" i="2"/>
  <c r="H51" i="2"/>
  <c r="I51" i="2" s="1"/>
  <c r="AH51" i="2" s="1"/>
  <c r="L50" i="2"/>
  <c r="H50" i="2"/>
  <c r="I50" i="2" s="1"/>
  <c r="L49" i="2"/>
  <c r="H49" i="2"/>
  <c r="I49" i="2" s="1"/>
  <c r="AH49" i="2" s="1"/>
  <c r="L48" i="2"/>
  <c r="H48" i="2"/>
  <c r="I48" i="2" s="1"/>
  <c r="L47" i="2"/>
  <c r="H47" i="2"/>
  <c r="I47" i="2" s="1"/>
  <c r="L46" i="2"/>
  <c r="H46" i="2"/>
  <c r="I46" i="2" s="1"/>
  <c r="AH46" i="2" s="1"/>
  <c r="L45" i="2"/>
  <c r="H45" i="2"/>
  <c r="I45" i="2" s="1"/>
  <c r="L44" i="2"/>
  <c r="H44" i="2"/>
  <c r="I44" i="2" s="1"/>
  <c r="AH44" i="2" s="1"/>
  <c r="L43" i="2"/>
  <c r="H43" i="2"/>
  <c r="I43" i="2" s="1"/>
  <c r="L42" i="2"/>
  <c r="H42" i="2"/>
  <c r="I42" i="2" s="1"/>
  <c r="AH42" i="2" s="1"/>
  <c r="L41" i="2"/>
  <c r="H41" i="2"/>
  <c r="I41" i="2" s="1"/>
  <c r="L40" i="2"/>
  <c r="H40" i="2"/>
  <c r="I40" i="2" s="1"/>
  <c r="AH40" i="2" s="1"/>
  <c r="L39" i="2"/>
  <c r="H39" i="2"/>
  <c r="I39" i="2" s="1"/>
  <c r="L38" i="2"/>
  <c r="H38" i="2"/>
  <c r="I38" i="2" s="1"/>
  <c r="AH38" i="2" s="1"/>
  <c r="L37" i="2"/>
  <c r="H37" i="2"/>
  <c r="I37" i="2" s="1"/>
  <c r="H36" i="2"/>
  <c r="I36" i="2" s="1"/>
  <c r="H35" i="2"/>
  <c r="I35" i="2" s="1"/>
  <c r="H34" i="2"/>
  <c r="I34" i="2" s="1"/>
  <c r="H33" i="2"/>
  <c r="I33" i="2" s="1"/>
  <c r="H32" i="2"/>
  <c r="I32" i="2" s="1"/>
  <c r="H31" i="2"/>
  <c r="I31" i="2" s="1"/>
  <c r="AH31" i="2" s="1"/>
  <c r="H30" i="2"/>
  <c r="I30" i="2" s="1"/>
  <c r="H29" i="2"/>
  <c r="I29" i="2" s="1"/>
  <c r="H28" i="2"/>
  <c r="I28" i="2" s="1"/>
  <c r="H27" i="2"/>
  <c r="I27" i="2" s="1"/>
  <c r="H26" i="2"/>
  <c r="I26" i="2" s="1"/>
  <c r="H25" i="2"/>
  <c r="I25" i="2" s="1"/>
  <c r="H24" i="2"/>
  <c r="I24" i="2" s="1"/>
  <c r="H23" i="2"/>
  <c r="I23" i="2" s="1"/>
  <c r="H22" i="2"/>
  <c r="I22" i="2" s="1"/>
  <c r="H21" i="2"/>
  <c r="I21" i="2" s="1"/>
  <c r="H20" i="2"/>
  <c r="I20" i="2" s="1"/>
  <c r="H19" i="2"/>
  <c r="I19" i="2" s="1"/>
  <c r="H18" i="2"/>
  <c r="I18" i="2" s="1"/>
  <c r="H17" i="2"/>
  <c r="I17" i="2" s="1"/>
  <c r="H16" i="2"/>
  <c r="I16" i="2" s="1"/>
  <c r="H15" i="2"/>
  <c r="I15" i="2" s="1"/>
  <c r="L36" i="2"/>
  <c r="L35" i="2"/>
  <c r="L34" i="2"/>
  <c r="L33" i="2"/>
  <c r="L32" i="2"/>
  <c r="L30" i="2"/>
  <c r="L29" i="2"/>
  <c r="L28" i="2"/>
  <c r="L27" i="2"/>
  <c r="L26" i="2"/>
  <c r="N20" i="1"/>
  <c r="N17" i="1"/>
  <c r="N16" i="1"/>
  <c r="L25" i="2"/>
  <c r="L24" i="2"/>
  <c r="L23" i="2"/>
  <c r="L22" i="2"/>
  <c r="L21" i="2"/>
  <c r="L20" i="2"/>
  <c r="L19" i="2"/>
  <c r="L18" i="2"/>
  <c r="L17" i="2"/>
  <c r="L16" i="2"/>
  <c r="L15" i="2"/>
  <c r="N15" i="1"/>
  <c r="N14" i="1"/>
  <c r="F23" i="6" l="1"/>
  <c r="F25" i="6" s="1"/>
  <c r="AH55" i="2"/>
  <c r="AH18" i="2"/>
  <c r="AH22" i="2"/>
  <c r="AH29" i="2"/>
  <c r="AH57" i="2"/>
  <c r="AH15" i="2"/>
  <c r="AH19" i="2"/>
  <c r="AH23" i="2"/>
  <c r="AH26" i="2"/>
  <c r="AH30" i="2"/>
  <c r="AH27" i="2"/>
  <c r="AH37" i="2"/>
  <c r="AH39" i="2"/>
  <c r="AH41" i="2"/>
  <c r="AH43" i="2"/>
  <c r="AH45" i="2"/>
  <c r="AH47" i="2"/>
  <c r="AH48" i="2"/>
  <c r="AH50" i="2"/>
  <c r="AH52" i="2"/>
  <c r="AH54" i="2"/>
  <c r="AH56" i="2"/>
  <c r="AH58" i="2"/>
  <c r="AH20" i="2"/>
  <c r="AH35" i="2"/>
  <c r="AH33" i="2"/>
  <c r="AH34" i="2"/>
  <c r="AH16" i="2"/>
  <c r="AH24" i="2"/>
  <c r="AH17" i="2"/>
  <c r="AH21" i="2"/>
  <c r="AH25" i="2"/>
  <c r="AH28" i="2"/>
  <c r="AH32" i="2"/>
  <c r="AH36" i="2"/>
  <c r="U65" i="2"/>
  <c r="V65" i="2" s="1"/>
  <c r="U61" i="2"/>
  <c r="V61" i="2" s="1"/>
  <c r="AN61" i="2"/>
  <c r="AE59" i="2"/>
  <c r="AN59" i="2" s="1"/>
  <c r="U63" i="2"/>
  <c r="V63" i="2" s="1"/>
  <c r="AE63" i="2"/>
  <c r="U62" i="2"/>
  <c r="V62" i="2" s="1"/>
  <c r="AE62" i="2"/>
  <c r="U60" i="2"/>
  <c r="V60" i="2" s="1"/>
  <c r="AE60" i="2"/>
  <c r="U67" i="2"/>
  <c r="V67" i="2" s="1"/>
  <c r="AE67" i="2"/>
  <c r="AN67" i="2" s="1"/>
  <c r="U66" i="2"/>
  <c r="V66" i="2" s="1"/>
  <c r="AE66" i="2"/>
  <c r="U64" i="2"/>
  <c r="V64" i="2" s="1"/>
  <c r="AN64" i="2" s="1"/>
  <c r="U69" i="2"/>
  <c r="V69" i="2" s="1"/>
  <c r="AN69" i="2" s="1"/>
  <c r="U68" i="2"/>
  <c r="V68" i="2" s="1"/>
  <c r="AE68" i="2"/>
  <c r="AN65" i="2"/>
  <c r="U59" i="2"/>
  <c r="V59" i="2" s="1"/>
  <c r="AI15" i="2"/>
  <c r="P15" i="2"/>
  <c r="AJ15" i="2" s="1"/>
  <c r="N19" i="2"/>
  <c r="AI19" i="2" s="1"/>
  <c r="P19" i="2"/>
  <c r="AJ19" i="2" s="1"/>
  <c r="N23" i="2"/>
  <c r="AI23" i="2" s="1"/>
  <c r="P23" i="2"/>
  <c r="AJ23" i="2" s="1"/>
  <c r="N26" i="2"/>
  <c r="AI26" i="2" s="1"/>
  <c r="P26" i="2"/>
  <c r="AJ26" i="2" s="1"/>
  <c r="N30" i="2"/>
  <c r="AI30" i="2" s="1"/>
  <c r="P30" i="2"/>
  <c r="AJ30" i="2" s="1"/>
  <c r="P34" i="2"/>
  <c r="AJ34" i="2" s="1"/>
  <c r="N34" i="2"/>
  <c r="AI34" i="2" s="1"/>
  <c r="P16" i="2"/>
  <c r="AJ16" i="2" s="1"/>
  <c r="N16" i="2"/>
  <c r="AI16" i="2" s="1"/>
  <c r="N20" i="2"/>
  <c r="AI20" i="2" s="1"/>
  <c r="P20" i="2"/>
  <c r="AJ20" i="2" s="1"/>
  <c r="P24" i="2"/>
  <c r="AJ24" i="2" s="1"/>
  <c r="N24" i="2"/>
  <c r="AI24" i="2" s="1"/>
  <c r="N27" i="2"/>
  <c r="AI27" i="2" s="1"/>
  <c r="P27" i="2"/>
  <c r="AJ27" i="2" s="1"/>
  <c r="P31" i="2"/>
  <c r="AJ31" i="2" s="1"/>
  <c r="N31" i="2"/>
  <c r="AI31" i="2" s="1"/>
  <c r="P35" i="2"/>
  <c r="AJ35" i="2" s="1"/>
  <c r="N35" i="2"/>
  <c r="AI35" i="2" s="1"/>
  <c r="N37" i="2"/>
  <c r="AI37" i="2" s="1"/>
  <c r="P37" i="2"/>
  <c r="AJ37" i="2" s="1"/>
  <c r="P39" i="2"/>
  <c r="AJ39" i="2" s="1"/>
  <c r="N39" i="2"/>
  <c r="AI39" i="2" s="1"/>
  <c r="N41" i="2"/>
  <c r="AI41" i="2" s="1"/>
  <c r="P41" i="2"/>
  <c r="AJ41" i="2" s="1"/>
  <c r="P43" i="2"/>
  <c r="AJ43" i="2" s="1"/>
  <c r="N43" i="2"/>
  <c r="AI43" i="2" s="1"/>
  <c r="N45" i="2"/>
  <c r="AI45" i="2" s="1"/>
  <c r="P45" i="2"/>
  <c r="AJ45" i="2" s="1"/>
  <c r="P47" i="2"/>
  <c r="AJ47" i="2" s="1"/>
  <c r="N47" i="2"/>
  <c r="AI47" i="2" s="1"/>
  <c r="N48" i="2"/>
  <c r="AI48" i="2" s="1"/>
  <c r="P48" i="2"/>
  <c r="AJ48" i="2" s="1"/>
  <c r="P50" i="2"/>
  <c r="AJ50" i="2" s="1"/>
  <c r="N50" i="2"/>
  <c r="AI50" i="2" s="1"/>
  <c r="N52" i="2"/>
  <c r="AI52" i="2" s="1"/>
  <c r="P52" i="2"/>
  <c r="AJ52" i="2" s="1"/>
  <c r="P54" i="2"/>
  <c r="AJ54" i="2" s="1"/>
  <c r="N54" i="2"/>
  <c r="AI54" i="2" s="1"/>
  <c r="N56" i="2"/>
  <c r="AI56" i="2" s="1"/>
  <c r="P56" i="2"/>
  <c r="AJ56" i="2" s="1"/>
  <c r="P58" i="2"/>
  <c r="AJ58" i="2" s="1"/>
  <c r="N58" i="2"/>
  <c r="AI58" i="2" s="1"/>
  <c r="P17" i="2"/>
  <c r="AJ17" i="2" s="1"/>
  <c r="N17" i="2"/>
  <c r="AI17" i="2" s="1"/>
  <c r="P21" i="2"/>
  <c r="AJ21" i="2" s="1"/>
  <c r="N21" i="2"/>
  <c r="AI21" i="2" s="1"/>
  <c r="P25" i="2"/>
  <c r="AJ25" i="2" s="1"/>
  <c r="N25" i="2"/>
  <c r="AI25" i="2" s="1"/>
  <c r="P28" i="2"/>
  <c r="AJ28" i="2" s="1"/>
  <c r="N28" i="2"/>
  <c r="AI28" i="2" s="1"/>
  <c r="P32" i="2"/>
  <c r="AJ32" i="2" s="1"/>
  <c r="N32" i="2"/>
  <c r="AI32" i="2" s="1"/>
  <c r="P36" i="2"/>
  <c r="AJ36" i="2" s="1"/>
  <c r="N36" i="2"/>
  <c r="AI36" i="2" s="1"/>
  <c r="P18" i="2"/>
  <c r="AJ18" i="2" s="1"/>
  <c r="N18" i="2"/>
  <c r="AI18" i="2" s="1"/>
  <c r="P22" i="2"/>
  <c r="AJ22" i="2" s="1"/>
  <c r="N22" i="2"/>
  <c r="AI22" i="2" s="1"/>
  <c r="P29" i="2"/>
  <c r="AJ29" i="2" s="1"/>
  <c r="N29" i="2"/>
  <c r="AI29" i="2" s="1"/>
  <c r="P33" i="2"/>
  <c r="AJ33" i="2" s="1"/>
  <c r="N33" i="2"/>
  <c r="AI33" i="2" s="1"/>
  <c r="P38" i="2"/>
  <c r="AJ38" i="2" s="1"/>
  <c r="N38" i="2"/>
  <c r="AI38" i="2" s="1"/>
  <c r="P40" i="2"/>
  <c r="AJ40" i="2" s="1"/>
  <c r="N40" i="2"/>
  <c r="AI40" i="2" s="1"/>
  <c r="P42" i="2"/>
  <c r="AJ42" i="2" s="1"/>
  <c r="N42" i="2"/>
  <c r="AI42" i="2" s="1"/>
  <c r="P44" i="2"/>
  <c r="AJ44" i="2" s="1"/>
  <c r="N44" i="2"/>
  <c r="AI44" i="2" s="1"/>
  <c r="N46" i="2"/>
  <c r="AI46" i="2" s="1"/>
  <c r="P46" i="2"/>
  <c r="AJ46" i="2" s="1"/>
  <c r="P49" i="2"/>
  <c r="AJ49" i="2" s="1"/>
  <c r="N49" i="2"/>
  <c r="AI49" i="2" s="1"/>
  <c r="P51" i="2"/>
  <c r="AJ51" i="2" s="1"/>
  <c r="N51" i="2"/>
  <c r="AI51" i="2" s="1"/>
  <c r="P53" i="2"/>
  <c r="AJ53" i="2" s="1"/>
  <c r="N53" i="2"/>
  <c r="AI53" i="2" s="1"/>
  <c r="P55" i="2"/>
  <c r="AJ55" i="2" s="1"/>
  <c r="N55" i="2"/>
  <c r="AI55" i="2" s="1"/>
  <c r="P57" i="2"/>
  <c r="AJ57" i="2" s="1"/>
  <c r="N57" i="2"/>
  <c r="AI57" i="2" s="1"/>
  <c r="AM27" i="2" l="1"/>
  <c r="AM30" i="2"/>
  <c r="AM55" i="2"/>
  <c r="AM51" i="2"/>
  <c r="AM44" i="2"/>
  <c r="AM40" i="2"/>
  <c r="AM29" i="2"/>
  <c r="AM22" i="2"/>
  <c r="AM31" i="2"/>
  <c r="AM42" i="2"/>
  <c r="AM18" i="2"/>
  <c r="AM15" i="2"/>
  <c r="AM37" i="2"/>
  <c r="AM23" i="2"/>
  <c r="AM57" i="2"/>
  <c r="AM46" i="2"/>
  <c r="AM38" i="2"/>
  <c r="AM58" i="2"/>
  <c r="AM26" i="2"/>
  <c r="AM19" i="2"/>
  <c r="AM25" i="2"/>
  <c r="AM53" i="2"/>
  <c r="AM49" i="2"/>
  <c r="AM20" i="2"/>
  <c r="AM56" i="2"/>
  <c r="AM52" i="2"/>
  <c r="AM48" i="2"/>
  <c r="AM45" i="2"/>
  <c r="AM41" i="2"/>
  <c r="AM32" i="2"/>
  <c r="AM17" i="2"/>
  <c r="AM16" i="2"/>
  <c r="AM35" i="2"/>
  <c r="AM36" i="2"/>
  <c r="AM21" i="2"/>
  <c r="AM24" i="2"/>
  <c r="AM33" i="2"/>
  <c r="AM54" i="2"/>
  <c r="AM50" i="2"/>
  <c r="AM47" i="2"/>
  <c r="AM43" i="2"/>
  <c r="AM39" i="2"/>
  <c r="AM28" i="2"/>
  <c r="AM34" i="2"/>
  <c r="T57" i="2"/>
  <c r="AE57" i="2" s="1"/>
  <c r="T53" i="2"/>
  <c r="AE53" i="2" s="1"/>
  <c r="T49" i="2"/>
  <c r="AE49" i="2" s="1"/>
  <c r="T42" i="2"/>
  <c r="AE42" i="2" s="1"/>
  <c r="T38" i="2"/>
  <c r="AE38" i="2" s="1"/>
  <c r="T33" i="2"/>
  <c r="AE33" i="2" s="1"/>
  <c r="T18" i="2"/>
  <c r="AE18" i="2" s="1"/>
  <c r="T36" i="2"/>
  <c r="AE36" i="2" s="1"/>
  <c r="T28" i="2"/>
  <c r="AE28" i="2" s="1"/>
  <c r="T21" i="2"/>
  <c r="AE21" i="2" s="1"/>
  <c r="T58" i="2"/>
  <c r="AE58" i="2" s="1"/>
  <c r="T54" i="2"/>
  <c r="AE54" i="2" s="1"/>
  <c r="T50" i="2"/>
  <c r="AE50" i="2" s="1"/>
  <c r="T47" i="2"/>
  <c r="AE47" i="2" s="1"/>
  <c r="T43" i="2"/>
  <c r="AE43" i="2" s="1"/>
  <c r="T39" i="2"/>
  <c r="AE39" i="2" s="1"/>
  <c r="T35" i="2"/>
  <c r="AE35" i="2" s="1"/>
  <c r="T20" i="2"/>
  <c r="AE20" i="2" s="1"/>
  <c r="T34" i="2"/>
  <c r="AE34" i="2" s="1"/>
  <c r="T19" i="2"/>
  <c r="AE19" i="2" s="1"/>
  <c r="AN68" i="2"/>
  <c r="AN66" i="2"/>
  <c r="AN60" i="2"/>
  <c r="AN63" i="2"/>
  <c r="AN62" i="2"/>
  <c r="T40" i="2"/>
  <c r="AE40" i="2" s="1"/>
  <c r="T32" i="2"/>
  <c r="T51" i="2"/>
  <c r="T44" i="2"/>
  <c r="AE44" i="2" s="1"/>
  <c r="T56" i="2"/>
  <c r="T52" i="2"/>
  <c r="AE52" i="2" s="1"/>
  <c r="T48" i="2"/>
  <c r="T45" i="2"/>
  <c r="AE45" i="2" s="1"/>
  <c r="T41" i="2"/>
  <c r="T37" i="2"/>
  <c r="T31" i="2"/>
  <c r="AE31" i="2" s="1"/>
  <c r="T16" i="2"/>
  <c r="AE16" i="2" s="1"/>
  <c r="T30" i="2"/>
  <c r="T23" i="2"/>
  <c r="AE23" i="2" s="1"/>
  <c r="T15" i="2"/>
  <c r="T46" i="2"/>
  <c r="AE46" i="2" s="1"/>
  <c r="T27" i="2"/>
  <c r="T26" i="2"/>
  <c r="T55" i="2"/>
  <c r="T29" i="2"/>
  <c r="AE29" i="2" s="1"/>
  <c r="T22" i="2"/>
  <c r="AE22" i="2" s="1"/>
  <c r="T25" i="2"/>
  <c r="T17" i="2"/>
  <c r="T24" i="2"/>
  <c r="AE24" i="2" s="1"/>
  <c r="U40" i="2"/>
  <c r="V40" i="2" s="1"/>
  <c r="D23" i="6" l="1"/>
  <c r="D25" i="6" s="1"/>
  <c r="H23" i="6"/>
  <c r="H25" i="6" s="1"/>
  <c r="AE37" i="2"/>
  <c r="G23" i="6"/>
  <c r="G25" i="6" s="1"/>
  <c r="E23" i="6"/>
  <c r="E25" i="6" s="1"/>
  <c r="AM76" i="2"/>
  <c r="T76" i="2"/>
  <c r="U47" i="2"/>
  <c r="V47" i="2" s="1"/>
  <c r="U21" i="2"/>
  <c r="V21" i="2" s="1"/>
  <c r="U33" i="2"/>
  <c r="V33" i="2" s="1"/>
  <c r="U49" i="2"/>
  <c r="V49" i="2" s="1"/>
  <c r="U19" i="2"/>
  <c r="V19" i="2" s="1"/>
  <c r="U38" i="2"/>
  <c r="V38" i="2" s="1"/>
  <c r="U36" i="2"/>
  <c r="V36" i="2" s="1"/>
  <c r="U57" i="2"/>
  <c r="V57" i="2" s="1"/>
  <c r="U39" i="2"/>
  <c r="V39" i="2" s="1"/>
  <c r="U22" i="2"/>
  <c r="V22" i="2" s="1"/>
  <c r="U54" i="2"/>
  <c r="V54" i="2" s="1"/>
  <c r="U24" i="2"/>
  <c r="V24" i="2" s="1"/>
  <c r="U28" i="2"/>
  <c r="V28" i="2" s="1"/>
  <c r="U23" i="2"/>
  <c r="V23" i="2" s="1"/>
  <c r="U44" i="2"/>
  <c r="V44" i="2" s="1"/>
  <c r="U50" i="2"/>
  <c r="V50" i="2" s="1"/>
  <c r="U35" i="2"/>
  <c r="V35" i="2" s="1"/>
  <c r="U53" i="2"/>
  <c r="V53" i="2" s="1"/>
  <c r="U52" i="2"/>
  <c r="V52" i="2" s="1"/>
  <c r="U31" i="2"/>
  <c r="V31" i="2" s="1"/>
  <c r="U34" i="2"/>
  <c r="V34" i="2" s="1"/>
  <c r="U37" i="2"/>
  <c r="V37" i="2" s="1"/>
  <c r="U46" i="2"/>
  <c r="V46" i="2" s="1"/>
  <c r="U16" i="2"/>
  <c r="V16" i="2" s="1"/>
  <c r="U20" i="2"/>
  <c r="V20" i="2" s="1"/>
  <c r="U43" i="2"/>
  <c r="V43" i="2" s="1"/>
  <c r="U58" i="2"/>
  <c r="V58" i="2" s="1"/>
  <c r="U18" i="2"/>
  <c r="V18" i="2" s="1"/>
  <c r="U42" i="2"/>
  <c r="V42" i="2" s="1"/>
  <c r="U45" i="2"/>
  <c r="V45" i="2" s="1"/>
  <c r="U30" i="2"/>
  <c r="V30" i="2" s="1"/>
  <c r="AE30" i="2"/>
  <c r="U56" i="2"/>
  <c r="V56" i="2" s="1"/>
  <c r="AE56" i="2"/>
  <c r="U51" i="2"/>
  <c r="V51" i="2" s="1"/>
  <c r="AE51" i="2"/>
  <c r="U29" i="2"/>
  <c r="V29" i="2" s="1"/>
  <c r="U17" i="2"/>
  <c r="V17" i="2" s="1"/>
  <c r="AE17" i="2"/>
  <c r="U32" i="2"/>
  <c r="V32" i="2" s="1"/>
  <c r="AE32" i="2"/>
  <c r="U27" i="2"/>
  <c r="V27" i="2" s="1"/>
  <c r="AE27" i="2"/>
  <c r="U25" i="2"/>
  <c r="V25" i="2" s="1"/>
  <c r="AE25" i="2"/>
  <c r="U55" i="2"/>
  <c r="V55" i="2" s="1"/>
  <c r="AE55" i="2"/>
  <c r="U15" i="2"/>
  <c r="V15" i="2" s="1"/>
  <c r="V76" i="2" s="1"/>
  <c r="AE15" i="2"/>
  <c r="U48" i="2"/>
  <c r="V48" i="2" s="1"/>
  <c r="AE48" i="2"/>
  <c r="U41" i="2"/>
  <c r="V41" i="2" s="1"/>
  <c r="AE41" i="2"/>
  <c r="U26" i="2"/>
  <c r="V26" i="2" s="1"/>
  <c r="AE26" i="2"/>
  <c r="K25" i="6" l="1"/>
  <c r="K23" i="6"/>
  <c r="AE76" i="2"/>
  <c r="U7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Yessenia Pino</author>
  </authors>
  <commentList>
    <comment ref="Q18" authorId="0" shapeId="0" xr:uid="{11D818B0-0B69-4DB2-9987-A255AAB93C12}">
      <text>
        <r>
          <rPr>
            <b/>
            <sz val="9"/>
            <color indexed="81"/>
            <rFont val="Tahoma"/>
            <family val="2"/>
          </rPr>
          <t>Yessenia Pino:</t>
        </r>
        <r>
          <rPr>
            <sz val="9"/>
            <color indexed="81"/>
            <rFont val="Tahoma"/>
            <family val="2"/>
          </rPr>
          <t xml:space="preserve">
Valor cobrado mensualmenye corresponde al 2,6%</t>
        </r>
      </text>
    </comment>
  </commentList>
</comments>
</file>

<file path=xl/sharedStrings.xml><?xml version="1.0" encoding="utf-8"?>
<sst xmlns="http://schemas.openxmlformats.org/spreadsheetml/2006/main" count="451" uniqueCount="200">
  <si>
    <t>Proveedor</t>
  </si>
  <si>
    <t>Periodo Duracion</t>
  </si>
  <si>
    <t>Nuevos Desarrollos Spa</t>
  </si>
  <si>
    <t>Mall</t>
  </si>
  <si>
    <t>locales comerciales Nº C-2057/C 2061</t>
  </si>
  <si>
    <t>Bien Arrendado</t>
  </si>
  <si>
    <t>Comuna</t>
  </si>
  <si>
    <t>Inicio Atención Publico</t>
  </si>
  <si>
    <t>Fecha Suscripcion</t>
  </si>
  <si>
    <t>Fecha Inicio Contrato</t>
  </si>
  <si>
    <t>Metros Cuadrados</t>
  </si>
  <si>
    <t>2 años</t>
  </si>
  <si>
    <t>Hasta</t>
  </si>
  <si>
    <t>será el mayor valor que resulte entre el Valor Mínimo Mensual Reajustable y el Valor Porcentual para el correspondiente mes, 
ambos más el Impuesto al Valor Agregado (I.V.A.) que corresponda al monto pagado</t>
  </si>
  <si>
    <t>Tarifa</t>
  </si>
  <si>
    <t>Condiciones</t>
  </si>
  <si>
    <t>Valor Minimo</t>
  </si>
  <si>
    <t>Valor %</t>
  </si>
  <si>
    <t xml:space="preserve">8,1%  sobre la facturación neta mensual </t>
  </si>
  <si>
    <t>Otras obligaciones derivadas del Contrato</t>
  </si>
  <si>
    <t>Fondo de Promocion</t>
  </si>
  <si>
    <t xml:space="preserve"> correspondiente al 10%  de la renta de arrendamiento mensual, expresada en Unidades de Fomento, más
el Impuesto al Valor Agregado.</t>
  </si>
  <si>
    <t>Resumen Contratos Locales Comerciales</t>
  </si>
  <si>
    <t>Flexi Chile Spa</t>
  </si>
  <si>
    <t>Mall Plaza Egaña</t>
  </si>
  <si>
    <t>Nº A-2045/A-2049</t>
  </si>
  <si>
    <t>Mes</t>
  </si>
  <si>
    <t>Enero</t>
  </si>
  <si>
    <t>Diciembre</t>
  </si>
  <si>
    <t>Resumen Facturacion Locales Comerciales</t>
  </si>
  <si>
    <t>UF x M2</t>
  </si>
  <si>
    <t>Total UF</t>
  </si>
  <si>
    <t>%</t>
  </si>
  <si>
    <t>Venta Local</t>
  </si>
  <si>
    <t>Total</t>
  </si>
  <si>
    <t>Arriendo</t>
  </si>
  <si>
    <t>Fondo Promoción</t>
  </si>
  <si>
    <t>Febrero</t>
  </si>
  <si>
    <t>Marzo</t>
  </si>
  <si>
    <t>Abril</t>
  </si>
  <si>
    <t>Mayo</t>
  </si>
  <si>
    <t>Junio</t>
  </si>
  <si>
    <t>Julio</t>
  </si>
  <si>
    <t>Agosto</t>
  </si>
  <si>
    <t>Septiembre</t>
  </si>
  <si>
    <t>Octubre</t>
  </si>
  <si>
    <t>Total Neto $</t>
  </si>
  <si>
    <t>Otras obligaciones del Contrato</t>
  </si>
  <si>
    <t>La Florida</t>
  </si>
  <si>
    <t>Mall Plaza Vespucio</t>
  </si>
  <si>
    <t>Ñuñoa</t>
  </si>
  <si>
    <t>Plaza Vespucio Spa</t>
  </si>
  <si>
    <t>Nº 077/078</t>
  </si>
  <si>
    <t>Las Condes</t>
  </si>
  <si>
    <t>Mall Plaza Dominicos</t>
  </si>
  <si>
    <t>Talcahuano</t>
  </si>
  <si>
    <t>Mall Plaza El Trebol</t>
  </si>
  <si>
    <t>Plaza El Trebol Spa</t>
  </si>
  <si>
    <t>A-237/A-239</t>
  </si>
  <si>
    <t>Providencia</t>
  </si>
  <si>
    <t>Mall Costanera Center</t>
  </si>
  <si>
    <t>Mall Florida Center</t>
  </si>
  <si>
    <t>Mall Plaza Los Dominicos</t>
  </si>
  <si>
    <t>Año</t>
  </si>
  <si>
    <t>Valor UF</t>
  </si>
  <si>
    <t>Maipu</t>
  </si>
  <si>
    <t>Mall Arauco Maipu</t>
  </si>
  <si>
    <t>Total Neto</t>
  </si>
  <si>
    <t>IVA</t>
  </si>
  <si>
    <t>Lo que se debio Facturar según Contrato</t>
  </si>
  <si>
    <t>Factura recibida</t>
  </si>
  <si>
    <t>Arauco Malls Chile S.A.</t>
  </si>
  <si>
    <t>S.U.C N° 639</t>
  </si>
  <si>
    <t>2 años 1 mes</t>
  </si>
  <si>
    <t>N/A</t>
  </si>
  <si>
    <t>Comercializadora Costanera Center Spa</t>
  </si>
  <si>
    <t>Local N° 2200</t>
  </si>
  <si>
    <t>5 años</t>
  </si>
  <si>
    <t>Recargo Valor Minimo Mensual</t>
  </si>
  <si>
    <t xml:space="preserve"> correspondiente al 10%  de la renta de arrendamiento mensual, expresada en Unidades de Fomento, más el Impuesto al Valor Agregado. Adicionalmente debera pagar 248 UF como aporte inicial la cual se paga con la primera cuota de arrendamiento</t>
  </si>
  <si>
    <t>El VMM correspondiente a los 10 primero meses se recargara en un 21,63% , total de 540 UF pagandose  junto con la 1era cuota de arrendamiento</t>
  </si>
  <si>
    <t>Local N° 2068</t>
  </si>
  <si>
    <t>Cencosud Shopping S.A.</t>
  </si>
  <si>
    <t>2,6 UF por m2 (por el mes de diciembre de cada año se reajuste se paga un 75% del VMM adicional como una cuota de arriendo numero 13. Al termino del contrato se reajusta el VMM en un 10%)</t>
  </si>
  <si>
    <t>1,4 UF por m2 (por el mes de diciembre de cada año se reajuste se paga un 75% del VMM adicional como una cuota de arriendo numero 13. Al termino del contrato se reajusta el VMM en un 10%)</t>
  </si>
  <si>
    <t>El VMM correspondiente a los 10 primero meses se recargara en un 32,72% , total de 360 UF pagandose  junto con la 1era cuota de arrendamiento</t>
  </si>
  <si>
    <t xml:space="preserve"> correspondiente al 10%  de la renta de arrendamiento mensual, expresada en Unidades de Fomento, más el Impuesto al Valor Agregado. Adicionalmente debera pagar 127 UF como aporte inicial la cual se paga con la primera cuota de arrendamiento</t>
  </si>
  <si>
    <r>
      <t xml:space="preserve">0,2 UF por m2 ( cada 24 meses  se reajusta en un 10%), </t>
    </r>
    <r>
      <rPr>
        <sz val="11"/>
        <color rgb="FFFF0000"/>
        <rFont val="Calibri"/>
        <family val="2"/>
        <scheme val="minor"/>
      </rPr>
      <t>contrato no indica pago cuota numero 13.</t>
    </r>
  </si>
  <si>
    <r>
      <t>1,2 UF por m2 ( cada 24 meses  se reajusta en un 10%)</t>
    </r>
    <r>
      <rPr>
        <sz val="11"/>
        <color rgb="FFFF0000"/>
        <rFont val="Calibri"/>
        <family val="2"/>
        <scheme val="minor"/>
      </rPr>
      <t xml:space="preserve"> contrato no indica pago cuota numero 13.</t>
    </r>
  </si>
  <si>
    <r>
      <t xml:space="preserve">1,5 UF por m2 ( cada 24 meses  se reajusta en un 10%) </t>
    </r>
    <r>
      <rPr>
        <sz val="11"/>
        <color rgb="FFFF0000"/>
        <rFont val="Calibri"/>
        <family val="2"/>
        <scheme val="minor"/>
      </rPr>
      <t>contrato no indica pago cuota numero 13.</t>
    </r>
  </si>
  <si>
    <r>
      <t xml:space="preserve">1,4 UF por m2 ( cada 24 meses  se reajusta en un 10%) </t>
    </r>
    <r>
      <rPr>
        <sz val="11"/>
        <color rgb="FFFF0000"/>
        <rFont val="Calibri"/>
        <family val="2"/>
        <scheme val="minor"/>
      </rPr>
      <t>contrato no indica pago cuota numero 13.</t>
    </r>
  </si>
  <si>
    <r>
      <t xml:space="preserve">1 UF por m2, </t>
    </r>
    <r>
      <rPr>
        <sz val="11"/>
        <color rgb="FFFF0000"/>
        <rFont val="Calibri"/>
        <family val="2"/>
        <scheme val="minor"/>
      </rPr>
      <t xml:space="preserve"> contrato no indica pago cuota numero 13.</t>
    </r>
  </si>
  <si>
    <t xml:space="preserve">Octubre </t>
  </si>
  <si>
    <t>Costo Administración</t>
  </si>
  <si>
    <t xml:space="preserve"> correspondiente al 5%  de la renta de arrendamiento mensual.</t>
  </si>
  <si>
    <t>Gastos Comunes</t>
  </si>
  <si>
    <t>0,42 UF por m2</t>
  </si>
  <si>
    <t>0,44 UF por m2</t>
  </si>
  <si>
    <t>0,52 UF por m2</t>
  </si>
  <si>
    <t>0,67 UF por m2</t>
  </si>
  <si>
    <t>0,46 UF por m2</t>
  </si>
  <si>
    <t>Costo Administracion</t>
  </si>
  <si>
    <t>Total $</t>
  </si>
  <si>
    <t>Cobros Adicionales</t>
  </si>
  <si>
    <t>Diferencia</t>
  </si>
  <si>
    <t>Factura N°</t>
  </si>
  <si>
    <t>Detalle diferencias</t>
  </si>
  <si>
    <t>F/63046</t>
  </si>
  <si>
    <t>Energia electrica</t>
  </si>
  <si>
    <t>Otros</t>
  </si>
  <si>
    <t>F/64092</t>
  </si>
  <si>
    <t>F/64803</t>
  </si>
  <si>
    <t>F/65513</t>
  </si>
  <si>
    <t>F/63559</t>
  </si>
  <si>
    <t>F/66180</t>
  </si>
  <si>
    <t>F/66793</t>
  </si>
  <si>
    <t>F/67364</t>
  </si>
  <si>
    <t>F/67936</t>
  </si>
  <si>
    <t>1.Facturacion consumo Electricidad</t>
  </si>
  <si>
    <t>Notas:</t>
  </si>
  <si>
    <t>1. Costo administracion Maipu, factor es menor, contrato dice 5%, lo cobrado es el 2,6%</t>
  </si>
  <si>
    <t>Descuentos a favor de flexi</t>
  </si>
  <si>
    <t>Factura no viene abierta por concepto</t>
  </si>
  <si>
    <t>Descto Flexi - Factura no viene abierta por concepto</t>
  </si>
  <si>
    <t>No tengo factura</t>
  </si>
  <si>
    <t>F/141561</t>
  </si>
  <si>
    <t>F/139434 + F/141817</t>
  </si>
  <si>
    <t>F/144044</t>
  </si>
  <si>
    <t>F/144528</t>
  </si>
  <si>
    <t>F/146330</t>
  </si>
  <si>
    <t>F/146331</t>
  </si>
  <si>
    <t>F/147859</t>
  </si>
  <si>
    <t>F/149427</t>
  </si>
  <si>
    <t>F/149428</t>
  </si>
  <si>
    <t>F/147858 + F/44411</t>
  </si>
  <si>
    <t>F/142856 + NC/28072</t>
  </si>
  <si>
    <t>Sin Factura</t>
  </si>
  <si>
    <t>F/143219 + NC/28133</t>
  </si>
  <si>
    <t>F/106575</t>
  </si>
  <si>
    <t>F/107246</t>
  </si>
  <si>
    <t>F/108086 + F/71442</t>
  </si>
  <si>
    <t>F/107611 + F/71561</t>
  </si>
  <si>
    <t>F/108653 + F/71741</t>
  </si>
  <si>
    <t>F/109080 + F/71940</t>
  </si>
  <si>
    <t>F/109518 + F/72152</t>
  </si>
  <si>
    <t>F/95725</t>
  </si>
  <si>
    <t>F/95726</t>
  </si>
  <si>
    <t>F/95727</t>
  </si>
  <si>
    <t>F/95728</t>
  </si>
  <si>
    <t>F/95729</t>
  </si>
  <si>
    <t>F/95730</t>
  </si>
  <si>
    <t>F/62578 + F/62579 + NC/5006</t>
  </si>
  <si>
    <t>F/65957 + F/66552</t>
  </si>
  <si>
    <t>F/66552</t>
  </si>
  <si>
    <t>F/67696</t>
  </si>
  <si>
    <t>F/62579 + F/62807 + NC/5007 -5818</t>
  </si>
  <si>
    <t>F/62807 + F/63876 + F/64119 + NC/5008-5819</t>
  </si>
  <si>
    <t>F/63876 + F/64119</t>
  </si>
  <si>
    <t>F/63876 + F/64329 + F/64588 + NC/5262</t>
  </si>
  <si>
    <t>F/64588 + F/64969 + F/65291</t>
  </si>
  <si>
    <t>F/65291 + F/65720 + F/65957</t>
  </si>
  <si>
    <t>F/71202 + NC/4031</t>
  </si>
  <si>
    <t>Valor Minimo con descuento a) desde 15-12-2021 al 14-12-2022 1,9, b) desde 15-12-2022 al 14-12-2023 2,1 c) desde 15-12-2023 al 14-12-2024 2,3 d) desde 15-12-2024 al 14-12-2025 2,4.</t>
  </si>
  <si>
    <t>Valor Minimo con descuento a) desde 15-12-2021 al 14-12-2022 0,8, b) desde 15-12-2022 al 14-12-2023 0,9 c) desde 15-12-2023 al 14-12-2024 1,0 d) desde 15-12-2024 al 14-12-2025 1,2.</t>
  </si>
  <si>
    <t>F/579533</t>
  </si>
  <si>
    <t>F/582585 + F/584410</t>
  </si>
  <si>
    <t>F/578308 + F/581571 + NC/172405</t>
  </si>
  <si>
    <t>F/581105 + F/581571 + NC/172405</t>
  </si>
  <si>
    <t>Costanera Center</t>
  </si>
  <si>
    <t>1.Recargo al valor minimo</t>
  </si>
  <si>
    <t>F/46254</t>
  </si>
  <si>
    <t>Recargo VM</t>
  </si>
  <si>
    <t>Clausulas Adiconales/comentarios</t>
  </si>
  <si>
    <t>Comenzo en diciembre de 2020 a cobrarse arriendo</t>
  </si>
  <si>
    <r>
      <t xml:space="preserve">Se aplicaran los siguientes descuentos al VMM: a) desde 15-12-2021 al 14-12-2022 26,92%, b) desde 15-12-2022 al 14-12-2023 19,23%, c) desde 15-12-2023 al 14-12-2024 11,54%, d) desde 15-12-2024 al 14-12-2025 7,69% - </t>
    </r>
    <r>
      <rPr>
        <sz val="11"/>
        <color rgb="FFFF0000"/>
        <rFont val="Calibri"/>
        <family val="2"/>
        <scheme val="minor"/>
      </rPr>
      <t>Contrato comienza a cobrarse en octubre</t>
    </r>
  </si>
  <si>
    <r>
      <t xml:space="preserve">Se aplicaran los siguientes descuentos al VMM: a) desde 15-12-2021 al 14-12-2022 42,85%, b) desde 15-12-2022 al 14-12-2023 35,71%, c) desde 15-12-2023 al 14-12-2024 28,57%, d) desde 15-12-2024 al 14-12-2025 14,28%. </t>
    </r>
    <r>
      <rPr>
        <sz val="11"/>
        <color rgb="FFFF0000"/>
        <rFont val="Calibri"/>
        <family val="2"/>
        <scheme val="minor"/>
      </rPr>
      <t>Contrato comienza a cobrarse en diciembre</t>
    </r>
  </si>
  <si>
    <t>2. en rojo (cuadro facturas recibidas), no tenemos facturas de cobro</t>
  </si>
  <si>
    <t>Estado de Resultado por Centro de Costo</t>
  </si>
  <si>
    <t>N° CUENTA</t>
  </si>
  <si>
    <t>NOMBRE CUENTA</t>
  </si>
  <si>
    <t>DOMINICOS</t>
  </si>
  <si>
    <t>EGAÑA</t>
  </si>
  <si>
    <t>MAIPU</t>
  </si>
  <si>
    <t>VESPUCIO</t>
  </si>
  <si>
    <t>TREBOL</t>
  </si>
  <si>
    <t>COSTANERA CENTER</t>
  </si>
  <si>
    <t>FLORIDA CENTER</t>
  </si>
  <si>
    <t>TOTAL</t>
  </si>
  <si>
    <t>3105301</t>
  </si>
  <si>
    <t>ARRIENDOS</t>
  </si>
  <si>
    <t>A diciembre de 2020</t>
  </si>
  <si>
    <t>A Octubre de 2021</t>
  </si>
  <si>
    <t>Total Facturas recibidas</t>
  </si>
  <si>
    <t>Total Contabilizado</t>
  </si>
  <si>
    <t>Diferencia Facturas V/S Contabilidad</t>
  </si>
  <si>
    <t>Gastos según contrato (valor neto)</t>
  </si>
  <si>
    <t>Diferencia Contabilidad V/S Contrato</t>
  </si>
  <si>
    <t>Nota:</t>
  </si>
  <si>
    <t>1. Diferencia Facturas V/S Contabilidad, se debe revisar y ajustar en esta linea no deberia haber diferencia, ojo que puede estar ocacionada por mal registro de este archivo o error en connttabilización, o en su defecto provisión faactura no recibida.</t>
  </si>
  <si>
    <t>2. Diferencia Contabilidad V/S Contrato, debe reflejar los descuentos obtenidos.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</si>
</sst>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 #,##0_-;_-* &quot;-&quot;_-;_-@_-"/>
    <numFmt numFmtId="43" formatCode="_-* #,##0.00_-;\-* #,##0.00_-;_-* &quot;-&quot;??_-;_-@_-"/>
    <numFmt numFmtId="164" formatCode="_-* #,##0.0000_-;\-* #,##0.0000_-;_-* &quot;-&quot;??_-;_-@_-"/>
    <numFmt numFmtId="165" formatCode="_-* #,##0_-;\-* #,##0_-;_-* &quot;-&quot;??_-;_-@_-"/>
    <numFmt numFmtId="166" formatCode="_-* #,##0\ _€_-;\-* #,##0\ _€_-;_-* &quot;-&quot;??\ _€_-;_-@_-"/>
    <numFmt numFmtId="167" formatCode="_ * #,##0_ ;_ * \-#,##0_ ;_ * &quot;-&quot;??_ ;_ @_ "/>
    <numFmt numFmtId="168" formatCode="_(* #,##0_);_(* \(#,##0\);_(* &quot;-&quot;????_);_(@_)"/>
  </numFmts>
  <fonts count="1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
      <sz val="11"/>
      <name val="Calibri"/>
      <family val="2"/>
      <scheme val="minor"/>
    </font>
    <font>
      <b/>
      <sz val="11"/>
      <color rgb="FFFF0000"/>
      <name val="Calibri"/>
      <family val="2"/>
      <scheme val="minor"/>
    </font>
    <font>
      <u/>
      <sz val="11"/>
      <color theme="1"/>
      <name val="Calibri"/>
      <family val="2"/>
      <scheme val="minor"/>
    </font>
    <font>
      <b/>
      <u/>
      <sz val="11"/>
      <color theme="1"/>
      <name val="Calibri"/>
      <family val="2"/>
      <scheme val="minor"/>
    </font>
    <font>
      <sz val="10"/>
      <color theme="1"/>
      <name val="Book Antiqua"/>
      <family val="1"/>
    </font>
    <font>
      <b/>
      <sz val="11"/>
      <color theme="1"/>
      <name val="Book Antiqua"/>
      <family val="1"/>
    </font>
    <font>
      <b/>
      <sz val="10"/>
      <color theme="1"/>
      <name val="Book Antiqua"/>
      <family val="1"/>
    </font>
    <font>
      <b/>
      <sz val="10"/>
      <color rgb="FFFF0000"/>
      <name val="Book Antiqua"/>
      <family val="1"/>
    </font>
    <font>
      <sz val="10"/>
      <color rgb="FFFF0000"/>
      <name val="Book Antiqua"/>
      <family val="1"/>
    </font>
    <font>
      <b/>
      <u/>
      <sz val="10"/>
      <color theme="1"/>
      <name val="Book Antiqua"/>
      <family val="1"/>
    </font>
    <font>
      <sz val="9"/>
      <color indexed="81"/>
      <name val="Tahoma"/>
      <family val="2"/>
    </font>
    <font>
      <b/>
      <sz val="9"/>
      <color indexed="81"/>
      <name val="Tahoma"/>
      <family val="2"/>
    </font>
  </fonts>
  <fills count="7">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5" tint="0.59999389629810485"/>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
      <left/>
      <right/>
      <top style="thin">
        <color indexed="64"/>
      </top>
      <bottom style="double">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41" fontId="1" fillId="0" borderId="0" applyFont="0" applyFill="0" applyBorder="0" applyAlignment="0" applyProtection="0"/>
  </cellStyleXfs>
  <cellXfs count="107">
    <xf numFmtId="0" fontId="0" fillId="0" borderId="0" xfId="0"/>
    <xf numFmtId="0" fontId="3" fillId="0" borderId="0" xfId="0" applyFont="1"/>
    <xf numFmtId="0" fontId="3" fillId="0" borderId="1" xfId="0" applyFont="1" applyBorder="1" applyAlignment="1">
      <alignment horizontal="center" vertical="center" wrapText="1"/>
    </xf>
    <xf numFmtId="0" fontId="3" fillId="0" borderId="1" xfId="0" applyFont="1" applyBorder="1" applyAlignment="1">
      <alignment horizontal="center"/>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center" vertical="top" wrapText="1"/>
    </xf>
    <xf numFmtId="164" fontId="0" fillId="0" borderId="1" xfId="1" applyNumberFormat="1" applyFont="1" applyBorder="1" applyAlignment="1">
      <alignment horizontal="center" vertical="center" wrapText="1"/>
    </xf>
    <xf numFmtId="0" fontId="3" fillId="0" borderId="2" xfId="0" applyFont="1" applyBorder="1"/>
    <xf numFmtId="0" fontId="0" fillId="0" borderId="2" xfId="0" applyBorder="1"/>
    <xf numFmtId="9" fontId="0" fillId="0" borderId="1" xfId="0" applyNumberFormat="1" applyBorder="1" applyAlignment="1">
      <alignment horizontal="center" vertical="center" wrapText="1"/>
    </xf>
    <xf numFmtId="10" fontId="0" fillId="0" borderId="1" xfId="0" applyNumberFormat="1" applyBorder="1" applyAlignment="1">
      <alignment horizontal="center" vertical="center" wrapText="1"/>
    </xf>
    <xf numFmtId="165" fontId="0" fillId="0" borderId="1" xfId="1" applyNumberFormat="1" applyFont="1" applyBorder="1" applyAlignment="1">
      <alignment horizontal="center" vertical="center" wrapText="1"/>
    </xf>
    <xf numFmtId="43" fontId="0" fillId="0" borderId="1" xfId="1" applyNumberFormat="1" applyFont="1" applyBorder="1" applyAlignment="1">
      <alignment horizontal="center" vertical="center" wrapText="1"/>
    </xf>
    <xf numFmtId="43" fontId="0" fillId="0" borderId="1" xfId="1" applyNumberFormat="1" applyFont="1" applyFill="1" applyBorder="1" applyAlignment="1">
      <alignment horizontal="center" vertical="center" wrapText="1"/>
    </xf>
    <xf numFmtId="14" fontId="0" fillId="0" borderId="1" xfId="0" applyNumberFormat="1" applyFill="1" applyBorder="1" applyAlignment="1">
      <alignment horizontal="center" vertical="center" wrapText="1"/>
    </xf>
    <xf numFmtId="43" fontId="0" fillId="0" borderId="1" xfId="1" applyFont="1" applyFill="1" applyBorder="1" applyAlignment="1">
      <alignment horizontal="center" vertical="center" wrapText="1"/>
    </xf>
    <xf numFmtId="165" fontId="0" fillId="0" borderId="1" xfId="1" applyNumberFormat="1" applyFont="1" applyFill="1" applyBorder="1" applyAlignment="1">
      <alignment horizontal="center" vertical="center" wrapText="1"/>
    </xf>
    <xf numFmtId="9" fontId="0" fillId="0" borderId="1" xfId="0" applyNumberFormat="1" applyFill="1" applyBorder="1" applyAlignment="1">
      <alignment horizontal="center" vertical="center" wrapText="1"/>
    </xf>
    <xf numFmtId="165" fontId="0" fillId="0" borderId="1" xfId="1" applyNumberFormat="1" applyFont="1" applyFill="1" applyBorder="1"/>
    <xf numFmtId="0" fontId="0" fillId="0" borderId="1" xfId="0" applyFill="1" applyBorder="1" applyAlignment="1">
      <alignment horizontal="center" vertical="center" wrapText="1"/>
    </xf>
    <xf numFmtId="164" fontId="0" fillId="0" borderId="1" xfId="1" applyNumberFormat="1" applyFont="1" applyFill="1" applyBorder="1" applyAlignment="1">
      <alignment horizontal="center" vertical="center" wrapText="1"/>
    </xf>
    <xf numFmtId="14" fontId="5" fillId="0" borderId="1" xfId="0" applyNumberFormat="1" applyFont="1" applyFill="1" applyBorder="1" applyAlignment="1">
      <alignment horizontal="center" vertical="center" wrapText="1"/>
    </xf>
    <xf numFmtId="0" fontId="6" fillId="0" borderId="0" xfId="0" applyFont="1" applyFill="1"/>
    <xf numFmtId="0" fontId="2" fillId="0" borderId="0" xfId="0" applyFont="1" applyFill="1"/>
    <xf numFmtId="9" fontId="0" fillId="0" borderId="1" xfId="2" applyFont="1" applyFill="1" applyBorder="1" applyAlignment="1">
      <alignment horizontal="center" vertical="center" wrapText="1"/>
    </xf>
    <xf numFmtId="165" fontId="0" fillId="0" borderId="0" xfId="0" applyNumberFormat="1"/>
    <xf numFmtId="0" fontId="3" fillId="0" borderId="1" xfId="0" applyFont="1" applyFill="1" applyBorder="1" applyAlignment="1">
      <alignment horizontal="center"/>
    </xf>
    <xf numFmtId="165" fontId="0" fillId="0" borderId="1" xfId="1" applyNumberFormat="1" applyFont="1" applyBorder="1"/>
    <xf numFmtId="0" fontId="6" fillId="0" borderId="0" xfId="0" applyFont="1"/>
    <xf numFmtId="0" fontId="0" fillId="0" borderId="0" xfId="0" applyFill="1"/>
    <xf numFmtId="165" fontId="0" fillId="0" borderId="0" xfId="1" applyNumberFormat="1" applyFont="1"/>
    <xf numFmtId="165" fontId="3" fillId="0" borderId="0" xfId="1" applyNumberFormat="1" applyFont="1"/>
    <xf numFmtId="0" fontId="0" fillId="0" borderId="1" xfId="0" applyBorder="1"/>
    <xf numFmtId="14" fontId="0" fillId="0" borderId="1" xfId="0" applyNumberFormat="1" applyBorder="1"/>
    <xf numFmtId="165" fontId="5" fillId="0" borderId="1" xfId="1" applyNumberFormat="1" applyFont="1" applyBorder="1"/>
    <xf numFmtId="166" fontId="2" fillId="0" borderId="1" xfId="0" applyNumberFormat="1" applyFont="1" applyBorder="1"/>
    <xf numFmtId="166" fontId="5" fillId="0" borderId="1" xfId="0" applyNumberFormat="1" applyFont="1" applyBorder="1"/>
    <xf numFmtId="0" fontId="0" fillId="0" borderId="1" xfId="0" applyBorder="1" applyAlignment="1">
      <alignment horizontal="left"/>
    </xf>
    <xf numFmtId="165" fontId="0" fillId="2" borderId="1" xfId="1" applyNumberFormat="1" applyFont="1" applyFill="1" applyBorder="1" applyAlignment="1">
      <alignment horizontal="center" vertical="center" wrapText="1"/>
    </xf>
    <xf numFmtId="165" fontId="3" fillId="0" borderId="1" xfId="1" applyNumberFormat="1" applyFont="1" applyBorder="1"/>
    <xf numFmtId="165" fontId="3" fillId="0" borderId="1" xfId="0" applyNumberFormat="1" applyFont="1" applyBorder="1"/>
    <xf numFmtId="0" fontId="7" fillId="0" borderId="0" xfId="0" applyFont="1"/>
    <xf numFmtId="0" fontId="8" fillId="0" borderId="0" xfId="0" applyFont="1"/>
    <xf numFmtId="165" fontId="0" fillId="2" borderId="1" xfId="1" applyNumberFormat="1" applyFont="1" applyFill="1" applyBorder="1"/>
    <xf numFmtId="43" fontId="0" fillId="2" borderId="1" xfId="1" applyFont="1" applyFill="1" applyBorder="1"/>
    <xf numFmtId="10" fontId="0" fillId="0" borderId="0" xfId="2" applyNumberFormat="1" applyFont="1"/>
    <xf numFmtId="0" fontId="2" fillId="0" borderId="0" xfId="0" applyFont="1"/>
    <xf numFmtId="43" fontId="0" fillId="2" borderId="1" xfId="1" applyFont="1" applyFill="1" applyBorder="1" applyAlignment="1">
      <alignment horizontal="center" vertical="center" wrapText="1"/>
    </xf>
    <xf numFmtId="0" fontId="3" fillId="0" borderId="1" xfId="0" applyFont="1" applyFill="1" applyBorder="1" applyAlignment="1">
      <alignment horizontal="center" vertical="center" wrapText="1"/>
    </xf>
    <xf numFmtId="14" fontId="0" fillId="3" borderId="1" xfId="0" applyNumberFormat="1" applyFill="1" applyBorder="1" applyAlignment="1">
      <alignment horizontal="center" vertical="center" wrapText="1"/>
    </xf>
    <xf numFmtId="0" fontId="9" fillId="0" borderId="0" xfId="0" applyFont="1"/>
    <xf numFmtId="0" fontId="9" fillId="0" borderId="0" xfId="0" applyFont="1" applyAlignment="1">
      <alignment horizontal="center"/>
    </xf>
    <xf numFmtId="41" fontId="9" fillId="0" borderId="0" xfId="3" applyFont="1" applyAlignment="1">
      <alignment horizontal="center"/>
    </xf>
    <xf numFmtId="0" fontId="11" fillId="0" borderId="0" xfId="0" applyFont="1" applyAlignment="1">
      <alignment horizontal="right"/>
    </xf>
    <xf numFmtId="41" fontId="11" fillId="0" borderId="0" xfId="3" applyFont="1" applyBorder="1"/>
    <xf numFmtId="0" fontId="9" fillId="0" borderId="0" xfId="0" applyFont="1" applyAlignment="1">
      <alignment wrapText="1"/>
    </xf>
    <xf numFmtId="167" fontId="9" fillId="0" borderId="1" xfId="1" applyNumberFormat="1" applyFont="1" applyFill="1" applyBorder="1"/>
    <xf numFmtId="168" fontId="9" fillId="0" borderId="1" xfId="1" applyNumberFormat="1" applyFont="1" applyFill="1" applyBorder="1"/>
    <xf numFmtId="167" fontId="9" fillId="0" borderId="0" xfId="0" applyNumberFormat="1" applyFont="1"/>
    <xf numFmtId="165" fontId="9" fillId="0" borderId="0" xfId="1" applyNumberFormat="1" applyFont="1"/>
    <xf numFmtId="0" fontId="11" fillId="0" borderId="0" xfId="0" applyFont="1"/>
    <xf numFmtId="0" fontId="11" fillId="0" borderId="0" xfId="0" applyFont="1" applyAlignment="1">
      <alignment horizontal="left"/>
    </xf>
    <xf numFmtId="0" fontId="9" fillId="4" borderId="14" xfId="0" applyFont="1" applyFill="1" applyBorder="1"/>
    <xf numFmtId="167" fontId="11" fillId="4" borderId="14" xfId="0" applyNumberFormat="1" applyFont="1" applyFill="1" applyBorder="1"/>
    <xf numFmtId="0" fontId="11" fillId="5" borderId="14" xfId="0" applyFont="1" applyFill="1" applyBorder="1"/>
    <xf numFmtId="165" fontId="11" fillId="5" borderId="14" xfId="1" applyNumberFormat="1" applyFont="1" applyFill="1" applyBorder="1"/>
    <xf numFmtId="0" fontId="9" fillId="0" borderId="1" xfId="0" applyFont="1" applyFill="1" applyBorder="1"/>
    <xf numFmtId="165" fontId="9" fillId="0" borderId="1" xfId="1" applyNumberFormat="1" applyFont="1" applyFill="1" applyBorder="1"/>
    <xf numFmtId="0" fontId="11" fillId="6" borderId="14" xfId="0" applyFont="1" applyFill="1" applyBorder="1"/>
    <xf numFmtId="165" fontId="11" fillId="6" borderId="14" xfId="1" applyNumberFormat="1" applyFont="1" applyFill="1" applyBorder="1"/>
    <xf numFmtId="165" fontId="11" fillId="0" borderId="0" xfId="1" applyNumberFormat="1" applyFont="1"/>
    <xf numFmtId="165" fontId="9" fillId="0" borderId="0" xfId="0" applyNumberFormat="1" applyFont="1"/>
    <xf numFmtId="165" fontId="12" fillId="6" borderId="14" xfId="1" applyNumberFormat="1" applyFont="1" applyFill="1" applyBorder="1"/>
    <xf numFmtId="165" fontId="11" fillId="5" borderId="14" xfId="0" applyNumberFormat="1" applyFont="1" applyFill="1" applyBorder="1"/>
    <xf numFmtId="0" fontId="14" fillId="0" borderId="0" xfId="0" applyFont="1"/>
    <xf numFmtId="0" fontId="6" fillId="0" borderId="0"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3" fillId="0" borderId="1" xfId="0" applyFont="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3" fillId="0" borderId="8" xfId="0" applyFont="1" applyBorder="1" applyAlignment="1">
      <alignment horizontal="center"/>
    </xf>
    <xf numFmtId="0" fontId="6" fillId="0" borderId="0" xfId="0" applyFont="1" applyFill="1" applyBorder="1" applyAlignment="1">
      <alignment horizontal="left"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0" xfId="0" applyFont="1" applyBorder="1" applyAlignment="1">
      <alignment horizontal="center"/>
    </xf>
    <xf numFmtId="0" fontId="3" fillId="0" borderId="2" xfId="0" applyFont="1" applyBorder="1" applyAlignment="1">
      <alignment horizontal="center"/>
    </xf>
    <xf numFmtId="0" fontId="3" fillId="0" borderId="10"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5" xfId="0" applyFont="1" applyBorder="1" applyAlignment="1">
      <alignment horizontal="center" vertical="center" wrapText="1"/>
    </xf>
    <xf numFmtId="0" fontId="10" fillId="0" borderId="0" xfId="0" applyFont="1" applyAlignment="1">
      <alignment horizontal="center"/>
    </xf>
    <xf numFmtId="0" fontId="13" fillId="0" borderId="0" xfId="0" applyFont="1" applyAlignment="1">
      <alignment horizontal="left" vertical="center" wrapText="1"/>
    </xf>
    <xf numFmtId="0" fontId="11" fillId="0" borderId="1" xfId="0" applyFont="1" applyBorder="1" applyAlignment="1">
      <alignment horizontal="center" vertical="center" wrapText="1"/>
    </xf>
    <xf numFmtId="0" fontId="3" fillId="5" borderId="9" xfId="0" applyFont="1" applyFill="1" applyBorder="1" applyAlignment="1">
      <alignment horizontal="center" vertical="top" wrapText="1"/>
    </xf>
    <xf numFmtId="0" fontId="3" fillId="5" borderId="13" xfId="0" applyFont="1" applyFill="1" applyBorder="1" applyAlignment="1">
      <alignment horizontal="center" vertical="top" wrapText="1"/>
    </xf>
    <xf numFmtId="0" fontId="3" fillId="5" borderId="11" xfId="0" applyFont="1" applyFill="1" applyBorder="1" applyAlignment="1">
      <alignment horizontal="center" vertical="top" wrapText="1"/>
    </xf>
    <xf numFmtId="0" fontId="3" fillId="5" borderId="10" xfId="0" applyFont="1" applyFill="1" applyBorder="1" applyAlignment="1">
      <alignment horizontal="center" vertical="top" wrapText="1"/>
    </xf>
    <xf numFmtId="0" fontId="3" fillId="5" borderId="2" xfId="0" applyFont="1" applyFill="1" applyBorder="1" applyAlignment="1">
      <alignment horizontal="center" vertical="top" wrapText="1"/>
    </xf>
    <xf numFmtId="0" fontId="3" fillId="5" borderId="12" xfId="0" applyFont="1" applyFill="1" applyBorder="1" applyAlignment="1">
      <alignment horizontal="center" vertical="top" wrapText="1"/>
    </xf>
  </cellXfs>
  <cellStyles count="4">
    <cellStyle name="Millares" xfId="1" builtinId="3"/>
    <cellStyle name="Millares [0]" xfId="3" builtinId="6"/>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0</xdr:row>
      <xdr:rowOff>133350</xdr:rowOff>
    </xdr:from>
    <xdr:to>
      <xdr:col>2</xdr:col>
      <xdr:colOff>285750</xdr:colOff>
      <xdr:row>6</xdr:row>
      <xdr:rowOff>0</xdr:rowOff>
    </xdr:to>
    <xdr:pic>
      <xdr:nvPicPr>
        <xdr:cNvPr id="3" name="Imagen 2">
          <a:extLst>
            <a:ext uri="{FF2B5EF4-FFF2-40B4-BE49-F238E27FC236}">
              <a16:creationId xmlns:a16="http://schemas.microsoft.com/office/drawing/2014/main" id="{66ED23CB-F4F4-46DA-8C92-16170501A9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9575" y="133350"/>
          <a:ext cx="1009650" cy="1009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38100</xdr:colOff>
      <xdr:row>0</xdr:row>
      <xdr:rowOff>133350</xdr:rowOff>
    </xdr:from>
    <xdr:to>
      <xdr:col>1</xdr:col>
      <xdr:colOff>1047750</xdr:colOff>
      <xdr:row>6</xdr:row>
      <xdr:rowOff>0</xdr:rowOff>
    </xdr:to>
    <xdr:pic>
      <xdr:nvPicPr>
        <xdr:cNvPr id="2" name="Imagen 1">
          <a:extLst>
            <a:ext uri="{FF2B5EF4-FFF2-40B4-BE49-F238E27FC236}">
              <a16:creationId xmlns:a16="http://schemas.microsoft.com/office/drawing/2014/main" id="{307993F7-112C-4036-A5A8-B65F24854D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9575" y="133350"/>
          <a:ext cx="1009650" cy="10096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38100</xdr:colOff>
      <xdr:row>4</xdr:row>
      <xdr:rowOff>53898</xdr:rowOff>
    </xdr:to>
    <xdr:pic>
      <xdr:nvPicPr>
        <xdr:cNvPr id="2" name="Imagen 1">
          <a:extLst>
            <a:ext uri="{FF2B5EF4-FFF2-40B4-BE49-F238E27FC236}">
              <a16:creationId xmlns:a16="http://schemas.microsoft.com/office/drawing/2014/main" id="{8920ADD2-D859-4AE4-BAFA-515D068440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0"/>
          <a:ext cx="800100" cy="7968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576791</xdr:colOff>
      <xdr:row>0</xdr:row>
      <xdr:rowOff>0</xdr:rowOff>
    </xdr:from>
    <xdr:to>
      <xdr:col>11</xdr:col>
      <xdr:colOff>386291</xdr:colOff>
      <xdr:row>4</xdr:row>
      <xdr:rowOff>121755</xdr:rowOff>
    </xdr:to>
    <xdr:pic>
      <xdr:nvPicPr>
        <xdr:cNvPr id="3" name="Imagen 2">
          <a:extLst>
            <a:ext uri="{FF2B5EF4-FFF2-40B4-BE49-F238E27FC236}">
              <a16:creationId xmlns:a16="http://schemas.microsoft.com/office/drawing/2014/main" id="{D029CBC9-60A6-41AE-99E1-1D31FDEEBD7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236141" y="0"/>
          <a:ext cx="771525" cy="864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RUPO%20FLEXI/Contabilidad/2021/10-2021/emviado%2017-11-2021/EEFF%20Flexi%20Chile%20Spa%2010-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átula"/>
      <sheetName val="Balance Clasificado"/>
      <sheetName val="Estado de Resultados"/>
      <sheetName val="Clasificado"/>
      <sheetName val="EERR Mensual US$"/>
      <sheetName val="ER Centro de Costo"/>
      <sheetName val="Balance 8 Columnas"/>
      <sheetName val="Patrimonio"/>
      <sheetName val="Disponible"/>
      <sheetName val="Otros Act no Fin"/>
      <sheetName val="Act Financieros Corr"/>
      <sheetName val="Deudores Comerciales"/>
      <sheetName val="Inventarios Corrientes"/>
      <sheetName val="Impuestos corrientes"/>
      <sheetName val="Otros Act Fin no Corr"/>
      <sheetName val="Prop.Plantas y Equipo"/>
      <sheetName val="Cuentas por pagar "/>
      <sheetName val="Otros Pasivos no Fin"/>
      <sheetName val="Provisiones"/>
      <sheetName val="Imptos Corrientes"/>
    </sheetNames>
    <sheetDataSet>
      <sheetData sheetId="0"/>
      <sheetData sheetId="1"/>
      <sheetData sheetId="2">
        <row r="3">
          <cell r="B3" t="str">
            <v>Para el período comprendido entre el 01-01-2021 hasta el 31-10-2021</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F492D-801E-4502-A704-B6E80C5F853F}">
  <dimension ref="A8:U20"/>
  <sheetViews>
    <sheetView showGridLines="0" topLeftCell="A7" zoomScale="90" zoomScaleNormal="90" workbookViewId="0">
      <pane xSplit="2" ySplit="7" topLeftCell="K17" activePane="bottomRight" state="frozen"/>
      <selection activeCell="A7" sqref="A7"/>
      <selection pane="topRight" activeCell="C7" sqref="C7"/>
      <selection pane="bottomLeft" activeCell="A14" sqref="A14"/>
      <selection pane="bottomRight" activeCell="K14" sqref="K14"/>
    </sheetView>
  </sheetViews>
  <sheetFormatPr baseColWidth="10" defaultRowHeight="15" x14ac:dyDescent="0.25"/>
  <cols>
    <col min="1" max="1" width="5.5703125" customWidth="1"/>
    <col min="4" max="4" width="14.28515625" customWidth="1"/>
    <col min="5" max="5" width="12.28515625" customWidth="1"/>
    <col min="6" max="6" width="15.140625" customWidth="1"/>
    <col min="7" max="8" width="13.28515625" customWidth="1"/>
    <col min="10" max="10" width="12" customWidth="1"/>
    <col min="12" max="12" width="31.42578125" customWidth="1"/>
    <col min="13" max="13" width="19.85546875" customWidth="1"/>
    <col min="14" max="14" width="14" customWidth="1"/>
    <col min="16" max="16" width="22.85546875" customWidth="1"/>
    <col min="17" max="17" width="24.7109375" customWidth="1"/>
    <col min="18" max="18" width="26" customWidth="1"/>
    <col min="19" max="19" width="17.5703125" customWidth="1"/>
    <col min="20" max="20" width="32.7109375" customWidth="1"/>
    <col min="21" max="21" width="18.140625" customWidth="1"/>
  </cols>
  <sheetData>
    <row r="8" spans="1:20" x14ac:dyDescent="0.25">
      <c r="B8" s="1" t="s">
        <v>22</v>
      </c>
      <c r="L8" s="23"/>
    </row>
    <row r="9" spans="1:20" x14ac:dyDescent="0.25">
      <c r="B9" s="8" t="s">
        <v>23</v>
      </c>
      <c r="C9" s="9"/>
      <c r="D9" s="9"/>
      <c r="L9" s="23"/>
    </row>
    <row r="10" spans="1:20" x14ac:dyDescent="0.25">
      <c r="L10" s="24"/>
    </row>
    <row r="12" spans="1:20" x14ac:dyDescent="0.25">
      <c r="A12" s="1"/>
      <c r="B12" s="77" t="s">
        <v>6</v>
      </c>
      <c r="C12" s="77" t="s">
        <v>3</v>
      </c>
      <c r="D12" s="77" t="s">
        <v>5</v>
      </c>
      <c r="E12" s="77" t="s">
        <v>10</v>
      </c>
      <c r="F12" s="77" t="s">
        <v>0</v>
      </c>
      <c r="G12" s="77" t="s">
        <v>8</v>
      </c>
      <c r="H12" s="77" t="s">
        <v>9</v>
      </c>
      <c r="I12" s="77" t="s">
        <v>7</v>
      </c>
      <c r="J12" s="77" t="s">
        <v>1</v>
      </c>
      <c r="K12" s="77" t="s">
        <v>12</v>
      </c>
      <c r="L12" s="77" t="s">
        <v>14</v>
      </c>
      <c r="M12" s="77"/>
      <c r="N12" s="77"/>
      <c r="O12" s="77"/>
      <c r="P12" s="81" t="s">
        <v>19</v>
      </c>
      <c r="Q12" s="82"/>
      <c r="R12" s="82"/>
      <c r="S12" s="83"/>
      <c r="T12" s="78" t="s">
        <v>172</v>
      </c>
    </row>
    <row r="13" spans="1:20" ht="27.75" customHeight="1" x14ac:dyDescent="0.25">
      <c r="A13" s="1"/>
      <c r="B13" s="77"/>
      <c r="C13" s="77"/>
      <c r="D13" s="77"/>
      <c r="E13" s="77"/>
      <c r="F13" s="77"/>
      <c r="G13" s="77"/>
      <c r="H13" s="77"/>
      <c r="I13" s="77"/>
      <c r="J13" s="77"/>
      <c r="K13" s="77"/>
      <c r="L13" s="2" t="s">
        <v>15</v>
      </c>
      <c r="M13" s="80" t="s">
        <v>16</v>
      </c>
      <c r="N13" s="80"/>
      <c r="O13" s="3" t="s">
        <v>17</v>
      </c>
      <c r="P13" s="3" t="s">
        <v>20</v>
      </c>
      <c r="Q13" s="27" t="s">
        <v>93</v>
      </c>
      <c r="R13" s="27" t="s">
        <v>95</v>
      </c>
      <c r="S13" s="49" t="s">
        <v>78</v>
      </c>
      <c r="T13" s="79"/>
    </row>
    <row r="14" spans="1:20" ht="153" customHeight="1" x14ac:dyDescent="0.25">
      <c r="B14" s="4" t="s">
        <v>53</v>
      </c>
      <c r="C14" s="4" t="s">
        <v>54</v>
      </c>
      <c r="D14" s="4" t="s">
        <v>4</v>
      </c>
      <c r="E14" s="4">
        <v>109.01</v>
      </c>
      <c r="F14" s="4" t="s">
        <v>2</v>
      </c>
      <c r="G14" s="5">
        <v>44180</v>
      </c>
      <c r="H14" s="5">
        <v>44151</v>
      </c>
      <c r="I14" s="5">
        <v>44181</v>
      </c>
      <c r="J14" s="5" t="s">
        <v>11</v>
      </c>
      <c r="K14" s="5">
        <v>44911</v>
      </c>
      <c r="L14" s="6" t="s">
        <v>13</v>
      </c>
      <c r="M14" s="15" t="s">
        <v>87</v>
      </c>
      <c r="N14" s="7">
        <f>0.2*E14</f>
        <v>21.802000000000003</v>
      </c>
      <c r="O14" s="5" t="s">
        <v>18</v>
      </c>
      <c r="P14" s="5" t="s">
        <v>21</v>
      </c>
      <c r="Q14" s="5" t="s">
        <v>94</v>
      </c>
      <c r="R14" s="5" t="s">
        <v>96</v>
      </c>
      <c r="S14" s="5" t="s">
        <v>74</v>
      </c>
      <c r="T14" s="5" t="s">
        <v>173</v>
      </c>
    </row>
    <row r="15" spans="1:20" ht="120" x14ac:dyDescent="0.25">
      <c r="B15" s="4" t="s">
        <v>50</v>
      </c>
      <c r="C15" s="4" t="s">
        <v>24</v>
      </c>
      <c r="D15" s="4" t="s">
        <v>25</v>
      </c>
      <c r="E15" s="4">
        <v>105.64</v>
      </c>
      <c r="F15" s="4" t="s">
        <v>2</v>
      </c>
      <c r="G15" s="5">
        <v>44180</v>
      </c>
      <c r="H15" s="5">
        <v>44151</v>
      </c>
      <c r="I15" s="5">
        <v>44181</v>
      </c>
      <c r="J15" s="5" t="s">
        <v>11</v>
      </c>
      <c r="K15" s="5">
        <v>44911</v>
      </c>
      <c r="L15" s="6" t="s">
        <v>13</v>
      </c>
      <c r="M15" s="15" t="s">
        <v>88</v>
      </c>
      <c r="N15" s="7">
        <f>1.2*E15</f>
        <v>126.768</v>
      </c>
      <c r="O15" s="5" t="s">
        <v>18</v>
      </c>
      <c r="P15" s="5" t="s">
        <v>21</v>
      </c>
      <c r="Q15" s="5" t="s">
        <v>94</v>
      </c>
      <c r="R15" s="5" t="s">
        <v>97</v>
      </c>
      <c r="S15" s="5" t="s">
        <v>74</v>
      </c>
      <c r="T15" s="5" t="s">
        <v>173</v>
      </c>
    </row>
    <row r="16" spans="1:20" ht="120" x14ac:dyDescent="0.25">
      <c r="B16" s="4" t="s">
        <v>48</v>
      </c>
      <c r="C16" s="4" t="s">
        <v>49</v>
      </c>
      <c r="D16" s="4" t="s">
        <v>52</v>
      </c>
      <c r="E16" s="4">
        <v>68</v>
      </c>
      <c r="F16" s="4" t="s">
        <v>51</v>
      </c>
      <c r="G16" s="5">
        <v>44180</v>
      </c>
      <c r="H16" s="5">
        <v>44151</v>
      </c>
      <c r="I16" s="5">
        <v>44181</v>
      </c>
      <c r="J16" s="5" t="s">
        <v>11</v>
      </c>
      <c r="K16" s="5">
        <v>44911</v>
      </c>
      <c r="L16" s="6" t="s">
        <v>13</v>
      </c>
      <c r="M16" s="15" t="s">
        <v>89</v>
      </c>
      <c r="N16" s="7">
        <f>1.5*E16</f>
        <v>102</v>
      </c>
      <c r="O16" s="5" t="s">
        <v>18</v>
      </c>
      <c r="P16" s="5" t="s">
        <v>21</v>
      </c>
      <c r="Q16" s="5" t="s">
        <v>94</v>
      </c>
      <c r="R16" s="5" t="s">
        <v>97</v>
      </c>
      <c r="S16" s="5" t="s">
        <v>74</v>
      </c>
      <c r="T16" s="5" t="s">
        <v>173</v>
      </c>
    </row>
    <row r="17" spans="2:21" ht="120" x14ac:dyDescent="0.25">
      <c r="B17" s="4" t="s">
        <v>55</v>
      </c>
      <c r="C17" s="4" t="s">
        <v>56</v>
      </c>
      <c r="D17" s="4" t="s">
        <v>58</v>
      </c>
      <c r="E17" s="4">
        <v>81.540000000000006</v>
      </c>
      <c r="F17" s="4" t="s">
        <v>57</v>
      </c>
      <c r="G17" s="5">
        <v>44180</v>
      </c>
      <c r="H17" s="5">
        <v>44151</v>
      </c>
      <c r="I17" s="5">
        <v>44181</v>
      </c>
      <c r="J17" s="5" t="s">
        <v>11</v>
      </c>
      <c r="K17" s="5">
        <v>44911</v>
      </c>
      <c r="L17" s="6" t="s">
        <v>13</v>
      </c>
      <c r="M17" s="15" t="s">
        <v>90</v>
      </c>
      <c r="N17" s="7">
        <f>1.4*E17</f>
        <v>114.15600000000001</v>
      </c>
      <c r="O17" s="5" t="s">
        <v>18</v>
      </c>
      <c r="P17" s="5" t="s">
        <v>21</v>
      </c>
      <c r="Q17" s="5" t="s">
        <v>94</v>
      </c>
      <c r="R17" s="5" t="s">
        <v>97</v>
      </c>
      <c r="S17" s="5" t="s">
        <v>74</v>
      </c>
      <c r="T17" s="5" t="s">
        <v>173</v>
      </c>
    </row>
    <row r="18" spans="2:21" ht="120" x14ac:dyDescent="0.25">
      <c r="B18" s="20" t="s">
        <v>65</v>
      </c>
      <c r="C18" s="20" t="s">
        <v>66</v>
      </c>
      <c r="D18" s="20" t="s">
        <v>72</v>
      </c>
      <c r="E18" s="20">
        <v>60</v>
      </c>
      <c r="F18" s="20" t="s">
        <v>71</v>
      </c>
      <c r="G18" s="15">
        <v>44167</v>
      </c>
      <c r="H18" s="15">
        <v>44166</v>
      </c>
      <c r="I18" s="15">
        <v>44166</v>
      </c>
      <c r="J18" s="15" t="s">
        <v>73</v>
      </c>
      <c r="K18" s="15">
        <v>44926</v>
      </c>
      <c r="L18" s="6" t="s">
        <v>13</v>
      </c>
      <c r="M18" s="15" t="s">
        <v>91</v>
      </c>
      <c r="N18" s="21">
        <f>1*E18</f>
        <v>60</v>
      </c>
      <c r="O18" s="5" t="s">
        <v>18</v>
      </c>
      <c r="P18" s="5" t="s">
        <v>21</v>
      </c>
      <c r="Q18" s="50" t="s">
        <v>94</v>
      </c>
      <c r="R18" s="5" t="s">
        <v>98</v>
      </c>
      <c r="S18" s="5" t="s">
        <v>74</v>
      </c>
      <c r="T18" s="5" t="s">
        <v>173</v>
      </c>
    </row>
    <row r="19" spans="2:21" ht="180" x14ac:dyDescent="0.25">
      <c r="B19" s="20" t="s">
        <v>59</v>
      </c>
      <c r="C19" s="20" t="s">
        <v>60</v>
      </c>
      <c r="D19" s="20" t="s">
        <v>76</v>
      </c>
      <c r="E19" s="20">
        <v>96</v>
      </c>
      <c r="F19" s="20" t="s">
        <v>75</v>
      </c>
      <c r="G19" s="15">
        <v>44357</v>
      </c>
      <c r="H19" s="15">
        <v>44423</v>
      </c>
      <c r="I19" s="15">
        <v>44378</v>
      </c>
      <c r="J19" s="15" t="s">
        <v>77</v>
      </c>
      <c r="K19" s="15">
        <v>46248</v>
      </c>
      <c r="L19" s="6" t="s">
        <v>13</v>
      </c>
      <c r="M19" s="22" t="s">
        <v>83</v>
      </c>
      <c r="N19" s="21">
        <f>2.6*E19</f>
        <v>249.60000000000002</v>
      </c>
      <c r="O19" s="5" t="s">
        <v>18</v>
      </c>
      <c r="P19" s="5" t="s">
        <v>79</v>
      </c>
      <c r="Q19" s="5" t="s">
        <v>94</v>
      </c>
      <c r="R19" s="5" t="s">
        <v>99</v>
      </c>
      <c r="S19" s="5" t="s">
        <v>80</v>
      </c>
      <c r="T19" s="15" t="s">
        <v>174</v>
      </c>
      <c r="U19" s="15" t="s">
        <v>162</v>
      </c>
    </row>
    <row r="20" spans="2:21" ht="180" x14ac:dyDescent="0.25">
      <c r="B20" s="20" t="s">
        <v>48</v>
      </c>
      <c r="C20" s="20" t="s">
        <v>61</v>
      </c>
      <c r="D20" s="20" t="s">
        <v>81</v>
      </c>
      <c r="E20" s="20">
        <v>78.59</v>
      </c>
      <c r="F20" s="20" t="s">
        <v>82</v>
      </c>
      <c r="G20" s="15">
        <v>44357</v>
      </c>
      <c r="H20" s="15">
        <v>44454</v>
      </c>
      <c r="I20" s="15">
        <v>44409</v>
      </c>
      <c r="J20" s="15" t="s">
        <v>77</v>
      </c>
      <c r="K20" s="15">
        <v>46279</v>
      </c>
      <c r="L20" s="6" t="s">
        <v>13</v>
      </c>
      <c r="M20" s="22" t="s">
        <v>84</v>
      </c>
      <c r="N20" s="14">
        <f>1.4*E20</f>
        <v>110.026</v>
      </c>
      <c r="O20" s="5" t="s">
        <v>18</v>
      </c>
      <c r="P20" s="5" t="s">
        <v>86</v>
      </c>
      <c r="Q20" s="5" t="s">
        <v>94</v>
      </c>
      <c r="R20" s="5" t="s">
        <v>100</v>
      </c>
      <c r="S20" s="15" t="s">
        <v>85</v>
      </c>
      <c r="T20" s="15" t="s">
        <v>175</v>
      </c>
      <c r="U20" s="15" t="s">
        <v>163</v>
      </c>
    </row>
  </sheetData>
  <mergeCells count="14">
    <mergeCell ref="T12:T13"/>
    <mergeCell ref="L12:O12"/>
    <mergeCell ref="M13:N13"/>
    <mergeCell ref="P12:S12"/>
    <mergeCell ref="I12:I13"/>
    <mergeCell ref="J12:J13"/>
    <mergeCell ref="K12:K13"/>
    <mergeCell ref="G12:G13"/>
    <mergeCell ref="H12:H13"/>
    <mergeCell ref="B12:B13"/>
    <mergeCell ref="C12:C13"/>
    <mergeCell ref="D12:D13"/>
    <mergeCell ref="E12:E13"/>
    <mergeCell ref="F12:F13"/>
  </mergeCells>
  <pageMargins left="0.7" right="0.7" top="0.75" bottom="0.75" header="0.3" footer="0.3"/>
  <pageSetup orientation="portrait" r:id="rId1"/>
  <ignoredErrors>
    <ignoredError sqref="N18" formula="1"/>
  </ignoredError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0DB2B-3FD2-409C-A357-0021A433A0B1}">
  <dimension ref="A5:AT80"/>
  <sheetViews>
    <sheetView showGridLines="0" tabSelected="1" topLeftCell="U4" workbookViewId="0">
      <selection activeCell="AB13" sqref="AB13:AB14"/>
    </sheetView>
  </sheetViews>
  <sheetFormatPr baseColWidth="10" defaultRowHeight="15" x14ac:dyDescent="0.25"/>
  <cols>
    <col min="1" max="1" width="1.85546875" customWidth="1"/>
    <col min="2" max="2" width="25.7109375" customWidth="1"/>
    <col min="3" max="3" width="15.28515625" customWidth="1"/>
    <col min="4" max="4" width="10.85546875" customWidth="1"/>
    <col min="5" max="5" width="13.7109375" customWidth="1"/>
    <col min="6" max="7" width="14.42578125" customWidth="1"/>
    <col min="8" max="10" width="14" customWidth="1"/>
    <col min="11" max="11" width="13.5703125" bestFit="1" customWidth="1"/>
    <col min="12" max="12" width="12.28515625" customWidth="1"/>
    <col min="13" max="13" width="8.7109375" customWidth="1"/>
    <col min="14" max="14" width="12.28515625" customWidth="1"/>
    <col min="15" max="15" width="9.5703125" customWidth="1"/>
    <col min="16" max="16" width="12" customWidth="1"/>
    <col min="17" max="17" width="10" customWidth="1"/>
    <col min="18" max="18" width="11.140625" customWidth="1"/>
    <col min="19" max="19" width="10.5703125" customWidth="1"/>
    <col min="20" max="20" width="13.7109375" customWidth="1"/>
    <col min="21" max="21" width="11.28515625" customWidth="1"/>
    <col min="22" max="22" width="13.5703125" customWidth="1"/>
    <col min="23" max="23" width="1.5703125" customWidth="1"/>
    <col min="24" max="24" width="13" customWidth="1"/>
    <col min="26" max="26" width="14.140625" customWidth="1"/>
    <col min="27" max="27" width="10.7109375" customWidth="1"/>
    <col min="28" max="28" width="10.7109375" bestFit="1" customWidth="1"/>
    <col min="29" max="29" width="13.7109375" customWidth="1"/>
    <col min="30" max="30" width="1.28515625" customWidth="1"/>
    <col min="31" max="31" width="13.42578125" customWidth="1"/>
    <col min="32" max="32" width="2.140625" customWidth="1"/>
    <col min="33" max="33" width="39.28515625" customWidth="1"/>
    <col min="34" max="34" width="11.85546875" bestFit="1" customWidth="1"/>
    <col min="36" max="36" width="15" customWidth="1"/>
    <col min="37" max="37" width="12" bestFit="1" customWidth="1"/>
    <col min="38" max="38" width="12" customWidth="1"/>
    <col min="39" max="39" width="13" bestFit="1" customWidth="1"/>
    <col min="40" max="40" width="8" customWidth="1"/>
  </cols>
  <sheetData>
    <row r="5" spans="1:39" ht="15" customHeight="1" x14ac:dyDescent="0.25">
      <c r="F5" s="24"/>
      <c r="G5" s="30"/>
      <c r="H5" s="30"/>
      <c r="I5" s="30"/>
    </row>
    <row r="7" spans="1:39" x14ac:dyDescent="0.25">
      <c r="F7" s="29"/>
    </row>
    <row r="8" spans="1:39" x14ac:dyDescent="0.25">
      <c r="B8" s="1" t="s">
        <v>29</v>
      </c>
    </row>
    <row r="9" spans="1:39" x14ac:dyDescent="0.25">
      <c r="B9" s="8" t="s">
        <v>23</v>
      </c>
      <c r="C9" s="9"/>
      <c r="D9" s="9"/>
      <c r="E9" s="9"/>
    </row>
    <row r="10" spans="1:39" x14ac:dyDescent="0.25">
      <c r="O10" s="26"/>
      <c r="X10" s="26"/>
    </row>
    <row r="12" spans="1:39" ht="15" customHeight="1" x14ac:dyDescent="0.25">
      <c r="A12" s="1"/>
      <c r="B12" s="85" t="s">
        <v>3</v>
      </c>
      <c r="C12" s="85" t="s">
        <v>26</v>
      </c>
      <c r="D12" s="85" t="s">
        <v>63</v>
      </c>
      <c r="E12" s="85" t="s">
        <v>10</v>
      </c>
      <c r="F12" s="85" t="s">
        <v>64</v>
      </c>
      <c r="G12" s="92" t="s">
        <v>14</v>
      </c>
      <c r="H12" s="93"/>
      <c r="I12" s="93"/>
      <c r="J12" s="93"/>
      <c r="K12" s="93"/>
      <c r="L12" s="93"/>
      <c r="M12" s="81" t="s">
        <v>47</v>
      </c>
      <c r="N12" s="82"/>
      <c r="O12" s="82"/>
      <c r="P12" s="82"/>
      <c r="Q12" s="82"/>
      <c r="R12" s="82"/>
      <c r="S12" s="82"/>
      <c r="T12" s="101" t="s">
        <v>69</v>
      </c>
      <c r="U12" s="102"/>
      <c r="V12" s="103"/>
      <c r="X12" s="80" t="s">
        <v>70</v>
      </c>
      <c r="Y12" s="80"/>
      <c r="Z12" s="80"/>
      <c r="AA12" s="80"/>
      <c r="AB12" s="80"/>
      <c r="AC12" s="80"/>
      <c r="AE12" s="85" t="s">
        <v>104</v>
      </c>
      <c r="AG12" s="80" t="s">
        <v>106</v>
      </c>
      <c r="AH12" s="80"/>
      <c r="AI12" s="80"/>
      <c r="AJ12" s="80"/>
      <c r="AK12" s="80"/>
      <c r="AL12" s="80"/>
      <c r="AM12" s="80"/>
    </row>
    <row r="13" spans="1:39" ht="15" customHeight="1" x14ac:dyDescent="0.25">
      <c r="A13" s="1"/>
      <c r="B13" s="86"/>
      <c r="C13" s="86"/>
      <c r="D13" s="86"/>
      <c r="E13" s="86"/>
      <c r="F13" s="86"/>
      <c r="G13" s="81" t="s">
        <v>16</v>
      </c>
      <c r="H13" s="82"/>
      <c r="I13" s="83"/>
      <c r="J13" s="81" t="s">
        <v>17</v>
      </c>
      <c r="K13" s="82"/>
      <c r="L13" s="83"/>
      <c r="M13" s="88" t="s">
        <v>20</v>
      </c>
      <c r="N13" s="89"/>
      <c r="O13" s="90" t="s">
        <v>101</v>
      </c>
      <c r="P13" s="91"/>
      <c r="Q13" s="92" t="s">
        <v>95</v>
      </c>
      <c r="R13" s="93"/>
      <c r="S13" s="94"/>
      <c r="T13" s="104"/>
      <c r="U13" s="105"/>
      <c r="V13" s="106"/>
      <c r="X13" s="95" t="s">
        <v>35</v>
      </c>
      <c r="Y13" s="95" t="s">
        <v>36</v>
      </c>
      <c r="Z13" s="85" t="s">
        <v>101</v>
      </c>
      <c r="AA13" s="85" t="s">
        <v>95</v>
      </c>
      <c r="AB13" s="85" t="s">
        <v>109</v>
      </c>
      <c r="AC13" s="85" t="s">
        <v>67</v>
      </c>
      <c r="AE13" s="86"/>
      <c r="AG13" s="95" t="s">
        <v>105</v>
      </c>
      <c r="AH13" s="95" t="s">
        <v>35</v>
      </c>
      <c r="AI13" s="95" t="s">
        <v>36</v>
      </c>
      <c r="AJ13" s="95" t="s">
        <v>101</v>
      </c>
      <c r="AK13" s="95" t="s">
        <v>95</v>
      </c>
      <c r="AL13" s="95" t="s">
        <v>109</v>
      </c>
      <c r="AM13" s="85" t="s">
        <v>34</v>
      </c>
    </row>
    <row r="14" spans="1:39" ht="15" customHeight="1" x14ac:dyDescent="0.25">
      <c r="A14" s="1"/>
      <c r="B14" s="87"/>
      <c r="C14" s="87"/>
      <c r="D14" s="87"/>
      <c r="E14" s="87"/>
      <c r="F14" s="87"/>
      <c r="G14" s="3" t="s">
        <v>30</v>
      </c>
      <c r="H14" s="3" t="s">
        <v>31</v>
      </c>
      <c r="I14" s="27" t="s">
        <v>46</v>
      </c>
      <c r="J14" s="27" t="s">
        <v>32</v>
      </c>
      <c r="K14" s="27" t="s">
        <v>33</v>
      </c>
      <c r="L14" s="27" t="s">
        <v>34</v>
      </c>
      <c r="M14" s="27" t="s">
        <v>32</v>
      </c>
      <c r="N14" s="27" t="s">
        <v>34</v>
      </c>
      <c r="O14" s="27" t="s">
        <v>32</v>
      </c>
      <c r="P14" s="27" t="s">
        <v>34</v>
      </c>
      <c r="Q14" s="27" t="s">
        <v>30</v>
      </c>
      <c r="R14" s="27" t="s">
        <v>31</v>
      </c>
      <c r="S14" s="27" t="s">
        <v>102</v>
      </c>
      <c r="T14" s="27" t="s">
        <v>67</v>
      </c>
      <c r="U14" s="27" t="s">
        <v>68</v>
      </c>
      <c r="V14" s="27" t="s">
        <v>34</v>
      </c>
      <c r="X14" s="90"/>
      <c r="Y14" s="90" t="s">
        <v>34</v>
      </c>
      <c r="Z14" s="87"/>
      <c r="AA14" s="87"/>
      <c r="AB14" s="87"/>
      <c r="AC14" s="87"/>
      <c r="AE14" s="87"/>
      <c r="AG14" s="90"/>
      <c r="AH14" s="90"/>
      <c r="AI14" s="90" t="s">
        <v>34</v>
      </c>
      <c r="AJ14" s="90"/>
      <c r="AK14" s="90"/>
      <c r="AL14" s="90"/>
      <c r="AM14" s="87"/>
    </row>
    <row r="15" spans="1:39" x14ac:dyDescent="0.25">
      <c r="B15" s="4" t="s">
        <v>62</v>
      </c>
      <c r="C15" s="4" t="s">
        <v>28</v>
      </c>
      <c r="D15" s="4">
        <v>2020</v>
      </c>
      <c r="E15" s="4">
        <v>109.01</v>
      </c>
      <c r="F15" s="14">
        <v>29070.33</v>
      </c>
      <c r="G15" s="16">
        <v>0.2</v>
      </c>
      <c r="H15" s="13">
        <f t="shared" ref="H15:H36" si="0">G15*E15</f>
        <v>21.802000000000003</v>
      </c>
      <c r="I15" s="12">
        <f t="shared" ref="I15:I25" si="1">H15*F15</f>
        <v>633791.33466000017</v>
      </c>
      <c r="J15" s="11">
        <v>8.1000000000000003E-2</v>
      </c>
      <c r="K15" s="17">
        <f>6034404/1.19</f>
        <v>5070927.7310924372</v>
      </c>
      <c r="L15" s="17">
        <f t="shared" ref="L15:L25" si="2">J15*K15</f>
        <v>410745.14621848741</v>
      </c>
      <c r="M15" s="18">
        <v>0.1</v>
      </c>
      <c r="N15" s="17">
        <f>IF(I15&gt;L15,M15*I15,M15*L15)</f>
        <v>63379.133466000021</v>
      </c>
      <c r="O15" s="25">
        <v>0.05</v>
      </c>
      <c r="P15" s="17">
        <f t="shared" ref="P15:P43" si="3">IF(I15&gt;L15,O15*I15,O15*L15)</f>
        <v>31689.566733000011</v>
      </c>
      <c r="Q15" s="14">
        <v>0.42</v>
      </c>
      <c r="R15" s="14">
        <f t="shared" ref="R15:R43" si="4">Q15*E15</f>
        <v>45.784199999999998</v>
      </c>
      <c r="S15" s="17">
        <f t="shared" ref="S15:S43" si="5">R15*F15</f>
        <v>1330961.8027860001</v>
      </c>
      <c r="T15" s="19">
        <f t="shared" ref="T15:T58" si="6">IF(I15&gt;L15,I15,L15)+N15+P15+S15</f>
        <v>2059821.8376450003</v>
      </c>
      <c r="U15" s="19">
        <f t="shared" ref="U15:U69" si="7">T15*19%</f>
        <v>391366.14915255009</v>
      </c>
      <c r="V15" s="19">
        <f t="shared" ref="V15:V58" si="8">T15+U15</f>
        <v>2451187.9867975502</v>
      </c>
      <c r="X15" s="48">
        <v>0</v>
      </c>
      <c r="Y15" s="48">
        <v>0</v>
      </c>
      <c r="Z15" s="48">
        <v>0</v>
      </c>
      <c r="AA15" s="48">
        <v>0</v>
      </c>
      <c r="AB15" s="48">
        <v>0</v>
      </c>
      <c r="AC15" s="45">
        <f t="shared" ref="AC15:AC20" si="9">SUM(X15:AB15)</f>
        <v>0</v>
      </c>
      <c r="AE15" s="28">
        <f t="shared" ref="AE15:AE60" si="10">AC15-T15</f>
        <v>-2059821.8376450003</v>
      </c>
      <c r="AG15" s="33" t="s">
        <v>136</v>
      </c>
      <c r="AH15" s="28">
        <f t="shared" ref="AH15" si="11">IF(I15&gt;L15,I15,L15)-X15</f>
        <v>633791.33466000017</v>
      </c>
      <c r="AI15" s="28">
        <f t="shared" ref="AI15" si="12">N15-Y15</f>
        <v>63379.133466000021</v>
      </c>
      <c r="AJ15" s="37">
        <f t="shared" ref="AJ15" si="13">P15-Z15</f>
        <v>31689.566733000011</v>
      </c>
      <c r="AK15" s="35">
        <f t="shared" ref="AK15" si="14">S15-AA15</f>
        <v>1330961.8027860001</v>
      </c>
      <c r="AL15" s="35">
        <f t="shared" ref="AL15" si="15">0-AB15</f>
        <v>0</v>
      </c>
      <c r="AM15" s="28">
        <f t="shared" ref="AM15" si="16">SUM(AH15:AL15)</f>
        <v>2059821.8376450003</v>
      </c>
    </row>
    <row r="16" spans="1:39" x14ac:dyDescent="0.25">
      <c r="B16" s="4" t="s">
        <v>62</v>
      </c>
      <c r="C16" s="4" t="s">
        <v>27</v>
      </c>
      <c r="D16" s="4">
        <v>2021</v>
      </c>
      <c r="E16" s="4">
        <v>109.01</v>
      </c>
      <c r="F16" s="14">
        <v>29123.74</v>
      </c>
      <c r="G16" s="16">
        <v>0.2</v>
      </c>
      <c r="H16" s="13">
        <f t="shared" si="0"/>
        <v>21.802000000000003</v>
      </c>
      <c r="I16" s="12">
        <f t="shared" si="1"/>
        <v>634955.77948000014</v>
      </c>
      <c r="J16" s="11">
        <v>8.1000000000000003E-2</v>
      </c>
      <c r="K16" s="17">
        <f>10949320/1.19</f>
        <v>9201109.2436974794</v>
      </c>
      <c r="L16" s="12">
        <f t="shared" si="2"/>
        <v>745289.84873949585</v>
      </c>
      <c r="M16" s="10">
        <v>0.1</v>
      </c>
      <c r="N16" s="17">
        <f t="shared" ref="N15:N43" si="17">IF(I16&gt;L16,M16*I16,M16*L16)</f>
        <v>74528.984873949594</v>
      </c>
      <c r="O16" s="25">
        <v>0.05</v>
      </c>
      <c r="P16" s="17">
        <f t="shared" si="3"/>
        <v>37264.492436974797</v>
      </c>
      <c r="Q16" s="14">
        <v>0.42</v>
      </c>
      <c r="R16" s="14">
        <f t="shared" si="4"/>
        <v>45.784199999999998</v>
      </c>
      <c r="S16" s="17">
        <f t="shared" si="5"/>
        <v>1333407.1369080001</v>
      </c>
      <c r="T16" s="19">
        <f t="shared" si="6"/>
        <v>2190490.4629584202</v>
      </c>
      <c r="U16" s="19">
        <f t="shared" si="7"/>
        <v>416193.18796209985</v>
      </c>
      <c r="V16" s="19">
        <f t="shared" si="8"/>
        <v>2606683.6509205201</v>
      </c>
      <c r="X16" s="48">
        <v>0</v>
      </c>
      <c r="Y16" s="48">
        <v>0</v>
      </c>
      <c r="Z16" s="48">
        <v>0</v>
      </c>
      <c r="AA16" s="48">
        <v>0</v>
      </c>
      <c r="AB16" s="48">
        <v>0</v>
      </c>
      <c r="AC16" s="45">
        <f t="shared" si="9"/>
        <v>0</v>
      </c>
      <c r="AE16" s="28">
        <f t="shared" si="10"/>
        <v>-2190490.4629584202</v>
      </c>
      <c r="AG16" s="33" t="s">
        <v>136</v>
      </c>
      <c r="AH16" s="28">
        <f t="shared" ref="AH16:AH38" si="18">IF(I16&gt;L16,I16,L16)-X16</f>
        <v>745289.84873949585</v>
      </c>
      <c r="AI16" s="28">
        <f t="shared" ref="AI16:AI38" si="19">N16-Y16</f>
        <v>74528.984873949594</v>
      </c>
      <c r="AJ16" s="37">
        <f t="shared" ref="AJ16:AJ38" si="20">P16-Z16</f>
        <v>37264.492436974797</v>
      </c>
      <c r="AK16" s="35">
        <f t="shared" ref="AK16:AK38" si="21">S16-AA16</f>
        <v>1333407.1369080001</v>
      </c>
      <c r="AL16" s="35">
        <f t="shared" ref="AL16:AL38" si="22">0-AB16</f>
        <v>0</v>
      </c>
      <c r="AM16" s="28">
        <f t="shared" ref="AM16:AM38" si="23">SUM(AH16:AL16)</f>
        <v>2190490.4629584202</v>
      </c>
    </row>
    <row r="17" spans="2:41" x14ac:dyDescent="0.25">
      <c r="B17" s="4" t="s">
        <v>62</v>
      </c>
      <c r="C17" s="4" t="s">
        <v>37</v>
      </c>
      <c r="D17" s="4">
        <v>2021</v>
      </c>
      <c r="E17" s="4">
        <v>109.01</v>
      </c>
      <c r="F17" s="14">
        <v>29287.38</v>
      </c>
      <c r="G17" s="16">
        <v>0.2</v>
      </c>
      <c r="H17" s="13">
        <f t="shared" si="0"/>
        <v>21.802000000000003</v>
      </c>
      <c r="I17" s="12">
        <f t="shared" si="1"/>
        <v>638523.45876000007</v>
      </c>
      <c r="J17" s="11">
        <v>8.1000000000000003E-2</v>
      </c>
      <c r="K17" s="17">
        <f>13021103/1.19</f>
        <v>10942103.361344539</v>
      </c>
      <c r="L17" s="12">
        <f t="shared" si="2"/>
        <v>886310.37226890761</v>
      </c>
      <c r="M17" s="10">
        <v>0.1</v>
      </c>
      <c r="N17" s="17">
        <f t="shared" si="17"/>
        <v>88631.037226890767</v>
      </c>
      <c r="O17" s="25">
        <v>0.05</v>
      </c>
      <c r="P17" s="17">
        <f t="shared" si="3"/>
        <v>44315.518613445383</v>
      </c>
      <c r="Q17" s="14">
        <v>0.42</v>
      </c>
      <c r="R17" s="14">
        <f t="shared" si="4"/>
        <v>45.784199999999998</v>
      </c>
      <c r="S17" s="17">
        <f t="shared" si="5"/>
        <v>1340899.263396</v>
      </c>
      <c r="T17" s="19">
        <f t="shared" si="6"/>
        <v>2360156.191505244</v>
      </c>
      <c r="U17" s="19">
        <f t="shared" si="7"/>
        <v>448429.67638599634</v>
      </c>
      <c r="V17" s="19">
        <f t="shared" si="8"/>
        <v>2808585.8678912404</v>
      </c>
      <c r="X17" s="48">
        <v>0</v>
      </c>
      <c r="Y17" s="48">
        <v>0</v>
      </c>
      <c r="Z17" s="48">
        <v>0</v>
      </c>
      <c r="AA17" s="48">
        <v>0</v>
      </c>
      <c r="AB17" s="48">
        <v>0</v>
      </c>
      <c r="AC17" s="45">
        <f t="shared" si="9"/>
        <v>0</v>
      </c>
      <c r="AE17" s="28">
        <f t="shared" si="10"/>
        <v>-2360156.191505244</v>
      </c>
      <c r="AG17" s="33" t="s">
        <v>136</v>
      </c>
      <c r="AH17" s="28">
        <f t="shared" si="18"/>
        <v>886310.37226890761</v>
      </c>
      <c r="AI17" s="28">
        <f t="shared" si="19"/>
        <v>88631.037226890767</v>
      </c>
      <c r="AJ17" s="37">
        <f t="shared" si="20"/>
        <v>44315.518613445383</v>
      </c>
      <c r="AK17" s="35">
        <f t="shared" si="21"/>
        <v>1340899.263396</v>
      </c>
      <c r="AL17" s="35">
        <f t="shared" si="22"/>
        <v>0</v>
      </c>
      <c r="AM17" s="28">
        <f t="shared" si="23"/>
        <v>2360156.191505244</v>
      </c>
    </row>
    <row r="18" spans="2:41" x14ac:dyDescent="0.25">
      <c r="B18" s="4" t="s">
        <v>62</v>
      </c>
      <c r="C18" s="4" t="s">
        <v>38</v>
      </c>
      <c r="D18" s="4">
        <v>2021</v>
      </c>
      <c r="E18" s="4">
        <v>109.01</v>
      </c>
      <c r="F18" s="14">
        <v>29394.77</v>
      </c>
      <c r="G18" s="16">
        <v>0.2</v>
      </c>
      <c r="H18" s="13">
        <f t="shared" si="0"/>
        <v>21.802000000000003</v>
      </c>
      <c r="I18" s="12">
        <f t="shared" si="1"/>
        <v>640864.77554000006</v>
      </c>
      <c r="J18" s="11">
        <v>8.1000000000000003E-2</v>
      </c>
      <c r="K18" s="17">
        <f>5426443/1.19</f>
        <v>4560036.1344537819</v>
      </c>
      <c r="L18" s="12">
        <f t="shared" si="2"/>
        <v>369362.92689075635</v>
      </c>
      <c r="M18" s="10">
        <v>0.1</v>
      </c>
      <c r="N18" s="17">
        <f t="shared" si="17"/>
        <v>64086.477554000012</v>
      </c>
      <c r="O18" s="25">
        <v>0.05</v>
      </c>
      <c r="P18" s="17">
        <f t="shared" si="3"/>
        <v>32043.238777000006</v>
      </c>
      <c r="Q18" s="14">
        <v>0.42</v>
      </c>
      <c r="R18" s="14">
        <f t="shared" si="4"/>
        <v>45.784199999999998</v>
      </c>
      <c r="S18" s="17">
        <f t="shared" si="5"/>
        <v>1345816.0286339999</v>
      </c>
      <c r="T18" s="19">
        <f t="shared" si="6"/>
        <v>2082810.5205049999</v>
      </c>
      <c r="U18" s="19">
        <f t="shared" si="7"/>
        <v>395733.99889594998</v>
      </c>
      <c r="V18" s="19">
        <f t="shared" si="8"/>
        <v>2478544.5194009501</v>
      </c>
      <c r="X18" s="48">
        <v>0</v>
      </c>
      <c r="Y18" s="48">
        <v>0</v>
      </c>
      <c r="Z18" s="48">
        <v>0</v>
      </c>
      <c r="AA18" s="48">
        <v>0</v>
      </c>
      <c r="AB18" s="48">
        <v>0</v>
      </c>
      <c r="AC18" s="45">
        <f t="shared" si="9"/>
        <v>0</v>
      </c>
      <c r="AE18" s="28">
        <f t="shared" si="10"/>
        <v>-2082810.5205049999</v>
      </c>
      <c r="AG18" s="33" t="s">
        <v>136</v>
      </c>
      <c r="AH18" s="28">
        <f t="shared" si="18"/>
        <v>640864.77554000006</v>
      </c>
      <c r="AI18" s="28">
        <f t="shared" si="19"/>
        <v>64086.477554000012</v>
      </c>
      <c r="AJ18" s="37">
        <f t="shared" si="20"/>
        <v>32043.238777000006</v>
      </c>
      <c r="AK18" s="35">
        <f t="shared" si="21"/>
        <v>1345816.0286339999</v>
      </c>
      <c r="AL18" s="35">
        <f t="shared" si="22"/>
        <v>0</v>
      </c>
      <c r="AM18" s="28">
        <f t="shared" si="23"/>
        <v>2082810.5205049999</v>
      </c>
    </row>
    <row r="19" spans="2:41" x14ac:dyDescent="0.25">
      <c r="B19" s="4" t="s">
        <v>62</v>
      </c>
      <c r="C19" s="4" t="s">
        <v>39</v>
      </c>
      <c r="D19" s="4">
        <v>2021</v>
      </c>
      <c r="E19" s="4">
        <v>109.01</v>
      </c>
      <c r="F19" s="14">
        <v>29494.13</v>
      </c>
      <c r="G19" s="16">
        <v>0.2</v>
      </c>
      <c r="H19" s="13">
        <f t="shared" si="0"/>
        <v>21.802000000000003</v>
      </c>
      <c r="I19" s="12">
        <f t="shared" si="1"/>
        <v>643031.02226000011</v>
      </c>
      <c r="J19" s="11">
        <v>8.1000000000000003E-2</v>
      </c>
      <c r="K19" s="17">
        <f>1172639/1.19</f>
        <v>985410.92436974798</v>
      </c>
      <c r="L19" s="12">
        <f t="shared" si="2"/>
        <v>79818.284873949582</v>
      </c>
      <c r="M19" s="10">
        <v>0.1</v>
      </c>
      <c r="N19" s="17">
        <f t="shared" si="17"/>
        <v>64303.102226000017</v>
      </c>
      <c r="O19" s="25">
        <v>0.05</v>
      </c>
      <c r="P19" s="17">
        <f t="shared" si="3"/>
        <v>32151.551113000009</v>
      </c>
      <c r="Q19" s="14">
        <v>0.42</v>
      </c>
      <c r="R19" s="14">
        <f t="shared" si="4"/>
        <v>45.784199999999998</v>
      </c>
      <c r="S19" s="17">
        <f t="shared" si="5"/>
        <v>1350365.146746</v>
      </c>
      <c r="T19" s="19">
        <f t="shared" si="6"/>
        <v>2089850.8223450002</v>
      </c>
      <c r="U19" s="19">
        <f t="shared" si="7"/>
        <v>397071.65624555002</v>
      </c>
      <c r="V19" s="19">
        <f t="shared" si="8"/>
        <v>2486922.4785905504</v>
      </c>
      <c r="X19" s="48">
        <v>0</v>
      </c>
      <c r="Y19" s="48">
        <v>0</v>
      </c>
      <c r="Z19" s="48">
        <v>0</v>
      </c>
      <c r="AA19" s="48">
        <v>0</v>
      </c>
      <c r="AB19" s="48">
        <v>0</v>
      </c>
      <c r="AC19" s="45">
        <f t="shared" si="9"/>
        <v>0</v>
      </c>
      <c r="AE19" s="28">
        <f t="shared" si="10"/>
        <v>-2089850.8223450002</v>
      </c>
      <c r="AG19" s="33" t="s">
        <v>136</v>
      </c>
      <c r="AH19" s="28">
        <f t="shared" si="18"/>
        <v>643031.02226000011</v>
      </c>
      <c r="AI19" s="28">
        <f t="shared" si="19"/>
        <v>64303.102226000017</v>
      </c>
      <c r="AJ19" s="37">
        <f t="shared" si="20"/>
        <v>32151.551113000009</v>
      </c>
      <c r="AK19" s="35">
        <f t="shared" si="21"/>
        <v>1350365.146746</v>
      </c>
      <c r="AL19" s="35">
        <f t="shared" si="22"/>
        <v>0</v>
      </c>
      <c r="AM19" s="28">
        <f t="shared" si="23"/>
        <v>2089850.8223450002</v>
      </c>
    </row>
    <row r="20" spans="2:41" x14ac:dyDescent="0.25">
      <c r="B20" s="4" t="s">
        <v>62</v>
      </c>
      <c r="C20" s="4" t="s">
        <v>40</v>
      </c>
      <c r="D20" s="4">
        <v>2021</v>
      </c>
      <c r="E20" s="4">
        <v>109.01</v>
      </c>
      <c r="F20" s="14">
        <v>29613.26</v>
      </c>
      <c r="G20" s="16">
        <v>0.2</v>
      </c>
      <c r="H20" s="13">
        <f t="shared" si="0"/>
        <v>21.802000000000003</v>
      </c>
      <c r="I20" s="12">
        <f>H20*F20</f>
        <v>645628.29452000011</v>
      </c>
      <c r="J20" s="11">
        <v>8.1000000000000003E-2</v>
      </c>
      <c r="K20" s="17">
        <f>10602865/1.19</f>
        <v>8909970.5882352944</v>
      </c>
      <c r="L20" s="12">
        <f t="shared" si="2"/>
        <v>721707.61764705891</v>
      </c>
      <c r="M20" s="10">
        <v>0.1</v>
      </c>
      <c r="N20" s="17">
        <f t="shared" si="17"/>
        <v>72170.761764705894</v>
      </c>
      <c r="O20" s="25">
        <v>0.05</v>
      </c>
      <c r="P20" s="17">
        <f t="shared" si="3"/>
        <v>36085.380882352947</v>
      </c>
      <c r="Q20" s="14">
        <v>0.42</v>
      </c>
      <c r="R20" s="14">
        <f t="shared" si="4"/>
        <v>45.784199999999998</v>
      </c>
      <c r="S20" s="17">
        <f t="shared" si="5"/>
        <v>1355819.4184919999</v>
      </c>
      <c r="T20" s="19">
        <f t="shared" si="6"/>
        <v>2185783.1787861176</v>
      </c>
      <c r="U20" s="19">
        <f t="shared" si="7"/>
        <v>415298.80396936234</v>
      </c>
      <c r="V20" s="19">
        <f t="shared" si="8"/>
        <v>2601081.9827554799</v>
      </c>
      <c r="X20" s="48">
        <v>0</v>
      </c>
      <c r="Y20" s="48">
        <v>0</v>
      </c>
      <c r="Z20" s="48">
        <v>0</v>
      </c>
      <c r="AA20" s="48">
        <v>0</v>
      </c>
      <c r="AB20" s="48">
        <v>0</v>
      </c>
      <c r="AC20" s="45">
        <f t="shared" si="9"/>
        <v>0</v>
      </c>
      <c r="AE20" s="28">
        <f t="shared" si="10"/>
        <v>-2185783.1787861176</v>
      </c>
      <c r="AG20" s="33" t="s">
        <v>136</v>
      </c>
      <c r="AH20" s="28">
        <f t="shared" si="18"/>
        <v>721707.61764705891</v>
      </c>
      <c r="AI20" s="28">
        <f t="shared" si="19"/>
        <v>72170.761764705894</v>
      </c>
      <c r="AJ20" s="37">
        <f t="shared" si="20"/>
        <v>36085.380882352947</v>
      </c>
      <c r="AK20" s="35">
        <f t="shared" si="21"/>
        <v>1355819.4184919999</v>
      </c>
      <c r="AL20" s="35">
        <f t="shared" si="22"/>
        <v>0</v>
      </c>
      <c r="AM20" s="28">
        <f t="shared" si="23"/>
        <v>2185783.1787861176</v>
      </c>
    </row>
    <row r="21" spans="2:41" x14ac:dyDescent="0.25">
      <c r="B21" s="4" t="s">
        <v>62</v>
      </c>
      <c r="C21" s="4" t="s">
        <v>41</v>
      </c>
      <c r="D21" s="4">
        <v>2021</v>
      </c>
      <c r="E21" s="4">
        <v>109.01</v>
      </c>
      <c r="F21" s="14">
        <v>29709.83</v>
      </c>
      <c r="G21" s="16">
        <v>0.2</v>
      </c>
      <c r="H21" s="13">
        <f t="shared" si="0"/>
        <v>21.802000000000003</v>
      </c>
      <c r="I21" s="12">
        <f t="shared" si="1"/>
        <v>647733.71366000012</v>
      </c>
      <c r="J21" s="11">
        <v>8.1000000000000003E-2</v>
      </c>
      <c r="K21" s="17">
        <f>4233173/1.19</f>
        <v>3557288.2352941176</v>
      </c>
      <c r="L21" s="12">
        <f t="shared" si="2"/>
        <v>288140.34705882351</v>
      </c>
      <c r="M21" s="10">
        <v>0.1</v>
      </c>
      <c r="N21" s="17">
        <f t="shared" si="17"/>
        <v>64773.371366000014</v>
      </c>
      <c r="O21" s="25">
        <v>0.05</v>
      </c>
      <c r="P21" s="17">
        <f t="shared" si="3"/>
        <v>32386.685683000007</v>
      </c>
      <c r="Q21" s="14">
        <v>0.42</v>
      </c>
      <c r="R21" s="14">
        <f t="shared" si="4"/>
        <v>45.784199999999998</v>
      </c>
      <c r="S21" s="17">
        <f t="shared" si="5"/>
        <v>1360240.7986860001</v>
      </c>
      <c r="T21" s="19">
        <f t="shared" si="6"/>
        <v>2105134.5693950001</v>
      </c>
      <c r="U21" s="19">
        <f t="shared" si="7"/>
        <v>399975.56818505004</v>
      </c>
      <c r="V21" s="19">
        <f t="shared" si="8"/>
        <v>2505110.1375800502</v>
      </c>
      <c r="X21" s="17">
        <v>11450586</v>
      </c>
      <c r="Y21" s="17">
        <v>0</v>
      </c>
      <c r="Z21" s="17">
        <v>0</v>
      </c>
      <c r="AA21" s="17">
        <v>0</v>
      </c>
      <c r="AB21" s="17">
        <v>-403754</v>
      </c>
      <c r="AC21" s="19">
        <f>SUM(X21:AB21)</f>
        <v>11046832</v>
      </c>
      <c r="AE21" s="28">
        <f t="shared" si="10"/>
        <v>8941697.4306049999</v>
      </c>
      <c r="AG21" s="33" t="s">
        <v>137</v>
      </c>
      <c r="AH21" s="28">
        <f t="shared" si="18"/>
        <v>-10802852.28634</v>
      </c>
      <c r="AI21" s="28">
        <f t="shared" si="19"/>
        <v>64773.371366000014</v>
      </c>
      <c r="AJ21" s="37">
        <f t="shared" si="20"/>
        <v>32386.685683000007</v>
      </c>
      <c r="AK21" s="35">
        <f t="shared" si="21"/>
        <v>1360240.7986860001</v>
      </c>
      <c r="AL21" s="35">
        <f t="shared" si="22"/>
        <v>403754</v>
      </c>
      <c r="AM21" s="28">
        <f t="shared" si="23"/>
        <v>-8941697.4306049999</v>
      </c>
      <c r="AO21" s="47" t="s">
        <v>122</v>
      </c>
    </row>
    <row r="22" spans="2:41" x14ac:dyDescent="0.25">
      <c r="B22" s="4" t="s">
        <v>62</v>
      </c>
      <c r="C22" s="4" t="s">
        <v>42</v>
      </c>
      <c r="D22" s="4">
        <v>2021</v>
      </c>
      <c r="E22" s="4">
        <v>109.01</v>
      </c>
      <c r="F22" s="14">
        <v>29757.64</v>
      </c>
      <c r="G22" s="16">
        <v>0.2</v>
      </c>
      <c r="H22" s="13">
        <f t="shared" si="0"/>
        <v>21.802000000000003</v>
      </c>
      <c r="I22" s="12">
        <f t="shared" si="1"/>
        <v>648776.06728000008</v>
      </c>
      <c r="J22" s="11">
        <v>8.1000000000000003E-2</v>
      </c>
      <c r="K22" s="17">
        <f>11574755/1.19</f>
        <v>9726684.8739495799</v>
      </c>
      <c r="L22" s="12">
        <f t="shared" si="2"/>
        <v>787861.47478991596</v>
      </c>
      <c r="M22" s="10">
        <v>0.1</v>
      </c>
      <c r="N22" s="17">
        <f t="shared" si="17"/>
        <v>78786.147478991596</v>
      </c>
      <c r="O22" s="25">
        <v>0.05</v>
      </c>
      <c r="P22" s="17">
        <f t="shared" si="3"/>
        <v>39393.073739495798</v>
      </c>
      <c r="Q22" s="14">
        <v>0.42</v>
      </c>
      <c r="R22" s="14">
        <f t="shared" si="4"/>
        <v>45.784199999999998</v>
      </c>
      <c r="S22" s="17">
        <f t="shared" si="5"/>
        <v>1362429.741288</v>
      </c>
      <c r="T22" s="19">
        <f t="shared" si="6"/>
        <v>2268470.4372964036</v>
      </c>
      <c r="U22" s="19">
        <f t="shared" si="7"/>
        <v>431009.38308631669</v>
      </c>
      <c r="V22" s="19">
        <f t="shared" si="8"/>
        <v>2699479.8203827203</v>
      </c>
      <c r="X22" s="17">
        <v>2191169</v>
      </c>
      <c r="Y22" s="17">
        <v>0</v>
      </c>
      <c r="Z22" s="17">
        <v>0</v>
      </c>
      <c r="AA22" s="17">
        <v>0</v>
      </c>
      <c r="AB22" s="17">
        <v>0</v>
      </c>
      <c r="AC22" s="19">
        <f>SUM(X22:AB22)</f>
        <v>2191169</v>
      </c>
      <c r="AE22" s="28">
        <f t="shared" si="10"/>
        <v>-77301.437296403572</v>
      </c>
      <c r="AG22" s="33" t="s">
        <v>127</v>
      </c>
      <c r="AH22" s="28">
        <f t="shared" si="18"/>
        <v>-1403307.5252100839</v>
      </c>
      <c r="AI22" s="28">
        <f t="shared" si="19"/>
        <v>78786.147478991596</v>
      </c>
      <c r="AJ22" s="37">
        <f t="shared" si="20"/>
        <v>39393.073739495798</v>
      </c>
      <c r="AK22" s="35">
        <f t="shared" si="21"/>
        <v>1362429.741288</v>
      </c>
      <c r="AL22" s="35">
        <f t="shared" si="22"/>
        <v>0</v>
      </c>
      <c r="AM22" s="28">
        <f t="shared" si="23"/>
        <v>77301.437296403572</v>
      </c>
      <c r="AO22" s="47" t="s">
        <v>122</v>
      </c>
    </row>
    <row r="23" spans="2:41" x14ac:dyDescent="0.25">
      <c r="B23" s="4" t="s">
        <v>62</v>
      </c>
      <c r="C23" s="4" t="s">
        <v>43</v>
      </c>
      <c r="D23" s="4">
        <v>2021</v>
      </c>
      <c r="E23" s="4">
        <v>109.01</v>
      </c>
      <c r="F23" s="14">
        <v>29935.08</v>
      </c>
      <c r="G23" s="16">
        <v>0.2</v>
      </c>
      <c r="H23" s="13">
        <f t="shared" si="0"/>
        <v>21.802000000000003</v>
      </c>
      <c r="I23" s="12">
        <f t="shared" si="1"/>
        <v>652644.61416000011</v>
      </c>
      <c r="J23" s="11">
        <v>8.1000000000000003E-2</v>
      </c>
      <c r="K23" s="17">
        <f>16908395/1.19</f>
        <v>14208735.294117648</v>
      </c>
      <c r="L23" s="12">
        <f t="shared" si="2"/>
        <v>1150907.5588235296</v>
      </c>
      <c r="M23" s="10">
        <v>0.1</v>
      </c>
      <c r="N23" s="17">
        <f t="shared" si="17"/>
        <v>115090.75588235297</v>
      </c>
      <c r="O23" s="25">
        <v>0.05</v>
      </c>
      <c r="P23" s="17">
        <f t="shared" si="3"/>
        <v>57545.377941176484</v>
      </c>
      <c r="Q23" s="14">
        <v>0.42</v>
      </c>
      <c r="R23" s="14">
        <f t="shared" si="4"/>
        <v>45.784199999999998</v>
      </c>
      <c r="S23" s="17">
        <f t="shared" si="5"/>
        <v>1370553.689736</v>
      </c>
      <c r="T23" s="19">
        <f t="shared" si="6"/>
        <v>2694097.3823830592</v>
      </c>
      <c r="U23" s="19">
        <f t="shared" si="7"/>
        <v>511878.50265278126</v>
      </c>
      <c r="V23" s="19">
        <f t="shared" si="8"/>
        <v>3205975.8850358403</v>
      </c>
      <c r="X23" s="17">
        <f>2331358</f>
        <v>2331358</v>
      </c>
      <c r="Y23" s="17">
        <v>0</v>
      </c>
      <c r="Z23" s="17">
        <v>0</v>
      </c>
      <c r="AA23" s="17">
        <v>0</v>
      </c>
      <c r="AB23" s="17">
        <v>0</v>
      </c>
      <c r="AC23" s="19">
        <f t="shared" ref="AC23:AC24" si="24">SUM(X23:AB23)</f>
        <v>2331358</v>
      </c>
      <c r="AE23" s="28">
        <f t="shared" si="10"/>
        <v>-362739.38238305924</v>
      </c>
      <c r="AG23" s="33" t="s">
        <v>130</v>
      </c>
      <c r="AH23" s="28">
        <f t="shared" si="18"/>
        <v>-1180450.4411764704</v>
      </c>
      <c r="AI23" s="28">
        <f t="shared" si="19"/>
        <v>115090.75588235297</v>
      </c>
      <c r="AJ23" s="37">
        <f t="shared" si="20"/>
        <v>57545.377941176484</v>
      </c>
      <c r="AK23" s="35">
        <f t="shared" si="21"/>
        <v>1370553.689736</v>
      </c>
      <c r="AL23" s="35">
        <f t="shared" si="22"/>
        <v>0</v>
      </c>
      <c r="AM23" s="28">
        <f t="shared" si="23"/>
        <v>362739.38238305924</v>
      </c>
      <c r="AO23" s="47" t="s">
        <v>122</v>
      </c>
    </row>
    <row r="24" spans="2:41" x14ac:dyDescent="0.25">
      <c r="B24" s="4" t="s">
        <v>62</v>
      </c>
      <c r="C24" s="4" t="s">
        <v>44</v>
      </c>
      <c r="D24" s="4">
        <v>2021</v>
      </c>
      <c r="E24" s="4">
        <v>109.01</v>
      </c>
      <c r="F24" s="14">
        <v>30088.37</v>
      </c>
      <c r="G24" s="16">
        <v>0.2</v>
      </c>
      <c r="H24" s="13">
        <f t="shared" si="0"/>
        <v>21.802000000000003</v>
      </c>
      <c r="I24" s="12">
        <f t="shared" si="1"/>
        <v>655986.64274000004</v>
      </c>
      <c r="J24" s="11">
        <v>8.1000000000000003E-2</v>
      </c>
      <c r="K24" s="17">
        <f>17855535/1.19</f>
        <v>15004651.260504203</v>
      </c>
      <c r="L24" s="12">
        <f t="shared" si="2"/>
        <v>1215376.7521008404</v>
      </c>
      <c r="M24" s="10">
        <v>0.1</v>
      </c>
      <c r="N24" s="17">
        <f t="shared" si="17"/>
        <v>121537.67521008405</v>
      </c>
      <c r="O24" s="25">
        <v>0.05</v>
      </c>
      <c r="P24" s="17">
        <f t="shared" si="3"/>
        <v>60768.837605042027</v>
      </c>
      <c r="Q24" s="14">
        <v>0.42</v>
      </c>
      <c r="R24" s="14">
        <f t="shared" si="4"/>
        <v>45.784199999999998</v>
      </c>
      <c r="S24" s="17">
        <f t="shared" si="5"/>
        <v>1377571.9497539999</v>
      </c>
      <c r="T24" s="19">
        <f t="shared" si="6"/>
        <v>2775255.2146699661</v>
      </c>
      <c r="U24" s="19">
        <f t="shared" si="7"/>
        <v>527298.49078729353</v>
      </c>
      <c r="V24" s="19">
        <f t="shared" si="8"/>
        <v>3302553.7054572599</v>
      </c>
      <c r="X24" s="17">
        <v>2767628</v>
      </c>
      <c r="Y24" s="17">
        <v>0</v>
      </c>
      <c r="Z24" s="17">
        <v>0</v>
      </c>
      <c r="AA24" s="17">
        <v>0</v>
      </c>
      <c r="AB24" s="17">
        <v>0</v>
      </c>
      <c r="AC24" s="19">
        <f t="shared" si="24"/>
        <v>2767628</v>
      </c>
      <c r="AE24" s="28">
        <f t="shared" si="10"/>
        <v>-7627.2146699661389</v>
      </c>
      <c r="AG24" s="33" t="s">
        <v>131</v>
      </c>
      <c r="AH24" s="28">
        <f t="shared" si="18"/>
        <v>-1552251.2478991596</v>
      </c>
      <c r="AI24" s="28">
        <f t="shared" si="19"/>
        <v>121537.67521008405</v>
      </c>
      <c r="AJ24" s="37">
        <f t="shared" si="20"/>
        <v>60768.837605042027</v>
      </c>
      <c r="AK24" s="35">
        <f t="shared" si="21"/>
        <v>1377571.9497539999</v>
      </c>
      <c r="AL24" s="35">
        <f t="shared" si="22"/>
        <v>0</v>
      </c>
      <c r="AM24" s="28">
        <f t="shared" si="23"/>
        <v>7627.2146699663717</v>
      </c>
      <c r="AO24" s="47" t="s">
        <v>122</v>
      </c>
    </row>
    <row r="25" spans="2:41" x14ac:dyDescent="0.25">
      <c r="B25" s="4" t="s">
        <v>62</v>
      </c>
      <c r="C25" s="4" t="s">
        <v>45</v>
      </c>
      <c r="D25" s="4">
        <v>2021</v>
      </c>
      <c r="E25" s="4">
        <v>109.01</v>
      </c>
      <c r="F25" s="14">
        <v>30380.53</v>
      </c>
      <c r="G25" s="16">
        <v>0.2</v>
      </c>
      <c r="H25" s="13">
        <f t="shared" si="0"/>
        <v>21.802000000000003</v>
      </c>
      <c r="I25" s="12">
        <f t="shared" si="1"/>
        <v>662356.31506000005</v>
      </c>
      <c r="J25" s="11">
        <v>8.1000000000000003E-2</v>
      </c>
      <c r="K25" s="17">
        <f>24708686/1.19</f>
        <v>20763601.680672269</v>
      </c>
      <c r="L25" s="12">
        <f t="shared" si="2"/>
        <v>1681851.7361344539</v>
      </c>
      <c r="M25" s="10">
        <v>0.1</v>
      </c>
      <c r="N25" s="17">
        <f t="shared" si="17"/>
        <v>168185.1736134454</v>
      </c>
      <c r="O25" s="25">
        <v>0.05</v>
      </c>
      <c r="P25" s="17">
        <f t="shared" si="3"/>
        <v>84092.586806722698</v>
      </c>
      <c r="Q25" s="14">
        <v>0.42</v>
      </c>
      <c r="R25" s="14">
        <f t="shared" si="4"/>
        <v>45.784199999999998</v>
      </c>
      <c r="S25" s="17">
        <f t="shared" si="5"/>
        <v>1390948.2616259998</v>
      </c>
      <c r="T25" s="19">
        <f t="shared" si="6"/>
        <v>3325077.758180622</v>
      </c>
      <c r="U25" s="19">
        <f t="shared" si="7"/>
        <v>631764.7740543182</v>
      </c>
      <c r="V25" s="19">
        <f t="shared" si="8"/>
        <v>3956842.5322349402</v>
      </c>
      <c r="X25" s="17">
        <v>2911512</v>
      </c>
      <c r="Y25" s="17">
        <v>0</v>
      </c>
      <c r="Z25" s="17">
        <v>0</v>
      </c>
      <c r="AA25" s="17">
        <v>0</v>
      </c>
      <c r="AB25" s="17">
        <v>0</v>
      </c>
      <c r="AC25" s="19">
        <f>SUM(X25:AB25)</f>
        <v>2911512</v>
      </c>
      <c r="AE25" s="28">
        <f t="shared" si="10"/>
        <v>-413565.75818062201</v>
      </c>
      <c r="AG25" s="33" t="s">
        <v>133</v>
      </c>
      <c r="AH25" s="28">
        <f t="shared" si="18"/>
        <v>-1229660.2638655461</v>
      </c>
      <c r="AI25" s="28">
        <f t="shared" si="19"/>
        <v>168185.1736134454</v>
      </c>
      <c r="AJ25" s="37">
        <f t="shared" si="20"/>
        <v>84092.586806722698</v>
      </c>
      <c r="AK25" s="35">
        <f t="shared" si="21"/>
        <v>1390948.2616259998</v>
      </c>
      <c r="AL25" s="35">
        <f t="shared" si="22"/>
        <v>0</v>
      </c>
      <c r="AM25" s="28">
        <f t="shared" si="23"/>
        <v>413565.75818062178</v>
      </c>
    </row>
    <row r="26" spans="2:41" x14ac:dyDescent="0.25">
      <c r="B26" s="4" t="s">
        <v>24</v>
      </c>
      <c r="C26" s="4" t="s">
        <v>28</v>
      </c>
      <c r="D26" s="4">
        <v>2020</v>
      </c>
      <c r="E26" s="4">
        <v>105.64</v>
      </c>
      <c r="F26" s="14">
        <v>29070.33</v>
      </c>
      <c r="G26" s="16">
        <v>1.2</v>
      </c>
      <c r="H26" s="13">
        <f t="shared" si="0"/>
        <v>126.768</v>
      </c>
      <c r="I26" s="12">
        <f t="shared" ref="I26:I36" si="25">H26*F26</f>
        <v>3685187.5934400004</v>
      </c>
      <c r="J26" s="11">
        <v>8.1000000000000003E-2</v>
      </c>
      <c r="K26" s="17">
        <f>20888552/1.19</f>
        <v>17553405.042016808</v>
      </c>
      <c r="L26" s="12">
        <f t="shared" ref="L26:L36" si="26">J26*K26</f>
        <v>1421825.8084033616</v>
      </c>
      <c r="M26" s="10">
        <v>0.1</v>
      </c>
      <c r="N26" s="17">
        <f t="shared" si="17"/>
        <v>368518.75934400008</v>
      </c>
      <c r="O26" s="25">
        <v>0.05</v>
      </c>
      <c r="P26" s="17">
        <f t="shared" si="3"/>
        <v>184259.37967200004</v>
      </c>
      <c r="Q26" s="14">
        <v>0.44</v>
      </c>
      <c r="R26" s="14">
        <f t="shared" si="4"/>
        <v>46.4816</v>
      </c>
      <c r="S26" s="17">
        <f t="shared" si="5"/>
        <v>1351235.450928</v>
      </c>
      <c r="T26" s="19">
        <f t="shared" si="6"/>
        <v>5589201.1833840003</v>
      </c>
      <c r="U26" s="19">
        <f t="shared" si="7"/>
        <v>1061948.22484296</v>
      </c>
      <c r="V26" s="19">
        <f t="shared" si="8"/>
        <v>6651149.4082269603</v>
      </c>
      <c r="X26" s="48">
        <v>0</v>
      </c>
      <c r="Y26" s="39">
        <v>0</v>
      </c>
      <c r="Z26" s="39">
        <v>0</v>
      </c>
      <c r="AA26" s="39">
        <v>0</v>
      </c>
      <c r="AB26" s="48">
        <v>0</v>
      </c>
      <c r="AC26" s="44">
        <f t="shared" ref="AC26:AC29" si="27">SUM(X26:AB26)</f>
        <v>0</v>
      </c>
      <c r="AE26" s="28">
        <f t="shared" si="10"/>
        <v>-5589201.1833840003</v>
      </c>
      <c r="AG26" s="33" t="s">
        <v>136</v>
      </c>
      <c r="AH26" s="28">
        <f t="shared" si="18"/>
        <v>3685187.5934400004</v>
      </c>
      <c r="AI26" s="28">
        <f t="shared" si="19"/>
        <v>368518.75934400008</v>
      </c>
      <c r="AJ26" s="37">
        <f t="shared" si="20"/>
        <v>184259.37967200004</v>
      </c>
      <c r="AK26" s="35">
        <f t="shared" si="21"/>
        <v>1351235.450928</v>
      </c>
      <c r="AL26" s="35">
        <f t="shared" si="22"/>
        <v>0</v>
      </c>
      <c r="AM26" s="28">
        <f t="shared" si="23"/>
        <v>5589201.1833840003</v>
      </c>
      <c r="AO26" s="47" t="s">
        <v>124</v>
      </c>
    </row>
    <row r="27" spans="2:41" x14ac:dyDescent="0.25">
      <c r="B27" s="4" t="s">
        <v>24</v>
      </c>
      <c r="C27" s="4" t="s">
        <v>27</v>
      </c>
      <c r="D27" s="4">
        <v>2021</v>
      </c>
      <c r="E27" s="4">
        <v>105.64</v>
      </c>
      <c r="F27" s="14">
        <v>29123.74</v>
      </c>
      <c r="G27" s="16">
        <v>1.2</v>
      </c>
      <c r="H27" s="13">
        <f t="shared" si="0"/>
        <v>126.768</v>
      </c>
      <c r="I27" s="12">
        <f t="shared" si="25"/>
        <v>3691958.2723200005</v>
      </c>
      <c r="J27" s="11">
        <v>8.1000000000000003E-2</v>
      </c>
      <c r="K27" s="17">
        <f>21509390/1.19</f>
        <v>18075117.647058826</v>
      </c>
      <c r="L27" s="12">
        <f t="shared" si="26"/>
        <v>1464084.529411765</v>
      </c>
      <c r="M27" s="10">
        <v>0.1</v>
      </c>
      <c r="N27" s="17">
        <f t="shared" si="17"/>
        <v>369195.82723200007</v>
      </c>
      <c r="O27" s="25">
        <v>0.05</v>
      </c>
      <c r="P27" s="17">
        <f t="shared" si="3"/>
        <v>184597.91361600003</v>
      </c>
      <c r="Q27" s="14">
        <v>0.44</v>
      </c>
      <c r="R27" s="14">
        <f t="shared" si="4"/>
        <v>46.4816</v>
      </c>
      <c r="S27" s="17">
        <f t="shared" si="5"/>
        <v>1353718.0331840001</v>
      </c>
      <c r="T27" s="19">
        <f t="shared" si="6"/>
        <v>5599470.0463520009</v>
      </c>
      <c r="U27" s="19">
        <f t="shared" si="7"/>
        <v>1063899.3088068801</v>
      </c>
      <c r="V27" s="19">
        <f t="shared" si="8"/>
        <v>6663369.3551588813</v>
      </c>
      <c r="X27" s="48">
        <v>0</v>
      </c>
      <c r="Y27" s="39">
        <v>0</v>
      </c>
      <c r="Z27" s="39">
        <v>0</v>
      </c>
      <c r="AA27" s="39">
        <v>0</v>
      </c>
      <c r="AB27" s="48">
        <v>0</v>
      </c>
      <c r="AC27" s="44">
        <f t="shared" si="27"/>
        <v>0</v>
      </c>
      <c r="AE27" s="28">
        <f t="shared" si="10"/>
        <v>-5599470.0463520009</v>
      </c>
      <c r="AG27" s="33" t="s">
        <v>136</v>
      </c>
      <c r="AH27" s="28">
        <f t="shared" si="18"/>
        <v>3691958.2723200005</v>
      </c>
      <c r="AI27" s="28">
        <f t="shared" si="19"/>
        <v>369195.82723200007</v>
      </c>
      <c r="AJ27" s="37">
        <f t="shared" si="20"/>
        <v>184597.91361600003</v>
      </c>
      <c r="AK27" s="35">
        <f t="shared" si="21"/>
        <v>1353718.0331840001</v>
      </c>
      <c r="AL27" s="35">
        <f t="shared" si="22"/>
        <v>0</v>
      </c>
      <c r="AM27" s="28">
        <f t="shared" si="23"/>
        <v>5599470.0463520009</v>
      </c>
      <c r="AO27" s="47" t="s">
        <v>124</v>
      </c>
    </row>
    <row r="28" spans="2:41" x14ac:dyDescent="0.25">
      <c r="B28" s="4" t="s">
        <v>24</v>
      </c>
      <c r="C28" s="4" t="s">
        <v>37</v>
      </c>
      <c r="D28" s="4">
        <v>2021</v>
      </c>
      <c r="E28" s="4">
        <v>105.64</v>
      </c>
      <c r="F28" s="14">
        <v>29287.38</v>
      </c>
      <c r="G28" s="16">
        <v>1.2</v>
      </c>
      <c r="H28" s="13">
        <f t="shared" si="0"/>
        <v>126.768</v>
      </c>
      <c r="I28" s="12">
        <f t="shared" si="25"/>
        <v>3712702.5878400002</v>
      </c>
      <c r="J28" s="11">
        <v>8.1000000000000003E-2</v>
      </c>
      <c r="K28" s="17">
        <f>26053991/1.19</f>
        <v>21894110.084033616</v>
      </c>
      <c r="L28" s="12">
        <f t="shared" si="26"/>
        <v>1773422.916806723</v>
      </c>
      <c r="M28" s="10">
        <v>0.1</v>
      </c>
      <c r="N28" s="17">
        <f t="shared" si="17"/>
        <v>371270.25878400006</v>
      </c>
      <c r="O28" s="25">
        <v>0.05</v>
      </c>
      <c r="P28" s="17">
        <f t="shared" si="3"/>
        <v>185635.12939200003</v>
      </c>
      <c r="Q28" s="14">
        <v>0.44</v>
      </c>
      <c r="R28" s="14">
        <f t="shared" si="4"/>
        <v>46.4816</v>
      </c>
      <c r="S28" s="17">
        <f t="shared" si="5"/>
        <v>1361324.2822080001</v>
      </c>
      <c r="T28" s="19">
        <f t="shared" si="6"/>
        <v>5630932.2582240002</v>
      </c>
      <c r="U28" s="19">
        <f t="shared" si="7"/>
        <v>1069877.1290625602</v>
      </c>
      <c r="V28" s="19">
        <f t="shared" si="8"/>
        <v>6700809.3872865606</v>
      </c>
      <c r="X28" s="48">
        <v>0</v>
      </c>
      <c r="Y28" s="39">
        <v>0</v>
      </c>
      <c r="Z28" s="39">
        <v>0</v>
      </c>
      <c r="AA28" s="39">
        <v>0</v>
      </c>
      <c r="AB28" s="48">
        <v>0</v>
      </c>
      <c r="AC28" s="44">
        <f t="shared" si="27"/>
        <v>0</v>
      </c>
      <c r="AE28" s="28">
        <f t="shared" si="10"/>
        <v>-5630932.2582240002</v>
      </c>
      <c r="AG28" s="33" t="s">
        <v>136</v>
      </c>
      <c r="AH28" s="28">
        <f t="shared" si="18"/>
        <v>3712702.5878400002</v>
      </c>
      <c r="AI28" s="28">
        <f t="shared" si="19"/>
        <v>371270.25878400006</v>
      </c>
      <c r="AJ28" s="37">
        <f t="shared" si="20"/>
        <v>185635.12939200003</v>
      </c>
      <c r="AK28" s="35">
        <f t="shared" si="21"/>
        <v>1361324.2822080001</v>
      </c>
      <c r="AL28" s="35">
        <f t="shared" si="22"/>
        <v>0</v>
      </c>
      <c r="AM28" s="28">
        <f t="shared" si="23"/>
        <v>5630932.2582240002</v>
      </c>
      <c r="AO28" s="47" t="s">
        <v>124</v>
      </c>
    </row>
    <row r="29" spans="2:41" x14ac:dyDescent="0.25">
      <c r="B29" s="4" t="s">
        <v>24</v>
      </c>
      <c r="C29" s="4" t="s">
        <v>38</v>
      </c>
      <c r="D29" s="4">
        <v>2021</v>
      </c>
      <c r="E29" s="4">
        <v>105.64</v>
      </c>
      <c r="F29" s="14">
        <v>29394.77</v>
      </c>
      <c r="G29" s="16">
        <v>1.2</v>
      </c>
      <c r="H29" s="13">
        <f t="shared" si="0"/>
        <v>126.768</v>
      </c>
      <c r="I29" s="12">
        <f t="shared" si="25"/>
        <v>3726316.2033600002</v>
      </c>
      <c r="J29" s="11">
        <v>8.1000000000000003E-2</v>
      </c>
      <c r="K29" s="17">
        <f>13766428/1.19</f>
        <v>11568426.890756303</v>
      </c>
      <c r="L29" s="12">
        <f t="shared" si="26"/>
        <v>937042.57815126062</v>
      </c>
      <c r="M29" s="10">
        <v>0.1</v>
      </c>
      <c r="N29" s="17">
        <f t="shared" si="17"/>
        <v>372631.62033600005</v>
      </c>
      <c r="O29" s="25">
        <v>0.05</v>
      </c>
      <c r="P29" s="17">
        <f t="shared" si="3"/>
        <v>186315.81016800003</v>
      </c>
      <c r="Q29" s="14">
        <v>0.44</v>
      </c>
      <c r="R29" s="14">
        <f t="shared" si="4"/>
        <v>46.4816</v>
      </c>
      <c r="S29" s="17">
        <f t="shared" si="5"/>
        <v>1366315.941232</v>
      </c>
      <c r="T29" s="19">
        <f t="shared" si="6"/>
        <v>5651579.575096</v>
      </c>
      <c r="U29" s="19">
        <f t="shared" si="7"/>
        <v>1073800.1192682399</v>
      </c>
      <c r="V29" s="19">
        <f t="shared" si="8"/>
        <v>6725379.6943642404</v>
      </c>
      <c r="X29" s="48">
        <v>0</v>
      </c>
      <c r="Y29" s="39">
        <v>0</v>
      </c>
      <c r="Z29" s="39">
        <v>0</v>
      </c>
      <c r="AA29" s="39">
        <v>0</v>
      </c>
      <c r="AB29" s="48">
        <v>0</v>
      </c>
      <c r="AC29" s="44">
        <f t="shared" si="27"/>
        <v>0</v>
      </c>
      <c r="AE29" s="28">
        <f t="shared" si="10"/>
        <v>-5651579.575096</v>
      </c>
      <c r="AG29" s="33" t="s">
        <v>136</v>
      </c>
      <c r="AH29" s="28">
        <f t="shared" si="18"/>
        <v>3726316.2033600002</v>
      </c>
      <c r="AI29" s="28">
        <f t="shared" si="19"/>
        <v>372631.62033600005</v>
      </c>
      <c r="AJ29" s="37">
        <f t="shared" si="20"/>
        <v>186315.81016800003</v>
      </c>
      <c r="AK29" s="35">
        <f t="shared" si="21"/>
        <v>1366315.941232</v>
      </c>
      <c r="AL29" s="35">
        <f t="shared" si="22"/>
        <v>0</v>
      </c>
      <c r="AM29" s="28">
        <f t="shared" si="23"/>
        <v>5651579.575096</v>
      </c>
      <c r="AO29" s="47" t="s">
        <v>124</v>
      </c>
    </row>
    <row r="30" spans="2:41" x14ac:dyDescent="0.25">
      <c r="B30" s="4" t="s">
        <v>24</v>
      </c>
      <c r="C30" s="4" t="s">
        <v>39</v>
      </c>
      <c r="D30" s="4">
        <v>2021</v>
      </c>
      <c r="E30" s="4">
        <v>105.64</v>
      </c>
      <c r="F30" s="14">
        <v>29494.13</v>
      </c>
      <c r="G30" s="16">
        <v>1.2</v>
      </c>
      <c r="H30" s="13">
        <f t="shared" si="0"/>
        <v>126.768</v>
      </c>
      <c r="I30" s="12">
        <f t="shared" si="25"/>
        <v>3738911.8718400002</v>
      </c>
      <c r="J30" s="11">
        <v>8.1000000000000003E-2</v>
      </c>
      <c r="K30" s="17">
        <v>0</v>
      </c>
      <c r="L30" s="12">
        <f t="shared" si="26"/>
        <v>0</v>
      </c>
      <c r="M30" s="10">
        <v>0.1</v>
      </c>
      <c r="N30" s="17">
        <f t="shared" si="17"/>
        <v>373891.18718400004</v>
      </c>
      <c r="O30" s="25">
        <v>0.05</v>
      </c>
      <c r="P30" s="17">
        <f t="shared" si="3"/>
        <v>186945.59359200002</v>
      </c>
      <c r="Q30" s="14">
        <v>0.44</v>
      </c>
      <c r="R30" s="14">
        <f t="shared" si="4"/>
        <v>46.4816</v>
      </c>
      <c r="S30" s="17">
        <f t="shared" si="5"/>
        <v>1370934.3530079999</v>
      </c>
      <c r="T30" s="19">
        <f t="shared" si="6"/>
        <v>5670683.005624</v>
      </c>
      <c r="U30" s="19">
        <f t="shared" si="7"/>
        <v>1077429.77106856</v>
      </c>
      <c r="V30" s="19">
        <f t="shared" si="8"/>
        <v>6748112.7766925599</v>
      </c>
      <c r="X30" s="17">
        <f>17023387+2940253+249261</f>
        <v>20212901</v>
      </c>
      <c r="Y30" s="17">
        <v>0</v>
      </c>
      <c r="Z30" s="17">
        <v>0</v>
      </c>
      <c r="AA30" s="17">
        <v>0</v>
      </c>
      <c r="AB30" s="17">
        <f>24926</f>
        <v>24926</v>
      </c>
      <c r="AC30" s="19">
        <f t="shared" ref="AC30:AC34" si="28">SUM(X30:AB30)</f>
        <v>20237827</v>
      </c>
      <c r="AE30" s="28">
        <f t="shared" si="10"/>
        <v>14567143.994376</v>
      </c>
      <c r="AG30" s="33" t="s">
        <v>126</v>
      </c>
      <c r="AH30" s="28">
        <f t="shared" si="18"/>
        <v>-16473989.12816</v>
      </c>
      <c r="AI30" s="28">
        <f t="shared" si="19"/>
        <v>373891.18718400004</v>
      </c>
      <c r="AJ30" s="37">
        <f t="shared" si="20"/>
        <v>186945.59359200002</v>
      </c>
      <c r="AK30" s="35">
        <f t="shared" si="21"/>
        <v>1370934.3530079999</v>
      </c>
      <c r="AL30" s="35">
        <f t="shared" si="22"/>
        <v>-24926</v>
      </c>
      <c r="AM30" s="28">
        <f t="shared" si="23"/>
        <v>-14567143.994376</v>
      </c>
      <c r="AN30" s="26"/>
      <c r="AO30" s="47" t="s">
        <v>122</v>
      </c>
    </row>
    <row r="31" spans="2:41" x14ac:dyDescent="0.25">
      <c r="B31" s="4" t="s">
        <v>24</v>
      </c>
      <c r="C31" s="4" t="s">
        <v>40</v>
      </c>
      <c r="D31" s="4">
        <v>2021</v>
      </c>
      <c r="E31" s="4">
        <v>105.64</v>
      </c>
      <c r="F31" s="14">
        <v>29613.26</v>
      </c>
      <c r="G31" s="16">
        <v>1.2</v>
      </c>
      <c r="H31" s="13">
        <f t="shared" si="0"/>
        <v>126.768</v>
      </c>
      <c r="I31" s="12">
        <f t="shared" si="25"/>
        <v>3754013.7436799998</v>
      </c>
      <c r="J31" s="11">
        <v>8.1000000000000003E-2</v>
      </c>
      <c r="K31" s="17">
        <f>40712652/1.19</f>
        <v>34212312.605042018</v>
      </c>
      <c r="L31" s="12">
        <f t="shared" si="26"/>
        <v>2771197.3210084033</v>
      </c>
      <c r="M31" s="10">
        <v>0.1</v>
      </c>
      <c r="N31" s="17">
        <f t="shared" si="17"/>
        <v>375401.37436800002</v>
      </c>
      <c r="O31" s="25">
        <v>0.05</v>
      </c>
      <c r="P31" s="17">
        <f t="shared" si="3"/>
        <v>187700.68718400001</v>
      </c>
      <c r="Q31" s="14">
        <v>0.44</v>
      </c>
      <c r="R31" s="14">
        <f t="shared" si="4"/>
        <v>46.4816</v>
      </c>
      <c r="S31" s="17">
        <f t="shared" si="5"/>
        <v>1376471.7060159999</v>
      </c>
      <c r="T31" s="19">
        <f t="shared" si="6"/>
        <v>5693587.511248</v>
      </c>
      <c r="U31" s="19">
        <f t="shared" si="7"/>
        <v>1081781.6271371201</v>
      </c>
      <c r="V31" s="19">
        <f t="shared" si="8"/>
        <v>6775369.1383851198</v>
      </c>
      <c r="X31" s="17">
        <f>4984820+663215</f>
        <v>5648035</v>
      </c>
      <c r="Y31" s="17">
        <v>0</v>
      </c>
      <c r="Z31" s="17">
        <v>0</v>
      </c>
      <c r="AA31" s="17">
        <v>0</v>
      </c>
      <c r="AB31" s="17">
        <v>0</v>
      </c>
      <c r="AC31" s="19">
        <f t="shared" si="28"/>
        <v>5648035</v>
      </c>
      <c r="AE31" s="28">
        <f t="shared" si="10"/>
        <v>-45552.511247999966</v>
      </c>
      <c r="AG31" s="33" t="s">
        <v>125</v>
      </c>
      <c r="AH31" s="28">
        <f t="shared" si="18"/>
        <v>-1894021.2563200002</v>
      </c>
      <c r="AI31" s="28">
        <f t="shared" si="19"/>
        <v>375401.37436800002</v>
      </c>
      <c r="AJ31" s="37">
        <f t="shared" si="20"/>
        <v>187700.68718400001</v>
      </c>
      <c r="AK31" s="35">
        <f t="shared" si="21"/>
        <v>1376471.7060159999</v>
      </c>
      <c r="AL31" s="35">
        <f t="shared" si="22"/>
        <v>0</v>
      </c>
      <c r="AM31" s="28">
        <f t="shared" si="23"/>
        <v>45552.511247999733</v>
      </c>
      <c r="AN31" s="26"/>
      <c r="AO31" s="47" t="s">
        <v>122</v>
      </c>
    </row>
    <row r="32" spans="2:41" x14ac:dyDescent="0.25">
      <c r="B32" s="4" t="s">
        <v>24</v>
      </c>
      <c r="C32" s="4" t="s">
        <v>41</v>
      </c>
      <c r="D32" s="4">
        <v>2021</v>
      </c>
      <c r="E32" s="4">
        <v>105.64</v>
      </c>
      <c r="F32" s="14">
        <v>29709.83</v>
      </c>
      <c r="G32" s="16">
        <v>1.2</v>
      </c>
      <c r="H32" s="13">
        <f t="shared" si="0"/>
        <v>126.768</v>
      </c>
      <c r="I32" s="12">
        <f t="shared" si="25"/>
        <v>3766255.7294400004</v>
      </c>
      <c r="J32" s="11">
        <v>8.1000000000000003E-2</v>
      </c>
      <c r="K32" s="17">
        <f>19234136/1.19</f>
        <v>16163139.49579832</v>
      </c>
      <c r="L32" s="12">
        <f t="shared" si="26"/>
        <v>1309214.299159664</v>
      </c>
      <c r="M32" s="10">
        <v>0.1</v>
      </c>
      <c r="N32" s="17">
        <f t="shared" si="17"/>
        <v>376625.57294400007</v>
      </c>
      <c r="O32" s="25">
        <v>0.05</v>
      </c>
      <c r="P32" s="17">
        <f t="shared" si="3"/>
        <v>188312.78647200004</v>
      </c>
      <c r="Q32" s="14">
        <v>0.44</v>
      </c>
      <c r="R32" s="14">
        <f t="shared" si="4"/>
        <v>46.4816</v>
      </c>
      <c r="S32" s="17">
        <f t="shared" si="5"/>
        <v>1380960.4341280002</v>
      </c>
      <c r="T32" s="19">
        <f t="shared" si="6"/>
        <v>5712154.5229840009</v>
      </c>
      <c r="U32" s="19">
        <f t="shared" si="7"/>
        <v>1085309.3593669601</v>
      </c>
      <c r="V32" s="19">
        <f t="shared" si="8"/>
        <v>6797463.8823509607</v>
      </c>
      <c r="X32" s="17">
        <f>4977402+663215</f>
        <v>5640617</v>
      </c>
      <c r="Y32" s="17">
        <v>0</v>
      </c>
      <c r="Z32" s="17">
        <v>0</v>
      </c>
      <c r="AA32" s="17">
        <v>0</v>
      </c>
      <c r="AB32" s="17">
        <f>-1971783-375822</f>
        <v>-2347605</v>
      </c>
      <c r="AC32" s="19">
        <f t="shared" si="28"/>
        <v>3293012</v>
      </c>
      <c r="AE32" s="28">
        <f t="shared" si="10"/>
        <v>-2419142.5229840009</v>
      </c>
      <c r="AG32" s="33" t="s">
        <v>135</v>
      </c>
      <c r="AH32" s="28">
        <f t="shared" si="18"/>
        <v>-1874361.2705599996</v>
      </c>
      <c r="AI32" s="28">
        <f t="shared" si="19"/>
        <v>376625.57294400007</v>
      </c>
      <c r="AJ32" s="37">
        <f t="shared" si="20"/>
        <v>188312.78647200004</v>
      </c>
      <c r="AK32" s="35">
        <f t="shared" si="21"/>
        <v>1380960.4341280002</v>
      </c>
      <c r="AL32" s="35">
        <f t="shared" si="22"/>
        <v>2347605</v>
      </c>
      <c r="AM32" s="28">
        <f t="shared" si="23"/>
        <v>2419142.5229840009</v>
      </c>
      <c r="AO32" s="47" t="s">
        <v>122</v>
      </c>
    </row>
    <row r="33" spans="2:41" x14ac:dyDescent="0.25">
      <c r="B33" s="4" t="s">
        <v>24</v>
      </c>
      <c r="C33" s="4" t="s">
        <v>42</v>
      </c>
      <c r="D33" s="4">
        <v>2021</v>
      </c>
      <c r="E33" s="4">
        <v>105.64</v>
      </c>
      <c r="F33" s="14">
        <v>29757.64</v>
      </c>
      <c r="G33" s="16">
        <v>1.2</v>
      </c>
      <c r="H33" s="13">
        <f t="shared" si="0"/>
        <v>126.768</v>
      </c>
      <c r="I33" s="12">
        <f t="shared" si="25"/>
        <v>3772316.50752</v>
      </c>
      <c r="J33" s="11">
        <v>8.1000000000000003E-2</v>
      </c>
      <c r="K33" s="17">
        <f>27086698/1.19</f>
        <v>22761931.092436977</v>
      </c>
      <c r="L33" s="12">
        <f t="shared" si="26"/>
        <v>1843716.4184873952</v>
      </c>
      <c r="M33" s="10">
        <v>0.1</v>
      </c>
      <c r="N33" s="17">
        <f t="shared" si="17"/>
        <v>377231.65075200005</v>
      </c>
      <c r="O33" s="25">
        <v>0.05</v>
      </c>
      <c r="P33" s="17">
        <f t="shared" si="3"/>
        <v>188615.82537600002</v>
      </c>
      <c r="Q33" s="14">
        <v>0.44</v>
      </c>
      <c r="R33" s="14">
        <f t="shared" si="4"/>
        <v>46.4816</v>
      </c>
      <c r="S33" s="17">
        <f t="shared" si="5"/>
        <v>1383182.719424</v>
      </c>
      <c r="T33" s="19">
        <f t="shared" si="6"/>
        <v>5721346.7030720003</v>
      </c>
      <c r="U33" s="19">
        <f t="shared" si="7"/>
        <v>1087055.87358368</v>
      </c>
      <c r="V33" s="19">
        <f t="shared" si="8"/>
        <v>6808402.5766556803</v>
      </c>
      <c r="X33" s="17">
        <f>5161438+663215</f>
        <v>5824653</v>
      </c>
      <c r="Y33" s="17">
        <v>0</v>
      </c>
      <c r="Z33" s="17">
        <v>0</v>
      </c>
      <c r="AA33" s="17">
        <v>0</v>
      </c>
      <c r="AB33" s="17">
        <v>0</v>
      </c>
      <c r="AC33" s="19">
        <f t="shared" si="28"/>
        <v>5824653</v>
      </c>
      <c r="AE33" s="28">
        <f t="shared" si="10"/>
        <v>103306.29692799971</v>
      </c>
      <c r="AG33" s="33" t="s">
        <v>128</v>
      </c>
      <c r="AH33" s="28">
        <f t="shared" si="18"/>
        <v>-2052336.49248</v>
      </c>
      <c r="AI33" s="28">
        <f t="shared" si="19"/>
        <v>377231.65075200005</v>
      </c>
      <c r="AJ33" s="37">
        <f t="shared" si="20"/>
        <v>188615.82537600002</v>
      </c>
      <c r="AK33" s="35">
        <f t="shared" si="21"/>
        <v>1383182.719424</v>
      </c>
      <c r="AL33" s="35">
        <f t="shared" si="22"/>
        <v>0</v>
      </c>
      <c r="AM33" s="28">
        <f t="shared" si="23"/>
        <v>-103306.29692799994</v>
      </c>
      <c r="AO33" s="47" t="s">
        <v>122</v>
      </c>
    </row>
    <row r="34" spans="2:41" x14ac:dyDescent="0.25">
      <c r="B34" s="4" t="s">
        <v>24</v>
      </c>
      <c r="C34" s="4" t="s">
        <v>43</v>
      </c>
      <c r="D34" s="4">
        <v>2021</v>
      </c>
      <c r="E34" s="4">
        <v>105.64</v>
      </c>
      <c r="F34" s="14">
        <v>29935.08</v>
      </c>
      <c r="G34" s="16">
        <v>1.2</v>
      </c>
      <c r="H34" s="13">
        <f t="shared" si="0"/>
        <v>126.768</v>
      </c>
      <c r="I34" s="12">
        <f t="shared" si="25"/>
        <v>3794810.2214400005</v>
      </c>
      <c r="J34" s="11">
        <v>8.1000000000000003E-2</v>
      </c>
      <c r="K34" s="17">
        <f>28992503/1.19</f>
        <v>24363447.899159666</v>
      </c>
      <c r="L34" s="12">
        <f t="shared" si="26"/>
        <v>1973439.2798319331</v>
      </c>
      <c r="M34" s="10">
        <v>0.1</v>
      </c>
      <c r="N34" s="17">
        <f t="shared" si="17"/>
        <v>379481.02214400005</v>
      </c>
      <c r="O34" s="25">
        <v>0.05</v>
      </c>
      <c r="P34" s="17">
        <f t="shared" si="3"/>
        <v>189740.51107200002</v>
      </c>
      <c r="Q34" s="14">
        <v>0.44</v>
      </c>
      <c r="R34" s="14">
        <f t="shared" si="4"/>
        <v>46.4816</v>
      </c>
      <c r="S34" s="17">
        <f t="shared" si="5"/>
        <v>1391430.4145280002</v>
      </c>
      <c r="T34" s="19">
        <f t="shared" si="6"/>
        <v>5755462.1691840002</v>
      </c>
      <c r="U34" s="19">
        <f t="shared" si="7"/>
        <v>1093537.81214496</v>
      </c>
      <c r="V34" s="19">
        <f t="shared" si="8"/>
        <v>6848999.9813289605</v>
      </c>
      <c r="X34" s="17">
        <f>5039995+676940</f>
        <v>5716935</v>
      </c>
      <c r="Y34" s="17">
        <v>0</v>
      </c>
      <c r="Z34" s="17">
        <v>0</v>
      </c>
      <c r="AA34" s="17">
        <v>0</v>
      </c>
      <c r="AB34" s="17">
        <v>0</v>
      </c>
      <c r="AC34" s="19">
        <f t="shared" si="28"/>
        <v>5716935</v>
      </c>
      <c r="AE34" s="28">
        <f t="shared" si="10"/>
        <v>-38527.169184000231</v>
      </c>
      <c r="AG34" s="33" t="s">
        <v>129</v>
      </c>
      <c r="AH34" s="28">
        <f t="shared" si="18"/>
        <v>-1922124.7785599995</v>
      </c>
      <c r="AI34" s="28">
        <f t="shared" si="19"/>
        <v>379481.02214400005</v>
      </c>
      <c r="AJ34" s="37">
        <f t="shared" si="20"/>
        <v>189740.51107200002</v>
      </c>
      <c r="AK34" s="35">
        <f t="shared" si="21"/>
        <v>1391430.4145280002</v>
      </c>
      <c r="AL34" s="35">
        <f t="shared" si="22"/>
        <v>0</v>
      </c>
      <c r="AM34" s="28">
        <f t="shared" si="23"/>
        <v>38527.169184000697</v>
      </c>
      <c r="AO34" s="47" t="s">
        <v>122</v>
      </c>
    </row>
    <row r="35" spans="2:41" x14ac:dyDescent="0.25">
      <c r="B35" s="4" t="s">
        <v>24</v>
      </c>
      <c r="C35" s="4" t="s">
        <v>44</v>
      </c>
      <c r="D35" s="4">
        <v>2021</v>
      </c>
      <c r="E35" s="4">
        <v>105.64</v>
      </c>
      <c r="F35" s="14">
        <v>30088.37</v>
      </c>
      <c r="G35" s="16">
        <v>1.2</v>
      </c>
      <c r="H35" s="13">
        <f t="shared" si="0"/>
        <v>126.768</v>
      </c>
      <c r="I35" s="12">
        <f t="shared" si="25"/>
        <v>3814242.4881599997</v>
      </c>
      <c r="J35" s="11">
        <v>8.1000000000000003E-2</v>
      </c>
      <c r="K35" s="17">
        <f>31507730/1.19</f>
        <v>26477084.033613447</v>
      </c>
      <c r="L35" s="12">
        <f t="shared" si="26"/>
        <v>2144643.8067226894</v>
      </c>
      <c r="M35" s="10">
        <v>0.1</v>
      </c>
      <c r="N35" s="17">
        <f t="shared" si="17"/>
        <v>381424.24881600001</v>
      </c>
      <c r="O35" s="25">
        <v>0.05</v>
      </c>
      <c r="P35" s="17">
        <f t="shared" si="3"/>
        <v>190712.124408</v>
      </c>
      <c r="Q35" s="14">
        <v>0.44</v>
      </c>
      <c r="R35" s="14">
        <f t="shared" si="4"/>
        <v>46.4816</v>
      </c>
      <c r="S35" s="17">
        <f t="shared" si="5"/>
        <v>1398555.5789919998</v>
      </c>
      <c r="T35" s="19">
        <f t="shared" si="6"/>
        <v>5784934.4403759995</v>
      </c>
      <c r="U35" s="19">
        <f t="shared" si="7"/>
        <v>1099137.5436714399</v>
      </c>
      <c r="V35" s="19">
        <f t="shared" si="8"/>
        <v>6884071.9840474389</v>
      </c>
      <c r="X35" s="17">
        <f>5120671+676940</f>
        <v>5797611</v>
      </c>
      <c r="Y35" s="17">
        <v>0</v>
      </c>
      <c r="Z35" s="17">
        <v>0</v>
      </c>
      <c r="AA35" s="17">
        <v>0</v>
      </c>
      <c r="AB35" s="17">
        <v>4086</v>
      </c>
      <c r="AC35" s="19">
        <f>SUM(X35:AB35)</f>
        <v>5801697</v>
      </c>
      <c r="AE35" s="28">
        <f t="shared" si="10"/>
        <v>16762.559624000452</v>
      </c>
      <c r="AG35" s="33" t="s">
        <v>134</v>
      </c>
      <c r="AH35" s="28">
        <f t="shared" si="18"/>
        <v>-1983368.5118400003</v>
      </c>
      <c r="AI35" s="28">
        <f t="shared" si="19"/>
        <v>381424.24881600001</v>
      </c>
      <c r="AJ35" s="37">
        <f t="shared" si="20"/>
        <v>190712.124408</v>
      </c>
      <c r="AK35" s="35">
        <f t="shared" si="21"/>
        <v>1398555.5789919998</v>
      </c>
      <c r="AL35" s="35">
        <f t="shared" si="22"/>
        <v>-4086</v>
      </c>
      <c r="AM35" s="28">
        <f t="shared" si="23"/>
        <v>-16762.559624000452</v>
      </c>
      <c r="AO35" s="47" t="s">
        <v>122</v>
      </c>
    </row>
    <row r="36" spans="2:41" x14ac:dyDescent="0.25">
      <c r="B36" s="4" t="s">
        <v>24</v>
      </c>
      <c r="C36" s="4" t="s">
        <v>45</v>
      </c>
      <c r="D36" s="4">
        <v>2021</v>
      </c>
      <c r="E36" s="4">
        <v>105.64</v>
      </c>
      <c r="F36" s="14">
        <v>30380.53</v>
      </c>
      <c r="G36" s="16">
        <v>1.2</v>
      </c>
      <c r="H36" s="13">
        <f t="shared" si="0"/>
        <v>126.768</v>
      </c>
      <c r="I36" s="12">
        <f t="shared" si="25"/>
        <v>3851279.0270400001</v>
      </c>
      <c r="J36" s="11">
        <v>8.1000000000000003E-2</v>
      </c>
      <c r="K36" s="17">
        <f>41468422/1.19</f>
        <v>34847413.445378155</v>
      </c>
      <c r="L36" s="12">
        <f t="shared" si="26"/>
        <v>2822640.4890756304</v>
      </c>
      <c r="M36" s="10">
        <v>0.1</v>
      </c>
      <c r="N36" s="17">
        <f t="shared" si="17"/>
        <v>385127.90270400001</v>
      </c>
      <c r="O36" s="25">
        <v>0.05</v>
      </c>
      <c r="P36" s="17">
        <f t="shared" si="3"/>
        <v>192563.951352</v>
      </c>
      <c r="Q36" s="14">
        <v>0.44</v>
      </c>
      <c r="R36" s="14">
        <f t="shared" si="4"/>
        <v>46.4816</v>
      </c>
      <c r="S36" s="17">
        <f t="shared" si="5"/>
        <v>1412135.6432479999</v>
      </c>
      <c r="T36" s="19">
        <f t="shared" si="6"/>
        <v>5841106.524344</v>
      </c>
      <c r="U36" s="19">
        <f t="shared" si="7"/>
        <v>1109810.2396253601</v>
      </c>
      <c r="V36" s="19">
        <f t="shared" si="8"/>
        <v>6950916.7639693599</v>
      </c>
      <c r="X36" s="17">
        <f>5154424+676940</f>
        <v>5831364</v>
      </c>
      <c r="Y36" s="17">
        <v>0</v>
      </c>
      <c r="Z36" s="17">
        <v>0</v>
      </c>
      <c r="AA36" s="17">
        <v>0</v>
      </c>
      <c r="AB36" s="17">
        <v>0</v>
      </c>
      <c r="AC36" s="19">
        <f>SUM(X36:AB36)</f>
        <v>5831364</v>
      </c>
      <c r="AE36" s="28">
        <f t="shared" si="10"/>
        <v>-9742.524344000034</v>
      </c>
      <c r="AG36" s="33" t="s">
        <v>132</v>
      </c>
      <c r="AH36" s="28">
        <f t="shared" si="18"/>
        <v>-1980084.9729599999</v>
      </c>
      <c r="AI36" s="28">
        <f t="shared" si="19"/>
        <v>385127.90270400001</v>
      </c>
      <c r="AJ36" s="37">
        <f t="shared" si="20"/>
        <v>192563.951352</v>
      </c>
      <c r="AK36" s="35">
        <f t="shared" si="21"/>
        <v>1412135.6432479999</v>
      </c>
      <c r="AL36" s="35">
        <f t="shared" si="22"/>
        <v>0</v>
      </c>
      <c r="AM36" s="28">
        <f t="shared" si="23"/>
        <v>9742.524344000034</v>
      </c>
      <c r="AO36" s="47" t="s">
        <v>122</v>
      </c>
    </row>
    <row r="37" spans="2:41" x14ac:dyDescent="0.25">
      <c r="B37" s="4" t="s">
        <v>49</v>
      </c>
      <c r="C37" s="4" t="s">
        <v>28</v>
      </c>
      <c r="D37" s="4">
        <v>2020</v>
      </c>
      <c r="E37" s="4">
        <v>68</v>
      </c>
      <c r="F37" s="14">
        <v>29070.33</v>
      </c>
      <c r="G37" s="16">
        <v>1.5</v>
      </c>
      <c r="H37" s="13">
        <f t="shared" ref="H37:H46" si="29">G37*E37</f>
        <v>102</v>
      </c>
      <c r="I37" s="12">
        <f t="shared" ref="I37:I46" si="30">H37*F37</f>
        <v>2965173.66</v>
      </c>
      <c r="J37" s="11">
        <v>8.1000000000000003E-2</v>
      </c>
      <c r="K37" s="17">
        <f>14071565/1.19</f>
        <v>11824844.537815126</v>
      </c>
      <c r="L37" s="12">
        <f t="shared" ref="L37:L46" si="31">J37*K37</f>
        <v>957812.40756302525</v>
      </c>
      <c r="M37" s="10">
        <v>0.1</v>
      </c>
      <c r="N37" s="17">
        <f t="shared" si="17"/>
        <v>296517.36600000004</v>
      </c>
      <c r="O37" s="25">
        <v>0.05</v>
      </c>
      <c r="P37" s="17">
        <f t="shared" si="3"/>
        <v>148258.68300000002</v>
      </c>
      <c r="Q37" s="14">
        <v>0.44</v>
      </c>
      <c r="R37" s="14">
        <f t="shared" si="4"/>
        <v>29.92</v>
      </c>
      <c r="S37" s="17">
        <f t="shared" si="5"/>
        <v>869784.27360000007</v>
      </c>
      <c r="T37" s="19">
        <f t="shared" si="6"/>
        <v>4279733.9826000007</v>
      </c>
      <c r="U37" s="19">
        <f t="shared" si="7"/>
        <v>813149.45669400017</v>
      </c>
      <c r="V37" s="19">
        <f t="shared" si="8"/>
        <v>5092883.4392940011</v>
      </c>
      <c r="X37" s="39">
        <v>0</v>
      </c>
      <c r="Y37" s="39">
        <v>0</v>
      </c>
      <c r="Z37" s="39">
        <v>0</v>
      </c>
      <c r="AA37" s="39">
        <v>0</v>
      </c>
      <c r="AB37" s="39">
        <v>0</v>
      </c>
      <c r="AC37" s="44">
        <f t="shared" ref="AC37:AC47" si="32">SUM(X37:AB37)</f>
        <v>0</v>
      </c>
      <c r="AE37" s="28">
        <f t="shared" si="10"/>
        <v>-4279733.9826000007</v>
      </c>
      <c r="AG37" s="33" t="s">
        <v>136</v>
      </c>
      <c r="AH37" s="28">
        <f t="shared" si="18"/>
        <v>2965173.66</v>
      </c>
      <c r="AI37" s="28">
        <f t="shared" si="19"/>
        <v>296517.36600000004</v>
      </c>
      <c r="AJ37" s="37">
        <f t="shared" si="20"/>
        <v>148258.68300000002</v>
      </c>
      <c r="AK37" s="35">
        <f t="shared" si="21"/>
        <v>869784.27360000007</v>
      </c>
      <c r="AL37" s="35">
        <f t="shared" si="22"/>
        <v>0</v>
      </c>
      <c r="AM37" s="28">
        <f t="shared" si="23"/>
        <v>4279733.9826000007</v>
      </c>
      <c r="AO37" s="47" t="s">
        <v>124</v>
      </c>
    </row>
    <row r="38" spans="2:41" x14ac:dyDescent="0.25">
      <c r="B38" s="4" t="s">
        <v>49</v>
      </c>
      <c r="C38" s="4" t="s">
        <v>27</v>
      </c>
      <c r="D38" s="4">
        <v>2021</v>
      </c>
      <c r="E38" s="4">
        <v>68</v>
      </c>
      <c r="F38" s="14">
        <v>29123.74</v>
      </c>
      <c r="G38" s="16">
        <v>1.5</v>
      </c>
      <c r="H38" s="13">
        <f t="shared" si="29"/>
        <v>102</v>
      </c>
      <c r="I38" s="12">
        <f t="shared" si="30"/>
        <v>2970621.48</v>
      </c>
      <c r="J38" s="11">
        <v>8.1000000000000003E-2</v>
      </c>
      <c r="K38" s="17">
        <f>27746723/1.19</f>
        <v>23316573.949579831</v>
      </c>
      <c r="L38" s="12">
        <f t="shared" si="31"/>
        <v>1888642.4899159663</v>
      </c>
      <c r="M38" s="10">
        <v>0.1</v>
      </c>
      <c r="N38" s="17">
        <f t="shared" si="17"/>
        <v>297062.14799999999</v>
      </c>
      <c r="O38" s="25">
        <v>0.05</v>
      </c>
      <c r="P38" s="17">
        <f t="shared" si="3"/>
        <v>148531.07399999999</v>
      </c>
      <c r="Q38" s="14">
        <v>0.44</v>
      </c>
      <c r="R38" s="14">
        <f t="shared" si="4"/>
        <v>29.92</v>
      </c>
      <c r="S38" s="17">
        <f t="shared" si="5"/>
        <v>871382.30080000008</v>
      </c>
      <c r="T38" s="19">
        <f t="shared" si="6"/>
        <v>4287597.0027999999</v>
      </c>
      <c r="U38" s="19">
        <f t="shared" si="7"/>
        <v>814643.43053200003</v>
      </c>
      <c r="V38" s="19">
        <f t="shared" si="8"/>
        <v>5102240.4333319999</v>
      </c>
      <c r="X38" s="39">
        <v>0</v>
      </c>
      <c r="Y38" s="39">
        <v>0</v>
      </c>
      <c r="Z38" s="39">
        <v>0</v>
      </c>
      <c r="AA38" s="39">
        <v>0</v>
      </c>
      <c r="AB38" s="39">
        <v>0</v>
      </c>
      <c r="AC38" s="44">
        <f t="shared" si="32"/>
        <v>0</v>
      </c>
      <c r="AE38" s="28">
        <f t="shared" si="10"/>
        <v>-4287597.0027999999</v>
      </c>
      <c r="AG38" s="33" t="s">
        <v>136</v>
      </c>
      <c r="AH38" s="28">
        <f t="shared" si="18"/>
        <v>2970621.48</v>
      </c>
      <c r="AI38" s="28">
        <f t="shared" si="19"/>
        <v>297062.14799999999</v>
      </c>
      <c r="AJ38" s="37">
        <f t="shared" si="20"/>
        <v>148531.07399999999</v>
      </c>
      <c r="AK38" s="35">
        <f t="shared" si="21"/>
        <v>871382.30080000008</v>
      </c>
      <c r="AL38" s="35">
        <f t="shared" si="22"/>
        <v>0</v>
      </c>
      <c r="AM38" s="28">
        <f t="shared" si="23"/>
        <v>4287597.0027999999</v>
      </c>
      <c r="AO38" s="47" t="s">
        <v>124</v>
      </c>
    </row>
    <row r="39" spans="2:41" x14ac:dyDescent="0.25">
      <c r="B39" s="4" t="s">
        <v>49</v>
      </c>
      <c r="C39" s="4" t="s">
        <v>37</v>
      </c>
      <c r="D39" s="4">
        <v>2021</v>
      </c>
      <c r="E39" s="4">
        <v>68</v>
      </c>
      <c r="F39" s="14">
        <v>29287.38</v>
      </c>
      <c r="G39" s="16">
        <v>1.5</v>
      </c>
      <c r="H39" s="13">
        <f t="shared" si="29"/>
        <v>102</v>
      </c>
      <c r="I39" s="12">
        <f t="shared" si="30"/>
        <v>2987312.7600000002</v>
      </c>
      <c r="J39" s="11">
        <v>8.1000000000000003E-2</v>
      </c>
      <c r="K39" s="17">
        <f>29438751/1.19</f>
        <v>24738446.218487397</v>
      </c>
      <c r="L39" s="12">
        <f t="shared" si="31"/>
        <v>2003814.1436974793</v>
      </c>
      <c r="M39" s="10">
        <v>0.1</v>
      </c>
      <c r="N39" s="17">
        <f t="shared" si="17"/>
        <v>298731.27600000001</v>
      </c>
      <c r="O39" s="25">
        <v>0.05</v>
      </c>
      <c r="P39" s="17">
        <f t="shared" si="3"/>
        <v>149365.63800000001</v>
      </c>
      <c r="Q39" s="14">
        <v>0.44</v>
      </c>
      <c r="R39" s="14">
        <f t="shared" si="4"/>
        <v>29.92</v>
      </c>
      <c r="S39" s="17">
        <f t="shared" si="5"/>
        <v>876278.40960000013</v>
      </c>
      <c r="T39" s="19">
        <f t="shared" si="6"/>
        <v>4311688.0836000005</v>
      </c>
      <c r="U39" s="19">
        <f t="shared" si="7"/>
        <v>819220.73588400008</v>
      </c>
      <c r="V39" s="19">
        <f t="shared" si="8"/>
        <v>5130908.819484001</v>
      </c>
      <c r="X39" s="39">
        <v>0</v>
      </c>
      <c r="Y39" s="39">
        <v>0</v>
      </c>
      <c r="Z39" s="39">
        <v>0</v>
      </c>
      <c r="AA39" s="39">
        <v>0</v>
      </c>
      <c r="AB39" s="39">
        <v>0</v>
      </c>
      <c r="AC39" s="44">
        <f t="shared" si="32"/>
        <v>0</v>
      </c>
      <c r="AE39" s="28">
        <f t="shared" si="10"/>
        <v>-4311688.0836000005</v>
      </c>
      <c r="AG39" s="33" t="s">
        <v>136</v>
      </c>
      <c r="AH39" s="28">
        <f t="shared" ref="AH39:AH58" si="33">IF(I39&gt;L39,I39,L39)-X39</f>
        <v>2987312.7600000002</v>
      </c>
      <c r="AI39" s="28">
        <f t="shared" ref="AI39:AI58" si="34">N39-Y39</f>
        <v>298731.27600000001</v>
      </c>
      <c r="AJ39" s="37">
        <f t="shared" ref="AJ39:AJ58" si="35">P39-Z39</f>
        <v>149365.63800000001</v>
      </c>
      <c r="AK39" s="35">
        <f t="shared" ref="AK39:AK58" si="36">S39-AA39</f>
        <v>876278.40960000013</v>
      </c>
      <c r="AL39" s="35">
        <f t="shared" ref="AL39:AL58" si="37">0-AB39</f>
        <v>0</v>
      </c>
      <c r="AM39" s="28">
        <f t="shared" ref="AM39:AM58" si="38">SUM(AH39:AL39)</f>
        <v>4311688.0836000005</v>
      </c>
      <c r="AO39" s="47" t="s">
        <v>124</v>
      </c>
    </row>
    <row r="40" spans="2:41" x14ac:dyDescent="0.25">
      <c r="B40" s="4" t="s">
        <v>49</v>
      </c>
      <c r="C40" s="4" t="s">
        <v>38</v>
      </c>
      <c r="D40" s="4">
        <v>2021</v>
      </c>
      <c r="E40" s="4">
        <v>68</v>
      </c>
      <c r="F40" s="14">
        <v>29394.77</v>
      </c>
      <c r="G40" s="16">
        <v>1.5</v>
      </c>
      <c r="H40" s="13">
        <f t="shared" si="29"/>
        <v>102</v>
      </c>
      <c r="I40" s="12">
        <f t="shared" si="30"/>
        <v>2998266.54</v>
      </c>
      <c r="J40" s="11">
        <v>8.1000000000000003E-2</v>
      </c>
      <c r="K40" s="17">
        <f>12859645/1.19</f>
        <v>10806424.369747899</v>
      </c>
      <c r="L40" s="12">
        <f t="shared" si="31"/>
        <v>875320.37394957989</v>
      </c>
      <c r="M40" s="10">
        <v>0.1</v>
      </c>
      <c r="N40" s="17">
        <f t="shared" si="17"/>
        <v>299826.65400000004</v>
      </c>
      <c r="O40" s="25">
        <v>0.05</v>
      </c>
      <c r="P40" s="17">
        <f t="shared" si="3"/>
        <v>149913.32700000002</v>
      </c>
      <c r="Q40" s="14">
        <v>0.44</v>
      </c>
      <c r="R40" s="14">
        <f t="shared" si="4"/>
        <v>29.92</v>
      </c>
      <c r="S40" s="17">
        <f t="shared" si="5"/>
        <v>879491.51840000006</v>
      </c>
      <c r="T40" s="19">
        <f t="shared" si="6"/>
        <v>4327498.0394000001</v>
      </c>
      <c r="U40" s="19">
        <f t="shared" si="7"/>
        <v>822224.62748600007</v>
      </c>
      <c r="V40" s="19">
        <f t="shared" si="8"/>
        <v>5149722.666886</v>
      </c>
      <c r="X40" s="17">
        <f>5654430+2399664</f>
        <v>8054094</v>
      </c>
      <c r="Y40" s="17">
        <v>0</v>
      </c>
      <c r="Z40" s="17">
        <v>0</v>
      </c>
      <c r="AA40" s="17">
        <v>0</v>
      </c>
      <c r="AB40" s="17">
        <f>-1405685-599916</f>
        <v>-2005601</v>
      </c>
      <c r="AC40" s="19">
        <f t="shared" si="32"/>
        <v>6048493</v>
      </c>
      <c r="AE40" s="28">
        <f t="shared" si="10"/>
        <v>1720994.9605999999</v>
      </c>
      <c r="AG40" s="33" t="s">
        <v>161</v>
      </c>
      <c r="AH40" s="28">
        <f t="shared" si="33"/>
        <v>-5055827.46</v>
      </c>
      <c r="AI40" s="28">
        <f t="shared" si="34"/>
        <v>299826.65400000004</v>
      </c>
      <c r="AJ40" s="37">
        <f t="shared" si="35"/>
        <v>149913.32700000002</v>
      </c>
      <c r="AK40" s="35">
        <f t="shared" si="36"/>
        <v>879491.51840000006</v>
      </c>
      <c r="AL40" s="35">
        <f t="shared" si="37"/>
        <v>2005601</v>
      </c>
      <c r="AM40" s="28">
        <f t="shared" si="38"/>
        <v>-1720994.9606000003</v>
      </c>
      <c r="AO40" s="47" t="s">
        <v>124</v>
      </c>
    </row>
    <row r="41" spans="2:41" x14ac:dyDescent="0.25">
      <c r="B41" s="4" t="s">
        <v>49</v>
      </c>
      <c r="C41" s="4" t="s">
        <v>39</v>
      </c>
      <c r="D41" s="4">
        <v>2021</v>
      </c>
      <c r="E41" s="4">
        <v>68</v>
      </c>
      <c r="F41" s="14">
        <v>29494.13</v>
      </c>
      <c r="G41" s="16">
        <v>1.5</v>
      </c>
      <c r="H41" s="13">
        <f t="shared" si="29"/>
        <v>102</v>
      </c>
      <c r="I41" s="12">
        <f t="shared" si="30"/>
        <v>3008401.2600000002</v>
      </c>
      <c r="J41" s="11">
        <v>8.1000000000000003E-2</v>
      </c>
      <c r="K41" s="17">
        <v>0</v>
      </c>
      <c r="L41" s="12">
        <f t="shared" si="31"/>
        <v>0</v>
      </c>
      <c r="M41" s="10">
        <v>0.1</v>
      </c>
      <c r="N41" s="17">
        <f t="shared" si="17"/>
        <v>300840.12600000005</v>
      </c>
      <c r="O41" s="25">
        <v>0.05</v>
      </c>
      <c r="P41" s="17">
        <f t="shared" si="3"/>
        <v>150420.06300000002</v>
      </c>
      <c r="Q41" s="14">
        <v>0.44</v>
      </c>
      <c r="R41" s="14">
        <f t="shared" si="4"/>
        <v>29.92</v>
      </c>
      <c r="S41" s="17">
        <f t="shared" si="5"/>
        <v>882464.36960000009</v>
      </c>
      <c r="T41" s="19">
        <f t="shared" si="6"/>
        <v>4342125.8186000008</v>
      </c>
      <c r="U41" s="19">
        <f t="shared" si="7"/>
        <v>825003.90553400014</v>
      </c>
      <c r="V41" s="19">
        <f t="shared" si="8"/>
        <v>5167129.7241340009</v>
      </c>
      <c r="X41" s="17">
        <v>3038786</v>
      </c>
      <c r="Y41" s="17">
        <v>0</v>
      </c>
      <c r="Z41" s="17">
        <v>0</v>
      </c>
      <c r="AA41" s="17">
        <v>0</v>
      </c>
      <c r="AB41" s="17">
        <v>0</v>
      </c>
      <c r="AC41" s="19">
        <f>SUM(X41:AB41)</f>
        <v>3038786</v>
      </c>
      <c r="AE41" s="28">
        <f t="shared" si="10"/>
        <v>-1303339.8186000008</v>
      </c>
      <c r="AG41" s="33" t="s">
        <v>138</v>
      </c>
      <c r="AH41" s="28">
        <f t="shared" si="33"/>
        <v>-30384.739999999758</v>
      </c>
      <c r="AI41" s="28">
        <f t="shared" si="34"/>
        <v>300840.12600000005</v>
      </c>
      <c r="AJ41" s="37">
        <f t="shared" si="35"/>
        <v>150420.06300000002</v>
      </c>
      <c r="AK41" s="35">
        <f t="shared" si="36"/>
        <v>882464.36960000009</v>
      </c>
      <c r="AL41" s="35">
        <f t="shared" si="37"/>
        <v>0</v>
      </c>
      <c r="AM41" s="28">
        <f t="shared" si="38"/>
        <v>1303339.8186000003</v>
      </c>
      <c r="AO41" s="47" t="s">
        <v>122</v>
      </c>
    </row>
    <row r="42" spans="2:41" x14ac:dyDescent="0.25">
      <c r="B42" s="4" t="s">
        <v>49</v>
      </c>
      <c r="C42" s="4" t="s">
        <v>40</v>
      </c>
      <c r="D42" s="4">
        <v>2021</v>
      </c>
      <c r="E42" s="4">
        <v>68</v>
      </c>
      <c r="F42" s="14">
        <v>29613.26</v>
      </c>
      <c r="G42" s="16">
        <v>1.5</v>
      </c>
      <c r="H42" s="13">
        <f t="shared" si="29"/>
        <v>102</v>
      </c>
      <c r="I42" s="12">
        <f t="shared" si="30"/>
        <v>3020552.52</v>
      </c>
      <c r="J42" s="11">
        <v>8.1000000000000003E-2</v>
      </c>
      <c r="K42" s="17">
        <v>0</v>
      </c>
      <c r="L42" s="12">
        <f t="shared" si="31"/>
        <v>0</v>
      </c>
      <c r="M42" s="10">
        <v>0.1</v>
      </c>
      <c r="N42" s="17">
        <f t="shared" si="17"/>
        <v>302055.25200000004</v>
      </c>
      <c r="O42" s="25">
        <v>0.05</v>
      </c>
      <c r="P42" s="17">
        <f t="shared" si="3"/>
        <v>151027.62600000002</v>
      </c>
      <c r="Q42" s="14">
        <v>0.44</v>
      </c>
      <c r="R42" s="14">
        <f t="shared" si="4"/>
        <v>29.92</v>
      </c>
      <c r="S42" s="17">
        <f t="shared" si="5"/>
        <v>886028.73919999995</v>
      </c>
      <c r="T42" s="19">
        <f t="shared" si="6"/>
        <v>4359664.1371999998</v>
      </c>
      <c r="U42" s="19">
        <f t="shared" si="7"/>
        <v>828336.18606799992</v>
      </c>
      <c r="V42" s="19">
        <f t="shared" si="8"/>
        <v>5188000.323268</v>
      </c>
      <c r="X42" s="17">
        <v>973640</v>
      </c>
      <c r="Y42" s="17">
        <v>0</v>
      </c>
      <c r="Z42" s="17">
        <v>0</v>
      </c>
      <c r="AA42" s="17">
        <v>0</v>
      </c>
      <c r="AB42" s="17">
        <v>0</v>
      </c>
      <c r="AC42" s="19">
        <f>SUM(X42:AB42)</f>
        <v>973640</v>
      </c>
      <c r="AE42" s="28">
        <f t="shared" si="10"/>
        <v>-3386024.1371999998</v>
      </c>
      <c r="AG42" s="33" t="s">
        <v>139</v>
      </c>
      <c r="AH42" s="28">
        <f t="shared" si="33"/>
        <v>2046912.52</v>
      </c>
      <c r="AI42" s="28">
        <f t="shared" si="34"/>
        <v>302055.25200000004</v>
      </c>
      <c r="AJ42" s="37">
        <f t="shared" si="35"/>
        <v>151027.62600000002</v>
      </c>
      <c r="AK42" s="35">
        <f t="shared" si="36"/>
        <v>886028.73919999995</v>
      </c>
      <c r="AL42" s="35">
        <f t="shared" si="37"/>
        <v>0</v>
      </c>
      <c r="AM42" s="28">
        <f t="shared" si="38"/>
        <v>3386024.1371999998</v>
      </c>
      <c r="AO42" s="47" t="s">
        <v>122</v>
      </c>
    </row>
    <row r="43" spans="2:41" x14ac:dyDescent="0.25">
      <c r="B43" s="4" t="s">
        <v>49</v>
      </c>
      <c r="C43" s="4" t="s">
        <v>41</v>
      </c>
      <c r="D43" s="4">
        <v>2021</v>
      </c>
      <c r="E43" s="4">
        <v>68</v>
      </c>
      <c r="F43" s="14">
        <v>29709.83</v>
      </c>
      <c r="G43" s="16">
        <v>1.5</v>
      </c>
      <c r="H43" s="13">
        <f t="shared" si="29"/>
        <v>102</v>
      </c>
      <c r="I43" s="12">
        <f t="shared" si="30"/>
        <v>3030402.66</v>
      </c>
      <c r="J43" s="11">
        <v>8.1000000000000003E-2</v>
      </c>
      <c r="K43" s="17">
        <f>4155815/1.19</f>
        <v>3492281.5126050422</v>
      </c>
      <c r="L43" s="12">
        <f t="shared" si="31"/>
        <v>282874.80252100842</v>
      </c>
      <c r="M43" s="10">
        <v>0.1</v>
      </c>
      <c r="N43" s="17">
        <f t="shared" si="17"/>
        <v>303040.266</v>
      </c>
      <c r="O43" s="25">
        <v>0.05</v>
      </c>
      <c r="P43" s="17">
        <f t="shared" si="3"/>
        <v>151520.133</v>
      </c>
      <c r="Q43" s="14">
        <v>0.44</v>
      </c>
      <c r="R43" s="14">
        <f t="shared" si="4"/>
        <v>29.92</v>
      </c>
      <c r="S43" s="17">
        <f t="shared" si="5"/>
        <v>888918.11360000016</v>
      </c>
      <c r="T43" s="19">
        <f t="shared" si="6"/>
        <v>4373881.1726000002</v>
      </c>
      <c r="U43" s="19">
        <f t="shared" si="7"/>
        <v>831037.42279400001</v>
      </c>
      <c r="V43" s="19">
        <f t="shared" si="8"/>
        <v>5204918.5953940004</v>
      </c>
      <c r="X43" s="17">
        <f>819230+107178+599916</f>
        <v>1526324</v>
      </c>
      <c r="Y43" s="17">
        <v>0</v>
      </c>
      <c r="Z43" s="17">
        <v>0</v>
      </c>
      <c r="AA43" s="17">
        <v>0</v>
      </c>
      <c r="AB43" s="17">
        <v>0</v>
      </c>
      <c r="AC43" s="19">
        <f t="shared" si="32"/>
        <v>1526324</v>
      </c>
      <c r="AE43" s="28">
        <f t="shared" si="10"/>
        <v>-2847557.1726000002</v>
      </c>
      <c r="AG43" s="33" t="s">
        <v>141</v>
      </c>
      <c r="AH43" s="28">
        <f t="shared" si="33"/>
        <v>1504078.6600000001</v>
      </c>
      <c r="AI43" s="28">
        <f t="shared" si="34"/>
        <v>303040.266</v>
      </c>
      <c r="AJ43" s="37">
        <f t="shared" si="35"/>
        <v>151520.133</v>
      </c>
      <c r="AK43" s="35">
        <f t="shared" si="36"/>
        <v>888918.11360000016</v>
      </c>
      <c r="AL43" s="35">
        <f t="shared" si="37"/>
        <v>0</v>
      </c>
      <c r="AM43" s="28">
        <f t="shared" si="38"/>
        <v>2847557.1726000002</v>
      </c>
      <c r="AO43" s="47" t="s">
        <v>122</v>
      </c>
    </row>
    <row r="44" spans="2:41" x14ac:dyDescent="0.25">
      <c r="B44" s="4" t="s">
        <v>49</v>
      </c>
      <c r="C44" s="4" t="s">
        <v>42</v>
      </c>
      <c r="D44" s="4">
        <v>2021</v>
      </c>
      <c r="E44" s="4">
        <v>68</v>
      </c>
      <c r="F44" s="14">
        <v>29757.64</v>
      </c>
      <c r="G44" s="16">
        <v>1.5</v>
      </c>
      <c r="H44" s="13">
        <f t="shared" si="29"/>
        <v>102</v>
      </c>
      <c r="I44" s="12">
        <f t="shared" si="30"/>
        <v>3035279.28</v>
      </c>
      <c r="J44" s="11">
        <v>8.1000000000000003E-2</v>
      </c>
      <c r="K44" s="17">
        <f>29053167/1.19</f>
        <v>24414426.050420169</v>
      </c>
      <c r="L44" s="12">
        <f t="shared" si="31"/>
        <v>1977568.5100840337</v>
      </c>
      <c r="M44" s="10">
        <v>0.1</v>
      </c>
      <c r="N44" s="17">
        <f t="shared" ref="N44:N69" si="39">IF(I44&gt;L44,M44*I44,M44*L44)</f>
        <v>303527.92800000001</v>
      </c>
      <c r="O44" s="25">
        <v>0.05</v>
      </c>
      <c r="P44" s="17">
        <f t="shared" ref="P44:P69" si="40">IF(I44&gt;L44,O44*I44,O44*L44)</f>
        <v>151763.96400000001</v>
      </c>
      <c r="Q44" s="14">
        <v>0.44</v>
      </c>
      <c r="R44" s="14">
        <f t="shared" ref="R44:R69" si="41">Q44*E44</f>
        <v>29.92</v>
      </c>
      <c r="S44" s="17">
        <f t="shared" ref="S44:S69" si="42">R44*F44</f>
        <v>890348.58880000003</v>
      </c>
      <c r="T44" s="19">
        <f t="shared" si="6"/>
        <v>4380919.7608000003</v>
      </c>
      <c r="U44" s="19">
        <f t="shared" si="7"/>
        <v>832374.75455200009</v>
      </c>
      <c r="V44" s="19">
        <f t="shared" si="8"/>
        <v>5213294.5153520005</v>
      </c>
      <c r="X44" s="17">
        <f>842822+2435363+599916</f>
        <v>3878101</v>
      </c>
      <c r="Y44" s="17">
        <v>0</v>
      </c>
      <c r="Z44" s="17">
        <v>0</v>
      </c>
      <c r="AA44" s="17">
        <v>0</v>
      </c>
      <c r="AB44" s="17">
        <v>0</v>
      </c>
      <c r="AC44" s="19">
        <f t="shared" si="32"/>
        <v>3878101</v>
      </c>
      <c r="AE44" s="28">
        <f t="shared" si="10"/>
        <v>-502818.76080000028</v>
      </c>
      <c r="AG44" s="33" t="s">
        <v>140</v>
      </c>
      <c r="AH44" s="28">
        <f t="shared" si="33"/>
        <v>-842821.7200000002</v>
      </c>
      <c r="AI44" s="28">
        <f t="shared" si="34"/>
        <v>303527.92800000001</v>
      </c>
      <c r="AJ44" s="37">
        <f t="shared" si="35"/>
        <v>151763.96400000001</v>
      </c>
      <c r="AK44" s="35">
        <f t="shared" si="36"/>
        <v>890348.58880000003</v>
      </c>
      <c r="AL44" s="35">
        <f t="shared" si="37"/>
        <v>0</v>
      </c>
      <c r="AM44" s="28">
        <f t="shared" si="38"/>
        <v>502818.76079999993</v>
      </c>
      <c r="AO44" s="47" t="s">
        <v>122</v>
      </c>
    </row>
    <row r="45" spans="2:41" x14ac:dyDescent="0.25">
      <c r="B45" s="4" t="s">
        <v>49</v>
      </c>
      <c r="C45" s="4" t="s">
        <v>43</v>
      </c>
      <c r="D45" s="4">
        <v>2021</v>
      </c>
      <c r="E45" s="4">
        <v>68</v>
      </c>
      <c r="F45" s="14">
        <v>29935.08</v>
      </c>
      <c r="G45" s="16">
        <v>1.5</v>
      </c>
      <c r="H45" s="13">
        <f t="shared" si="29"/>
        <v>102</v>
      </c>
      <c r="I45" s="12">
        <f t="shared" si="30"/>
        <v>3053378.16</v>
      </c>
      <c r="J45" s="11">
        <v>8.1000000000000003E-2</v>
      </c>
      <c r="K45" s="17">
        <f>31071060/1.19</f>
        <v>26110134.453781515</v>
      </c>
      <c r="L45" s="12">
        <f t="shared" si="31"/>
        <v>2114920.890756303</v>
      </c>
      <c r="M45" s="10">
        <v>0.1</v>
      </c>
      <c r="N45" s="17">
        <f t="shared" si="39"/>
        <v>305337.81600000005</v>
      </c>
      <c r="O45" s="25">
        <v>0.05</v>
      </c>
      <c r="P45" s="17">
        <f t="shared" si="40"/>
        <v>152668.90800000002</v>
      </c>
      <c r="Q45" s="14">
        <v>0.44</v>
      </c>
      <c r="R45" s="14">
        <f t="shared" si="41"/>
        <v>29.92</v>
      </c>
      <c r="S45" s="17">
        <f t="shared" si="42"/>
        <v>895657.59360000014</v>
      </c>
      <c r="T45" s="19">
        <f t="shared" si="6"/>
        <v>4407042.4775999999</v>
      </c>
      <c r="U45" s="19">
        <f t="shared" si="7"/>
        <v>837338.07074400003</v>
      </c>
      <c r="V45" s="19">
        <f t="shared" si="8"/>
        <v>5244380.5483440002</v>
      </c>
      <c r="X45" s="17">
        <f>845573+2427897+625481</f>
        <v>3898951</v>
      </c>
      <c r="Y45" s="17">
        <v>0</v>
      </c>
      <c r="Z45" s="17">
        <v>0</v>
      </c>
      <c r="AA45" s="17">
        <v>0</v>
      </c>
      <c r="AB45" s="17">
        <v>0</v>
      </c>
      <c r="AC45" s="19">
        <f t="shared" si="32"/>
        <v>3898951</v>
      </c>
      <c r="AE45" s="28">
        <f t="shared" si="10"/>
        <v>-508091.47759999987</v>
      </c>
      <c r="AG45" s="33" t="s">
        <v>142</v>
      </c>
      <c r="AH45" s="28">
        <f t="shared" si="33"/>
        <v>-845572.83999999985</v>
      </c>
      <c r="AI45" s="28">
        <f t="shared" si="34"/>
        <v>305337.81600000005</v>
      </c>
      <c r="AJ45" s="37">
        <f t="shared" si="35"/>
        <v>152668.90800000002</v>
      </c>
      <c r="AK45" s="35">
        <f t="shared" si="36"/>
        <v>895657.59360000014</v>
      </c>
      <c r="AL45" s="35">
        <f t="shared" si="37"/>
        <v>0</v>
      </c>
      <c r="AM45" s="28">
        <f t="shared" si="38"/>
        <v>508091.47760000045</v>
      </c>
      <c r="AO45" s="47" t="s">
        <v>122</v>
      </c>
    </row>
    <row r="46" spans="2:41" x14ac:dyDescent="0.25">
      <c r="B46" s="4" t="s">
        <v>49</v>
      </c>
      <c r="C46" s="4" t="s">
        <v>44</v>
      </c>
      <c r="D46" s="4">
        <v>2021</v>
      </c>
      <c r="E46" s="4">
        <v>68</v>
      </c>
      <c r="F46" s="14">
        <v>30088.37</v>
      </c>
      <c r="G46" s="16">
        <v>1.5</v>
      </c>
      <c r="H46" s="13">
        <f t="shared" si="29"/>
        <v>102</v>
      </c>
      <c r="I46" s="12">
        <f t="shared" si="30"/>
        <v>3069013.7399999998</v>
      </c>
      <c r="J46" s="11">
        <v>8.1000000000000003E-2</v>
      </c>
      <c r="K46" s="17">
        <f>32590070/1.19</f>
        <v>27386613.445378151</v>
      </c>
      <c r="L46" s="12">
        <f t="shared" si="31"/>
        <v>2218315.6890756302</v>
      </c>
      <c r="M46" s="10">
        <v>0.1</v>
      </c>
      <c r="N46" s="17">
        <f t="shared" si="39"/>
        <v>306901.37400000001</v>
      </c>
      <c r="O46" s="25">
        <v>0.05</v>
      </c>
      <c r="P46" s="17">
        <f t="shared" si="40"/>
        <v>153450.68700000001</v>
      </c>
      <c r="Q46" s="14">
        <v>0.44</v>
      </c>
      <c r="R46" s="14">
        <f t="shared" si="41"/>
        <v>29.92</v>
      </c>
      <c r="S46" s="17">
        <f t="shared" si="42"/>
        <v>900244.03040000005</v>
      </c>
      <c r="T46" s="19">
        <f t="shared" si="6"/>
        <v>4429609.8313999996</v>
      </c>
      <c r="U46" s="19">
        <f t="shared" si="7"/>
        <v>841625.86796599987</v>
      </c>
      <c r="V46" s="19">
        <f t="shared" si="8"/>
        <v>5271235.6993659995</v>
      </c>
      <c r="X46" s="17">
        <f>1000876+2443533+625481</f>
        <v>4069890</v>
      </c>
      <c r="Y46" s="17">
        <v>0</v>
      </c>
      <c r="Z46" s="17">
        <v>0</v>
      </c>
      <c r="AA46" s="17">
        <v>0</v>
      </c>
      <c r="AB46" s="17">
        <v>0</v>
      </c>
      <c r="AC46" s="19">
        <f t="shared" si="32"/>
        <v>4069890</v>
      </c>
      <c r="AE46" s="28">
        <f t="shared" si="10"/>
        <v>-359719.83139999956</v>
      </c>
      <c r="AG46" s="33" t="s">
        <v>143</v>
      </c>
      <c r="AH46" s="28">
        <f t="shared" si="33"/>
        <v>-1000876.2600000002</v>
      </c>
      <c r="AI46" s="28">
        <f t="shared" si="34"/>
        <v>306901.37400000001</v>
      </c>
      <c r="AJ46" s="37">
        <f t="shared" si="35"/>
        <v>153450.68700000001</v>
      </c>
      <c r="AK46" s="35">
        <f t="shared" si="36"/>
        <v>900244.03040000005</v>
      </c>
      <c r="AL46" s="35">
        <f t="shared" si="37"/>
        <v>0</v>
      </c>
      <c r="AM46" s="28">
        <f t="shared" si="38"/>
        <v>359719.83139999991</v>
      </c>
      <c r="AO46" s="47" t="s">
        <v>122</v>
      </c>
    </row>
    <row r="47" spans="2:41" x14ac:dyDescent="0.25">
      <c r="B47" s="4" t="s">
        <v>49</v>
      </c>
      <c r="C47" s="4" t="s">
        <v>45</v>
      </c>
      <c r="D47" s="4">
        <v>2021</v>
      </c>
      <c r="E47" s="4">
        <v>68</v>
      </c>
      <c r="F47" s="14">
        <v>30380.53</v>
      </c>
      <c r="G47" s="16">
        <v>1.5</v>
      </c>
      <c r="H47" s="13">
        <f t="shared" ref="H47:H57" si="43">G47*E47</f>
        <v>102</v>
      </c>
      <c r="I47" s="12">
        <f t="shared" ref="I47:I57" si="44">H47*F47</f>
        <v>3098814.06</v>
      </c>
      <c r="J47" s="11">
        <v>8.1000000000000003E-2</v>
      </c>
      <c r="K47" s="17">
        <f>40808431/1.19</f>
        <v>34292799.159663863</v>
      </c>
      <c r="L47" s="12">
        <f t="shared" ref="L47:L57" si="45">J47*K47</f>
        <v>2777716.7319327733</v>
      </c>
      <c r="M47" s="10">
        <v>0.1</v>
      </c>
      <c r="N47" s="17">
        <f t="shared" si="39"/>
        <v>309881.40600000002</v>
      </c>
      <c r="O47" s="25">
        <v>0.05</v>
      </c>
      <c r="P47" s="17">
        <f t="shared" si="40"/>
        <v>154940.70300000001</v>
      </c>
      <c r="Q47" s="14">
        <v>0.44</v>
      </c>
      <c r="R47" s="14">
        <f t="shared" si="41"/>
        <v>29.92</v>
      </c>
      <c r="S47" s="17">
        <f t="shared" si="42"/>
        <v>908985.45759999997</v>
      </c>
      <c r="T47" s="19">
        <f t="shared" si="6"/>
        <v>4472621.6266000001</v>
      </c>
      <c r="U47" s="19">
        <f t="shared" si="7"/>
        <v>849798.109054</v>
      </c>
      <c r="V47" s="19">
        <f t="shared" si="8"/>
        <v>5322419.7356540002</v>
      </c>
      <c r="X47" s="17">
        <f>975760+2473333+65481</f>
        <v>3514574</v>
      </c>
      <c r="Y47" s="17">
        <v>0</v>
      </c>
      <c r="Z47" s="17">
        <v>0</v>
      </c>
      <c r="AA47" s="17">
        <v>0</v>
      </c>
      <c r="AB47" s="17">
        <v>0</v>
      </c>
      <c r="AC47" s="19">
        <f t="shared" si="32"/>
        <v>3514574</v>
      </c>
      <c r="AE47" s="28">
        <f t="shared" si="10"/>
        <v>-958047.62660000008</v>
      </c>
      <c r="AG47" s="33" t="s">
        <v>144</v>
      </c>
      <c r="AH47" s="28">
        <f t="shared" si="33"/>
        <v>-415759.93999999994</v>
      </c>
      <c r="AI47" s="28">
        <f t="shared" si="34"/>
        <v>309881.40600000002</v>
      </c>
      <c r="AJ47" s="37">
        <f t="shared" si="35"/>
        <v>154940.70300000001</v>
      </c>
      <c r="AK47" s="35">
        <f t="shared" si="36"/>
        <v>908985.45759999997</v>
      </c>
      <c r="AL47" s="35">
        <f t="shared" si="37"/>
        <v>0</v>
      </c>
      <c r="AM47" s="28">
        <f t="shared" si="38"/>
        <v>958047.62660000008</v>
      </c>
      <c r="AO47" s="47" t="s">
        <v>122</v>
      </c>
    </row>
    <row r="48" spans="2:41" x14ac:dyDescent="0.25">
      <c r="B48" s="4" t="s">
        <v>56</v>
      </c>
      <c r="C48" s="4" t="s">
        <v>28</v>
      </c>
      <c r="D48" s="4">
        <v>2020</v>
      </c>
      <c r="E48" s="4">
        <v>81.540000000000006</v>
      </c>
      <c r="F48" s="14">
        <v>29070.33</v>
      </c>
      <c r="G48" s="16">
        <v>1.4</v>
      </c>
      <c r="H48" s="13">
        <f t="shared" si="43"/>
        <v>114.15600000000001</v>
      </c>
      <c r="I48" s="12">
        <f t="shared" si="44"/>
        <v>3318552.5914800004</v>
      </c>
      <c r="J48" s="11">
        <v>8.1000000000000003E-2</v>
      </c>
      <c r="K48" s="17">
        <f>0/1.19</f>
        <v>0</v>
      </c>
      <c r="L48" s="12">
        <f t="shared" si="45"/>
        <v>0</v>
      </c>
      <c r="M48" s="10">
        <v>0.1</v>
      </c>
      <c r="N48" s="17">
        <f t="shared" si="39"/>
        <v>331855.25914800004</v>
      </c>
      <c r="O48" s="25">
        <v>0.05</v>
      </c>
      <c r="P48" s="17">
        <f t="shared" si="40"/>
        <v>165927.62957400002</v>
      </c>
      <c r="Q48" s="14">
        <v>0.44</v>
      </c>
      <c r="R48" s="14">
        <f t="shared" si="41"/>
        <v>35.877600000000001</v>
      </c>
      <c r="S48" s="17">
        <f t="shared" si="42"/>
        <v>1042973.6716080001</v>
      </c>
      <c r="T48" s="19">
        <f t="shared" si="6"/>
        <v>4859309.1518100007</v>
      </c>
      <c r="U48" s="19">
        <f t="shared" si="7"/>
        <v>923268.73884390015</v>
      </c>
      <c r="V48" s="19">
        <f t="shared" si="8"/>
        <v>5782577.8906539008</v>
      </c>
      <c r="X48" s="39">
        <v>0</v>
      </c>
      <c r="Y48" s="39">
        <v>0</v>
      </c>
      <c r="Z48" s="39">
        <v>0</v>
      </c>
      <c r="AA48" s="39">
        <v>0</v>
      </c>
      <c r="AB48" s="39">
        <v>0</v>
      </c>
      <c r="AC48" s="45">
        <f>SUM(X48:AB48)</f>
        <v>0</v>
      </c>
      <c r="AE48" s="28">
        <f t="shared" si="10"/>
        <v>-4859309.1518100007</v>
      </c>
      <c r="AG48" s="33" t="s">
        <v>136</v>
      </c>
      <c r="AH48" s="28">
        <f t="shared" si="33"/>
        <v>3318552.5914800004</v>
      </c>
      <c r="AI48" s="28">
        <f t="shared" si="34"/>
        <v>331855.25914800004</v>
      </c>
      <c r="AJ48" s="37">
        <f t="shared" si="35"/>
        <v>165927.62957400002</v>
      </c>
      <c r="AK48" s="35">
        <f t="shared" si="36"/>
        <v>1042973.6716080001</v>
      </c>
      <c r="AL48" s="35">
        <f t="shared" si="37"/>
        <v>0</v>
      </c>
      <c r="AM48" s="28">
        <f t="shared" si="38"/>
        <v>4859309.1518100007</v>
      </c>
      <c r="AO48" s="47" t="s">
        <v>124</v>
      </c>
    </row>
    <row r="49" spans="2:46" x14ac:dyDescent="0.25">
      <c r="B49" s="4" t="s">
        <v>56</v>
      </c>
      <c r="C49" s="4" t="s">
        <v>27</v>
      </c>
      <c r="D49" s="4">
        <v>2021</v>
      </c>
      <c r="E49" s="4">
        <v>81.540000000000006</v>
      </c>
      <c r="F49" s="14">
        <v>29123.74</v>
      </c>
      <c r="G49" s="16">
        <v>1.4</v>
      </c>
      <c r="H49" s="13">
        <f t="shared" si="43"/>
        <v>114.15600000000001</v>
      </c>
      <c r="I49" s="12">
        <f t="shared" si="44"/>
        <v>3324649.6634400003</v>
      </c>
      <c r="J49" s="11">
        <v>8.1000000000000003E-2</v>
      </c>
      <c r="K49" s="17">
        <f>1643968/1.19</f>
        <v>1381485.7142857143</v>
      </c>
      <c r="L49" s="12">
        <f t="shared" si="45"/>
        <v>111900.34285714287</v>
      </c>
      <c r="M49" s="10">
        <v>0.1</v>
      </c>
      <c r="N49" s="17">
        <f t="shared" si="39"/>
        <v>332464.96634400007</v>
      </c>
      <c r="O49" s="25">
        <v>0.05</v>
      </c>
      <c r="P49" s="17">
        <f t="shared" si="40"/>
        <v>166232.48317200004</v>
      </c>
      <c r="Q49" s="14">
        <v>0.44</v>
      </c>
      <c r="R49" s="14">
        <f t="shared" si="41"/>
        <v>35.877600000000001</v>
      </c>
      <c r="S49" s="17">
        <f t="shared" si="42"/>
        <v>1044889.894224</v>
      </c>
      <c r="T49" s="19">
        <f t="shared" si="6"/>
        <v>4868237.0071799997</v>
      </c>
      <c r="U49" s="19">
        <f t="shared" si="7"/>
        <v>924965.03136419994</v>
      </c>
      <c r="V49" s="19">
        <f t="shared" si="8"/>
        <v>5793202.0385441994</v>
      </c>
      <c r="X49" s="17">
        <f>1144900+366400</f>
        <v>1511300</v>
      </c>
      <c r="Y49" s="17">
        <v>0</v>
      </c>
      <c r="Z49" s="17">
        <v>0</v>
      </c>
      <c r="AA49" s="17">
        <v>0</v>
      </c>
      <c r="AB49" s="17">
        <v>0</v>
      </c>
      <c r="AC49" s="19">
        <f t="shared" ref="AC49:AC50" si="46">SUM(X49:AB49)</f>
        <v>1511300</v>
      </c>
      <c r="AE49" s="28">
        <f t="shared" si="10"/>
        <v>-3356937.0071799997</v>
      </c>
      <c r="AG49" s="33" t="s">
        <v>145</v>
      </c>
      <c r="AH49" s="28">
        <f t="shared" si="33"/>
        <v>1813349.6634400003</v>
      </c>
      <c r="AI49" s="28">
        <f t="shared" si="34"/>
        <v>332464.96634400007</v>
      </c>
      <c r="AJ49" s="37">
        <f t="shared" si="35"/>
        <v>166232.48317200004</v>
      </c>
      <c r="AK49" s="35">
        <f t="shared" si="36"/>
        <v>1044889.894224</v>
      </c>
      <c r="AL49" s="35">
        <f t="shared" si="37"/>
        <v>0</v>
      </c>
      <c r="AM49" s="28">
        <f t="shared" si="38"/>
        <v>3356937.0071800002</v>
      </c>
      <c r="AO49" s="47" t="s">
        <v>123</v>
      </c>
    </row>
    <row r="50" spans="2:46" x14ac:dyDescent="0.25">
      <c r="B50" s="4" t="s">
        <v>56</v>
      </c>
      <c r="C50" s="4" t="s">
        <v>37</v>
      </c>
      <c r="D50" s="4">
        <v>2021</v>
      </c>
      <c r="E50" s="4">
        <v>81.540000000000006</v>
      </c>
      <c r="F50" s="14">
        <v>29287.38</v>
      </c>
      <c r="G50" s="16">
        <v>1.4</v>
      </c>
      <c r="H50" s="13">
        <f t="shared" si="43"/>
        <v>114.15600000000001</v>
      </c>
      <c r="I50" s="12">
        <f t="shared" si="44"/>
        <v>3343330.1512800003</v>
      </c>
      <c r="J50" s="11">
        <v>8.1000000000000003E-2</v>
      </c>
      <c r="K50" s="17">
        <f>13943528/1.19</f>
        <v>11717250.420168068</v>
      </c>
      <c r="L50" s="12">
        <f t="shared" si="45"/>
        <v>949097.28403361351</v>
      </c>
      <c r="M50" s="10">
        <v>0.1</v>
      </c>
      <c r="N50" s="17">
        <f t="shared" si="39"/>
        <v>334333.01512800006</v>
      </c>
      <c r="O50" s="25">
        <v>0.05</v>
      </c>
      <c r="P50" s="17">
        <f t="shared" si="40"/>
        <v>167166.50756400003</v>
      </c>
      <c r="Q50" s="14">
        <v>0.44</v>
      </c>
      <c r="R50" s="14">
        <f t="shared" si="41"/>
        <v>35.877600000000001</v>
      </c>
      <c r="S50" s="17">
        <f t="shared" si="42"/>
        <v>1050760.904688</v>
      </c>
      <c r="T50" s="19">
        <f t="shared" si="6"/>
        <v>4895590.5786600001</v>
      </c>
      <c r="U50" s="19">
        <f t="shared" si="7"/>
        <v>930162.20994540001</v>
      </c>
      <c r="V50" s="19">
        <f t="shared" si="8"/>
        <v>5825752.7886054004</v>
      </c>
      <c r="X50" s="17">
        <f>1426961+456823</f>
        <v>1883784</v>
      </c>
      <c r="Y50" s="17">
        <v>0</v>
      </c>
      <c r="Z50" s="17">
        <v>0</v>
      </c>
      <c r="AA50" s="17">
        <v>0</v>
      </c>
      <c r="AB50" s="17">
        <v>0</v>
      </c>
      <c r="AC50" s="19">
        <f t="shared" si="46"/>
        <v>1883784</v>
      </c>
      <c r="AE50" s="28">
        <f t="shared" si="10"/>
        <v>-3011806.5786600001</v>
      </c>
      <c r="AG50" s="33" t="s">
        <v>146</v>
      </c>
      <c r="AH50" s="28">
        <f t="shared" si="33"/>
        <v>1459546.1512800003</v>
      </c>
      <c r="AI50" s="28">
        <f t="shared" si="34"/>
        <v>334333.01512800006</v>
      </c>
      <c r="AJ50" s="37">
        <f t="shared" si="35"/>
        <v>167166.50756400003</v>
      </c>
      <c r="AK50" s="35">
        <f t="shared" si="36"/>
        <v>1050760.904688</v>
      </c>
      <c r="AL50" s="35">
        <f t="shared" si="37"/>
        <v>0</v>
      </c>
      <c r="AM50" s="28">
        <f t="shared" si="38"/>
        <v>3011806.5786600006</v>
      </c>
      <c r="AO50" s="47" t="s">
        <v>123</v>
      </c>
    </row>
    <row r="51" spans="2:46" x14ac:dyDescent="0.25">
      <c r="B51" s="4" t="s">
        <v>56</v>
      </c>
      <c r="C51" s="4" t="s">
        <v>38</v>
      </c>
      <c r="D51" s="4">
        <v>2021</v>
      </c>
      <c r="E51" s="4">
        <v>81.540000000000006</v>
      </c>
      <c r="F51" s="14">
        <v>29394.77</v>
      </c>
      <c r="G51" s="16">
        <v>1.4</v>
      </c>
      <c r="H51" s="13">
        <f t="shared" si="43"/>
        <v>114.15600000000001</v>
      </c>
      <c r="I51" s="12">
        <f t="shared" si="44"/>
        <v>3355589.36412</v>
      </c>
      <c r="J51" s="11">
        <v>8.1000000000000003E-2</v>
      </c>
      <c r="K51" s="17">
        <f>5776774/1.19</f>
        <v>4854431.9327731095</v>
      </c>
      <c r="L51" s="12">
        <f t="shared" si="45"/>
        <v>393208.98655462189</v>
      </c>
      <c r="M51" s="10">
        <v>0.1</v>
      </c>
      <c r="N51" s="17">
        <f t="shared" si="39"/>
        <v>335558.93641200004</v>
      </c>
      <c r="O51" s="25">
        <v>0.05</v>
      </c>
      <c r="P51" s="17">
        <f t="shared" si="40"/>
        <v>167779.46820600002</v>
      </c>
      <c r="Q51" s="14">
        <v>0.44</v>
      </c>
      <c r="R51" s="14">
        <f t="shared" si="41"/>
        <v>35.877600000000001</v>
      </c>
      <c r="S51" s="17">
        <f t="shared" si="42"/>
        <v>1054613.800152</v>
      </c>
      <c r="T51" s="19">
        <f t="shared" si="6"/>
        <v>4913541.5688899998</v>
      </c>
      <c r="U51" s="19">
        <f t="shared" si="7"/>
        <v>933572.89808909991</v>
      </c>
      <c r="V51" s="19">
        <f t="shared" si="8"/>
        <v>5847114.4669790994</v>
      </c>
      <c r="X51" s="17">
        <v>1343344</v>
      </c>
      <c r="Y51" s="17">
        <v>0</v>
      </c>
      <c r="Z51" s="17">
        <v>0</v>
      </c>
      <c r="AA51" s="17">
        <v>0</v>
      </c>
      <c r="AB51" s="17">
        <v>0</v>
      </c>
      <c r="AC51" s="19">
        <f>SUM(X51:AB51)</f>
        <v>1343344</v>
      </c>
      <c r="AE51" s="28">
        <f t="shared" si="10"/>
        <v>-3570197.5688899998</v>
      </c>
      <c r="AG51" s="33" t="s">
        <v>147</v>
      </c>
      <c r="AH51" s="28">
        <f t="shared" si="33"/>
        <v>2012245.36412</v>
      </c>
      <c r="AI51" s="28">
        <f t="shared" si="34"/>
        <v>335558.93641200004</v>
      </c>
      <c r="AJ51" s="37">
        <f t="shared" si="35"/>
        <v>167779.46820600002</v>
      </c>
      <c r="AK51" s="35">
        <f t="shared" si="36"/>
        <v>1054613.800152</v>
      </c>
      <c r="AL51" s="35">
        <f t="shared" si="37"/>
        <v>0</v>
      </c>
      <c r="AM51" s="28">
        <f t="shared" si="38"/>
        <v>3570197.5688900002</v>
      </c>
      <c r="AO51" s="47" t="s">
        <v>123</v>
      </c>
    </row>
    <row r="52" spans="2:46" x14ac:dyDescent="0.25">
      <c r="B52" s="4" t="s">
        <v>56</v>
      </c>
      <c r="C52" s="4" t="s">
        <v>39</v>
      </c>
      <c r="D52" s="4">
        <v>2021</v>
      </c>
      <c r="E52" s="4">
        <v>81.540000000000006</v>
      </c>
      <c r="F52" s="14">
        <v>29494.13</v>
      </c>
      <c r="G52" s="16">
        <v>1.4</v>
      </c>
      <c r="H52" s="13">
        <f t="shared" si="43"/>
        <v>114.15600000000001</v>
      </c>
      <c r="I52" s="12">
        <f t="shared" si="44"/>
        <v>3366931.9042800004</v>
      </c>
      <c r="J52" s="11">
        <v>8.1000000000000003E-2</v>
      </c>
      <c r="K52" s="17">
        <v>0</v>
      </c>
      <c r="L52" s="12">
        <f t="shared" si="45"/>
        <v>0</v>
      </c>
      <c r="M52" s="10">
        <v>0.1</v>
      </c>
      <c r="N52" s="17">
        <f t="shared" si="39"/>
        <v>336693.19042800006</v>
      </c>
      <c r="O52" s="25">
        <v>0.05</v>
      </c>
      <c r="P52" s="17">
        <f t="shared" si="40"/>
        <v>168346.59521400003</v>
      </c>
      <c r="Q52" s="14">
        <v>0.44</v>
      </c>
      <c r="R52" s="14">
        <f t="shared" si="41"/>
        <v>35.877600000000001</v>
      </c>
      <c r="S52" s="17">
        <f t="shared" si="42"/>
        <v>1058178.598488</v>
      </c>
      <c r="T52" s="19">
        <f t="shared" si="6"/>
        <v>4930150.2884100005</v>
      </c>
      <c r="U52" s="19">
        <f t="shared" si="7"/>
        <v>936728.55479790014</v>
      </c>
      <c r="V52" s="19">
        <f t="shared" si="8"/>
        <v>5866878.8432079004</v>
      </c>
      <c r="X52" s="17">
        <f>3400319+549600</f>
        <v>3949919</v>
      </c>
      <c r="Y52" s="17">
        <v>0</v>
      </c>
      <c r="Z52" s="17">
        <v>0</v>
      </c>
      <c r="AA52" s="17">
        <v>0</v>
      </c>
      <c r="AB52" s="17">
        <v>0</v>
      </c>
      <c r="AC52" s="19">
        <f>SUM(X52:AB52)</f>
        <v>3949919</v>
      </c>
      <c r="AE52" s="28">
        <f t="shared" si="10"/>
        <v>-980231.2884100005</v>
      </c>
      <c r="AG52" s="33" t="s">
        <v>148</v>
      </c>
      <c r="AH52" s="28">
        <f t="shared" si="33"/>
        <v>-582987.09571999963</v>
      </c>
      <c r="AI52" s="28">
        <f t="shared" si="34"/>
        <v>336693.19042800006</v>
      </c>
      <c r="AJ52" s="37">
        <f t="shared" si="35"/>
        <v>168346.59521400003</v>
      </c>
      <c r="AK52" s="35">
        <f t="shared" si="36"/>
        <v>1058178.598488</v>
      </c>
      <c r="AL52" s="35">
        <f t="shared" si="37"/>
        <v>0</v>
      </c>
      <c r="AM52" s="28">
        <f t="shared" si="38"/>
        <v>980231.2884100005</v>
      </c>
      <c r="AO52" s="47" t="s">
        <v>123</v>
      </c>
    </row>
    <row r="53" spans="2:46" x14ac:dyDescent="0.25">
      <c r="B53" s="4" t="s">
        <v>56</v>
      </c>
      <c r="C53" s="4" t="s">
        <v>40</v>
      </c>
      <c r="D53" s="4">
        <v>2021</v>
      </c>
      <c r="E53" s="4">
        <v>81.540000000000006</v>
      </c>
      <c r="F53" s="14">
        <v>29613.26</v>
      </c>
      <c r="G53" s="16">
        <v>1.4</v>
      </c>
      <c r="H53" s="13">
        <f t="shared" si="43"/>
        <v>114.15600000000001</v>
      </c>
      <c r="I53" s="12">
        <f t="shared" si="44"/>
        <v>3380531.3085599998</v>
      </c>
      <c r="J53" s="11">
        <v>8.1000000000000003E-2</v>
      </c>
      <c r="K53" s="17">
        <f>17639195/1.19</f>
        <v>14822852.94117647</v>
      </c>
      <c r="L53" s="12">
        <f t="shared" si="45"/>
        <v>1200651.0882352942</v>
      </c>
      <c r="M53" s="10">
        <v>0.1</v>
      </c>
      <c r="N53" s="17">
        <f t="shared" si="39"/>
        <v>338053.130856</v>
      </c>
      <c r="O53" s="25">
        <v>0.05</v>
      </c>
      <c r="P53" s="17">
        <f t="shared" si="40"/>
        <v>169026.565428</v>
      </c>
      <c r="Q53" s="14">
        <v>0.44</v>
      </c>
      <c r="R53" s="14">
        <f t="shared" si="41"/>
        <v>35.877600000000001</v>
      </c>
      <c r="S53" s="17">
        <f t="shared" si="42"/>
        <v>1062452.696976</v>
      </c>
      <c r="T53" s="19">
        <f t="shared" si="6"/>
        <v>4950063.7018199991</v>
      </c>
      <c r="U53" s="19">
        <f t="shared" si="7"/>
        <v>940512.10334579984</v>
      </c>
      <c r="V53" s="19">
        <f t="shared" si="8"/>
        <v>5890575.8051657993</v>
      </c>
      <c r="X53" s="17">
        <f>4536418+549600</f>
        <v>5086018</v>
      </c>
      <c r="Y53" s="17">
        <v>0</v>
      </c>
      <c r="Z53" s="17">
        <v>0</v>
      </c>
      <c r="AA53" s="17">
        <v>0</v>
      </c>
      <c r="AB53" s="17">
        <v>0</v>
      </c>
      <c r="AC53" s="19">
        <f t="shared" ref="AC53:AC58" si="47">SUM(X53:AA53)</f>
        <v>5086018</v>
      </c>
      <c r="AE53" s="28">
        <f t="shared" si="10"/>
        <v>135954.29818000086</v>
      </c>
      <c r="AG53" s="33" t="s">
        <v>149</v>
      </c>
      <c r="AH53" s="28">
        <f t="shared" si="33"/>
        <v>-1705486.6914400002</v>
      </c>
      <c r="AI53" s="28">
        <f t="shared" si="34"/>
        <v>338053.130856</v>
      </c>
      <c r="AJ53" s="37">
        <f t="shared" si="35"/>
        <v>169026.565428</v>
      </c>
      <c r="AK53" s="35">
        <f t="shared" si="36"/>
        <v>1062452.696976</v>
      </c>
      <c r="AL53" s="35">
        <f t="shared" si="37"/>
        <v>0</v>
      </c>
      <c r="AM53" s="28">
        <f t="shared" si="38"/>
        <v>-135954.29818000039</v>
      </c>
      <c r="AO53" s="47" t="s">
        <v>122</v>
      </c>
    </row>
    <row r="54" spans="2:46" x14ac:dyDescent="0.25">
      <c r="B54" s="4" t="s">
        <v>56</v>
      </c>
      <c r="C54" s="4" t="s">
        <v>41</v>
      </c>
      <c r="D54" s="4">
        <v>2021</v>
      </c>
      <c r="E54" s="4">
        <v>81.540000000000006</v>
      </c>
      <c r="F54" s="14">
        <v>29709.83</v>
      </c>
      <c r="G54" s="16">
        <v>1.4</v>
      </c>
      <c r="H54" s="13">
        <f t="shared" si="43"/>
        <v>114.15600000000001</v>
      </c>
      <c r="I54" s="12">
        <f t="shared" si="44"/>
        <v>3391555.3534800005</v>
      </c>
      <c r="J54" s="11">
        <v>8.1000000000000003E-2</v>
      </c>
      <c r="K54" s="17">
        <f>26680415/1.19</f>
        <v>22420516.806722689</v>
      </c>
      <c r="L54" s="12">
        <f t="shared" si="45"/>
        <v>1816061.8613445379</v>
      </c>
      <c r="M54" s="10">
        <v>0.1</v>
      </c>
      <c r="N54" s="17">
        <f t="shared" si="39"/>
        <v>339155.53534800006</v>
      </c>
      <c r="O54" s="25">
        <v>0.05</v>
      </c>
      <c r="P54" s="17">
        <f t="shared" si="40"/>
        <v>169577.76767400003</v>
      </c>
      <c r="Q54" s="14">
        <v>0.44</v>
      </c>
      <c r="R54" s="14">
        <f t="shared" si="41"/>
        <v>35.877600000000001</v>
      </c>
      <c r="S54" s="17">
        <f t="shared" si="42"/>
        <v>1065917.396808</v>
      </c>
      <c r="T54" s="19">
        <f t="shared" si="6"/>
        <v>4966206.0533100003</v>
      </c>
      <c r="U54" s="19">
        <f t="shared" si="7"/>
        <v>943579.15012890007</v>
      </c>
      <c r="V54" s="19">
        <f t="shared" si="8"/>
        <v>5909785.2034389004</v>
      </c>
      <c r="X54" s="17">
        <f>4577057+549600</f>
        <v>5126657</v>
      </c>
      <c r="Y54" s="17">
        <v>0</v>
      </c>
      <c r="Z54" s="17">
        <v>0</v>
      </c>
      <c r="AA54" s="17">
        <v>0</v>
      </c>
      <c r="AB54" s="17">
        <v>0</v>
      </c>
      <c r="AC54" s="19">
        <f t="shared" si="47"/>
        <v>5126657</v>
      </c>
      <c r="AE54" s="28">
        <f t="shared" si="10"/>
        <v>160450.94668999966</v>
      </c>
      <c r="AG54" s="33" t="s">
        <v>150</v>
      </c>
      <c r="AH54" s="28">
        <f t="shared" si="33"/>
        <v>-1735101.6465199995</v>
      </c>
      <c r="AI54" s="28">
        <f t="shared" si="34"/>
        <v>339155.53534800006</v>
      </c>
      <c r="AJ54" s="37">
        <f t="shared" si="35"/>
        <v>169577.76767400003</v>
      </c>
      <c r="AK54" s="35">
        <f t="shared" si="36"/>
        <v>1065917.396808</v>
      </c>
      <c r="AL54" s="35">
        <f t="shared" si="37"/>
        <v>0</v>
      </c>
      <c r="AM54" s="28">
        <f t="shared" si="38"/>
        <v>-160450.94668999943</v>
      </c>
      <c r="AO54" s="47" t="s">
        <v>122</v>
      </c>
    </row>
    <row r="55" spans="2:46" x14ac:dyDescent="0.25">
      <c r="B55" s="4" t="s">
        <v>56</v>
      </c>
      <c r="C55" s="4" t="s">
        <v>42</v>
      </c>
      <c r="D55" s="4">
        <v>2021</v>
      </c>
      <c r="E55" s="4">
        <v>81.540000000000006</v>
      </c>
      <c r="F55" s="14">
        <v>29757.64</v>
      </c>
      <c r="G55" s="16">
        <v>1.4</v>
      </c>
      <c r="H55" s="13">
        <f t="shared" si="43"/>
        <v>114.15600000000001</v>
      </c>
      <c r="I55" s="12">
        <f t="shared" si="44"/>
        <v>3397013.1518399999</v>
      </c>
      <c r="J55" s="11">
        <v>8.1000000000000003E-2</v>
      </c>
      <c r="K55" s="17">
        <f>34179195/1.19</f>
        <v>28722012.605042018</v>
      </c>
      <c r="L55" s="12">
        <f t="shared" si="45"/>
        <v>2326483.0210084035</v>
      </c>
      <c r="M55" s="10">
        <v>0.1</v>
      </c>
      <c r="N55" s="17">
        <f t="shared" si="39"/>
        <v>339701.31518400001</v>
      </c>
      <c r="O55" s="25">
        <v>0.05</v>
      </c>
      <c r="P55" s="17">
        <f t="shared" si="40"/>
        <v>169850.657592</v>
      </c>
      <c r="Q55" s="14">
        <v>0.44</v>
      </c>
      <c r="R55" s="14">
        <f t="shared" si="41"/>
        <v>35.877600000000001</v>
      </c>
      <c r="S55" s="17">
        <f t="shared" si="42"/>
        <v>1067632.704864</v>
      </c>
      <c r="T55" s="19">
        <f t="shared" si="6"/>
        <v>4974197.8294799998</v>
      </c>
      <c r="U55" s="19">
        <f t="shared" si="7"/>
        <v>945097.58760119998</v>
      </c>
      <c r="V55" s="19">
        <f t="shared" si="8"/>
        <v>5919295.4170811996</v>
      </c>
      <c r="X55" s="17">
        <f>4573889+549600</f>
        <v>5123489</v>
      </c>
      <c r="Y55" s="17">
        <v>0</v>
      </c>
      <c r="Z55" s="17">
        <v>0</v>
      </c>
      <c r="AA55" s="17">
        <v>0</v>
      </c>
      <c r="AB55" s="17">
        <v>0</v>
      </c>
      <c r="AC55" s="19">
        <f t="shared" si="47"/>
        <v>5123489</v>
      </c>
      <c r="AE55" s="28">
        <f t="shared" si="10"/>
        <v>149291.17052000016</v>
      </c>
      <c r="AG55" s="33" t="s">
        <v>150</v>
      </c>
      <c r="AH55" s="28">
        <f t="shared" si="33"/>
        <v>-1726475.8481600001</v>
      </c>
      <c r="AI55" s="28">
        <f t="shared" si="34"/>
        <v>339701.31518400001</v>
      </c>
      <c r="AJ55" s="37">
        <f t="shared" si="35"/>
        <v>169850.657592</v>
      </c>
      <c r="AK55" s="35">
        <f t="shared" si="36"/>
        <v>1067632.704864</v>
      </c>
      <c r="AL55" s="35">
        <f t="shared" si="37"/>
        <v>0</v>
      </c>
      <c r="AM55" s="28">
        <f t="shared" si="38"/>
        <v>-149291.17052000016</v>
      </c>
      <c r="AO55" s="47" t="s">
        <v>122</v>
      </c>
    </row>
    <row r="56" spans="2:46" x14ac:dyDescent="0.25">
      <c r="B56" s="4" t="s">
        <v>56</v>
      </c>
      <c r="C56" s="4" t="s">
        <v>43</v>
      </c>
      <c r="D56" s="4">
        <v>2021</v>
      </c>
      <c r="E56" s="4">
        <v>81.540000000000006</v>
      </c>
      <c r="F56" s="14">
        <v>29935.08</v>
      </c>
      <c r="G56" s="16">
        <v>1.4</v>
      </c>
      <c r="H56" s="13">
        <f t="shared" si="43"/>
        <v>114.15600000000001</v>
      </c>
      <c r="I56" s="12">
        <f t="shared" si="44"/>
        <v>3417268.9924800005</v>
      </c>
      <c r="J56" s="11">
        <v>8.1000000000000003E-2</v>
      </c>
      <c r="K56" s="17">
        <f>32636975/1.19</f>
        <v>27426029.411764707</v>
      </c>
      <c r="L56" s="12">
        <f t="shared" si="45"/>
        <v>2221508.3823529412</v>
      </c>
      <c r="M56" s="10">
        <v>0.1</v>
      </c>
      <c r="N56" s="17">
        <f t="shared" si="39"/>
        <v>341726.89924800006</v>
      </c>
      <c r="O56" s="25">
        <v>0.05</v>
      </c>
      <c r="P56" s="17">
        <f t="shared" si="40"/>
        <v>170863.44962400003</v>
      </c>
      <c r="Q56" s="14">
        <v>0.44</v>
      </c>
      <c r="R56" s="14">
        <f t="shared" si="41"/>
        <v>35.877600000000001</v>
      </c>
      <c r="S56" s="17">
        <f t="shared" si="42"/>
        <v>1073998.8262080001</v>
      </c>
      <c r="T56" s="19">
        <f t="shared" si="6"/>
        <v>5003858.1675600009</v>
      </c>
      <c r="U56" s="19">
        <f t="shared" si="7"/>
        <v>950733.05183640018</v>
      </c>
      <c r="V56" s="19">
        <f t="shared" si="8"/>
        <v>5954591.2193964012</v>
      </c>
      <c r="X56" s="17">
        <f>4601947+549600</f>
        <v>5151547</v>
      </c>
      <c r="Y56" s="17">
        <v>0</v>
      </c>
      <c r="Z56" s="17">
        <v>0</v>
      </c>
      <c r="AA56" s="17">
        <v>0</v>
      </c>
      <c r="AB56" s="17">
        <v>0</v>
      </c>
      <c r="AC56" s="19">
        <f t="shared" si="47"/>
        <v>5151547</v>
      </c>
      <c r="AE56" s="28">
        <f t="shared" si="10"/>
        <v>147688.8324399991</v>
      </c>
      <c r="AG56" s="33" t="s">
        <v>150</v>
      </c>
      <c r="AH56" s="28">
        <f t="shared" si="33"/>
        <v>-1734278.0075199995</v>
      </c>
      <c r="AI56" s="28">
        <f t="shared" si="34"/>
        <v>341726.89924800006</v>
      </c>
      <c r="AJ56" s="37">
        <f t="shared" si="35"/>
        <v>170863.44962400003</v>
      </c>
      <c r="AK56" s="35">
        <f t="shared" si="36"/>
        <v>1073998.8262080001</v>
      </c>
      <c r="AL56" s="35">
        <f t="shared" si="37"/>
        <v>0</v>
      </c>
      <c r="AM56" s="28">
        <f t="shared" si="38"/>
        <v>-147688.83243999933</v>
      </c>
      <c r="AO56" s="47" t="s">
        <v>122</v>
      </c>
    </row>
    <row r="57" spans="2:46" x14ac:dyDescent="0.25">
      <c r="B57" s="4" t="s">
        <v>56</v>
      </c>
      <c r="C57" s="4" t="s">
        <v>44</v>
      </c>
      <c r="D57" s="4">
        <v>2021</v>
      </c>
      <c r="E57" s="4">
        <v>81.540000000000006</v>
      </c>
      <c r="F57" s="14">
        <v>30088.37</v>
      </c>
      <c r="G57" s="16">
        <v>1.4</v>
      </c>
      <c r="H57" s="13">
        <f t="shared" si="43"/>
        <v>114.15600000000001</v>
      </c>
      <c r="I57" s="12">
        <f t="shared" si="44"/>
        <v>3434767.9657200002</v>
      </c>
      <c r="J57" s="11">
        <v>8.1000000000000003E-2</v>
      </c>
      <c r="K57" s="17">
        <f>32799090/1.19</f>
        <v>27562260.50420168</v>
      </c>
      <c r="L57" s="12">
        <f t="shared" si="45"/>
        <v>2232543.1008403362</v>
      </c>
      <c r="M57" s="10">
        <v>0.1</v>
      </c>
      <c r="N57" s="17">
        <f t="shared" si="39"/>
        <v>343476.79657200002</v>
      </c>
      <c r="O57" s="25">
        <v>0.05</v>
      </c>
      <c r="P57" s="17">
        <f t="shared" si="40"/>
        <v>171738.39828600001</v>
      </c>
      <c r="Q57" s="14">
        <v>0.44</v>
      </c>
      <c r="R57" s="14">
        <f t="shared" si="41"/>
        <v>35.877600000000001</v>
      </c>
      <c r="S57" s="17">
        <f t="shared" si="42"/>
        <v>1079498.503512</v>
      </c>
      <c r="T57" s="19">
        <f t="shared" si="6"/>
        <v>5029481.6640900001</v>
      </c>
      <c r="U57" s="19">
        <f t="shared" si="7"/>
        <v>955601.51617710001</v>
      </c>
      <c r="V57" s="19">
        <f t="shared" si="8"/>
        <v>5985083.1802671002</v>
      </c>
      <c r="X57" s="17">
        <f>4673570+549600</f>
        <v>5223170</v>
      </c>
      <c r="Y57" s="17">
        <v>0</v>
      </c>
      <c r="Z57" s="17">
        <v>0</v>
      </c>
      <c r="AA57" s="17">
        <v>0</v>
      </c>
      <c r="AB57" s="17">
        <v>0</v>
      </c>
      <c r="AC57" s="19">
        <f t="shared" si="47"/>
        <v>5223170</v>
      </c>
      <c r="AE57" s="28">
        <f t="shared" si="10"/>
        <v>193688.33590999991</v>
      </c>
      <c r="AG57" s="33" t="s">
        <v>150</v>
      </c>
      <c r="AH57" s="28">
        <f t="shared" si="33"/>
        <v>-1788402.0342799998</v>
      </c>
      <c r="AI57" s="28">
        <f t="shared" si="34"/>
        <v>343476.79657200002</v>
      </c>
      <c r="AJ57" s="37">
        <f t="shared" si="35"/>
        <v>171738.39828600001</v>
      </c>
      <c r="AK57" s="35">
        <f t="shared" si="36"/>
        <v>1079498.503512</v>
      </c>
      <c r="AL57" s="35">
        <f t="shared" si="37"/>
        <v>0</v>
      </c>
      <c r="AM57" s="28">
        <f t="shared" si="38"/>
        <v>-193688.33590999967</v>
      </c>
      <c r="AO57" s="47" t="s">
        <v>122</v>
      </c>
    </row>
    <row r="58" spans="2:46" x14ac:dyDescent="0.25">
      <c r="B58" s="4" t="s">
        <v>56</v>
      </c>
      <c r="C58" s="4" t="s">
        <v>45</v>
      </c>
      <c r="D58" s="4">
        <v>2021</v>
      </c>
      <c r="E58" s="4">
        <v>81.540000000000006</v>
      </c>
      <c r="F58" s="14">
        <v>30380.53</v>
      </c>
      <c r="G58" s="16">
        <v>1.4</v>
      </c>
      <c r="H58" s="13">
        <f t="shared" ref="H58" si="48">G58*E58</f>
        <v>114.15600000000001</v>
      </c>
      <c r="I58" s="12">
        <f t="shared" ref="I58" si="49">H58*F58</f>
        <v>3468119.7826800002</v>
      </c>
      <c r="J58" s="11">
        <v>8.1000000000000003E-2</v>
      </c>
      <c r="K58" s="17">
        <f>39838657/1.19</f>
        <v>33477863.025210086</v>
      </c>
      <c r="L58" s="12">
        <f t="shared" ref="L58" si="50">J58*K58</f>
        <v>2711706.9050420169</v>
      </c>
      <c r="M58" s="10">
        <v>0.1</v>
      </c>
      <c r="N58" s="17">
        <f t="shared" si="39"/>
        <v>346811.97826800006</v>
      </c>
      <c r="O58" s="25">
        <v>0.05</v>
      </c>
      <c r="P58" s="17">
        <f t="shared" si="40"/>
        <v>173405.98913400003</v>
      </c>
      <c r="Q58" s="14">
        <v>0.44</v>
      </c>
      <c r="R58" s="14">
        <f t="shared" si="41"/>
        <v>35.877600000000001</v>
      </c>
      <c r="S58" s="17">
        <f t="shared" si="42"/>
        <v>1089980.5031280001</v>
      </c>
      <c r="T58" s="19">
        <f t="shared" si="6"/>
        <v>5078318.2532100007</v>
      </c>
      <c r="U58" s="19">
        <f t="shared" si="7"/>
        <v>964880.46810990013</v>
      </c>
      <c r="V58" s="19">
        <f t="shared" si="8"/>
        <v>6043198.7213199008</v>
      </c>
      <c r="X58" s="39"/>
      <c r="Y58" s="39"/>
      <c r="Z58" s="39"/>
      <c r="AA58" s="39"/>
      <c r="AB58" s="39"/>
      <c r="AC58" s="44">
        <f t="shared" si="47"/>
        <v>0</v>
      </c>
      <c r="AE58" s="28">
        <f t="shared" si="10"/>
        <v>-5078318.2532100007</v>
      </c>
      <c r="AG58" s="33" t="s">
        <v>136</v>
      </c>
      <c r="AH58" s="28">
        <f t="shared" si="33"/>
        <v>3468119.7826800002</v>
      </c>
      <c r="AI58" s="28">
        <f t="shared" si="34"/>
        <v>346811.97826800006</v>
      </c>
      <c r="AJ58" s="37">
        <f t="shared" si="35"/>
        <v>173405.98913400003</v>
      </c>
      <c r="AK58" s="35">
        <f t="shared" si="36"/>
        <v>1089980.5031280001</v>
      </c>
      <c r="AL58" s="35">
        <f t="shared" si="37"/>
        <v>0</v>
      </c>
      <c r="AM58" s="28">
        <f t="shared" si="38"/>
        <v>5078318.2532100007</v>
      </c>
      <c r="AO58" s="47" t="s">
        <v>124</v>
      </c>
    </row>
    <row r="59" spans="2:46" x14ac:dyDescent="0.25">
      <c r="B59" s="4" t="s">
        <v>66</v>
      </c>
      <c r="C59" s="4" t="s">
        <v>28</v>
      </c>
      <c r="D59" s="4">
        <v>2020</v>
      </c>
      <c r="E59" s="4">
        <v>60</v>
      </c>
      <c r="F59" s="14">
        <v>29070.33</v>
      </c>
      <c r="G59" s="16">
        <v>1</v>
      </c>
      <c r="H59" s="13">
        <f t="shared" ref="H59" si="51">G59*E59</f>
        <v>60</v>
      </c>
      <c r="I59" s="12">
        <f t="shared" ref="I59" si="52">H59*F59</f>
        <v>1744219.8</v>
      </c>
      <c r="J59" s="11">
        <v>8.1000000000000003E-2</v>
      </c>
      <c r="K59" s="17">
        <f>15356748/1.19</f>
        <v>12904830.25210084</v>
      </c>
      <c r="L59" s="12">
        <f t="shared" ref="L59" si="53">J59*K59</f>
        <v>1045291.250420168</v>
      </c>
      <c r="M59" s="10">
        <v>0.1</v>
      </c>
      <c r="N59" s="17">
        <f t="shared" si="39"/>
        <v>174421.98</v>
      </c>
      <c r="O59" s="25">
        <v>0.05</v>
      </c>
      <c r="P59" s="17">
        <f t="shared" si="40"/>
        <v>87210.99</v>
      </c>
      <c r="Q59" s="14">
        <v>0.52</v>
      </c>
      <c r="R59" s="14">
        <f t="shared" si="41"/>
        <v>31.200000000000003</v>
      </c>
      <c r="S59" s="17">
        <f t="shared" si="42"/>
        <v>906994.29600000009</v>
      </c>
      <c r="T59" s="19">
        <f>IF(I59&gt;L59,I59,L59)+N59+P59+S59</f>
        <v>2912847.0660000001</v>
      </c>
      <c r="U59" s="19">
        <f t="shared" si="7"/>
        <v>553440.94254000008</v>
      </c>
      <c r="V59" s="19">
        <f t="shared" ref="V59" si="54">T59+U59</f>
        <v>3466288.0085400003</v>
      </c>
      <c r="W59" s="26"/>
      <c r="X59" s="17">
        <v>1746918</v>
      </c>
      <c r="Y59" s="17">
        <v>174692</v>
      </c>
      <c r="Z59" s="17">
        <v>45333</v>
      </c>
      <c r="AA59" s="17">
        <v>906650</v>
      </c>
      <c r="AB59" s="17">
        <f>58231-873459</f>
        <v>-815228</v>
      </c>
      <c r="AC59" s="19">
        <f t="shared" ref="AC59:AC66" si="55">SUM(X59:AB59)</f>
        <v>2058365</v>
      </c>
      <c r="AE59" s="28">
        <f t="shared" si="10"/>
        <v>-854482.06600000011</v>
      </c>
      <c r="AG59" s="38" t="s">
        <v>151</v>
      </c>
      <c r="AH59" s="28">
        <f t="shared" ref="AH59:AH69" si="56">IF(I59&gt;L59,I59,L59)-X59</f>
        <v>-2698.1999999999534</v>
      </c>
      <c r="AI59" s="28">
        <f>N59-Y59</f>
        <v>-270.01999999998952</v>
      </c>
      <c r="AJ59" s="36">
        <f>P59-Z59</f>
        <v>41877.990000000005</v>
      </c>
      <c r="AK59" s="35">
        <f>S59-AA59</f>
        <v>344.29600000008941</v>
      </c>
      <c r="AL59" s="35">
        <f>0-AB59</f>
        <v>815228</v>
      </c>
      <c r="AM59" s="28">
        <f>SUM(AH59:AL59)</f>
        <v>854482.06600000011</v>
      </c>
      <c r="AN59" s="26">
        <f t="shared" ref="AN59:AN69" si="57">AE59+AM59</f>
        <v>0</v>
      </c>
      <c r="AO59" s="47" t="s">
        <v>121</v>
      </c>
      <c r="AQ59" s="26"/>
      <c r="AT59" s="46"/>
    </row>
    <row r="60" spans="2:46" x14ac:dyDescent="0.25">
      <c r="B60" s="4" t="s">
        <v>66</v>
      </c>
      <c r="C60" s="4" t="s">
        <v>27</v>
      </c>
      <c r="D60" s="4">
        <v>2021</v>
      </c>
      <c r="E60" s="4">
        <v>60</v>
      </c>
      <c r="F60" s="14">
        <v>29123.74</v>
      </c>
      <c r="G60" s="16">
        <v>1</v>
      </c>
      <c r="H60" s="13">
        <f t="shared" ref="H60:H70" si="58">G60*E60</f>
        <v>60</v>
      </c>
      <c r="I60" s="12">
        <f t="shared" ref="I60:I69" si="59">H60*F60</f>
        <v>1747424.4000000001</v>
      </c>
      <c r="J60" s="11">
        <v>8.1000000000000003E-2</v>
      </c>
      <c r="K60" s="17">
        <f>9568663/1.19</f>
        <v>8040893.2773109246</v>
      </c>
      <c r="L60" s="12">
        <f t="shared" ref="L60:L69" si="60">J60*K60</f>
        <v>651312.35546218487</v>
      </c>
      <c r="M60" s="10">
        <v>0.1</v>
      </c>
      <c r="N60" s="17">
        <f t="shared" si="39"/>
        <v>174742.44000000003</v>
      </c>
      <c r="O60" s="25">
        <v>0.05</v>
      </c>
      <c r="P60" s="17">
        <f t="shared" si="40"/>
        <v>87371.220000000016</v>
      </c>
      <c r="Q60" s="14">
        <v>0.52</v>
      </c>
      <c r="R60" s="14">
        <f t="shared" si="41"/>
        <v>31.200000000000003</v>
      </c>
      <c r="S60" s="17">
        <f t="shared" si="42"/>
        <v>908660.68800000008</v>
      </c>
      <c r="T60" s="19">
        <f t="shared" ref="T60:T69" si="61">IF(I60&gt;L60,I60,L60)+N60+P60+S60</f>
        <v>2918198.7480000001</v>
      </c>
      <c r="U60" s="19">
        <f t="shared" si="7"/>
        <v>554457.76212000009</v>
      </c>
      <c r="V60" s="19">
        <f t="shared" ref="V60:V69" si="62">T60+U60</f>
        <v>3472656.5101200002</v>
      </c>
      <c r="X60" s="17">
        <v>1746918</v>
      </c>
      <c r="Y60" s="17">
        <v>174692</v>
      </c>
      <c r="Z60" s="17">
        <v>45368</v>
      </c>
      <c r="AA60" s="17">
        <v>907351</v>
      </c>
      <c r="AB60" s="17">
        <f>-349384-349383</f>
        <v>-698767</v>
      </c>
      <c r="AC60" s="19">
        <f t="shared" si="55"/>
        <v>2175562</v>
      </c>
      <c r="AE60" s="28">
        <f t="shared" si="10"/>
        <v>-742636.74800000014</v>
      </c>
      <c r="AG60" s="38" t="s">
        <v>155</v>
      </c>
      <c r="AH60" s="28">
        <f t="shared" si="56"/>
        <v>506.4000000001397</v>
      </c>
      <c r="AI60" s="28">
        <f t="shared" ref="AI60:AI69" si="63">N60-Y60</f>
        <v>50.440000000031432</v>
      </c>
      <c r="AJ60" s="36">
        <f t="shared" ref="AJ60:AJ69" si="64">P60-Z60</f>
        <v>42003.220000000016</v>
      </c>
      <c r="AK60" s="35">
        <f t="shared" ref="AK60:AK69" si="65">S60-AA60</f>
        <v>1309.688000000082</v>
      </c>
      <c r="AL60" s="35">
        <f t="shared" ref="AL60:AL69" si="66">0-AB60</f>
        <v>698767</v>
      </c>
      <c r="AM60" s="28">
        <f t="shared" ref="AM60:AM69" si="67">SUM(AH60:AL60)</f>
        <v>742636.74800000025</v>
      </c>
      <c r="AN60" s="26">
        <f t="shared" si="57"/>
        <v>0</v>
      </c>
      <c r="AO60" s="47" t="s">
        <v>121</v>
      </c>
      <c r="AQ60" s="26"/>
      <c r="AT60" s="46"/>
    </row>
    <row r="61" spans="2:46" x14ac:dyDescent="0.25">
      <c r="B61" s="4" t="s">
        <v>66</v>
      </c>
      <c r="C61" s="4" t="s">
        <v>37</v>
      </c>
      <c r="D61" s="4">
        <v>2021</v>
      </c>
      <c r="E61" s="4">
        <v>60</v>
      </c>
      <c r="F61" s="14">
        <v>29287.38</v>
      </c>
      <c r="G61" s="16">
        <v>1</v>
      </c>
      <c r="H61" s="13">
        <f t="shared" si="58"/>
        <v>60</v>
      </c>
      <c r="I61" s="12">
        <f t="shared" si="59"/>
        <v>1757242.8</v>
      </c>
      <c r="J61" s="11">
        <v>8.1000000000000003E-2</v>
      </c>
      <c r="K61" s="17">
        <f>9158602/1.19</f>
        <v>7696304.2016806724</v>
      </c>
      <c r="L61" s="12">
        <f t="shared" si="60"/>
        <v>623400.64033613447</v>
      </c>
      <c r="M61" s="10">
        <v>0.1</v>
      </c>
      <c r="N61" s="17">
        <f t="shared" si="39"/>
        <v>175724.28000000003</v>
      </c>
      <c r="O61" s="25">
        <v>0.05</v>
      </c>
      <c r="P61" s="17">
        <f t="shared" si="40"/>
        <v>87862.140000000014</v>
      </c>
      <c r="Q61" s="14">
        <v>0.52</v>
      </c>
      <c r="R61" s="14">
        <f t="shared" si="41"/>
        <v>31.200000000000003</v>
      </c>
      <c r="S61" s="17">
        <f t="shared" si="42"/>
        <v>913766.25600000017</v>
      </c>
      <c r="T61" s="19">
        <f t="shared" si="61"/>
        <v>2934595.4760000003</v>
      </c>
      <c r="U61" s="19">
        <f t="shared" si="7"/>
        <v>557573.1404400001</v>
      </c>
      <c r="V61" s="19">
        <f t="shared" si="62"/>
        <v>3492168.6164400005</v>
      </c>
      <c r="X61" s="17">
        <v>1748269</v>
      </c>
      <c r="Y61" s="17">
        <v>174827</v>
      </c>
      <c r="Z61" s="17">
        <v>45898</v>
      </c>
      <c r="AA61" s="17">
        <v>917959</v>
      </c>
      <c r="AB61" s="17">
        <f>-52448-349654-349654</f>
        <v>-751756</v>
      </c>
      <c r="AC61" s="19">
        <f t="shared" si="55"/>
        <v>2135197</v>
      </c>
      <c r="AE61" s="28">
        <f>AC61-T61</f>
        <v>-799398.47600000026</v>
      </c>
      <c r="AG61" s="38" t="s">
        <v>156</v>
      </c>
      <c r="AH61" s="28">
        <f t="shared" si="56"/>
        <v>8973.8000000000466</v>
      </c>
      <c r="AI61" s="28">
        <f t="shared" si="63"/>
        <v>897.28000000002794</v>
      </c>
      <c r="AJ61" s="36">
        <f t="shared" si="64"/>
        <v>41964.140000000014</v>
      </c>
      <c r="AK61" s="35">
        <f t="shared" si="65"/>
        <v>-4192.7439999998314</v>
      </c>
      <c r="AL61" s="35">
        <f t="shared" si="66"/>
        <v>751756</v>
      </c>
      <c r="AM61" s="28">
        <f t="shared" si="67"/>
        <v>799398.47600000026</v>
      </c>
      <c r="AN61" s="26">
        <f t="shared" si="57"/>
        <v>0</v>
      </c>
      <c r="AO61" s="47" t="s">
        <v>121</v>
      </c>
      <c r="AQ61" s="26"/>
      <c r="AT61" s="46"/>
    </row>
    <row r="62" spans="2:46" x14ac:dyDescent="0.25">
      <c r="B62" s="4" t="s">
        <v>66</v>
      </c>
      <c r="C62" s="4" t="s">
        <v>38</v>
      </c>
      <c r="D62" s="4">
        <v>2021</v>
      </c>
      <c r="E62" s="4">
        <v>60</v>
      </c>
      <c r="F62" s="14">
        <v>29394.77</v>
      </c>
      <c r="G62" s="16">
        <v>1</v>
      </c>
      <c r="H62" s="13">
        <f t="shared" si="58"/>
        <v>60</v>
      </c>
      <c r="I62" s="12">
        <f t="shared" si="59"/>
        <v>1763686.2</v>
      </c>
      <c r="J62" s="11">
        <v>8.1000000000000003E-2</v>
      </c>
      <c r="K62" s="17">
        <f>4919385/1.19</f>
        <v>4133936.9747899161</v>
      </c>
      <c r="L62" s="12">
        <f t="shared" si="60"/>
        <v>334848.89495798323</v>
      </c>
      <c r="M62" s="10">
        <v>0.1</v>
      </c>
      <c r="N62" s="17">
        <f t="shared" si="39"/>
        <v>176368.62</v>
      </c>
      <c r="O62" s="25">
        <v>0.05</v>
      </c>
      <c r="P62" s="17">
        <f t="shared" si="40"/>
        <v>88184.31</v>
      </c>
      <c r="Q62" s="14">
        <v>0.52</v>
      </c>
      <c r="R62" s="14">
        <f t="shared" si="41"/>
        <v>31.200000000000003</v>
      </c>
      <c r="S62" s="17">
        <f t="shared" si="42"/>
        <v>917116.82400000014</v>
      </c>
      <c r="T62" s="19">
        <f t="shared" si="61"/>
        <v>2945355.9539999999</v>
      </c>
      <c r="U62" s="19">
        <f t="shared" si="7"/>
        <v>559617.63125999994</v>
      </c>
      <c r="V62" s="19">
        <f t="shared" si="62"/>
        <v>3504973.5852600001</v>
      </c>
      <c r="X62" s="17">
        <f>1517744+250962</f>
        <v>1768706</v>
      </c>
      <c r="Y62" s="17">
        <v>176871</v>
      </c>
      <c r="Z62" s="17">
        <v>45694</v>
      </c>
      <c r="AA62" s="17">
        <v>913884</v>
      </c>
      <c r="AB62" s="17">
        <f>-53061-884353</f>
        <v>-937414</v>
      </c>
      <c r="AC62" s="19">
        <f t="shared" si="55"/>
        <v>1967741</v>
      </c>
      <c r="AE62" s="28">
        <f t="shared" ref="AE62:AE72" si="68">AC62-T62</f>
        <v>-977614.95399999991</v>
      </c>
      <c r="AG62" s="38" t="s">
        <v>157</v>
      </c>
      <c r="AH62" s="28">
        <f t="shared" si="56"/>
        <v>-5019.8000000000466</v>
      </c>
      <c r="AI62" s="28">
        <f t="shared" si="63"/>
        <v>-502.38000000000466</v>
      </c>
      <c r="AJ62" s="36">
        <f t="shared" si="64"/>
        <v>42490.31</v>
      </c>
      <c r="AK62" s="35">
        <f t="shared" si="65"/>
        <v>3232.8240000001388</v>
      </c>
      <c r="AL62" s="35">
        <f t="shared" si="66"/>
        <v>937414</v>
      </c>
      <c r="AM62" s="28">
        <f t="shared" si="67"/>
        <v>977614.95400000014</v>
      </c>
      <c r="AN62" s="26">
        <f t="shared" si="57"/>
        <v>0</v>
      </c>
      <c r="AO62" s="47" t="s">
        <v>121</v>
      </c>
      <c r="AQ62" s="26"/>
      <c r="AT62" s="46"/>
    </row>
    <row r="63" spans="2:46" x14ac:dyDescent="0.25">
      <c r="B63" s="4" t="s">
        <v>66</v>
      </c>
      <c r="C63" s="4" t="s">
        <v>39</v>
      </c>
      <c r="D63" s="4">
        <v>2021</v>
      </c>
      <c r="E63" s="4">
        <v>60</v>
      </c>
      <c r="F63" s="14">
        <v>29494.13</v>
      </c>
      <c r="G63" s="16">
        <v>1</v>
      </c>
      <c r="H63" s="13">
        <f t="shared" si="58"/>
        <v>60</v>
      </c>
      <c r="I63" s="12">
        <f t="shared" si="59"/>
        <v>1769647.8</v>
      </c>
      <c r="J63" s="11">
        <v>8.1000000000000003E-2</v>
      </c>
      <c r="K63" s="17">
        <v>0</v>
      </c>
      <c r="L63" s="12">
        <f t="shared" si="60"/>
        <v>0</v>
      </c>
      <c r="M63" s="10">
        <v>0.1</v>
      </c>
      <c r="N63" s="17">
        <f t="shared" si="39"/>
        <v>176964.78000000003</v>
      </c>
      <c r="O63" s="25">
        <v>0.05</v>
      </c>
      <c r="P63" s="17">
        <f t="shared" si="40"/>
        <v>88482.390000000014</v>
      </c>
      <c r="Q63" s="14">
        <v>0.52</v>
      </c>
      <c r="R63" s="14">
        <f t="shared" si="41"/>
        <v>31.200000000000003</v>
      </c>
      <c r="S63" s="17">
        <f t="shared" si="42"/>
        <v>920216.85600000015</v>
      </c>
      <c r="T63" s="19">
        <f t="shared" si="61"/>
        <v>2955311.8260000004</v>
      </c>
      <c r="U63" s="19">
        <f t="shared" si="7"/>
        <v>561509.2469400001</v>
      </c>
      <c r="V63" s="19">
        <f t="shared" si="62"/>
        <v>3516821.0729400003</v>
      </c>
      <c r="X63" s="17">
        <f>1518215+250962</f>
        <v>1769177</v>
      </c>
      <c r="Y63" s="17">
        <v>176460</v>
      </c>
      <c r="Z63" s="17">
        <v>45965</v>
      </c>
      <c r="AA63" s="17">
        <v>919903</v>
      </c>
      <c r="AB63" s="17">
        <f>-123522-183861-9193-1769177</f>
        <v>-2085753</v>
      </c>
      <c r="AC63" s="19">
        <f t="shared" si="55"/>
        <v>825752</v>
      </c>
      <c r="AE63" s="28">
        <f t="shared" si="68"/>
        <v>-2129559.8260000004</v>
      </c>
      <c r="AG63" s="38" t="s">
        <v>158</v>
      </c>
      <c r="AH63" s="28">
        <f t="shared" si="56"/>
        <v>470.80000000004657</v>
      </c>
      <c r="AI63" s="28">
        <f t="shared" si="63"/>
        <v>504.78000000002794</v>
      </c>
      <c r="AJ63" s="36">
        <f t="shared" si="64"/>
        <v>42517.390000000014</v>
      </c>
      <c r="AK63" s="35">
        <f t="shared" si="65"/>
        <v>313.85600000014529</v>
      </c>
      <c r="AL63" s="35">
        <f t="shared" si="66"/>
        <v>2085753</v>
      </c>
      <c r="AM63" s="28">
        <f t="shared" si="67"/>
        <v>2129559.8260000004</v>
      </c>
      <c r="AN63" s="26">
        <f t="shared" si="57"/>
        <v>0</v>
      </c>
      <c r="AO63" s="47" t="s">
        <v>121</v>
      </c>
      <c r="AQ63" s="26"/>
      <c r="AT63" s="46"/>
    </row>
    <row r="64" spans="2:46" x14ac:dyDescent="0.25">
      <c r="B64" s="4" t="s">
        <v>66</v>
      </c>
      <c r="C64" s="4" t="s">
        <v>40</v>
      </c>
      <c r="D64" s="4">
        <v>2021</v>
      </c>
      <c r="E64" s="4">
        <v>60</v>
      </c>
      <c r="F64" s="14">
        <v>29613.26</v>
      </c>
      <c r="G64" s="16">
        <v>1</v>
      </c>
      <c r="H64" s="13">
        <f t="shared" si="58"/>
        <v>60</v>
      </c>
      <c r="I64" s="12">
        <f t="shared" si="59"/>
        <v>1776795.5999999999</v>
      </c>
      <c r="J64" s="11">
        <v>8.1000000000000003E-2</v>
      </c>
      <c r="K64" s="17">
        <f>6066079/1.19</f>
        <v>5097545.3781512603</v>
      </c>
      <c r="L64" s="12">
        <f t="shared" si="60"/>
        <v>412901.17563025211</v>
      </c>
      <c r="M64" s="10">
        <v>0.1</v>
      </c>
      <c r="N64" s="17">
        <f t="shared" si="39"/>
        <v>177679.56</v>
      </c>
      <c r="O64" s="25">
        <v>0.05</v>
      </c>
      <c r="P64" s="17">
        <f t="shared" si="40"/>
        <v>88839.78</v>
      </c>
      <c r="Q64" s="14">
        <v>0.52</v>
      </c>
      <c r="R64" s="14">
        <f t="shared" si="41"/>
        <v>31.200000000000003</v>
      </c>
      <c r="S64" s="17">
        <f t="shared" si="42"/>
        <v>923933.71200000006</v>
      </c>
      <c r="T64" s="19">
        <f t="shared" si="61"/>
        <v>2967248.6519999998</v>
      </c>
      <c r="U64" s="19">
        <f t="shared" si="7"/>
        <v>563777.24387999997</v>
      </c>
      <c r="V64" s="19">
        <f t="shared" si="62"/>
        <v>3531025.8958799997</v>
      </c>
      <c r="X64" s="17">
        <v>1775652</v>
      </c>
      <c r="Y64" s="17">
        <v>177130</v>
      </c>
      <c r="Z64" s="17">
        <v>46155</v>
      </c>
      <c r="AA64" s="17">
        <v>923107</v>
      </c>
      <c r="AB64" s="17">
        <f>-88565-1154174-183198-9160</f>
        <v>-1435097</v>
      </c>
      <c r="AC64" s="19">
        <f t="shared" si="55"/>
        <v>1486947</v>
      </c>
      <c r="AE64" s="28">
        <f t="shared" si="68"/>
        <v>-1480301.6519999998</v>
      </c>
      <c r="AG64" s="38" t="s">
        <v>159</v>
      </c>
      <c r="AH64" s="28">
        <f t="shared" si="56"/>
        <v>1143.5999999998603</v>
      </c>
      <c r="AI64" s="28">
        <f t="shared" si="63"/>
        <v>549.55999999999767</v>
      </c>
      <c r="AJ64" s="36">
        <f t="shared" si="64"/>
        <v>42684.78</v>
      </c>
      <c r="AK64" s="35">
        <f t="shared" si="65"/>
        <v>826.71200000005774</v>
      </c>
      <c r="AL64" s="35">
        <f t="shared" si="66"/>
        <v>1435097</v>
      </c>
      <c r="AM64" s="28">
        <f t="shared" si="67"/>
        <v>1480301.652</v>
      </c>
      <c r="AN64" s="26">
        <f t="shared" si="57"/>
        <v>0</v>
      </c>
      <c r="AO64" s="47" t="s">
        <v>121</v>
      </c>
      <c r="AQ64" s="26"/>
      <c r="AT64" s="46"/>
    </row>
    <row r="65" spans="2:46" x14ac:dyDescent="0.25">
      <c r="B65" s="4" t="s">
        <v>66</v>
      </c>
      <c r="C65" s="4" t="s">
        <v>41</v>
      </c>
      <c r="D65" s="4">
        <v>2021</v>
      </c>
      <c r="E65" s="4">
        <v>60</v>
      </c>
      <c r="F65" s="14">
        <v>29709.83</v>
      </c>
      <c r="G65" s="16">
        <v>1</v>
      </c>
      <c r="H65" s="13">
        <f t="shared" si="58"/>
        <v>60</v>
      </c>
      <c r="I65" s="12">
        <f t="shared" si="59"/>
        <v>1782589.8</v>
      </c>
      <c r="J65" s="11">
        <v>8.1000000000000003E-2</v>
      </c>
      <c r="K65" s="17">
        <f>890000/1.19</f>
        <v>747899.15966386558</v>
      </c>
      <c r="L65" s="12">
        <f t="shared" si="60"/>
        <v>60579.831932773115</v>
      </c>
      <c r="M65" s="10">
        <v>0.1</v>
      </c>
      <c r="N65" s="17">
        <f t="shared" si="39"/>
        <v>178258.98</v>
      </c>
      <c r="O65" s="25">
        <v>0.05</v>
      </c>
      <c r="P65" s="17">
        <f t="shared" si="40"/>
        <v>89129.49</v>
      </c>
      <c r="Q65" s="14">
        <v>0.52</v>
      </c>
      <c r="R65" s="14">
        <f t="shared" si="41"/>
        <v>31.200000000000003</v>
      </c>
      <c r="S65" s="17">
        <f t="shared" si="42"/>
        <v>926946.69600000011</v>
      </c>
      <c r="T65" s="19">
        <f t="shared" si="61"/>
        <v>2976924.966</v>
      </c>
      <c r="U65" s="19">
        <f t="shared" si="7"/>
        <v>565615.74354000005</v>
      </c>
      <c r="V65" s="19">
        <f t="shared" si="62"/>
        <v>3542540.7095400002</v>
      </c>
      <c r="X65" s="17">
        <v>1782768</v>
      </c>
      <c r="Y65" s="17">
        <v>177863</v>
      </c>
      <c r="Z65" s="17">
        <v>46295</v>
      </c>
      <c r="AA65" s="17">
        <v>925903</v>
      </c>
      <c r="AB65" s="17">
        <f>-53352-1545066-554828-27741</f>
        <v>-2180987</v>
      </c>
      <c r="AC65" s="19">
        <f t="shared" si="55"/>
        <v>751842</v>
      </c>
      <c r="AE65" s="28">
        <f t="shared" si="68"/>
        <v>-2225082.966</v>
      </c>
      <c r="AG65" s="38" t="s">
        <v>160</v>
      </c>
      <c r="AH65" s="28">
        <f t="shared" si="56"/>
        <v>-178.19999999995343</v>
      </c>
      <c r="AI65" s="28">
        <f t="shared" si="63"/>
        <v>395.98000000001048</v>
      </c>
      <c r="AJ65" s="36">
        <f t="shared" si="64"/>
        <v>42834.490000000005</v>
      </c>
      <c r="AK65" s="35">
        <f t="shared" si="65"/>
        <v>1043.6960000001127</v>
      </c>
      <c r="AL65" s="35">
        <f t="shared" si="66"/>
        <v>2180987</v>
      </c>
      <c r="AM65" s="28">
        <f t="shared" si="67"/>
        <v>2225082.966</v>
      </c>
      <c r="AN65" s="26">
        <f t="shared" si="57"/>
        <v>0</v>
      </c>
      <c r="AQ65" s="26"/>
      <c r="AT65" s="46"/>
    </row>
    <row r="66" spans="2:46" x14ac:dyDescent="0.25">
      <c r="B66" s="4" t="s">
        <v>66</v>
      </c>
      <c r="C66" s="4" t="s">
        <v>42</v>
      </c>
      <c r="D66" s="4">
        <v>2021</v>
      </c>
      <c r="E66" s="4">
        <v>60</v>
      </c>
      <c r="F66" s="14">
        <v>29757.64</v>
      </c>
      <c r="G66" s="16">
        <v>1</v>
      </c>
      <c r="H66" s="13">
        <f t="shared" si="58"/>
        <v>60</v>
      </c>
      <c r="I66" s="12">
        <f t="shared" si="59"/>
        <v>1785458.4</v>
      </c>
      <c r="J66" s="11">
        <v>8.1000000000000003E-2</v>
      </c>
      <c r="K66" s="17">
        <f>7303665/1.19</f>
        <v>6137533.6134453788</v>
      </c>
      <c r="L66" s="12">
        <f t="shared" si="60"/>
        <v>497140.22268907569</v>
      </c>
      <c r="M66" s="10">
        <v>0.1</v>
      </c>
      <c r="N66" s="17">
        <f t="shared" si="39"/>
        <v>178545.84</v>
      </c>
      <c r="O66" s="25">
        <v>0.05</v>
      </c>
      <c r="P66" s="17">
        <f t="shared" si="40"/>
        <v>89272.92</v>
      </c>
      <c r="Q66" s="14">
        <v>0.52</v>
      </c>
      <c r="R66" s="14">
        <f t="shared" si="41"/>
        <v>31.200000000000003</v>
      </c>
      <c r="S66" s="17">
        <f t="shared" si="42"/>
        <v>928438.36800000002</v>
      </c>
      <c r="T66" s="19">
        <f t="shared" si="61"/>
        <v>2981715.5279999999</v>
      </c>
      <c r="U66" s="19">
        <f t="shared" si="7"/>
        <v>566525.95031999995</v>
      </c>
      <c r="V66" s="19">
        <f t="shared" si="62"/>
        <v>3548241.4783199998</v>
      </c>
      <c r="X66" s="17">
        <v>1784014</v>
      </c>
      <c r="Y66" s="17">
        <v>178401</v>
      </c>
      <c r="Z66" s="17">
        <v>46342</v>
      </c>
      <c r="AA66" s="17">
        <v>926832</v>
      </c>
      <c r="AB66" s="17">
        <f>-356803-89201-555385-27769</f>
        <v>-1029158</v>
      </c>
      <c r="AC66" s="19">
        <f t="shared" si="55"/>
        <v>1906431</v>
      </c>
      <c r="AE66" s="28">
        <f t="shared" si="68"/>
        <v>-1075284.5279999999</v>
      </c>
      <c r="AG66" s="38" t="s">
        <v>152</v>
      </c>
      <c r="AH66" s="28">
        <f t="shared" si="56"/>
        <v>1444.3999999999069</v>
      </c>
      <c r="AI66" s="28">
        <f t="shared" si="63"/>
        <v>144.83999999999651</v>
      </c>
      <c r="AJ66" s="36">
        <f t="shared" si="64"/>
        <v>42930.92</v>
      </c>
      <c r="AK66" s="35">
        <f t="shared" si="65"/>
        <v>1606.3680000000168</v>
      </c>
      <c r="AL66" s="35">
        <f t="shared" si="66"/>
        <v>1029158</v>
      </c>
      <c r="AM66" s="28">
        <f t="shared" si="67"/>
        <v>1075284.5279999999</v>
      </c>
      <c r="AN66" s="26">
        <f t="shared" si="57"/>
        <v>0</v>
      </c>
      <c r="AQ66" s="26"/>
      <c r="AT66" s="46"/>
    </row>
    <row r="67" spans="2:46" x14ac:dyDescent="0.25">
      <c r="B67" s="4" t="s">
        <v>66</v>
      </c>
      <c r="C67" s="4" t="s">
        <v>43</v>
      </c>
      <c r="D67" s="4">
        <v>2021</v>
      </c>
      <c r="E67" s="4">
        <v>60</v>
      </c>
      <c r="F67" s="14">
        <v>29935.08</v>
      </c>
      <c r="G67" s="16">
        <v>1</v>
      </c>
      <c r="H67" s="13">
        <f t="shared" si="58"/>
        <v>60</v>
      </c>
      <c r="I67" s="12">
        <f t="shared" si="59"/>
        <v>1796104.8</v>
      </c>
      <c r="J67" s="11">
        <v>8.1000000000000003E-2</v>
      </c>
      <c r="K67" s="17">
        <f>14759095/1.19</f>
        <v>12402600.840336135</v>
      </c>
      <c r="L67" s="12">
        <f t="shared" si="60"/>
        <v>1004610.6680672269</v>
      </c>
      <c r="M67" s="10">
        <v>0.1</v>
      </c>
      <c r="N67" s="17">
        <f t="shared" si="39"/>
        <v>179610.48</v>
      </c>
      <c r="O67" s="25">
        <v>0.05</v>
      </c>
      <c r="P67" s="17">
        <f t="shared" si="40"/>
        <v>89805.24</v>
      </c>
      <c r="Q67" s="14">
        <v>0.52</v>
      </c>
      <c r="R67" s="14">
        <f t="shared" si="41"/>
        <v>31.200000000000003</v>
      </c>
      <c r="S67" s="17">
        <f t="shared" si="42"/>
        <v>933974.49600000016</v>
      </c>
      <c r="T67" s="19">
        <f t="shared" si="61"/>
        <v>2999495.0160000003</v>
      </c>
      <c r="U67" s="19">
        <f t="shared" si="7"/>
        <v>569904.05304000003</v>
      </c>
      <c r="V67" s="19">
        <f t="shared" si="62"/>
        <v>3569399.0690400004</v>
      </c>
      <c r="X67" s="17">
        <v>1785804</v>
      </c>
      <c r="Y67" s="17">
        <v>178580</v>
      </c>
      <c r="Z67" s="39">
        <v>0</v>
      </c>
      <c r="AA67" s="39">
        <v>0</v>
      </c>
      <c r="AB67" s="17">
        <v>-53574</v>
      </c>
      <c r="AC67" s="19">
        <f t="shared" ref="AC67:AC72" si="69">SUM(X67:AB67)</f>
        <v>1910810</v>
      </c>
      <c r="AE67" s="28">
        <f t="shared" si="68"/>
        <v>-1088685.0160000003</v>
      </c>
      <c r="AG67" s="38" t="s">
        <v>153</v>
      </c>
      <c r="AH67" s="28">
        <f t="shared" si="56"/>
        <v>10300.800000000047</v>
      </c>
      <c r="AI67" s="28">
        <f t="shared" si="63"/>
        <v>1030.4800000000105</v>
      </c>
      <c r="AJ67" s="36">
        <f t="shared" si="64"/>
        <v>89805.24</v>
      </c>
      <c r="AK67" s="35">
        <f t="shared" si="65"/>
        <v>933974.49600000016</v>
      </c>
      <c r="AL67" s="35">
        <f t="shared" si="66"/>
        <v>53574</v>
      </c>
      <c r="AM67" s="28">
        <f t="shared" si="67"/>
        <v>1088685.0160000003</v>
      </c>
      <c r="AN67" s="26">
        <f t="shared" si="57"/>
        <v>0</v>
      </c>
      <c r="AQ67" s="26"/>
      <c r="AT67" s="46"/>
    </row>
    <row r="68" spans="2:46" x14ac:dyDescent="0.25">
      <c r="B68" s="4" t="s">
        <v>66</v>
      </c>
      <c r="C68" s="4" t="s">
        <v>44</v>
      </c>
      <c r="D68" s="4">
        <v>2021</v>
      </c>
      <c r="E68" s="4">
        <v>60</v>
      </c>
      <c r="F68" s="14">
        <v>30088.37</v>
      </c>
      <c r="G68" s="16">
        <v>1</v>
      </c>
      <c r="H68" s="13">
        <f t="shared" si="58"/>
        <v>60</v>
      </c>
      <c r="I68" s="12">
        <f t="shared" si="59"/>
        <v>1805302.2</v>
      </c>
      <c r="J68" s="11">
        <v>8.1000000000000003E-2</v>
      </c>
      <c r="K68" s="17">
        <f>19752240/1.19</f>
        <v>16598521.008403363</v>
      </c>
      <c r="L68" s="12">
        <f t="shared" si="60"/>
        <v>1344480.2016806724</v>
      </c>
      <c r="M68" s="10">
        <v>0.1</v>
      </c>
      <c r="N68" s="17">
        <f t="shared" si="39"/>
        <v>180530.22</v>
      </c>
      <c r="O68" s="25">
        <v>0.05</v>
      </c>
      <c r="P68" s="17">
        <f t="shared" si="40"/>
        <v>90265.11</v>
      </c>
      <c r="Q68" s="14">
        <v>0.52</v>
      </c>
      <c r="R68" s="14">
        <f t="shared" si="41"/>
        <v>31.200000000000003</v>
      </c>
      <c r="S68" s="17">
        <f t="shared" si="42"/>
        <v>938757.14400000009</v>
      </c>
      <c r="T68" s="19">
        <f t="shared" si="61"/>
        <v>3014854.6740000001</v>
      </c>
      <c r="U68" s="19">
        <f t="shared" si="7"/>
        <v>572822.38806000003</v>
      </c>
      <c r="V68" s="19">
        <f t="shared" si="62"/>
        <v>3587677.0620600004</v>
      </c>
      <c r="X68" s="39">
        <v>0</v>
      </c>
      <c r="Y68" s="39">
        <v>0</v>
      </c>
      <c r="Z68" s="17">
        <v>46891</v>
      </c>
      <c r="AA68" s="17">
        <v>937825</v>
      </c>
      <c r="AB68" s="17">
        <v>0</v>
      </c>
      <c r="AC68" s="19">
        <f t="shared" si="69"/>
        <v>984716</v>
      </c>
      <c r="AE68" s="28">
        <f t="shared" si="68"/>
        <v>-2030138.6740000001</v>
      </c>
      <c r="AG68" s="38" t="s">
        <v>154</v>
      </c>
      <c r="AH68" s="28">
        <f t="shared" si="56"/>
        <v>1805302.2</v>
      </c>
      <c r="AI68" s="28">
        <f t="shared" si="63"/>
        <v>180530.22</v>
      </c>
      <c r="AJ68" s="36">
        <f t="shared" si="64"/>
        <v>43374.11</v>
      </c>
      <c r="AK68" s="35">
        <f t="shared" si="65"/>
        <v>932.14400000008754</v>
      </c>
      <c r="AL68" s="35">
        <f t="shared" si="66"/>
        <v>0</v>
      </c>
      <c r="AM68" s="28">
        <f t="shared" si="67"/>
        <v>2030138.6740000001</v>
      </c>
      <c r="AN68" s="26">
        <f t="shared" si="57"/>
        <v>0</v>
      </c>
      <c r="AQ68" s="26"/>
      <c r="AT68" s="46"/>
    </row>
    <row r="69" spans="2:46" x14ac:dyDescent="0.25">
      <c r="B69" s="4" t="s">
        <v>66</v>
      </c>
      <c r="C69" s="4" t="s">
        <v>45</v>
      </c>
      <c r="D69" s="4">
        <v>2021</v>
      </c>
      <c r="E69" s="4">
        <v>60</v>
      </c>
      <c r="F69" s="14">
        <v>30380.53</v>
      </c>
      <c r="G69" s="16">
        <v>1</v>
      </c>
      <c r="H69" s="13">
        <f t="shared" si="58"/>
        <v>60</v>
      </c>
      <c r="I69" s="12">
        <f t="shared" si="59"/>
        <v>1822831.7999999998</v>
      </c>
      <c r="J69" s="11">
        <v>8.1000000000000003E-2</v>
      </c>
      <c r="K69" s="17">
        <f>22109910/1.19</f>
        <v>18579756.302521009</v>
      </c>
      <c r="L69" s="12">
        <f t="shared" si="60"/>
        <v>1504960.2605042018</v>
      </c>
      <c r="M69" s="10">
        <v>0.1</v>
      </c>
      <c r="N69" s="17">
        <f t="shared" si="39"/>
        <v>182283.18</v>
      </c>
      <c r="O69" s="25">
        <v>0.05</v>
      </c>
      <c r="P69" s="17">
        <f t="shared" si="40"/>
        <v>91141.59</v>
      </c>
      <c r="Q69" s="14">
        <v>0.52</v>
      </c>
      <c r="R69" s="14">
        <f t="shared" si="41"/>
        <v>31.200000000000003</v>
      </c>
      <c r="S69" s="17">
        <f t="shared" si="42"/>
        <v>947872.53600000008</v>
      </c>
      <c r="T69" s="19">
        <f t="shared" si="61"/>
        <v>3044129.1059999997</v>
      </c>
      <c r="U69" s="19">
        <f t="shared" si="7"/>
        <v>578384.53013999993</v>
      </c>
      <c r="V69" s="19">
        <f t="shared" si="62"/>
        <v>3622513.6361399996</v>
      </c>
      <c r="X69" s="17">
        <v>1806985</v>
      </c>
      <c r="Y69" s="17">
        <v>180698</v>
      </c>
      <c r="Z69" s="17">
        <v>0</v>
      </c>
      <c r="AA69" s="17">
        <v>0</v>
      </c>
      <c r="AB69" s="17">
        <v>-54209</v>
      </c>
      <c r="AC69" s="19">
        <f t="shared" si="69"/>
        <v>1933474</v>
      </c>
      <c r="AE69" s="28">
        <f t="shared" si="68"/>
        <v>-1110655.1059999997</v>
      </c>
      <c r="AG69" s="38" t="s">
        <v>154</v>
      </c>
      <c r="AH69" s="28">
        <f t="shared" si="56"/>
        <v>15846.799999999814</v>
      </c>
      <c r="AI69" s="28">
        <f t="shared" si="63"/>
        <v>1585.179999999993</v>
      </c>
      <c r="AJ69" s="36">
        <f t="shared" si="64"/>
        <v>91141.59</v>
      </c>
      <c r="AK69" s="35">
        <f t="shared" si="65"/>
        <v>947872.53600000008</v>
      </c>
      <c r="AL69" s="35">
        <f t="shared" si="66"/>
        <v>54209</v>
      </c>
      <c r="AM69" s="28">
        <f t="shared" si="67"/>
        <v>1110655.1059999999</v>
      </c>
      <c r="AN69" s="26">
        <f t="shared" si="57"/>
        <v>0</v>
      </c>
      <c r="AQ69" s="26"/>
      <c r="AT69" s="46"/>
    </row>
    <row r="70" spans="2:46" x14ac:dyDescent="0.25">
      <c r="B70" s="4" t="s">
        <v>60</v>
      </c>
      <c r="C70" s="4" t="s">
        <v>43</v>
      </c>
      <c r="D70" s="4">
        <v>2021</v>
      </c>
      <c r="E70" s="4">
        <v>96</v>
      </c>
      <c r="F70" s="14">
        <v>29935.08</v>
      </c>
      <c r="G70" s="16">
        <v>1.9</v>
      </c>
      <c r="H70" s="13">
        <f t="shared" si="58"/>
        <v>182.39999999999998</v>
      </c>
      <c r="I70" s="12">
        <v>0</v>
      </c>
      <c r="J70" s="11">
        <v>8.1000000000000003E-2</v>
      </c>
      <c r="K70" s="17">
        <v>0</v>
      </c>
      <c r="L70" s="12">
        <f t="shared" ref="L70" si="70">J70*K70</f>
        <v>0</v>
      </c>
      <c r="M70" s="10">
        <v>0.1</v>
      </c>
      <c r="N70" s="17">
        <f t="shared" ref="N70" si="71">IF(I70&gt;L70,M70*I70,M70*L70)</f>
        <v>0</v>
      </c>
      <c r="O70" s="25">
        <v>0.05</v>
      </c>
      <c r="P70" s="17">
        <f t="shared" ref="P70" si="72">IF(I70&gt;L70,O70*I70,O70*L70)</f>
        <v>0</v>
      </c>
      <c r="Q70" s="14">
        <v>0.67</v>
      </c>
      <c r="R70" s="14">
        <f t="shared" ref="R70" si="73">Q70*E70</f>
        <v>64.320000000000007</v>
      </c>
      <c r="S70" s="17">
        <f t="shared" ref="S70" si="74">R70*F70</f>
        <v>1925424.3456000003</v>
      </c>
      <c r="T70" s="19">
        <f t="shared" ref="T70" si="75">IF(I70&gt;L70,I70,L70)+N70+P70+S70</f>
        <v>1925424.3456000003</v>
      </c>
      <c r="U70" s="19">
        <f t="shared" ref="U70" si="76">T70*19%</f>
        <v>365830.62566400005</v>
      </c>
      <c r="V70" s="19">
        <f t="shared" ref="V70" si="77">T70+U70</f>
        <v>2291254.9712640005</v>
      </c>
      <c r="X70" s="17">
        <v>0</v>
      </c>
      <c r="Y70" s="17">
        <v>292137</v>
      </c>
      <c r="Z70" s="17">
        <v>0</v>
      </c>
      <c r="AA70" s="17">
        <v>861419</v>
      </c>
      <c r="AB70" s="17">
        <f>-292137</f>
        <v>-292137</v>
      </c>
      <c r="AC70" s="19">
        <f t="shared" si="69"/>
        <v>861419</v>
      </c>
      <c r="AE70" s="28">
        <f t="shared" si="68"/>
        <v>-1064005.3456000003</v>
      </c>
      <c r="AG70" s="38" t="s">
        <v>166</v>
      </c>
      <c r="AH70" s="28">
        <f t="shared" ref="AH70:AH72" si="78">IF(I70&gt;L70,I70,L70)-X70</f>
        <v>0</v>
      </c>
      <c r="AI70" s="28">
        <f t="shared" ref="AI70:AI72" si="79">N70-Y70</f>
        <v>-292137</v>
      </c>
      <c r="AJ70" s="36">
        <f t="shared" ref="AJ70:AJ72" si="80">P70-Z70</f>
        <v>0</v>
      </c>
      <c r="AK70" s="35">
        <f t="shared" ref="AK70:AK72" si="81">S70-AA70</f>
        <v>1064005.3456000003</v>
      </c>
      <c r="AL70" s="35">
        <f t="shared" ref="AL70:AL72" si="82">0-AB70</f>
        <v>292137</v>
      </c>
      <c r="AM70" s="28">
        <f t="shared" ref="AM70:AM72" si="83">SUM(AH70:AL70)</f>
        <v>1064005.3456000003</v>
      </c>
      <c r="AN70" s="26">
        <f t="shared" ref="AN70:AN72" si="84">AE70+AM70</f>
        <v>0</v>
      </c>
      <c r="AQ70" s="26"/>
      <c r="AT70" s="46"/>
    </row>
    <row r="71" spans="2:46" x14ac:dyDescent="0.25">
      <c r="B71" s="4" t="s">
        <v>60</v>
      </c>
      <c r="C71" s="4" t="s">
        <v>44</v>
      </c>
      <c r="D71" s="4">
        <v>2021</v>
      </c>
      <c r="E71" s="4">
        <v>96</v>
      </c>
      <c r="F71" s="14">
        <v>30088.37</v>
      </c>
      <c r="G71" s="16">
        <v>1.9</v>
      </c>
      <c r="H71" s="13">
        <f t="shared" ref="H71" si="85">G71*E71</f>
        <v>182.39999999999998</v>
      </c>
      <c r="I71" s="12">
        <v>0</v>
      </c>
      <c r="J71" s="11">
        <v>8.1000000000000003E-2</v>
      </c>
      <c r="K71" s="17">
        <v>0</v>
      </c>
      <c r="L71" s="12">
        <f t="shared" ref="L71" si="86">J71*K71</f>
        <v>0</v>
      </c>
      <c r="M71" s="10">
        <v>0.1</v>
      </c>
      <c r="N71" s="17">
        <f t="shared" ref="N71" si="87">IF(I71&gt;L71,M71*I71,M71*L71)</f>
        <v>0</v>
      </c>
      <c r="O71" s="25">
        <v>0.05</v>
      </c>
      <c r="P71" s="17">
        <f t="shared" ref="P71" si="88">IF(I71&gt;L71,O71*I71,O71*L71)</f>
        <v>0</v>
      </c>
      <c r="Q71" s="14">
        <v>0.67</v>
      </c>
      <c r="R71" s="14">
        <f t="shared" ref="R71" si="89">Q71*E71</f>
        <v>64.320000000000007</v>
      </c>
      <c r="S71" s="17">
        <f t="shared" ref="S71" si="90">R71*F71</f>
        <v>1935283.9584000001</v>
      </c>
      <c r="T71" s="19">
        <f t="shared" ref="T71" si="91">IF(I71&gt;L71,I71,L71)+N71+P71+S71</f>
        <v>1935283.9584000001</v>
      </c>
      <c r="U71" s="19">
        <f t="shared" ref="U71" si="92">T71*19%</f>
        <v>367703.95209600002</v>
      </c>
      <c r="V71" s="19">
        <f t="shared" ref="V71" si="93">T71+U71</f>
        <v>2302987.9104960002</v>
      </c>
      <c r="X71" s="17">
        <v>0</v>
      </c>
      <c r="Y71" s="17">
        <v>547645</v>
      </c>
      <c r="Z71" s="17">
        <v>0</v>
      </c>
      <c r="AA71" s="17">
        <v>1334967</v>
      </c>
      <c r="AB71" s="17">
        <v>-547645</v>
      </c>
      <c r="AC71" s="19">
        <f t="shared" si="69"/>
        <v>1334967</v>
      </c>
      <c r="AE71" s="28">
        <f t="shared" si="68"/>
        <v>-600316.95840000012</v>
      </c>
      <c r="AG71" s="38" t="s">
        <v>167</v>
      </c>
      <c r="AH71" s="28">
        <f t="shared" si="78"/>
        <v>0</v>
      </c>
      <c r="AI71" s="28">
        <f t="shared" si="79"/>
        <v>-547645</v>
      </c>
      <c r="AJ71" s="36">
        <f t="shared" si="80"/>
        <v>0</v>
      </c>
      <c r="AK71" s="35">
        <f t="shared" si="81"/>
        <v>600316.95840000012</v>
      </c>
      <c r="AL71" s="35">
        <f t="shared" si="82"/>
        <v>547645</v>
      </c>
      <c r="AM71" s="28">
        <f t="shared" si="83"/>
        <v>600316.95840000012</v>
      </c>
      <c r="AN71" s="26">
        <f t="shared" si="84"/>
        <v>0</v>
      </c>
      <c r="AQ71" s="26"/>
      <c r="AT71" s="46"/>
    </row>
    <row r="72" spans="2:46" x14ac:dyDescent="0.25">
      <c r="B72" s="4" t="s">
        <v>60</v>
      </c>
      <c r="C72" s="20" t="s">
        <v>92</v>
      </c>
      <c r="D72" s="4">
        <v>2021</v>
      </c>
      <c r="E72" s="4">
        <v>96</v>
      </c>
      <c r="F72" s="14">
        <v>30380.53</v>
      </c>
      <c r="G72" s="16">
        <v>1.9</v>
      </c>
      <c r="H72" s="13">
        <f t="shared" ref="H72:H73" si="94">G72*E72</f>
        <v>182.39999999999998</v>
      </c>
      <c r="I72" s="12">
        <f t="shared" ref="I72" si="95">H72*F72</f>
        <v>5541408.6719999993</v>
      </c>
      <c r="J72" s="11">
        <v>8.1000000000000003E-2</v>
      </c>
      <c r="K72" s="17">
        <v>0</v>
      </c>
      <c r="L72" s="12">
        <f t="shared" ref="L72" si="96">J72*K72</f>
        <v>0</v>
      </c>
      <c r="M72" s="10">
        <v>0.1</v>
      </c>
      <c r="N72" s="17">
        <f t="shared" ref="N72" si="97">IF(I72&gt;L72,M72*I72,M72*L72)</f>
        <v>554140.86719999998</v>
      </c>
      <c r="O72" s="25">
        <v>0.05</v>
      </c>
      <c r="P72" s="17">
        <f t="shared" ref="P72" si="98">IF(I72&gt;L72,O72*I72,O72*L72)</f>
        <v>277070.43359999999</v>
      </c>
      <c r="Q72" s="14">
        <v>0.67</v>
      </c>
      <c r="R72" s="14">
        <f t="shared" ref="R72" si="99">Q72*E72</f>
        <v>64.320000000000007</v>
      </c>
      <c r="S72" s="17">
        <f t="shared" ref="S72" si="100">R72*F72</f>
        <v>1954075.6896000002</v>
      </c>
      <c r="T72" s="19">
        <f t="shared" ref="T72" si="101">IF(I72&gt;L72,I72,L72)+N72+P72+S72</f>
        <v>8326695.6623999998</v>
      </c>
      <c r="U72" s="19">
        <f t="shared" ref="U72" si="102">T72*19%</f>
        <v>1582072.175856</v>
      </c>
      <c r="V72" s="19">
        <f t="shared" ref="V72" si="103">T72+U72</f>
        <v>9908767.8382559996</v>
      </c>
      <c r="X72" s="39">
        <v>0</v>
      </c>
      <c r="Y72" s="17">
        <v>549104</v>
      </c>
      <c r="Z72" s="39">
        <v>0</v>
      </c>
      <c r="AA72" s="17">
        <v>1895815</v>
      </c>
      <c r="AB72" s="17">
        <v>0</v>
      </c>
      <c r="AC72" s="19">
        <f t="shared" si="69"/>
        <v>2444919</v>
      </c>
      <c r="AE72" s="28">
        <f t="shared" si="68"/>
        <v>-5881776.6623999998</v>
      </c>
      <c r="AG72" s="33" t="s">
        <v>165</v>
      </c>
      <c r="AH72" s="28">
        <f t="shared" si="78"/>
        <v>5541408.6719999993</v>
      </c>
      <c r="AI72" s="28">
        <f t="shared" si="79"/>
        <v>5036.8671999999788</v>
      </c>
      <c r="AJ72" s="36">
        <f t="shared" si="80"/>
        <v>277070.43359999999</v>
      </c>
      <c r="AK72" s="35">
        <f t="shared" si="81"/>
        <v>58260.689600000158</v>
      </c>
      <c r="AL72" s="35">
        <f t="shared" si="82"/>
        <v>0</v>
      </c>
      <c r="AM72" s="28">
        <f t="shared" si="83"/>
        <v>5881776.6623999998</v>
      </c>
      <c r="AN72" s="26">
        <f t="shared" si="84"/>
        <v>0</v>
      </c>
      <c r="AT72" s="46"/>
    </row>
    <row r="73" spans="2:46" x14ac:dyDescent="0.25">
      <c r="B73" s="4" t="s">
        <v>61</v>
      </c>
      <c r="C73" s="4" t="s">
        <v>43</v>
      </c>
      <c r="D73" s="4">
        <v>2021</v>
      </c>
      <c r="E73" s="4">
        <v>78.59</v>
      </c>
      <c r="F73" s="14">
        <v>29935.08</v>
      </c>
      <c r="G73" s="16">
        <v>0.8</v>
      </c>
      <c r="H73" s="13">
        <f t="shared" si="94"/>
        <v>62.872000000000007</v>
      </c>
      <c r="I73" s="12">
        <v>0</v>
      </c>
      <c r="J73" s="11">
        <v>8.1000000000000003E-2</v>
      </c>
      <c r="K73" s="17">
        <v>0</v>
      </c>
      <c r="L73" s="12">
        <f t="shared" ref="L73:L75" si="104">J73*K73</f>
        <v>0</v>
      </c>
      <c r="M73" s="10">
        <v>0.1</v>
      </c>
      <c r="N73" s="17">
        <f t="shared" ref="N73:N75" si="105">IF(I73&gt;L73,M73*I73,M73*L73)</f>
        <v>0</v>
      </c>
      <c r="O73" s="25">
        <v>0.05</v>
      </c>
      <c r="P73" s="17">
        <f t="shared" ref="P73:P75" si="106">IF(I73&gt;L73,O73*I73,O73*L73)</f>
        <v>0</v>
      </c>
      <c r="Q73" s="14">
        <v>0.46</v>
      </c>
      <c r="R73" s="14">
        <f t="shared" ref="R73:R75" si="107">Q73*E73</f>
        <v>36.151400000000002</v>
      </c>
      <c r="S73" s="17">
        <f t="shared" ref="S73:S75" si="108">R73*F73</f>
        <v>1082195.0511120001</v>
      </c>
      <c r="T73" s="19">
        <f t="shared" ref="T73:T75" si="109">IF(I73&gt;L73,I73,L73)+N73+P73+S73</f>
        <v>1082195.0511120001</v>
      </c>
      <c r="U73" s="19">
        <f t="shared" ref="U73:U75" si="110">T73*19%</f>
        <v>205617.05971128002</v>
      </c>
      <c r="V73" s="19">
        <f t="shared" ref="V73:V75" si="111">T73+U73</f>
        <v>1287812.1108232802</v>
      </c>
      <c r="X73" s="17">
        <v>0</v>
      </c>
      <c r="Y73" s="17">
        <v>0</v>
      </c>
      <c r="Z73" s="17">
        <v>0</v>
      </c>
      <c r="AA73" s="17">
        <v>0</v>
      </c>
      <c r="AB73" s="17">
        <v>0</v>
      </c>
      <c r="AC73" s="19">
        <v>0</v>
      </c>
      <c r="AE73" s="28">
        <f t="shared" ref="AE73:AE75" si="112">AC73-T73</f>
        <v>-1082195.0511120001</v>
      </c>
      <c r="AG73" s="33"/>
      <c r="AH73" s="28">
        <f t="shared" ref="AH73:AH75" si="113">IF(I73&gt;L73,I73,L73)-X73</f>
        <v>0</v>
      </c>
      <c r="AI73" s="28">
        <f t="shared" ref="AI73:AI75" si="114">N73-Y73</f>
        <v>0</v>
      </c>
      <c r="AJ73" s="36">
        <f t="shared" ref="AJ73:AJ75" si="115">P73-Z73</f>
        <v>0</v>
      </c>
      <c r="AK73" s="35">
        <f t="shared" ref="AK73:AK75" si="116">S73-AA73</f>
        <v>1082195.0511120001</v>
      </c>
      <c r="AL73" s="35">
        <f t="shared" ref="AL73:AL75" si="117">0-AB73</f>
        <v>0</v>
      </c>
      <c r="AM73" s="28">
        <f t="shared" ref="AM73:AM75" si="118">SUM(AH73:AL73)</f>
        <v>1082195.0511120001</v>
      </c>
      <c r="AN73" s="26">
        <f t="shared" ref="AN73:AN75" si="119">AE73+AM73</f>
        <v>0</v>
      </c>
      <c r="AT73" s="46"/>
    </row>
    <row r="74" spans="2:46" x14ac:dyDescent="0.25">
      <c r="B74" s="4" t="s">
        <v>61</v>
      </c>
      <c r="C74" s="4" t="s">
        <v>44</v>
      </c>
      <c r="D74" s="4">
        <v>2021</v>
      </c>
      <c r="E74" s="4">
        <v>78.59</v>
      </c>
      <c r="F74" s="14">
        <v>30088.37</v>
      </c>
      <c r="G74" s="16">
        <v>0.8</v>
      </c>
      <c r="H74" s="13">
        <f t="shared" ref="H74:H75" si="120">G74*E74</f>
        <v>62.872000000000007</v>
      </c>
      <c r="I74" s="12">
        <v>0</v>
      </c>
      <c r="J74" s="11">
        <v>8.1000000000000003E-2</v>
      </c>
      <c r="K74" s="17">
        <v>0</v>
      </c>
      <c r="L74" s="12">
        <f t="shared" si="104"/>
        <v>0</v>
      </c>
      <c r="M74" s="10">
        <v>0.1</v>
      </c>
      <c r="N74" s="17">
        <f t="shared" si="105"/>
        <v>0</v>
      </c>
      <c r="O74" s="25">
        <v>0.05</v>
      </c>
      <c r="P74" s="17">
        <f t="shared" si="106"/>
        <v>0</v>
      </c>
      <c r="Q74" s="14">
        <v>0.46</v>
      </c>
      <c r="R74" s="14">
        <f t="shared" si="107"/>
        <v>36.151400000000002</v>
      </c>
      <c r="S74" s="17">
        <f t="shared" si="108"/>
        <v>1087736.6992180001</v>
      </c>
      <c r="T74" s="19">
        <f t="shared" si="109"/>
        <v>1087736.6992180001</v>
      </c>
      <c r="U74" s="19">
        <f t="shared" si="110"/>
        <v>206669.97285142003</v>
      </c>
      <c r="V74" s="19">
        <f t="shared" si="111"/>
        <v>1294406.6720694201</v>
      </c>
      <c r="X74" s="17">
        <v>0</v>
      </c>
      <c r="Y74" s="17">
        <v>0</v>
      </c>
      <c r="Z74" s="17">
        <v>0</v>
      </c>
      <c r="AA74" s="17">
        <v>501797</v>
      </c>
      <c r="AB74" s="17">
        <v>0</v>
      </c>
      <c r="AC74" s="19">
        <f t="shared" ref="AC74:AC75" si="121">SUM(X74:AB74)</f>
        <v>501797</v>
      </c>
      <c r="AE74" s="28">
        <f t="shared" si="112"/>
        <v>-585939.69921800005</v>
      </c>
      <c r="AG74" s="38" t="s">
        <v>164</v>
      </c>
      <c r="AH74" s="28">
        <f t="shared" si="113"/>
        <v>0</v>
      </c>
      <c r="AI74" s="28">
        <f t="shared" si="114"/>
        <v>0</v>
      </c>
      <c r="AJ74" s="36">
        <f t="shared" si="115"/>
        <v>0</v>
      </c>
      <c r="AK74" s="35">
        <f t="shared" si="116"/>
        <v>585939.69921800005</v>
      </c>
      <c r="AL74" s="35">
        <f t="shared" si="117"/>
        <v>0</v>
      </c>
      <c r="AM74" s="28">
        <f t="shared" si="118"/>
        <v>585939.69921800005</v>
      </c>
      <c r="AN74" s="26">
        <f t="shared" si="119"/>
        <v>0</v>
      </c>
      <c r="AT74" s="46"/>
    </row>
    <row r="75" spans="2:46" x14ac:dyDescent="0.25">
      <c r="B75" s="4" t="s">
        <v>61</v>
      </c>
      <c r="C75" s="20" t="s">
        <v>92</v>
      </c>
      <c r="D75" s="4">
        <v>2021</v>
      </c>
      <c r="E75" s="4">
        <v>78.59</v>
      </c>
      <c r="F75" s="14">
        <v>30380.53</v>
      </c>
      <c r="G75" s="16">
        <v>0.8</v>
      </c>
      <c r="H75" s="13">
        <f t="shared" si="120"/>
        <v>62.872000000000007</v>
      </c>
      <c r="I75" s="12">
        <v>0</v>
      </c>
      <c r="J75" s="11">
        <v>8.1000000000000003E-2</v>
      </c>
      <c r="K75" s="17">
        <v>0</v>
      </c>
      <c r="L75" s="12">
        <f t="shared" si="104"/>
        <v>0</v>
      </c>
      <c r="M75" s="10">
        <v>0.1</v>
      </c>
      <c r="N75" s="17">
        <f t="shared" si="105"/>
        <v>0</v>
      </c>
      <c r="O75" s="25">
        <v>0.05</v>
      </c>
      <c r="P75" s="17">
        <f t="shared" si="106"/>
        <v>0</v>
      </c>
      <c r="Q75" s="14">
        <v>0.46</v>
      </c>
      <c r="R75" s="14">
        <f t="shared" si="107"/>
        <v>36.151400000000002</v>
      </c>
      <c r="S75" s="17">
        <f t="shared" si="108"/>
        <v>1098298.692242</v>
      </c>
      <c r="T75" s="19">
        <f t="shared" si="109"/>
        <v>1098298.692242</v>
      </c>
      <c r="U75" s="19">
        <f t="shared" si="110"/>
        <v>208676.75152598001</v>
      </c>
      <c r="V75" s="19">
        <f t="shared" si="111"/>
        <v>1306975.44376798</v>
      </c>
      <c r="X75" s="17">
        <v>0</v>
      </c>
      <c r="Y75" s="17">
        <v>0</v>
      </c>
      <c r="Z75" s="17">
        <v>0</v>
      </c>
      <c r="AA75" s="39">
        <v>0</v>
      </c>
      <c r="AB75" s="17">
        <v>0</v>
      </c>
      <c r="AC75" s="19">
        <f t="shared" si="121"/>
        <v>0</v>
      </c>
      <c r="AE75" s="28">
        <f t="shared" si="112"/>
        <v>-1098298.692242</v>
      </c>
      <c r="AG75" s="33"/>
      <c r="AH75" s="28">
        <f t="shared" si="113"/>
        <v>0</v>
      </c>
      <c r="AI75" s="28">
        <f t="shared" si="114"/>
        <v>0</v>
      </c>
      <c r="AJ75" s="36">
        <f t="shared" si="115"/>
        <v>0</v>
      </c>
      <c r="AK75" s="35">
        <f t="shared" si="116"/>
        <v>1098298.692242</v>
      </c>
      <c r="AL75" s="35">
        <f t="shared" si="117"/>
        <v>0</v>
      </c>
      <c r="AM75" s="28">
        <f t="shared" si="118"/>
        <v>1098298.692242</v>
      </c>
      <c r="AN75" s="26">
        <f t="shared" si="119"/>
        <v>0</v>
      </c>
      <c r="AT75" s="46"/>
    </row>
    <row r="76" spans="2:46" x14ac:dyDescent="0.25">
      <c r="T76" s="32">
        <f>SUM(T15:T75)</f>
        <v>239335053.93414992</v>
      </c>
      <c r="U76" s="32">
        <f>SUM(U15:U75)</f>
        <v>45473660.247488461</v>
      </c>
      <c r="V76" s="32">
        <f>SUM(V15:V75)</f>
        <v>284808714.18163836</v>
      </c>
      <c r="AC76" s="32">
        <f>SUM(AC15:AC75)</f>
        <v>158229948</v>
      </c>
      <c r="AE76" s="32">
        <f>SUM(AE15:AE75)</f>
        <v>-81105105.934149832</v>
      </c>
      <c r="AM76" s="32">
        <f>SUM(AM15:AM75)</f>
        <v>81105105.934149832</v>
      </c>
    </row>
    <row r="78" spans="2:46" x14ac:dyDescent="0.25">
      <c r="B78" s="76" t="s">
        <v>119</v>
      </c>
      <c r="C78" s="29"/>
      <c r="D78" s="29"/>
      <c r="E78" s="29"/>
      <c r="F78" s="29"/>
      <c r="G78" s="29"/>
    </row>
    <row r="79" spans="2:46" x14ac:dyDescent="0.25">
      <c r="B79" s="84" t="s">
        <v>120</v>
      </c>
      <c r="C79" s="84"/>
      <c r="D79" s="84"/>
      <c r="E79" s="84"/>
      <c r="F79" s="84"/>
      <c r="G79" s="84"/>
    </row>
    <row r="80" spans="2:46" x14ac:dyDescent="0.25">
      <c r="B80" s="84" t="s">
        <v>176</v>
      </c>
      <c r="C80" s="84"/>
      <c r="D80" s="84"/>
      <c r="E80" s="84"/>
      <c r="F80" s="84"/>
      <c r="G80" s="84"/>
    </row>
  </sheetData>
  <autoFilter ref="B12:V76" xr:uid="{A940DB2B-3FD2-409C-A357-0021A433A0B1}">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8" showButton="0"/>
    <filterColumn colId="19" showButton="0"/>
  </autoFilter>
  <mergeCells count="31">
    <mergeCell ref="AG12:AM12"/>
    <mergeCell ref="AG13:AG14"/>
    <mergeCell ref="AH13:AH14"/>
    <mergeCell ref="AI13:AI14"/>
    <mergeCell ref="AJ13:AJ14"/>
    <mergeCell ref="AK13:AK14"/>
    <mergeCell ref="AM13:AM14"/>
    <mergeCell ref="AL13:AL14"/>
    <mergeCell ref="AE12:AE14"/>
    <mergeCell ref="AB13:AB14"/>
    <mergeCell ref="AC13:AC14"/>
    <mergeCell ref="X12:AC12"/>
    <mergeCell ref="Z13:Z14"/>
    <mergeCell ref="AA13:AA14"/>
    <mergeCell ref="X13:X14"/>
    <mergeCell ref="Y13:Y14"/>
    <mergeCell ref="T12:V13"/>
    <mergeCell ref="M12:S12"/>
    <mergeCell ref="M13:N13"/>
    <mergeCell ref="O13:P13"/>
    <mergeCell ref="G12:L12"/>
    <mergeCell ref="G13:I13"/>
    <mergeCell ref="J13:L13"/>
    <mergeCell ref="Q13:S13"/>
    <mergeCell ref="B79:G79"/>
    <mergeCell ref="B80:G80"/>
    <mergeCell ref="B12:B14"/>
    <mergeCell ref="C12:C14"/>
    <mergeCell ref="E12:E14"/>
    <mergeCell ref="F12:F14"/>
    <mergeCell ref="D12:D14"/>
  </mergeCells>
  <phoneticPr fontId="4"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E4197-66C2-4F3C-BE1C-27907CF24231}">
  <dimension ref="B2:L20"/>
  <sheetViews>
    <sheetView showGridLines="0" topLeftCell="A4" workbookViewId="0">
      <selection activeCell="F7" sqref="F7:F15"/>
    </sheetView>
  </sheetViews>
  <sheetFormatPr baseColWidth="10" defaultRowHeight="15" x14ac:dyDescent="0.25"/>
  <cols>
    <col min="1" max="1" width="3.140625" customWidth="1"/>
    <col min="9" max="9" width="14.140625" bestFit="1" customWidth="1"/>
    <col min="11" max="11" width="14.140625" bestFit="1" customWidth="1"/>
  </cols>
  <sheetData>
    <row r="2" spans="2:12" x14ac:dyDescent="0.25">
      <c r="B2" s="42" t="s">
        <v>103</v>
      </c>
    </row>
    <row r="4" spans="2:12" x14ac:dyDescent="0.25">
      <c r="B4" s="43" t="s">
        <v>65</v>
      </c>
    </row>
    <row r="5" spans="2:12" x14ac:dyDescent="0.25">
      <c r="B5" s="1" t="s">
        <v>118</v>
      </c>
    </row>
    <row r="7" spans="2:12" x14ac:dyDescent="0.25">
      <c r="B7" s="33" t="s">
        <v>107</v>
      </c>
      <c r="C7" s="34">
        <v>44245</v>
      </c>
      <c r="D7" s="33" t="s">
        <v>108</v>
      </c>
      <c r="E7" s="33"/>
      <c r="F7" s="40">
        <v>278189</v>
      </c>
      <c r="G7" s="41">
        <f t="shared" ref="G7:G15" si="0">F7*19%</f>
        <v>52855.91</v>
      </c>
      <c r="H7" s="41">
        <f t="shared" ref="H7:H15" si="1">F7+G7</f>
        <v>331044.91000000003</v>
      </c>
    </row>
    <row r="8" spans="2:12" x14ac:dyDescent="0.25">
      <c r="B8" s="33" t="s">
        <v>113</v>
      </c>
      <c r="C8" s="34">
        <v>44273</v>
      </c>
      <c r="D8" s="33" t="s">
        <v>108</v>
      </c>
      <c r="E8" s="33"/>
      <c r="F8" s="40">
        <v>273912</v>
      </c>
      <c r="G8" s="41">
        <f t="shared" si="0"/>
        <v>52043.28</v>
      </c>
      <c r="H8" s="41">
        <f t="shared" si="1"/>
        <v>325955.28000000003</v>
      </c>
    </row>
    <row r="9" spans="2:12" x14ac:dyDescent="0.25">
      <c r="B9" s="33" t="s">
        <v>110</v>
      </c>
      <c r="C9" s="34">
        <v>44305</v>
      </c>
      <c r="D9" s="33" t="s">
        <v>108</v>
      </c>
      <c r="E9" s="33"/>
      <c r="F9" s="40">
        <v>270237</v>
      </c>
      <c r="G9" s="41">
        <f t="shared" si="0"/>
        <v>51345.03</v>
      </c>
      <c r="H9" s="41">
        <f t="shared" si="1"/>
        <v>321582.03000000003</v>
      </c>
    </row>
    <row r="10" spans="2:12" x14ac:dyDescent="0.25">
      <c r="B10" s="33" t="s">
        <v>111</v>
      </c>
      <c r="C10" s="34">
        <v>44333</v>
      </c>
      <c r="D10" s="33" t="s">
        <v>108</v>
      </c>
      <c r="E10" s="33"/>
      <c r="F10" s="40">
        <v>213294</v>
      </c>
      <c r="G10" s="41">
        <f t="shared" si="0"/>
        <v>40525.86</v>
      </c>
      <c r="H10" s="41">
        <f t="shared" si="1"/>
        <v>253819.86</v>
      </c>
    </row>
    <row r="11" spans="2:12" x14ac:dyDescent="0.25">
      <c r="B11" s="33" t="s">
        <v>112</v>
      </c>
      <c r="C11" s="34">
        <v>44364</v>
      </c>
      <c r="D11" s="33" t="s">
        <v>108</v>
      </c>
      <c r="E11" s="33"/>
      <c r="F11" s="40">
        <v>216445</v>
      </c>
      <c r="G11" s="41">
        <f t="shared" si="0"/>
        <v>41124.550000000003</v>
      </c>
      <c r="H11" s="41">
        <f t="shared" si="1"/>
        <v>257569.55</v>
      </c>
    </row>
    <row r="12" spans="2:12" x14ac:dyDescent="0.25">
      <c r="B12" s="33" t="s">
        <v>114</v>
      </c>
      <c r="C12" s="34">
        <v>44394</v>
      </c>
      <c r="D12" s="33" t="s">
        <v>108</v>
      </c>
      <c r="E12" s="33"/>
      <c r="F12" s="40">
        <v>232499</v>
      </c>
      <c r="G12" s="41">
        <f t="shared" si="0"/>
        <v>44174.81</v>
      </c>
      <c r="H12" s="41">
        <f t="shared" si="1"/>
        <v>276673.81</v>
      </c>
    </row>
    <row r="13" spans="2:12" x14ac:dyDescent="0.25">
      <c r="B13" s="33" t="s">
        <v>115</v>
      </c>
      <c r="C13" s="34">
        <v>44426</v>
      </c>
      <c r="D13" s="33" t="s">
        <v>108</v>
      </c>
      <c r="E13" s="33"/>
      <c r="F13" s="40">
        <v>235276</v>
      </c>
      <c r="G13" s="41">
        <f t="shared" si="0"/>
        <v>44702.44</v>
      </c>
      <c r="H13" s="41">
        <f t="shared" si="1"/>
        <v>279978.44</v>
      </c>
    </row>
    <row r="14" spans="2:12" x14ac:dyDescent="0.25">
      <c r="B14" s="33" t="s">
        <v>116</v>
      </c>
      <c r="C14" s="34">
        <v>44455</v>
      </c>
      <c r="D14" s="33" t="s">
        <v>108</v>
      </c>
      <c r="E14" s="33"/>
      <c r="F14" s="40">
        <v>273912</v>
      </c>
      <c r="G14" s="41">
        <f t="shared" si="0"/>
        <v>52043.28</v>
      </c>
      <c r="H14" s="41">
        <f t="shared" si="1"/>
        <v>325955.28000000003</v>
      </c>
    </row>
    <row r="15" spans="2:12" x14ac:dyDescent="0.25">
      <c r="B15" s="33" t="s">
        <v>117</v>
      </c>
      <c r="C15" s="34">
        <v>44487</v>
      </c>
      <c r="D15" s="33" t="s">
        <v>108</v>
      </c>
      <c r="E15" s="33"/>
      <c r="F15" s="40">
        <v>281640</v>
      </c>
      <c r="G15" s="41">
        <f t="shared" si="0"/>
        <v>53511.6</v>
      </c>
      <c r="H15" s="41">
        <f t="shared" si="1"/>
        <v>335151.59999999998</v>
      </c>
      <c r="I15" s="26"/>
    </row>
    <row r="16" spans="2:12" x14ac:dyDescent="0.25">
      <c r="I16" s="31"/>
      <c r="J16" s="26"/>
      <c r="K16" s="31"/>
      <c r="L16" s="26"/>
    </row>
    <row r="17" spans="2:8" x14ac:dyDescent="0.25">
      <c r="B17" s="43" t="s">
        <v>168</v>
      </c>
    </row>
    <row r="18" spans="2:8" x14ac:dyDescent="0.25">
      <c r="B18" s="1" t="s">
        <v>169</v>
      </c>
    </row>
    <row r="20" spans="2:8" x14ac:dyDescent="0.25">
      <c r="B20" s="33" t="s">
        <v>170</v>
      </c>
      <c r="C20" s="34">
        <v>44505</v>
      </c>
      <c r="D20" s="33" t="s">
        <v>171</v>
      </c>
      <c r="E20" s="33"/>
      <c r="F20" s="40">
        <v>16437082</v>
      </c>
      <c r="G20" s="41">
        <f t="shared" ref="G20" si="2">F20*19%</f>
        <v>3123045.58</v>
      </c>
      <c r="H20" s="41">
        <f t="shared" ref="H20" si="3">F20+G20</f>
        <v>19560127.579999998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77BE3-025C-498F-AE17-018804B3E662}">
  <dimension ref="A2:K33"/>
  <sheetViews>
    <sheetView showGridLines="0" topLeftCell="A11" workbookViewId="0">
      <selection activeCell="I20" sqref="I20"/>
    </sheetView>
  </sheetViews>
  <sheetFormatPr baseColWidth="10" defaultColWidth="11.42578125" defaultRowHeight="13.5" x14ac:dyDescent="0.25"/>
  <cols>
    <col min="1" max="1" width="2.28515625" style="51" customWidth="1"/>
    <col min="2" max="2" width="11.42578125" style="51"/>
    <col min="3" max="3" width="29.5703125" style="51" customWidth="1"/>
    <col min="4" max="4" width="13.5703125" style="51" bestFit="1" customWidth="1"/>
    <col min="5" max="8" width="13.42578125" style="51" bestFit="1" customWidth="1"/>
    <col min="9" max="9" width="17.42578125" style="51" customWidth="1"/>
    <col min="10" max="10" width="13.28515625" style="51" customWidth="1"/>
    <col min="11" max="11" width="14.42578125" style="51" bestFit="1" customWidth="1"/>
    <col min="12" max="12" width="11.42578125" style="51"/>
    <col min="13" max="13" width="13" style="51" bestFit="1" customWidth="1"/>
    <col min="14" max="16384" width="11.42578125" style="51"/>
  </cols>
  <sheetData>
    <row r="2" spans="1:11" ht="15" x14ac:dyDescent="0.25">
      <c r="B2" s="98" t="s">
        <v>177</v>
      </c>
      <c r="C2" s="98"/>
      <c r="D2" s="98"/>
      <c r="E2" s="98"/>
      <c r="F2" s="98"/>
      <c r="G2" s="98"/>
      <c r="H2" s="98"/>
      <c r="I2" s="98"/>
      <c r="J2" s="98"/>
      <c r="K2" s="98"/>
    </row>
    <row r="3" spans="1:11" ht="15" x14ac:dyDescent="0.25">
      <c r="B3" s="98" t="str">
        <f>+'[1]Estado de Resultados'!B3</f>
        <v>Para el período comprendido entre el 01-01-2021 hasta el 31-10-2021</v>
      </c>
      <c r="C3" s="98"/>
      <c r="D3" s="98"/>
      <c r="E3" s="98"/>
      <c r="F3" s="98"/>
      <c r="G3" s="98"/>
      <c r="H3" s="98"/>
      <c r="I3" s="98"/>
      <c r="J3" s="98"/>
      <c r="K3" s="98"/>
    </row>
    <row r="4" spans="1:11" x14ac:dyDescent="0.25">
      <c r="C4" s="52"/>
      <c r="D4" s="52"/>
      <c r="E4" s="52"/>
      <c r="F4" s="52"/>
      <c r="G4" s="52"/>
      <c r="H4" s="52"/>
      <c r="I4" s="52"/>
      <c r="J4" s="52"/>
      <c r="K4" s="52"/>
    </row>
    <row r="5" spans="1:11" x14ac:dyDescent="0.25">
      <c r="A5" s="52"/>
      <c r="B5" s="52"/>
      <c r="C5" s="52"/>
      <c r="D5" s="53"/>
      <c r="E5" s="53"/>
      <c r="F5" s="53"/>
      <c r="G5" s="53"/>
      <c r="H5" s="53"/>
      <c r="I5" s="53"/>
      <c r="J5" s="53"/>
      <c r="K5" s="52"/>
    </row>
    <row r="6" spans="1:11" ht="15" customHeight="1" x14ac:dyDescent="0.3">
      <c r="B6" s="62" t="s">
        <v>191</v>
      </c>
      <c r="C6" s="54"/>
      <c r="D6" s="55"/>
      <c r="E6" s="55"/>
      <c r="F6" s="55"/>
      <c r="G6" s="55"/>
      <c r="H6" s="55"/>
      <c r="I6" s="55"/>
      <c r="J6" s="55"/>
      <c r="K6" s="55"/>
    </row>
    <row r="7" spans="1:11" ht="15" customHeight="1" x14ac:dyDescent="0.25">
      <c r="B7" s="100" t="s">
        <v>178</v>
      </c>
      <c r="C7" s="96" t="s">
        <v>179</v>
      </c>
      <c r="D7" s="96" t="s">
        <v>180</v>
      </c>
      <c r="E7" s="96" t="s">
        <v>181</v>
      </c>
      <c r="F7" s="96" t="s">
        <v>182</v>
      </c>
      <c r="G7" s="96" t="s">
        <v>183</v>
      </c>
      <c r="H7" s="96" t="s">
        <v>184</v>
      </c>
      <c r="I7" s="96" t="s">
        <v>185</v>
      </c>
      <c r="J7" s="96" t="s">
        <v>186</v>
      </c>
      <c r="K7" s="96" t="s">
        <v>187</v>
      </c>
    </row>
    <row r="8" spans="1:11" s="56" customFormat="1" ht="29.25" customHeight="1" x14ac:dyDescent="0.25">
      <c r="B8" s="100"/>
      <c r="C8" s="97"/>
      <c r="D8" s="97"/>
      <c r="E8" s="97"/>
      <c r="F8" s="97"/>
      <c r="G8" s="97"/>
      <c r="H8" s="97"/>
      <c r="I8" s="97"/>
      <c r="J8" s="97"/>
      <c r="K8" s="97"/>
    </row>
    <row r="9" spans="1:11" x14ac:dyDescent="0.25">
      <c r="B9" s="67" t="s">
        <v>188</v>
      </c>
      <c r="C9" s="67" t="s">
        <v>189</v>
      </c>
      <c r="D9" s="57">
        <v>20626077</v>
      </c>
      <c r="E9" s="57">
        <v>46670248</v>
      </c>
      <c r="F9" s="57">
        <v>24757252</v>
      </c>
      <c r="G9" s="57">
        <v>26201225</v>
      </c>
      <c r="H9" s="57">
        <v>34399228</v>
      </c>
      <c r="I9" s="57">
        <v>12811237</v>
      </c>
      <c r="J9" s="57">
        <v>0</v>
      </c>
      <c r="K9" s="58">
        <f>SUM(D9:J9)</f>
        <v>165465267</v>
      </c>
    </row>
    <row r="10" spans="1:11" x14ac:dyDescent="0.25">
      <c r="K10" s="59"/>
    </row>
    <row r="11" spans="1:11" ht="15" x14ac:dyDescent="0.3">
      <c r="B11" s="61" t="s">
        <v>190</v>
      </c>
      <c r="K11" s="59"/>
    </row>
    <row r="12" spans="1:11" x14ac:dyDescent="0.25">
      <c r="B12" s="100" t="s">
        <v>178</v>
      </c>
      <c r="C12" s="96" t="s">
        <v>179</v>
      </c>
      <c r="D12" s="96" t="s">
        <v>180</v>
      </c>
      <c r="E12" s="96" t="s">
        <v>181</v>
      </c>
      <c r="F12" s="96" t="s">
        <v>182</v>
      </c>
      <c r="G12" s="96" t="s">
        <v>183</v>
      </c>
      <c r="H12" s="96" t="s">
        <v>184</v>
      </c>
      <c r="I12" s="96" t="s">
        <v>185</v>
      </c>
      <c r="J12" s="96" t="s">
        <v>186</v>
      </c>
      <c r="K12" s="96" t="s">
        <v>187</v>
      </c>
    </row>
    <row r="13" spans="1:11" x14ac:dyDescent="0.25">
      <c r="B13" s="100"/>
      <c r="C13" s="97"/>
      <c r="D13" s="97"/>
      <c r="E13" s="97"/>
      <c r="F13" s="97"/>
      <c r="G13" s="97"/>
      <c r="H13" s="97"/>
      <c r="I13" s="97"/>
      <c r="J13" s="97"/>
      <c r="K13" s="97"/>
    </row>
    <row r="14" spans="1:11" x14ac:dyDescent="0.25">
      <c r="B14" s="67" t="s">
        <v>188</v>
      </c>
      <c r="C14" s="67" t="s">
        <v>189</v>
      </c>
      <c r="D14" s="58">
        <v>316896</v>
      </c>
      <c r="E14" s="58">
        <v>1842594</v>
      </c>
      <c r="F14" s="58">
        <v>872110</v>
      </c>
      <c r="G14" s="58">
        <v>1482587</v>
      </c>
      <c r="H14" s="58">
        <v>1659276</v>
      </c>
      <c r="I14" s="68">
        <v>0</v>
      </c>
      <c r="J14" s="68">
        <v>0</v>
      </c>
      <c r="K14" s="58">
        <f>SUM(D14:J14)</f>
        <v>6173463</v>
      </c>
    </row>
    <row r="16" spans="1:11" ht="15.75" thickBot="1" x14ac:dyDescent="0.35">
      <c r="B16" s="63" t="s">
        <v>193</v>
      </c>
      <c r="C16" s="63"/>
      <c r="D16" s="64">
        <f t="shared" ref="D16:K16" si="0">D9+D14</f>
        <v>20942973</v>
      </c>
      <c r="E16" s="64">
        <f t="shared" si="0"/>
        <v>48512842</v>
      </c>
      <c r="F16" s="64">
        <f t="shared" si="0"/>
        <v>25629362</v>
      </c>
      <c r="G16" s="64">
        <f t="shared" si="0"/>
        <v>27683812</v>
      </c>
      <c r="H16" s="64">
        <f t="shared" si="0"/>
        <v>36058504</v>
      </c>
      <c r="I16" s="64">
        <f t="shared" si="0"/>
        <v>12811237</v>
      </c>
      <c r="J16" s="64">
        <f t="shared" si="0"/>
        <v>0</v>
      </c>
      <c r="K16" s="64">
        <f t="shared" si="0"/>
        <v>171638730</v>
      </c>
    </row>
    <row r="17" spans="2:11" ht="14.25" thickTop="1" x14ac:dyDescent="0.25"/>
    <row r="18" spans="2:11" ht="15.75" thickBot="1" x14ac:dyDescent="0.35">
      <c r="B18" s="65" t="s">
        <v>192</v>
      </c>
      <c r="C18" s="65"/>
      <c r="D18" s="66">
        <f>SUM('Contrato vs Factura (mensual)'!AC15:AC25)</f>
        <v>21248499</v>
      </c>
      <c r="E18" s="66">
        <f>SUM('Contrato vs Factura (mensual)'!AC26:AC36)</f>
        <v>52353523</v>
      </c>
      <c r="F18" s="66">
        <f>SUM('Contrato vs Factura (mensual)'!AC59:AC69)</f>
        <v>18136837</v>
      </c>
      <c r="G18" s="66">
        <f>SUM('Contrato vs Factura (mensual)'!AC37:AC47)</f>
        <v>26948759</v>
      </c>
      <c r="H18" s="66">
        <f>SUM('Contrato vs Factura (mensual)'!AC48:AC58)</f>
        <v>34399228</v>
      </c>
      <c r="I18" s="66">
        <f>SUM('Contrato vs Factura (mensual)'!AC70:AC72)</f>
        <v>4641305</v>
      </c>
      <c r="J18" s="66">
        <f>SUM('Contrato vs Factura (mensual)'!AC73:AC75)</f>
        <v>501797</v>
      </c>
      <c r="K18" s="74">
        <f>SUM(D18:J18)</f>
        <v>158229948</v>
      </c>
    </row>
    <row r="19" spans="2:11" ht="14.25" thickTop="1" x14ac:dyDescent="0.25">
      <c r="J19" s="60"/>
    </row>
    <row r="20" spans="2:11" ht="15.75" thickBot="1" x14ac:dyDescent="0.35">
      <c r="B20" s="69" t="s">
        <v>194</v>
      </c>
      <c r="C20" s="69"/>
      <c r="D20" s="70">
        <f>D16-D18</f>
        <v>-305526</v>
      </c>
      <c r="E20" s="73">
        <f t="shared" ref="E20:J20" si="1">E16-E18</f>
        <v>-3840681</v>
      </c>
      <c r="F20" s="73">
        <f t="shared" si="1"/>
        <v>7492525</v>
      </c>
      <c r="G20" s="70">
        <f t="shared" si="1"/>
        <v>735053</v>
      </c>
      <c r="H20" s="70">
        <f t="shared" si="1"/>
        <v>1659276</v>
      </c>
      <c r="I20" s="73">
        <f t="shared" si="1"/>
        <v>8169932</v>
      </c>
      <c r="J20" s="70">
        <f t="shared" si="1"/>
        <v>-501797</v>
      </c>
      <c r="K20" s="70">
        <f>SUM(D20:J20)</f>
        <v>13408782</v>
      </c>
    </row>
    <row r="21" spans="2:11" ht="14.25" thickTop="1" x14ac:dyDescent="0.25"/>
    <row r="23" spans="2:11" ht="15" x14ac:dyDescent="0.3">
      <c r="B23" s="61" t="s">
        <v>195</v>
      </c>
      <c r="C23" s="61"/>
      <c r="D23" s="71">
        <f>SUM('Contrato vs Factura (mensual)'!T15:T25)</f>
        <v>26136948.375669833</v>
      </c>
      <c r="E23" s="71">
        <f>SUM('Contrato vs Factura (mensual)'!T26:T36)</f>
        <v>62650457.939887986</v>
      </c>
      <c r="F23" s="71">
        <f>SUM('Contrato vs Factura (mensual)'!T59:T69)</f>
        <v>32650677.011999998</v>
      </c>
      <c r="G23" s="71">
        <f>SUM('Contrato vs Factura (mensual)'!T37:T47)</f>
        <v>47972381.933200002</v>
      </c>
      <c r="H23" s="71">
        <f>SUM('Contrato vs Factura (mensual)'!T48:T58)</f>
        <v>54468954.264420003</v>
      </c>
      <c r="I23" s="71">
        <f>SUM('Contrato vs Factura (mensual)'!T70:T72)</f>
        <v>12187403.966400001</v>
      </c>
      <c r="J23" s="71">
        <f>SUM('Contrato vs Factura (mensual)'!T73:T75)</f>
        <v>3268230.4425720004</v>
      </c>
      <c r="K23" s="72">
        <f>SUM(D23:J23)</f>
        <v>239335053.9341498</v>
      </c>
    </row>
    <row r="25" spans="2:11" x14ac:dyDescent="0.25">
      <c r="B25" s="51" t="s">
        <v>196</v>
      </c>
      <c r="D25" s="72">
        <f>D16-D23</f>
        <v>-5193975.3756698333</v>
      </c>
      <c r="E25" s="72">
        <f t="shared" ref="E25:J25" si="2">E16-E23</f>
        <v>-14137615.939887986</v>
      </c>
      <c r="F25" s="72">
        <f t="shared" si="2"/>
        <v>-7021315.0119999982</v>
      </c>
      <c r="G25" s="72">
        <f t="shared" si="2"/>
        <v>-20288569.933200002</v>
      </c>
      <c r="H25" s="72">
        <f t="shared" si="2"/>
        <v>-18410450.264420003</v>
      </c>
      <c r="I25" s="72">
        <f t="shared" si="2"/>
        <v>623833.0335999988</v>
      </c>
      <c r="J25" s="72">
        <f t="shared" si="2"/>
        <v>-3268230.4425720004</v>
      </c>
      <c r="K25" s="72">
        <f>SUM(D25:J25)</f>
        <v>-67696323.934149817</v>
      </c>
    </row>
    <row r="28" spans="2:11" ht="15" x14ac:dyDescent="0.3">
      <c r="B28" s="75" t="s">
        <v>197</v>
      </c>
    </row>
    <row r="30" spans="2:11" x14ac:dyDescent="0.25">
      <c r="B30" s="99" t="s">
        <v>198</v>
      </c>
      <c r="C30" s="99"/>
      <c r="D30" s="99"/>
      <c r="E30" s="99"/>
      <c r="F30" s="99"/>
      <c r="G30" s="99"/>
      <c r="H30" s="99"/>
    </row>
    <row r="31" spans="2:11" ht="24.75" customHeight="1" x14ac:dyDescent="0.25">
      <c r="B31" s="99"/>
      <c r="C31" s="99"/>
      <c r="D31" s="99"/>
      <c r="E31" s="99"/>
      <c r="F31" s="99"/>
      <c r="G31" s="99"/>
      <c r="H31" s="99"/>
    </row>
    <row r="32" spans="2:11" x14ac:dyDescent="0.25">
      <c r="B32" s="99" t="s">
        <v>199</v>
      </c>
      <c r="C32" s="99"/>
      <c r="D32" s="99"/>
      <c r="E32" s="99"/>
      <c r="F32" s="99"/>
      <c r="G32" s="99"/>
      <c r="H32" s="99"/>
    </row>
    <row r="33" spans="2:8" x14ac:dyDescent="0.25">
      <c r="B33" s="99"/>
      <c r="C33" s="99"/>
      <c r="D33" s="99"/>
      <c r="E33" s="99"/>
      <c r="F33" s="99"/>
      <c r="G33" s="99"/>
      <c r="H33" s="99"/>
    </row>
  </sheetData>
  <mergeCells count="24">
    <mergeCell ref="B30:H31"/>
    <mergeCell ref="B32:H33"/>
    <mergeCell ref="K7:K8"/>
    <mergeCell ref="B12:B13"/>
    <mergeCell ref="C12:C13"/>
    <mergeCell ref="D12:D13"/>
    <mergeCell ref="E12:E13"/>
    <mergeCell ref="E7:E8"/>
    <mergeCell ref="F7:F8"/>
    <mergeCell ref="G7:G8"/>
    <mergeCell ref="H7:H8"/>
    <mergeCell ref="I7:I8"/>
    <mergeCell ref="J7:J8"/>
    <mergeCell ref="B7:B8"/>
    <mergeCell ref="K12:K13"/>
    <mergeCell ref="B2:K2"/>
    <mergeCell ref="B3:K3"/>
    <mergeCell ref="C7:C8"/>
    <mergeCell ref="D7:D8"/>
    <mergeCell ref="F12:F13"/>
    <mergeCell ref="G12:G13"/>
    <mergeCell ref="H12:H13"/>
    <mergeCell ref="I12:I13"/>
    <mergeCell ref="J12:J13"/>
  </mergeCells>
  <pageMargins left="0.7" right="0.7" top="0.75" bottom="0.75" header="0.3" footer="0.3"/>
  <ignoredErrors>
    <ignoredError sqref="B9 B14" numberStoredAsText="1"/>
  </ignoredError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C0FDD3EE9C26F4CA38A0CE1A876A831" ma:contentTypeVersion="13" ma:contentTypeDescription="Crear nuevo documento." ma:contentTypeScope="" ma:versionID="16cf257b6c387c7fea6f0b759aa0b013">
  <xsd:schema xmlns:xsd="http://www.w3.org/2001/XMLSchema" xmlns:xs="http://www.w3.org/2001/XMLSchema" xmlns:p="http://schemas.microsoft.com/office/2006/metadata/properties" xmlns:ns2="fa8ec313-c772-4af8-8363-8ff52de2e6b8" xmlns:ns3="6a7ff2fa-cd4c-4111-a6ab-75351164d87f" targetNamespace="http://schemas.microsoft.com/office/2006/metadata/properties" ma:root="true" ma:fieldsID="8d0af6c36f4bb39778c9f918492ed4d2" ns2:_="" ns3:_="">
    <xsd:import namespace="fa8ec313-c772-4af8-8363-8ff52de2e6b8"/>
    <xsd:import namespace="6a7ff2fa-cd4c-4111-a6ab-75351164d87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8ec313-c772-4af8-8363-8ff52de2e6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descriptio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a8628a9a-fe43-4aa1-831f-7a8d34a1dc1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a7ff2fa-cd4c-4111-a6ab-75351164d87f"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be79fc52-165f-40d1-92ec-16de0f3dee68}" ma:internalName="TaxCatchAll" ma:showField="CatchAllData" ma:web="6a7ff2fa-cd4c-4111-a6ab-75351164d87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a7ff2fa-cd4c-4111-a6ab-75351164d87f" xsi:nil="true"/>
    <lcf76f155ced4ddcb4097134ff3c332f xmlns="fa8ec313-c772-4af8-8363-8ff52de2e6b8">
      <Terms xmlns="http://schemas.microsoft.com/office/infopath/2007/PartnerControls"/>
    </lcf76f155ced4ddcb4097134ff3c332f>
    <MediaLengthInSeconds xmlns="fa8ec313-c772-4af8-8363-8ff52de2e6b8" xsi:nil="true"/>
  </documentManagement>
</p:properties>
</file>

<file path=customXml/itemProps1.xml><?xml version="1.0" encoding="utf-8"?>
<ds:datastoreItem xmlns:ds="http://schemas.openxmlformats.org/officeDocument/2006/customXml" ds:itemID="{1A5354B2-646F-4463-84C7-B45C574B71A9}"/>
</file>

<file path=customXml/itemProps2.xml><?xml version="1.0" encoding="utf-8"?>
<ds:datastoreItem xmlns:ds="http://schemas.openxmlformats.org/officeDocument/2006/customXml" ds:itemID="{77D88089-257A-4D43-8563-CF1B7A93726A}"/>
</file>

<file path=customXml/itemProps3.xml><?xml version="1.0" encoding="utf-8"?>
<ds:datastoreItem xmlns:ds="http://schemas.openxmlformats.org/officeDocument/2006/customXml" ds:itemID="{35359898-98CE-4F11-8D05-5B3ED880195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Resumen Contrato</vt:lpstr>
      <vt:lpstr>Contrato vs Factura (mensual)</vt:lpstr>
      <vt:lpstr>Cobros Adicionales</vt:lpstr>
      <vt:lpstr>Mayores Contables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Yessenia Pino</dc:creator>
  <cp:lastModifiedBy>Yessenia Pino</cp:lastModifiedBy>
  <dcterms:created xsi:type="dcterms:W3CDTF">2021-11-05T16:47:13Z</dcterms:created>
  <dcterms:modified xsi:type="dcterms:W3CDTF">2021-12-17T15:32:31Z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0x0101008C0FDD3EE9C26F4CA38A0CE1A876A831</vt:lpwstr>
  </property>
  <property fmtid="{D5CDD505-2E9C-101B-9397-08002B2CF9AE}" pid="3" name="Order">
    <vt:r8>612100</vt:r8>
  </property>
  <property fmtid="{D5CDD505-2E9C-101B-9397-08002B2CF9AE}" pid="4" name="TriggerFlowInfo">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ies>
</file>