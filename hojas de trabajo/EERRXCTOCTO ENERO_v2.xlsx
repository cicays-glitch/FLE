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25B18618-FA7B-41C0-8DAA-8E14808E6494}" xr6:coauthVersionLast="47" xr6:coauthVersionMax="47" xr10:uidLastSave="{00000000-0000-0000-0000-000000000000}"/>
  <bookViews>
    <workbookView xWindow="20525" yWindow="-107" windowWidth="20848" windowHeight="11111" xr2:uid="{936E2F5D-4E0B-48FF-9344-F3C939A973E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2" i="1" l="1"/>
  <c r="S63" i="1"/>
  <c r="S61" i="1"/>
  <c r="AE61" i="1" s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2" i="1"/>
  <c r="AE63" i="1"/>
  <c r="AE64" i="1"/>
  <c r="AE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2" i="1"/>
  <c r="B61" i="1"/>
  <c r="A61" i="1" s="1"/>
  <c r="B62" i="1"/>
  <c r="A62" i="1" s="1"/>
  <c r="B63" i="1"/>
  <c r="A63" i="1" s="1"/>
  <c r="B64" i="1"/>
  <c r="A64" i="1" s="1"/>
  <c r="B57" i="1"/>
  <c r="A57" i="1" s="1"/>
  <c r="B58" i="1"/>
  <c r="A58" i="1" s="1"/>
  <c r="B59" i="1"/>
  <c r="A59" i="1" s="1"/>
  <c r="B60" i="1"/>
  <c r="A60" i="1" s="1"/>
  <c r="B53" i="1"/>
  <c r="A53" i="1" s="1"/>
  <c r="B54" i="1"/>
  <c r="A54" i="1" s="1"/>
  <c r="B55" i="1"/>
  <c r="A55" i="1" s="1"/>
  <c r="B56" i="1"/>
  <c r="A56" i="1" s="1"/>
  <c r="B52" i="1"/>
  <c r="A52" i="1" s="1"/>
  <c r="B50" i="1"/>
  <c r="A50" i="1" s="1"/>
  <c r="B51" i="1"/>
  <c r="A51" i="1" s="1"/>
  <c r="B48" i="1"/>
  <c r="A48" i="1" s="1"/>
  <c r="B49" i="1"/>
  <c r="A49" i="1" s="1"/>
  <c r="B44" i="1"/>
  <c r="B45" i="1"/>
  <c r="A45" i="1" s="1"/>
  <c r="B46" i="1"/>
  <c r="A46" i="1" s="1"/>
  <c r="B47" i="1"/>
  <c r="A47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A44" i="1"/>
  <c r="B32" i="1"/>
  <c r="A32" i="1" s="1"/>
  <c r="B33" i="1"/>
  <c r="A33" i="1" s="1"/>
  <c r="B34" i="1"/>
  <c r="A34" i="1" s="1"/>
  <c r="B30" i="1"/>
  <c r="A30" i="1" s="1"/>
  <c r="B31" i="1"/>
  <c r="A31" i="1" s="1"/>
  <c r="B28" i="1"/>
  <c r="A28" i="1" s="1"/>
  <c r="B29" i="1"/>
  <c r="A29" i="1" s="1"/>
  <c r="B27" i="1"/>
  <c r="A27" i="1" s="1"/>
  <c r="B26" i="1"/>
  <c r="A26" i="1" s="1"/>
  <c r="B24" i="1"/>
  <c r="A24" i="1" s="1"/>
  <c r="B25" i="1"/>
  <c r="A25" i="1" s="1"/>
  <c r="B22" i="1"/>
  <c r="A22" i="1" s="1"/>
  <c r="B23" i="1"/>
  <c r="A23" i="1" s="1"/>
  <c r="B21" i="1"/>
  <c r="A21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6" i="1"/>
  <c r="A6" i="1" s="1"/>
  <c r="B7" i="1"/>
  <c r="A7" i="1" s="1"/>
  <c r="B8" i="1"/>
  <c r="A8" i="1" s="1"/>
  <c r="B9" i="1"/>
  <c r="A9" i="1" s="1"/>
  <c r="B10" i="1"/>
  <c r="A10" i="1" s="1"/>
  <c r="B5" i="1"/>
  <c r="A5" i="1" s="1"/>
  <c r="B4" i="1"/>
  <c r="A4" i="1" s="1"/>
</calcChain>
</file>

<file path=xl/sharedStrings.xml><?xml version="1.0" encoding="utf-8"?>
<sst xmlns="http://schemas.openxmlformats.org/spreadsheetml/2006/main" count="224" uniqueCount="164">
  <si>
    <t>CUENTA</t>
  </si>
  <si>
    <t>DESCRIPCION</t>
  </si>
  <si>
    <t>ADMINISTRACION</t>
  </si>
  <si>
    <t>TRANSITO</t>
  </si>
  <si>
    <t>MARKETING</t>
  </si>
  <si>
    <t>FLEXI ECOMMERCE</t>
  </si>
  <si>
    <t>FLEXI PLAZA EGAÑA</t>
  </si>
  <si>
    <t>FLEXI PLAZA VESPUCIO</t>
  </si>
  <si>
    <t>FLEXI EL TREBOL</t>
  </si>
  <si>
    <t>FLEXI COSTANERA CENTER</t>
  </si>
  <si>
    <t>FLEXI FLORIDA CENTER</t>
  </si>
  <si>
    <t>FLEXI BARROS ARANA</t>
  </si>
  <si>
    <t>FLEXI ESTADO</t>
  </si>
  <si>
    <t>FLEXI TALCA</t>
  </si>
  <si>
    <t>CEDIS CHILE</t>
  </si>
  <si>
    <t>MARKETPLACE</t>
  </si>
  <si>
    <t>DAFITI</t>
  </si>
  <si>
    <t>MERCADO LIBRE</t>
  </si>
  <si>
    <t>CENCOSUD</t>
  </si>
  <si>
    <t>RIPLEY MARKETPLACE</t>
  </si>
  <si>
    <t>FALABELLA</t>
  </si>
  <si>
    <t>MULTICENTRO</t>
  </si>
  <si>
    <t>RIPLEY</t>
  </si>
  <si>
    <t>FLEXI PLAZA NORTE</t>
  </si>
  <si>
    <t>PLAZA OESTE</t>
  </si>
  <si>
    <t>Totales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</si>
  <si>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</si>
  <si>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</si>
  <si>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</si>
  <si>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</si>
  <si>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</si>
  <si>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</si>
  <si>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</si>
  <si>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</si>
  <si>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</si>
  <si>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</si>
  <si>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</si>
  <si>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</si>
  <si>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</si>
  <si>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</si>
  <si>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</si>
  <si>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</si>
  <si>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</si>
  <si>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</si>
  <si>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</si>
  <si>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</si>
  <si>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</si>
  <si>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</si>
  <si>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</si>
  <si>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</si>
  <si>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</si>
  <si>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</si>
  <si>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</si>
  <si>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</si>
  <si>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</si>
  <si>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</si>
  <si>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</si>
  <si>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</si>
  <si>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</si>
  <si>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</si>
  <si>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</si>
  <si>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</si>
  <si>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</si>
  <si>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</si>
  <si>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</si>
  <si>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</si>
  <si>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</si>
  <si>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</si>
  <si>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</si>
  <si>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</si>
  <si>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</si>
  <si>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</si>
  <si>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</si>
  <si>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</si>
  <si>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</si>
  <si>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</si>
  <si>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</si>
  <si>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</si>
  <si>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</si>
  <si>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</si>
  <si>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</si>
  <si>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</si>
  <si>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</si>
  <si>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</si>
  <si>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</si>
  <si>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</si>
  <si>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</si>
  <si>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</si>
  <si>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</si>
  <si>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</si>
  <si>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</si>
  <si>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</si>
  <si>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</si>
  <si>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</si>
  <si>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</si>
  <si>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</si>
  <si>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</si>
  <si>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</si>
  <si>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</si>
  <si>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</si>
  <si>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</si>
  <si>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</si>
  <si>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</si>
  <si>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</si>
  <si>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</si>
  <si>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</si>
  <si>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</si>
  <si>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</si>
  <si>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</si>
  <si>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</si>
  <si>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</si>
  <si>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</si>
  <si>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</si>
  <si>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</si>
  <si>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</si>
  <si>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</si>
  <si>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</si>
  <si>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</si>
  <si>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</si>
  <si>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</si>
  <si>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</si>
  <si>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</si>
  <si>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</si>
  <si>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</si>
  <si>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</si>
  <si>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</si>
  <si>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</si>
  <si>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</si>
  <si>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</si>
  <si>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</si>
  <si>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</si>
  <si>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</si>
  <si>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</si>
  <si>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</si>
  <si>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</si>
  <si>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</si>
  <si>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</si>
  <si>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</si>
  <si>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</si>
  <si>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</si>
  <si>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</si>
  <si>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</si>
  <si>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</si>
  <si>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</si>
  <si>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</si>
  <si>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</si>
  <si>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</si>
  <si>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</si>
  <si>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</si>
  <si>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</si>
  <si>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</si>
  <si>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</si>
  <si>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</si>
  <si>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</si>
  <si>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</si>
  <si>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</si>
  <si>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</si>
  <si>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</si>
  <si>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</si>
  <si>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</si>
  <si>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</si>
  <si>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</si>
  <si>
    <t>online</t>
  </si>
  <si>
    <t>depart.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</si>
</sst>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2" fillId="4" borderId="0" applyNumberFormat="0" applyBorder="0" applyAlignment="0" applyProtection="0"/>
    <xf numFmtId="0" fontId="1" fillId="0" borderId="0"/>
    <xf numFmtId="0" fontId="20" fillId="0" borderId="0"/>
    <xf numFmtId="0" fontId="19" fillId="0" borderId="0" applyNumberFormat="0" applyFill="0" applyBorder="0">
      <alignment vertical="center"/>
    </xf>
    <xf numFmtId="0" fontId="21" fillId="0" borderId="0"/>
    <xf numFmtId="0" fontId="1" fillId="0" borderId="0"/>
    <xf numFmtId="0" fontId="19" fillId="0" borderId="0" applyNumberFormat="0" applyFill="0" applyBorder="0">
      <alignment vertical="center"/>
    </xf>
    <xf numFmtId="0" fontId="23" fillId="0" borderId="0"/>
    <xf numFmtId="16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4" borderId="0" applyNumberFormat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4" borderId="0" applyNumberFormat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4" borderId="0" applyNumberFormat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4" borderId="0" applyNumberFormat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22" fillId="4" borderId="0" applyNumberFormat="0" applyBorder="0" applyAlignment="0" applyProtection="0"/>
    <xf numFmtId="169" fontId="17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4" borderId="0" applyNumberFormat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4" borderId="0" applyNumberFormat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2" fillId="4" borderId="0" applyNumberFormat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36" borderId="0" xfId="0" applyFill="1"/>
    <xf numFmtId="3" fontId="0" fillId="36" borderId="0" xfId="0" applyNumberFormat="1" applyFill="1"/>
    <xf numFmtId="0" fontId="26" fillId="35" borderId="10" xfId="0" applyFont="1" applyFill="1" applyBorder="1" applyAlignment="1">
      <alignment horizontal="center" wrapText="1"/>
    </xf>
    <xf numFmtId="0" fontId="26" fillId="37" borderId="10" xfId="0" applyFont="1" applyFill="1" applyBorder="1" applyAlignment="1">
      <alignment horizontal="center" wrapText="1"/>
    </xf>
    <xf numFmtId="10" fontId="0" fillId="36" borderId="0" xfId="0" applyNumberFormat="1" applyFill="1"/>
    <xf numFmtId="0" fontId="26" fillId="36" borderId="10" xfId="0" applyFont="1" applyFill="1" applyBorder="1" applyAlignment="1">
      <alignment horizontal="center" wrapText="1"/>
    </xf>
    <xf numFmtId="0" fontId="26" fillId="0" borderId="10" xfId="0" applyFont="1" applyBorder="1"/>
    <xf numFmtId="0" fontId="25" fillId="0" borderId="0" xfId="0" applyFont="1"/>
    <xf numFmtId="0" fontId="26" fillId="0" borderId="10" xfId="0" applyFont="1" applyBorder="1" applyAlignment="1">
      <alignment horizontal="center" wrapText="1"/>
    </xf>
    <xf numFmtId="0" fontId="0" fillId="0" borderId="0" xfId="0"/>
    <xf numFmtId="0" fontId="24" fillId="0" borderId="10" xfId="0" applyFont="1" applyBorder="1"/>
    <xf numFmtId="3" fontId="0" fillId="0" borderId="0" xfId="0" applyNumberFormat="1"/>
    <xf numFmtId="10" fontId="0" fillId="0" borderId="0" xfId="0" applyNumberFormat="1"/>
    <xf numFmtId="0" fontId="24" fillId="34" borderId="10" xfId="0" applyFont="1" applyFill="1" applyBorder="1"/>
  </cellXfs>
  <cellStyles count="144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6B0166BC-5335-478D-BB52-F27F23902483}"/>
    <cellStyle name="60% - Énfasis1 10" xfId="36" xr:uid="{61805FB0-E72F-4125-8548-58F6F5659DB8}"/>
    <cellStyle name="60% - Énfasis1 2" xfId="64" xr:uid="{5C3A5754-3FD9-4B7D-8C75-32BBA1F83ADE}"/>
    <cellStyle name="60% - Énfasis1 3" xfId="82" xr:uid="{43E0D45F-22EF-4766-9D30-1C6A11FA053E}"/>
    <cellStyle name="60% - Énfasis1 4" xfId="111" xr:uid="{6F0B116E-AE07-4894-B190-0A7A2018EBFC}"/>
    <cellStyle name="60% - Énfasis1 5" xfId="161" xr:uid="{99D3F01B-88A7-4172-B5DE-38637C9C22AD}"/>
    <cellStyle name="60% - Énfasis1 6" xfId="250" xr:uid="{06C23F1F-CE56-48DA-9370-D23AE3D05DAC}"/>
    <cellStyle name="60% - Énfasis1 7" xfId="265" xr:uid="{DBCE1B42-0882-459F-831E-2999B2FB5A17}"/>
    <cellStyle name="60% - Énfasis1 8" xfId="438" xr:uid="{57E8A5F0-0347-411C-A7CB-BC5303057CB6}"/>
    <cellStyle name="60% - Énfasis1 9" xfId="777" xr:uid="{7BB3A60C-3C27-402F-A7DF-529FC52CD224}"/>
    <cellStyle name="60% - Énfasis2 10" xfId="37" xr:uid="{FABC6C18-25BF-4F46-935C-A5B18CC846EC}"/>
    <cellStyle name="60% - Énfasis2 2" xfId="65" xr:uid="{851D8347-25DA-4AF1-A43A-3823E4CFD506}"/>
    <cellStyle name="60% - Énfasis2 3" xfId="83" xr:uid="{CB362EB3-A478-452F-B09A-FE0327A506E6}"/>
    <cellStyle name="60% - Énfasis2 4" xfId="112" xr:uid="{CED3B95A-726F-4D58-9B77-E828E3339A1C}"/>
    <cellStyle name="60% - Énfasis2 5" xfId="162" xr:uid="{7454EFA0-0F4E-4CAC-95D2-393E98C124FC}"/>
    <cellStyle name="60% - Énfasis2 6" xfId="251" xr:uid="{F1DD33AB-E553-45CA-95DE-A11A6E5242C7}"/>
    <cellStyle name="60% - Énfasis2 7" xfId="266" xr:uid="{055F00A7-F614-40A3-8010-BD9410B4F187}"/>
    <cellStyle name="60% - Énfasis2 8" xfId="439" xr:uid="{C609340C-B0EB-417D-96A0-12E5B8D5BFB2}"/>
    <cellStyle name="60% - Énfasis2 9" xfId="778" xr:uid="{5E670F74-3E68-4317-BB58-976B5DEB6B60}"/>
    <cellStyle name="60% - Énfasis3 10" xfId="38" xr:uid="{2194AAAF-891F-46FD-A287-53DA524D6086}"/>
    <cellStyle name="60% - Énfasis3 2" xfId="66" xr:uid="{3BF9561B-9BAF-4CBA-BA82-504013A0A145}"/>
    <cellStyle name="60% - Énfasis3 3" xfId="84" xr:uid="{2F9DA8DE-F6B4-4863-93F9-9F1EB46F6BD1}"/>
    <cellStyle name="60% - Énfasis3 4" xfId="113" xr:uid="{6A22222F-2094-411A-8B0B-C1845F26C778}"/>
    <cellStyle name="60% - Énfasis3 5" xfId="163" xr:uid="{1189FBB4-D386-4BEA-BF3D-CAB47893A769}"/>
    <cellStyle name="60% - Énfasis3 6" xfId="252" xr:uid="{6EED5E41-B5F4-4024-948A-92CDD1C74A9A}"/>
    <cellStyle name="60% - Énfasis3 7" xfId="267" xr:uid="{F4A74016-EC10-4126-AD0D-6DB537843B69}"/>
    <cellStyle name="60% - Énfasis3 8" xfId="440" xr:uid="{8A8A8FF4-F349-40A0-9D59-9CF4E9585FEE}"/>
    <cellStyle name="60% - Énfasis3 9" xfId="779" xr:uid="{AA75B5D7-43C3-448D-B83A-1F7B17809D2E}"/>
    <cellStyle name="60% - Énfasis4 10" xfId="39" xr:uid="{6AF7CD8F-17A3-4E1B-A234-A617BD061E28}"/>
    <cellStyle name="60% - Énfasis4 2" xfId="67" xr:uid="{C9603136-43A4-4A56-85E9-6A420A7EC73D}"/>
    <cellStyle name="60% - Énfasis4 3" xfId="85" xr:uid="{8FBD84F9-C408-4A01-8131-79445848DD16}"/>
    <cellStyle name="60% - Énfasis4 4" xfId="114" xr:uid="{73897180-1C8A-4551-8926-3DA6E1655204}"/>
    <cellStyle name="60% - Énfasis4 5" xfId="164" xr:uid="{68925EC9-A994-453F-BE4C-A61B2A9FC8C2}"/>
    <cellStyle name="60% - Énfasis4 6" xfId="253" xr:uid="{B2D00944-EFC2-4951-976F-3AFC8828BB9A}"/>
    <cellStyle name="60% - Énfasis4 7" xfId="268" xr:uid="{C3002149-23DA-426B-9F73-EDDC258C28B4}"/>
    <cellStyle name="60% - Énfasis4 8" xfId="441" xr:uid="{2E0C1324-C663-4C5B-9497-913BBD9AAF76}"/>
    <cellStyle name="60% - Énfasis4 9" xfId="780" xr:uid="{43931885-4E19-48FB-82DF-18B330359F1A}"/>
    <cellStyle name="60% - Énfasis5 10" xfId="40" xr:uid="{1FC26050-DF11-4A3A-AE65-A38F30844744}"/>
    <cellStyle name="60% - Énfasis5 2" xfId="68" xr:uid="{1EF2A068-4510-4FBC-8E50-1181367FF6A2}"/>
    <cellStyle name="60% - Énfasis5 3" xfId="86" xr:uid="{2FF2C733-B472-46F8-89F9-8FA5E8A70AB1}"/>
    <cellStyle name="60% - Énfasis5 4" xfId="115" xr:uid="{B5D58C0E-8B98-4E28-A332-A42347C584DB}"/>
    <cellStyle name="60% - Énfasis5 5" xfId="165" xr:uid="{893601A7-6C3B-4F72-B9D7-4F2827C16119}"/>
    <cellStyle name="60% - Énfasis5 6" xfId="254" xr:uid="{CCA2D295-3893-47DC-91B9-92242BC6962E}"/>
    <cellStyle name="60% - Énfasis5 7" xfId="269" xr:uid="{E9740F48-057A-42AA-9FF6-4F3B5A13A637}"/>
    <cellStyle name="60% - Énfasis5 8" xfId="442" xr:uid="{8724F0DC-931A-4786-84EA-77CAE5B00046}"/>
    <cellStyle name="60% - Énfasis5 9" xfId="781" xr:uid="{9381ACEA-24AB-4AAF-B766-11562CDE9107}"/>
    <cellStyle name="60% - Énfasis6 10" xfId="41" xr:uid="{2217D5D6-AD3D-474F-8ACE-3E40D64AFDA1}"/>
    <cellStyle name="60% - Énfasis6 2" xfId="69" xr:uid="{7AC8168E-783A-4B02-8196-C0A96648C89F}"/>
    <cellStyle name="60% - Énfasis6 3" xfId="87" xr:uid="{EE21947C-7ACC-4E6A-ABD6-9724B6FC5102}"/>
    <cellStyle name="60% - Énfasis6 4" xfId="116" xr:uid="{D44495B2-8E3F-4EEA-8E13-1384649CDC26}"/>
    <cellStyle name="60% - Énfasis6 5" xfId="166" xr:uid="{87DF685E-C395-457A-BA09-3F75D82C3EA5}"/>
    <cellStyle name="60% - Énfasis6 6" xfId="255" xr:uid="{B8134058-77F0-480F-8AA8-A8CE0DD484B6}"/>
    <cellStyle name="60% - Énfasis6 7" xfId="270" xr:uid="{1B1B8BAC-833F-41F6-B299-C587D4C4C6CC}"/>
    <cellStyle name="60% - Énfasis6 8" xfId="443" xr:uid="{DAA95798-AD5D-4069-9C87-9B54B660D1EE}"/>
    <cellStyle name="60% - Énfasis6 9" xfId="782" xr:uid="{0C44A712-2D92-4B9A-9AEC-69102B372789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E2D9F30C-58A9-448E-9493-4B2CB5275850}"/>
    <cellStyle name="Millares [0] 10 2" xfId="360" xr:uid="{78F2B72C-88EE-4B16-81E2-6F6B4AD9307D}"/>
    <cellStyle name="Millares [0] 10 2 2" xfId="699" xr:uid="{555B13BC-69B4-4D0D-92C3-55B3C9250ECB}"/>
    <cellStyle name="Millares [0] 10 2 2 2" xfId="1370" xr:uid="{3FCD10D1-4A3A-4D41-A43B-0FDC3F076336}"/>
    <cellStyle name="Millares [0] 10 2 3" xfId="1038" xr:uid="{E08F6AD7-58E0-479B-81D3-EA30FA69B6E8}"/>
    <cellStyle name="Millares [0] 10 3" xfId="533" xr:uid="{E0F427CC-956A-423E-8191-4C4B2D1364A0}"/>
    <cellStyle name="Millares [0] 10 3 2" xfId="1204" xr:uid="{41093214-D146-4A05-852D-D46FBE7D17DB}"/>
    <cellStyle name="Millares [0] 10 4" xfId="872" xr:uid="{4071B2BC-FABD-4C20-8093-7CEB0DBEE4A7}"/>
    <cellStyle name="Millares [0] 11" xfId="264" xr:uid="{19AA1F87-FDD0-4B46-959E-4FE1A6EC4C84}"/>
    <cellStyle name="Millares [0] 11 2" xfId="437" xr:uid="{D9AB4BEF-92CE-4202-8995-130D1A16EDA0}"/>
    <cellStyle name="Millares [0] 11 2 2" xfId="776" xr:uid="{DB0527DC-A9AD-4BC2-A17E-5C919D7FE986}"/>
    <cellStyle name="Millares [0] 11 2 2 2" xfId="1447" xr:uid="{3ECAE65B-4394-4E86-A8D6-967E7CF2F800}"/>
    <cellStyle name="Millares [0] 11 2 3" xfId="1115" xr:uid="{D96258D1-1C30-4E9A-848F-7842F62DBB11}"/>
    <cellStyle name="Millares [0] 11 3" xfId="610" xr:uid="{9E190ED7-67EE-4D7F-9102-3B65BF930F65}"/>
    <cellStyle name="Millares [0] 11 3 2" xfId="1281" xr:uid="{0D3579B3-DD5E-4449-9C0F-6136F03412B1}"/>
    <cellStyle name="Millares [0] 11 4" xfId="949" xr:uid="{1C965F8A-EB8B-4D91-B648-5DEF1C52D89D}"/>
    <cellStyle name="Millares [0] 12" xfId="278" xr:uid="{96B37505-4ADA-4B13-8BAE-B3816C81C066}"/>
    <cellStyle name="Millares [0] 12 2" xfId="617" xr:uid="{33480BEA-9241-4480-BC3C-A41541C1C73B}"/>
    <cellStyle name="Millares [0] 12 2 2" xfId="1288" xr:uid="{A5803D4C-D210-4793-9C72-C3A4D01F855C}"/>
    <cellStyle name="Millares [0] 12 3" xfId="956" xr:uid="{2FDEC322-A2AB-4B19-8C28-B392621F059A}"/>
    <cellStyle name="Millares [0] 13" xfId="451" xr:uid="{ED4692F0-9DA9-4FDA-A45E-2C3C7416193E}"/>
    <cellStyle name="Millares [0] 13 2" xfId="1122" xr:uid="{115F80B1-A936-4357-A9CD-01B4C5B776F5}"/>
    <cellStyle name="Millares [0] 14" xfId="790" xr:uid="{DFB1D1C2-A594-4E39-9C7C-5693F7825915}"/>
    <cellStyle name="Millares [0] 15" xfId="60" xr:uid="{00F4E718-920B-4C04-BE34-7DD056D19AA7}"/>
    <cellStyle name="Millares [0] 2" xfId="43" xr:uid="{94A984A1-DA01-4246-99CC-055F987F2462}"/>
    <cellStyle name="Millares [0] 2 2" xfId="257" xr:uid="{4F0AB5C4-05BE-4E00-8C61-897520D9E539}"/>
    <cellStyle name="Millares [0] 3" xfId="44" xr:uid="{DEF69627-1C55-4D54-B63E-155042BAA1C7}"/>
    <cellStyle name="Millares [0] 3 2" xfId="71" xr:uid="{359C3175-84F0-4C49-BDAA-F321ADA8C893}"/>
    <cellStyle name="Millares [0] 3 2 2" xfId="100" xr:uid="{B4C1982F-4D51-464E-8698-BD637108541A}"/>
    <cellStyle name="Millares [0] 3 2 2 2" xfId="148" xr:uid="{773D9818-1CF3-4799-BFD0-A9EB25888A3D}"/>
    <cellStyle name="Millares [0] 3 2 2 2 2" xfId="237" xr:uid="{E860D9BF-E17D-40E2-A1FF-0E42BFD3AEE3}"/>
    <cellStyle name="Millares [0] 3 2 2 2 2 2" xfId="423" xr:uid="{395A6153-6F54-43B8-A829-712DDBA182B1}"/>
    <cellStyle name="Millares [0] 3 2 2 2 2 2 2" xfId="762" xr:uid="{A95E3EF9-E777-4A3D-93C0-9F8623FCC872}"/>
    <cellStyle name="Millares [0] 3 2 2 2 2 2 2 2" xfId="1433" xr:uid="{87BBA629-4F35-4D1E-8300-4BA179D2B736}"/>
    <cellStyle name="Millares [0] 3 2 2 2 2 2 3" xfId="1101" xr:uid="{0759E099-B651-4D79-B4A5-CEA3322ADFF9}"/>
    <cellStyle name="Millares [0] 3 2 2 2 2 3" xfId="596" xr:uid="{54ADB312-2C8A-469A-AEA2-52183CEE2CCF}"/>
    <cellStyle name="Millares [0] 3 2 2 2 2 3 2" xfId="1267" xr:uid="{7EC9A4D5-1054-48CB-B41D-556DB54E4163}"/>
    <cellStyle name="Millares [0] 3 2 2 2 2 4" xfId="935" xr:uid="{8073C559-2461-4EB5-8831-051888D1E987}"/>
    <cellStyle name="Millares [0] 3 2 2 2 3" xfId="341" xr:uid="{E00C63C3-37D1-4314-8AC0-25CA7AAA6C99}"/>
    <cellStyle name="Millares [0] 3 2 2 2 3 2" xfId="680" xr:uid="{B8B18507-AF9F-47A2-A809-1DBCA8343EC9}"/>
    <cellStyle name="Millares [0] 3 2 2 2 3 2 2" xfId="1351" xr:uid="{704ED864-DAC9-4AB6-B445-319C0A824ED7}"/>
    <cellStyle name="Millares [0] 3 2 2 2 3 3" xfId="1019" xr:uid="{527DAC33-7EE5-4B55-ADB4-7CBCAB0E1742}"/>
    <cellStyle name="Millares [0] 3 2 2 2 4" xfId="514" xr:uid="{23914BDC-9C95-46E6-A668-26577BB96DDE}"/>
    <cellStyle name="Millares [0] 3 2 2 2 4 2" xfId="1185" xr:uid="{9205BC05-C5AB-41F8-AC0F-A72F7888834D}"/>
    <cellStyle name="Millares [0] 3 2 2 2 5" xfId="853" xr:uid="{2C78D4D7-21B2-4954-A0A0-90FDB72A566C}"/>
    <cellStyle name="Millares [0] 3 2 2 3" xfId="197" xr:uid="{01E39EEA-D305-40C3-94A5-B7D4CD2A726E}"/>
    <cellStyle name="Millares [0] 3 2 2 3 2" xfId="383" xr:uid="{DC461101-FFA0-4B39-B0DA-451D2EEF86E4}"/>
    <cellStyle name="Millares [0] 3 2 2 3 2 2" xfId="722" xr:uid="{4394D759-37D0-4D2B-ABC6-78AE6D065B83}"/>
    <cellStyle name="Millares [0] 3 2 2 3 2 2 2" xfId="1393" xr:uid="{02B6656D-EFFB-4FC0-893C-E233EB0B7C2C}"/>
    <cellStyle name="Millares [0] 3 2 2 3 2 3" xfId="1061" xr:uid="{31AF9C0B-56CA-4443-83AF-81B0EF09C249}"/>
    <cellStyle name="Millares [0] 3 2 2 3 3" xfId="556" xr:uid="{E323E913-06FE-4681-AAB8-5AA12CD0AC76}"/>
    <cellStyle name="Millares [0] 3 2 2 3 3 2" xfId="1227" xr:uid="{4208AD43-87EE-4338-95ED-44C4D302702B}"/>
    <cellStyle name="Millares [0] 3 2 2 3 4" xfId="895" xr:uid="{EB4C6881-20A3-4EBD-97C9-34CF255C266A}"/>
    <cellStyle name="Millares [0] 3 2 2 4" xfId="301" xr:uid="{A8675AD6-72C3-4FDD-8D2B-A985670CEB6C}"/>
    <cellStyle name="Millares [0] 3 2 2 4 2" xfId="640" xr:uid="{95F2080A-7990-4A3C-A55D-75E862CFAF9F}"/>
    <cellStyle name="Millares [0] 3 2 2 4 2 2" xfId="1311" xr:uid="{62146D80-0CFC-462A-BA93-FC68E7ED59E8}"/>
    <cellStyle name="Millares [0] 3 2 2 4 3" xfId="979" xr:uid="{B0DE1047-D0FB-46CC-9365-BA01FF7958A5}"/>
    <cellStyle name="Millares [0] 3 2 2 5" xfId="474" xr:uid="{939B8F42-F97D-4529-87E2-4F72419DE4F1}"/>
    <cellStyle name="Millares [0] 3 2 2 5 2" xfId="1145" xr:uid="{DD750BAF-4FDE-443A-9AB8-95693C44BB91}"/>
    <cellStyle name="Millares [0] 3 2 2 6" xfId="813" xr:uid="{73E135B0-4D41-443D-9C75-948D2486C39C}"/>
    <cellStyle name="Millares [0] 3 2 3" xfId="129" xr:uid="{5D0189E3-9B5B-4E7A-881F-0252EF83A4EA}"/>
    <cellStyle name="Millares [0] 3 2 3 2" xfId="218" xr:uid="{E98FD6B1-5E7F-461C-B70E-0E2A7C8890FD}"/>
    <cellStyle name="Millares [0] 3 2 3 2 2" xfId="404" xr:uid="{015FFB69-DF8E-4CAE-B176-E26811676A75}"/>
    <cellStyle name="Millares [0] 3 2 3 2 2 2" xfId="743" xr:uid="{67B22A61-B291-4C06-B2E3-B7FAA7631DB3}"/>
    <cellStyle name="Millares [0] 3 2 3 2 2 2 2" xfId="1414" xr:uid="{FC9AF972-97BC-4A54-9FB7-305CB9A0768A}"/>
    <cellStyle name="Millares [0] 3 2 3 2 2 3" xfId="1082" xr:uid="{7A8546D4-6089-4952-8105-CB1EF26E20C0}"/>
    <cellStyle name="Millares [0] 3 2 3 2 3" xfId="577" xr:uid="{9384063A-458A-4EB7-96E9-C9885A63A062}"/>
    <cellStyle name="Millares [0] 3 2 3 2 3 2" xfId="1248" xr:uid="{09E5BFA4-BBB3-459E-B6F7-DB90BDB98ADB}"/>
    <cellStyle name="Millares [0] 3 2 3 2 4" xfId="916" xr:uid="{DE23FF15-F432-4C55-9F0F-ACA5D720BD10}"/>
    <cellStyle name="Millares [0] 3 2 3 3" xfId="322" xr:uid="{74D7E85C-9B38-4A3A-AAB5-18883A0658AA}"/>
    <cellStyle name="Millares [0] 3 2 3 3 2" xfId="661" xr:uid="{49EFE901-B89F-44B4-A0D3-DD2EDCE8C6B1}"/>
    <cellStyle name="Millares [0] 3 2 3 3 2 2" xfId="1332" xr:uid="{2BD016FA-9C74-44F5-B149-A9AB5D59EDB2}"/>
    <cellStyle name="Millares [0] 3 2 3 3 3" xfId="1000" xr:uid="{2F23A06E-E3E3-438E-A9FF-24731402B50D}"/>
    <cellStyle name="Millares [0] 3 2 3 4" xfId="495" xr:uid="{8D6F3F3D-5B2C-4525-A042-C10CAD5264FD}"/>
    <cellStyle name="Millares [0] 3 2 3 4 2" xfId="1166" xr:uid="{80C7DE2D-2B1C-4E04-8DDD-9EF495565D15}"/>
    <cellStyle name="Millares [0] 3 2 3 5" xfId="834" xr:uid="{1E2DF8DD-5CC3-4663-9390-56E54A311F87}"/>
    <cellStyle name="Millares [0] 3 2 4" xfId="178" xr:uid="{B682F25B-CB3F-4D23-9ABA-21877470EB45}"/>
    <cellStyle name="Millares [0] 3 2 4 2" xfId="364" xr:uid="{4DC6650F-B1EF-4D85-A8D0-CC446DFD2C4A}"/>
    <cellStyle name="Millares [0] 3 2 4 2 2" xfId="703" xr:uid="{F05D1421-FC47-4B17-8E93-B3EE30942E19}"/>
    <cellStyle name="Millares [0] 3 2 4 2 2 2" xfId="1374" xr:uid="{4953EA7B-6138-438B-BC12-3C2C1344A560}"/>
    <cellStyle name="Millares [0] 3 2 4 2 3" xfId="1042" xr:uid="{C8CEDADA-D0F0-40D2-9658-1583F0550079}"/>
    <cellStyle name="Millares [0] 3 2 4 3" xfId="537" xr:uid="{D7B79E21-2B47-4F02-BE6C-7134D62219AE}"/>
    <cellStyle name="Millares [0] 3 2 4 3 2" xfId="1208" xr:uid="{C90FC070-146F-422B-AD15-CC91BBAD74E0}"/>
    <cellStyle name="Millares [0] 3 2 4 4" xfId="876" xr:uid="{E16F4398-02FF-46C9-8B39-4D958154028D}"/>
    <cellStyle name="Millares [0] 3 2 5" xfId="282" xr:uid="{FC0846C1-C233-4475-B9E2-3E2FA59F3838}"/>
    <cellStyle name="Millares [0] 3 2 5 2" xfId="621" xr:uid="{55910635-9739-45C9-929B-130B986B6E0A}"/>
    <cellStyle name="Millares [0] 3 2 5 2 2" xfId="1292" xr:uid="{EAA52CCD-B103-4671-ABD8-155978C94403}"/>
    <cellStyle name="Millares [0] 3 2 5 3" xfId="960" xr:uid="{E123DBEF-2FEE-4347-9DC8-2FC5DE46F89B}"/>
    <cellStyle name="Millares [0] 3 2 6" xfId="455" xr:uid="{E4B0A69C-1BEC-4082-B7B6-0262F9307F6A}"/>
    <cellStyle name="Millares [0] 3 2 6 2" xfId="1126" xr:uid="{1829F02F-8DBD-4329-997A-93EF1851CDE4}"/>
    <cellStyle name="Millares [0] 3 2 7" xfId="794" xr:uid="{FAE15474-1F3B-4F06-AC12-19389F2AA15E}"/>
    <cellStyle name="Millares [0] 3 3" xfId="89" xr:uid="{B254BAD2-F723-47F6-83C1-2E9C2098AD7F}"/>
    <cellStyle name="Millares [0] 3 3 2" xfId="139" xr:uid="{8F815F51-B7E6-4AEE-88D9-11F01469588D}"/>
    <cellStyle name="Millares [0] 3 3 2 2" xfId="228" xr:uid="{F1F0C083-4CA4-4BD5-9885-58412885B657}"/>
    <cellStyle name="Millares [0] 3 3 2 2 2" xfId="414" xr:uid="{07448C18-F581-4408-812B-CCEF648658D0}"/>
    <cellStyle name="Millares [0] 3 3 2 2 2 2" xfId="753" xr:uid="{81BE0EC1-0847-476B-8763-A699F3002080}"/>
    <cellStyle name="Millares [0] 3 3 2 2 2 2 2" xfId="1424" xr:uid="{8DFBD4D6-DCEB-4068-A115-2428B38C51B2}"/>
    <cellStyle name="Millares [0] 3 3 2 2 2 3" xfId="1092" xr:uid="{E62D200B-A772-42D6-90DB-9841DF7FAF09}"/>
    <cellStyle name="Millares [0] 3 3 2 2 3" xfId="587" xr:uid="{4AA7178A-9FED-488D-9AA2-FC1F1814BAB6}"/>
    <cellStyle name="Millares [0] 3 3 2 2 3 2" xfId="1258" xr:uid="{CB5E4053-6B91-4BCC-A4E6-CBB61E594A55}"/>
    <cellStyle name="Millares [0] 3 3 2 2 4" xfId="926" xr:uid="{0BB73AB0-94E8-4486-91A0-AF836C3C8A24}"/>
    <cellStyle name="Millares [0] 3 3 2 3" xfId="332" xr:uid="{74407CA0-E7CA-4D74-9780-8891FD0A892C}"/>
    <cellStyle name="Millares [0] 3 3 2 3 2" xfId="671" xr:uid="{920E7E97-2357-4879-BB18-2FDB41FAC5DC}"/>
    <cellStyle name="Millares [0] 3 3 2 3 2 2" xfId="1342" xr:uid="{BA179AD3-4A3B-45CA-894D-13E6649BB927}"/>
    <cellStyle name="Millares [0] 3 3 2 3 3" xfId="1010" xr:uid="{135CADC0-147A-4404-AF7C-22620ACD9AD1}"/>
    <cellStyle name="Millares [0] 3 3 2 4" xfId="505" xr:uid="{87FD48D5-A180-4CF3-8D17-B4CF43C1E6FE}"/>
    <cellStyle name="Millares [0] 3 3 2 4 2" xfId="1176" xr:uid="{335FF6DD-FF6E-4558-88D5-E1EB9CB88464}"/>
    <cellStyle name="Millares [0] 3 3 2 5" xfId="844" xr:uid="{32302252-2F99-40CE-9120-7A53EACBC0A6}"/>
    <cellStyle name="Millares [0] 3 3 3" xfId="188" xr:uid="{729E5D94-12D7-4E4C-A959-563AD58ECBF6}"/>
    <cellStyle name="Millares [0] 3 3 3 2" xfId="374" xr:uid="{C68BB4AC-B7E1-406B-A114-E18B687AC469}"/>
    <cellStyle name="Millares [0] 3 3 3 2 2" xfId="713" xr:uid="{862DFCE6-E282-4353-B7E8-0F9D34F9734F}"/>
    <cellStyle name="Millares [0] 3 3 3 2 2 2" xfId="1384" xr:uid="{8C3C6461-B820-4C95-9436-535F1A100B88}"/>
    <cellStyle name="Millares [0] 3 3 3 2 3" xfId="1052" xr:uid="{80FCEA2D-F01B-4B56-9A5B-96599A9EF04C}"/>
    <cellStyle name="Millares [0] 3 3 3 3" xfId="547" xr:uid="{C73804E7-A08A-46A4-88C1-D18C7DF684F2}"/>
    <cellStyle name="Millares [0] 3 3 3 3 2" xfId="1218" xr:uid="{50520B73-2708-4EFE-A37A-FE5A24305E93}"/>
    <cellStyle name="Millares [0] 3 3 3 4" xfId="886" xr:uid="{86302CAB-B7C6-461D-A72A-2EB9B3C92BC2}"/>
    <cellStyle name="Millares [0] 3 3 4" xfId="292" xr:uid="{D616C284-E985-4AEF-9275-062AF1C77625}"/>
    <cellStyle name="Millares [0] 3 3 4 2" xfId="631" xr:uid="{41E13F20-1950-4E4F-970F-FF13DA60E7EB}"/>
    <cellStyle name="Millares [0] 3 3 4 2 2" xfId="1302" xr:uid="{27BC7F72-2E2A-404E-9ADC-4012FF98D012}"/>
    <cellStyle name="Millares [0] 3 3 4 3" xfId="970" xr:uid="{ED4630E7-DC2E-44B4-8CDB-09E25C1BA125}"/>
    <cellStyle name="Millares [0] 3 3 5" xfId="465" xr:uid="{7EEC81D8-725B-458E-9BAD-33F6B9C4215A}"/>
    <cellStyle name="Millares [0] 3 3 5 2" xfId="1136" xr:uid="{6E0EA65A-D01A-4078-A207-D4CE27B58666}"/>
    <cellStyle name="Millares [0] 3 3 6" xfId="804" xr:uid="{CAE08EAD-37A7-4E64-88AA-95E280C15AA3}"/>
    <cellStyle name="Millares [0] 3 4" xfId="118" xr:uid="{2625765F-FC85-485C-B4B5-A6D39407D0A4}"/>
    <cellStyle name="Millares [0] 3 4 2" xfId="209" xr:uid="{E1072211-53F9-47C9-B33C-FA40E2341D32}"/>
    <cellStyle name="Millares [0] 3 4 2 2" xfId="395" xr:uid="{5245AD8E-3E0D-45A1-9345-5B1D2E00DC43}"/>
    <cellStyle name="Millares [0] 3 4 2 2 2" xfId="734" xr:uid="{00921FD5-A37E-4849-ABCA-3CDF77697A58}"/>
    <cellStyle name="Millares [0] 3 4 2 2 2 2" xfId="1405" xr:uid="{716BAD8E-7665-4080-A929-E6866F479108}"/>
    <cellStyle name="Millares [0] 3 4 2 2 3" xfId="1073" xr:uid="{91D3F706-4548-454F-822E-782EC691F7F6}"/>
    <cellStyle name="Millares [0] 3 4 2 3" xfId="568" xr:uid="{01090EE7-8118-483C-B8DB-E2BCB2EABCBF}"/>
    <cellStyle name="Millares [0] 3 4 2 3 2" xfId="1239" xr:uid="{AA5447A7-98EC-4805-B922-E4778B772B0B}"/>
    <cellStyle name="Millares [0] 3 4 2 4" xfId="907" xr:uid="{38824F6D-81CF-410C-A403-F342587FBE7F}"/>
    <cellStyle name="Millares [0] 3 4 3" xfId="313" xr:uid="{00285F79-1EC0-4B77-ABA9-FCACCC6B3780}"/>
    <cellStyle name="Millares [0] 3 4 3 2" xfId="652" xr:uid="{7190DF1A-15D1-4559-BE57-C6F9B3D955B6}"/>
    <cellStyle name="Millares [0] 3 4 3 2 2" xfId="1323" xr:uid="{3DB3FC1C-88DE-4EAF-B2EB-410A08A35A79}"/>
    <cellStyle name="Millares [0] 3 4 3 3" xfId="991" xr:uid="{0E06374C-B073-4FAF-AF6A-4D97ED4743F6}"/>
    <cellStyle name="Millares [0] 3 4 4" xfId="486" xr:uid="{327967F8-459F-48D7-84D1-110FA5C01E6A}"/>
    <cellStyle name="Millares [0] 3 4 4 2" xfId="1157" xr:uid="{2A37926C-4EFC-4EF7-9D0A-93E17AA88C92}"/>
    <cellStyle name="Millares [0] 3 4 5" xfId="825" xr:uid="{A54B7414-42E3-4C1F-B4B6-DA85942E6AC7}"/>
    <cellStyle name="Millares [0] 3 5" xfId="168" xr:uid="{844A8A7E-2B8C-4B50-A81C-F9D7B2B17D2C}"/>
    <cellStyle name="Millares [0] 3 5 2" xfId="355" xr:uid="{79697133-761C-452F-A040-B18F26ED1140}"/>
    <cellStyle name="Millares [0] 3 5 2 2" xfId="694" xr:uid="{BD58C242-FAA9-44A3-BB40-62124C7D0B43}"/>
    <cellStyle name="Millares [0] 3 5 2 2 2" xfId="1365" xr:uid="{4B960B85-08AD-4FCE-B81A-E5FE16F1B5A0}"/>
    <cellStyle name="Millares [0] 3 5 2 3" xfId="1033" xr:uid="{A8EEB782-FAE2-419B-8C84-3484CE6E6EE6}"/>
    <cellStyle name="Millares [0] 3 5 3" xfId="528" xr:uid="{7B33ADCA-CC95-4F19-9EB3-10D420B89454}"/>
    <cellStyle name="Millares [0] 3 5 3 2" xfId="1199" xr:uid="{D14B163F-FF73-436C-B3D6-0B114712B7FB}"/>
    <cellStyle name="Millares [0] 3 5 4" xfId="867" xr:uid="{6C05DC16-7F14-43CE-BFD7-DBC261545607}"/>
    <cellStyle name="Millares [0] 3 6" xfId="272" xr:uid="{FE577CE2-2FC6-4B85-B93F-E1FCF1819194}"/>
    <cellStyle name="Millares [0] 3 6 2" xfId="612" xr:uid="{6FEADDE8-D23F-4CED-8EDC-FA0D412C16EF}"/>
    <cellStyle name="Millares [0] 3 6 2 2" xfId="1283" xr:uid="{8B172F5C-AB36-45F5-A805-09293B9F969A}"/>
    <cellStyle name="Millares [0] 3 6 3" xfId="951" xr:uid="{08A2668C-2915-449E-89A7-EED7BA250E07}"/>
    <cellStyle name="Millares [0] 3 7" xfId="445" xr:uid="{8AD2DEF2-99B5-4520-A6EA-2FA5BFB25C47}"/>
    <cellStyle name="Millares [0] 3 7 2" xfId="1117" xr:uid="{8D36CD54-563C-4D66-A42B-521F91A71E00}"/>
    <cellStyle name="Millares [0] 3 8" xfId="784" xr:uid="{91728809-F452-45B0-AE02-96F7FA729B48}"/>
    <cellStyle name="Millares [0] 34" xfId="45" xr:uid="{18208C71-9CB2-4E81-9929-91C629D81A4D}"/>
    <cellStyle name="Millares [0] 34 2" xfId="72" xr:uid="{8F8DEF26-DD68-43C0-ABDE-27E99C90B8A8}"/>
    <cellStyle name="Millares [0] 34 2 2" xfId="101" xr:uid="{0A61AA65-9F66-469F-80D2-9EE5120C93C1}"/>
    <cellStyle name="Millares [0] 34 2 2 2" xfId="149" xr:uid="{CFA77D66-CF9B-4454-80FA-8A238752D36F}"/>
    <cellStyle name="Millares [0] 34 2 2 2 2" xfId="238" xr:uid="{0007DAF8-14CA-4EAB-9437-E8975D7E910C}"/>
    <cellStyle name="Millares [0] 34 2 2 2 2 2" xfId="424" xr:uid="{27A509A1-DCFF-4AE2-92F9-1D47FD2C51C1}"/>
    <cellStyle name="Millares [0] 34 2 2 2 2 2 2" xfId="763" xr:uid="{5F7C21C6-76C6-4614-BBE0-08F2CFEB4B33}"/>
    <cellStyle name="Millares [0] 34 2 2 2 2 2 2 2" xfId="1434" xr:uid="{B2D81B57-1B67-4179-BADA-1FE6169946F2}"/>
    <cellStyle name="Millares [0] 34 2 2 2 2 2 3" xfId="1102" xr:uid="{E2251DA3-7D3B-40B8-BC63-00FB34334648}"/>
    <cellStyle name="Millares [0] 34 2 2 2 2 3" xfId="597" xr:uid="{A325022C-A1B0-428A-8B70-ED40F780A370}"/>
    <cellStyle name="Millares [0] 34 2 2 2 2 3 2" xfId="1268" xr:uid="{1A4BA99A-F6CA-41B9-A824-045706E0C449}"/>
    <cellStyle name="Millares [0] 34 2 2 2 2 4" xfId="936" xr:uid="{0144354F-3649-4E62-9559-40047474443B}"/>
    <cellStyle name="Millares [0] 34 2 2 2 3" xfId="342" xr:uid="{7468CE7F-E43E-4AF9-8D4C-8F949544841F}"/>
    <cellStyle name="Millares [0] 34 2 2 2 3 2" xfId="681" xr:uid="{12E986C9-E412-447E-8E64-1A74FB406D80}"/>
    <cellStyle name="Millares [0] 34 2 2 2 3 2 2" xfId="1352" xr:uid="{52D31B09-F993-41F7-8F6C-DB0EE9D274AD}"/>
    <cellStyle name="Millares [0] 34 2 2 2 3 3" xfId="1020" xr:uid="{A33C6E14-EAE2-4DF3-8DB5-BDBDBA813D22}"/>
    <cellStyle name="Millares [0] 34 2 2 2 4" xfId="515" xr:uid="{2D1F345B-BBFA-4A0F-B9D6-2CD027B795C9}"/>
    <cellStyle name="Millares [0] 34 2 2 2 4 2" xfId="1186" xr:uid="{4D9CA0CF-AFC2-4EE6-AA8C-9D6DB55DA3F1}"/>
    <cellStyle name="Millares [0] 34 2 2 2 5" xfId="854" xr:uid="{D140454F-EE6A-4E4C-B08B-DF6FDCCB4F35}"/>
    <cellStyle name="Millares [0] 34 2 2 3" xfId="198" xr:uid="{614ABE24-5997-4ACD-98C2-67C9EFA18721}"/>
    <cellStyle name="Millares [0] 34 2 2 3 2" xfId="384" xr:uid="{CBA90037-46BC-4E62-BD8A-B7933757E80B}"/>
    <cellStyle name="Millares [0] 34 2 2 3 2 2" xfId="723" xr:uid="{B083F9FC-A75D-49EC-96F5-BF0EC3F3C8A1}"/>
    <cellStyle name="Millares [0] 34 2 2 3 2 2 2" xfId="1394" xr:uid="{0B252F81-15E0-4533-9DE5-B40BAFE6EF78}"/>
    <cellStyle name="Millares [0] 34 2 2 3 2 3" xfId="1062" xr:uid="{1C68C787-A70C-405B-A9C7-92E76709AAA8}"/>
    <cellStyle name="Millares [0] 34 2 2 3 3" xfId="557" xr:uid="{0E1A3901-EEE1-4BD1-BB1F-0AC6E7E19B85}"/>
    <cellStyle name="Millares [0] 34 2 2 3 3 2" xfId="1228" xr:uid="{5828684C-070A-4F98-95BA-5746509F5839}"/>
    <cellStyle name="Millares [0] 34 2 2 3 4" xfId="896" xr:uid="{D92256F8-F8E8-426A-82FF-01C25F6368A1}"/>
    <cellStyle name="Millares [0] 34 2 2 4" xfId="302" xr:uid="{13BA625F-096B-47F7-91F1-CC3755D811EC}"/>
    <cellStyle name="Millares [0] 34 2 2 4 2" xfId="641" xr:uid="{F5CD7108-D24F-4548-9BB5-055A9DB8B663}"/>
    <cellStyle name="Millares [0] 34 2 2 4 2 2" xfId="1312" xr:uid="{117EC2E3-47D3-42A7-87BA-8D0D01CA7B3D}"/>
    <cellStyle name="Millares [0] 34 2 2 4 3" xfId="980" xr:uid="{EB4B3B60-002A-4A87-944F-58E427603D36}"/>
    <cellStyle name="Millares [0] 34 2 2 5" xfId="475" xr:uid="{89306FD5-8F49-4F1A-9DAF-117EE21001D9}"/>
    <cellStyle name="Millares [0] 34 2 2 5 2" xfId="1146" xr:uid="{0BF8EE0A-14AD-4F77-A767-FEC994F81211}"/>
    <cellStyle name="Millares [0] 34 2 2 6" xfId="814" xr:uid="{71F59966-F3F2-4B21-AFE4-31B1FA947E32}"/>
    <cellStyle name="Millares [0] 34 2 3" xfId="130" xr:uid="{0CBF9C42-ED03-47D8-8CE9-5EA711AE9EA2}"/>
    <cellStyle name="Millares [0] 34 2 3 2" xfId="219" xr:uid="{F340A3FD-A7EA-43E8-8AA5-AD38306D466D}"/>
    <cellStyle name="Millares [0] 34 2 3 2 2" xfId="405" xr:uid="{280AF071-49E6-4DE7-890A-99D4E184E3A9}"/>
    <cellStyle name="Millares [0] 34 2 3 2 2 2" xfId="744" xr:uid="{902F316C-EBA6-497A-AC99-DF1ADDC6770A}"/>
    <cellStyle name="Millares [0] 34 2 3 2 2 2 2" xfId="1415" xr:uid="{FA3C1478-F136-482C-801C-32F92CCD377A}"/>
    <cellStyle name="Millares [0] 34 2 3 2 2 3" xfId="1083" xr:uid="{09A4DE16-EED8-469F-AC21-43F57E954888}"/>
    <cellStyle name="Millares [0] 34 2 3 2 3" xfId="578" xr:uid="{A88C9BE1-F14C-4022-AED5-7B338140A8B1}"/>
    <cellStyle name="Millares [0] 34 2 3 2 3 2" xfId="1249" xr:uid="{BA556897-4712-4BEA-AB53-3F0C789E5EAF}"/>
    <cellStyle name="Millares [0] 34 2 3 2 4" xfId="917" xr:uid="{1600AD56-DA10-4673-A771-C82099C740C8}"/>
    <cellStyle name="Millares [0] 34 2 3 3" xfId="323" xr:uid="{8B0FE6FD-B809-440B-AB9D-AD66667FC12D}"/>
    <cellStyle name="Millares [0] 34 2 3 3 2" xfId="662" xr:uid="{0222F219-B21D-43A0-8A52-18E405E433B0}"/>
    <cellStyle name="Millares [0] 34 2 3 3 2 2" xfId="1333" xr:uid="{93386D47-44D0-4426-B141-41F80670AAD7}"/>
    <cellStyle name="Millares [0] 34 2 3 3 3" xfId="1001" xr:uid="{42519009-285C-42F5-9DDB-C6A7A530C9CE}"/>
    <cellStyle name="Millares [0] 34 2 3 4" xfId="496" xr:uid="{CC068CEF-05D1-40EE-B8A5-1310649D8C0F}"/>
    <cellStyle name="Millares [0] 34 2 3 4 2" xfId="1167" xr:uid="{1AF20EDB-2EA1-4AF8-AE69-8B177B4A86E7}"/>
    <cellStyle name="Millares [0] 34 2 3 5" xfId="835" xr:uid="{19463BA3-F4D9-4EDC-8654-4EF37B33D290}"/>
    <cellStyle name="Millares [0] 34 2 4" xfId="179" xr:uid="{4EC3EA46-344A-49E0-BA25-B56AC54A6218}"/>
    <cellStyle name="Millares [0] 34 2 4 2" xfId="365" xr:uid="{4EC54A1B-C377-491A-8077-B616A317C2A7}"/>
    <cellStyle name="Millares [0] 34 2 4 2 2" xfId="704" xr:uid="{344AA945-570F-4B67-877C-61DE6056D64D}"/>
    <cellStyle name="Millares [0] 34 2 4 2 2 2" xfId="1375" xr:uid="{8CBF9F1B-C267-48A9-AE25-99F8B995D2D0}"/>
    <cellStyle name="Millares [0] 34 2 4 2 3" xfId="1043" xr:uid="{06B323D9-2841-4EB9-8428-A9429D851F2C}"/>
    <cellStyle name="Millares [0] 34 2 4 3" xfId="538" xr:uid="{4AB95943-5DE0-495E-B97B-2A61A7E31173}"/>
    <cellStyle name="Millares [0] 34 2 4 3 2" xfId="1209" xr:uid="{A7BEF24A-1C0C-4751-B218-987FE7E4A237}"/>
    <cellStyle name="Millares [0] 34 2 4 4" xfId="877" xr:uid="{0335EBA3-99A1-47C5-A217-1E7437123E4B}"/>
    <cellStyle name="Millares [0] 34 2 5" xfId="283" xr:uid="{7A4DF0BA-E2BD-4B56-93B2-5EC8D58C083C}"/>
    <cellStyle name="Millares [0] 34 2 5 2" xfId="622" xr:uid="{C1BA7354-CB4A-41E1-8D75-11AAD3E58A04}"/>
    <cellStyle name="Millares [0] 34 2 5 2 2" xfId="1293" xr:uid="{28994AFA-9D94-4001-9C02-7EBB2B6E8B0B}"/>
    <cellStyle name="Millares [0] 34 2 5 3" xfId="961" xr:uid="{12C56877-283C-49C2-B773-7E8AA849A205}"/>
    <cellStyle name="Millares [0] 34 2 6" xfId="456" xr:uid="{0BB848E9-BAFE-4846-8DB4-F5DA7F01D49A}"/>
    <cellStyle name="Millares [0] 34 2 6 2" xfId="1127" xr:uid="{81DDDAD1-4E49-42AD-B20B-74D06FA865EC}"/>
    <cellStyle name="Millares [0] 34 2 7" xfId="795" xr:uid="{A708B4B9-734B-485C-95D7-C478376B9CE1}"/>
    <cellStyle name="Millares [0] 34 3" xfId="90" xr:uid="{474C04A2-4FD4-4AD2-9B8E-6E1182C1AA70}"/>
    <cellStyle name="Millares [0] 34 3 2" xfId="140" xr:uid="{29D496BF-8F29-4547-9757-CF8C8488E32E}"/>
    <cellStyle name="Millares [0] 34 3 2 2" xfId="229" xr:uid="{B2ED6A55-B546-4458-A411-07D3BB2C961A}"/>
    <cellStyle name="Millares [0] 34 3 2 2 2" xfId="415" xr:uid="{EBEB2090-6285-40C9-B4A6-4D9B8C987645}"/>
    <cellStyle name="Millares [0] 34 3 2 2 2 2" xfId="754" xr:uid="{35DE0E46-7B26-4247-AE03-D6CA2181968D}"/>
    <cellStyle name="Millares [0] 34 3 2 2 2 2 2" xfId="1425" xr:uid="{D8B1C8DA-BCE2-4240-9DBE-1C305D1A63E6}"/>
    <cellStyle name="Millares [0] 34 3 2 2 2 3" xfId="1093" xr:uid="{2A7199F1-CBCB-423E-9766-37DED6528875}"/>
    <cellStyle name="Millares [0] 34 3 2 2 3" xfId="588" xr:uid="{27D4B3E2-20DE-4810-8D96-8918BF63147E}"/>
    <cellStyle name="Millares [0] 34 3 2 2 3 2" xfId="1259" xr:uid="{B5214468-9079-4A5E-856D-22ACBA2BC456}"/>
    <cellStyle name="Millares [0] 34 3 2 2 4" xfId="927" xr:uid="{5A6F27BB-1868-4C28-B0CC-93E1F0C31629}"/>
    <cellStyle name="Millares [0] 34 3 2 3" xfId="333" xr:uid="{D40C57A4-7537-4EA3-8889-95D1F41135F3}"/>
    <cellStyle name="Millares [0] 34 3 2 3 2" xfId="672" xr:uid="{A8E0C61C-0A30-474B-9EE2-CC6634356045}"/>
    <cellStyle name="Millares [0] 34 3 2 3 2 2" xfId="1343" xr:uid="{7864C535-F927-423C-A107-40FC01A2CAAB}"/>
    <cellStyle name="Millares [0] 34 3 2 3 3" xfId="1011" xr:uid="{FCD84EC1-F235-4E71-939E-0D77FDB246A8}"/>
    <cellStyle name="Millares [0] 34 3 2 4" xfId="506" xr:uid="{8927F6C9-A548-4BFD-8933-633BE963E36C}"/>
    <cellStyle name="Millares [0] 34 3 2 4 2" xfId="1177" xr:uid="{53659229-8EFF-400F-904D-C4ED8BD86B4A}"/>
    <cellStyle name="Millares [0] 34 3 2 5" xfId="845" xr:uid="{8A6BB73D-672B-4529-AF1A-CF6AA554F6DA}"/>
    <cellStyle name="Millares [0] 34 3 3" xfId="189" xr:uid="{9D392ACF-6310-4427-9967-0121F6BA99D7}"/>
    <cellStyle name="Millares [0] 34 3 3 2" xfId="375" xr:uid="{0EFFB37A-EACA-4820-9BFB-612481EA6211}"/>
    <cellStyle name="Millares [0] 34 3 3 2 2" xfId="714" xr:uid="{26AC508D-A449-4D63-8945-2DC42D3DE01C}"/>
    <cellStyle name="Millares [0] 34 3 3 2 2 2" xfId="1385" xr:uid="{6B702251-F732-470A-99AD-A5A9ADAC929A}"/>
    <cellStyle name="Millares [0] 34 3 3 2 3" xfId="1053" xr:uid="{F24660A8-F738-48DD-A2C2-06E8A82E8EE6}"/>
    <cellStyle name="Millares [0] 34 3 3 3" xfId="548" xr:uid="{3E12A758-3FFA-44D8-8C90-5BC022016DF0}"/>
    <cellStyle name="Millares [0] 34 3 3 3 2" xfId="1219" xr:uid="{E00D8F26-5F46-42D3-B390-5EFAE3B469DA}"/>
    <cellStyle name="Millares [0] 34 3 3 4" xfId="887" xr:uid="{76ED53A0-7793-4ECA-8C93-7F1B11C2EC49}"/>
    <cellStyle name="Millares [0] 34 3 4" xfId="293" xr:uid="{FF0AFA91-545B-4BCE-9E13-9720F7DFF201}"/>
    <cellStyle name="Millares [0] 34 3 4 2" xfId="632" xr:uid="{D6EE6B70-43E7-4A9A-8C23-9C3730FD808E}"/>
    <cellStyle name="Millares [0] 34 3 4 2 2" xfId="1303" xr:uid="{0D88A0A2-6992-4DDE-BA59-D890026337DF}"/>
    <cellStyle name="Millares [0] 34 3 4 3" xfId="971" xr:uid="{D7382882-17BB-46FE-9B4B-7F496878EABE}"/>
    <cellStyle name="Millares [0] 34 3 5" xfId="466" xr:uid="{802967D2-2319-4538-8AD9-212C03A7391E}"/>
    <cellStyle name="Millares [0] 34 3 5 2" xfId="1137" xr:uid="{0AE6408D-B7B7-4394-8347-CA0AA2A247C2}"/>
    <cellStyle name="Millares [0] 34 3 6" xfId="805" xr:uid="{96EB915F-ED7E-4A31-BB7F-76DFB05EFA8F}"/>
    <cellStyle name="Millares [0] 34 4" xfId="119" xr:uid="{A57651AF-576E-4F27-B130-A5945BFACE48}"/>
    <cellStyle name="Millares [0] 34 4 2" xfId="210" xr:uid="{464DFD66-28D5-4FB0-89E9-FD456A21F6D5}"/>
    <cellStyle name="Millares [0] 34 4 2 2" xfId="396" xr:uid="{C2496BFA-9AAE-45E4-9D5D-8CC479309C8A}"/>
    <cellStyle name="Millares [0] 34 4 2 2 2" xfId="735" xr:uid="{3148D22F-B93A-4CAB-BE44-DECBE4CC4298}"/>
    <cellStyle name="Millares [0] 34 4 2 2 2 2" xfId="1406" xr:uid="{62A3ECF8-457B-46E1-B880-C12CB29BB97A}"/>
    <cellStyle name="Millares [0] 34 4 2 2 3" xfId="1074" xr:uid="{2D391C99-C2F1-4BAC-8964-5C60906BAA69}"/>
    <cellStyle name="Millares [0] 34 4 2 3" xfId="569" xr:uid="{A6027B1F-6BF8-4284-9A53-70952D073391}"/>
    <cellStyle name="Millares [0] 34 4 2 3 2" xfId="1240" xr:uid="{22E53DF9-885E-4C77-9C92-33D091486C41}"/>
    <cellStyle name="Millares [0] 34 4 2 4" xfId="908" xr:uid="{F7A8D13A-83B5-4D44-87DA-B67CF39042C0}"/>
    <cellStyle name="Millares [0] 34 4 3" xfId="314" xr:uid="{294BF8AF-47AB-4E6E-9C2B-94291D277E18}"/>
    <cellStyle name="Millares [0] 34 4 3 2" xfId="653" xr:uid="{36513046-53D7-4A5C-A8F1-D80E4B086537}"/>
    <cellStyle name="Millares [0] 34 4 3 2 2" xfId="1324" xr:uid="{B82795BF-5803-4675-A930-A4511359A037}"/>
    <cellStyle name="Millares [0] 34 4 3 3" xfId="992" xr:uid="{E1B2E903-4167-4C9C-A5C9-6E40D18B7CF1}"/>
    <cellStyle name="Millares [0] 34 4 4" xfId="487" xr:uid="{31DF1BDD-F3EF-4DDA-B3C5-6CD3D84D30F8}"/>
    <cellStyle name="Millares [0] 34 4 4 2" xfId="1158" xr:uid="{90045750-3047-49C4-9E05-BC12124D9BD8}"/>
    <cellStyle name="Millares [0] 34 4 5" xfId="826" xr:uid="{15618E69-BBB7-443A-B02B-9868EC702FF0}"/>
    <cellStyle name="Millares [0] 34 5" xfId="169" xr:uid="{887FBCDB-F8E9-4614-80FC-6D226A173F7D}"/>
    <cellStyle name="Millares [0] 34 5 2" xfId="356" xr:uid="{6B42AF8F-9AFD-4657-8047-C27881A38144}"/>
    <cellStyle name="Millares [0] 34 5 2 2" xfId="695" xr:uid="{630331FD-E0C5-47CE-A393-30E73D5D88C6}"/>
    <cellStyle name="Millares [0] 34 5 2 2 2" xfId="1366" xr:uid="{70EFE5F6-D065-4904-9EF3-ADEF73608A25}"/>
    <cellStyle name="Millares [0] 34 5 2 3" xfId="1034" xr:uid="{DD8D8AB2-EF18-41A1-976D-F239BB3DE275}"/>
    <cellStyle name="Millares [0] 34 5 3" xfId="529" xr:uid="{790C0E40-E617-4083-BE30-9413BA6855EC}"/>
    <cellStyle name="Millares [0] 34 5 3 2" xfId="1200" xr:uid="{FEF76629-1E45-4F51-A227-DD36462779D9}"/>
    <cellStyle name="Millares [0] 34 5 4" xfId="868" xr:uid="{48A01449-1542-4E0F-BED3-5E0ABA636EB9}"/>
    <cellStyle name="Millares [0] 34 6" xfId="273" xr:uid="{94618E57-EA70-4450-9159-EB206553004C}"/>
    <cellStyle name="Millares [0] 34 6 2" xfId="613" xr:uid="{971AD2CA-0374-4043-9700-1D19EE1BE0AD}"/>
    <cellStyle name="Millares [0] 34 6 2 2" xfId="1284" xr:uid="{C0B55DCA-1DAB-4588-AAB1-EFFE4F098AD4}"/>
    <cellStyle name="Millares [0] 34 6 3" xfId="952" xr:uid="{C901D6EE-C9D2-4937-B23A-946417CD9AFD}"/>
    <cellStyle name="Millares [0] 34 7" xfId="446" xr:uid="{AB78F05D-B66B-4C75-A372-FB0E0F365BB8}"/>
    <cellStyle name="Millares [0] 34 7 2" xfId="1118" xr:uid="{3294CA4D-CE76-43D2-AE4D-1EC7C9CD9E0B}"/>
    <cellStyle name="Millares [0] 34 8" xfId="785" xr:uid="{E712B9D1-789D-4A72-A0BD-C08C2B28D5D0}"/>
    <cellStyle name="Millares [0] 4" xfId="77" xr:uid="{44647CD7-7658-4E81-B94A-43A9E7FE7EE8}"/>
    <cellStyle name="Millares [0] 4 2" xfId="105" xr:uid="{4D38A08A-A3A9-442F-96D1-244710BF990A}"/>
    <cellStyle name="Millares [0] 4 2 2" xfId="153" xr:uid="{2D5A9FA0-1EA9-4513-B21E-60CA3F3BCA7C}"/>
    <cellStyle name="Millares [0] 4 2 2 2" xfId="242" xr:uid="{FA4D4FE1-AE63-4161-9BF7-BDE5340C8BFD}"/>
    <cellStyle name="Millares [0] 4 2 2 2 2" xfId="428" xr:uid="{F629AB4C-409F-4251-B7D4-923B58DD8932}"/>
    <cellStyle name="Millares [0] 4 2 2 2 2 2" xfId="767" xr:uid="{D7E5C015-9542-4F68-8C30-7279502E369D}"/>
    <cellStyle name="Millares [0] 4 2 2 2 2 2 2" xfId="1438" xr:uid="{E99A3D38-3CEF-49A1-B4EF-3D5B0E74A344}"/>
    <cellStyle name="Millares [0] 4 2 2 2 2 3" xfId="1106" xr:uid="{E02018B0-08D1-4388-92F5-9F8254E0092B}"/>
    <cellStyle name="Millares [0] 4 2 2 2 3" xfId="601" xr:uid="{66531327-4574-467E-9341-5F415C799161}"/>
    <cellStyle name="Millares [0] 4 2 2 2 3 2" xfId="1272" xr:uid="{09F1F13A-103E-4998-A3F0-4D2E0563D3D6}"/>
    <cellStyle name="Millares [0] 4 2 2 2 4" xfId="940" xr:uid="{1C406664-1374-49C3-9624-AE21D0826E25}"/>
    <cellStyle name="Millares [0] 4 2 2 3" xfId="346" xr:uid="{E91041B1-36DB-445A-8324-AD951C072DCC}"/>
    <cellStyle name="Millares [0] 4 2 2 3 2" xfId="685" xr:uid="{E2C2F57D-2DD6-4F00-A6E3-D5A86B899755}"/>
    <cellStyle name="Millares [0] 4 2 2 3 2 2" xfId="1356" xr:uid="{A0F7EA23-056E-417A-8AB1-25E2C339AE08}"/>
    <cellStyle name="Millares [0] 4 2 2 3 3" xfId="1024" xr:uid="{DCCBE058-5768-41FE-A049-1C460B2C2C68}"/>
    <cellStyle name="Millares [0] 4 2 2 4" xfId="519" xr:uid="{D16A78DA-3596-48A9-A139-D008A3AAE36A}"/>
    <cellStyle name="Millares [0] 4 2 2 4 2" xfId="1190" xr:uid="{A8B196B2-398F-4308-83B0-03C1B6E01C50}"/>
    <cellStyle name="Millares [0] 4 2 2 5" xfId="858" xr:uid="{404A8733-E50F-489F-9889-EA3891EFEE2A}"/>
    <cellStyle name="Millares [0] 4 2 3" xfId="202" xr:uid="{AB99494D-F57A-4D36-B67A-BF2CCE6089EA}"/>
    <cellStyle name="Millares [0] 4 2 3 2" xfId="388" xr:uid="{F88CF70A-4564-448B-8224-1A9DE386553C}"/>
    <cellStyle name="Millares [0] 4 2 3 2 2" xfId="727" xr:uid="{917A9970-8235-4C33-B6E7-775E4A1B323D}"/>
    <cellStyle name="Millares [0] 4 2 3 2 2 2" xfId="1398" xr:uid="{D103C249-1B14-4F7D-9C80-F79C6A842CED}"/>
    <cellStyle name="Millares [0] 4 2 3 2 3" xfId="1066" xr:uid="{7F2616B7-888E-46B7-8892-811B73B1AB6F}"/>
    <cellStyle name="Millares [0] 4 2 3 3" xfId="561" xr:uid="{4C55050A-F06C-4F46-8ADF-54B17FA47797}"/>
    <cellStyle name="Millares [0] 4 2 3 3 2" xfId="1232" xr:uid="{5E9DC2E1-0FFE-4CA5-94AE-370A7A669513}"/>
    <cellStyle name="Millares [0] 4 2 3 4" xfId="900" xr:uid="{04705631-C3CA-4A4F-B69E-A44F8D0BE634}"/>
    <cellStyle name="Millares [0] 4 2 4" xfId="306" xr:uid="{85E57675-4B42-42B0-8FB7-C47D5DD39015}"/>
    <cellStyle name="Millares [0] 4 2 4 2" xfId="645" xr:uid="{98A19DF5-4AD4-4E92-B9B7-FE27C5BCD2CC}"/>
    <cellStyle name="Millares [0] 4 2 4 2 2" xfId="1316" xr:uid="{56D41DA2-64C5-4254-B4B7-0E2D35D11D7F}"/>
    <cellStyle name="Millares [0] 4 2 4 3" xfId="984" xr:uid="{B1E373BC-6EFF-41FC-A892-404BA1D02785}"/>
    <cellStyle name="Millares [0] 4 2 5" xfId="479" xr:uid="{BFC509D4-A935-4174-ABBF-252F2695B131}"/>
    <cellStyle name="Millares [0] 4 2 5 2" xfId="1150" xr:uid="{A74A746F-549A-45A8-B1F4-436FFA67D357}"/>
    <cellStyle name="Millares [0] 4 2 6" xfId="818" xr:uid="{858C07FF-8BFE-46A0-AEDE-FA869573574F}"/>
    <cellStyle name="Millares [0] 4 3" xfId="134" xr:uid="{98C223E7-660E-4C0E-AA79-DC372BE817D9}"/>
    <cellStyle name="Millares [0] 4 3 2" xfId="223" xr:uid="{EB54FD6F-7195-43BC-8970-BD4C86E8B589}"/>
    <cellStyle name="Millares [0] 4 3 2 2" xfId="409" xr:uid="{ECE7CDE4-35B6-40FB-8CB8-E300AEF8616C}"/>
    <cellStyle name="Millares [0] 4 3 2 2 2" xfId="748" xr:uid="{A396B34A-C1C0-4660-93AE-DC9004FB2497}"/>
    <cellStyle name="Millares [0] 4 3 2 2 2 2" xfId="1419" xr:uid="{1050A5C3-9838-44EF-8498-446F15DF84F8}"/>
    <cellStyle name="Millares [0] 4 3 2 2 3" xfId="1087" xr:uid="{C8F91361-D24E-46D3-BD27-EDA8277C9C39}"/>
    <cellStyle name="Millares [0] 4 3 2 3" xfId="582" xr:uid="{E908C3B3-7805-490E-B05B-9392769478AA}"/>
    <cellStyle name="Millares [0] 4 3 2 3 2" xfId="1253" xr:uid="{0898ECE0-899C-4AA9-85FC-E6E196C5E963}"/>
    <cellStyle name="Millares [0] 4 3 2 4" xfId="921" xr:uid="{2C4D0AD7-D353-48B6-9A6D-3A05C2D7C1EC}"/>
    <cellStyle name="Millares [0] 4 3 3" xfId="327" xr:uid="{3689EAF1-C3AC-4B61-AEBE-D61A916F5B78}"/>
    <cellStyle name="Millares [0] 4 3 3 2" xfId="666" xr:uid="{9193FA17-E721-45B5-85CA-78F9C9CA4005}"/>
    <cellStyle name="Millares [0] 4 3 3 2 2" xfId="1337" xr:uid="{3ED0DD0B-FD3B-4C6A-A271-931E73B01F9C}"/>
    <cellStyle name="Millares [0] 4 3 3 3" xfId="1005" xr:uid="{110A45C0-E54C-460E-97F9-238488558296}"/>
    <cellStyle name="Millares [0] 4 3 4" xfId="500" xr:uid="{C946FBD3-C390-44E8-A2E6-82525FB0BB82}"/>
    <cellStyle name="Millares [0] 4 3 4 2" xfId="1171" xr:uid="{8FDDF5F7-79D0-4DB2-8CFD-30FB26FD6239}"/>
    <cellStyle name="Millares [0] 4 3 5" xfId="839" xr:uid="{337122DD-8E48-4D01-B5C0-D45DAF35780F}"/>
    <cellStyle name="Millares [0] 4 4" xfId="183" xr:uid="{6850DBF5-AAC2-418C-8A58-EBDB14A2C280}"/>
    <cellStyle name="Millares [0] 4 4 2" xfId="369" xr:uid="{23238371-5F5E-49AA-BA44-1C167BEBC1E0}"/>
    <cellStyle name="Millares [0] 4 4 2 2" xfId="708" xr:uid="{EBEEE873-7444-4F65-A623-CA3823650F52}"/>
    <cellStyle name="Millares [0] 4 4 2 2 2" xfId="1379" xr:uid="{7C2E5D9D-2707-425E-9994-1ECE259BAF14}"/>
    <cellStyle name="Millares [0] 4 4 2 3" xfId="1047" xr:uid="{BFC42977-8989-45E3-91C1-EB3A3D819993}"/>
    <cellStyle name="Millares [0] 4 4 3" xfId="542" xr:uid="{81549005-7E69-482A-A519-D4594005AABF}"/>
    <cellStyle name="Millares [0] 4 4 3 2" xfId="1213" xr:uid="{307E4D22-0289-4775-BEDA-BBAD34F9FDBA}"/>
    <cellStyle name="Millares [0] 4 4 4" xfId="881" xr:uid="{5E15938C-71D0-4544-9CF6-97CECD8EEC01}"/>
    <cellStyle name="Millares [0] 4 5" xfId="287" xr:uid="{945B946B-29BC-4586-BF29-3ED9B78B3358}"/>
    <cellStyle name="Millares [0] 4 5 2" xfId="626" xr:uid="{7A176273-6EF0-4346-9666-2C8463C20330}"/>
    <cellStyle name="Millares [0] 4 5 2 2" xfId="1297" xr:uid="{4E0E41EB-F31F-4F34-B21F-3B9F9F6E6C79}"/>
    <cellStyle name="Millares [0] 4 5 3" xfId="965" xr:uid="{BBDF680A-1140-4883-B64B-6C6F2144AC82}"/>
    <cellStyle name="Millares [0] 4 6" xfId="460" xr:uid="{166BA92E-104D-4837-A10E-A4007525552D}"/>
    <cellStyle name="Millares [0] 4 6 2" xfId="1131" xr:uid="{7D8E7054-6ACC-4B80-A78B-6CD8919202A8}"/>
    <cellStyle name="Millares [0] 4 7" xfId="799" xr:uid="{CB726147-DA55-4122-883F-ADD7271DA0F0}"/>
    <cellStyle name="Millares [0] 5" xfId="62" xr:uid="{C469A31D-546D-4C26-84FD-3B8304658EB3}"/>
    <cellStyle name="Millares [0] 5 2" xfId="97" xr:uid="{F6DC32AC-37D1-4CE9-9DF5-DD075B9B057A}"/>
    <cellStyle name="Millares [0] 5 2 2" xfId="145" xr:uid="{A34E85E4-AD25-4BD4-8309-6352D910DE2C}"/>
    <cellStyle name="Millares [0] 5 2 2 2" xfId="234" xr:uid="{41F7168E-D8BF-4AB6-AF61-CF879A7656F8}"/>
    <cellStyle name="Millares [0] 5 2 2 2 2" xfId="420" xr:uid="{B769220E-D6D2-48E8-99FE-A7F6DA514E52}"/>
    <cellStyle name="Millares [0] 5 2 2 2 2 2" xfId="759" xr:uid="{170CCCA9-CCEE-42F2-AD94-FC75E896E7C6}"/>
    <cellStyle name="Millares [0] 5 2 2 2 2 2 2" xfId="1430" xr:uid="{9823F8F4-50E5-4911-B588-1E4C259D93F0}"/>
    <cellStyle name="Millares [0] 5 2 2 2 2 3" xfId="1098" xr:uid="{9E645929-5BD9-4CF5-8F35-D1EA2FD6CB64}"/>
    <cellStyle name="Millares [0] 5 2 2 2 3" xfId="593" xr:uid="{F2F2000B-458D-4866-B4BF-4B091A7F3587}"/>
    <cellStyle name="Millares [0] 5 2 2 2 3 2" xfId="1264" xr:uid="{D855A6B6-C501-45DF-8A6A-13A11EC4AAE7}"/>
    <cellStyle name="Millares [0] 5 2 2 2 4" xfId="932" xr:uid="{21485F1B-6F37-4FC7-93BF-01014C7D7292}"/>
    <cellStyle name="Millares [0] 5 2 2 3" xfId="338" xr:uid="{3CF0E337-C8AC-4B55-B5CA-3A3556A0CA9E}"/>
    <cellStyle name="Millares [0] 5 2 2 3 2" xfId="677" xr:uid="{13EEF4B3-96AD-4106-A556-AA2E27F093BC}"/>
    <cellStyle name="Millares [0] 5 2 2 3 2 2" xfId="1348" xr:uid="{3A14DE35-A2CE-47FF-A62A-CD958D03201D}"/>
    <cellStyle name="Millares [0] 5 2 2 3 3" xfId="1016" xr:uid="{3C1F5047-2B6F-421C-B37D-20EB3A3CD68B}"/>
    <cellStyle name="Millares [0] 5 2 2 4" xfId="511" xr:uid="{248FDE41-C3AD-4440-A5A1-E5DF4896B7DB}"/>
    <cellStyle name="Millares [0] 5 2 2 4 2" xfId="1182" xr:uid="{02DECD86-B851-4F3F-9C0A-F8A95C37008A}"/>
    <cellStyle name="Millares [0] 5 2 2 5" xfId="850" xr:uid="{3C7FD681-671A-4B1D-AB7B-28F61E9A0B01}"/>
    <cellStyle name="Millares [0] 5 2 3" xfId="194" xr:uid="{83B5CF83-DE47-4DD5-A166-0DEB87471D85}"/>
    <cellStyle name="Millares [0] 5 2 3 2" xfId="380" xr:uid="{64245527-6DCD-4932-A6F2-51F3B2BDE219}"/>
    <cellStyle name="Millares [0] 5 2 3 2 2" xfId="719" xr:uid="{2A78EDD5-BBD8-41A9-8573-6D8030322D02}"/>
    <cellStyle name="Millares [0] 5 2 3 2 2 2" xfId="1390" xr:uid="{21B4FCE0-6E36-4383-8AFD-65FF05D57CA3}"/>
    <cellStyle name="Millares [0] 5 2 3 2 3" xfId="1058" xr:uid="{68727F17-5A75-4C07-8072-DC858A4D3B43}"/>
    <cellStyle name="Millares [0] 5 2 3 3" xfId="553" xr:uid="{7765016B-1760-4714-AB5A-E8653056B6DE}"/>
    <cellStyle name="Millares [0] 5 2 3 3 2" xfId="1224" xr:uid="{06A735CB-11CB-4DCA-919A-19DB476FE126}"/>
    <cellStyle name="Millares [0] 5 2 3 4" xfId="892" xr:uid="{1F0B16E7-00CA-4F08-B8F5-066B01D378F3}"/>
    <cellStyle name="Millares [0] 5 2 4" xfId="298" xr:uid="{1450A5B5-956A-46D2-83F1-77F22435E2A1}"/>
    <cellStyle name="Millares [0] 5 2 4 2" xfId="637" xr:uid="{AC8928B1-2B94-4A64-AD9C-ACD5D6E5E2EC}"/>
    <cellStyle name="Millares [0] 5 2 4 2 2" xfId="1308" xr:uid="{5B8393BF-B170-49F7-8938-FA823B0FB4D3}"/>
    <cellStyle name="Millares [0] 5 2 4 3" xfId="976" xr:uid="{6B020059-A0E9-44BB-A874-37C68384EC49}"/>
    <cellStyle name="Millares [0] 5 2 5" xfId="471" xr:uid="{1B1E4CAD-4D71-49C3-B4FA-6EFC8C968D0A}"/>
    <cellStyle name="Millares [0] 5 2 5 2" xfId="1142" xr:uid="{A8B4A85B-F926-46AF-B6F5-26A0C956B001}"/>
    <cellStyle name="Millares [0] 5 2 6" xfId="810" xr:uid="{BA6FE6B3-BC4D-492B-8475-21155131081F}"/>
    <cellStyle name="Millares [0] 5 3" xfId="126" xr:uid="{ABF2DA82-9C29-4B79-8ECF-2C20F62A9799}"/>
    <cellStyle name="Millares [0] 5 3 2" xfId="215" xr:uid="{0447AA3C-D783-41E0-B134-E250DEC7DE08}"/>
    <cellStyle name="Millares [0] 5 3 2 2" xfId="401" xr:uid="{C2614DA8-47AC-4AD1-9689-C47A116728BD}"/>
    <cellStyle name="Millares [0] 5 3 2 2 2" xfId="740" xr:uid="{D29E8C44-7F68-4306-AD3F-891D447B0421}"/>
    <cellStyle name="Millares [0] 5 3 2 2 2 2" xfId="1411" xr:uid="{6A222E7A-7C7E-44A3-A3A7-0F706CC3303B}"/>
    <cellStyle name="Millares [0] 5 3 2 2 3" xfId="1079" xr:uid="{BE2974B4-1CB1-42C1-810E-3B5132B1C13C}"/>
    <cellStyle name="Millares [0] 5 3 2 3" xfId="574" xr:uid="{46BCB6D7-2EAB-479F-848B-684BBAC94B49}"/>
    <cellStyle name="Millares [0] 5 3 2 3 2" xfId="1245" xr:uid="{37BA82FC-83CA-42EF-B912-B9158E278FF5}"/>
    <cellStyle name="Millares [0] 5 3 2 4" xfId="913" xr:uid="{414B22CA-502C-4461-9337-3050E34BF1E1}"/>
    <cellStyle name="Millares [0] 5 3 3" xfId="319" xr:uid="{31F8EDD6-C344-4397-B1CF-2C36A03ECB16}"/>
    <cellStyle name="Millares [0] 5 3 3 2" xfId="658" xr:uid="{D4F31FB4-7217-4F07-A4B3-2048A03C0146}"/>
    <cellStyle name="Millares [0] 5 3 3 2 2" xfId="1329" xr:uid="{19A75F4B-E1AB-4E2C-A6A9-A571D16A4051}"/>
    <cellStyle name="Millares [0] 5 3 3 3" xfId="997" xr:uid="{8436C3C8-F655-4C93-9A54-47CEB5929356}"/>
    <cellStyle name="Millares [0] 5 3 4" xfId="492" xr:uid="{CE2BD05C-DE03-49CD-98E4-CD27F7CA646D}"/>
    <cellStyle name="Millares [0] 5 3 4 2" xfId="1163" xr:uid="{821258C6-B05C-4FE1-B848-D00069E5D068}"/>
    <cellStyle name="Millares [0] 5 3 5" xfId="831" xr:uid="{EC434623-79CF-4663-8EA9-ABD819684B65}"/>
    <cellStyle name="Millares [0] 5 4" xfId="175" xr:uid="{9BBD55EA-9799-4507-84FC-F838EF0CD5D9}"/>
    <cellStyle name="Millares [0] 5 4 2" xfId="361" xr:uid="{DBCA85C8-376E-4754-A8EF-77E98C7BF2D6}"/>
    <cellStyle name="Millares [0] 5 4 2 2" xfId="700" xr:uid="{64224853-F069-4D80-A5C2-1475D135922F}"/>
    <cellStyle name="Millares [0] 5 4 2 2 2" xfId="1371" xr:uid="{D40DFC54-31D1-49B2-94B6-3A509940543D}"/>
    <cellStyle name="Millares [0] 5 4 2 3" xfId="1039" xr:uid="{163BD884-9254-421B-A713-B0C0CC361533}"/>
    <cellStyle name="Millares [0] 5 4 3" xfId="534" xr:uid="{2E4260C8-CA89-4E22-84EA-30B6CDF85FDC}"/>
    <cellStyle name="Millares [0] 5 4 3 2" xfId="1205" xr:uid="{D3F625DC-F1DA-4D68-A5B2-F7049D0513CF}"/>
    <cellStyle name="Millares [0] 5 4 4" xfId="873" xr:uid="{2BE3612C-DBE5-4B3A-8B46-392253024EE7}"/>
    <cellStyle name="Millares [0] 5 5" xfId="279" xr:uid="{728C3EC7-D8EB-487C-9CD6-A8A304CF608C}"/>
    <cellStyle name="Millares [0] 5 5 2" xfId="618" xr:uid="{9A2C60C7-8F1D-4BF0-B604-4A128367FEE7}"/>
    <cellStyle name="Millares [0] 5 5 2 2" xfId="1289" xr:uid="{22A11289-96C4-4869-AC2E-4FAACFEE6840}"/>
    <cellStyle name="Millares [0] 5 5 3" xfId="957" xr:uid="{786A0CD4-0CB5-4D5F-88C4-7C6AD375A679}"/>
    <cellStyle name="Millares [0] 5 6" xfId="452" xr:uid="{6BF0ECB5-4EC7-48F4-82BB-6AD1FBB71DAA}"/>
    <cellStyle name="Millares [0] 5 6 2" xfId="1123" xr:uid="{DCFC3FD8-FF25-4563-B1AC-71E9AEB47720}"/>
    <cellStyle name="Millares [0] 5 7" xfId="791" xr:uid="{61C9A59E-3E07-48F6-9F78-D0069A0C0FF9}"/>
    <cellStyle name="Millares [0] 6" xfId="95" xr:uid="{556AE426-FEC5-4720-A6D0-6B178D3D8265}"/>
    <cellStyle name="Millares [0] 6 2" xfId="144" xr:uid="{110F07A7-F182-47E3-B5E9-CF9A4C160A84}"/>
    <cellStyle name="Millares [0] 6 2 2" xfId="233" xr:uid="{4C0F75D2-360C-49D1-A574-0E0C7565A98E}"/>
    <cellStyle name="Millares [0] 6 2 2 2" xfId="419" xr:uid="{568401CD-CB8D-4641-BBB1-C68CD2E543CB}"/>
    <cellStyle name="Millares [0] 6 2 2 2 2" xfId="758" xr:uid="{DC67E9DE-97DB-494C-AAAA-86D85669AF97}"/>
    <cellStyle name="Millares [0] 6 2 2 2 2 2" xfId="1429" xr:uid="{AF8C120D-3571-4478-BBF1-56B74F5FFF0E}"/>
    <cellStyle name="Millares [0] 6 2 2 2 3" xfId="1097" xr:uid="{37EA1210-2F7E-43C5-8771-77A18AD22437}"/>
    <cellStyle name="Millares [0] 6 2 2 3" xfId="592" xr:uid="{24069DFB-E5A0-4540-B768-942C747283F7}"/>
    <cellStyle name="Millares [0] 6 2 2 3 2" xfId="1263" xr:uid="{DA93EEB1-CA0E-4697-8F0B-41F9111AECB3}"/>
    <cellStyle name="Millares [0] 6 2 2 4" xfId="931" xr:uid="{FCBAC237-4194-4D4B-A24A-DCFFD8B13C7D}"/>
    <cellStyle name="Millares [0] 6 2 3" xfId="337" xr:uid="{0270BC34-6942-404F-AFF4-866E5F8CBF6D}"/>
    <cellStyle name="Millares [0] 6 2 3 2" xfId="676" xr:uid="{84A09B88-622B-41C7-949A-F14640F93B28}"/>
    <cellStyle name="Millares [0] 6 2 3 2 2" xfId="1347" xr:uid="{D63092CF-4B39-4241-A68B-246E17D14AB4}"/>
    <cellStyle name="Millares [0] 6 2 3 3" xfId="1015" xr:uid="{04A649AF-D16B-42B0-9DBD-AC9A4A7D53FD}"/>
    <cellStyle name="Millares [0] 6 2 4" xfId="510" xr:uid="{B5821AEA-173F-4FEC-81DE-264082DDC807}"/>
    <cellStyle name="Millares [0] 6 2 4 2" xfId="1181" xr:uid="{3275EFB9-B0A7-47BB-B58B-7E5A6CE3E3A2}"/>
    <cellStyle name="Millares [0] 6 2 5" xfId="849" xr:uid="{B43847DD-946E-4DA9-A657-CB1295E70D68}"/>
    <cellStyle name="Millares [0] 6 3" xfId="193" xr:uid="{30D3C141-6EC6-4020-9566-1934DFF23F65}"/>
    <cellStyle name="Millares [0] 6 3 2" xfId="379" xr:uid="{11D5A0D0-EC6B-4344-B043-E6FA404E9609}"/>
    <cellStyle name="Millares [0] 6 3 2 2" xfId="718" xr:uid="{3D3747D7-7D8E-4EEB-B3AE-D07611A216F4}"/>
    <cellStyle name="Millares [0] 6 3 2 2 2" xfId="1389" xr:uid="{7D7E3723-71A6-4C86-83F5-D61FBF04E807}"/>
    <cellStyle name="Millares [0] 6 3 2 3" xfId="1057" xr:uid="{CAC2F36B-21A4-4085-868E-53ED57C7CC05}"/>
    <cellStyle name="Millares [0] 6 3 3" xfId="552" xr:uid="{1C31BAE7-21CC-4A52-8704-1DE1FD785DF3}"/>
    <cellStyle name="Millares [0] 6 3 3 2" xfId="1223" xr:uid="{92FD8DA0-A0DA-444A-95BA-3B69AFFFD579}"/>
    <cellStyle name="Millares [0] 6 3 4" xfId="891" xr:uid="{6BAF6299-0226-49DC-92E8-A24D1ECF5150}"/>
    <cellStyle name="Millares [0] 6 4" xfId="297" xr:uid="{5E07E203-C286-4113-96A3-0ECB1E411348}"/>
    <cellStyle name="Millares [0] 6 4 2" xfId="636" xr:uid="{953CA29F-82DE-4B24-B63A-DB1523FB4C85}"/>
    <cellStyle name="Millares [0] 6 4 2 2" xfId="1307" xr:uid="{56C791EE-E81E-4788-A727-E6C2F736811A}"/>
    <cellStyle name="Millares [0] 6 4 3" xfId="975" xr:uid="{D798DF1A-753E-4E40-9842-65EBCCD20C04}"/>
    <cellStyle name="Millares [0] 6 5" xfId="470" xr:uid="{F5D94302-02A6-41E3-A4F5-EE50C40D7488}"/>
    <cellStyle name="Millares [0] 6 5 2" xfId="1141" xr:uid="{263186D1-3270-4033-A0F1-B4F7006777EF}"/>
    <cellStyle name="Millares [0] 6 6" xfId="809" xr:uid="{17514BFF-0C29-472F-8D65-B2438BA2737D}"/>
    <cellStyle name="Millares [0] 7" xfId="124" xr:uid="{B7A19CE5-7E1A-48E8-B833-C9F6717CFDA1}"/>
    <cellStyle name="Millares [0] 7 2" xfId="214" xr:uid="{6018AC1E-56C6-4476-A598-335AC3226718}"/>
    <cellStyle name="Millares [0] 7 2 2" xfId="400" xr:uid="{14F70CE4-8C6E-4C55-B73C-90436462112C}"/>
    <cellStyle name="Millares [0] 7 2 2 2" xfId="739" xr:uid="{0133C256-4140-4C0D-974B-387C6CC46B24}"/>
    <cellStyle name="Millares [0] 7 2 2 2 2" xfId="1410" xr:uid="{851C6C53-1EC5-4523-80C9-BE52071ECB1A}"/>
    <cellStyle name="Millares [0] 7 2 2 3" xfId="1078" xr:uid="{99A35AC4-36F4-41B3-8FCB-405389BE4D7A}"/>
    <cellStyle name="Millares [0] 7 2 3" xfId="573" xr:uid="{9F42AE5E-4504-4613-85D8-8876B0E5D883}"/>
    <cellStyle name="Millares [0] 7 2 3 2" xfId="1244" xr:uid="{7F75751B-EFEA-4E83-9CED-D8CD1909AD53}"/>
    <cellStyle name="Millares [0] 7 2 4" xfId="912" xr:uid="{5DF11F17-0DD1-4D36-9EF1-3F1CE61C45E9}"/>
    <cellStyle name="Millares [0] 7 3" xfId="318" xr:uid="{7820A565-A102-4FF3-A9CD-DEE893412659}"/>
    <cellStyle name="Millares [0] 7 3 2" xfId="657" xr:uid="{80759907-2908-456D-AF49-835113354351}"/>
    <cellStyle name="Millares [0] 7 3 2 2" xfId="1328" xr:uid="{D99DB0CE-70E4-4DAF-995F-E3BD2B10C85F}"/>
    <cellStyle name="Millares [0] 7 3 3" xfId="996" xr:uid="{B2135ACA-37B8-4683-A59F-6097BC8D48C6}"/>
    <cellStyle name="Millares [0] 7 4" xfId="491" xr:uid="{FA2C3F82-06A1-4733-8A21-5C6AAB07E261}"/>
    <cellStyle name="Millares [0] 7 4 2" xfId="1162" xr:uid="{AE4DE81B-5B05-430C-A1BF-A64333F8A3A0}"/>
    <cellStyle name="Millares [0] 7 5" xfId="830" xr:uid="{7C594CFA-4A90-4487-8386-3448F17D6CCD}"/>
    <cellStyle name="Millares [0] 8" xfId="110" xr:uid="{0627A1DD-0A34-4F96-B843-BD1719F47A89}"/>
    <cellStyle name="Millares [0] 8 2" xfId="207" xr:uid="{0A7F6CA8-25C0-4D52-B5FA-CCED07B8679C}"/>
    <cellStyle name="Millares [0] 8 2 2" xfId="393" xr:uid="{957DD28C-2C12-4603-A2AC-2704FF2E6F93}"/>
    <cellStyle name="Millares [0] 8 2 2 2" xfId="732" xr:uid="{54AC70C5-E780-4980-8D3B-995D9E6EF6AB}"/>
    <cellStyle name="Millares [0] 8 2 2 2 2" xfId="1403" xr:uid="{AAD1A973-9B2A-4D3E-9843-2CAA0943BF84}"/>
    <cellStyle name="Millares [0] 8 2 2 3" xfId="1071" xr:uid="{7196BA77-B8DD-4AC3-A3CA-D025C0AC080F}"/>
    <cellStyle name="Millares [0] 8 2 3" xfId="566" xr:uid="{AD0F2003-BC18-4666-8F0C-00AE783145EB}"/>
    <cellStyle name="Millares [0] 8 2 3 2" xfId="1237" xr:uid="{F86DAF40-6923-4E60-8203-8ED13594BF96}"/>
    <cellStyle name="Millares [0] 8 2 4" xfId="905" xr:uid="{8A84A205-C716-414B-BF83-6F64FA723825}"/>
    <cellStyle name="Millares [0] 8 3" xfId="311" xr:uid="{D0D5C0E8-75C7-450A-9B6D-6BAB757F8627}"/>
    <cellStyle name="Millares [0] 8 3 2" xfId="650" xr:uid="{9F976503-9448-4898-9CC7-D8F5809880EA}"/>
    <cellStyle name="Millares [0] 8 3 2 2" xfId="1321" xr:uid="{AC833C03-F710-449A-9F4A-29A3610B050B}"/>
    <cellStyle name="Millares [0] 8 3 3" xfId="989" xr:uid="{8625665E-63FF-4C17-8E03-27960B293751}"/>
    <cellStyle name="Millares [0] 8 4" xfId="484" xr:uid="{855C8761-A4FA-4ED7-B615-AE1014E90B61}"/>
    <cellStyle name="Millares [0] 8 4 2" xfId="1155" xr:uid="{E1FFECF9-FA08-475B-B58E-8EB964C03A95}"/>
    <cellStyle name="Millares [0] 8 5" xfId="823" xr:uid="{882D888F-BE48-4982-A74A-4401AFD7223A}"/>
    <cellStyle name="Millares [0] 9" xfId="160" xr:uid="{34DA84AD-88D1-4BA1-8979-D24C41C19B1D}"/>
    <cellStyle name="Millares [0] 9 2" xfId="249" xr:uid="{B90671AE-DF8A-479E-A17B-41E6ABBBFECA}"/>
    <cellStyle name="Millares [0] 9 2 2" xfId="435" xr:uid="{AE42EF49-1D74-4C41-923E-6C07ECF4C5E6}"/>
    <cellStyle name="Millares [0] 9 2 2 2" xfId="774" xr:uid="{A7C6F31A-2B6F-4B6F-B493-126FD6D6BBBC}"/>
    <cellStyle name="Millares [0] 9 2 2 2 2" xfId="1445" xr:uid="{E69B8DA1-AB32-44CF-8829-804628C1DB1F}"/>
    <cellStyle name="Millares [0] 9 2 2 3" xfId="1113" xr:uid="{4EFB740B-1213-4840-BA17-97471E2F7383}"/>
    <cellStyle name="Millares [0] 9 2 3" xfId="608" xr:uid="{0FC92B56-9DC9-427F-B623-B49C9CC7A1DF}"/>
    <cellStyle name="Millares [0] 9 2 3 2" xfId="1279" xr:uid="{20DE4C99-2309-41A1-898F-6576BC750C29}"/>
    <cellStyle name="Millares [0] 9 2 4" xfId="947" xr:uid="{707910AA-44B0-49C8-A7F4-C10634E588CD}"/>
    <cellStyle name="Millares [0] 9 3" xfId="353" xr:uid="{414275D3-19D1-4749-A2C2-B8692CB59FFC}"/>
    <cellStyle name="Millares [0] 9 3 2" xfId="692" xr:uid="{6A7F62B2-B363-4932-BA3C-F80D2D737181}"/>
    <cellStyle name="Millares [0] 9 3 2 2" xfId="1363" xr:uid="{817A0978-18B7-47E6-AFF4-EC7B49764962}"/>
    <cellStyle name="Millares [0] 9 3 3" xfId="1031" xr:uid="{758B61F9-8E18-405C-9624-E3BD07745912}"/>
    <cellStyle name="Millares [0] 9 4" xfId="526" xr:uid="{2CFD21C3-5926-40A1-BB38-B24AAF05F4E3}"/>
    <cellStyle name="Millares [0] 9 4 2" xfId="1197" xr:uid="{7A6EB8DA-074A-4CE4-9110-FD39ABFC2BE6}"/>
    <cellStyle name="Millares [0] 9 5" xfId="865" xr:uid="{607FE598-EADE-4006-BF71-F169EA2E6167}"/>
    <cellStyle name="Millares 10" xfId="117" xr:uid="{6FBC6D09-4E5B-4DB5-B8C6-4E98A07ADA7C}"/>
    <cellStyle name="Millares 10 2" xfId="208" xr:uid="{BC843906-DBAE-4FDA-9D5E-C0E76497766B}"/>
    <cellStyle name="Millares 10 2 2" xfId="394" xr:uid="{9536636B-0AA7-4525-BD9E-4961CC53B72E}"/>
    <cellStyle name="Millares 10 2 2 2" xfId="733" xr:uid="{66A08CA3-C5FA-446D-9F57-69B7A1A12905}"/>
    <cellStyle name="Millares 10 2 2 2 2" xfId="1404" xr:uid="{9B0FD02F-9C36-43A9-A9E0-68E0124E3789}"/>
    <cellStyle name="Millares 10 2 2 3" xfId="1072" xr:uid="{A293E78D-A82C-4DF6-8EC3-F52A384521F3}"/>
    <cellStyle name="Millares 10 2 3" xfId="567" xr:uid="{8DB235CC-59D7-4EB1-A3FB-D06CFC999E2B}"/>
    <cellStyle name="Millares 10 2 3 2" xfId="1238" xr:uid="{6F7DB339-DB3B-4D47-8E43-6FF0652D3460}"/>
    <cellStyle name="Millares 10 2 4" xfId="906" xr:uid="{9D30EBF6-1DC4-4747-9700-588E066ECFD7}"/>
    <cellStyle name="Millares 10 3" xfId="312" xr:uid="{D969C725-293A-4864-9788-C775DC1811A5}"/>
    <cellStyle name="Millares 10 3 2" xfId="651" xr:uid="{2668B4C2-4C94-4365-A915-295E1BBC7C9F}"/>
    <cellStyle name="Millares 10 3 2 2" xfId="1322" xr:uid="{2F6817FC-DB45-4932-8C0A-EFB436BDC272}"/>
    <cellStyle name="Millares 10 3 3" xfId="990" xr:uid="{F89B08A4-E478-4543-A231-5E2CEFC46882}"/>
    <cellStyle name="Millares 10 4" xfId="485" xr:uid="{9883F4C9-672F-4CAC-9612-0DFAB091AF67}"/>
    <cellStyle name="Millares 10 4 2" xfId="1156" xr:uid="{8F56CA48-BA5C-44C8-AB86-EEBA83B77522}"/>
    <cellStyle name="Millares 10 5" xfId="824" xr:uid="{6B897010-13D3-4B65-9E96-FC64B9C49EC7}"/>
    <cellStyle name="Millares 100 2" xfId="56" xr:uid="{5F1A4778-013F-4C96-8F02-FC998648835E}"/>
    <cellStyle name="Millares 100 2 2" xfId="261" xr:uid="{3B464BAC-A4E9-4BBF-8635-DC94F9517CD9}"/>
    <cellStyle name="Millares 11" xfId="158" xr:uid="{2724190F-5778-4367-8AA5-69C05A44D157}"/>
    <cellStyle name="Millares 11 2" xfId="247" xr:uid="{A564956C-486C-498D-9A09-5262FCFE4356}"/>
    <cellStyle name="Millares 11 2 2" xfId="433" xr:uid="{7638EDA1-DDCD-4039-AEFF-4FD06F4D02E9}"/>
    <cellStyle name="Millares 11 2 2 2" xfId="772" xr:uid="{D52E4FDE-41C6-442C-B61D-BEF01516CD08}"/>
    <cellStyle name="Millares 11 2 2 2 2" xfId="1443" xr:uid="{A140A003-02B1-4C4D-854C-EE5BC7BFF1DF}"/>
    <cellStyle name="Millares 11 2 2 3" xfId="1111" xr:uid="{C0EA4FB6-9FD0-4613-B282-280B868B5EDF}"/>
    <cellStyle name="Millares 11 2 3" xfId="606" xr:uid="{A8D2651E-F30B-4226-8CC5-D727F809180A}"/>
    <cellStyle name="Millares 11 2 3 2" xfId="1277" xr:uid="{F2923A0D-A6ED-4A09-A295-045451C0F0E9}"/>
    <cellStyle name="Millares 11 2 4" xfId="945" xr:uid="{E05076A3-D646-4DD3-BF39-AAABCBFF7B2D}"/>
    <cellStyle name="Millares 11 3" xfId="351" xr:uid="{7B7D188B-7209-45F8-B9C8-3DA9EFFBB72E}"/>
    <cellStyle name="Millares 11 3 2" xfId="690" xr:uid="{C0797805-2F62-4D3E-A786-D244F86D851D}"/>
    <cellStyle name="Millares 11 3 2 2" xfId="1361" xr:uid="{D3C14209-E557-478B-BF04-C1331383D39E}"/>
    <cellStyle name="Millares 11 3 3" xfId="1029" xr:uid="{A6CFBF06-2A51-4B94-B75B-A16DC70DE0E7}"/>
    <cellStyle name="Millares 11 4" xfId="524" xr:uid="{F3DB9947-3AF2-4990-B95E-C409712D9558}"/>
    <cellStyle name="Millares 11 4 2" xfId="1195" xr:uid="{49968537-B79E-4DA9-95EF-87E7157254BE}"/>
    <cellStyle name="Millares 11 5" xfId="863" xr:uid="{92515611-B55A-4663-AE6F-C5391630DE1E}"/>
    <cellStyle name="Millares 12" xfId="159" xr:uid="{AED0CA30-173C-4C9E-A367-E864C020C87A}"/>
    <cellStyle name="Millares 12 2" xfId="248" xr:uid="{775282A0-67A6-444E-977A-BC60C35B6687}"/>
    <cellStyle name="Millares 12 2 2" xfId="434" xr:uid="{05750E1A-F45E-418F-8046-03376087AF10}"/>
    <cellStyle name="Millares 12 2 2 2" xfId="773" xr:uid="{6EDD9662-302A-4FDA-B52A-14B381A70185}"/>
    <cellStyle name="Millares 12 2 2 2 2" xfId="1444" xr:uid="{78EFC4DD-E0A9-4D8F-A21A-EE900160543B}"/>
    <cellStyle name="Millares 12 2 2 3" xfId="1112" xr:uid="{BFEE3EA0-D682-4EE2-8D77-E5AEA36E7216}"/>
    <cellStyle name="Millares 12 2 3" xfId="607" xr:uid="{65657387-C8C4-4FA5-8F0D-602FEA91E059}"/>
    <cellStyle name="Millares 12 2 3 2" xfId="1278" xr:uid="{41468087-1FE1-4C66-834D-75ADC5BE64A6}"/>
    <cellStyle name="Millares 12 2 4" xfId="946" xr:uid="{61C6D1E8-EA16-4835-8C89-BBA79C7E07C8}"/>
    <cellStyle name="Millares 12 3" xfId="352" xr:uid="{00060675-5C9A-411C-BE32-D3EF3A47F951}"/>
    <cellStyle name="Millares 12 3 2" xfId="691" xr:uid="{756EE3AE-F9CD-411B-AF9F-0DAE742C319F}"/>
    <cellStyle name="Millares 12 3 2 2" xfId="1362" xr:uid="{E711F0BA-BEB3-48C7-A3E2-08846F040D3C}"/>
    <cellStyle name="Millares 12 3 3" xfId="1030" xr:uid="{A5689D4C-12CA-41D0-8A6F-C826792C9EA8}"/>
    <cellStyle name="Millares 12 4" xfId="525" xr:uid="{41D9929D-8ECF-4DD3-82B6-452FE2865AA7}"/>
    <cellStyle name="Millares 12 4 2" xfId="1196" xr:uid="{5CB4381C-BEC0-49E2-BFFD-97E7CEBA54F3}"/>
    <cellStyle name="Millares 12 5" xfId="864" xr:uid="{6EABA231-9341-4A3E-AAD1-B12E8D178254}"/>
    <cellStyle name="Millares 13" xfId="167" xr:uid="{3BDA162F-822E-476B-A7E1-E9B51B61A550}"/>
    <cellStyle name="Millares 13 2" xfId="354" xr:uid="{BB1C3ECE-FC39-443D-AC76-F6C7DE830A8B}"/>
    <cellStyle name="Millares 13 2 2" xfId="693" xr:uid="{04B10EEC-7D66-4957-9E27-434E89CC44F2}"/>
    <cellStyle name="Millares 13 2 2 2" xfId="1364" xr:uid="{6A43AFD1-18F1-4436-A96F-70E42CCDD337}"/>
    <cellStyle name="Millares 13 2 3" xfId="1032" xr:uid="{0E5FDFDC-1356-4A0F-82C4-EED7C446976C}"/>
    <cellStyle name="Millares 13 3" xfId="527" xr:uid="{92714087-3B8F-426B-9741-76ABF0D08BB5}"/>
    <cellStyle name="Millares 13 3 2" xfId="1198" xr:uid="{4DC224B7-0A14-440B-8842-BFC29DAFC257}"/>
    <cellStyle name="Millares 13 4" xfId="866" xr:uid="{0C8EE6CE-E726-42E8-BF44-B4737625C21A}"/>
    <cellStyle name="Millares 14" xfId="256" xr:uid="{FFE51E9B-AEFA-44B3-820D-D1E9AE712147}"/>
    <cellStyle name="Millares 14 2" xfId="436" xr:uid="{C04A691F-BCD0-4B57-AF1A-585E7C145C33}"/>
    <cellStyle name="Millares 14 2 2" xfId="775" xr:uid="{1746BA14-6AA2-454F-AC02-9EA20158B632}"/>
    <cellStyle name="Millares 14 2 2 2" xfId="1446" xr:uid="{FD8E12B0-0468-456D-A066-2A7D38D79285}"/>
    <cellStyle name="Millares 14 2 3" xfId="1114" xr:uid="{8BCF6C8B-E4EA-4845-8086-6244219D1EBE}"/>
    <cellStyle name="Millares 14 3" xfId="609" xr:uid="{76C19062-F96C-4FE7-AA48-DF5C5D351C6A}"/>
    <cellStyle name="Millares 14 3 2" xfId="1280" xr:uid="{A0C28429-0887-450E-AAD5-4AC138906AC0}"/>
    <cellStyle name="Millares 14 4" xfId="948" xr:uid="{063800A9-4A48-4212-AFC6-47F103E2DA4D}"/>
    <cellStyle name="Millares 15" xfId="271" xr:uid="{70932C9D-835A-48E2-AE05-47F020BB0014}"/>
    <cellStyle name="Millares 15 2" xfId="611" xr:uid="{3E155818-830E-4896-8D21-6EE5E5749C1A}"/>
    <cellStyle name="Millares 15 2 2" xfId="1282" xr:uid="{BA8A32A4-B1E0-4653-A842-597CAEA1B949}"/>
    <cellStyle name="Millares 15 3" xfId="950" xr:uid="{C47BD6DD-0CDF-4C64-97D0-C9527B5ACCB4}"/>
    <cellStyle name="Millares 16" xfId="444" xr:uid="{8474EF67-87AF-4D4C-A6AD-47EB1F9497F7}"/>
    <cellStyle name="Millares 16 2" xfId="1116" xr:uid="{07031513-7B1D-45F4-854D-022E335ECCDA}"/>
    <cellStyle name="Millares 17" xfId="783" xr:uid="{910803A5-683B-4FB3-BC9F-40FCD03BCAA0}"/>
    <cellStyle name="Millares 18" xfId="58" xr:uid="{FF7613A9-9FB7-4BEC-A70C-8665E734AB08}"/>
    <cellStyle name="Millares 19" xfId="42" xr:uid="{07C1D1DE-B2D1-413E-A849-FB2D3A662E9F}"/>
    <cellStyle name="Millares 2" xfId="46" xr:uid="{0FA055C8-7468-4A9E-8630-839402D72467}"/>
    <cellStyle name="Millares 2 2" xfId="73" xr:uid="{234B6C33-7C00-4926-8EC8-264032B35F2F}"/>
    <cellStyle name="Millares 2 2 2" xfId="102" xr:uid="{2784248C-3803-4C94-8AB3-9D1A7310A6DD}"/>
    <cellStyle name="Millares 2 2 2 2" xfId="150" xr:uid="{31326726-CB49-44B1-B39F-31A97EC76558}"/>
    <cellStyle name="Millares 2 2 2 2 2" xfId="239" xr:uid="{9C9D0391-9D60-447A-8C3D-4324193BB784}"/>
    <cellStyle name="Millares 2 2 2 2 2 2" xfId="425" xr:uid="{8CB45FA5-4793-4F76-800C-F05CD3E3B510}"/>
    <cellStyle name="Millares 2 2 2 2 2 2 2" xfId="764" xr:uid="{74C35F47-50C4-4AD7-8C2E-B91E07C543CB}"/>
    <cellStyle name="Millares 2 2 2 2 2 2 2 2" xfId="1435" xr:uid="{2A891416-3034-4298-AB4D-8D6CDD6E7A99}"/>
    <cellStyle name="Millares 2 2 2 2 2 2 3" xfId="1103" xr:uid="{3257FB33-9835-46D4-8B9D-4857A615B18E}"/>
    <cellStyle name="Millares 2 2 2 2 2 3" xfId="598" xr:uid="{9DE996D9-3CBD-41F9-9E87-361D63234FE2}"/>
    <cellStyle name="Millares 2 2 2 2 2 3 2" xfId="1269" xr:uid="{8B539D4B-EA60-402E-9426-E1929DCB9884}"/>
    <cellStyle name="Millares 2 2 2 2 2 4" xfId="937" xr:uid="{DB3C4F27-D1D2-4312-931C-A93D5872D54A}"/>
    <cellStyle name="Millares 2 2 2 2 3" xfId="343" xr:uid="{894CB801-CE49-4488-9988-98DF6019A38B}"/>
    <cellStyle name="Millares 2 2 2 2 3 2" xfId="682" xr:uid="{2DCA3611-0661-4B03-B6EF-1F2820F2D03F}"/>
    <cellStyle name="Millares 2 2 2 2 3 2 2" xfId="1353" xr:uid="{62B5CF52-039C-4FCE-84DC-2EED37CBADC8}"/>
    <cellStyle name="Millares 2 2 2 2 3 3" xfId="1021" xr:uid="{62C4A134-9C8C-4D97-886B-5E443C2D1220}"/>
    <cellStyle name="Millares 2 2 2 2 4" xfId="516" xr:uid="{61C7942A-081C-43FD-84A4-E444171CD5A7}"/>
    <cellStyle name="Millares 2 2 2 2 4 2" xfId="1187" xr:uid="{BFC5AC2D-F495-4E36-BCF9-1F860A2F917D}"/>
    <cellStyle name="Millares 2 2 2 2 5" xfId="855" xr:uid="{5C5683CF-D589-4EC7-AB6B-A9A1FD170131}"/>
    <cellStyle name="Millares 2 2 2 3" xfId="199" xr:uid="{5A95F10D-72F4-4D91-AC18-8EBCF80F17DE}"/>
    <cellStyle name="Millares 2 2 2 3 2" xfId="385" xr:uid="{4337D16D-5907-4E00-83AF-6D38D0895B70}"/>
    <cellStyle name="Millares 2 2 2 3 2 2" xfId="724" xr:uid="{5AC89220-2433-4CA3-A395-1EA124D6917A}"/>
    <cellStyle name="Millares 2 2 2 3 2 2 2" xfId="1395" xr:uid="{E8665171-ADEB-4A4B-9EBE-65C0377AF3B5}"/>
    <cellStyle name="Millares 2 2 2 3 2 3" xfId="1063" xr:uid="{8B225A00-B2B9-4321-B642-23B3B8176831}"/>
    <cellStyle name="Millares 2 2 2 3 3" xfId="558" xr:uid="{FDAD9428-C1EF-4740-AA91-5E18BCCC31FB}"/>
    <cellStyle name="Millares 2 2 2 3 3 2" xfId="1229" xr:uid="{886C9459-A85D-4388-8409-E9FB17CC5BCF}"/>
    <cellStyle name="Millares 2 2 2 3 4" xfId="897" xr:uid="{A8C875FF-3143-4DC4-BD44-C0059B8A99DB}"/>
    <cellStyle name="Millares 2 2 2 4" xfId="303" xr:uid="{68F3E009-B56B-4FE3-B2FA-BAE89DEBBAA4}"/>
    <cellStyle name="Millares 2 2 2 4 2" xfId="642" xr:uid="{7C7AEC78-E875-467E-804B-995E2AA9BEAC}"/>
    <cellStyle name="Millares 2 2 2 4 2 2" xfId="1313" xr:uid="{92DA22E3-FFE1-4356-80A9-43BCE74F297E}"/>
    <cellStyle name="Millares 2 2 2 4 3" xfId="981" xr:uid="{9F98485E-01ED-40A2-A7B4-59FBB2F3F65C}"/>
    <cellStyle name="Millares 2 2 2 5" xfId="476" xr:uid="{C9346228-224D-46B5-968A-4EBE1EFAA826}"/>
    <cellStyle name="Millares 2 2 2 5 2" xfId="1147" xr:uid="{C7811D6E-52DA-47B5-8603-911DDD60A2C1}"/>
    <cellStyle name="Millares 2 2 2 6" xfId="815" xr:uid="{EFC8DD97-D010-47BE-AB55-25DAB2A2EC9C}"/>
    <cellStyle name="Millares 2 2 3" xfId="131" xr:uid="{39AEB02E-5CD5-4B6A-B28F-0EECD0C42653}"/>
    <cellStyle name="Millares 2 2 3 2" xfId="220" xr:uid="{5AB5EA2A-37F4-4291-96AD-0AB1E7BCB42D}"/>
    <cellStyle name="Millares 2 2 3 2 2" xfId="406" xr:uid="{85B147F8-A6C1-4D46-952A-B16D78BFD7D3}"/>
    <cellStyle name="Millares 2 2 3 2 2 2" xfId="745" xr:uid="{DAE776D2-4E32-4BDE-A230-B294A97F8253}"/>
    <cellStyle name="Millares 2 2 3 2 2 2 2" xfId="1416" xr:uid="{1BC315E9-A670-4837-B24A-592753D7679D}"/>
    <cellStyle name="Millares 2 2 3 2 2 3" xfId="1084" xr:uid="{B209185E-0154-4DCA-B3B3-E00E5D2DEF0D}"/>
    <cellStyle name="Millares 2 2 3 2 3" xfId="579" xr:uid="{036B6977-EF1F-4479-AA1B-7F92C04FB38D}"/>
    <cellStyle name="Millares 2 2 3 2 3 2" xfId="1250" xr:uid="{CEB491C6-C9CC-4353-857F-1BEA33FEAD41}"/>
    <cellStyle name="Millares 2 2 3 2 4" xfId="918" xr:uid="{E7A99E4B-7D45-4818-8DD1-474B77D0BAA0}"/>
    <cellStyle name="Millares 2 2 3 3" xfId="324" xr:uid="{8203DFD6-15BE-4A29-A9C7-DF25C7BE61E6}"/>
    <cellStyle name="Millares 2 2 3 3 2" xfId="663" xr:uid="{AF1016E7-ACED-457A-A130-54A5A7014875}"/>
    <cellStyle name="Millares 2 2 3 3 2 2" xfId="1334" xr:uid="{4762893F-FE94-461A-8980-C6A34F802B57}"/>
    <cellStyle name="Millares 2 2 3 3 3" xfId="1002" xr:uid="{0B44F0F8-934A-400F-87EA-32CF9ABC711B}"/>
    <cellStyle name="Millares 2 2 3 4" xfId="497" xr:uid="{4158DBEC-9D50-4AF7-B98B-71AB29A66C49}"/>
    <cellStyle name="Millares 2 2 3 4 2" xfId="1168" xr:uid="{AF4FBE22-344C-4D79-B91D-5579688B321C}"/>
    <cellStyle name="Millares 2 2 3 5" xfId="836" xr:uid="{C32E8BB8-4541-4D63-926B-D87A2938469E}"/>
    <cellStyle name="Millares 2 2 4" xfId="180" xr:uid="{D4CADE94-BE83-4D86-A10D-C10DCA998A05}"/>
    <cellStyle name="Millares 2 2 4 2" xfId="366" xr:uid="{B8EB3A8E-B518-4A48-B2F1-9FEAED0CBBBE}"/>
    <cellStyle name="Millares 2 2 4 2 2" xfId="705" xr:uid="{735A9DF1-4E75-4172-9891-3F0AE664BC15}"/>
    <cellStyle name="Millares 2 2 4 2 2 2" xfId="1376" xr:uid="{68B9B5C6-91EC-4E04-AD2E-FCAB9C86E927}"/>
    <cellStyle name="Millares 2 2 4 2 3" xfId="1044" xr:uid="{DDEB5783-138A-4047-B673-1A44294BF17B}"/>
    <cellStyle name="Millares 2 2 4 3" xfId="539" xr:uid="{809630F6-C08E-4B6B-95DC-6EEBD5C8A31D}"/>
    <cellStyle name="Millares 2 2 4 3 2" xfId="1210" xr:uid="{81F1DD9D-A367-496C-808D-E14569150B9B}"/>
    <cellStyle name="Millares 2 2 4 4" xfId="878" xr:uid="{ED87ABD6-2374-4115-8EF8-8A8B7E064CC1}"/>
    <cellStyle name="Millares 2 2 5" xfId="284" xr:uid="{06CCCA6E-5D17-49C5-9A15-D3714585C20A}"/>
    <cellStyle name="Millares 2 2 5 2" xfId="623" xr:uid="{8A5D18C0-9C7D-4209-90C6-5EFF7659A0FF}"/>
    <cellStyle name="Millares 2 2 5 2 2" xfId="1294" xr:uid="{2AF6E17F-90C7-4832-A8D5-2CC29FCAD3C0}"/>
    <cellStyle name="Millares 2 2 5 3" xfId="962" xr:uid="{31FE030D-FC6A-4B50-B6F7-6CE08469E65B}"/>
    <cellStyle name="Millares 2 2 6" xfId="457" xr:uid="{04E0A234-381A-4479-A122-88D27C7E3029}"/>
    <cellStyle name="Millares 2 2 6 2" xfId="1128" xr:uid="{A95EDCC6-9528-4AA8-85A2-B3F5552540EE}"/>
    <cellStyle name="Millares 2 2 7" xfId="796" xr:uid="{60DD043A-5E59-47B2-99EF-B672765605C7}"/>
    <cellStyle name="Millares 2 3" xfId="91" xr:uid="{4B66725B-CC8E-484D-AD44-00C5519D6DC6}"/>
    <cellStyle name="Millares 2 3 2" xfId="141" xr:uid="{A020F292-32F2-4054-89E6-79F7A1E99FC8}"/>
    <cellStyle name="Millares 2 3 2 2" xfId="230" xr:uid="{D113C34F-EAD5-4B4A-B85F-2D770C74F57F}"/>
    <cellStyle name="Millares 2 3 2 2 2" xfId="416" xr:uid="{07E8C0F2-473E-45E2-B920-811519FEE823}"/>
    <cellStyle name="Millares 2 3 2 2 2 2" xfId="755" xr:uid="{1E7F0D04-10BC-44E9-9835-5D847146E3C1}"/>
    <cellStyle name="Millares 2 3 2 2 2 2 2" xfId="1426" xr:uid="{3DA05A14-DA9F-4431-9A8D-15D9F365855C}"/>
    <cellStyle name="Millares 2 3 2 2 2 3" xfId="1094" xr:uid="{219BF861-3636-4360-B5AF-DB0D20C1C79C}"/>
    <cellStyle name="Millares 2 3 2 2 3" xfId="589" xr:uid="{B21154D1-CB6F-4F88-87DA-333BB61456A8}"/>
    <cellStyle name="Millares 2 3 2 2 3 2" xfId="1260" xr:uid="{CABC0D1E-6A2F-4DE4-9002-089F320F7BAE}"/>
    <cellStyle name="Millares 2 3 2 2 4" xfId="928" xr:uid="{406FE730-0491-453E-B2C5-7E2D47A342A8}"/>
    <cellStyle name="Millares 2 3 2 3" xfId="334" xr:uid="{4F35A2B6-55C2-4E99-85DF-8AC8EDFD40E3}"/>
    <cellStyle name="Millares 2 3 2 3 2" xfId="673" xr:uid="{C06A967D-823F-4C22-933C-BD8B0BAE4547}"/>
    <cellStyle name="Millares 2 3 2 3 2 2" xfId="1344" xr:uid="{A582FBCC-0F0B-4F57-AA30-798593D200E7}"/>
    <cellStyle name="Millares 2 3 2 3 3" xfId="1012" xr:uid="{E58017A2-D114-4B23-9278-CC20558FC949}"/>
    <cellStyle name="Millares 2 3 2 4" xfId="507" xr:uid="{43C49B64-4005-4123-B287-2E90FFA408E2}"/>
    <cellStyle name="Millares 2 3 2 4 2" xfId="1178" xr:uid="{8BC3D4F4-2E9C-4AEB-94CE-DBD90B7E4C38}"/>
    <cellStyle name="Millares 2 3 2 5" xfId="846" xr:uid="{40507B95-E59F-4177-8A6F-3918E7970FB0}"/>
    <cellStyle name="Millares 2 3 3" xfId="190" xr:uid="{96A215F6-DE2C-4472-822E-E2D38B355135}"/>
    <cellStyle name="Millares 2 3 3 2" xfId="376" xr:uid="{ED84CF78-C855-4284-8E2F-AEECE8D7FA3C}"/>
    <cellStyle name="Millares 2 3 3 2 2" xfId="715" xr:uid="{236FDE93-B68F-4D29-85F8-4377E4ABEAF7}"/>
    <cellStyle name="Millares 2 3 3 2 2 2" xfId="1386" xr:uid="{687EFD12-DE22-4251-94F9-A14659C046E5}"/>
    <cellStyle name="Millares 2 3 3 2 3" xfId="1054" xr:uid="{BA472127-A4E0-43D1-B8F0-724B753D5A15}"/>
    <cellStyle name="Millares 2 3 3 3" xfId="549" xr:uid="{486B5E0E-8F77-42EE-BFC5-258CC59AA15C}"/>
    <cellStyle name="Millares 2 3 3 3 2" xfId="1220" xr:uid="{17728773-150C-4697-95F2-6FF76D3C19CA}"/>
    <cellStyle name="Millares 2 3 3 4" xfId="888" xr:uid="{8421AED4-372D-48E9-97CE-75ACD723D2AA}"/>
    <cellStyle name="Millares 2 3 4" xfId="294" xr:uid="{36CE862D-C4CA-49AA-ABB6-61EA71CD3418}"/>
    <cellStyle name="Millares 2 3 4 2" xfId="633" xr:uid="{3CDD6645-C67D-45BE-A33A-285DEEA822DB}"/>
    <cellStyle name="Millares 2 3 4 2 2" xfId="1304" xr:uid="{E2D2C6D8-A703-4BC6-8ED8-52644B481EF1}"/>
    <cellStyle name="Millares 2 3 4 3" xfId="972" xr:uid="{96CBD79A-DF5F-46C1-A3B0-5C7E9B22CD57}"/>
    <cellStyle name="Millares 2 3 5" xfId="467" xr:uid="{D3A07820-6A23-44B1-A6CA-2DE547BDA196}"/>
    <cellStyle name="Millares 2 3 5 2" xfId="1138" xr:uid="{83266B66-456B-4A4C-982A-1DA7761BDC2D}"/>
    <cellStyle name="Millares 2 3 6" xfId="806" xr:uid="{16A04E93-9F64-4864-AD08-4E6BE067766C}"/>
    <cellStyle name="Millares 2 4" xfId="120" xr:uid="{830DAC0D-E7E6-4A64-BA18-A55019E7AFA9}"/>
    <cellStyle name="Millares 2 4 2" xfId="211" xr:uid="{40336D44-3A79-4BE9-B9F7-4E74235981C2}"/>
    <cellStyle name="Millares 2 4 2 2" xfId="397" xr:uid="{63C3C53E-BD14-4559-B587-020EB38D5DD8}"/>
    <cellStyle name="Millares 2 4 2 2 2" xfId="736" xr:uid="{579E5A46-6609-4A9A-A840-B67BA64FB286}"/>
    <cellStyle name="Millares 2 4 2 2 2 2" xfId="1407" xr:uid="{50967031-1488-4C4B-9E63-3CCECFF330A4}"/>
    <cellStyle name="Millares 2 4 2 2 3" xfId="1075" xr:uid="{9163924E-AEA8-4C22-9990-3C845D09DF9C}"/>
    <cellStyle name="Millares 2 4 2 3" xfId="570" xr:uid="{4CE54E00-21B1-49FA-9E42-CB6912C7EC02}"/>
    <cellStyle name="Millares 2 4 2 3 2" xfId="1241" xr:uid="{B559A801-1D31-4197-91D8-6CD33C2815DB}"/>
    <cellStyle name="Millares 2 4 2 4" xfId="909" xr:uid="{5AFFD61A-3581-4F07-B648-F723FD5D430D}"/>
    <cellStyle name="Millares 2 4 3" xfId="315" xr:uid="{B60EE1FD-F14C-4B8C-8572-944698BB5F29}"/>
    <cellStyle name="Millares 2 4 3 2" xfId="654" xr:uid="{F4A278B8-1018-475C-BE2C-763E98ECC1CB}"/>
    <cellStyle name="Millares 2 4 3 2 2" xfId="1325" xr:uid="{BDD33E25-DC86-432F-BA33-A935CC4CA532}"/>
    <cellStyle name="Millares 2 4 3 3" xfId="993" xr:uid="{006A72AE-442E-4FB6-88CC-FCF699EF0B38}"/>
    <cellStyle name="Millares 2 4 4" xfId="488" xr:uid="{33FC3485-1CEC-43BC-A8DB-14F3DD66DEC5}"/>
    <cellStyle name="Millares 2 4 4 2" xfId="1159" xr:uid="{B63AB68F-11C6-4DD9-B33B-8AEE396BB59A}"/>
    <cellStyle name="Millares 2 4 5" xfId="827" xr:uid="{EA332CA9-E1D5-4541-9AAF-D019AC1E3B3E}"/>
    <cellStyle name="Millares 2 5" xfId="170" xr:uid="{8A6540EE-BE90-4973-A0B2-AFE0214EF653}"/>
    <cellStyle name="Millares 2 5 2" xfId="357" xr:uid="{96E2189A-7AB2-4E6A-9B45-263EADE9031B}"/>
    <cellStyle name="Millares 2 5 2 2" xfId="696" xr:uid="{1F5E0FCE-C136-4ECB-AC2D-D41E8CDD6BE7}"/>
    <cellStyle name="Millares 2 5 2 2 2" xfId="1367" xr:uid="{0D0FBD30-CB61-420D-B84F-4BB1C8C0B4BC}"/>
    <cellStyle name="Millares 2 5 2 3" xfId="1035" xr:uid="{35181B3B-E723-4F46-A30E-CEFBD6C41BD0}"/>
    <cellStyle name="Millares 2 5 3" xfId="530" xr:uid="{4302CCF8-14AB-4C41-B90A-9B3C23ABC220}"/>
    <cellStyle name="Millares 2 5 3 2" xfId="1201" xr:uid="{213834CC-8ECD-45A8-820A-4824E05CECCB}"/>
    <cellStyle name="Millares 2 5 4" xfId="869" xr:uid="{5128D517-3B97-42E8-975F-65D2B8A2C203}"/>
    <cellStyle name="Millares 2 6" xfId="258" xr:uid="{ABAA5F8A-AD0B-4285-B82E-BD80C1F0865D}"/>
    <cellStyle name="Millares 2 7" xfId="274" xr:uid="{3E4B4282-5ADF-4AA0-9E60-EF00AAF8D1E9}"/>
    <cellStyle name="Millares 2 7 2" xfId="614" xr:uid="{D24D3451-6AC8-4830-B169-11602A1BC657}"/>
    <cellStyle name="Millares 2 7 2 2" xfId="1285" xr:uid="{D7A653CF-7ADB-48F8-A52A-A609FBB040C1}"/>
    <cellStyle name="Millares 2 7 3" xfId="953" xr:uid="{A5669556-7DA7-474D-A5A1-15D010296DC1}"/>
    <cellStyle name="Millares 2 8" xfId="447" xr:uid="{E3B458BE-3555-4EE7-BBA6-C5F5F4EB5D96}"/>
    <cellStyle name="Millares 2 8 2" xfId="1119" xr:uid="{A19C80AF-4E71-4605-BA84-5F32FA171F9F}"/>
    <cellStyle name="Millares 2 9" xfId="786" xr:uid="{76A0C8D1-90DD-42AB-9613-094D29103DBE}"/>
    <cellStyle name="Millares 3" xfId="70" xr:uid="{23A21C96-8B4A-4C8B-91B5-AEBE8CCAE232}"/>
    <cellStyle name="Millares 3 2" xfId="99" xr:uid="{D1CE7BF4-66F9-47DB-A483-0732FBC86E78}"/>
    <cellStyle name="Millares 3 2 2" xfId="59" xr:uid="{2538CA77-054D-4785-8945-33122D7D7AB4}"/>
    <cellStyle name="Millares 3 2 2 2" xfId="263" xr:uid="{BE4FADEE-3F44-4CF3-88CA-B4E5FDB73ECC}"/>
    <cellStyle name="Millares 3 2 3" xfId="147" xr:uid="{67E17B33-0557-42B3-84EF-A8428DB7E9EB}"/>
    <cellStyle name="Millares 3 2 3 2" xfId="236" xr:uid="{9C451176-35F9-4C89-A81B-73F9362AE6FB}"/>
    <cellStyle name="Millares 3 2 3 2 2" xfId="422" xr:uid="{A15CF8CD-6D4C-4BAA-BEF7-5D93A1AC22DA}"/>
    <cellStyle name="Millares 3 2 3 2 2 2" xfId="761" xr:uid="{E11DBF0D-B56E-47DC-8F52-8412C3B81D00}"/>
    <cellStyle name="Millares 3 2 3 2 2 2 2" xfId="1432" xr:uid="{6061C342-EF3B-48EB-94BD-FDDF1D3A07FB}"/>
    <cellStyle name="Millares 3 2 3 2 2 3" xfId="1100" xr:uid="{272FD940-9984-403A-A78D-C995EA5A3E06}"/>
    <cellStyle name="Millares 3 2 3 2 3" xfId="595" xr:uid="{F5BE7E31-ED37-4583-8710-165686EB2F28}"/>
    <cellStyle name="Millares 3 2 3 2 3 2" xfId="1266" xr:uid="{EE436B67-4AA2-484F-AE29-4EC8630B34A5}"/>
    <cellStyle name="Millares 3 2 3 2 4" xfId="934" xr:uid="{9F4A54C8-738D-429C-8F5F-50DD942116B8}"/>
    <cellStyle name="Millares 3 2 3 3" xfId="340" xr:uid="{E582A26E-9881-4284-A45D-C4591BEADA35}"/>
    <cellStyle name="Millares 3 2 3 3 2" xfId="679" xr:uid="{0BF8161E-5C21-48EA-81CE-C0C4D2E441CA}"/>
    <cellStyle name="Millares 3 2 3 3 2 2" xfId="1350" xr:uid="{F09A5DB3-86F7-40CD-8127-DCEA4412E30A}"/>
    <cellStyle name="Millares 3 2 3 3 3" xfId="1018" xr:uid="{BEA9BA92-E6FD-4DE9-B41E-EE44AE0F431C}"/>
    <cellStyle name="Millares 3 2 3 4" xfId="513" xr:uid="{07BCA764-68AC-4452-A40A-FC04C906669C}"/>
    <cellStyle name="Millares 3 2 3 4 2" xfId="1184" xr:uid="{A01FFACC-C527-45B8-8739-A78DC5D2AA1B}"/>
    <cellStyle name="Millares 3 2 3 5" xfId="852" xr:uid="{BAFF92B9-C3F0-47D2-B796-168E3517947E}"/>
    <cellStyle name="Millares 3 2 4" xfId="196" xr:uid="{DCDA1E87-4641-45C8-AE92-0CD829B98E66}"/>
    <cellStyle name="Millares 3 2 4 2" xfId="382" xr:uid="{9ACB9012-2D05-4CFE-9871-95EA4CF06F76}"/>
    <cellStyle name="Millares 3 2 4 2 2" xfId="721" xr:uid="{7A6E51A9-AAB1-40C5-8CF6-6DBC0F965C5F}"/>
    <cellStyle name="Millares 3 2 4 2 2 2" xfId="1392" xr:uid="{FD3A4A2D-F1A1-4BF7-81D2-7D3730326E09}"/>
    <cellStyle name="Millares 3 2 4 2 3" xfId="1060" xr:uid="{F6122C98-1539-4DE5-A7D4-16805109CD07}"/>
    <cellStyle name="Millares 3 2 4 3" xfId="555" xr:uid="{A9FACD5E-C7EA-4D25-9EB6-5F338BF0D85E}"/>
    <cellStyle name="Millares 3 2 4 3 2" xfId="1226" xr:uid="{98EEFF8B-AE9B-4B1E-A665-8A4B6C45407E}"/>
    <cellStyle name="Millares 3 2 4 4" xfId="894" xr:uid="{A26620AD-1571-4ED9-A359-2EDD017D024B}"/>
    <cellStyle name="Millares 3 2 5" xfId="300" xr:uid="{312F8A54-3E9B-47C1-976D-D71723F64CA5}"/>
    <cellStyle name="Millares 3 2 5 2" xfId="639" xr:uid="{C2199CE8-8116-4C78-9ADA-0DCE1327B092}"/>
    <cellStyle name="Millares 3 2 5 2 2" xfId="1310" xr:uid="{11C1051C-E96C-445B-81A5-CD985C983F96}"/>
    <cellStyle name="Millares 3 2 5 3" xfId="978" xr:uid="{E9D40389-64C4-4E13-91CA-C261C075FFEE}"/>
    <cellStyle name="Millares 3 2 6" xfId="473" xr:uid="{EE200008-2924-4935-8E65-0807707E5685}"/>
    <cellStyle name="Millares 3 2 6 2" xfId="1144" xr:uid="{6D057570-BC0F-47F1-9362-4334A58BC003}"/>
    <cellStyle name="Millares 3 2 7" xfId="812" xr:uid="{FDA7B73C-FC34-4547-8C51-34440AEE01D1}"/>
    <cellStyle name="Millares 3 3" xfId="128" xr:uid="{39177120-BDD6-49C0-BCAA-F118E833B087}"/>
    <cellStyle name="Millares 3 3 2" xfId="217" xr:uid="{264C8EED-EC44-470F-B0F7-478EA356B431}"/>
    <cellStyle name="Millares 3 3 2 2" xfId="403" xr:uid="{5C74E3CC-CAE1-4320-A244-7A8161A93C25}"/>
    <cellStyle name="Millares 3 3 2 2 2" xfId="742" xr:uid="{18ED0348-54E4-40A1-A0D0-626C92F48AD4}"/>
    <cellStyle name="Millares 3 3 2 2 2 2" xfId="1413" xr:uid="{E476EA4C-5041-4C5C-8D68-53F7DCF2B436}"/>
    <cellStyle name="Millares 3 3 2 2 3" xfId="1081" xr:uid="{497DF39F-3682-434E-9F00-5F77EC724666}"/>
    <cellStyle name="Millares 3 3 2 3" xfId="576" xr:uid="{D38993FE-458C-4825-B818-C432ADC26FFA}"/>
    <cellStyle name="Millares 3 3 2 3 2" xfId="1247" xr:uid="{B600EC9A-805E-426A-8877-90972C38E902}"/>
    <cellStyle name="Millares 3 3 2 4" xfId="915" xr:uid="{198BE68E-70CB-495D-91F0-66E83BF0E640}"/>
    <cellStyle name="Millares 3 3 3" xfId="321" xr:uid="{14FC982A-35E8-4260-931B-2CCC4928D22F}"/>
    <cellStyle name="Millares 3 3 3 2" xfId="660" xr:uid="{9082DA82-E491-4005-85DF-3ED6F6E1785B}"/>
    <cellStyle name="Millares 3 3 3 2 2" xfId="1331" xr:uid="{DAA0D8B5-E137-4AD7-BC1F-9369730700B5}"/>
    <cellStyle name="Millares 3 3 3 3" xfId="999" xr:uid="{6792BAE7-CA84-42EA-BCB9-8B6C6CEA2099}"/>
    <cellStyle name="Millares 3 3 4" xfId="494" xr:uid="{0BAA37F0-4DA6-4331-AEAB-B6F453CA93BA}"/>
    <cellStyle name="Millares 3 3 4 2" xfId="1165" xr:uid="{D3974B3E-5276-4267-A5DD-E24E230BDD16}"/>
    <cellStyle name="Millares 3 3 5" xfId="833" xr:uid="{2CBE0BB7-B9DF-4C52-9389-DB67CC143A95}"/>
    <cellStyle name="Millares 3 4" xfId="177" xr:uid="{4E1DE2B7-6F44-4DEC-B34D-78057687BCF2}"/>
    <cellStyle name="Millares 3 4 2" xfId="363" xr:uid="{4BFD0FCC-D4FC-4763-BC3F-C25DA202E4E2}"/>
    <cellStyle name="Millares 3 4 2 2" xfId="702" xr:uid="{E7A0B3A6-B808-4485-BC84-CC4C0D6AD76F}"/>
    <cellStyle name="Millares 3 4 2 2 2" xfId="1373" xr:uid="{4DF084E4-E68A-4992-8C2F-94B2850872BA}"/>
    <cellStyle name="Millares 3 4 2 3" xfId="1041" xr:uid="{3DEBCFBB-4F51-4489-9B54-4A93DF9A6FF3}"/>
    <cellStyle name="Millares 3 4 3" xfId="536" xr:uid="{E8B0CB37-BCAF-4217-9BB3-67BC93745046}"/>
    <cellStyle name="Millares 3 4 3 2" xfId="1207" xr:uid="{230B7308-E357-4E05-B0B3-9FCEFD9EB241}"/>
    <cellStyle name="Millares 3 4 4" xfId="875" xr:uid="{2BF7E594-054D-4AB4-B19D-901DFAEA3929}"/>
    <cellStyle name="Millares 3 5" xfId="281" xr:uid="{8D7FCD8D-0A76-490A-B02C-341DB5684977}"/>
    <cellStyle name="Millares 3 5 2" xfId="620" xr:uid="{B7E54AEA-8799-45B1-A0D4-B265AF4CF2D7}"/>
    <cellStyle name="Millares 3 5 2 2" xfId="1291" xr:uid="{E33A0E81-38C6-4FD5-98B7-7E7245506909}"/>
    <cellStyle name="Millares 3 5 3" xfId="959" xr:uid="{C3C2CB3E-CAB3-444D-BED9-549C450A1C3D}"/>
    <cellStyle name="Millares 3 6" xfId="454" xr:uid="{C696F953-04D8-4680-89BD-FD02DA714F4B}"/>
    <cellStyle name="Millares 3 6 2" xfId="1125" xr:uid="{0B4215E8-4572-48BD-8665-0205D491BBFA}"/>
    <cellStyle name="Millares 3 7" xfId="793" xr:uid="{7C9716B2-E495-416B-9C21-76502372B9E7}"/>
    <cellStyle name="Millares 30 2 2" xfId="57" xr:uid="{5DD45229-D914-4441-8C56-6E0C7A628540}"/>
    <cellStyle name="Millares 30 2 2 2" xfId="76" xr:uid="{2696C2A3-CE0E-4B66-90CC-EDBC03920EAC}"/>
    <cellStyle name="Millares 30 2 2 2 2" xfId="104" xr:uid="{86E79DAC-30C2-47A3-8F39-766180B56D62}"/>
    <cellStyle name="Millares 30 2 2 2 2 2" xfId="152" xr:uid="{4199B493-EDC9-4863-9291-F742106213EA}"/>
    <cellStyle name="Millares 30 2 2 2 2 2 2" xfId="241" xr:uid="{755D7959-00B6-4675-9E78-3EC3A1E63482}"/>
    <cellStyle name="Millares 30 2 2 2 2 2 2 2" xfId="427" xr:uid="{4436922F-AC83-44DB-9085-2396082D4E6B}"/>
    <cellStyle name="Millares 30 2 2 2 2 2 2 2 2" xfId="766" xr:uid="{4A077E3E-ABB3-4818-AAC6-9BE6586B41B5}"/>
    <cellStyle name="Millares 30 2 2 2 2 2 2 2 2 2" xfId="1437" xr:uid="{D8482E40-87D1-409D-A479-FA84FDCA4A28}"/>
    <cellStyle name="Millares 30 2 2 2 2 2 2 2 3" xfId="1105" xr:uid="{D8CEC6C6-967E-4556-809F-BEFB435F1683}"/>
    <cellStyle name="Millares 30 2 2 2 2 2 2 3" xfId="600" xr:uid="{7EF0AD17-5CAE-479F-B229-FF4B33247FD9}"/>
    <cellStyle name="Millares 30 2 2 2 2 2 2 3 2" xfId="1271" xr:uid="{126556C1-309F-444F-AED9-13CB618CFE30}"/>
    <cellStyle name="Millares 30 2 2 2 2 2 2 4" xfId="939" xr:uid="{461DF0E9-730E-4893-A579-8FDF2358CE55}"/>
    <cellStyle name="Millares 30 2 2 2 2 2 3" xfId="345" xr:uid="{ED545A77-0FAF-4263-8BEF-9BA18DAFA2A5}"/>
    <cellStyle name="Millares 30 2 2 2 2 2 3 2" xfId="684" xr:uid="{776AA12A-8A82-46D0-84F3-BC7EBEF248CB}"/>
    <cellStyle name="Millares 30 2 2 2 2 2 3 2 2" xfId="1355" xr:uid="{E7A5E7B3-31AB-4E3A-9F98-E5F7A2AAF8BD}"/>
    <cellStyle name="Millares 30 2 2 2 2 2 3 3" xfId="1023" xr:uid="{523A4AEC-989D-469D-99C8-4A90D54BB669}"/>
    <cellStyle name="Millares 30 2 2 2 2 2 4" xfId="518" xr:uid="{D173B0A2-5DD4-44B7-BE5A-EC3C42CE4CF0}"/>
    <cellStyle name="Millares 30 2 2 2 2 2 4 2" xfId="1189" xr:uid="{39C27DDF-FA2F-4676-8ACE-C96F067880F7}"/>
    <cellStyle name="Millares 30 2 2 2 2 2 5" xfId="857" xr:uid="{DB61BAA3-E00A-43C7-BCA7-5E61635C5C6B}"/>
    <cellStyle name="Millares 30 2 2 2 2 3" xfId="201" xr:uid="{963C19AF-A27D-4B41-ACB0-877C758419A2}"/>
    <cellStyle name="Millares 30 2 2 2 2 3 2" xfId="387" xr:uid="{D24C233A-318B-4EC5-AD55-DD75F24D6A6D}"/>
    <cellStyle name="Millares 30 2 2 2 2 3 2 2" xfId="726" xr:uid="{D83DF0AA-254A-4E35-B92A-FBE03A4129D4}"/>
    <cellStyle name="Millares 30 2 2 2 2 3 2 2 2" xfId="1397" xr:uid="{3E782638-2928-460B-82B2-D6BC08A2E455}"/>
    <cellStyle name="Millares 30 2 2 2 2 3 2 3" xfId="1065" xr:uid="{19F44778-D23F-45B7-B009-8574EFE261F1}"/>
    <cellStyle name="Millares 30 2 2 2 2 3 3" xfId="560" xr:uid="{F0DFC112-4806-457A-9DAD-A32F3D944F11}"/>
    <cellStyle name="Millares 30 2 2 2 2 3 3 2" xfId="1231" xr:uid="{0F049B77-846A-468E-8FA8-13238918FD8C}"/>
    <cellStyle name="Millares 30 2 2 2 2 3 4" xfId="899" xr:uid="{75536DAA-6C0B-437E-8651-05EAC89E78CA}"/>
    <cellStyle name="Millares 30 2 2 2 2 4" xfId="305" xr:uid="{4885108A-7C8E-4235-AB35-EBFA4CF59183}"/>
    <cellStyle name="Millares 30 2 2 2 2 4 2" xfId="644" xr:uid="{8FBD7CB9-5543-4E1C-AF46-2260D73E4418}"/>
    <cellStyle name="Millares 30 2 2 2 2 4 2 2" xfId="1315" xr:uid="{A5076F9F-833B-4576-BCB0-4DAD6FF05FC6}"/>
    <cellStyle name="Millares 30 2 2 2 2 4 3" xfId="983" xr:uid="{34C33DBB-2C43-4680-BE11-F130E841A04C}"/>
    <cellStyle name="Millares 30 2 2 2 2 5" xfId="478" xr:uid="{1B7A99D4-1247-40CD-9B92-1E9B805B8923}"/>
    <cellStyle name="Millares 30 2 2 2 2 5 2" xfId="1149" xr:uid="{3F5D39AD-F020-4151-8139-BEC0BE8624CD}"/>
    <cellStyle name="Millares 30 2 2 2 2 6" xfId="817" xr:uid="{1745FAB2-101D-4A7A-BFAC-F2CC9240BD21}"/>
    <cellStyle name="Millares 30 2 2 2 3" xfId="133" xr:uid="{35E2E8A5-85CB-4C4E-B149-F05D559D1A84}"/>
    <cellStyle name="Millares 30 2 2 2 3 2" xfId="222" xr:uid="{60195919-0A07-4DB8-B000-DC56B0E65613}"/>
    <cellStyle name="Millares 30 2 2 2 3 2 2" xfId="408" xr:uid="{8B668C13-B18D-474C-B2ED-EBE279BCB607}"/>
    <cellStyle name="Millares 30 2 2 2 3 2 2 2" xfId="747" xr:uid="{73AA5189-4BE4-4417-BAEF-4248AD2EC9A2}"/>
    <cellStyle name="Millares 30 2 2 2 3 2 2 2 2" xfId="1418" xr:uid="{00ADE325-B41F-417E-9CEE-37364F103861}"/>
    <cellStyle name="Millares 30 2 2 2 3 2 2 3" xfId="1086" xr:uid="{89588BFF-1754-43E9-9259-FEEE4FE8ED9D}"/>
    <cellStyle name="Millares 30 2 2 2 3 2 3" xfId="581" xr:uid="{58807A47-2281-4085-9319-0C0F5E6776D9}"/>
    <cellStyle name="Millares 30 2 2 2 3 2 3 2" xfId="1252" xr:uid="{BA5F4689-551A-459F-86B1-3495BE1CA183}"/>
    <cellStyle name="Millares 30 2 2 2 3 2 4" xfId="920" xr:uid="{2EC69935-3953-4663-888B-2764799090FD}"/>
    <cellStyle name="Millares 30 2 2 2 3 3" xfId="326" xr:uid="{D24261CD-C010-41EF-85C9-3A66DF76E7C7}"/>
    <cellStyle name="Millares 30 2 2 2 3 3 2" xfId="665" xr:uid="{D86D94FE-85DB-4F8E-A6EE-F043590CE9B4}"/>
    <cellStyle name="Millares 30 2 2 2 3 3 2 2" xfId="1336" xr:uid="{BDB01D0E-5634-4BD6-AAAE-0AE0252E1A6B}"/>
    <cellStyle name="Millares 30 2 2 2 3 3 3" xfId="1004" xr:uid="{AECC084E-0EBE-4DB7-B9B9-F44EF30C88FA}"/>
    <cellStyle name="Millares 30 2 2 2 3 4" xfId="499" xr:uid="{8B21EA64-D86C-48A1-BD90-D33136DCB284}"/>
    <cellStyle name="Millares 30 2 2 2 3 4 2" xfId="1170" xr:uid="{E8496231-1164-4267-842C-44D7E5B0EAD2}"/>
    <cellStyle name="Millares 30 2 2 2 3 5" xfId="838" xr:uid="{FE7A1619-AD72-4EC9-AB5D-7A9A234B95AF}"/>
    <cellStyle name="Millares 30 2 2 2 4" xfId="182" xr:uid="{D79A7038-53CF-4D8C-8AC8-A95BF9DE5792}"/>
    <cellStyle name="Millares 30 2 2 2 4 2" xfId="368" xr:uid="{0E994D4D-93E4-41E9-A1FE-5F00AC457140}"/>
    <cellStyle name="Millares 30 2 2 2 4 2 2" xfId="707" xr:uid="{8084D200-3F12-4359-880D-32D028E8F039}"/>
    <cellStyle name="Millares 30 2 2 2 4 2 2 2" xfId="1378" xr:uid="{E93AB598-FC4D-47CF-8748-8ED5E80D4611}"/>
    <cellStyle name="Millares 30 2 2 2 4 2 3" xfId="1046" xr:uid="{5AB4ACFE-82A3-4B13-A99F-5E471982CC86}"/>
    <cellStyle name="Millares 30 2 2 2 4 3" xfId="541" xr:uid="{DA436E57-29FE-40B8-9D5E-E7BC1AAA3386}"/>
    <cellStyle name="Millares 30 2 2 2 4 3 2" xfId="1212" xr:uid="{1E2515B7-23E3-4990-BAE0-8F7931906DB3}"/>
    <cellStyle name="Millares 30 2 2 2 4 4" xfId="880" xr:uid="{C19CA634-B8C9-4B20-874D-9FAFDFB07D5D}"/>
    <cellStyle name="Millares 30 2 2 2 5" xfId="286" xr:uid="{3ECD5A04-4439-49D1-957D-52C62DCDF5EF}"/>
    <cellStyle name="Millares 30 2 2 2 5 2" xfId="625" xr:uid="{1B9B96FA-C381-4D86-B6A4-1345AD2C9566}"/>
    <cellStyle name="Millares 30 2 2 2 5 2 2" xfId="1296" xr:uid="{E9513FA1-3E0B-4BED-9F62-520944D135EC}"/>
    <cellStyle name="Millares 30 2 2 2 5 3" xfId="964" xr:uid="{7D37365C-C04F-4E15-948D-AA35920A1257}"/>
    <cellStyle name="Millares 30 2 2 2 6" xfId="459" xr:uid="{12170F23-CBB2-4B08-AAD3-BB3802246760}"/>
    <cellStyle name="Millares 30 2 2 2 6 2" xfId="1130" xr:uid="{82A19469-BFBC-4EC2-8712-8ED0A3307330}"/>
    <cellStyle name="Millares 30 2 2 2 7" xfId="798" xr:uid="{30E4CDAD-6420-43DD-95EC-973C35B2B2C6}"/>
    <cellStyle name="Millares 30 2 2 3" xfId="94" xr:uid="{72CAB6CD-7A00-4039-B5DE-DC42BC87C192}"/>
    <cellStyle name="Millares 30 2 2 3 2" xfId="143" xr:uid="{E4BA59F3-E514-40EF-A415-CF2825E7E4B5}"/>
    <cellStyle name="Millares 30 2 2 3 2 2" xfId="232" xr:uid="{05F0852A-6C87-44D1-AECF-23DBD1A0E84B}"/>
    <cellStyle name="Millares 30 2 2 3 2 2 2" xfId="418" xr:uid="{6C814573-524D-4FEA-9D8A-D9EFA3BC10A5}"/>
    <cellStyle name="Millares 30 2 2 3 2 2 2 2" xfId="757" xr:uid="{4EEE141B-D7E8-45E6-BC16-2DC4FFB733B9}"/>
    <cellStyle name="Millares 30 2 2 3 2 2 2 2 2" xfId="1428" xr:uid="{00369578-9096-4A6C-BA0D-D92EF354D544}"/>
    <cellStyle name="Millares 30 2 2 3 2 2 2 3" xfId="1096" xr:uid="{B0CB78F1-52BA-402D-9162-689C393C3FFF}"/>
    <cellStyle name="Millares 30 2 2 3 2 2 3" xfId="591" xr:uid="{BED58B97-8DB6-42FB-8002-B413E9C2EC61}"/>
    <cellStyle name="Millares 30 2 2 3 2 2 3 2" xfId="1262" xr:uid="{BEE13420-5C94-4E66-B0F2-72588C4B7404}"/>
    <cellStyle name="Millares 30 2 2 3 2 2 4" xfId="930" xr:uid="{D19E563D-859C-47C1-B8D7-6F8DEC31FCFB}"/>
    <cellStyle name="Millares 30 2 2 3 2 3" xfId="336" xr:uid="{9B2EF9C4-0F49-42FE-A1A3-569115153CD3}"/>
    <cellStyle name="Millares 30 2 2 3 2 3 2" xfId="675" xr:uid="{C486FDEC-27B1-4643-9C3A-080F237E7F8D}"/>
    <cellStyle name="Millares 30 2 2 3 2 3 2 2" xfId="1346" xr:uid="{8256F382-D780-4C01-9C25-ACA170674D3B}"/>
    <cellStyle name="Millares 30 2 2 3 2 3 3" xfId="1014" xr:uid="{AE5F2E5D-0661-4223-8CF2-034093DA51B0}"/>
    <cellStyle name="Millares 30 2 2 3 2 4" xfId="509" xr:uid="{B86343AE-B72A-4F24-859B-868D7A485C59}"/>
    <cellStyle name="Millares 30 2 2 3 2 4 2" xfId="1180" xr:uid="{8FFE469F-A116-4996-BB1D-326D328C1AD0}"/>
    <cellStyle name="Millares 30 2 2 3 2 5" xfId="848" xr:uid="{3F835F71-EF07-4EAA-8C01-02856B33E343}"/>
    <cellStyle name="Millares 30 2 2 3 3" xfId="192" xr:uid="{69565BDD-8B7C-45B9-BCD3-8F2BD462D4D6}"/>
    <cellStyle name="Millares 30 2 2 3 3 2" xfId="378" xr:uid="{F5D0CE4C-A147-48BF-86C3-1A2F370C2AF1}"/>
    <cellStyle name="Millares 30 2 2 3 3 2 2" xfId="717" xr:uid="{A9036696-F68E-483A-92A5-93F26BEE1D6D}"/>
    <cellStyle name="Millares 30 2 2 3 3 2 2 2" xfId="1388" xr:uid="{DD24D6FA-1F2E-49A9-BDC0-C34D16F3CD24}"/>
    <cellStyle name="Millares 30 2 2 3 3 2 3" xfId="1056" xr:uid="{45CBFD24-C6D7-465D-BD26-9B75C59C24BE}"/>
    <cellStyle name="Millares 30 2 2 3 3 3" xfId="551" xr:uid="{FC7DACEC-08B7-4AFE-8A9B-10315A24BF16}"/>
    <cellStyle name="Millares 30 2 2 3 3 3 2" xfId="1222" xr:uid="{D1C3C9E2-1E92-4798-BA65-16533DC9F8BC}"/>
    <cellStyle name="Millares 30 2 2 3 3 4" xfId="890" xr:uid="{FF5327E6-DD6B-4937-B6AC-8D3779CDA3FE}"/>
    <cellStyle name="Millares 30 2 2 3 4" xfId="296" xr:uid="{8EBAEE3A-D72E-4544-9A39-103F36F7FF82}"/>
    <cellStyle name="Millares 30 2 2 3 4 2" xfId="635" xr:uid="{894238BE-015A-4E06-ADBE-B8FBAA6C4EF3}"/>
    <cellStyle name="Millares 30 2 2 3 4 2 2" xfId="1306" xr:uid="{318893BA-BF4F-46BD-B502-1EF0044497B5}"/>
    <cellStyle name="Millares 30 2 2 3 4 3" xfId="974" xr:uid="{9FCA5C8B-1EE9-4380-BBAE-582A679CC1BA}"/>
    <cellStyle name="Millares 30 2 2 3 5" xfId="469" xr:uid="{7A31E84D-1853-47C7-A63B-B7EEA4AF8150}"/>
    <cellStyle name="Millares 30 2 2 3 5 2" xfId="1140" xr:uid="{7921AFE5-2710-44AE-8547-1613B27B7986}"/>
    <cellStyle name="Millares 30 2 2 3 6" xfId="808" xr:uid="{1C80EE69-048F-45E9-8E26-1A2F35419FE8}"/>
    <cellStyle name="Millares 30 2 2 4" xfId="123" xr:uid="{DE7B6E9A-E2F7-4515-8996-907840E24E84}"/>
    <cellStyle name="Millares 30 2 2 4 2" xfId="213" xr:uid="{68267D17-F7D2-43A1-8506-64F1B3391050}"/>
    <cellStyle name="Millares 30 2 2 4 2 2" xfId="399" xr:uid="{BE3A72BE-F326-4986-8E40-ED5451171579}"/>
    <cellStyle name="Millares 30 2 2 4 2 2 2" xfId="738" xr:uid="{73FAD25D-D844-44A4-AC8B-CFCE3EB3E6BB}"/>
    <cellStyle name="Millares 30 2 2 4 2 2 2 2" xfId="1409" xr:uid="{33B9DFEB-E045-4A2A-BA32-670210E90A5A}"/>
    <cellStyle name="Millares 30 2 2 4 2 2 3" xfId="1077" xr:uid="{F4B97E08-682C-413B-A5BC-9405675953C3}"/>
    <cellStyle name="Millares 30 2 2 4 2 3" xfId="572" xr:uid="{0DDB7F85-28F9-4472-B726-386198BB7442}"/>
    <cellStyle name="Millares 30 2 2 4 2 3 2" xfId="1243" xr:uid="{7CAAD101-7CEE-46C9-858D-84B5E08CBD3A}"/>
    <cellStyle name="Millares 30 2 2 4 2 4" xfId="911" xr:uid="{394D15C2-C7E5-4880-BA00-625C227BA66D}"/>
    <cellStyle name="Millares 30 2 2 4 3" xfId="317" xr:uid="{F8D868C1-CEFF-4002-B92A-F1DDE6681DAA}"/>
    <cellStyle name="Millares 30 2 2 4 3 2" xfId="656" xr:uid="{403F2887-B70C-4820-AA7D-0E12D36D9653}"/>
    <cellStyle name="Millares 30 2 2 4 3 2 2" xfId="1327" xr:uid="{A31B33D2-07B2-45EF-9BE2-A93AF24B64DD}"/>
    <cellStyle name="Millares 30 2 2 4 3 3" xfId="995" xr:uid="{043529D5-A2B0-4D7A-98C0-431ACAD8AAF4}"/>
    <cellStyle name="Millares 30 2 2 4 4" xfId="490" xr:uid="{438D9DCD-6487-45D4-8AEB-63ED728D9A1C}"/>
    <cellStyle name="Millares 30 2 2 4 4 2" xfId="1161" xr:uid="{F89D6BAE-9F1F-4B51-9519-939ED1359802}"/>
    <cellStyle name="Millares 30 2 2 4 5" xfId="829" xr:uid="{732E76F3-F188-4730-9943-87A68B00BC69}"/>
    <cellStyle name="Millares 30 2 2 5" xfId="173" xr:uid="{184AC0D5-497A-4DBF-AC57-FEA60FF2592B}"/>
    <cellStyle name="Millares 30 2 2 5 2" xfId="359" xr:uid="{597C106B-6226-461C-9080-179AD0A0FFE6}"/>
    <cellStyle name="Millares 30 2 2 5 2 2" xfId="698" xr:uid="{A61DC685-17F9-42ED-8CC3-7D3180EF49D6}"/>
    <cellStyle name="Millares 30 2 2 5 2 2 2" xfId="1369" xr:uid="{819A58C7-BFD3-42E4-98A1-7813B1D183A2}"/>
    <cellStyle name="Millares 30 2 2 5 2 3" xfId="1037" xr:uid="{E649DC5E-3F7F-4BA0-9D96-6077C9B8FD6E}"/>
    <cellStyle name="Millares 30 2 2 5 3" xfId="532" xr:uid="{EE72F7B5-939D-4E76-A261-677E580BFF21}"/>
    <cellStyle name="Millares 30 2 2 5 3 2" xfId="1203" xr:uid="{3352965A-F1A5-46EE-B494-48FF45BE720B}"/>
    <cellStyle name="Millares 30 2 2 5 4" xfId="871" xr:uid="{B807B4A9-73FD-4639-9B14-8D7AE2B97BCC}"/>
    <cellStyle name="Millares 30 2 2 6" xfId="262" xr:uid="{130101CB-4A75-4FD4-BEFE-0CDE6D8CC271}"/>
    <cellStyle name="Millares 30 2 2 7" xfId="277" xr:uid="{AD65BF78-6135-4B78-8063-2313C7254121}"/>
    <cellStyle name="Millares 30 2 2 7 2" xfId="616" xr:uid="{2F418737-44DF-4343-94E8-764CEA274C08}"/>
    <cellStyle name="Millares 30 2 2 7 2 2" xfId="1287" xr:uid="{12DE4227-45AF-47D0-9A7B-5AF0A062D3B6}"/>
    <cellStyle name="Millares 30 2 2 7 3" xfId="955" xr:uid="{11F089F9-E4D7-4A10-8397-B75BCA064E64}"/>
    <cellStyle name="Millares 30 2 2 8" xfId="450" xr:uid="{7B486DDF-0D0E-4AD5-B048-D19F10FADFB9}"/>
    <cellStyle name="Millares 30 2 2 8 2" xfId="1121" xr:uid="{6D865BB7-5866-41EE-A2E9-117AD900E51B}"/>
    <cellStyle name="Millares 30 2 2 9" xfId="789" xr:uid="{7ADFD50E-C1B5-43E6-A9FC-FB42F65EBD41}"/>
    <cellStyle name="Millares 4" xfId="79" xr:uid="{75A02E66-D416-494A-BB0E-E97462795E72}"/>
    <cellStyle name="Millares 4 2" xfId="106" xr:uid="{73DCD785-ADAA-42A6-A814-C201BADEDC72}"/>
    <cellStyle name="Millares 4 2 2" xfId="154" xr:uid="{6705C8F7-CC03-43B3-AE11-4BC60270E006}"/>
    <cellStyle name="Millares 4 2 2 2" xfId="243" xr:uid="{C6A83FAD-5819-4766-AB2E-D4640DD40417}"/>
    <cellStyle name="Millares 4 2 2 2 2" xfId="429" xr:uid="{0208D204-BF73-4993-8152-E2F10C91F6D5}"/>
    <cellStyle name="Millares 4 2 2 2 2 2" xfId="768" xr:uid="{8D312EC5-7873-416E-B8C4-38EFB8B8DD03}"/>
    <cellStyle name="Millares 4 2 2 2 2 2 2" xfId="1439" xr:uid="{773533AD-BD0C-475F-9B89-56514D6D19D6}"/>
    <cellStyle name="Millares 4 2 2 2 2 3" xfId="1107" xr:uid="{135B18C4-0413-4B82-8E61-8D37483FF95A}"/>
    <cellStyle name="Millares 4 2 2 2 3" xfId="602" xr:uid="{E42AB56D-D2D7-4D15-B030-0E6ADB024129}"/>
    <cellStyle name="Millares 4 2 2 2 3 2" xfId="1273" xr:uid="{6A6EBACC-BD1B-4606-80B5-2846DC6E1FD2}"/>
    <cellStyle name="Millares 4 2 2 2 4" xfId="941" xr:uid="{9E2137C3-B517-4752-A1EB-85774C419079}"/>
    <cellStyle name="Millares 4 2 2 3" xfId="347" xr:uid="{4C8B46D0-3900-45EF-9650-71E2E999AB25}"/>
    <cellStyle name="Millares 4 2 2 3 2" xfId="686" xr:uid="{E28B9F96-8D34-40C0-AEAA-F97F5ACCF3FF}"/>
    <cellStyle name="Millares 4 2 2 3 2 2" xfId="1357" xr:uid="{8024A390-4DF7-457C-80AC-79DE3DDE7671}"/>
    <cellStyle name="Millares 4 2 2 3 3" xfId="1025" xr:uid="{90497CF4-AD88-4B33-B1E6-2A0ED55825BC}"/>
    <cellStyle name="Millares 4 2 2 4" xfId="520" xr:uid="{420DA0B9-3CEE-4AC4-B545-2A92E367031E}"/>
    <cellStyle name="Millares 4 2 2 4 2" xfId="1191" xr:uid="{97E777E6-B197-4BD3-A0A2-78F25E3C0635}"/>
    <cellStyle name="Millares 4 2 2 5" xfId="859" xr:uid="{2890EEDD-2D94-4CBE-86AC-2A5285ECDE40}"/>
    <cellStyle name="Millares 4 2 3" xfId="203" xr:uid="{54345ECD-DF79-4FDE-8056-619BA3DB1721}"/>
    <cellStyle name="Millares 4 2 3 2" xfId="389" xr:uid="{BC22A07B-2714-4912-B9D8-9CAD46F6337D}"/>
    <cellStyle name="Millares 4 2 3 2 2" xfId="728" xr:uid="{476F091C-59B5-42A3-A929-E2AE31C8AF34}"/>
    <cellStyle name="Millares 4 2 3 2 2 2" xfId="1399" xr:uid="{1149DE4B-E619-401B-BA84-9023B7820214}"/>
    <cellStyle name="Millares 4 2 3 2 3" xfId="1067" xr:uid="{5A83ACB2-2450-45F4-BA29-C4DCA6369692}"/>
    <cellStyle name="Millares 4 2 3 3" xfId="562" xr:uid="{246DD9DB-ADA3-4EDC-96AC-F199C0D805F9}"/>
    <cellStyle name="Millares 4 2 3 3 2" xfId="1233" xr:uid="{5AE4D76F-71C4-4F48-8B46-778E980C8AA7}"/>
    <cellStyle name="Millares 4 2 3 4" xfId="901" xr:uid="{37818EFE-26D3-4D07-8D1E-0B83E7509810}"/>
    <cellStyle name="Millares 4 2 4" xfId="307" xr:uid="{46AFC830-1275-4763-97A9-88737D84396D}"/>
    <cellStyle name="Millares 4 2 4 2" xfId="646" xr:uid="{FEA6BCE5-24F8-4E5C-8220-CF622E2BB928}"/>
    <cellStyle name="Millares 4 2 4 2 2" xfId="1317" xr:uid="{9D47331A-A612-427A-ABD1-582B57F1E23D}"/>
    <cellStyle name="Millares 4 2 4 3" xfId="985" xr:uid="{5B6F5786-96D7-4529-B23D-8C594AECABD6}"/>
    <cellStyle name="Millares 4 2 5" xfId="480" xr:uid="{3763ADDE-2839-40F6-AD06-D46ED729E1D4}"/>
    <cellStyle name="Millares 4 2 5 2" xfId="1151" xr:uid="{D79CA35D-E2A9-4CC0-BDF7-6279F1D075B4}"/>
    <cellStyle name="Millares 4 2 6" xfId="819" xr:uid="{9D6E2654-A854-4024-BCA6-FC9159F49AF4}"/>
    <cellStyle name="Millares 4 3" xfId="135" xr:uid="{88B84D64-E651-4914-8EF9-002307A8BCE3}"/>
    <cellStyle name="Millares 4 3 2" xfId="224" xr:uid="{5C942455-B4E2-472B-941C-66EBE971304A}"/>
    <cellStyle name="Millares 4 3 2 2" xfId="410" xr:uid="{97354C24-BF04-43A9-B070-D6C8EDFE3644}"/>
    <cellStyle name="Millares 4 3 2 2 2" xfId="749" xr:uid="{5E00381E-8107-4235-9F89-D17323F66534}"/>
    <cellStyle name="Millares 4 3 2 2 2 2" xfId="1420" xr:uid="{1F2A4CFC-485B-4344-8C85-9F3D4F009BAD}"/>
    <cellStyle name="Millares 4 3 2 2 3" xfId="1088" xr:uid="{E4BA42E9-F9B8-4670-B09D-34709289881E}"/>
    <cellStyle name="Millares 4 3 2 3" xfId="583" xr:uid="{551D123C-A261-41F5-A26A-DC9E6BEF2FE3}"/>
    <cellStyle name="Millares 4 3 2 3 2" xfId="1254" xr:uid="{27DBC2C0-FE8D-45AC-B9B6-AFB633C8CA05}"/>
    <cellStyle name="Millares 4 3 2 4" xfId="922" xr:uid="{CAF47FB6-F61A-4217-BD8E-DF3876728830}"/>
    <cellStyle name="Millares 4 3 3" xfId="328" xr:uid="{8E76FB1D-5A11-4E52-876D-169600A6D6F2}"/>
    <cellStyle name="Millares 4 3 3 2" xfId="667" xr:uid="{88622E39-7FB3-4322-A412-35C9DD3D0D0F}"/>
    <cellStyle name="Millares 4 3 3 2 2" xfId="1338" xr:uid="{019B6D87-E290-46C1-9CD4-C1D15B17E0D0}"/>
    <cellStyle name="Millares 4 3 3 3" xfId="1006" xr:uid="{B7805AA7-F300-4140-8C42-15F0479983FD}"/>
    <cellStyle name="Millares 4 3 4" xfId="501" xr:uid="{11861563-B039-471B-9266-663615F0B43C}"/>
    <cellStyle name="Millares 4 3 4 2" xfId="1172" xr:uid="{14117305-4A00-48AE-B317-441FA062F8BA}"/>
    <cellStyle name="Millares 4 3 5" xfId="840" xr:uid="{CB5F0E9A-5E0B-404C-B633-048C26CDB8C4}"/>
    <cellStyle name="Millares 4 4" xfId="184" xr:uid="{A3DA5DBF-7E38-48C5-B2AA-D941C3097F9A}"/>
    <cellStyle name="Millares 4 4 2" xfId="370" xr:uid="{7EEE0788-80F4-4D79-B418-AF0422CD6010}"/>
    <cellStyle name="Millares 4 4 2 2" xfId="709" xr:uid="{D07DFD31-C82F-4E20-9C20-578DDE942A9B}"/>
    <cellStyle name="Millares 4 4 2 2 2" xfId="1380" xr:uid="{3ADF8FC6-46E3-4B55-ABA4-CBB61F355AA2}"/>
    <cellStyle name="Millares 4 4 2 3" xfId="1048" xr:uid="{7ABDD151-7CB1-418B-9531-123A45415EDB}"/>
    <cellStyle name="Millares 4 4 3" xfId="543" xr:uid="{02292D72-ABF4-425A-B66B-8ED7688E167D}"/>
    <cellStyle name="Millares 4 4 3 2" xfId="1214" xr:uid="{98488110-7115-465B-8850-BCAE83BB0B44}"/>
    <cellStyle name="Millares 4 4 4" xfId="882" xr:uid="{2A79EE07-21E1-463C-8D5F-EB5049CD94EF}"/>
    <cellStyle name="Millares 4 5" xfId="288" xr:uid="{4A119B1A-AE54-4AF2-80EC-0D0464CA9599}"/>
    <cellStyle name="Millares 4 5 2" xfId="627" xr:uid="{9B279D59-D90A-4261-99BD-4C1717C7D1F4}"/>
    <cellStyle name="Millares 4 5 2 2" xfId="1298" xr:uid="{79BACC0D-BC7B-470E-97A2-DF6809185442}"/>
    <cellStyle name="Millares 4 5 3" xfId="966" xr:uid="{9D317965-36B6-415E-BBC9-408D5778A453}"/>
    <cellStyle name="Millares 4 6" xfId="461" xr:uid="{9DE89F6E-877A-4EE9-8296-B32050043F89}"/>
    <cellStyle name="Millares 4 6 2" xfId="1132" xr:uid="{F237FFA4-8524-40EB-84A7-998DCD999B40}"/>
    <cellStyle name="Millares 4 7" xfId="800" xr:uid="{1C970FAE-9501-44AF-810F-3FBEDECD2E1A}"/>
    <cellStyle name="Millares 5" xfId="63" xr:uid="{3D26BD70-B916-43AF-B6F8-78F7C673B6B8}"/>
    <cellStyle name="Millares 5 2" xfId="98" xr:uid="{E0DA7855-A205-4D1F-BC3F-093B3E775615}"/>
    <cellStyle name="Millares 5 2 2" xfId="146" xr:uid="{485DDCB9-26B9-48B3-B5C1-8709A5B703B2}"/>
    <cellStyle name="Millares 5 2 2 2" xfId="235" xr:uid="{8BADD405-FF2E-4BD3-8B11-33F4F92F0133}"/>
    <cellStyle name="Millares 5 2 2 2 2" xfId="421" xr:uid="{2C31FC09-2275-4E02-B875-59F33D031069}"/>
    <cellStyle name="Millares 5 2 2 2 2 2" xfId="760" xr:uid="{43176A68-2658-44EA-8264-6E9FEB79B59A}"/>
    <cellStyle name="Millares 5 2 2 2 2 2 2" xfId="1431" xr:uid="{4CCF5A5A-8BA8-4AFF-924F-5E22FD7CB715}"/>
    <cellStyle name="Millares 5 2 2 2 2 3" xfId="1099" xr:uid="{5AFE82E3-CE4F-43BA-B42B-DE4DC3F9CEB4}"/>
    <cellStyle name="Millares 5 2 2 2 3" xfId="594" xr:uid="{7E5CA9AE-1656-415B-A4C3-00F07478D7D4}"/>
    <cellStyle name="Millares 5 2 2 2 3 2" xfId="1265" xr:uid="{C0C7EB13-3232-4E28-92EA-F905CB55AE52}"/>
    <cellStyle name="Millares 5 2 2 2 4" xfId="933" xr:uid="{F38791D9-7E22-4A3F-BC4E-C7641ACF09A8}"/>
    <cellStyle name="Millares 5 2 2 3" xfId="339" xr:uid="{69976C9E-FE03-400E-B98C-B4CC71EFBDB9}"/>
    <cellStyle name="Millares 5 2 2 3 2" xfId="678" xr:uid="{D60B7997-6519-4DF5-A296-1B9D2EEFD417}"/>
    <cellStyle name="Millares 5 2 2 3 2 2" xfId="1349" xr:uid="{68E07175-FD9C-4CD8-8AE0-E6BA6665A144}"/>
    <cellStyle name="Millares 5 2 2 3 3" xfId="1017" xr:uid="{C5B83A1E-508E-4DE4-955A-BC299D2DBEF8}"/>
    <cellStyle name="Millares 5 2 2 4" xfId="512" xr:uid="{90F8C8BF-7BB9-4F1B-A714-CA43D7F4D9B3}"/>
    <cellStyle name="Millares 5 2 2 4 2" xfId="1183" xr:uid="{95DE2828-76BD-4253-AF49-B1D7F12FC1B5}"/>
    <cellStyle name="Millares 5 2 2 5" xfId="851" xr:uid="{DD39922B-B700-4A25-9C72-2EA8F441F834}"/>
    <cellStyle name="Millares 5 2 3" xfId="195" xr:uid="{F73FF835-182A-466D-9530-DB694016F2B1}"/>
    <cellStyle name="Millares 5 2 3 2" xfId="381" xr:uid="{A3729527-471B-4D28-B711-ACD7B35B398D}"/>
    <cellStyle name="Millares 5 2 3 2 2" xfId="720" xr:uid="{9184F540-20CB-4A29-94BE-ADC31439F504}"/>
    <cellStyle name="Millares 5 2 3 2 2 2" xfId="1391" xr:uid="{D0F07956-B0F1-4FA4-84CE-025E26DBE22B}"/>
    <cellStyle name="Millares 5 2 3 2 3" xfId="1059" xr:uid="{FCB9FFA6-E121-4E6F-ABB0-F15165B5620D}"/>
    <cellStyle name="Millares 5 2 3 3" xfId="554" xr:uid="{298097EB-C155-48A5-A9AF-6C5398DC3F69}"/>
    <cellStyle name="Millares 5 2 3 3 2" xfId="1225" xr:uid="{E660BE86-A4D9-4B11-963F-8CE60DF9D472}"/>
    <cellStyle name="Millares 5 2 3 4" xfId="893" xr:uid="{4620DE87-02DB-49B2-B94E-85AA48B75250}"/>
    <cellStyle name="Millares 5 2 4" xfId="299" xr:uid="{DC19F1F8-73AE-4D83-BB33-BADB2F79F4B7}"/>
    <cellStyle name="Millares 5 2 4 2" xfId="638" xr:uid="{2E06574E-0238-4028-B5DA-095DBD8E129A}"/>
    <cellStyle name="Millares 5 2 4 2 2" xfId="1309" xr:uid="{1D986184-5392-4363-A167-B2595C9F5C6D}"/>
    <cellStyle name="Millares 5 2 4 3" xfId="977" xr:uid="{8E201160-AFB2-49B8-8140-64EAC0BA0CB3}"/>
    <cellStyle name="Millares 5 2 5" xfId="472" xr:uid="{0599CFB9-7DA8-4845-9F3F-CECD4CBEF6C6}"/>
    <cellStyle name="Millares 5 2 5 2" xfId="1143" xr:uid="{5FD490D7-9617-442F-8AAD-627CB4DDFE41}"/>
    <cellStyle name="Millares 5 2 6" xfId="811" xr:uid="{10C1158A-5D04-4C00-8388-BCFAF986B1AF}"/>
    <cellStyle name="Millares 5 3" xfId="127" xr:uid="{6F22B799-5DF7-4766-B864-59F70E8BDA03}"/>
    <cellStyle name="Millares 5 3 2" xfId="216" xr:uid="{8C873C5C-4965-474D-84BD-41C25B7E5DE3}"/>
    <cellStyle name="Millares 5 3 2 2" xfId="402" xr:uid="{3D25B300-06AB-4B93-A6BB-43879C897879}"/>
    <cellStyle name="Millares 5 3 2 2 2" xfId="741" xr:uid="{C11AEFB2-BBB4-4347-AB7A-8ACF80568667}"/>
    <cellStyle name="Millares 5 3 2 2 2 2" xfId="1412" xr:uid="{5C868F1F-76B6-4AA0-BC3E-6D3EA0A73670}"/>
    <cellStyle name="Millares 5 3 2 2 3" xfId="1080" xr:uid="{85B74585-D87F-43DC-9292-E9033FBBD19A}"/>
    <cellStyle name="Millares 5 3 2 3" xfId="575" xr:uid="{5528494E-6066-4FE1-A63A-5375D15B1BF2}"/>
    <cellStyle name="Millares 5 3 2 3 2" xfId="1246" xr:uid="{8747494F-EC6A-487E-B3CB-66F997BAC3F4}"/>
    <cellStyle name="Millares 5 3 2 4" xfId="914" xr:uid="{B91B8BCD-C4A8-473C-8091-46E8562B20BE}"/>
    <cellStyle name="Millares 5 3 3" xfId="320" xr:uid="{8B24A658-6B33-481F-8410-E165889DB1B8}"/>
    <cellStyle name="Millares 5 3 3 2" xfId="659" xr:uid="{F61C9753-2EEB-4B43-89AF-F4C7B84DEA74}"/>
    <cellStyle name="Millares 5 3 3 2 2" xfId="1330" xr:uid="{2A0D7F61-1749-4E19-BB48-A7674A9DA798}"/>
    <cellStyle name="Millares 5 3 3 3" xfId="998" xr:uid="{F5969BF0-496F-47CF-8377-74128893FA96}"/>
    <cellStyle name="Millares 5 3 4" xfId="493" xr:uid="{9F381793-2912-4E13-8105-295CE4416175}"/>
    <cellStyle name="Millares 5 3 4 2" xfId="1164" xr:uid="{62EDF2B4-9AE2-4071-A5CE-EA5F710C2CBE}"/>
    <cellStyle name="Millares 5 3 5" xfId="832" xr:uid="{AC9D3FA8-4A6D-40E7-9BDC-0B06EF8C1F05}"/>
    <cellStyle name="Millares 5 4" xfId="176" xr:uid="{5C0DAD5E-3C42-4DED-9464-BEDC4A7FF6D4}"/>
    <cellStyle name="Millares 5 4 2" xfId="362" xr:uid="{18D063A4-198F-4553-A7BB-3F7732161976}"/>
    <cellStyle name="Millares 5 4 2 2" xfId="701" xr:uid="{1D4747C8-5F53-4073-8086-68BD0E722521}"/>
    <cellStyle name="Millares 5 4 2 2 2" xfId="1372" xr:uid="{97698DE9-D4B6-4D53-9909-4F6EF1C8F8F0}"/>
    <cellStyle name="Millares 5 4 2 3" xfId="1040" xr:uid="{E9399035-419D-4498-B441-F3ACBCDCE196}"/>
    <cellStyle name="Millares 5 4 3" xfId="535" xr:uid="{C1B86915-E6CB-45A9-94A3-5373B18B7945}"/>
    <cellStyle name="Millares 5 4 3 2" xfId="1206" xr:uid="{F19DB7BA-232F-4375-9A15-7B3A47A92F7E}"/>
    <cellStyle name="Millares 5 4 4" xfId="874" xr:uid="{2F955DFE-98CE-4743-9540-7AF6F661C5B1}"/>
    <cellStyle name="Millares 5 5" xfId="280" xr:uid="{C1E28014-D480-4FD3-A485-4079B12058BD}"/>
    <cellStyle name="Millares 5 5 2" xfId="619" xr:uid="{5A2BE238-B685-4E34-92CF-743A85B6D32C}"/>
    <cellStyle name="Millares 5 5 2 2" xfId="1290" xr:uid="{DD4BEF19-E23B-4BAE-9537-67FFB35273EC}"/>
    <cellStyle name="Millares 5 5 3" xfId="958" xr:uid="{2DACA06F-8D12-4CCD-AB3C-80BB78194C9A}"/>
    <cellStyle name="Millares 5 6" xfId="453" xr:uid="{8CFA8DFE-3744-450F-B56B-8AE4BEB7473E}"/>
    <cellStyle name="Millares 5 6 2" xfId="1124" xr:uid="{20DDC186-306C-46E2-87DA-5892635A089A}"/>
    <cellStyle name="Millares 5 7" xfId="792" xr:uid="{3FAB2582-BC92-404F-8952-8332959EFBCF}"/>
    <cellStyle name="Millares 6" xfId="80" xr:uid="{E18B7551-F043-408A-8CBE-02C9A917A9BF}"/>
    <cellStyle name="Millares 6 2" xfId="107" xr:uid="{BB91E0E0-89C3-46E4-AFFA-5FF66CD18B64}"/>
    <cellStyle name="Millares 6 2 2" xfId="155" xr:uid="{C1B6CA3F-C510-4558-BA41-D5090FE0F76A}"/>
    <cellStyle name="Millares 6 2 2 2" xfId="244" xr:uid="{AF26597C-77BD-4458-AA7A-190A39E775D1}"/>
    <cellStyle name="Millares 6 2 2 2 2" xfId="430" xr:uid="{DA27B3A2-2DCC-49E3-AD1F-E1614D14EBD1}"/>
    <cellStyle name="Millares 6 2 2 2 2 2" xfId="769" xr:uid="{40849CFF-58AB-4590-BC6B-7A7876F93F9B}"/>
    <cellStyle name="Millares 6 2 2 2 2 2 2" xfId="1440" xr:uid="{74061B68-9AE1-4305-A26A-35EEF41D6D2C}"/>
    <cellStyle name="Millares 6 2 2 2 2 3" xfId="1108" xr:uid="{0B9BF698-96B2-4C57-BA48-B3408840C5B0}"/>
    <cellStyle name="Millares 6 2 2 2 3" xfId="603" xr:uid="{808551BF-DA3C-43D9-B3ED-BEBDF6332954}"/>
    <cellStyle name="Millares 6 2 2 2 3 2" xfId="1274" xr:uid="{46F16B02-DA8A-4496-9FB4-A0C461BB6905}"/>
    <cellStyle name="Millares 6 2 2 2 4" xfId="942" xr:uid="{DBCCC56D-C6B9-4B7B-9B10-B2994A353606}"/>
    <cellStyle name="Millares 6 2 2 3" xfId="348" xr:uid="{802A4818-BDC1-4E62-8BAF-AFC3C4D56BE4}"/>
    <cellStyle name="Millares 6 2 2 3 2" xfId="687" xr:uid="{AEF2E32C-D3E7-4EBA-BFC8-8CACE688C132}"/>
    <cellStyle name="Millares 6 2 2 3 2 2" xfId="1358" xr:uid="{4591933F-2741-4E45-BE90-BC1FA7F3FC49}"/>
    <cellStyle name="Millares 6 2 2 3 3" xfId="1026" xr:uid="{F673A801-EF2B-4495-B7F1-76D175F1D791}"/>
    <cellStyle name="Millares 6 2 2 4" xfId="521" xr:uid="{63631B98-7447-4C4A-922D-13CA50904BA4}"/>
    <cellStyle name="Millares 6 2 2 4 2" xfId="1192" xr:uid="{9846937F-462C-44C1-916C-107DFB60ABB3}"/>
    <cellStyle name="Millares 6 2 2 5" xfId="860" xr:uid="{DA775E81-2AFE-4D26-A719-E40180E85238}"/>
    <cellStyle name="Millares 6 2 3" xfId="204" xr:uid="{8548C845-41E0-4531-95E7-29191C36984E}"/>
    <cellStyle name="Millares 6 2 3 2" xfId="390" xr:uid="{4E5BEC40-B141-4036-A5C4-E39DF4F717F3}"/>
    <cellStyle name="Millares 6 2 3 2 2" xfId="729" xr:uid="{98F465A3-C373-473C-A4D2-A2300666F021}"/>
    <cellStyle name="Millares 6 2 3 2 2 2" xfId="1400" xr:uid="{D86E1CF8-9819-4252-9738-393A67398868}"/>
    <cellStyle name="Millares 6 2 3 2 3" xfId="1068" xr:uid="{02833432-0C65-45F9-B686-2CB22F014F60}"/>
    <cellStyle name="Millares 6 2 3 3" xfId="563" xr:uid="{195C4461-941A-4D32-8953-DE897FFAE268}"/>
    <cellStyle name="Millares 6 2 3 3 2" xfId="1234" xr:uid="{1D4CE1F3-C493-410E-99AC-6B5E59DB78B6}"/>
    <cellStyle name="Millares 6 2 3 4" xfId="902" xr:uid="{ADDDD15F-2CB6-4FCC-A586-2F8674DF948D}"/>
    <cellStyle name="Millares 6 2 4" xfId="308" xr:uid="{9B893EF3-A10D-4497-92E1-184B165FAFA2}"/>
    <cellStyle name="Millares 6 2 4 2" xfId="647" xr:uid="{222C908B-100C-4238-8460-B2B775028263}"/>
    <cellStyle name="Millares 6 2 4 2 2" xfId="1318" xr:uid="{174BE630-BBA0-4F98-972F-8EC7FC250595}"/>
    <cellStyle name="Millares 6 2 4 3" xfId="986" xr:uid="{453BD7A5-1843-4D47-AEB2-B7DA3B5AA493}"/>
    <cellStyle name="Millares 6 2 5" xfId="481" xr:uid="{651A0255-DB20-43AA-A164-C78B2A5C86D6}"/>
    <cellStyle name="Millares 6 2 5 2" xfId="1152" xr:uid="{3DAC90F8-560D-4A2D-B142-074DD5ADCC3B}"/>
    <cellStyle name="Millares 6 2 6" xfId="820" xr:uid="{F705F05A-D6A9-47EF-989E-A618A1042625}"/>
    <cellStyle name="Millares 6 3" xfId="136" xr:uid="{3408A534-EB23-47E0-B179-BA57462F05AD}"/>
    <cellStyle name="Millares 6 3 2" xfId="225" xr:uid="{ECA01AAF-3544-427D-B79C-FE77883C15A5}"/>
    <cellStyle name="Millares 6 3 2 2" xfId="411" xr:uid="{7A75B59F-A99C-4C2F-AF82-0A1B3913595F}"/>
    <cellStyle name="Millares 6 3 2 2 2" xfId="750" xr:uid="{99257278-ADFF-494C-8ED8-8B8DD50FD759}"/>
    <cellStyle name="Millares 6 3 2 2 2 2" xfId="1421" xr:uid="{CBC96F91-0EE8-4B26-83E5-D7DED5470BB4}"/>
    <cellStyle name="Millares 6 3 2 2 3" xfId="1089" xr:uid="{4B601412-A896-4675-B321-D2C8EED51433}"/>
    <cellStyle name="Millares 6 3 2 3" xfId="584" xr:uid="{620DD042-E81A-4A34-AE04-2819A775A418}"/>
    <cellStyle name="Millares 6 3 2 3 2" xfId="1255" xr:uid="{F2862DEC-238A-478E-9E62-FB3FDF577B98}"/>
    <cellStyle name="Millares 6 3 2 4" xfId="923" xr:uid="{67168C7A-45EE-4DDF-82A1-4CBF53334FEE}"/>
    <cellStyle name="Millares 6 3 3" xfId="329" xr:uid="{C6C9A4FE-C688-4295-8405-5590F890AB20}"/>
    <cellStyle name="Millares 6 3 3 2" xfId="668" xr:uid="{F8B229B4-0352-445F-9739-B53C07A1FCE5}"/>
    <cellStyle name="Millares 6 3 3 2 2" xfId="1339" xr:uid="{5057C45A-E093-4253-BB22-41F6C29628CB}"/>
    <cellStyle name="Millares 6 3 3 3" xfId="1007" xr:uid="{779CC0F8-D37C-4BAD-960E-ACC185139C23}"/>
    <cellStyle name="Millares 6 3 4" xfId="502" xr:uid="{A3D10AE9-ECC2-4105-8607-86FE01E4BCFC}"/>
    <cellStyle name="Millares 6 3 4 2" xfId="1173" xr:uid="{01C598E9-A34A-4C01-A606-1CC9F03C2192}"/>
    <cellStyle name="Millares 6 3 5" xfId="841" xr:uid="{41BF585F-332F-49D4-A230-D4CCB1DFFB1A}"/>
    <cellStyle name="Millares 6 4" xfId="185" xr:uid="{88F2347D-5323-4A4B-BAFD-893C53343062}"/>
    <cellStyle name="Millares 6 4 2" xfId="371" xr:uid="{E8793914-F425-46FA-BEE8-B3093DC43650}"/>
    <cellStyle name="Millares 6 4 2 2" xfId="710" xr:uid="{6B6DD403-078A-4777-ACF4-1220825201DB}"/>
    <cellStyle name="Millares 6 4 2 2 2" xfId="1381" xr:uid="{BDD4B5B0-EF58-44F5-BCBE-713948C9024B}"/>
    <cellStyle name="Millares 6 4 2 3" xfId="1049" xr:uid="{B8B6298E-C9AB-49B4-AE25-E44DE872113A}"/>
    <cellStyle name="Millares 6 4 3" xfId="544" xr:uid="{8FB4A099-5AE3-4910-95B7-395D84786C6F}"/>
    <cellStyle name="Millares 6 4 3 2" xfId="1215" xr:uid="{1736A604-6FE6-49E8-BD00-F0908D069602}"/>
    <cellStyle name="Millares 6 4 4" xfId="883" xr:uid="{5DD5678E-AC92-4C72-BEBD-B6020A50F6BE}"/>
    <cellStyle name="Millares 6 5" xfId="289" xr:uid="{387585CD-8E99-4C45-A25D-EFA901A0BCEB}"/>
    <cellStyle name="Millares 6 5 2" xfId="628" xr:uid="{61FDBE95-FD92-4376-B21E-1F1CF93094EE}"/>
    <cellStyle name="Millares 6 5 2 2" xfId="1299" xr:uid="{92996C35-7426-4045-8923-E0188478ECC0}"/>
    <cellStyle name="Millares 6 5 3" xfId="967" xr:uid="{6535F74C-0D15-4DBB-A35F-6A37089C1E39}"/>
    <cellStyle name="Millares 6 6" xfId="462" xr:uid="{6AD2DDA6-7326-4BA1-9C5F-7613BCAA05AA}"/>
    <cellStyle name="Millares 6 6 2" xfId="1133" xr:uid="{EB6FD9C3-439D-4974-8BC2-93841073EBE5}"/>
    <cellStyle name="Millares 6 7" xfId="801" xr:uid="{7F4D7E69-5627-40F7-B66C-2235388893AB}"/>
    <cellStyle name="Millares 7" xfId="81" xr:uid="{C61442E0-3E14-40F9-84EB-DEF0A245387A}"/>
    <cellStyle name="Millares 7 2" xfId="108" xr:uid="{543BA755-F058-4E4B-9DA0-99BD53DAB4D7}"/>
    <cellStyle name="Millares 7 2 2" xfId="156" xr:uid="{7F65C6CA-F06D-450F-8468-07BBD20FECD5}"/>
    <cellStyle name="Millares 7 2 2 2" xfId="245" xr:uid="{BB5626B2-6E9A-4089-9B54-DF3095245750}"/>
    <cellStyle name="Millares 7 2 2 2 2" xfId="431" xr:uid="{47C1BF49-10D1-4EDC-930E-9307B74A7A60}"/>
    <cellStyle name="Millares 7 2 2 2 2 2" xfId="770" xr:uid="{DABE9535-489F-46AD-BF4A-75ADC76D811D}"/>
    <cellStyle name="Millares 7 2 2 2 2 2 2" xfId="1441" xr:uid="{9B6947A8-4C82-4D15-B4C2-C0EFA740969F}"/>
    <cellStyle name="Millares 7 2 2 2 2 3" xfId="1109" xr:uid="{46260113-C66A-4ABD-BA8B-D0AD19EB9D24}"/>
    <cellStyle name="Millares 7 2 2 2 3" xfId="604" xr:uid="{7AE564B7-50C7-4B6C-B708-1812B4547BD2}"/>
    <cellStyle name="Millares 7 2 2 2 3 2" xfId="1275" xr:uid="{E65ABD8F-CBA7-451B-B9DE-26FCEC66869B}"/>
    <cellStyle name="Millares 7 2 2 2 4" xfId="943" xr:uid="{D7A1F4D0-C715-4445-9463-B5AC70DB6C76}"/>
    <cellStyle name="Millares 7 2 2 3" xfId="349" xr:uid="{F34FC190-D858-4CD2-AC46-8432F5E51476}"/>
    <cellStyle name="Millares 7 2 2 3 2" xfId="688" xr:uid="{62C333F3-5663-4769-9E70-563F23A5F90E}"/>
    <cellStyle name="Millares 7 2 2 3 2 2" xfId="1359" xr:uid="{8D4D9A85-49D0-4E3C-8025-29A5056259D5}"/>
    <cellStyle name="Millares 7 2 2 3 3" xfId="1027" xr:uid="{86D2532B-2D11-468C-897E-E6001A3CCB95}"/>
    <cellStyle name="Millares 7 2 2 4" xfId="522" xr:uid="{9D3A5AE2-6C30-47DC-9A2B-48068826120B}"/>
    <cellStyle name="Millares 7 2 2 4 2" xfId="1193" xr:uid="{16B8ECFD-96EE-43DF-9262-5D45767CAC50}"/>
    <cellStyle name="Millares 7 2 2 5" xfId="861" xr:uid="{154805EE-CB41-43A2-8E42-12988B620AC6}"/>
    <cellStyle name="Millares 7 2 3" xfId="205" xr:uid="{3FAD3389-A4A5-4FD5-90AF-C3B5141CF42D}"/>
    <cellStyle name="Millares 7 2 3 2" xfId="391" xr:uid="{E6DA2DD6-5E8E-4B23-B0F5-81AF926725E6}"/>
    <cellStyle name="Millares 7 2 3 2 2" xfId="730" xr:uid="{5DE362EF-3009-4CD0-ACCD-E5F2D5D1A6DB}"/>
    <cellStyle name="Millares 7 2 3 2 2 2" xfId="1401" xr:uid="{7F258081-67AA-4159-A0F4-734F1F8C4E05}"/>
    <cellStyle name="Millares 7 2 3 2 3" xfId="1069" xr:uid="{5CDC1C5D-F259-40B1-8208-E91A99E2CA6F}"/>
    <cellStyle name="Millares 7 2 3 3" xfId="564" xr:uid="{EB807461-02B7-40A8-B0C5-3C2B8B8935E3}"/>
    <cellStyle name="Millares 7 2 3 3 2" xfId="1235" xr:uid="{D19EEA5D-414A-480A-9260-84AEC6490379}"/>
    <cellStyle name="Millares 7 2 3 4" xfId="903" xr:uid="{D7B1FA34-87B8-44B3-ACEE-4459DBB56785}"/>
    <cellStyle name="Millares 7 2 4" xfId="309" xr:uid="{484E3ADC-0AD6-46CF-A061-6B633E977B1D}"/>
    <cellStyle name="Millares 7 2 4 2" xfId="648" xr:uid="{5227CF48-2BB9-481E-90E7-2E058D9100A2}"/>
    <cellStyle name="Millares 7 2 4 2 2" xfId="1319" xr:uid="{489CE873-ABF9-421B-8500-FB0572C4801D}"/>
    <cellStyle name="Millares 7 2 4 3" xfId="987" xr:uid="{06B46B0C-2F93-4E2D-A81D-0EECC1115C97}"/>
    <cellStyle name="Millares 7 2 5" xfId="482" xr:uid="{AA913352-EFA8-4F14-BA68-FA112DE8EDD8}"/>
    <cellStyle name="Millares 7 2 5 2" xfId="1153" xr:uid="{3F674279-4E3B-4034-8055-FE97C7829D1E}"/>
    <cellStyle name="Millares 7 2 6" xfId="821" xr:uid="{44CAD4AE-6AF2-44E1-B22F-CE6E97F2B5D1}"/>
    <cellStyle name="Millares 7 3" xfId="137" xr:uid="{A6070965-D825-4B3B-959B-16EBCA77DE90}"/>
    <cellStyle name="Millares 7 3 2" xfId="226" xr:uid="{8F723478-1B1A-48BC-A6BB-8D1401DED56A}"/>
    <cellStyle name="Millares 7 3 2 2" xfId="412" xr:uid="{2DF9BE4B-6D0A-46F9-AB31-585ACA6CC552}"/>
    <cellStyle name="Millares 7 3 2 2 2" xfId="751" xr:uid="{5DDB8AEE-F772-4499-BE89-C44605B70AAD}"/>
    <cellStyle name="Millares 7 3 2 2 2 2" xfId="1422" xr:uid="{A5CABA85-3666-4559-91E4-3DB5CA2CC0DF}"/>
    <cellStyle name="Millares 7 3 2 2 3" xfId="1090" xr:uid="{26052BD0-B6A6-42DB-B21F-216CF2883B91}"/>
    <cellStyle name="Millares 7 3 2 3" xfId="585" xr:uid="{4E57CE3B-6B41-4A1A-BCDA-2EBA78798855}"/>
    <cellStyle name="Millares 7 3 2 3 2" xfId="1256" xr:uid="{D77593F5-1254-477C-9A17-B02D42CC8A42}"/>
    <cellStyle name="Millares 7 3 2 4" xfId="924" xr:uid="{D9D2CA20-B8D3-405A-A207-CAECE0869120}"/>
    <cellStyle name="Millares 7 3 3" xfId="330" xr:uid="{4AC8D135-6AC3-4BBA-9E7B-6D8E31373DC0}"/>
    <cellStyle name="Millares 7 3 3 2" xfId="669" xr:uid="{02626FBE-589B-4CD6-943A-8CA749B2445F}"/>
    <cellStyle name="Millares 7 3 3 2 2" xfId="1340" xr:uid="{CA10A799-4A48-41B1-BD1B-37097CD8D4C0}"/>
    <cellStyle name="Millares 7 3 3 3" xfId="1008" xr:uid="{B0DF9249-1EEF-4E74-B2E3-0C61264858C9}"/>
    <cellStyle name="Millares 7 3 4" xfId="503" xr:uid="{15B7F833-D490-4D4F-9593-11981C633C8C}"/>
    <cellStyle name="Millares 7 3 4 2" xfId="1174" xr:uid="{7EF19A4C-A54F-4640-9CD9-3EF3227050EC}"/>
    <cellStyle name="Millares 7 3 5" xfId="842" xr:uid="{83E09D25-2F30-4F89-84D9-55DB2635301A}"/>
    <cellStyle name="Millares 7 4" xfId="186" xr:uid="{B4FAF94E-8282-433D-A55C-ECD9A6B28AE5}"/>
    <cellStyle name="Millares 7 4 2" xfId="372" xr:uid="{0A2D0D80-1859-41ED-A1E6-EFDE11390925}"/>
    <cellStyle name="Millares 7 4 2 2" xfId="711" xr:uid="{5720813F-F025-4980-B039-3198016B6F1E}"/>
    <cellStyle name="Millares 7 4 2 2 2" xfId="1382" xr:uid="{42678EF6-32FC-4B38-9B95-927EDAA95D52}"/>
    <cellStyle name="Millares 7 4 2 3" xfId="1050" xr:uid="{901C6351-0294-4E91-BF4A-3F9A590F82F6}"/>
    <cellStyle name="Millares 7 4 3" xfId="545" xr:uid="{21A53ED8-4A07-490B-98E4-6B0E0D69567F}"/>
    <cellStyle name="Millares 7 4 3 2" xfId="1216" xr:uid="{F5CB9181-C778-45FA-91B3-9F65291743EE}"/>
    <cellStyle name="Millares 7 4 4" xfId="884" xr:uid="{8CF4F962-9D24-4501-806E-327B121FE9C4}"/>
    <cellStyle name="Millares 7 5" xfId="290" xr:uid="{9D75E068-C3AB-43D0-AFF5-CDAD82E78A3B}"/>
    <cellStyle name="Millares 7 5 2" xfId="629" xr:uid="{9B02F046-7F03-4082-8AAA-D1933D935709}"/>
    <cellStyle name="Millares 7 5 2 2" xfId="1300" xr:uid="{80A5BEBA-D506-4C0D-B179-C2B1E66331A0}"/>
    <cellStyle name="Millares 7 5 3" xfId="968" xr:uid="{B6C3F0F0-0097-476B-BD0A-C34864266A2F}"/>
    <cellStyle name="Millares 7 6" xfId="463" xr:uid="{DFE08977-AF96-4D3C-A30C-E2FE78E3EC65}"/>
    <cellStyle name="Millares 7 6 2" xfId="1134" xr:uid="{969F5C17-FB81-4C14-974B-DC6E65F6DD67}"/>
    <cellStyle name="Millares 7 7" xfId="802" xr:uid="{9F04F15E-9FF0-4E11-AEC0-FA77C9BFF25A}"/>
    <cellStyle name="Millares 79" xfId="47" xr:uid="{C54DE4DC-8647-4C23-97DF-3F07A4BBF8D7}"/>
    <cellStyle name="Millares 79 2" xfId="74" xr:uid="{093C09C2-C800-48B9-890C-8FB6AF68E6F8}"/>
    <cellStyle name="Millares 79 2 2" xfId="103" xr:uid="{969EAAF6-F462-41A3-8901-522A3BAA7B7A}"/>
    <cellStyle name="Millares 79 2 2 2" xfId="151" xr:uid="{1F61ACAB-2DDA-4E3E-8C76-E8A75969E89A}"/>
    <cellStyle name="Millares 79 2 2 2 2" xfId="240" xr:uid="{F6FD1D75-19B9-40BF-8B3A-A8B1BBAA4B63}"/>
    <cellStyle name="Millares 79 2 2 2 2 2" xfId="426" xr:uid="{C81105B7-0488-41D5-8FF7-F752F310A292}"/>
    <cellStyle name="Millares 79 2 2 2 2 2 2" xfId="765" xr:uid="{5139E95D-3EC9-446B-9304-681D5906F38F}"/>
    <cellStyle name="Millares 79 2 2 2 2 2 2 2" xfId="1436" xr:uid="{59DA2AFC-7AD3-4846-B6B3-AAFB13B392D0}"/>
    <cellStyle name="Millares 79 2 2 2 2 2 3" xfId="1104" xr:uid="{2021A405-6E7E-47B3-AE63-8FF840D880BE}"/>
    <cellStyle name="Millares 79 2 2 2 2 3" xfId="599" xr:uid="{1F3AE971-68D3-4E6C-A76E-74DDACFDB402}"/>
    <cellStyle name="Millares 79 2 2 2 2 3 2" xfId="1270" xr:uid="{6E42E886-335A-4259-BDB1-38604FE017B0}"/>
    <cellStyle name="Millares 79 2 2 2 2 4" xfId="938" xr:uid="{2C038DA4-C31C-43D3-AD2E-5EF20B5551D9}"/>
    <cellStyle name="Millares 79 2 2 2 3" xfId="344" xr:uid="{F6AB5ADD-CB30-4F93-BF86-CDD4D83F317F}"/>
    <cellStyle name="Millares 79 2 2 2 3 2" xfId="683" xr:uid="{B73E8C84-4AD1-4895-B454-4213023D4B8C}"/>
    <cellStyle name="Millares 79 2 2 2 3 2 2" xfId="1354" xr:uid="{FCE73BE3-B8DC-47B3-919B-CECC13D05834}"/>
    <cellStyle name="Millares 79 2 2 2 3 3" xfId="1022" xr:uid="{95FFA1CD-41FE-4C43-8B59-4D32804ED4D8}"/>
    <cellStyle name="Millares 79 2 2 2 4" xfId="517" xr:uid="{296278B5-6A5D-4D6B-8DD9-A412B5124294}"/>
    <cellStyle name="Millares 79 2 2 2 4 2" xfId="1188" xr:uid="{F197A4D1-689F-411E-B164-1B9F123457FF}"/>
    <cellStyle name="Millares 79 2 2 2 5" xfId="856" xr:uid="{4BD4948C-294E-435B-A637-D92AB0C5C884}"/>
    <cellStyle name="Millares 79 2 2 3" xfId="200" xr:uid="{28FF8F5A-E6A0-4DB8-9043-9C04DE944AE5}"/>
    <cellStyle name="Millares 79 2 2 3 2" xfId="386" xr:uid="{3F8572F9-2F6B-4F38-A143-6A0982FFBCE4}"/>
    <cellStyle name="Millares 79 2 2 3 2 2" xfId="725" xr:uid="{9C0CD92F-C945-4D08-B9A3-E5E5B2DDADE7}"/>
    <cellStyle name="Millares 79 2 2 3 2 2 2" xfId="1396" xr:uid="{21210E9C-2C2D-4A8C-97B3-861B95A713AE}"/>
    <cellStyle name="Millares 79 2 2 3 2 3" xfId="1064" xr:uid="{89205EC8-659C-4F89-AB9A-FD72F3430DDE}"/>
    <cellStyle name="Millares 79 2 2 3 3" xfId="559" xr:uid="{355969DE-2DAE-4BCC-B044-0DC8100626CB}"/>
    <cellStyle name="Millares 79 2 2 3 3 2" xfId="1230" xr:uid="{07CFC09A-E975-4C1A-B79D-F341BC0F2C3B}"/>
    <cellStyle name="Millares 79 2 2 3 4" xfId="898" xr:uid="{9C917E58-4873-41F0-8C02-F6ED242CCF6F}"/>
    <cellStyle name="Millares 79 2 2 4" xfId="304" xr:uid="{3A6208A2-4739-4A9E-B0FC-44ADC895A2C2}"/>
    <cellStyle name="Millares 79 2 2 4 2" xfId="643" xr:uid="{4FBCB075-A29D-4AAA-A01F-A448392952A0}"/>
    <cellStyle name="Millares 79 2 2 4 2 2" xfId="1314" xr:uid="{57AD6257-ED4F-4CC0-947E-CE86D2AF05E3}"/>
    <cellStyle name="Millares 79 2 2 4 3" xfId="982" xr:uid="{525BC4D2-D500-498B-8F5A-F11C169A35C8}"/>
    <cellStyle name="Millares 79 2 2 5" xfId="477" xr:uid="{20795313-3316-4DE8-9705-10F0931E116E}"/>
    <cellStyle name="Millares 79 2 2 5 2" xfId="1148" xr:uid="{93A56064-F885-4422-8637-BF1DBC17AC5D}"/>
    <cellStyle name="Millares 79 2 2 6" xfId="816" xr:uid="{D3A1D109-E432-4F69-993A-4CBE310F51ED}"/>
    <cellStyle name="Millares 79 2 3" xfId="132" xr:uid="{75F6319C-DF74-4274-A3C0-C8A74C22447E}"/>
    <cellStyle name="Millares 79 2 3 2" xfId="221" xr:uid="{2CFBF6BC-29BA-49EB-8A05-840CB32886C7}"/>
    <cellStyle name="Millares 79 2 3 2 2" xfId="407" xr:uid="{7D874C6A-B76E-4728-9EA2-E5FA0B3CD50B}"/>
    <cellStyle name="Millares 79 2 3 2 2 2" xfId="746" xr:uid="{6C1A73FE-F853-487B-89EA-E8CBECC51DA1}"/>
    <cellStyle name="Millares 79 2 3 2 2 2 2" xfId="1417" xr:uid="{6D1161E8-F26C-46A3-857A-084E9D433E03}"/>
    <cellStyle name="Millares 79 2 3 2 2 3" xfId="1085" xr:uid="{AB5FA3D1-FD24-46DF-B160-E4C92EA37B70}"/>
    <cellStyle name="Millares 79 2 3 2 3" xfId="580" xr:uid="{168E9EA8-9FAE-46B8-B51D-9BBC2E383F27}"/>
    <cellStyle name="Millares 79 2 3 2 3 2" xfId="1251" xr:uid="{D31CE401-2CC7-46F3-89C3-A2A4CF0AA76E}"/>
    <cellStyle name="Millares 79 2 3 2 4" xfId="919" xr:uid="{F724810C-1A7F-4773-BCD1-210A6C02CA77}"/>
    <cellStyle name="Millares 79 2 3 3" xfId="325" xr:uid="{CC207BE7-61E3-47D1-8506-D2A78B14EC02}"/>
    <cellStyle name="Millares 79 2 3 3 2" xfId="664" xr:uid="{DACEE0E2-E215-42A0-B3EF-A84FC89FFE9F}"/>
    <cellStyle name="Millares 79 2 3 3 2 2" xfId="1335" xr:uid="{D7C3D410-B7EB-4BE4-9FAA-3B87BA1AD8AA}"/>
    <cellStyle name="Millares 79 2 3 3 3" xfId="1003" xr:uid="{715E89CC-B04F-419C-9F97-02B48DFCC6EF}"/>
    <cellStyle name="Millares 79 2 3 4" xfId="498" xr:uid="{EADB0980-FBB4-4C4C-A32C-EE5AB2338AB7}"/>
    <cellStyle name="Millares 79 2 3 4 2" xfId="1169" xr:uid="{1E313852-5B9B-436B-8F16-5643BE11DAFE}"/>
    <cellStyle name="Millares 79 2 3 5" xfId="837" xr:uid="{8C2F2B2E-5064-4175-AB13-A7C6A7AF9976}"/>
    <cellStyle name="Millares 79 2 4" xfId="181" xr:uid="{874380DA-5FED-41DF-ACC0-435215ED96D8}"/>
    <cellStyle name="Millares 79 2 4 2" xfId="367" xr:uid="{6DAD0EBE-075C-4BC0-ABC9-A7589AAE8A98}"/>
    <cellStyle name="Millares 79 2 4 2 2" xfId="706" xr:uid="{4AF67B9A-0BFC-42E7-8C35-67F52B6ADB8C}"/>
    <cellStyle name="Millares 79 2 4 2 2 2" xfId="1377" xr:uid="{7E6581B4-C6C7-4C4F-BBD7-ECEF1A8365ED}"/>
    <cellStyle name="Millares 79 2 4 2 3" xfId="1045" xr:uid="{A3B3E2CF-34BC-44D5-8FC0-60001E83ACBA}"/>
    <cellStyle name="Millares 79 2 4 3" xfId="540" xr:uid="{82568F48-C827-41E6-AD49-29BEEC43417C}"/>
    <cellStyle name="Millares 79 2 4 3 2" xfId="1211" xr:uid="{6AA860B3-1FC0-4C7F-AD4F-2158122E251A}"/>
    <cellStyle name="Millares 79 2 4 4" xfId="879" xr:uid="{53C748FC-AC6D-46C3-A1E7-EB26FADA4E7E}"/>
    <cellStyle name="Millares 79 2 5" xfId="285" xr:uid="{88141156-BFF4-4C18-AF74-7EF73C29DB05}"/>
    <cellStyle name="Millares 79 2 5 2" xfId="624" xr:uid="{BB7924B2-E8D5-47CA-92C0-F8443DB28FD3}"/>
    <cellStyle name="Millares 79 2 5 2 2" xfId="1295" xr:uid="{522413CB-3FFC-48AA-9A7F-4D327588B833}"/>
    <cellStyle name="Millares 79 2 5 3" xfId="963" xr:uid="{2A2B06D5-04FB-40B7-B6D0-FC3324CCA272}"/>
    <cellStyle name="Millares 79 2 6" xfId="458" xr:uid="{740B7705-6373-4C9B-845C-069DCC08E890}"/>
    <cellStyle name="Millares 79 2 6 2" xfId="1129" xr:uid="{ED9E7106-BF55-4042-9D52-ED760D5D120B}"/>
    <cellStyle name="Millares 79 2 7" xfId="797" xr:uid="{7317C5C6-1488-4C3A-84EA-1E43B8CCFB33}"/>
    <cellStyle name="Millares 79 3" xfId="92" xr:uid="{10B9C075-C619-4731-ADB8-BD32757BC739}"/>
    <cellStyle name="Millares 79 3 2" xfId="142" xr:uid="{F17B9E3D-8CC5-408D-B128-1DBAAE68A881}"/>
    <cellStyle name="Millares 79 3 2 2" xfId="231" xr:uid="{09BDE53D-9C0A-4913-A2B1-1ACD2E30757B}"/>
    <cellStyle name="Millares 79 3 2 2 2" xfId="417" xr:uid="{DDC1BA47-C7DB-4E6A-9733-352C3B646246}"/>
    <cellStyle name="Millares 79 3 2 2 2 2" xfId="756" xr:uid="{FD18CF80-EE6D-4287-8CCC-AB4979846860}"/>
    <cellStyle name="Millares 79 3 2 2 2 2 2" xfId="1427" xr:uid="{27A18C5D-4410-42E9-A590-8D7948715A75}"/>
    <cellStyle name="Millares 79 3 2 2 2 3" xfId="1095" xr:uid="{7FF73FFD-5AEA-43E8-8F8B-72974C0B0A8C}"/>
    <cellStyle name="Millares 79 3 2 2 3" xfId="590" xr:uid="{637CD8D3-2BA5-4E00-A998-5C6562CE4467}"/>
    <cellStyle name="Millares 79 3 2 2 3 2" xfId="1261" xr:uid="{2EC2C7C1-C308-4836-8A98-3147D21EB777}"/>
    <cellStyle name="Millares 79 3 2 2 4" xfId="929" xr:uid="{FE7CB7CB-10F0-4408-ACE6-3D72C087C78E}"/>
    <cellStyle name="Millares 79 3 2 3" xfId="335" xr:uid="{7D858DBD-05CF-402E-B327-8040D5457C8D}"/>
    <cellStyle name="Millares 79 3 2 3 2" xfId="674" xr:uid="{2F5001E7-143A-46A6-A82F-5273438172A9}"/>
    <cellStyle name="Millares 79 3 2 3 2 2" xfId="1345" xr:uid="{C7A1DE29-AE98-4B6F-A565-EA1C4348D6E7}"/>
    <cellStyle name="Millares 79 3 2 3 3" xfId="1013" xr:uid="{584C4267-4131-4367-BE47-C3EE9206E291}"/>
    <cellStyle name="Millares 79 3 2 4" xfId="508" xr:uid="{F333A4AC-6FDD-480D-9D20-4E1597C4B9A5}"/>
    <cellStyle name="Millares 79 3 2 4 2" xfId="1179" xr:uid="{EB2D6C3C-FE41-4D9A-928E-F376649567B1}"/>
    <cellStyle name="Millares 79 3 2 5" xfId="847" xr:uid="{10186FF1-7C4C-433F-B5E1-167A5481EE2D}"/>
    <cellStyle name="Millares 79 3 3" xfId="191" xr:uid="{E7E65302-4FAB-42D4-A8F1-F5EEA07FC9EA}"/>
    <cellStyle name="Millares 79 3 3 2" xfId="377" xr:uid="{DFFAB534-2A2A-473A-9BE9-89CFA3D8D502}"/>
    <cellStyle name="Millares 79 3 3 2 2" xfId="716" xr:uid="{04D82295-30F2-4EF0-8F14-3BF33EE78972}"/>
    <cellStyle name="Millares 79 3 3 2 2 2" xfId="1387" xr:uid="{24CB8D53-7B15-4024-9B2B-7C549C7ACC0E}"/>
    <cellStyle name="Millares 79 3 3 2 3" xfId="1055" xr:uid="{E8D3156B-1BB9-4EFC-B5FA-B193B3CADE36}"/>
    <cellStyle name="Millares 79 3 3 3" xfId="550" xr:uid="{C4C5CEDA-193B-49CB-B8AB-F5FD3D8135AE}"/>
    <cellStyle name="Millares 79 3 3 3 2" xfId="1221" xr:uid="{53E31C13-5A5D-4EFA-B557-F40064309FEF}"/>
    <cellStyle name="Millares 79 3 3 4" xfId="889" xr:uid="{22C89807-A089-421D-8CBC-9C6D733B441E}"/>
    <cellStyle name="Millares 79 3 4" xfId="295" xr:uid="{F80674A2-ABAC-45B2-BC85-2CC693ABDB43}"/>
    <cellStyle name="Millares 79 3 4 2" xfId="634" xr:uid="{620FC155-17AE-4142-82F5-8848A99AF3F1}"/>
    <cellStyle name="Millares 79 3 4 2 2" xfId="1305" xr:uid="{9CDCFE99-C063-42FD-81EC-9E99DF273EAD}"/>
    <cellStyle name="Millares 79 3 4 3" xfId="973" xr:uid="{6389498D-DF9A-4187-BDE6-584AEFF588EE}"/>
    <cellStyle name="Millares 79 3 5" xfId="468" xr:uid="{2A01B58E-7F98-4DB6-A304-7E2868DDB463}"/>
    <cellStyle name="Millares 79 3 5 2" xfId="1139" xr:uid="{9B5B5D0B-BB96-45B9-8452-E46816FF677D}"/>
    <cellStyle name="Millares 79 3 6" xfId="807" xr:uid="{5DCE38C8-BC7E-4E39-BD80-1380F2408E24}"/>
    <cellStyle name="Millares 79 4" xfId="121" xr:uid="{EC33B89F-CF97-479E-961B-8F5656011787}"/>
    <cellStyle name="Millares 79 4 2" xfId="212" xr:uid="{FDF215DA-EC84-4A0B-AE42-2957C03C297F}"/>
    <cellStyle name="Millares 79 4 2 2" xfId="398" xr:uid="{AAFB0767-D614-45E1-9590-2CA5E048E5FC}"/>
    <cellStyle name="Millares 79 4 2 2 2" xfId="737" xr:uid="{835B079E-1C02-4881-BF43-56E28BA5B553}"/>
    <cellStyle name="Millares 79 4 2 2 2 2" xfId="1408" xr:uid="{364F1C42-C3F6-4A31-9E42-D845E7312576}"/>
    <cellStyle name="Millares 79 4 2 2 3" xfId="1076" xr:uid="{4856E011-C927-4831-8858-343342E4F722}"/>
    <cellStyle name="Millares 79 4 2 3" xfId="571" xr:uid="{37CD265A-9A1E-42B6-8729-5C10D22FD15B}"/>
    <cellStyle name="Millares 79 4 2 3 2" xfId="1242" xr:uid="{2728698E-FAB0-401C-B30B-5A20F5983F95}"/>
    <cellStyle name="Millares 79 4 2 4" xfId="910" xr:uid="{A9242C08-6E1E-4D15-A957-DCA6E71833A4}"/>
    <cellStyle name="Millares 79 4 3" xfId="316" xr:uid="{991E3916-C1A0-44B0-8D22-DEC266D051FF}"/>
    <cellStyle name="Millares 79 4 3 2" xfId="655" xr:uid="{34077C86-3500-43C2-86C8-2BDECD7833C9}"/>
    <cellStyle name="Millares 79 4 3 2 2" xfId="1326" xr:uid="{521F9BDA-2E02-48AD-B5C5-3A31A74D3848}"/>
    <cellStyle name="Millares 79 4 3 3" xfId="994" xr:uid="{625D8164-CE4F-423F-BEB3-3A36F95BB6D3}"/>
    <cellStyle name="Millares 79 4 4" xfId="489" xr:uid="{60017A3A-0779-466D-AE70-253837BC0427}"/>
    <cellStyle name="Millares 79 4 4 2" xfId="1160" xr:uid="{F55FB052-6766-4B98-ABAA-0CDDB03E9C8B}"/>
    <cellStyle name="Millares 79 4 5" xfId="828" xr:uid="{301884B7-75D8-4467-912F-AA76C373C79F}"/>
    <cellStyle name="Millares 79 5" xfId="171" xr:uid="{1C33759B-C655-4C9D-8271-E21AAF73B384}"/>
    <cellStyle name="Millares 79 5 2" xfId="358" xr:uid="{01AB7F1A-190E-4948-A904-CF0E4DC4AF56}"/>
    <cellStyle name="Millares 79 5 2 2" xfId="697" xr:uid="{47CC301D-F203-43D0-B776-8817136C9031}"/>
    <cellStyle name="Millares 79 5 2 2 2" xfId="1368" xr:uid="{684A9083-7B7F-45AD-8473-6003D87B76E9}"/>
    <cellStyle name="Millares 79 5 2 3" xfId="1036" xr:uid="{33BB90D3-EFE1-4216-83DB-5C643F068384}"/>
    <cellStyle name="Millares 79 5 3" xfId="531" xr:uid="{7B8225F5-676C-45A8-839A-21CF9F85EFB8}"/>
    <cellStyle name="Millares 79 5 3 2" xfId="1202" xr:uid="{C26C99B4-7541-4FA4-A9B0-A3C5B77FCFAF}"/>
    <cellStyle name="Millares 79 5 4" xfId="870" xr:uid="{EC347279-4A2D-4EC6-864D-384CF86E62BE}"/>
    <cellStyle name="Millares 79 6" xfId="259" xr:uid="{89857650-57DB-433A-A98D-C70CD7EE92E1}"/>
    <cellStyle name="Millares 79 7" xfId="275" xr:uid="{BB9D7A30-97B2-46ED-94D7-FE5DE74DC1C7}"/>
    <cellStyle name="Millares 79 7 2" xfId="615" xr:uid="{3B0E07C4-5421-408C-A402-90E2FA30CD5A}"/>
    <cellStyle name="Millares 79 7 2 2" xfId="1286" xr:uid="{A0D7F5FE-834E-40C9-8821-2F7A63C83F24}"/>
    <cellStyle name="Millares 79 7 3" xfId="954" xr:uid="{16D5C7CB-4FAB-4B78-9E4E-D9B7DFDCCAA3}"/>
    <cellStyle name="Millares 79 8" xfId="448" xr:uid="{9DF4E941-44DC-4F60-BDC7-A7361FD924F4}"/>
    <cellStyle name="Millares 79 8 2" xfId="1120" xr:uid="{746FF339-B647-4078-B054-C7D8767F4A39}"/>
    <cellStyle name="Millares 79 9" xfId="787" xr:uid="{8AA37031-271B-4AED-9AC7-70FD48954BEE}"/>
    <cellStyle name="Millares 8" xfId="88" xr:uid="{46C4DC4A-16AB-4314-954D-F538D76B200D}"/>
    <cellStyle name="Millares 8 2" xfId="138" xr:uid="{ADF48E0C-4A86-4743-AA37-BA31F7703429}"/>
    <cellStyle name="Millares 8 2 2" xfId="227" xr:uid="{905A7EA6-B7FB-472C-B176-7AB450883D5F}"/>
    <cellStyle name="Millares 8 2 2 2" xfId="413" xr:uid="{3061495D-E70B-490B-B5C8-DC70DA8BC3CE}"/>
    <cellStyle name="Millares 8 2 2 2 2" xfId="752" xr:uid="{935D2ED4-E66D-4CF5-83AD-2C2DAB0C7747}"/>
    <cellStyle name="Millares 8 2 2 2 2 2" xfId="1423" xr:uid="{475D1199-243D-4F84-851D-ABC0771A6382}"/>
    <cellStyle name="Millares 8 2 2 2 3" xfId="1091" xr:uid="{5239C822-6381-48D9-9860-0DBF432D2D73}"/>
    <cellStyle name="Millares 8 2 2 3" xfId="586" xr:uid="{7ACF7F5D-9FDA-40D3-9259-F8478D792751}"/>
    <cellStyle name="Millares 8 2 2 3 2" xfId="1257" xr:uid="{B4187D0A-7F1A-4484-984B-1569982AF0D7}"/>
    <cellStyle name="Millares 8 2 2 4" xfId="925" xr:uid="{B9284223-AD30-470A-9109-1FC41BEBC9A0}"/>
    <cellStyle name="Millares 8 2 3" xfId="331" xr:uid="{A7485A4E-1BB7-4C2C-AF17-DCD56C17F4ED}"/>
    <cellStyle name="Millares 8 2 3 2" xfId="670" xr:uid="{2FE72E17-DE34-4494-A1CD-AC4A1422BA64}"/>
    <cellStyle name="Millares 8 2 3 2 2" xfId="1341" xr:uid="{F88C7393-481D-4DEB-BCA1-31361457B665}"/>
    <cellStyle name="Millares 8 2 3 3" xfId="1009" xr:uid="{7681746C-8077-4499-8949-BA80F49A0E7F}"/>
    <cellStyle name="Millares 8 2 4" xfId="504" xr:uid="{9644DF62-2E91-4095-9FA2-3B20A150CCEB}"/>
    <cellStyle name="Millares 8 2 4 2" xfId="1175" xr:uid="{E81E73E5-C8A8-454A-A8DE-6F089A37574F}"/>
    <cellStyle name="Millares 8 2 5" xfId="843" xr:uid="{352375AB-3050-4343-9F68-971CCA82C926}"/>
    <cellStyle name="Millares 8 3" xfId="187" xr:uid="{1D3BD1C2-A72E-46BB-A639-2BC4A5CF1CD1}"/>
    <cellStyle name="Millares 8 3 2" xfId="373" xr:uid="{A6D8F7F3-BCE4-41E3-A459-D677B96467D9}"/>
    <cellStyle name="Millares 8 3 2 2" xfId="712" xr:uid="{E9D8C3A0-A286-482D-A5CB-CEA1C320AFDA}"/>
    <cellStyle name="Millares 8 3 2 2 2" xfId="1383" xr:uid="{E342F742-B3CA-47B5-B1F8-4822A7AF0D7E}"/>
    <cellStyle name="Millares 8 3 2 3" xfId="1051" xr:uid="{ECA171F8-4740-481E-BC99-135F7C1A639B}"/>
    <cellStyle name="Millares 8 3 3" xfId="546" xr:uid="{9BDADAED-5F63-4B74-A8AF-CB7B12897DA8}"/>
    <cellStyle name="Millares 8 3 3 2" xfId="1217" xr:uid="{9294C4D6-3789-48DE-A204-6236D0C7AF71}"/>
    <cellStyle name="Millares 8 3 4" xfId="885" xr:uid="{643684E5-CB47-4072-ADE9-4BC05D4E4399}"/>
    <cellStyle name="Millares 8 4" xfId="291" xr:uid="{991CC5DA-C407-46AA-A7F3-1E0658DCB687}"/>
    <cellStyle name="Millares 8 4 2" xfId="630" xr:uid="{21B8B397-1D5D-42DD-893A-006F965C4D9F}"/>
    <cellStyle name="Millares 8 4 2 2" xfId="1301" xr:uid="{B09A5686-C463-4778-8D9F-A53DFC9E226B}"/>
    <cellStyle name="Millares 8 4 3" xfId="969" xr:uid="{60A28F3F-567A-4EFB-8BA1-40DB7F2838AC}"/>
    <cellStyle name="Millares 8 5" xfId="464" xr:uid="{E802AD4B-ABB2-4E25-80B9-41937007C1E6}"/>
    <cellStyle name="Millares 8 5 2" xfId="1135" xr:uid="{88E312F7-62C3-4133-9FD3-53A0EBEDE4B0}"/>
    <cellStyle name="Millares 8 6" xfId="803" xr:uid="{1158598B-EE44-434C-BFCB-498E8C193D22}"/>
    <cellStyle name="Millares 9" xfId="109" xr:uid="{5A69CA9A-8F1C-44B5-B448-7566111B1F70}"/>
    <cellStyle name="Millares 9 2" xfId="157" xr:uid="{C4E6A74B-68A2-435C-8C5E-7126BC736F42}"/>
    <cellStyle name="Millares 9 2 2" xfId="246" xr:uid="{51357368-10DB-4BFA-A9F2-3B4E4BBBDDC7}"/>
    <cellStyle name="Millares 9 2 2 2" xfId="432" xr:uid="{3AF7B28C-36BF-4114-90DB-3EC3CA8FE368}"/>
    <cellStyle name="Millares 9 2 2 2 2" xfId="771" xr:uid="{C6D7A90F-5C6D-474A-BD6A-7BF7F71C0639}"/>
    <cellStyle name="Millares 9 2 2 2 2 2" xfId="1442" xr:uid="{900CCCFD-85E9-426F-AEBF-97A47D0690FC}"/>
    <cellStyle name="Millares 9 2 2 2 3" xfId="1110" xr:uid="{35A66427-B939-43DA-B1BF-F8B2B045D63A}"/>
    <cellStyle name="Millares 9 2 2 3" xfId="605" xr:uid="{C64E3317-F29E-4F30-B52A-370E5BE87DCF}"/>
    <cellStyle name="Millares 9 2 2 3 2" xfId="1276" xr:uid="{46387DF1-22EE-4474-8B3D-4C1675190870}"/>
    <cellStyle name="Millares 9 2 2 4" xfId="944" xr:uid="{29E6178D-2F86-4E94-8334-EE544EFE103C}"/>
    <cellStyle name="Millares 9 2 3" xfId="350" xr:uid="{7056E162-0DC9-4394-8842-4DC06BF6D7D1}"/>
    <cellStyle name="Millares 9 2 3 2" xfId="689" xr:uid="{4875AB9C-47A5-461B-BDD1-648DC2C01312}"/>
    <cellStyle name="Millares 9 2 3 2 2" xfId="1360" xr:uid="{B322AE45-1DD1-4033-86C5-5A91FD50B8FA}"/>
    <cellStyle name="Millares 9 2 3 3" xfId="1028" xr:uid="{C05916D8-B1CB-4C71-9A4E-E2F5A1EDA848}"/>
    <cellStyle name="Millares 9 2 4" xfId="523" xr:uid="{907DE100-5C3B-433F-A1C6-0D899E5A4C58}"/>
    <cellStyle name="Millares 9 2 4 2" xfId="1194" xr:uid="{7A0CC5B0-58AB-446F-BA6E-7C0B3BDECAE6}"/>
    <cellStyle name="Millares 9 2 5" xfId="862" xr:uid="{F5D933B5-2CDD-4CDD-83A4-FEFD7E333D3C}"/>
    <cellStyle name="Millares 9 3" xfId="206" xr:uid="{26FE6539-BA2F-44CA-89F9-38B8D1786C06}"/>
    <cellStyle name="Millares 9 3 2" xfId="392" xr:uid="{3C9A6957-5B7A-46E5-8680-A7FB594B4A5E}"/>
    <cellStyle name="Millares 9 3 2 2" xfId="731" xr:uid="{5E81D536-88BE-45FC-8DA0-6BCAA7039F26}"/>
    <cellStyle name="Millares 9 3 2 2 2" xfId="1402" xr:uid="{18CB1AFD-93F4-46AD-9E8F-9BC4A4707E98}"/>
    <cellStyle name="Millares 9 3 2 3" xfId="1070" xr:uid="{6B81FC21-31DC-4A4C-A6E0-B9155558D70E}"/>
    <cellStyle name="Millares 9 3 3" xfId="565" xr:uid="{9E76C064-AD6B-4048-9F01-A9A00DAC6C2A}"/>
    <cellStyle name="Millares 9 3 3 2" xfId="1236" xr:uid="{69DDBB9F-E150-47C9-ACC6-F285913F3715}"/>
    <cellStyle name="Millares 9 3 4" xfId="904" xr:uid="{62111D2F-9D56-40CF-9C59-34261C345176}"/>
    <cellStyle name="Millares 9 4" xfId="310" xr:uid="{51BA885A-0AB4-4CB5-9A46-2E88066C485E}"/>
    <cellStyle name="Millares 9 4 2" xfId="649" xr:uid="{C5409DC5-7D24-4EA9-80F8-30EB27AEB2CC}"/>
    <cellStyle name="Millares 9 4 2 2" xfId="1320" xr:uid="{94F962EC-831B-48A7-A16A-E8D14EBBA5B4}"/>
    <cellStyle name="Millares 9 4 3" xfId="988" xr:uid="{2A85AA8B-6A1F-4473-94C5-BA202130247D}"/>
    <cellStyle name="Millares 9 5" xfId="483" xr:uid="{DB905DE7-A6F5-4008-9E3E-140AA6FE604D}"/>
    <cellStyle name="Millares 9 5 2" xfId="1154" xr:uid="{55178F95-DC0D-40DD-B02C-3A5C94CAB58D}"/>
    <cellStyle name="Millares 9 6" xfId="822" xr:uid="{8CDC3FEE-2AD2-4D65-BB3F-B3A69829E6F0}"/>
    <cellStyle name="Neutral 10" xfId="48" xr:uid="{A384C2FF-EAE8-447F-942C-64EC233C583E}"/>
    <cellStyle name="Neutral 2" xfId="75" xr:uid="{0E136C16-7A27-4362-BCF3-21DD9C9AE9B6}"/>
    <cellStyle name="Neutral 3" xfId="93" xr:uid="{95F89177-B48D-4659-A067-64E073FE1903}"/>
    <cellStyle name="Neutral 4" xfId="122" xr:uid="{177A0755-0612-4C82-AD7D-D09290BBD13D}"/>
    <cellStyle name="Neutral 5" xfId="172" xr:uid="{E0AC1A03-04F1-4045-8A39-3B5A225744BC}"/>
    <cellStyle name="Neutral 6" xfId="260" xr:uid="{ABE7CD14-FFD7-44A6-9551-C104B686CDCB}"/>
    <cellStyle name="Neutral 7" xfId="276" xr:uid="{7DC584D3-3A50-4C0B-A904-842C8B7F9267}"/>
    <cellStyle name="Neutral 8" xfId="449" xr:uid="{EB0CD402-8B4B-466D-93B1-9991F20B6F8D}"/>
    <cellStyle name="Neutral 9" xfId="788" xr:uid="{028CF7BD-6BEA-4DFC-83CF-DAE65BD4D45C}"/>
    <cellStyle name="Normal" xfId="0" builtinId="0"/>
    <cellStyle name="Normal 15" xfId="49" xr:uid="{8642C3BB-CDC3-4FE0-B9D1-97DF267AEE9B}"/>
    <cellStyle name="Normal 2" xfId="50" xr:uid="{29886C77-AF28-4A78-B2E6-69F65AEB0D72}"/>
    <cellStyle name="Normal 2 10" xfId="51" xr:uid="{F25B6CDB-F075-45D5-B54C-4826BC0953DF}"/>
    <cellStyle name="Normal 3" xfId="52" xr:uid="{167B70AD-B213-4F87-A850-531F5CE15FD9}"/>
    <cellStyle name="Normal 3 57" xfId="61" xr:uid="{F3110FE2-2DB6-4E15-8F0C-FF480E1D46FF}"/>
    <cellStyle name="Normal 4" xfId="53" xr:uid="{93F1BFDD-FCA4-4F86-BD0C-5E0BE9C02B61}"/>
    <cellStyle name="Normal 4 10" xfId="54" xr:uid="{293CE62A-E664-4133-AE1B-EBABD520ADC9}"/>
    <cellStyle name="Normal 5" xfId="55" xr:uid="{30F3285B-5F4F-4922-A981-C4DD20B8C3B6}"/>
    <cellStyle name="Notas" xfId="14" builtinId="10" customBuiltin="1"/>
    <cellStyle name="Porcentaje 2" xfId="78" xr:uid="{EC02CA95-0AC3-41A6-BBC2-353FD8B0AF20}"/>
    <cellStyle name="Porcentaje 3" xfId="96" xr:uid="{6EFC4B59-8218-4C05-91B3-5A3D31F29780}"/>
    <cellStyle name="Porcentaje 4" xfId="125" xr:uid="{15961B68-214A-4877-A5A9-A5DC7F9CB027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B190-96FA-410A-9761-BD529CA4F9B1}">
  <dimension ref="A1:AE90"/>
  <sheetViews>
    <sheetView tabSelected="1" workbookViewId="0">
      <pane xSplit="5" ySplit="1" topLeftCell="K48" activePane="bottomRight" state="frozen"/>
      <selection pane="topRight" activeCell="F1" sqref="F1"/>
      <selection pane="bottomLeft" activeCell="A2" sqref="A2"/>
      <selection pane="bottomRight" activeCell="B69" sqref="B69"/>
    </sheetView>
  </sheetViews>
  <sheetFormatPr baseColWidth="10" defaultRowHeight="14"/>
  <cols>
    <col min="1" max="2" width="11.19921875" style="11"/>
    <col min="9" max="9" width="11.19921875" style="11"/>
    <col min="14" max="14" width="11.19921875" style="11"/>
    <col min="19" max="19" width="11.5" style="2" bestFit="1" customWidth="1"/>
    <col min="20" max="29" width="4.8984375" customWidth="1"/>
    <col min="30" max="30" width="11.5" bestFit="1" customWidth="1"/>
  </cols>
  <sheetData>
    <row r="1" spans="1:31" s="9" customFormat="1" ht="32.25">
      <c r="C1" s="8" t="s">
        <v>0</v>
      </c>
      <c r="D1" s="10" t="s">
        <v>1</v>
      </c>
      <c r="E1" s="10" t="s">
        <v>14</v>
      </c>
      <c r="F1" s="10" t="s">
        <v>6</v>
      </c>
      <c r="G1" s="10" t="s">
        <v>7</v>
      </c>
      <c r="H1" s="10" t="s">
        <v>8</v>
      </c>
      <c r="I1" s="10" t="s">
        <v>162</v>
      </c>
      <c r="J1" s="10" t="s">
        <v>2</v>
      </c>
      <c r="K1" s="10" t="s">
        <v>9</v>
      </c>
      <c r="L1" s="10" t="s">
        <v>10</v>
      </c>
      <c r="M1" s="10" t="s">
        <v>11</v>
      </c>
      <c r="N1" s="10" t="s">
        <v>163</v>
      </c>
      <c r="O1" s="10" t="s">
        <v>12</v>
      </c>
      <c r="P1" s="10" t="s">
        <v>13</v>
      </c>
      <c r="Q1" s="10" t="s">
        <v>23</v>
      </c>
      <c r="R1" s="10" t="s">
        <v>24</v>
      </c>
      <c r="S1" s="7" t="s">
        <v>3</v>
      </c>
      <c r="T1" s="4" t="s">
        <v>4</v>
      </c>
      <c r="U1" s="4" t="s">
        <v>5</v>
      </c>
      <c r="V1" s="4" t="s">
        <v>15</v>
      </c>
      <c r="W1" s="4" t="s">
        <v>19</v>
      </c>
      <c r="X1" s="5" t="s">
        <v>16</v>
      </c>
      <c r="Y1" s="5" t="s">
        <v>17</v>
      </c>
      <c r="Z1" s="5" t="s">
        <v>18</v>
      </c>
      <c r="AA1" s="5" t="s">
        <v>20</v>
      </c>
      <c r="AB1" s="5" t="s">
        <v>21</v>
      </c>
      <c r="AC1" s="5" t="s">
        <v>22</v>
      </c>
      <c r="AD1" s="10" t="s">
        <v>25</v>
      </c>
    </row>
    <row r="2" spans="1:31">
      <c r="C2" t="s">
        <v>26</v>
      </c>
      <c r="D2" t="s">
        <v>27</v>
      </c>
      <c r="E2" s="13">
        <v>-8184789</v>
      </c>
      <c r="F2" s="13">
        <v>32964864</v>
      </c>
      <c r="G2">
        <v>0</v>
      </c>
      <c r="H2" s="13">
        <v>23111537</v>
      </c>
      <c r="I2" s="13">
        <f>+T2+U2+V2+W2</f>
        <v>35498033</v>
      </c>
      <c r="J2">
        <v>0</v>
      </c>
      <c r="K2" s="13">
        <v>47457079</v>
      </c>
      <c r="L2" s="13">
        <v>21001665</v>
      </c>
      <c r="M2">
        <v>0</v>
      </c>
      <c r="N2" s="1">
        <f>+X2+Y2+Z2+AA2+AB2+AC2</f>
        <v>176430</v>
      </c>
      <c r="O2" s="13">
        <v>35890391</v>
      </c>
      <c r="P2" s="13">
        <v>16930023</v>
      </c>
      <c r="Q2" s="13">
        <v>16796815</v>
      </c>
      <c r="R2" s="13">
        <v>24972244</v>
      </c>
      <c r="S2" s="3">
        <f>SUM(E2:R2)</f>
        <v>246614292</v>
      </c>
      <c r="T2">
        <v>0</v>
      </c>
      <c r="U2" s="13">
        <v>35498033</v>
      </c>
      <c r="V2">
        <v>0</v>
      </c>
      <c r="W2">
        <v>0</v>
      </c>
      <c r="X2">
        <v>0</v>
      </c>
      <c r="Y2" s="13">
        <v>176430</v>
      </c>
      <c r="Z2">
        <v>0</v>
      </c>
      <c r="AA2">
        <v>0</v>
      </c>
      <c r="AB2">
        <v>0</v>
      </c>
      <c r="AC2">
        <v>0</v>
      </c>
      <c r="AD2" s="13">
        <v>246614292</v>
      </c>
      <c r="AE2" s="13">
        <f>+S2-AD2</f>
        <v>0</v>
      </c>
    </row>
    <row r="3" spans="1:31">
      <c r="C3" t="s">
        <v>32</v>
      </c>
      <c r="D3" t="s">
        <v>33</v>
      </c>
      <c r="E3" s="13">
        <v>5408771</v>
      </c>
      <c r="F3" s="13">
        <v>-17793331</v>
      </c>
      <c r="G3">
        <v>0</v>
      </c>
      <c r="H3" s="13">
        <v>-11944357</v>
      </c>
      <c r="I3" s="13">
        <f t="shared" ref="I3:I64" si="0">+T3+U3+V3+W3</f>
        <v>-22854624</v>
      </c>
      <c r="J3">
        <v>0</v>
      </c>
      <c r="K3" s="13">
        <v>-25211214</v>
      </c>
      <c r="L3" s="13">
        <v>-11190542</v>
      </c>
      <c r="M3">
        <v>0</v>
      </c>
      <c r="N3" s="13">
        <f t="shared" ref="N3:N64" si="1">+X3+Y3+Z3+AA3+AB3+AC3</f>
        <v>0</v>
      </c>
      <c r="O3" s="13">
        <v>-19343670</v>
      </c>
      <c r="P3" s="13">
        <v>-9135162</v>
      </c>
      <c r="Q3" s="13">
        <v>-9119820</v>
      </c>
      <c r="R3" s="13">
        <v>-13655123</v>
      </c>
      <c r="S3" s="3">
        <f t="shared" ref="S3:S63" si="2">SUM(E3:R3)</f>
        <v>-134839072</v>
      </c>
      <c r="T3">
        <v>0</v>
      </c>
      <c r="U3" s="1">
        <v>-22854624</v>
      </c>
      <c r="V3" s="11">
        <v>0</v>
      </c>
      <c r="W3" s="11">
        <v>0</v>
      </c>
      <c r="X3">
        <v>0</v>
      </c>
      <c r="Y3" s="11">
        <v>0</v>
      </c>
      <c r="Z3">
        <v>0</v>
      </c>
      <c r="AA3">
        <v>0</v>
      </c>
      <c r="AB3">
        <v>0</v>
      </c>
      <c r="AC3">
        <v>0</v>
      </c>
      <c r="AD3" s="1">
        <v>-134839072</v>
      </c>
      <c r="AE3" s="13">
        <f t="shared" ref="AE3:AE64" si="3">+S3-AD3</f>
        <v>0</v>
      </c>
    </row>
    <row r="4" spans="1:31">
      <c r="A4" s="11" t="b">
        <f t="shared" ref="A4:A37" si="4">EXACT(C4,B4)</f>
        <v>1</v>
      </c>
      <c r="B4" s="11" t="str">
        <f>+Hoja2!A1</f>
        <v>3.1.01.300</v>
      </c>
      <c r="C4" t="s">
        <v>29</v>
      </c>
      <c r="D4" t="s">
        <v>30</v>
      </c>
      <c r="E4">
        <v>0</v>
      </c>
      <c r="F4">
        <v>0</v>
      </c>
      <c r="G4">
        <v>0</v>
      </c>
      <c r="H4">
        <v>0</v>
      </c>
      <c r="I4" s="13">
        <f t="shared" si="0"/>
        <v>3751074</v>
      </c>
      <c r="J4">
        <v>0</v>
      </c>
      <c r="K4">
        <v>0</v>
      </c>
      <c r="L4">
        <v>0</v>
      </c>
      <c r="M4">
        <v>0</v>
      </c>
      <c r="N4" s="13">
        <f t="shared" si="1"/>
        <v>0</v>
      </c>
      <c r="O4">
        <v>0</v>
      </c>
      <c r="P4">
        <v>0</v>
      </c>
      <c r="Q4">
        <v>0</v>
      </c>
      <c r="R4">
        <v>0</v>
      </c>
      <c r="S4" s="3">
        <f t="shared" si="2"/>
        <v>3751074</v>
      </c>
      <c r="T4" s="13">
        <v>3751074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s="13">
        <v>3751074</v>
      </c>
      <c r="AE4" s="13">
        <f t="shared" si="3"/>
        <v>0</v>
      </c>
    </row>
    <row r="5" spans="1:31">
      <c r="A5" s="11" t="b">
        <f t="shared" si="4"/>
        <v>1</v>
      </c>
      <c r="B5" s="11" t="str">
        <f>+Hoja2!A2</f>
        <v>3.1.02.102</v>
      </c>
      <c r="C5" t="s">
        <v>143</v>
      </c>
      <c r="D5" t="s">
        <v>144</v>
      </c>
      <c r="E5" s="13">
        <v>-2164695</v>
      </c>
      <c r="F5" s="13">
        <v>21780</v>
      </c>
      <c r="G5">
        <v>0</v>
      </c>
      <c r="H5" s="13">
        <v>21780</v>
      </c>
      <c r="I5" s="13">
        <f t="shared" si="0"/>
        <v>150000</v>
      </c>
      <c r="J5">
        <v>0</v>
      </c>
      <c r="K5" s="13">
        <v>21780</v>
      </c>
      <c r="L5" s="13">
        <v>21780</v>
      </c>
      <c r="M5">
        <v>0</v>
      </c>
      <c r="N5" s="13">
        <f t="shared" si="1"/>
        <v>0</v>
      </c>
      <c r="O5" s="13">
        <v>21780</v>
      </c>
      <c r="P5" s="13">
        <v>21780</v>
      </c>
      <c r="Q5" s="13">
        <v>21780</v>
      </c>
      <c r="R5" s="13">
        <v>21780</v>
      </c>
      <c r="S5" s="3">
        <f t="shared" si="2"/>
        <v>-1840455</v>
      </c>
      <c r="T5">
        <v>0</v>
      </c>
      <c r="U5" s="13">
        <v>150000</v>
      </c>
      <c r="V5" s="11">
        <v>0</v>
      </c>
      <c r="W5" s="11">
        <v>0</v>
      </c>
      <c r="X5">
        <v>0</v>
      </c>
      <c r="Y5" s="11">
        <v>0</v>
      </c>
      <c r="Z5">
        <v>0</v>
      </c>
      <c r="AA5">
        <v>0</v>
      </c>
      <c r="AB5">
        <v>0</v>
      </c>
      <c r="AC5">
        <v>0</v>
      </c>
      <c r="AD5" s="1">
        <v>-1840455</v>
      </c>
      <c r="AE5" s="13">
        <f t="shared" si="3"/>
        <v>0</v>
      </c>
    </row>
    <row r="6" spans="1:31">
      <c r="A6" s="11" t="b">
        <f t="shared" si="4"/>
        <v>1</v>
      </c>
      <c r="B6" s="11" t="str">
        <f>+Hoja2!A3</f>
        <v>3.1.02.104</v>
      </c>
      <c r="C6" t="s">
        <v>34</v>
      </c>
      <c r="D6" t="s">
        <v>35</v>
      </c>
      <c r="E6">
        <v>0</v>
      </c>
      <c r="F6">
        <v>0</v>
      </c>
      <c r="G6">
        <v>0</v>
      </c>
      <c r="H6">
        <v>0</v>
      </c>
      <c r="I6" s="13">
        <f t="shared" si="0"/>
        <v>-3004368</v>
      </c>
      <c r="J6">
        <v>0</v>
      </c>
      <c r="K6" s="11">
        <v>0</v>
      </c>
      <c r="L6" s="11">
        <v>0</v>
      </c>
      <c r="M6">
        <v>0</v>
      </c>
      <c r="N6" s="13">
        <f t="shared" si="1"/>
        <v>304544</v>
      </c>
      <c r="O6" s="11">
        <v>0</v>
      </c>
      <c r="P6">
        <v>0</v>
      </c>
      <c r="Q6">
        <v>0</v>
      </c>
      <c r="R6">
        <v>0</v>
      </c>
      <c r="S6" s="3">
        <f t="shared" si="2"/>
        <v>-2699824</v>
      </c>
      <c r="T6">
        <v>0</v>
      </c>
      <c r="U6" s="13">
        <v>-2241874</v>
      </c>
      <c r="V6" s="13">
        <v>-539421</v>
      </c>
      <c r="W6" s="13">
        <v>-223073</v>
      </c>
      <c r="X6">
        <v>0</v>
      </c>
      <c r="Y6" s="13">
        <v>304544</v>
      </c>
      <c r="Z6">
        <v>0</v>
      </c>
      <c r="AA6">
        <v>0</v>
      </c>
      <c r="AB6">
        <v>0</v>
      </c>
      <c r="AC6">
        <v>0</v>
      </c>
      <c r="AD6" s="1">
        <v>-2699824</v>
      </c>
      <c r="AE6" s="13">
        <f t="shared" si="3"/>
        <v>0</v>
      </c>
    </row>
    <row r="7" spans="1:31">
      <c r="A7" s="11" t="b">
        <f t="shared" si="4"/>
        <v>1</v>
      </c>
      <c r="B7" s="11" t="str">
        <f>+Hoja2!A4</f>
        <v>3.1.02.105</v>
      </c>
      <c r="C7" t="s">
        <v>145</v>
      </c>
      <c r="D7" t="s">
        <v>146</v>
      </c>
      <c r="E7" s="11">
        <v>0</v>
      </c>
      <c r="F7" s="11">
        <v>0</v>
      </c>
      <c r="G7">
        <v>0</v>
      </c>
      <c r="H7" s="11">
        <v>0</v>
      </c>
      <c r="I7" s="13">
        <f t="shared" si="0"/>
        <v>2066127</v>
      </c>
      <c r="J7">
        <v>0</v>
      </c>
      <c r="K7" s="11">
        <v>0</v>
      </c>
      <c r="L7" s="11">
        <v>0</v>
      </c>
      <c r="M7">
        <v>0</v>
      </c>
      <c r="N7" s="13">
        <f t="shared" si="1"/>
        <v>-2866174</v>
      </c>
      <c r="O7" s="11">
        <v>0</v>
      </c>
      <c r="P7" s="11">
        <v>0</v>
      </c>
      <c r="Q7" s="11">
        <v>0</v>
      </c>
      <c r="R7" s="11">
        <v>0</v>
      </c>
      <c r="S7" s="3">
        <f t="shared" si="2"/>
        <v>-800047</v>
      </c>
      <c r="T7">
        <v>0</v>
      </c>
      <c r="U7" s="1">
        <v>2241874</v>
      </c>
      <c r="V7" s="11">
        <v>0</v>
      </c>
      <c r="W7" s="1">
        <v>-175747</v>
      </c>
      <c r="X7">
        <v>0</v>
      </c>
      <c r="Y7" s="11">
        <v>0</v>
      </c>
      <c r="Z7">
        <v>0</v>
      </c>
      <c r="AA7" s="13">
        <v>-2866174</v>
      </c>
      <c r="AB7">
        <v>0</v>
      </c>
      <c r="AC7">
        <v>0</v>
      </c>
      <c r="AD7" s="1">
        <v>-800047</v>
      </c>
      <c r="AE7" s="13">
        <f t="shared" si="3"/>
        <v>0</v>
      </c>
    </row>
    <row r="8" spans="1:31">
      <c r="A8" s="11" t="b">
        <f t="shared" si="4"/>
        <v>1</v>
      </c>
      <c r="B8" s="11" t="str">
        <f>+Hoja2!A5</f>
        <v>3.1.02.108</v>
      </c>
      <c r="C8" t="s">
        <v>36</v>
      </c>
      <c r="D8" t="s">
        <v>37</v>
      </c>
      <c r="E8" s="11">
        <v>0</v>
      </c>
      <c r="F8" s="11">
        <v>0</v>
      </c>
      <c r="G8" s="11">
        <v>0</v>
      </c>
      <c r="H8" s="11">
        <v>0</v>
      </c>
      <c r="I8" s="13">
        <f t="shared" si="0"/>
        <v>-129245</v>
      </c>
      <c r="J8" s="11">
        <v>0</v>
      </c>
      <c r="K8" s="11">
        <v>0</v>
      </c>
      <c r="L8" s="11">
        <v>0</v>
      </c>
      <c r="M8" s="11">
        <v>0</v>
      </c>
      <c r="N8" s="13">
        <f t="shared" si="1"/>
        <v>-1846777</v>
      </c>
      <c r="O8" s="11">
        <v>0</v>
      </c>
      <c r="P8" s="11">
        <v>0</v>
      </c>
      <c r="Q8" s="11">
        <v>0</v>
      </c>
      <c r="R8" s="11">
        <v>0</v>
      </c>
      <c r="S8" s="3">
        <f t="shared" si="2"/>
        <v>-1976022</v>
      </c>
      <c r="T8" s="11">
        <v>0</v>
      </c>
      <c r="U8" s="11">
        <v>0</v>
      </c>
      <c r="V8" s="13">
        <v>-15497</v>
      </c>
      <c r="W8" s="13">
        <v>-113748</v>
      </c>
      <c r="X8" s="11">
        <v>0</v>
      </c>
      <c r="Y8" s="13">
        <v>-1846777</v>
      </c>
      <c r="Z8" s="11">
        <v>0</v>
      </c>
      <c r="AA8" s="11">
        <v>0</v>
      </c>
      <c r="AB8" s="11">
        <v>0</v>
      </c>
      <c r="AC8" s="11">
        <v>0</v>
      </c>
      <c r="AD8" s="13">
        <v>-1976022</v>
      </c>
      <c r="AE8" s="13">
        <f t="shared" si="3"/>
        <v>0</v>
      </c>
    </row>
    <row r="9" spans="1:31">
      <c r="A9" s="11" t="b">
        <f t="shared" si="4"/>
        <v>1</v>
      </c>
      <c r="B9" s="11" t="str">
        <f>+Hoja2!A6</f>
        <v>3.1.02.109</v>
      </c>
      <c r="C9" t="s">
        <v>38</v>
      </c>
      <c r="D9" t="s">
        <v>28</v>
      </c>
      <c r="E9" s="11">
        <v>0</v>
      </c>
      <c r="F9" s="11">
        <v>0</v>
      </c>
      <c r="G9">
        <v>0</v>
      </c>
      <c r="H9" s="11">
        <v>0</v>
      </c>
      <c r="I9" s="13">
        <f t="shared" si="0"/>
        <v>0</v>
      </c>
      <c r="J9">
        <v>0</v>
      </c>
      <c r="K9" s="11">
        <v>0</v>
      </c>
      <c r="L9" s="11">
        <v>0</v>
      </c>
      <c r="M9">
        <v>0</v>
      </c>
      <c r="N9" s="13">
        <f t="shared" si="1"/>
        <v>0</v>
      </c>
      <c r="O9" s="1">
        <v>-44990</v>
      </c>
      <c r="P9" s="11">
        <v>0</v>
      </c>
      <c r="Q9" s="11">
        <v>0</v>
      </c>
      <c r="R9" s="11">
        <v>0</v>
      </c>
      <c r="S9" s="3">
        <f t="shared" si="2"/>
        <v>-44990</v>
      </c>
      <c r="T9" s="11">
        <v>0</v>
      </c>
      <c r="U9" s="11">
        <v>0</v>
      </c>
      <c r="V9" s="11">
        <v>0</v>
      </c>
      <c r="W9" s="11">
        <v>0</v>
      </c>
      <c r="X9">
        <v>0</v>
      </c>
      <c r="Y9" s="11">
        <v>0</v>
      </c>
      <c r="Z9">
        <v>0</v>
      </c>
      <c r="AA9">
        <v>0</v>
      </c>
      <c r="AB9">
        <v>0</v>
      </c>
      <c r="AC9">
        <v>0</v>
      </c>
      <c r="AD9" s="1">
        <v>-44990</v>
      </c>
      <c r="AE9" s="13">
        <f t="shared" si="3"/>
        <v>0</v>
      </c>
    </row>
    <row r="10" spans="1:31">
      <c r="A10" s="11" t="b">
        <f t="shared" si="4"/>
        <v>1</v>
      </c>
      <c r="B10" s="11" t="str">
        <f>+Hoja2!A7</f>
        <v>3.1.02.110</v>
      </c>
      <c r="C10" t="s">
        <v>39</v>
      </c>
      <c r="D10" t="s">
        <v>40</v>
      </c>
      <c r="E10">
        <v>0</v>
      </c>
      <c r="F10">
        <v>0</v>
      </c>
      <c r="G10">
        <v>0</v>
      </c>
      <c r="H10">
        <v>0</v>
      </c>
      <c r="I10" s="13">
        <f t="shared" si="0"/>
        <v>0</v>
      </c>
      <c r="J10">
        <v>0</v>
      </c>
      <c r="K10" s="13">
        <v>-14372</v>
      </c>
      <c r="L10" s="13">
        <v>-27334</v>
      </c>
      <c r="M10">
        <v>0</v>
      </c>
      <c r="N10" s="13">
        <f t="shared" si="1"/>
        <v>0</v>
      </c>
      <c r="O10" s="13">
        <v>-4801</v>
      </c>
      <c r="P10">
        <v>0</v>
      </c>
      <c r="Q10">
        <v>0</v>
      </c>
      <c r="R10">
        <v>0</v>
      </c>
      <c r="S10" s="3">
        <f t="shared" si="2"/>
        <v>-46507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13">
        <v>-46507</v>
      </c>
      <c r="AE10" s="13">
        <f t="shared" si="3"/>
        <v>0</v>
      </c>
    </row>
    <row r="11" spans="1:31">
      <c r="A11" s="11" t="b">
        <f t="shared" si="4"/>
        <v>1</v>
      </c>
      <c r="B11" s="11" t="str">
        <f>+Hoja2!A8</f>
        <v>3.1.05.101</v>
      </c>
      <c r="C11" t="s">
        <v>44</v>
      </c>
      <c r="D11" t="s">
        <v>45</v>
      </c>
      <c r="E11">
        <v>0</v>
      </c>
      <c r="F11" s="13">
        <v>-5471370</v>
      </c>
      <c r="G11">
        <v>0</v>
      </c>
      <c r="H11" s="13">
        <v>-5105142</v>
      </c>
      <c r="I11" s="13">
        <f t="shared" si="0"/>
        <v>-3360231</v>
      </c>
      <c r="J11" s="13">
        <v>-589781</v>
      </c>
      <c r="K11" s="13">
        <v>-6163578</v>
      </c>
      <c r="L11" s="13">
        <v>-4432782</v>
      </c>
      <c r="M11">
        <v>0</v>
      </c>
      <c r="N11" s="13">
        <f t="shared" si="1"/>
        <v>-1429576</v>
      </c>
      <c r="O11" s="13">
        <v>-5819291</v>
      </c>
      <c r="P11" s="13">
        <v>-3991543</v>
      </c>
      <c r="Q11" s="13">
        <v>-4129167</v>
      </c>
      <c r="R11" s="13">
        <v>-4624690</v>
      </c>
      <c r="S11" s="3">
        <f t="shared" si="2"/>
        <v>-45117151</v>
      </c>
      <c r="T11">
        <v>0</v>
      </c>
      <c r="U11" s="13">
        <v>-3360231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13">
        <v>-1429576</v>
      </c>
      <c r="AC11">
        <v>0</v>
      </c>
      <c r="AD11" s="13">
        <v>-45117151</v>
      </c>
      <c r="AE11" s="13">
        <f t="shared" si="3"/>
        <v>0</v>
      </c>
    </row>
    <row r="12" spans="1:31">
      <c r="A12" s="11" t="b">
        <f t="shared" si="4"/>
        <v>1</v>
      </c>
      <c r="B12" s="11" t="str">
        <f>+Hoja2!A9</f>
        <v>3.1.05.102</v>
      </c>
      <c r="C12" t="s">
        <v>46</v>
      </c>
      <c r="D12" t="s">
        <v>47</v>
      </c>
      <c r="E12">
        <v>0</v>
      </c>
      <c r="F12" s="1">
        <v>-273846</v>
      </c>
      <c r="G12">
        <v>0</v>
      </c>
      <c r="H12" s="1">
        <v>-183785</v>
      </c>
      <c r="I12" s="13">
        <f t="shared" si="0"/>
        <v>-127312</v>
      </c>
      <c r="J12" s="11">
        <v>0</v>
      </c>
      <c r="K12" s="1">
        <v>-295071</v>
      </c>
      <c r="L12" s="1">
        <v>-167527</v>
      </c>
      <c r="M12">
        <v>0</v>
      </c>
      <c r="N12" s="13">
        <f t="shared" si="1"/>
        <v>0</v>
      </c>
      <c r="O12" s="1">
        <v>-668574</v>
      </c>
      <c r="P12" s="1">
        <v>-17293</v>
      </c>
      <c r="Q12" s="1">
        <v>805918</v>
      </c>
      <c r="R12" s="1">
        <v>-803000</v>
      </c>
      <c r="S12" s="3">
        <f t="shared" si="2"/>
        <v>-1730490</v>
      </c>
      <c r="T12">
        <v>0</v>
      </c>
      <c r="U12" s="1">
        <v>-127312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11">
        <v>0</v>
      </c>
      <c r="AC12">
        <v>0</v>
      </c>
      <c r="AD12" s="1">
        <v>-1730490</v>
      </c>
      <c r="AE12" s="13">
        <f t="shared" si="3"/>
        <v>0</v>
      </c>
    </row>
    <row r="13" spans="1:31">
      <c r="A13" s="11" t="b">
        <f t="shared" si="4"/>
        <v>1</v>
      </c>
      <c r="B13" s="11" t="str">
        <f>+Hoja2!A10</f>
        <v>3.1.05.103</v>
      </c>
      <c r="C13" t="s">
        <v>48</v>
      </c>
      <c r="D13" t="s">
        <v>49</v>
      </c>
      <c r="E13">
        <v>0</v>
      </c>
      <c r="F13" s="1">
        <v>-190943</v>
      </c>
      <c r="G13">
        <v>0</v>
      </c>
      <c r="H13" s="1">
        <v>-203449</v>
      </c>
      <c r="I13" s="13">
        <f t="shared" si="0"/>
        <v>-92175</v>
      </c>
      <c r="J13" s="13">
        <v>-44143</v>
      </c>
      <c r="K13" s="1">
        <v>-226386</v>
      </c>
      <c r="L13" s="1">
        <v>-163670</v>
      </c>
      <c r="M13">
        <v>0</v>
      </c>
      <c r="N13" s="13">
        <f t="shared" si="1"/>
        <v>-34952</v>
      </c>
      <c r="O13" s="1">
        <v>-219642</v>
      </c>
      <c r="P13" s="1">
        <v>-149355</v>
      </c>
      <c r="Q13" s="1">
        <v>-149071</v>
      </c>
      <c r="R13" s="1">
        <v>-181297</v>
      </c>
      <c r="S13" s="3">
        <f t="shared" si="2"/>
        <v>-1655083</v>
      </c>
      <c r="T13">
        <v>0</v>
      </c>
      <c r="U13" s="1">
        <v>-92175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3">
        <v>-34952</v>
      </c>
      <c r="AC13">
        <v>0</v>
      </c>
      <c r="AD13" s="1">
        <v>-1655083</v>
      </c>
      <c r="AE13" s="13">
        <f t="shared" si="3"/>
        <v>0</v>
      </c>
    </row>
    <row r="14" spans="1:31">
      <c r="A14" s="11" t="b">
        <f t="shared" si="4"/>
        <v>1</v>
      </c>
      <c r="B14" s="11" t="str">
        <f>+Hoja2!A11</f>
        <v>3.1.05.104</v>
      </c>
      <c r="C14" t="s">
        <v>50</v>
      </c>
      <c r="D14" t="s">
        <v>51</v>
      </c>
      <c r="E14">
        <v>0</v>
      </c>
      <c r="F14" s="1">
        <v>-1260847</v>
      </c>
      <c r="G14">
        <v>0</v>
      </c>
      <c r="H14" s="1">
        <v>-1345486</v>
      </c>
      <c r="I14" s="13">
        <f t="shared" si="0"/>
        <v>-460102</v>
      </c>
      <c r="J14" s="1">
        <v>-215308</v>
      </c>
      <c r="K14" s="1">
        <v>-1419780</v>
      </c>
      <c r="L14" s="1">
        <v>-1136975</v>
      </c>
      <c r="M14">
        <v>0</v>
      </c>
      <c r="N14" s="13">
        <f t="shared" si="1"/>
        <v>-147415</v>
      </c>
      <c r="O14" s="1">
        <v>-1338001</v>
      </c>
      <c r="P14" s="1">
        <v>-1000642</v>
      </c>
      <c r="Q14" s="1">
        <v>-1039174</v>
      </c>
      <c r="R14" s="1">
        <v>-1220422</v>
      </c>
      <c r="S14" s="3">
        <f t="shared" si="2"/>
        <v>-10584152</v>
      </c>
      <c r="T14">
        <v>0</v>
      </c>
      <c r="U14" s="1">
        <v>-460102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">
        <v>-147415</v>
      </c>
      <c r="AC14">
        <v>0</v>
      </c>
      <c r="AD14" s="1">
        <v>-10584152</v>
      </c>
      <c r="AE14" s="13">
        <f t="shared" si="3"/>
        <v>0</v>
      </c>
    </row>
    <row r="15" spans="1:31">
      <c r="A15" s="11" t="b">
        <f t="shared" si="4"/>
        <v>1</v>
      </c>
      <c r="B15" s="11" t="str">
        <f>+Hoja2!A12</f>
        <v>3.1.05.107</v>
      </c>
      <c r="C15" t="s">
        <v>52</v>
      </c>
      <c r="D15" t="s">
        <v>53</v>
      </c>
      <c r="E15">
        <v>0</v>
      </c>
      <c r="F15">
        <v>0</v>
      </c>
      <c r="G15">
        <v>0</v>
      </c>
      <c r="H15">
        <v>0</v>
      </c>
      <c r="I15" s="13">
        <f t="shared" si="0"/>
        <v>0</v>
      </c>
      <c r="J15" s="13">
        <v>-4000</v>
      </c>
      <c r="K15">
        <v>0</v>
      </c>
      <c r="L15">
        <v>0</v>
      </c>
      <c r="M15">
        <v>0</v>
      </c>
      <c r="N15" s="13">
        <f t="shared" si="1"/>
        <v>0</v>
      </c>
      <c r="O15">
        <v>0</v>
      </c>
      <c r="P15">
        <v>0</v>
      </c>
      <c r="Q15">
        <v>0</v>
      </c>
      <c r="R15">
        <v>0</v>
      </c>
      <c r="S15" s="3">
        <f t="shared" si="2"/>
        <v>-4000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13">
        <v>-4000</v>
      </c>
      <c r="AE15" s="13">
        <f t="shared" si="3"/>
        <v>0</v>
      </c>
    </row>
    <row r="16" spans="1:31">
      <c r="A16" s="11" t="b">
        <f t="shared" si="4"/>
        <v>1</v>
      </c>
      <c r="B16" s="11" t="str">
        <f>+Hoja2!A13</f>
        <v>3.1.05.110</v>
      </c>
      <c r="C16" t="s">
        <v>54</v>
      </c>
      <c r="D16" t="s">
        <v>55</v>
      </c>
      <c r="E16">
        <v>0</v>
      </c>
      <c r="F16" s="13">
        <v>-71936</v>
      </c>
      <c r="G16">
        <v>0</v>
      </c>
      <c r="H16" s="13">
        <v>-73997</v>
      </c>
      <c r="I16" s="13">
        <f t="shared" si="0"/>
        <v>-34371</v>
      </c>
      <c r="J16" s="1">
        <v>-11124</v>
      </c>
      <c r="K16" s="13">
        <v>-84795</v>
      </c>
      <c r="L16" s="13">
        <v>-58447</v>
      </c>
      <c r="M16">
        <v>0</v>
      </c>
      <c r="N16" s="13">
        <f t="shared" si="1"/>
        <v>-12025</v>
      </c>
      <c r="O16" s="13">
        <v>-82866</v>
      </c>
      <c r="P16" s="13">
        <v>-51899</v>
      </c>
      <c r="Q16" s="13">
        <v>-52421</v>
      </c>
      <c r="R16" s="13">
        <v>-66273</v>
      </c>
      <c r="S16" s="3">
        <f t="shared" si="2"/>
        <v>-600154</v>
      </c>
      <c r="T16">
        <v>0</v>
      </c>
      <c r="U16" s="13">
        <v>-34371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3">
        <v>-12025</v>
      </c>
      <c r="AC16">
        <v>0</v>
      </c>
      <c r="AD16" s="1">
        <v>-600154</v>
      </c>
      <c r="AE16" s="13">
        <f t="shared" si="3"/>
        <v>0</v>
      </c>
    </row>
    <row r="17" spans="1:31">
      <c r="A17" s="11" t="b">
        <f t="shared" si="4"/>
        <v>1</v>
      </c>
      <c r="B17" s="11" t="str">
        <f>+Hoja2!A14</f>
        <v>3.1.05.111</v>
      </c>
      <c r="C17" t="s">
        <v>56</v>
      </c>
      <c r="D17" t="s">
        <v>57</v>
      </c>
      <c r="E17">
        <v>0</v>
      </c>
      <c r="F17" s="1">
        <v>-119119</v>
      </c>
      <c r="G17">
        <v>0</v>
      </c>
      <c r="H17" s="1">
        <v>-124090</v>
      </c>
      <c r="I17" s="13">
        <f t="shared" si="0"/>
        <v>-56916</v>
      </c>
      <c r="J17" s="1">
        <v>-28325</v>
      </c>
      <c r="K17" s="1">
        <v>-140414</v>
      </c>
      <c r="L17" s="1">
        <v>-100092</v>
      </c>
      <c r="M17">
        <v>0</v>
      </c>
      <c r="N17" s="13">
        <f t="shared" si="1"/>
        <v>-19912</v>
      </c>
      <c r="O17" s="1">
        <v>-137221</v>
      </c>
      <c r="P17" s="1">
        <v>-89846</v>
      </c>
      <c r="Q17" s="1">
        <v>-86806</v>
      </c>
      <c r="R17" s="1">
        <v>-109740</v>
      </c>
      <c r="S17" s="3">
        <f t="shared" si="2"/>
        <v>-1012481</v>
      </c>
      <c r="T17">
        <v>0</v>
      </c>
      <c r="U17" s="1">
        <v>-56916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">
        <v>-19912</v>
      </c>
      <c r="AC17">
        <v>0</v>
      </c>
      <c r="AD17" s="1">
        <v>-1012481</v>
      </c>
      <c r="AE17" s="13">
        <f t="shared" si="3"/>
        <v>0</v>
      </c>
    </row>
    <row r="18" spans="1:31">
      <c r="A18" s="11" t="b">
        <f t="shared" si="4"/>
        <v>1</v>
      </c>
      <c r="B18" s="11" t="str">
        <f>+Hoja2!A15</f>
        <v>3.1.05.112</v>
      </c>
      <c r="C18" t="s">
        <v>58</v>
      </c>
      <c r="D18" t="s">
        <v>59</v>
      </c>
      <c r="E18">
        <v>0</v>
      </c>
      <c r="F18" s="1">
        <v>-7736</v>
      </c>
      <c r="G18">
        <v>0</v>
      </c>
      <c r="H18" s="1">
        <v>-7952</v>
      </c>
      <c r="I18" s="13">
        <f t="shared" si="0"/>
        <v>-3696</v>
      </c>
      <c r="J18" s="1">
        <v>-1175</v>
      </c>
      <c r="K18" s="1">
        <v>-9119</v>
      </c>
      <c r="L18" s="1">
        <v>-6279</v>
      </c>
      <c r="M18">
        <v>0</v>
      </c>
      <c r="N18" s="13">
        <f t="shared" si="1"/>
        <v>-1293</v>
      </c>
      <c r="O18" s="1">
        <v>-8910</v>
      </c>
      <c r="P18" s="1">
        <v>-5572</v>
      </c>
      <c r="Q18" s="1">
        <v>-5637</v>
      </c>
      <c r="R18" s="1">
        <v>-7126</v>
      </c>
      <c r="S18" s="3">
        <f t="shared" si="2"/>
        <v>-64495</v>
      </c>
      <c r="T18">
        <v>0</v>
      </c>
      <c r="U18" s="1">
        <v>-3696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1">
        <v>-1293</v>
      </c>
      <c r="AC18">
        <v>0</v>
      </c>
      <c r="AD18" s="1">
        <v>-64495</v>
      </c>
      <c r="AE18" s="13">
        <f t="shared" si="3"/>
        <v>0</v>
      </c>
    </row>
    <row r="19" spans="1:31">
      <c r="A19" s="11" t="b">
        <f t="shared" si="4"/>
        <v>1</v>
      </c>
      <c r="B19" s="11" t="str">
        <f>+Hoja2!A16</f>
        <v>3.1.05.113</v>
      </c>
      <c r="C19" t="s">
        <v>60</v>
      </c>
      <c r="D19" t="s">
        <v>61</v>
      </c>
      <c r="E19">
        <v>0</v>
      </c>
      <c r="F19" s="1">
        <v>-69616</v>
      </c>
      <c r="G19">
        <v>0</v>
      </c>
      <c r="H19" s="1">
        <v>-72523</v>
      </c>
      <c r="I19" s="13">
        <f t="shared" si="0"/>
        <v>-33262</v>
      </c>
      <c r="J19" s="1">
        <v>-16554</v>
      </c>
      <c r="K19" s="1">
        <v>-82059</v>
      </c>
      <c r="L19" s="1">
        <v>-58497</v>
      </c>
      <c r="M19">
        <v>0</v>
      </c>
      <c r="N19" s="13">
        <f t="shared" si="1"/>
        <v>-11637</v>
      </c>
      <c r="O19" s="1">
        <v>-80194</v>
      </c>
      <c r="P19" s="1">
        <v>-52509</v>
      </c>
      <c r="Q19" s="1">
        <v>-50733</v>
      </c>
      <c r="R19" s="1">
        <v>-64134</v>
      </c>
      <c r="S19" s="3">
        <f t="shared" si="2"/>
        <v>-591718</v>
      </c>
      <c r="T19">
        <v>0</v>
      </c>
      <c r="U19" s="1">
        <v>-33262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">
        <v>-11637</v>
      </c>
      <c r="AC19">
        <v>0</v>
      </c>
      <c r="AD19" s="1">
        <v>-591718</v>
      </c>
      <c r="AE19" s="13">
        <f t="shared" si="3"/>
        <v>0</v>
      </c>
    </row>
    <row r="20" spans="1:31">
      <c r="A20" s="11" t="b">
        <f t="shared" si="4"/>
        <v>1</v>
      </c>
      <c r="B20" s="11" t="str">
        <f>+Hoja2!A17</f>
        <v>3.1.05.114</v>
      </c>
      <c r="C20" t="s">
        <v>62</v>
      </c>
      <c r="D20" t="s">
        <v>63</v>
      </c>
      <c r="E20">
        <v>0</v>
      </c>
      <c r="F20" s="11">
        <v>0</v>
      </c>
      <c r="G20">
        <v>0</v>
      </c>
      <c r="H20" s="11">
        <v>0</v>
      </c>
      <c r="I20" s="13">
        <f t="shared" si="0"/>
        <v>0</v>
      </c>
      <c r="J20" s="11">
        <v>0</v>
      </c>
      <c r="K20" s="11">
        <v>0</v>
      </c>
      <c r="L20" s="11">
        <v>0</v>
      </c>
      <c r="M20">
        <v>0</v>
      </c>
      <c r="N20" s="13">
        <f t="shared" si="1"/>
        <v>0</v>
      </c>
      <c r="O20" s="11">
        <v>0</v>
      </c>
      <c r="P20" s="11">
        <v>0</v>
      </c>
      <c r="Q20" s="11">
        <v>0</v>
      </c>
      <c r="R20" s="11">
        <v>0</v>
      </c>
      <c r="S20" s="3">
        <f t="shared" si="2"/>
        <v>0</v>
      </c>
      <c r="T20">
        <v>0</v>
      </c>
      <c r="U20" s="11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11">
        <v>0</v>
      </c>
      <c r="AC20">
        <v>0</v>
      </c>
      <c r="AD20" s="11">
        <v>0</v>
      </c>
      <c r="AE20" s="13">
        <f t="shared" si="3"/>
        <v>0</v>
      </c>
    </row>
    <row r="21" spans="1:31">
      <c r="A21" s="11" t="b">
        <f t="shared" si="4"/>
        <v>1</v>
      </c>
      <c r="B21" s="11" t="str">
        <f>+Hoja2!A18</f>
        <v>3.1.05.117</v>
      </c>
      <c r="C21" t="s">
        <v>64</v>
      </c>
      <c r="D21" t="s">
        <v>65</v>
      </c>
      <c r="E21">
        <v>0</v>
      </c>
      <c r="F21" s="13">
        <v>-54023</v>
      </c>
      <c r="G21">
        <v>0</v>
      </c>
      <c r="H21" s="13">
        <v>-246963</v>
      </c>
      <c r="I21" s="13">
        <f t="shared" si="0"/>
        <v>0</v>
      </c>
      <c r="J21" s="13">
        <v>-7718</v>
      </c>
      <c r="K21" s="13">
        <v>-138917</v>
      </c>
      <c r="L21" s="13">
        <v>-77176</v>
      </c>
      <c r="M21">
        <v>0</v>
      </c>
      <c r="N21" s="13">
        <f t="shared" si="1"/>
        <v>0</v>
      </c>
      <c r="O21">
        <v>0</v>
      </c>
      <c r="P21" s="13">
        <v>-84893</v>
      </c>
      <c r="Q21" s="13">
        <v>-100328</v>
      </c>
      <c r="R21" s="13">
        <v>-46306</v>
      </c>
      <c r="S21" s="3">
        <f t="shared" si="2"/>
        <v>-756324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13">
        <v>-756324</v>
      </c>
      <c r="AE21" s="13">
        <f t="shared" si="3"/>
        <v>0</v>
      </c>
    </row>
    <row r="22" spans="1:31">
      <c r="A22" s="11" t="b">
        <f t="shared" si="4"/>
        <v>1</v>
      </c>
      <c r="B22" s="11" t="str">
        <f>+Hoja2!A19</f>
        <v>3.1.05.121</v>
      </c>
      <c r="C22" t="s">
        <v>66</v>
      </c>
      <c r="D22" t="s">
        <v>67</v>
      </c>
      <c r="E22">
        <v>0</v>
      </c>
      <c r="F22" s="13">
        <v>-180943</v>
      </c>
      <c r="G22">
        <v>0</v>
      </c>
      <c r="H22" s="13">
        <v>-133838</v>
      </c>
      <c r="I22" s="13">
        <f t="shared" si="0"/>
        <v>0</v>
      </c>
      <c r="J22" s="13">
        <v>-51590</v>
      </c>
      <c r="K22" s="13">
        <v>-299778</v>
      </c>
      <c r="L22" s="13">
        <v>-135476</v>
      </c>
      <c r="M22">
        <v>0</v>
      </c>
      <c r="N22" s="13">
        <f t="shared" si="1"/>
        <v>0</v>
      </c>
      <c r="O22" s="13">
        <v>-289276</v>
      </c>
      <c r="P22" s="13">
        <v>-129339</v>
      </c>
      <c r="Q22" s="13">
        <v>-90282</v>
      </c>
      <c r="R22" s="13">
        <v>-137030</v>
      </c>
      <c r="S22" s="3">
        <f t="shared" si="2"/>
        <v>-1447552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13">
        <v>-1447552</v>
      </c>
      <c r="AE22" s="13">
        <f t="shared" si="3"/>
        <v>0</v>
      </c>
    </row>
    <row r="23" spans="1:31">
      <c r="A23" s="11" t="b">
        <f t="shared" si="4"/>
        <v>1</v>
      </c>
      <c r="B23" s="11" t="str">
        <f>+Hoja2!A20</f>
        <v>3.1.05.122</v>
      </c>
      <c r="C23" t="s">
        <v>68</v>
      </c>
      <c r="D23" t="s">
        <v>69</v>
      </c>
      <c r="E23">
        <v>0</v>
      </c>
      <c r="F23" s="1">
        <v>-878119</v>
      </c>
      <c r="G23">
        <v>0</v>
      </c>
      <c r="H23" s="1">
        <v>-573217</v>
      </c>
      <c r="I23" s="13">
        <f t="shared" si="0"/>
        <v>0</v>
      </c>
      <c r="J23" s="1">
        <v>-262921</v>
      </c>
      <c r="K23" s="1">
        <v>-1348315</v>
      </c>
      <c r="L23" s="1">
        <v>-606114</v>
      </c>
      <c r="M23">
        <v>0</v>
      </c>
      <c r="N23" s="13">
        <f t="shared" si="1"/>
        <v>0</v>
      </c>
      <c r="O23" s="1">
        <v>-1214957</v>
      </c>
      <c r="P23" s="1">
        <v>-549390</v>
      </c>
      <c r="Q23" s="1">
        <v>-419677</v>
      </c>
      <c r="R23" s="1">
        <v>-592611</v>
      </c>
      <c r="S23" s="3">
        <f t="shared" si="2"/>
        <v>-6445321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1">
        <v>-6445321</v>
      </c>
      <c r="AE23" s="13">
        <f t="shared" si="3"/>
        <v>0</v>
      </c>
    </row>
    <row r="24" spans="1:31">
      <c r="A24" s="11" t="b">
        <f t="shared" si="4"/>
        <v>1</v>
      </c>
      <c r="B24" s="11" t="str">
        <f>+Hoja2!A21</f>
        <v>3.1.06.108</v>
      </c>
      <c r="C24" t="s">
        <v>70</v>
      </c>
      <c r="D24" t="s">
        <v>71</v>
      </c>
      <c r="E24">
        <v>0</v>
      </c>
      <c r="F24" s="13">
        <v>-320101</v>
      </c>
      <c r="G24">
        <v>0</v>
      </c>
      <c r="H24" s="13">
        <v>-252135</v>
      </c>
      <c r="I24" s="13">
        <f t="shared" si="0"/>
        <v>-107297</v>
      </c>
      <c r="J24" s="13">
        <v>-50000</v>
      </c>
      <c r="K24" s="13">
        <v>-337155</v>
      </c>
      <c r="L24" s="13">
        <v>-227921</v>
      </c>
      <c r="M24">
        <v>0</v>
      </c>
      <c r="N24" s="13">
        <f t="shared" si="1"/>
        <v>-69560</v>
      </c>
      <c r="O24" s="13">
        <v>-322795</v>
      </c>
      <c r="P24" s="13">
        <v>-199224</v>
      </c>
      <c r="Q24" s="13">
        <v>-202307</v>
      </c>
      <c r="R24" s="13">
        <v>-238005</v>
      </c>
      <c r="S24" s="3">
        <f t="shared" si="2"/>
        <v>-2326500</v>
      </c>
      <c r="T24">
        <v>0</v>
      </c>
      <c r="U24" s="13">
        <v>-107297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3">
        <v>-69560</v>
      </c>
      <c r="AC24">
        <v>0</v>
      </c>
      <c r="AD24" s="13">
        <v>-2326500</v>
      </c>
      <c r="AE24" s="13">
        <f t="shared" si="3"/>
        <v>0</v>
      </c>
    </row>
    <row r="25" spans="1:31">
      <c r="A25" s="11" t="b">
        <f t="shared" si="4"/>
        <v>1</v>
      </c>
      <c r="B25" s="11" t="str">
        <f>+Hoja2!A22</f>
        <v>3.1.06.109</v>
      </c>
      <c r="C25" t="s">
        <v>72</v>
      </c>
      <c r="D25" t="s">
        <v>73</v>
      </c>
      <c r="E25">
        <v>0</v>
      </c>
      <c r="F25" s="1">
        <v>-320101</v>
      </c>
      <c r="G25">
        <v>0</v>
      </c>
      <c r="H25" s="1">
        <v>-252135</v>
      </c>
      <c r="I25" s="13">
        <f t="shared" si="0"/>
        <v>-107297</v>
      </c>
      <c r="J25" s="1">
        <v>-50000</v>
      </c>
      <c r="K25" s="1">
        <v>-337155</v>
      </c>
      <c r="L25" s="1">
        <v>-227921</v>
      </c>
      <c r="M25">
        <v>0</v>
      </c>
      <c r="N25" s="13">
        <f t="shared" si="1"/>
        <v>-69560</v>
      </c>
      <c r="O25" s="1">
        <v>-322795</v>
      </c>
      <c r="P25" s="1">
        <v>-199224</v>
      </c>
      <c r="Q25" s="1">
        <v>-202307</v>
      </c>
      <c r="R25" s="1">
        <v>-238005</v>
      </c>
      <c r="S25" s="3">
        <f t="shared" si="2"/>
        <v>-2326500</v>
      </c>
      <c r="T25">
        <v>0</v>
      </c>
      <c r="U25" s="1">
        <v>-107297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">
        <v>-69560</v>
      </c>
      <c r="AC25">
        <v>0</v>
      </c>
      <c r="AD25" s="1">
        <v>-2326500</v>
      </c>
      <c r="AE25" s="13">
        <f t="shared" si="3"/>
        <v>0</v>
      </c>
    </row>
    <row r="26" spans="1:31">
      <c r="A26" s="11" t="b">
        <f t="shared" si="4"/>
        <v>1</v>
      </c>
      <c r="B26" s="11" t="str">
        <f>+Hoja2!A23</f>
        <v>3.1.06.116</v>
      </c>
      <c r="C26" t="s">
        <v>74</v>
      </c>
      <c r="D26" t="s">
        <v>75</v>
      </c>
      <c r="E26">
        <v>0</v>
      </c>
      <c r="F26" s="13">
        <v>-29875</v>
      </c>
      <c r="G26">
        <v>0</v>
      </c>
      <c r="H26" s="13">
        <v>96155</v>
      </c>
      <c r="I26" s="13">
        <f t="shared" si="0"/>
        <v>0</v>
      </c>
      <c r="J26" s="13">
        <v>139930</v>
      </c>
      <c r="K26" s="13">
        <v>312025</v>
      </c>
      <c r="L26" s="13">
        <v>-29875</v>
      </c>
      <c r="M26">
        <v>0</v>
      </c>
      <c r="N26" s="13">
        <f t="shared" si="1"/>
        <v>0</v>
      </c>
      <c r="O26" s="13">
        <v>-29875</v>
      </c>
      <c r="P26" s="13">
        <v>153295</v>
      </c>
      <c r="Q26" s="13">
        <v>214574</v>
      </c>
      <c r="R26" s="13">
        <v>312035</v>
      </c>
      <c r="S26" s="3">
        <f t="shared" si="2"/>
        <v>1138389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s="13">
        <v>1138389</v>
      </c>
      <c r="AE26" s="13">
        <f t="shared" si="3"/>
        <v>0</v>
      </c>
    </row>
    <row r="27" spans="1:31">
      <c r="A27" s="11" t="b">
        <f t="shared" si="4"/>
        <v>1</v>
      </c>
      <c r="B27" s="11" t="str">
        <f>+Hoja2!A24</f>
        <v>3.1.06.201</v>
      </c>
      <c r="C27" t="s">
        <v>76</v>
      </c>
      <c r="D27" t="s">
        <v>77</v>
      </c>
      <c r="E27">
        <v>0</v>
      </c>
      <c r="F27" s="13">
        <v>-62500</v>
      </c>
      <c r="G27">
        <v>0</v>
      </c>
      <c r="H27" s="13">
        <v>-62500</v>
      </c>
      <c r="I27" s="13">
        <f t="shared" si="0"/>
        <v>0</v>
      </c>
      <c r="J27" s="13">
        <v>-5000</v>
      </c>
      <c r="K27" s="13">
        <v>-62500</v>
      </c>
      <c r="L27" s="13">
        <v>-62500</v>
      </c>
      <c r="M27">
        <v>0</v>
      </c>
      <c r="N27" s="13">
        <f t="shared" si="1"/>
        <v>0</v>
      </c>
      <c r="O27" s="13">
        <v>-62500</v>
      </c>
      <c r="P27" s="13">
        <v>-62500</v>
      </c>
      <c r="Q27" s="13">
        <v>-62500</v>
      </c>
      <c r="R27" s="13">
        <v>-62500</v>
      </c>
      <c r="S27" s="3">
        <f t="shared" si="2"/>
        <v>-505000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s="13">
        <v>-505000</v>
      </c>
      <c r="AE27" s="13">
        <f t="shared" si="3"/>
        <v>0</v>
      </c>
    </row>
    <row r="28" spans="1:31">
      <c r="A28" s="11" t="b">
        <f t="shared" si="4"/>
        <v>1</v>
      </c>
      <c r="B28" s="11" t="str">
        <f>+Hoja2!A25</f>
        <v>3.1.06.206</v>
      </c>
      <c r="C28" t="s">
        <v>78</v>
      </c>
      <c r="D28" t="s">
        <v>79</v>
      </c>
      <c r="E28">
        <v>0</v>
      </c>
      <c r="F28">
        <v>0</v>
      </c>
      <c r="G28">
        <v>0</v>
      </c>
      <c r="H28">
        <v>0</v>
      </c>
      <c r="I28" s="13">
        <f t="shared" si="0"/>
        <v>0</v>
      </c>
      <c r="J28" s="13">
        <v>-3101478</v>
      </c>
      <c r="K28">
        <v>0</v>
      </c>
      <c r="L28">
        <v>0</v>
      </c>
      <c r="M28">
        <v>0</v>
      </c>
      <c r="N28" s="13">
        <f t="shared" si="1"/>
        <v>0</v>
      </c>
      <c r="O28">
        <v>0</v>
      </c>
      <c r="P28">
        <v>0</v>
      </c>
      <c r="Q28">
        <v>0</v>
      </c>
      <c r="R28">
        <v>0</v>
      </c>
      <c r="S28" s="3">
        <f t="shared" si="2"/>
        <v>-3101478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13">
        <v>-3101478</v>
      </c>
      <c r="AE28" s="13">
        <f t="shared" si="3"/>
        <v>0</v>
      </c>
    </row>
    <row r="29" spans="1:31">
      <c r="A29" s="11" t="b">
        <f t="shared" si="4"/>
        <v>1</v>
      </c>
      <c r="B29" s="11" t="str">
        <f>+Hoja2!A26</f>
        <v>3.1.06.209</v>
      </c>
      <c r="C29" t="s">
        <v>80</v>
      </c>
      <c r="D29" t="s">
        <v>81</v>
      </c>
      <c r="E29">
        <v>0</v>
      </c>
      <c r="F29">
        <v>0</v>
      </c>
      <c r="G29">
        <v>0</v>
      </c>
      <c r="H29">
        <v>0</v>
      </c>
      <c r="I29" s="13">
        <f t="shared" si="0"/>
        <v>0</v>
      </c>
      <c r="J29" s="11">
        <v>0</v>
      </c>
      <c r="K29">
        <v>0</v>
      </c>
      <c r="L29">
        <v>0</v>
      </c>
      <c r="M29">
        <v>0</v>
      </c>
      <c r="N29" s="13">
        <f t="shared" si="1"/>
        <v>0</v>
      </c>
      <c r="O29">
        <v>0</v>
      </c>
      <c r="P29">
        <v>0</v>
      </c>
      <c r="Q29">
        <v>0</v>
      </c>
      <c r="R29">
        <v>0</v>
      </c>
      <c r="S29" s="3">
        <f t="shared" si="2"/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s="11">
        <v>0</v>
      </c>
      <c r="AE29" s="13">
        <f t="shared" si="3"/>
        <v>0</v>
      </c>
    </row>
    <row r="30" spans="1:31">
      <c r="A30" s="11" t="b">
        <f t="shared" si="4"/>
        <v>1</v>
      </c>
      <c r="B30" s="11" t="str">
        <f>+Hoja2!A27</f>
        <v>3.1.06.301</v>
      </c>
      <c r="C30" t="s">
        <v>82</v>
      </c>
      <c r="D30" t="s">
        <v>83</v>
      </c>
      <c r="E30">
        <v>0</v>
      </c>
      <c r="F30" s="13">
        <v>-8066624</v>
      </c>
      <c r="G30">
        <v>0</v>
      </c>
      <c r="H30" s="13">
        <v>-8153293</v>
      </c>
      <c r="I30" s="13">
        <f t="shared" si="0"/>
        <v>0</v>
      </c>
      <c r="J30" s="13">
        <v>-3765468</v>
      </c>
      <c r="K30" s="13">
        <v>-18996289</v>
      </c>
      <c r="L30" s="13">
        <v>-10520512</v>
      </c>
      <c r="M30" s="13">
        <v>134481</v>
      </c>
      <c r="N30" s="13">
        <f t="shared" si="1"/>
        <v>0</v>
      </c>
      <c r="O30" s="13">
        <v>-7349940</v>
      </c>
      <c r="P30" s="13">
        <v>-3774269</v>
      </c>
      <c r="Q30" s="13">
        <v>-7172077</v>
      </c>
      <c r="R30" s="13">
        <v>-8330411</v>
      </c>
      <c r="S30" s="3">
        <f t="shared" si="2"/>
        <v>-75994402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13">
        <v>-75994402</v>
      </c>
      <c r="AE30" s="13">
        <f t="shared" si="3"/>
        <v>0</v>
      </c>
    </row>
    <row r="31" spans="1:31">
      <c r="A31" s="11" t="b">
        <f t="shared" si="4"/>
        <v>1</v>
      </c>
      <c r="B31" s="11" t="str">
        <f>+Hoja2!A28</f>
        <v>3.1.06.302</v>
      </c>
      <c r="C31" t="s">
        <v>84</v>
      </c>
      <c r="D31" t="s">
        <v>85</v>
      </c>
      <c r="E31" s="13">
        <v>-3126087</v>
      </c>
      <c r="F31" s="11">
        <v>0</v>
      </c>
      <c r="G31">
        <v>0</v>
      </c>
      <c r="H31" s="11">
        <v>0</v>
      </c>
      <c r="I31" s="13">
        <f t="shared" si="0"/>
        <v>0</v>
      </c>
      <c r="J31" s="11">
        <v>0</v>
      </c>
      <c r="K31" s="11">
        <v>0</v>
      </c>
      <c r="L31" s="11">
        <v>0</v>
      </c>
      <c r="M31" s="11">
        <v>0</v>
      </c>
      <c r="N31" s="13">
        <f t="shared" si="1"/>
        <v>0</v>
      </c>
      <c r="O31" s="11">
        <v>0</v>
      </c>
      <c r="P31" s="11">
        <v>0</v>
      </c>
      <c r="Q31" s="11">
        <v>0</v>
      </c>
      <c r="R31" s="11">
        <v>0</v>
      </c>
      <c r="S31" s="3">
        <f t="shared" si="2"/>
        <v>-3126087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1">
        <v>-3126087</v>
      </c>
      <c r="AE31" s="13">
        <f t="shared" si="3"/>
        <v>0</v>
      </c>
    </row>
    <row r="32" spans="1:31">
      <c r="A32" s="11" t="b">
        <f t="shared" si="4"/>
        <v>1</v>
      </c>
      <c r="B32" s="11" t="str">
        <f>+Hoja2!A29</f>
        <v>3.1.06.305</v>
      </c>
      <c r="C32" t="s">
        <v>86</v>
      </c>
      <c r="D32" t="s">
        <v>87</v>
      </c>
      <c r="E32" s="13">
        <v>-272096</v>
      </c>
      <c r="F32" s="13">
        <v>-46886</v>
      </c>
      <c r="G32">
        <v>0</v>
      </c>
      <c r="H32" s="13">
        <v>-88896</v>
      </c>
      <c r="I32" s="13">
        <f t="shared" si="0"/>
        <v>0</v>
      </c>
      <c r="J32" s="13">
        <v>-37428</v>
      </c>
      <c r="K32" s="13">
        <v>-74708</v>
      </c>
      <c r="L32" s="13">
        <v>-8578</v>
      </c>
      <c r="M32">
        <v>0</v>
      </c>
      <c r="N32" s="13">
        <f t="shared" si="1"/>
        <v>0</v>
      </c>
      <c r="O32" s="13">
        <v>-19728</v>
      </c>
      <c r="P32" s="13">
        <v>-62573</v>
      </c>
      <c r="Q32" s="13">
        <v>-13578</v>
      </c>
      <c r="R32" s="13">
        <v>-6578</v>
      </c>
      <c r="S32" s="3">
        <f t="shared" si="2"/>
        <v>-631049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13">
        <v>-631049</v>
      </c>
      <c r="AE32" s="13">
        <f t="shared" si="3"/>
        <v>0</v>
      </c>
    </row>
    <row r="33" spans="1:31">
      <c r="A33" s="11" t="b">
        <f t="shared" si="4"/>
        <v>1</v>
      </c>
      <c r="B33" s="11" t="str">
        <f>+Hoja2!A30</f>
        <v>3.1.06.306</v>
      </c>
      <c r="C33" t="s">
        <v>88</v>
      </c>
      <c r="D33" t="s">
        <v>89</v>
      </c>
      <c r="E33" s="11">
        <v>0</v>
      </c>
      <c r="F33" s="11">
        <v>0</v>
      </c>
      <c r="G33">
        <v>0</v>
      </c>
      <c r="H33" s="11">
        <v>0</v>
      </c>
      <c r="I33" s="13">
        <f t="shared" si="0"/>
        <v>0</v>
      </c>
      <c r="J33" s="11">
        <v>0</v>
      </c>
      <c r="K33" s="11">
        <v>0</v>
      </c>
      <c r="L33" s="11">
        <v>0</v>
      </c>
      <c r="M33">
        <v>0</v>
      </c>
      <c r="N33" s="13">
        <f t="shared" si="1"/>
        <v>0</v>
      </c>
      <c r="O33" s="11">
        <v>0</v>
      </c>
      <c r="P33" s="11">
        <v>0</v>
      </c>
      <c r="Q33" s="11">
        <v>0</v>
      </c>
      <c r="R33" s="11">
        <v>0</v>
      </c>
      <c r="S33" s="3">
        <f t="shared" si="2"/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s="11">
        <v>0</v>
      </c>
      <c r="AE33" s="13">
        <f t="shared" si="3"/>
        <v>0</v>
      </c>
    </row>
    <row r="34" spans="1:31">
      <c r="A34" s="11" t="b">
        <f t="shared" si="4"/>
        <v>1</v>
      </c>
      <c r="B34" s="11" t="str">
        <f>+Hoja2!A31</f>
        <v>3.1.06.401</v>
      </c>
      <c r="C34" t="s">
        <v>90</v>
      </c>
      <c r="D34" t="s">
        <v>91</v>
      </c>
      <c r="E34" s="13">
        <v>-61064</v>
      </c>
      <c r="F34" s="13">
        <v>-61066</v>
      </c>
      <c r="G34">
        <v>0</v>
      </c>
      <c r="H34" s="13">
        <v>-61066</v>
      </c>
      <c r="I34" s="13">
        <f t="shared" si="0"/>
        <v>-61064</v>
      </c>
      <c r="J34" s="13">
        <v>493996</v>
      </c>
      <c r="K34" s="13">
        <v>-61065</v>
      </c>
      <c r="L34" s="13">
        <v>-61065</v>
      </c>
      <c r="M34">
        <v>0</v>
      </c>
      <c r="N34" s="13">
        <f t="shared" si="1"/>
        <v>-61064</v>
      </c>
      <c r="O34" s="13">
        <v>-61065</v>
      </c>
      <c r="P34" s="13">
        <v>-61064</v>
      </c>
      <c r="Q34" s="13">
        <v>-61064</v>
      </c>
      <c r="R34" s="13">
        <v>-61064</v>
      </c>
      <c r="S34" s="3">
        <f t="shared" si="2"/>
        <v>-177715</v>
      </c>
      <c r="T34">
        <v>0</v>
      </c>
      <c r="U34" s="13">
        <v>-61064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3">
        <v>-61064</v>
      </c>
      <c r="AC34">
        <v>0</v>
      </c>
      <c r="AD34" s="13">
        <v>-177715</v>
      </c>
      <c r="AE34" s="13">
        <f t="shared" si="3"/>
        <v>0</v>
      </c>
    </row>
    <row r="35" spans="1:31">
      <c r="A35" s="11" t="b">
        <f t="shared" si="4"/>
        <v>1</v>
      </c>
      <c r="B35" s="11" t="str">
        <f>+Hoja2!A32</f>
        <v>3.1.06.406</v>
      </c>
      <c r="C35" t="s">
        <v>92</v>
      </c>
      <c r="D35" t="s">
        <v>93</v>
      </c>
      <c r="E35">
        <v>0</v>
      </c>
      <c r="F35" s="13">
        <v>-14581</v>
      </c>
      <c r="G35">
        <v>0</v>
      </c>
      <c r="H35" s="13">
        <v>-14581</v>
      </c>
      <c r="I35" s="13">
        <f t="shared" si="0"/>
        <v>0</v>
      </c>
      <c r="J35" s="13">
        <v>-14581</v>
      </c>
      <c r="K35" s="13">
        <v>-14581</v>
      </c>
      <c r="L35" s="13">
        <v>-14581</v>
      </c>
      <c r="M35">
        <v>0</v>
      </c>
      <c r="N35" s="13">
        <f t="shared" si="1"/>
        <v>0</v>
      </c>
      <c r="O35" s="13">
        <v>-14581</v>
      </c>
      <c r="P35" s="13">
        <v>-14581</v>
      </c>
      <c r="Q35" s="13">
        <v>-14581</v>
      </c>
      <c r="R35" s="13">
        <v>-14581</v>
      </c>
      <c r="S35" s="3">
        <f t="shared" si="2"/>
        <v>-131229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s="13">
        <v>-131229</v>
      </c>
      <c r="AE35" s="13">
        <f t="shared" si="3"/>
        <v>0</v>
      </c>
    </row>
    <row r="36" spans="1:31">
      <c r="A36" s="11" t="b">
        <f t="shared" si="4"/>
        <v>1</v>
      </c>
      <c r="B36" s="11" t="str">
        <f>+Hoja2!A33</f>
        <v>3.1.06.501</v>
      </c>
      <c r="C36" t="s">
        <v>94</v>
      </c>
      <c r="D36" t="s">
        <v>95</v>
      </c>
      <c r="E36">
        <v>0</v>
      </c>
      <c r="F36" s="1">
        <v>-9564</v>
      </c>
      <c r="G36" s="13">
        <v>-11619</v>
      </c>
      <c r="H36" s="1">
        <v>-44873</v>
      </c>
      <c r="I36" s="13">
        <f t="shared" si="0"/>
        <v>0</v>
      </c>
      <c r="J36" s="1">
        <v>-75024</v>
      </c>
      <c r="K36" s="1">
        <v>-55219</v>
      </c>
      <c r="L36" s="1">
        <v>-11619</v>
      </c>
      <c r="M36">
        <v>0</v>
      </c>
      <c r="N36" s="13">
        <f t="shared" si="1"/>
        <v>0</v>
      </c>
      <c r="O36" s="1">
        <v>-536239</v>
      </c>
      <c r="P36" s="1">
        <v>-4258</v>
      </c>
      <c r="Q36" s="1">
        <v>-37862</v>
      </c>
      <c r="R36" s="1">
        <v>-52980</v>
      </c>
      <c r="S36" s="3">
        <f t="shared" si="2"/>
        <v>-839257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1">
        <v>-839257</v>
      </c>
      <c r="AE36" s="13">
        <f t="shared" si="3"/>
        <v>0</v>
      </c>
    </row>
    <row r="37" spans="1:31">
      <c r="A37" s="11" t="b">
        <f t="shared" si="4"/>
        <v>1</v>
      </c>
      <c r="B37" s="11" t="str">
        <f>+Hoja2!A34</f>
        <v>3.1.06.504</v>
      </c>
      <c r="C37" t="s">
        <v>96</v>
      </c>
      <c r="D37" t="s">
        <v>97</v>
      </c>
      <c r="E37">
        <v>0</v>
      </c>
      <c r="F37" s="11">
        <v>0</v>
      </c>
      <c r="G37" s="11">
        <v>0</v>
      </c>
      <c r="H37" s="11">
        <v>0</v>
      </c>
      <c r="I37" s="13">
        <f t="shared" si="0"/>
        <v>0</v>
      </c>
      <c r="J37" s="1">
        <v>-1065119</v>
      </c>
      <c r="K37" s="11">
        <v>0</v>
      </c>
      <c r="L37" s="11">
        <v>0</v>
      </c>
      <c r="M37">
        <v>0</v>
      </c>
      <c r="N37" s="13">
        <f t="shared" si="1"/>
        <v>0</v>
      </c>
      <c r="O37" s="11">
        <v>0</v>
      </c>
      <c r="P37" s="11">
        <v>0</v>
      </c>
      <c r="Q37" s="11">
        <v>0</v>
      </c>
      <c r="R37" s="11">
        <v>0</v>
      </c>
      <c r="S37" s="3">
        <f t="shared" si="2"/>
        <v>-1065119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s="1">
        <v>-1065119</v>
      </c>
      <c r="AE37" s="13">
        <f t="shared" si="3"/>
        <v>0</v>
      </c>
    </row>
    <row r="38" spans="1:31">
      <c r="A38" s="11" t="b">
        <f t="shared" ref="A38:A64" si="5">EXACT(C38,B38)</f>
        <v>1</v>
      </c>
      <c r="B38" s="11" t="str">
        <f>+Hoja2!A35</f>
        <v>3.1.06.505</v>
      </c>
      <c r="C38" t="s">
        <v>98</v>
      </c>
      <c r="D38" t="s">
        <v>99</v>
      </c>
      <c r="E38">
        <v>0</v>
      </c>
      <c r="F38">
        <v>0</v>
      </c>
      <c r="G38">
        <v>0</v>
      </c>
      <c r="H38">
        <v>0</v>
      </c>
      <c r="I38" s="13">
        <f t="shared" si="0"/>
        <v>0</v>
      </c>
      <c r="J38" s="1">
        <v>-420710</v>
      </c>
      <c r="K38">
        <v>0</v>
      </c>
      <c r="L38">
        <v>0</v>
      </c>
      <c r="M38">
        <v>0</v>
      </c>
      <c r="N38" s="13">
        <f t="shared" si="1"/>
        <v>0</v>
      </c>
      <c r="O38">
        <v>0</v>
      </c>
      <c r="P38">
        <v>0</v>
      </c>
      <c r="Q38">
        <v>0</v>
      </c>
      <c r="R38">
        <v>0</v>
      </c>
      <c r="S38" s="3">
        <f t="shared" si="2"/>
        <v>-420710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1">
        <v>-420710</v>
      </c>
      <c r="AE38" s="13">
        <f t="shared" si="3"/>
        <v>0</v>
      </c>
    </row>
    <row r="39" spans="1:31">
      <c r="A39" s="11" t="b">
        <f t="shared" si="5"/>
        <v>1</v>
      </c>
      <c r="B39" s="11" t="str">
        <f>+Hoja2!A36</f>
        <v>3.1.06.506</v>
      </c>
      <c r="C39" t="s">
        <v>100</v>
      </c>
      <c r="D39" t="s">
        <v>101</v>
      </c>
      <c r="E39" s="13">
        <v>-226385</v>
      </c>
      <c r="F39" s="13">
        <v>-47536</v>
      </c>
      <c r="G39">
        <v>0</v>
      </c>
      <c r="H39" s="13">
        <v>-46439</v>
      </c>
      <c r="I39" s="13">
        <f t="shared" si="0"/>
        <v>0</v>
      </c>
      <c r="J39" s="1">
        <v>-156454</v>
      </c>
      <c r="K39" s="13">
        <v>-44696</v>
      </c>
      <c r="L39" s="13">
        <v>-40307</v>
      </c>
      <c r="M39">
        <v>0</v>
      </c>
      <c r="N39" s="13">
        <f t="shared" si="1"/>
        <v>0</v>
      </c>
      <c r="O39" s="13">
        <v>-44599</v>
      </c>
      <c r="P39" s="13">
        <v>-41685</v>
      </c>
      <c r="Q39" s="13">
        <v>-46770</v>
      </c>
      <c r="R39" s="13">
        <v>-46770</v>
      </c>
      <c r="S39" s="3">
        <f t="shared" si="2"/>
        <v>-741641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1">
        <v>-741641</v>
      </c>
      <c r="AE39" s="13">
        <f t="shared" si="3"/>
        <v>0</v>
      </c>
    </row>
    <row r="40" spans="1:31">
      <c r="A40" s="11" t="b">
        <f t="shared" si="5"/>
        <v>1</v>
      </c>
      <c r="B40" s="11" t="str">
        <f>+Hoja2!A37</f>
        <v>3.1.06.507</v>
      </c>
      <c r="C40" t="s">
        <v>102</v>
      </c>
      <c r="D40" t="s">
        <v>103</v>
      </c>
      <c r="E40" s="11">
        <v>0</v>
      </c>
      <c r="F40" s="11">
        <v>0</v>
      </c>
      <c r="G40">
        <v>0</v>
      </c>
      <c r="H40" s="11">
        <v>0</v>
      </c>
      <c r="I40" s="13">
        <f t="shared" si="0"/>
        <v>0</v>
      </c>
      <c r="J40" s="11">
        <v>0</v>
      </c>
      <c r="K40" s="11">
        <v>0</v>
      </c>
      <c r="L40" s="11">
        <v>0</v>
      </c>
      <c r="M40">
        <v>0</v>
      </c>
      <c r="N40" s="13">
        <f t="shared" si="1"/>
        <v>0</v>
      </c>
      <c r="O40" s="11">
        <v>1</v>
      </c>
      <c r="P40" s="11">
        <v>0</v>
      </c>
      <c r="Q40" s="11">
        <v>0</v>
      </c>
      <c r="R40" s="11">
        <v>0</v>
      </c>
      <c r="S40" s="3">
        <f t="shared" si="2"/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s="11">
        <v>1</v>
      </c>
      <c r="AE40" s="13">
        <f t="shared" si="3"/>
        <v>0</v>
      </c>
    </row>
    <row r="41" spans="1:31">
      <c r="A41" s="11" t="b">
        <f t="shared" si="5"/>
        <v>1</v>
      </c>
      <c r="B41" s="11" t="str">
        <f>+Hoja2!A38</f>
        <v>3.1.06.601</v>
      </c>
      <c r="C41" t="s">
        <v>104</v>
      </c>
      <c r="D41" t="s">
        <v>105</v>
      </c>
      <c r="E41" s="13">
        <v>-319960</v>
      </c>
      <c r="F41" s="13">
        <v>-89676</v>
      </c>
      <c r="G41">
        <v>0</v>
      </c>
      <c r="H41" s="13">
        <v>-97699</v>
      </c>
      <c r="I41" s="13">
        <f t="shared" si="0"/>
        <v>0</v>
      </c>
      <c r="J41">
        <v>0</v>
      </c>
      <c r="K41" s="13">
        <v>-47198</v>
      </c>
      <c r="L41" s="13">
        <v>-17699</v>
      </c>
      <c r="M41">
        <v>0</v>
      </c>
      <c r="N41" s="13">
        <f t="shared" si="1"/>
        <v>0</v>
      </c>
      <c r="O41" s="13">
        <v>-374446</v>
      </c>
      <c r="P41" s="13">
        <v>-40936</v>
      </c>
      <c r="Q41" s="13">
        <v>-23599</v>
      </c>
      <c r="R41" s="13">
        <v>-94396</v>
      </c>
      <c r="S41" s="3">
        <f t="shared" si="2"/>
        <v>-1105609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s="13">
        <v>-1105609</v>
      </c>
      <c r="AE41" s="13">
        <f t="shared" si="3"/>
        <v>0</v>
      </c>
    </row>
    <row r="42" spans="1:31">
      <c r="A42" s="11" t="b">
        <f t="shared" si="5"/>
        <v>1</v>
      </c>
      <c r="B42" s="11" t="str">
        <f>+Hoja2!A39</f>
        <v>3.1.06.602</v>
      </c>
      <c r="C42" t="s">
        <v>106</v>
      </c>
      <c r="D42" t="s">
        <v>107</v>
      </c>
      <c r="E42" s="11">
        <v>0</v>
      </c>
      <c r="F42" s="1">
        <v>-71352</v>
      </c>
      <c r="G42">
        <v>0</v>
      </c>
      <c r="H42" s="1">
        <v>-71352</v>
      </c>
      <c r="I42" s="13">
        <f t="shared" si="0"/>
        <v>-71351</v>
      </c>
      <c r="J42">
        <v>0</v>
      </c>
      <c r="K42" s="1">
        <v>-71352</v>
      </c>
      <c r="L42" s="1">
        <v>-71353</v>
      </c>
      <c r="M42">
        <v>0</v>
      </c>
      <c r="N42" s="13">
        <f t="shared" si="1"/>
        <v>0</v>
      </c>
      <c r="O42" s="1">
        <v>-71352</v>
      </c>
      <c r="P42" s="1">
        <v>-71352</v>
      </c>
      <c r="Q42" s="1">
        <v>-71352</v>
      </c>
      <c r="R42" s="1">
        <v>-71352</v>
      </c>
      <c r="S42" s="3">
        <f t="shared" si="2"/>
        <v>-642168</v>
      </c>
      <c r="T42">
        <v>0</v>
      </c>
      <c r="U42" s="13">
        <v>-71351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1">
        <v>-642168</v>
      </c>
      <c r="AE42" s="13">
        <f t="shared" si="3"/>
        <v>0</v>
      </c>
    </row>
    <row r="43" spans="1:31">
      <c r="A43" s="11" t="b">
        <f t="shared" si="5"/>
        <v>1</v>
      </c>
      <c r="B43" s="11" t="str">
        <f>+Hoja2!A40</f>
        <v>3.1.06.603</v>
      </c>
      <c r="C43" t="s">
        <v>108</v>
      </c>
      <c r="D43" t="s">
        <v>109</v>
      </c>
      <c r="E43">
        <v>0</v>
      </c>
      <c r="F43" s="11">
        <v>0</v>
      </c>
      <c r="G43">
        <v>0</v>
      </c>
      <c r="H43" s="11">
        <v>0</v>
      </c>
      <c r="I43" s="13">
        <f t="shared" si="0"/>
        <v>0</v>
      </c>
      <c r="J43">
        <v>0</v>
      </c>
      <c r="K43" s="11">
        <v>0</v>
      </c>
      <c r="L43" s="11">
        <v>0</v>
      </c>
      <c r="M43">
        <v>0</v>
      </c>
      <c r="N43" s="13">
        <f t="shared" si="1"/>
        <v>0</v>
      </c>
      <c r="O43" s="11">
        <v>0</v>
      </c>
      <c r="P43" s="11">
        <v>0</v>
      </c>
      <c r="Q43" s="11">
        <v>0</v>
      </c>
      <c r="R43" s="11">
        <v>0</v>
      </c>
      <c r="S43" s="3">
        <f t="shared" si="2"/>
        <v>0</v>
      </c>
      <c r="T43">
        <v>0</v>
      </c>
      <c r="U43" s="11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s="11">
        <v>0</v>
      </c>
      <c r="AE43" s="13">
        <f t="shared" si="3"/>
        <v>0</v>
      </c>
    </row>
    <row r="44" spans="1:31">
      <c r="A44" s="11" t="b">
        <f t="shared" si="5"/>
        <v>1</v>
      </c>
      <c r="B44" s="11" t="str">
        <f>+Hoja2!A41</f>
        <v>3.1.06.802</v>
      </c>
      <c r="C44" t="s">
        <v>110</v>
      </c>
      <c r="D44" t="s">
        <v>111</v>
      </c>
      <c r="E44">
        <v>0</v>
      </c>
      <c r="F44">
        <v>0</v>
      </c>
      <c r="G44">
        <v>0</v>
      </c>
      <c r="H44">
        <v>0</v>
      </c>
      <c r="I44" s="13">
        <f t="shared" si="0"/>
        <v>0</v>
      </c>
      <c r="J44">
        <v>0</v>
      </c>
      <c r="K44">
        <v>0</v>
      </c>
      <c r="L44">
        <v>0</v>
      </c>
      <c r="M44">
        <v>0</v>
      </c>
      <c r="N44" s="13">
        <f t="shared" si="1"/>
        <v>0</v>
      </c>
      <c r="O44">
        <v>0</v>
      </c>
      <c r="P44">
        <v>0</v>
      </c>
      <c r="Q44">
        <v>0</v>
      </c>
      <c r="R44">
        <v>0</v>
      </c>
      <c r="S44" s="3">
        <f t="shared" si="2"/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13">
        <f t="shared" si="3"/>
        <v>0</v>
      </c>
    </row>
    <row r="45" spans="1:31">
      <c r="A45" s="11" t="b">
        <f t="shared" si="5"/>
        <v>1</v>
      </c>
      <c r="B45" s="11" t="str">
        <f>+Hoja2!A42</f>
        <v>3.1.06.803</v>
      </c>
      <c r="C45" t="s">
        <v>112</v>
      </c>
      <c r="D45" t="s">
        <v>113</v>
      </c>
      <c r="E45">
        <v>0</v>
      </c>
      <c r="F45" s="13">
        <v>-46452</v>
      </c>
      <c r="G45">
        <v>0</v>
      </c>
      <c r="H45" s="13">
        <v>-46451</v>
      </c>
      <c r="I45" s="13">
        <f t="shared" si="0"/>
        <v>0</v>
      </c>
      <c r="J45">
        <v>0</v>
      </c>
      <c r="K45" s="13">
        <v>-46450</v>
      </c>
      <c r="L45" s="13">
        <v>-46450</v>
      </c>
      <c r="M45">
        <v>0</v>
      </c>
      <c r="N45" s="13">
        <f t="shared" si="1"/>
        <v>0</v>
      </c>
      <c r="O45" s="13">
        <v>-46449</v>
      </c>
      <c r="P45" s="13">
        <v>-46447</v>
      </c>
      <c r="Q45" s="13">
        <v>-46447</v>
      </c>
      <c r="R45" s="13">
        <v>-46444</v>
      </c>
      <c r="S45" s="3">
        <f t="shared" si="2"/>
        <v>-371590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13">
        <v>-371590</v>
      </c>
      <c r="AE45" s="13">
        <f t="shared" si="3"/>
        <v>0</v>
      </c>
    </row>
    <row r="46" spans="1:31">
      <c r="A46" s="11" t="b">
        <f t="shared" si="5"/>
        <v>1</v>
      </c>
      <c r="B46" s="11" t="str">
        <f>+Hoja2!A43</f>
        <v>3.1.06.805</v>
      </c>
      <c r="C46" t="s">
        <v>114</v>
      </c>
      <c r="D46" t="s">
        <v>115</v>
      </c>
      <c r="E46">
        <v>0</v>
      </c>
      <c r="F46" s="11">
        <v>0</v>
      </c>
      <c r="G46">
        <v>0</v>
      </c>
      <c r="H46" s="11">
        <v>0</v>
      </c>
      <c r="I46" s="13">
        <f t="shared" si="0"/>
        <v>0</v>
      </c>
      <c r="J46">
        <v>0</v>
      </c>
      <c r="K46" s="11">
        <v>0</v>
      </c>
      <c r="L46" s="11">
        <v>0</v>
      </c>
      <c r="M46">
        <v>0</v>
      </c>
      <c r="N46" s="13">
        <f t="shared" si="1"/>
        <v>0</v>
      </c>
      <c r="O46" s="11">
        <v>0</v>
      </c>
      <c r="P46" s="11">
        <v>0</v>
      </c>
      <c r="Q46" s="11">
        <v>0</v>
      </c>
      <c r="R46" s="11">
        <v>0</v>
      </c>
      <c r="S46" s="3">
        <f t="shared" si="2"/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s="11">
        <v>0</v>
      </c>
      <c r="AE46" s="13">
        <f t="shared" si="3"/>
        <v>0</v>
      </c>
    </row>
    <row r="47" spans="1:31">
      <c r="A47" s="11" t="b">
        <f t="shared" si="5"/>
        <v>1</v>
      </c>
      <c r="B47" s="11" t="str">
        <f>+Hoja2!A44</f>
        <v>3.1.06.806</v>
      </c>
      <c r="C47" t="s">
        <v>116</v>
      </c>
      <c r="D47" t="s">
        <v>117</v>
      </c>
      <c r="E47">
        <v>0</v>
      </c>
      <c r="F47">
        <v>0</v>
      </c>
      <c r="G47">
        <v>0</v>
      </c>
      <c r="H47">
        <v>0</v>
      </c>
      <c r="I47" s="13">
        <f t="shared" si="0"/>
        <v>0</v>
      </c>
      <c r="J47" s="13">
        <v>-502259</v>
      </c>
      <c r="K47">
        <v>0</v>
      </c>
      <c r="L47">
        <v>0</v>
      </c>
      <c r="M47">
        <v>0</v>
      </c>
      <c r="N47" s="13">
        <f t="shared" si="1"/>
        <v>0</v>
      </c>
      <c r="O47">
        <v>0</v>
      </c>
      <c r="P47">
        <v>0</v>
      </c>
      <c r="Q47">
        <v>0</v>
      </c>
      <c r="R47">
        <v>0</v>
      </c>
      <c r="S47" s="3">
        <f t="shared" si="2"/>
        <v>-502259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s="13">
        <v>-502259</v>
      </c>
      <c r="AE47" s="13">
        <f t="shared" si="3"/>
        <v>0</v>
      </c>
    </row>
    <row r="48" spans="1:31">
      <c r="A48" s="11" t="b">
        <f t="shared" si="5"/>
        <v>1</v>
      </c>
      <c r="B48" s="11" t="str">
        <f>+Hoja2!A45</f>
        <v>3.1.06.812</v>
      </c>
      <c r="C48" t="s">
        <v>118</v>
      </c>
      <c r="D48" t="s">
        <v>119</v>
      </c>
      <c r="E48">
        <v>0</v>
      </c>
      <c r="F48" s="13">
        <v>-407680</v>
      </c>
      <c r="G48">
        <v>0</v>
      </c>
      <c r="H48" s="13">
        <v>-407680</v>
      </c>
      <c r="I48" s="13">
        <f t="shared" si="0"/>
        <v>-407680</v>
      </c>
      <c r="J48">
        <v>0</v>
      </c>
      <c r="K48" s="13">
        <v>-407679</v>
      </c>
      <c r="L48" s="13">
        <v>-407679</v>
      </c>
      <c r="M48">
        <v>0</v>
      </c>
      <c r="N48" s="13">
        <f t="shared" si="1"/>
        <v>0</v>
      </c>
      <c r="O48" s="13">
        <v>-407679</v>
      </c>
      <c r="P48" s="13">
        <v>-407679</v>
      </c>
      <c r="Q48">
        <v>0</v>
      </c>
      <c r="R48">
        <v>0</v>
      </c>
      <c r="S48" s="3">
        <f t="shared" si="2"/>
        <v>-2853756</v>
      </c>
      <c r="T48">
        <v>0</v>
      </c>
      <c r="U48" s="13">
        <v>-407680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13">
        <v>-2853756</v>
      </c>
      <c r="AE48" s="13">
        <f t="shared" si="3"/>
        <v>0</v>
      </c>
    </row>
    <row r="49" spans="1:31">
      <c r="A49" s="11" t="b">
        <f t="shared" si="5"/>
        <v>1</v>
      </c>
      <c r="B49" s="11" t="str">
        <f>+Hoja2!A46</f>
        <v>3.1.06.813</v>
      </c>
      <c r="C49" t="s">
        <v>120</v>
      </c>
      <c r="D49" t="s">
        <v>121</v>
      </c>
      <c r="E49">
        <v>0</v>
      </c>
      <c r="F49" s="11">
        <v>0</v>
      </c>
      <c r="G49">
        <v>0</v>
      </c>
      <c r="H49" s="11">
        <v>0</v>
      </c>
      <c r="I49" s="13">
        <f t="shared" si="0"/>
        <v>0</v>
      </c>
      <c r="J49">
        <v>0</v>
      </c>
      <c r="K49" s="11">
        <v>0</v>
      </c>
      <c r="L49" s="11">
        <v>0</v>
      </c>
      <c r="M49">
        <v>0</v>
      </c>
      <c r="N49" s="13">
        <f t="shared" si="1"/>
        <v>0</v>
      </c>
      <c r="O49" s="11">
        <v>0</v>
      </c>
      <c r="P49" s="11">
        <v>0</v>
      </c>
      <c r="Q49" s="13">
        <v>-235050</v>
      </c>
      <c r="R49" s="13">
        <v>-362408</v>
      </c>
      <c r="S49" s="3">
        <f t="shared" si="2"/>
        <v>-597458</v>
      </c>
      <c r="T49">
        <v>0</v>
      </c>
      <c r="U49" s="11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s="1">
        <v>-597458</v>
      </c>
      <c r="AE49" s="13">
        <f t="shared" si="3"/>
        <v>0</v>
      </c>
    </row>
    <row r="50" spans="1:31">
      <c r="A50" s="11" t="b">
        <f t="shared" si="5"/>
        <v>1</v>
      </c>
      <c r="B50" s="11" t="str">
        <f>+Hoja2!A47</f>
        <v>3.1.06.817</v>
      </c>
      <c r="C50" t="s">
        <v>122</v>
      </c>
      <c r="D50" t="s">
        <v>123</v>
      </c>
      <c r="E50">
        <v>0</v>
      </c>
      <c r="F50">
        <v>0</v>
      </c>
      <c r="G50">
        <v>0</v>
      </c>
      <c r="H50">
        <v>0</v>
      </c>
      <c r="I50" s="13">
        <f t="shared" si="0"/>
        <v>0</v>
      </c>
      <c r="J50" s="13">
        <v>-868786</v>
      </c>
      <c r="K50">
        <v>0</v>
      </c>
      <c r="L50">
        <v>0</v>
      </c>
      <c r="M50">
        <v>0</v>
      </c>
      <c r="N50" s="13">
        <f t="shared" si="1"/>
        <v>0</v>
      </c>
      <c r="O50">
        <v>0</v>
      </c>
      <c r="P50">
        <v>0</v>
      </c>
      <c r="Q50">
        <v>0</v>
      </c>
      <c r="R50">
        <v>0</v>
      </c>
      <c r="S50" s="3">
        <f t="shared" si="2"/>
        <v>-868786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13">
        <v>-868786</v>
      </c>
      <c r="AE50" s="13">
        <f t="shared" si="3"/>
        <v>0</v>
      </c>
    </row>
    <row r="51" spans="1:31">
      <c r="A51" s="11" t="b">
        <f t="shared" si="5"/>
        <v>1</v>
      </c>
      <c r="B51" s="11" t="str">
        <f>+Hoja2!A48</f>
        <v>3.1.06.818</v>
      </c>
      <c r="C51" t="s">
        <v>124</v>
      </c>
      <c r="D51" t="s">
        <v>125</v>
      </c>
      <c r="E51" s="13">
        <v>-127008</v>
      </c>
      <c r="F51" s="13">
        <v>-127008</v>
      </c>
      <c r="G51">
        <v>0</v>
      </c>
      <c r="H51" s="13">
        <v>-127008</v>
      </c>
      <c r="I51" s="13">
        <f t="shared" si="0"/>
        <v>-1193343</v>
      </c>
      <c r="J51" s="1">
        <v>-455898</v>
      </c>
      <c r="K51" s="13">
        <v>-127008</v>
      </c>
      <c r="L51" s="13">
        <v>-127008</v>
      </c>
      <c r="M51">
        <v>0</v>
      </c>
      <c r="N51" s="13">
        <f t="shared" si="1"/>
        <v>-127008</v>
      </c>
      <c r="O51" s="13">
        <v>-127008</v>
      </c>
      <c r="P51" s="13">
        <v>-127008</v>
      </c>
      <c r="Q51" s="13">
        <v>-127008</v>
      </c>
      <c r="R51" s="13">
        <v>-127008</v>
      </c>
      <c r="S51" s="3">
        <f t="shared" si="2"/>
        <v>-2919321</v>
      </c>
      <c r="T51">
        <v>0</v>
      </c>
      <c r="U51" s="13">
        <v>-1193343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13">
        <v>-127008</v>
      </c>
      <c r="AC51">
        <v>0</v>
      </c>
      <c r="AD51" s="1">
        <v>-2919321</v>
      </c>
      <c r="AE51" s="13">
        <f t="shared" si="3"/>
        <v>0</v>
      </c>
    </row>
    <row r="52" spans="1:31">
      <c r="A52" s="11" t="b">
        <f t="shared" si="5"/>
        <v>1</v>
      </c>
      <c r="B52" s="11" t="str">
        <f>+Hoja2!A49</f>
        <v>3.1.06.831</v>
      </c>
      <c r="C52" t="s">
        <v>126</v>
      </c>
      <c r="D52" t="s">
        <v>127</v>
      </c>
      <c r="E52">
        <v>0</v>
      </c>
      <c r="F52">
        <v>0</v>
      </c>
      <c r="G52">
        <v>0</v>
      </c>
      <c r="H52">
        <v>0</v>
      </c>
      <c r="I52" s="13">
        <f t="shared" si="0"/>
        <v>0</v>
      </c>
      <c r="J52" s="13">
        <v>-268190</v>
      </c>
      <c r="K52">
        <v>0</v>
      </c>
      <c r="L52">
        <v>0</v>
      </c>
      <c r="M52">
        <v>0</v>
      </c>
      <c r="N52" s="13">
        <f t="shared" si="1"/>
        <v>0</v>
      </c>
      <c r="O52">
        <v>0</v>
      </c>
      <c r="P52">
        <v>0</v>
      </c>
      <c r="Q52">
        <v>0</v>
      </c>
      <c r="R52">
        <v>0</v>
      </c>
      <c r="S52" s="3">
        <f t="shared" si="2"/>
        <v>-268190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13">
        <v>-268190</v>
      </c>
      <c r="AE52" s="13">
        <f t="shared" si="3"/>
        <v>0</v>
      </c>
    </row>
    <row r="53" spans="1:31">
      <c r="A53" s="11" t="b">
        <f t="shared" si="5"/>
        <v>1</v>
      </c>
      <c r="B53" s="11" t="str">
        <f>+Hoja2!A50</f>
        <v>3.1.06.837</v>
      </c>
      <c r="C53" t="s">
        <v>128</v>
      </c>
      <c r="D53" t="s">
        <v>129</v>
      </c>
      <c r="E53">
        <v>0</v>
      </c>
      <c r="F53" s="13">
        <v>-73533</v>
      </c>
      <c r="G53">
        <v>0</v>
      </c>
      <c r="H53" s="13">
        <v>-73533</v>
      </c>
      <c r="I53" s="13">
        <f t="shared" si="0"/>
        <v>0</v>
      </c>
      <c r="J53">
        <v>0</v>
      </c>
      <c r="K53" s="13">
        <v>-73532</v>
      </c>
      <c r="L53" s="13">
        <v>-73532</v>
      </c>
      <c r="M53">
        <v>0</v>
      </c>
      <c r="N53" s="13">
        <f t="shared" si="1"/>
        <v>0</v>
      </c>
      <c r="O53" s="13">
        <v>-73532</v>
      </c>
      <c r="P53" s="13">
        <v>-73532</v>
      </c>
      <c r="Q53" s="13">
        <v>-73532</v>
      </c>
      <c r="R53" s="13">
        <v>-73532</v>
      </c>
      <c r="S53" s="3">
        <f t="shared" si="2"/>
        <v>-588258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13">
        <v>-588258</v>
      </c>
      <c r="AE53" s="13">
        <f t="shared" si="3"/>
        <v>0</v>
      </c>
    </row>
    <row r="54" spans="1:31">
      <c r="A54" s="11" t="b">
        <f t="shared" si="5"/>
        <v>1</v>
      </c>
      <c r="B54" s="11" t="str">
        <f>+Hoja2!A51</f>
        <v>3.1.07.822</v>
      </c>
      <c r="C54" t="s">
        <v>153</v>
      </c>
      <c r="D54" t="s">
        <v>154</v>
      </c>
      <c r="E54">
        <v>0</v>
      </c>
      <c r="F54" s="11">
        <v>0</v>
      </c>
      <c r="G54">
        <v>0</v>
      </c>
      <c r="H54" s="11">
        <v>0</v>
      </c>
      <c r="I54" s="13">
        <f t="shared" si="0"/>
        <v>-2086868</v>
      </c>
      <c r="J54">
        <v>0</v>
      </c>
      <c r="K54" s="11">
        <v>0</v>
      </c>
      <c r="L54" s="11">
        <v>0</v>
      </c>
      <c r="M54">
        <v>0</v>
      </c>
      <c r="N54" s="13">
        <f t="shared" si="1"/>
        <v>0</v>
      </c>
      <c r="O54" s="11">
        <v>0</v>
      </c>
      <c r="P54" s="11">
        <v>0</v>
      </c>
      <c r="Q54" s="11">
        <v>0</v>
      </c>
      <c r="R54" s="11">
        <v>0</v>
      </c>
      <c r="S54" s="3">
        <f t="shared" si="2"/>
        <v>-2086868</v>
      </c>
      <c r="T54" s="13">
        <v>-2086868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1">
        <v>-2086868</v>
      </c>
      <c r="AE54" s="13">
        <f t="shared" si="3"/>
        <v>0</v>
      </c>
    </row>
    <row r="55" spans="1:31">
      <c r="A55" s="11" t="b">
        <f t="shared" si="5"/>
        <v>1</v>
      </c>
      <c r="B55" s="11" t="str">
        <f>+Hoja2!A52</f>
        <v>3.1.07.833</v>
      </c>
      <c r="C55" t="s">
        <v>155</v>
      </c>
      <c r="D55" t="s">
        <v>156</v>
      </c>
      <c r="E55" s="11">
        <v>0</v>
      </c>
      <c r="F55" s="1">
        <v>-198798</v>
      </c>
      <c r="G55" s="11">
        <v>0</v>
      </c>
      <c r="H55" s="1">
        <v>-198798</v>
      </c>
      <c r="I55" s="13">
        <f t="shared" si="0"/>
        <v>0</v>
      </c>
      <c r="J55" s="1">
        <v>-240703</v>
      </c>
      <c r="K55" s="1">
        <v>-198798</v>
      </c>
      <c r="L55" s="1">
        <v>-198798</v>
      </c>
      <c r="M55" s="11">
        <v>0</v>
      </c>
      <c r="N55" s="13">
        <f t="shared" si="1"/>
        <v>0</v>
      </c>
      <c r="O55" s="1">
        <v>-198795</v>
      </c>
      <c r="P55" s="1">
        <v>-198794</v>
      </c>
      <c r="Q55" s="1">
        <v>-198794</v>
      </c>
      <c r="R55" s="1">
        <v>-198794</v>
      </c>
      <c r="S55" s="3">
        <f t="shared" si="2"/>
        <v>-1831072</v>
      </c>
      <c r="T55">
        <v>0</v>
      </c>
      <c r="U55" s="11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11">
        <v>0</v>
      </c>
      <c r="AC55">
        <v>0</v>
      </c>
      <c r="AD55" s="1">
        <v>-1831072</v>
      </c>
      <c r="AE55" s="13">
        <f t="shared" si="3"/>
        <v>0</v>
      </c>
    </row>
    <row r="56" spans="1:31">
      <c r="A56" s="11" t="b">
        <f t="shared" si="5"/>
        <v>1</v>
      </c>
      <c r="B56" s="11" t="str">
        <f>+Hoja2!A53</f>
        <v>3.1.08.701</v>
      </c>
      <c r="C56" t="s">
        <v>147</v>
      </c>
      <c r="D56" t="s">
        <v>148</v>
      </c>
      <c r="E56" s="13">
        <v>-2536839</v>
      </c>
      <c r="F56" s="13">
        <v>-7755</v>
      </c>
      <c r="G56">
        <v>0</v>
      </c>
      <c r="H56" s="13">
        <v>-21504</v>
      </c>
      <c r="I56" s="13">
        <f t="shared" si="0"/>
        <v>0</v>
      </c>
      <c r="J56" s="13">
        <v>-487541</v>
      </c>
      <c r="K56" s="13">
        <v>-1254276</v>
      </c>
      <c r="L56" s="13">
        <v>-360194</v>
      </c>
      <c r="M56">
        <v>0</v>
      </c>
      <c r="N56" s="13">
        <f t="shared" si="1"/>
        <v>0</v>
      </c>
      <c r="O56" s="13">
        <v>-1240499</v>
      </c>
      <c r="P56" s="13">
        <v>-1149838</v>
      </c>
      <c r="Q56" s="13">
        <v>-1025687</v>
      </c>
      <c r="R56" s="13">
        <v>-762204</v>
      </c>
      <c r="S56" s="3">
        <f t="shared" si="2"/>
        <v>-8846337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13">
        <v>-8846337</v>
      </c>
      <c r="AE56" s="13">
        <f t="shared" si="3"/>
        <v>0</v>
      </c>
    </row>
    <row r="57" spans="1:31">
      <c r="A57" s="11" t="b">
        <f t="shared" si="5"/>
        <v>1</v>
      </c>
      <c r="B57" s="11" t="str">
        <f>+Hoja2!A54</f>
        <v>3.2.08.105</v>
      </c>
      <c r="C57" t="s">
        <v>132</v>
      </c>
      <c r="D57" t="s">
        <v>133</v>
      </c>
      <c r="E57">
        <v>0</v>
      </c>
      <c r="F57">
        <v>0</v>
      </c>
      <c r="G57">
        <v>0</v>
      </c>
      <c r="H57">
        <v>0</v>
      </c>
      <c r="I57" s="13">
        <f t="shared" si="0"/>
        <v>0</v>
      </c>
      <c r="J57">
        <v>0</v>
      </c>
      <c r="K57" s="13">
        <v>-8446</v>
      </c>
      <c r="L57">
        <v>0</v>
      </c>
      <c r="M57">
        <v>0</v>
      </c>
      <c r="N57" s="13">
        <f t="shared" si="1"/>
        <v>0</v>
      </c>
      <c r="O57">
        <v>0</v>
      </c>
      <c r="P57">
        <v>0</v>
      </c>
      <c r="Q57" s="13">
        <v>-4101</v>
      </c>
      <c r="R57" s="13">
        <v>-6758</v>
      </c>
      <c r="S57" s="3">
        <f t="shared" si="2"/>
        <v>-19305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3">
        <v>-19305</v>
      </c>
      <c r="AE57" s="13">
        <f t="shared" si="3"/>
        <v>0</v>
      </c>
    </row>
    <row r="58" spans="1:31">
      <c r="A58" s="11" t="b">
        <f t="shared" si="5"/>
        <v>1</v>
      </c>
      <c r="B58" s="11" t="str">
        <f>+Hoja2!A55</f>
        <v>3.2.08.114</v>
      </c>
      <c r="C58" t="s">
        <v>134</v>
      </c>
      <c r="D58" t="s">
        <v>135</v>
      </c>
      <c r="E58">
        <v>0</v>
      </c>
      <c r="F58">
        <v>0</v>
      </c>
      <c r="G58">
        <v>0</v>
      </c>
      <c r="H58">
        <v>0</v>
      </c>
      <c r="I58" s="13">
        <f t="shared" si="0"/>
        <v>0</v>
      </c>
      <c r="J58">
        <v>0</v>
      </c>
      <c r="K58">
        <v>0</v>
      </c>
      <c r="L58">
        <v>0</v>
      </c>
      <c r="M58">
        <v>0</v>
      </c>
      <c r="N58" s="13">
        <f t="shared" si="1"/>
        <v>0</v>
      </c>
      <c r="O58">
        <v>0</v>
      </c>
      <c r="P58">
        <v>0</v>
      </c>
      <c r="S58" s="3">
        <f t="shared" si="2"/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s="13">
        <f t="shared" si="3"/>
        <v>0</v>
      </c>
    </row>
    <row r="59" spans="1:31">
      <c r="A59" s="11" t="b">
        <f t="shared" si="5"/>
        <v>1</v>
      </c>
      <c r="B59" s="11" t="str">
        <f>+Hoja2!A56</f>
        <v>3.2.08.116</v>
      </c>
      <c r="C59" t="s">
        <v>136</v>
      </c>
      <c r="D59" t="s">
        <v>137</v>
      </c>
      <c r="E59">
        <v>0</v>
      </c>
      <c r="F59">
        <v>0</v>
      </c>
      <c r="G59">
        <v>0</v>
      </c>
      <c r="H59">
        <v>0</v>
      </c>
      <c r="I59" s="13">
        <f t="shared" si="0"/>
        <v>0</v>
      </c>
      <c r="J59" s="13">
        <v>5791</v>
      </c>
      <c r="K59" s="11">
        <v>0</v>
      </c>
      <c r="L59">
        <v>0</v>
      </c>
      <c r="M59">
        <v>0</v>
      </c>
      <c r="N59" s="13">
        <f t="shared" si="1"/>
        <v>0</v>
      </c>
      <c r="O59">
        <v>0</v>
      </c>
      <c r="P59">
        <v>0</v>
      </c>
      <c r="Q59" s="11">
        <v>0</v>
      </c>
      <c r="R59" s="11">
        <v>0</v>
      </c>
      <c r="S59" s="3">
        <f t="shared" si="2"/>
        <v>5791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1">
        <v>5791</v>
      </c>
      <c r="AE59" s="13">
        <f t="shared" si="3"/>
        <v>0</v>
      </c>
    </row>
    <row r="60" spans="1:31">
      <c r="A60" s="11" t="b">
        <f t="shared" si="5"/>
        <v>1</v>
      </c>
      <c r="B60" s="11" t="str">
        <f>+Hoja2!A57</f>
        <v>3.2.08.117</v>
      </c>
      <c r="C60" t="s">
        <v>138</v>
      </c>
      <c r="D60" t="s">
        <v>139</v>
      </c>
      <c r="E60">
        <v>0</v>
      </c>
      <c r="F60">
        <v>0</v>
      </c>
      <c r="G60">
        <v>0</v>
      </c>
      <c r="H60">
        <v>0</v>
      </c>
      <c r="I60" s="13">
        <f t="shared" si="0"/>
        <v>0</v>
      </c>
      <c r="J60">
        <v>0</v>
      </c>
      <c r="K60">
        <v>0</v>
      </c>
      <c r="L60">
        <v>0</v>
      </c>
      <c r="M60">
        <v>0</v>
      </c>
      <c r="N60" s="13">
        <f t="shared" si="1"/>
        <v>0</v>
      </c>
      <c r="O60">
        <v>0</v>
      </c>
      <c r="P60">
        <v>0</v>
      </c>
      <c r="S60" s="3">
        <f t="shared" si="2"/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s="13">
        <f t="shared" si="3"/>
        <v>0</v>
      </c>
    </row>
    <row r="61" spans="1:31">
      <c r="A61" s="11" t="b">
        <f t="shared" si="5"/>
        <v>1</v>
      </c>
      <c r="B61" s="11" t="str">
        <f>+Hoja2!A58</f>
        <v>3.2.11.158</v>
      </c>
      <c r="C61" t="s">
        <v>140</v>
      </c>
      <c r="D61" t="s">
        <v>141</v>
      </c>
      <c r="I61" s="13">
        <f t="shared" si="0"/>
        <v>0</v>
      </c>
      <c r="J61" s="13">
        <v>24026172</v>
      </c>
      <c r="N61" s="13">
        <f t="shared" si="1"/>
        <v>0</v>
      </c>
      <c r="S61" s="3">
        <f t="shared" si="2"/>
        <v>24026172</v>
      </c>
      <c r="AD61" s="13">
        <v>24026172</v>
      </c>
      <c r="AE61" s="13">
        <f t="shared" si="3"/>
        <v>0</v>
      </c>
    </row>
    <row r="62" spans="1:31">
      <c r="A62" s="11" t="b">
        <f t="shared" si="5"/>
        <v>1</v>
      </c>
      <c r="B62" s="11" t="str">
        <f>+Hoja2!A59</f>
        <v>3.2.13.101</v>
      </c>
      <c r="C62" t="s">
        <v>159</v>
      </c>
      <c r="D62" t="s">
        <v>160</v>
      </c>
      <c r="E62">
        <v>0</v>
      </c>
      <c r="F62">
        <v>0</v>
      </c>
      <c r="G62">
        <v>0</v>
      </c>
      <c r="H62">
        <v>0</v>
      </c>
      <c r="I62" s="13">
        <f t="shared" si="0"/>
        <v>0</v>
      </c>
      <c r="J62" s="13">
        <v>-623797</v>
      </c>
      <c r="K62">
        <v>0</v>
      </c>
      <c r="L62">
        <v>0</v>
      </c>
      <c r="M62">
        <v>0</v>
      </c>
      <c r="N62" s="13">
        <f t="shared" si="1"/>
        <v>0</v>
      </c>
      <c r="O62">
        <v>0</v>
      </c>
      <c r="P62">
        <v>0</v>
      </c>
      <c r="Q62">
        <v>0</v>
      </c>
      <c r="R62">
        <v>0</v>
      </c>
      <c r="S62" s="3">
        <f t="shared" si="2"/>
        <v>-623797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s="13">
        <v>-623797</v>
      </c>
      <c r="AE62" s="13">
        <f t="shared" si="3"/>
        <v>0</v>
      </c>
    </row>
    <row r="63" spans="1:31">
      <c r="A63" s="11" t="b">
        <f t="shared" si="5"/>
        <v>1</v>
      </c>
      <c r="B63" s="11" t="str">
        <f>+Hoja2!A60</f>
        <v>3.2.13.109</v>
      </c>
      <c r="C63" t="s">
        <v>149</v>
      </c>
      <c r="D63" t="s">
        <v>150</v>
      </c>
      <c r="E63">
        <v>0</v>
      </c>
      <c r="F63">
        <v>0</v>
      </c>
      <c r="G63">
        <v>0</v>
      </c>
      <c r="H63">
        <v>0</v>
      </c>
      <c r="I63" s="13">
        <f t="shared" si="0"/>
        <v>0</v>
      </c>
      <c r="J63" s="11">
        <v>-34</v>
      </c>
      <c r="K63">
        <v>0</v>
      </c>
      <c r="L63">
        <v>0</v>
      </c>
      <c r="M63">
        <v>0</v>
      </c>
      <c r="N63" s="13">
        <f t="shared" si="1"/>
        <v>0</v>
      </c>
      <c r="O63">
        <v>0</v>
      </c>
      <c r="P63">
        <v>0</v>
      </c>
      <c r="Q63">
        <v>0</v>
      </c>
      <c r="R63">
        <v>0</v>
      </c>
      <c r="S63" s="3">
        <f t="shared" si="2"/>
        <v>-34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s="11">
        <v>-34</v>
      </c>
      <c r="AE63" s="13">
        <f t="shared" si="3"/>
        <v>0</v>
      </c>
    </row>
    <row r="64" spans="1:31">
      <c r="A64" s="11" t="b">
        <f t="shared" si="5"/>
        <v>0</v>
      </c>
      <c r="B64" s="11">
        <f>+Hoja2!A61</f>
        <v>0</v>
      </c>
      <c r="D64" t="s">
        <v>31</v>
      </c>
      <c r="E64" s="13">
        <v>-8184789</v>
      </c>
      <c r="F64" s="13">
        <v>32964864</v>
      </c>
      <c r="G64">
        <v>0</v>
      </c>
      <c r="H64" s="13">
        <v>23111537</v>
      </c>
      <c r="I64" s="13">
        <f t="shared" si="0"/>
        <v>39249107</v>
      </c>
      <c r="J64" s="11">
        <v>0</v>
      </c>
      <c r="K64" s="1">
        <v>47457079</v>
      </c>
      <c r="L64" s="13">
        <v>21001665</v>
      </c>
      <c r="M64">
        <v>0</v>
      </c>
      <c r="N64" s="13">
        <f t="shared" si="1"/>
        <v>176430</v>
      </c>
      <c r="O64" s="13">
        <v>35890391</v>
      </c>
      <c r="P64" s="13">
        <v>16930023</v>
      </c>
      <c r="Q64" s="1">
        <v>16796815</v>
      </c>
      <c r="R64" s="1">
        <v>24972244</v>
      </c>
      <c r="S64" s="2">
        <v>0</v>
      </c>
      <c r="T64" s="13">
        <v>3751074</v>
      </c>
      <c r="U64" s="13">
        <v>35498033</v>
      </c>
      <c r="V64">
        <v>0</v>
      </c>
      <c r="W64">
        <v>0</v>
      </c>
      <c r="X64">
        <v>0</v>
      </c>
      <c r="Y64" s="13">
        <v>176430</v>
      </c>
      <c r="Z64">
        <v>0</v>
      </c>
      <c r="AA64">
        <v>0</v>
      </c>
      <c r="AB64">
        <v>0</v>
      </c>
      <c r="AC64">
        <v>0</v>
      </c>
      <c r="AD64" s="1">
        <v>250365366</v>
      </c>
      <c r="AE64" s="13">
        <f t="shared" si="3"/>
        <v>-250365366</v>
      </c>
    </row>
    <row r="67" spans="4:30">
      <c r="D67" t="s">
        <v>41</v>
      </c>
      <c r="E67" s="13">
        <v>5408771</v>
      </c>
      <c r="F67" s="13">
        <v>-17793331</v>
      </c>
      <c r="G67">
        <v>0</v>
      </c>
      <c r="H67" s="13">
        <v>-11944357</v>
      </c>
      <c r="I67" s="13"/>
      <c r="J67">
        <v>0</v>
      </c>
      <c r="K67" s="13">
        <v>-25225586</v>
      </c>
      <c r="L67" s="13">
        <v>-11217876</v>
      </c>
      <c r="M67">
        <v>0</v>
      </c>
      <c r="O67" s="13">
        <v>-19393461</v>
      </c>
      <c r="P67" s="13">
        <v>-9135162</v>
      </c>
      <c r="Q67" s="13">
        <v>-9119820</v>
      </c>
      <c r="R67" s="13">
        <v>-13655123</v>
      </c>
      <c r="S67" s="2">
        <v>0</v>
      </c>
      <c r="T67">
        <v>0</v>
      </c>
      <c r="U67" s="13">
        <v>-25096498</v>
      </c>
      <c r="V67" s="13">
        <v>-554918</v>
      </c>
      <c r="W67" s="13">
        <v>-336821</v>
      </c>
      <c r="X67">
        <v>0</v>
      </c>
      <c r="Y67" s="13">
        <v>-1542233</v>
      </c>
      <c r="Z67">
        <v>0</v>
      </c>
      <c r="AA67">
        <v>0</v>
      </c>
      <c r="AB67">
        <v>0</v>
      </c>
      <c r="AC67">
        <v>0</v>
      </c>
      <c r="AD67" s="13">
        <v>-139606415</v>
      </c>
    </row>
    <row r="68" spans="4:30">
      <c r="E68" s="11"/>
      <c r="F68" s="11"/>
      <c r="H68" s="11"/>
      <c r="K68" s="11"/>
      <c r="L68" s="11"/>
      <c r="O68" s="11"/>
      <c r="P68" s="11"/>
      <c r="Q68" s="11"/>
      <c r="R68" s="11"/>
      <c r="U68" s="11"/>
      <c r="AD68" s="11"/>
    </row>
    <row r="69" spans="4:30">
      <c r="D69" t="s">
        <v>42</v>
      </c>
      <c r="E69" s="14">
        <v>0.3392</v>
      </c>
      <c r="F69" s="14">
        <v>0.4602</v>
      </c>
      <c r="G69" s="14">
        <v>0</v>
      </c>
      <c r="H69" s="14">
        <v>0.48320000000000002</v>
      </c>
      <c r="I69" s="14"/>
      <c r="J69" s="14">
        <v>0</v>
      </c>
      <c r="K69" s="14">
        <v>0.46850000000000003</v>
      </c>
      <c r="L69" s="14">
        <v>0.46589999999999998</v>
      </c>
      <c r="M69" s="14">
        <v>0</v>
      </c>
      <c r="N69" s="14"/>
      <c r="O69" s="14">
        <v>0.45960000000000001</v>
      </c>
      <c r="P69" s="14">
        <v>0.46039999999999998</v>
      </c>
      <c r="Q69" s="14">
        <v>0.45710000000000001</v>
      </c>
      <c r="R69" s="14">
        <v>0.45319999999999999</v>
      </c>
      <c r="S69" s="6">
        <v>0</v>
      </c>
      <c r="T69" s="14">
        <v>1</v>
      </c>
      <c r="U69" s="14">
        <v>0.29299999999999998</v>
      </c>
      <c r="V69" s="14">
        <v>0</v>
      </c>
      <c r="W69" s="14">
        <v>0</v>
      </c>
      <c r="X69" s="14">
        <v>0</v>
      </c>
      <c r="Y69" s="14">
        <v>7.7412999999999998</v>
      </c>
      <c r="Z69" s="14">
        <v>0</v>
      </c>
      <c r="AA69" s="14">
        <v>0</v>
      </c>
      <c r="AB69" s="14">
        <v>0</v>
      </c>
      <c r="AC69" s="14">
        <v>0</v>
      </c>
      <c r="AD69" s="14">
        <v>0.44240000000000002</v>
      </c>
    </row>
    <row r="70" spans="4:30">
      <c r="D70" t="s">
        <v>43</v>
      </c>
      <c r="E70" s="13">
        <v>-2776018</v>
      </c>
      <c r="F70" s="13">
        <v>15171533</v>
      </c>
      <c r="G70">
        <v>0</v>
      </c>
      <c r="H70" s="13">
        <v>11167180</v>
      </c>
      <c r="I70" s="13"/>
      <c r="J70">
        <v>0</v>
      </c>
      <c r="K70" s="13">
        <v>22231493</v>
      </c>
      <c r="L70" s="13">
        <v>9783789</v>
      </c>
      <c r="M70">
        <v>0</v>
      </c>
      <c r="O70" s="13">
        <v>16496930</v>
      </c>
      <c r="P70" s="13">
        <v>7794861</v>
      </c>
      <c r="Q70" s="13">
        <v>7676995</v>
      </c>
      <c r="R70" s="13">
        <v>11317121</v>
      </c>
      <c r="S70" s="2">
        <v>0</v>
      </c>
      <c r="T70" s="13">
        <v>3751074</v>
      </c>
      <c r="U70" s="13">
        <v>10401535</v>
      </c>
      <c r="V70" s="13">
        <v>-554918</v>
      </c>
      <c r="W70" s="13">
        <v>-336821</v>
      </c>
      <c r="X70">
        <v>0</v>
      </c>
      <c r="Y70" s="13">
        <v>-1365803</v>
      </c>
      <c r="Z70">
        <v>0</v>
      </c>
      <c r="AA70">
        <v>0</v>
      </c>
      <c r="AB70">
        <v>0</v>
      </c>
      <c r="AC70">
        <v>0</v>
      </c>
      <c r="AD70" s="13">
        <v>110758951</v>
      </c>
    </row>
    <row r="71" spans="4:30">
      <c r="E71" s="11"/>
      <c r="F71" s="11"/>
      <c r="H71" s="11"/>
      <c r="J71" s="11"/>
      <c r="K71" s="11"/>
      <c r="L71" s="11"/>
      <c r="O71" s="11"/>
      <c r="P71" s="11"/>
      <c r="Q71" s="11"/>
      <c r="R71" s="11"/>
      <c r="AD71" s="11"/>
    </row>
    <row r="72" spans="4:30">
      <c r="D72" t="s">
        <v>130</v>
      </c>
      <c r="E72" s="13">
        <v>-4132600</v>
      </c>
      <c r="F72" s="13">
        <v>-18373033</v>
      </c>
      <c r="G72" s="13">
        <v>-11619</v>
      </c>
      <c r="H72" s="13">
        <v>-17773928</v>
      </c>
      <c r="I72" s="13"/>
      <c r="J72" s="13">
        <v>-11435108</v>
      </c>
      <c r="K72" s="13">
        <v>-30652774</v>
      </c>
      <c r="L72" s="13">
        <v>-18891635</v>
      </c>
      <c r="M72" s="13">
        <v>134481</v>
      </c>
      <c r="N72" s="13"/>
      <c r="O72" s="13">
        <v>-19723514</v>
      </c>
      <c r="P72" s="13">
        <v>-11155318</v>
      </c>
      <c r="Q72" s="13">
        <v>-13492838</v>
      </c>
      <c r="R72" s="13">
        <v>-17366628</v>
      </c>
      <c r="S72" s="2">
        <v>0</v>
      </c>
      <c r="T72">
        <v>0</v>
      </c>
      <c r="U72" s="13">
        <v>-6116097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13">
        <v>-1984002</v>
      </c>
      <c r="AC72">
        <v>0</v>
      </c>
      <c r="AD72" s="13">
        <v>-170974613</v>
      </c>
    </row>
    <row r="73" spans="4:30">
      <c r="E73" s="11"/>
      <c r="F73" s="11"/>
      <c r="J73" s="11"/>
      <c r="K73" s="11"/>
      <c r="L73" s="11"/>
      <c r="O73" s="11"/>
      <c r="P73" s="11"/>
      <c r="Q73" s="11"/>
      <c r="R73" s="11"/>
      <c r="U73" s="11"/>
      <c r="W73" s="11"/>
      <c r="AA73" s="11"/>
      <c r="AD73" s="11"/>
    </row>
    <row r="74" spans="4:30">
      <c r="D74" t="s">
        <v>131</v>
      </c>
      <c r="E74" s="13">
        <v>-6908618</v>
      </c>
      <c r="F74" s="13">
        <v>-3201500</v>
      </c>
      <c r="G74" s="13">
        <v>-11619</v>
      </c>
      <c r="H74" s="13">
        <v>-6606748</v>
      </c>
      <c r="I74" s="13"/>
      <c r="J74" s="13">
        <v>-11435108</v>
      </c>
      <c r="K74" s="13">
        <v>-8421281</v>
      </c>
      <c r="L74" s="13">
        <v>-9107846</v>
      </c>
      <c r="M74" s="13">
        <v>134481</v>
      </c>
      <c r="N74" s="13"/>
      <c r="O74" s="13">
        <v>-3226584</v>
      </c>
      <c r="P74" s="13">
        <v>-3360457</v>
      </c>
      <c r="Q74" s="13">
        <v>-5815843</v>
      </c>
      <c r="R74" s="13">
        <v>-6049507</v>
      </c>
      <c r="S74" s="2">
        <v>0</v>
      </c>
      <c r="T74" s="13">
        <v>3751074</v>
      </c>
      <c r="U74" s="13">
        <v>4285438</v>
      </c>
      <c r="V74" s="13">
        <v>-554918</v>
      </c>
      <c r="W74" s="13">
        <v>-336821</v>
      </c>
      <c r="X74">
        <v>0</v>
      </c>
      <c r="Y74" s="13">
        <v>-1365803</v>
      </c>
      <c r="Z74">
        <v>0</v>
      </c>
      <c r="AA74">
        <v>0</v>
      </c>
      <c r="AB74" s="13">
        <v>-1984002</v>
      </c>
      <c r="AC74">
        <v>0</v>
      </c>
      <c r="AD74" s="13">
        <v>-60215662</v>
      </c>
    </row>
    <row r="75" spans="4:30">
      <c r="E75" s="11"/>
      <c r="F75" s="11"/>
      <c r="J75" s="11"/>
      <c r="K75" s="11"/>
      <c r="L75" s="11"/>
      <c r="O75" s="11"/>
      <c r="P75" s="11"/>
      <c r="Q75" s="11"/>
      <c r="R75" s="11"/>
      <c r="U75" s="11"/>
      <c r="W75" s="11"/>
      <c r="AA75" s="11"/>
      <c r="AD75" s="11"/>
    </row>
    <row r="76" spans="4:30">
      <c r="D76" t="s">
        <v>142</v>
      </c>
      <c r="E76">
        <v>0</v>
      </c>
      <c r="F76">
        <v>0</v>
      </c>
      <c r="G76">
        <v>0</v>
      </c>
      <c r="H76">
        <v>0</v>
      </c>
      <c r="J76" s="13">
        <v>24031963</v>
      </c>
      <c r="K76" s="13">
        <v>-8446</v>
      </c>
      <c r="L76">
        <v>0</v>
      </c>
      <c r="M76">
        <v>0</v>
      </c>
      <c r="O76">
        <v>0</v>
      </c>
      <c r="P76">
        <v>0</v>
      </c>
      <c r="Q76" s="13">
        <v>-4101</v>
      </c>
      <c r="R76" s="13">
        <v>-6758</v>
      </c>
      <c r="S76" s="2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s="13">
        <v>24012658</v>
      </c>
    </row>
    <row r="78" spans="4:30">
      <c r="T78" s="11"/>
      <c r="AD78" s="11"/>
    </row>
    <row r="79" spans="4:30">
      <c r="D79" t="s">
        <v>151</v>
      </c>
      <c r="E79" s="13">
        <v>-4701534</v>
      </c>
      <c r="F79" s="1">
        <v>14025</v>
      </c>
      <c r="G79">
        <v>0</v>
      </c>
      <c r="H79" s="11">
        <v>276</v>
      </c>
      <c r="J79" s="1">
        <v>-487575</v>
      </c>
      <c r="K79" s="1">
        <v>-1232496</v>
      </c>
      <c r="L79" s="1">
        <v>-338414</v>
      </c>
      <c r="M79">
        <v>0</v>
      </c>
      <c r="O79" s="1">
        <v>-1218719</v>
      </c>
      <c r="P79" s="1">
        <v>-1128058</v>
      </c>
      <c r="Q79" s="1">
        <v>-1003907</v>
      </c>
      <c r="R79" s="1">
        <v>-740424</v>
      </c>
      <c r="S79" s="2">
        <v>0</v>
      </c>
      <c r="T79">
        <v>0</v>
      </c>
      <c r="U79" s="13">
        <v>2391874</v>
      </c>
      <c r="V79">
        <v>0</v>
      </c>
      <c r="W79" s="13">
        <v>-175747</v>
      </c>
      <c r="X79">
        <v>0</v>
      </c>
      <c r="Y79">
        <v>0</v>
      </c>
      <c r="Z79">
        <v>0</v>
      </c>
      <c r="AA79" s="13">
        <v>-2866174</v>
      </c>
      <c r="AB79">
        <v>0</v>
      </c>
      <c r="AC79">
        <v>0</v>
      </c>
      <c r="AD79" s="1">
        <v>-11486873</v>
      </c>
    </row>
    <row r="81" spans="4:30">
      <c r="D81" t="s">
        <v>152</v>
      </c>
      <c r="E81" s="13">
        <v>-4701534</v>
      </c>
      <c r="F81" s="1">
        <v>14025</v>
      </c>
      <c r="G81">
        <v>0</v>
      </c>
      <c r="H81" s="11">
        <v>276</v>
      </c>
      <c r="J81" s="1">
        <v>23544388</v>
      </c>
      <c r="K81" s="1">
        <v>-1240942</v>
      </c>
      <c r="L81" s="1">
        <v>-338414</v>
      </c>
      <c r="M81">
        <v>0</v>
      </c>
      <c r="O81" s="1">
        <v>-1218719</v>
      </c>
      <c r="P81" s="1">
        <v>-1128058</v>
      </c>
      <c r="Q81" s="1">
        <v>-1008008</v>
      </c>
      <c r="R81" s="1">
        <v>-747182</v>
      </c>
      <c r="S81" s="2">
        <v>0</v>
      </c>
      <c r="T81" s="11">
        <v>0</v>
      </c>
      <c r="U81" s="13">
        <v>2391874</v>
      </c>
      <c r="V81">
        <v>0</v>
      </c>
      <c r="W81" s="13">
        <v>-175747</v>
      </c>
      <c r="X81">
        <v>0</v>
      </c>
      <c r="Y81">
        <v>0</v>
      </c>
      <c r="Z81">
        <v>0</v>
      </c>
      <c r="AA81" s="13">
        <v>-2866174</v>
      </c>
      <c r="AB81">
        <v>0</v>
      </c>
      <c r="AC81">
        <v>0</v>
      </c>
      <c r="AD81" s="1">
        <v>12525785</v>
      </c>
    </row>
    <row r="83" spans="4:30">
      <c r="D83" t="s">
        <v>157</v>
      </c>
      <c r="E83" s="11">
        <v>0</v>
      </c>
      <c r="F83" s="1">
        <v>-198798</v>
      </c>
      <c r="G83" s="11">
        <v>0</v>
      </c>
      <c r="H83" s="1">
        <v>-198798</v>
      </c>
      <c r="I83" s="13"/>
      <c r="J83" s="1">
        <v>-240703</v>
      </c>
      <c r="K83" s="1">
        <v>-198798</v>
      </c>
      <c r="L83" s="1">
        <v>-198798</v>
      </c>
      <c r="M83" s="11">
        <v>0</v>
      </c>
      <c r="O83" s="1">
        <v>-198795</v>
      </c>
      <c r="P83" s="1">
        <v>-198794</v>
      </c>
      <c r="Q83" s="1">
        <v>-198794</v>
      </c>
      <c r="R83" s="1">
        <v>-198794</v>
      </c>
      <c r="S83" s="2">
        <v>0</v>
      </c>
      <c r="T83" s="1">
        <v>-2086868</v>
      </c>
      <c r="U83" s="11">
        <v>0</v>
      </c>
      <c r="V83" s="11">
        <v>0</v>
      </c>
      <c r="W83" s="11">
        <v>0</v>
      </c>
      <c r="X83">
        <v>0</v>
      </c>
      <c r="Y83" s="11">
        <v>0</v>
      </c>
      <c r="Z83">
        <v>0</v>
      </c>
      <c r="AA83" s="11">
        <v>0</v>
      </c>
      <c r="AB83" s="11">
        <v>0</v>
      </c>
      <c r="AC83">
        <v>0</v>
      </c>
      <c r="AD83" s="1">
        <v>-3917940</v>
      </c>
    </row>
    <row r="85" spans="4:30">
      <c r="D85" t="s">
        <v>158</v>
      </c>
      <c r="E85" s="13">
        <v>-11610152</v>
      </c>
      <c r="F85" s="13">
        <v>-3386273</v>
      </c>
      <c r="G85" s="13">
        <v>-11619</v>
      </c>
      <c r="H85" s="13">
        <v>-6805270</v>
      </c>
      <c r="I85" s="13"/>
      <c r="J85" s="13">
        <v>11868577</v>
      </c>
      <c r="K85" s="13">
        <v>-9861021</v>
      </c>
      <c r="L85" s="13">
        <v>-9645058</v>
      </c>
      <c r="M85" s="13">
        <v>134481</v>
      </c>
      <c r="N85" s="13"/>
      <c r="O85" s="13">
        <v>-4644098</v>
      </c>
      <c r="P85" s="13">
        <v>-4687309</v>
      </c>
      <c r="Q85" s="13">
        <v>-7022645</v>
      </c>
      <c r="R85" s="13">
        <v>-6995483</v>
      </c>
      <c r="S85" s="2">
        <v>0</v>
      </c>
      <c r="T85" s="13">
        <v>1664206</v>
      </c>
      <c r="U85" s="13">
        <v>6677312</v>
      </c>
      <c r="V85" s="13">
        <v>-554918</v>
      </c>
      <c r="W85" s="13">
        <v>-512568</v>
      </c>
      <c r="X85">
        <v>0</v>
      </c>
      <c r="Y85" s="13">
        <v>-1365803</v>
      </c>
      <c r="Z85">
        <v>0</v>
      </c>
      <c r="AA85" s="13">
        <v>-2866174</v>
      </c>
      <c r="AB85" s="13">
        <v>-1984002</v>
      </c>
      <c r="AC85">
        <v>0</v>
      </c>
      <c r="AD85" s="13">
        <v>-51607817</v>
      </c>
    </row>
    <row r="86" spans="4:30">
      <c r="J86" s="11"/>
      <c r="AD86" s="11"/>
    </row>
    <row r="87" spans="4:30">
      <c r="E87">
        <v>0</v>
      </c>
      <c r="F87">
        <v>0</v>
      </c>
      <c r="G87">
        <v>0</v>
      </c>
      <c r="H87">
        <v>0</v>
      </c>
      <c r="J87" s="1">
        <v>-623797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 s="2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s="1">
        <v>-623797</v>
      </c>
    </row>
    <row r="90" spans="4:30">
      <c r="D90" t="s">
        <v>161</v>
      </c>
      <c r="E90" s="1">
        <v>-11610152</v>
      </c>
      <c r="F90" s="1">
        <v>-3386273</v>
      </c>
      <c r="G90" s="1">
        <v>-11619</v>
      </c>
      <c r="H90" s="1">
        <v>-6805270</v>
      </c>
      <c r="I90" s="13"/>
      <c r="J90" s="1">
        <v>11244780</v>
      </c>
      <c r="K90" s="1">
        <v>-9861021</v>
      </c>
      <c r="L90" s="1">
        <v>-9645058</v>
      </c>
      <c r="M90" s="1">
        <v>134481</v>
      </c>
      <c r="N90" s="13"/>
      <c r="O90" s="1">
        <v>-4644098</v>
      </c>
      <c r="P90" s="1">
        <v>-4687309</v>
      </c>
      <c r="Q90" s="1">
        <v>-7022645</v>
      </c>
      <c r="R90" s="1">
        <v>-6995483</v>
      </c>
      <c r="S90" s="2">
        <v>0</v>
      </c>
      <c r="T90" s="1">
        <v>1664206</v>
      </c>
      <c r="U90" s="1">
        <v>6677312</v>
      </c>
      <c r="V90" s="1">
        <v>-554918</v>
      </c>
      <c r="W90" s="1">
        <v>-512568</v>
      </c>
      <c r="X90">
        <v>0</v>
      </c>
      <c r="Y90" s="1">
        <v>-1365803</v>
      </c>
      <c r="Z90">
        <v>0</v>
      </c>
      <c r="AA90" s="1">
        <v>-2866174</v>
      </c>
      <c r="AB90" s="1">
        <v>-1984002</v>
      </c>
      <c r="AC90">
        <v>0</v>
      </c>
      <c r="AD90" s="1">
        <v>-52231614</v>
      </c>
    </row>
  </sheetData>
  <sortState xmlns:xlrd2="http://schemas.microsoft.com/office/spreadsheetml/2017/richdata2" ref="C2:AD93">
    <sortCondition ref="C2:C9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F1E5-2F9C-4B2B-9023-926FF2C515F8}">
  <dimension ref="A1:A60"/>
  <sheetViews>
    <sheetView workbookViewId="0">
      <selection sqref="A1:A60"/>
    </sheetView>
  </sheetViews>
  <sheetFormatPr baseColWidth="10" defaultRowHeight="14"/>
  <sheetData>
    <row r="1" spans="1:1">
      <c r="A1" s="12" t="s">
        <v>29</v>
      </c>
    </row>
    <row r="2" spans="1:1">
      <c r="A2" s="12" t="s">
        <v>143</v>
      </c>
    </row>
    <row r="3" spans="1:1">
      <c r="A3" s="12" t="s">
        <v>34</v>
      </c>
    </row>
    <row r="4" spans="1:1">
      <c r="A4" s="12" t="s">
        <v>145</v>
      </c>
    </row>
    <row r="5" spans="1:1">
      <c r="A5" s="12" t="s">
        <v>36</v>
      </c>
    </row>
    <row r="6" spans="1:1">
      <c r="A6" s="12" t="s">
        <v>38</v>
      </c>
    </row>
    <row r="7" spans="1:1">
      <c r="A7" s="12" t="s">
        <v>39</v>
      </c>
    </row>
    <row r="8" spans="1:1">
      <c r="A8" s="12" t="s">
        <v>44</v>
      </c>
    </row>
    <row r="9" spans="1:1">
      <c r="A9" s="15" t="s">
        <v>46</v>
      </c>
    </row>
    <row r="10" spans="1:1">
      <c r="A10" s="15" t="s">
        <v>48</v>
      </c>
    </row>
    <row r="11" spans="1:1">
      <c r="A11" s="15" t="s">
        <v>50</v>
      </c>
    </row>
    <row r="12" spans="1:1">
      <c r="A12" s="15" t="s">
        <v>52</v>
      </c>
    </row>
    <row r="13" spans="1:1">
      <c r="A13" s="15" t="s">
        <v>54</v>
      </c>
    </row>
    <row r="14" spans="1:1">
      <c r="A14" s="15" t="s">
        <v>56</v>
      </c>
    </row>
    <row r="15" spans="1:1">
      <c r="A15" s="15" t="s">
        <v>58</v>
      </c>
    </row>
    <row r="16" spans="1:1">
      <c r="A16" s="15" t="s">
        <v>60</v>
      </c>
    </row>
    <row r="17" spans="1:1">
      <c r="A17" s="15" t="s">
        <v>62</v>
      </c>
    </row>
    <row r="18" spans="1:1">
      <c r="A18" s="15" t="s">
        <v>64</v>
      </c>
    </row>
    <row r="19" spans="1:1">
      <c r="A19" s="12" t="s">
        <v>66</v>
      </c>
    </row>
    <row r="20" spans="1:1">
      <c r="A20" s="12" t="s">
        <v>68</v>
      </c>
    </row>
    <row r="21" spans="1:1">
      <c r="A21" s="12" t="s">
        <v>70</v>
      </c>
    </row>
    <row r="22" spans="1:1">
      <c r="A22" s="12" t="s">
        <v>72</v>
      </c>
    </row>
    <row r="23" spans="1:1">
      <c r="A23" s="12" t="s">
        <v>74</v>
      </c>
    </row>
    <row r="24" spans="1:1">
      <c r="A24" s="12" t="s">
        <v>76</v>
      </c>
    </row>
    <row r="25" spans="1:1">
      <c r="A25" s="12" t="s">
        <v>78</v>
      </c>
    </row>
    <row r="26" spans="1:1">
      <c r="A26" s="12" t="s">
        <v>80</v>
      </c>
    </row>
    <row r="27" spans="1:1">
      <c r="A27" s="15" t="s">
        <v>82</v>
      </c>
    </row>
    <row r="28" spans="1:1">
      <c r="A28" s="12" t="s">
        <v>84</v>
      </c>
    </row>
    <row r="29" spans="1:1">
      <c r="A29" s="12" t="s">
        <v>86</v>
      </c>
    </row>
    <row r="30" spans="1:1">
      <c r="A30" s="12" t="s">
        <v>88</v>
      </c>
    </row>
    <row r="31" spans="1:1">
      <c r="A31" s="12" t="s">
        <v>90</v>
      </c>
    </row>
    <row r="32" spans="1:1">
      <c r="A32" s="12" t="s">
        <v>92</v>
      </c>
    </row>
    <row r="33" spans="1:1">
      <c r="A33" s="15" t="s">
        <v>94</v>
      </c>
    </row>
    <row r="34" spans="1:1">
      <c r="A34" s="15" t="s">
        <v>96</v>
      </c>
    </row>
    <row r="35" spans="1:1">
      <c r="A35" s="12" t="s">
        <v>98</v>
      </c>
    </row>
    <row r="36" spans="1:1">
      <c r="A36" s="12" t="s">
        <v>100</v>
      </c>
    </row>
    <row r="37" spans="1:1">
      <c r="A37" s="12" t="s">
        <v>102</v>
      </c>
    </row>
    <row r="38" spans="1:1">
      <c r="A38" s="12" t="s">
        <v>104</v>
      </c>
    </row>
    <row r="39" spans="1:1">
      <c r="A39" s="12" t="s">
        <v>106</v>
      </c>
    </row>
    <row r="40" spans="1:1">
      <c r="A40" s="12" t="s">
        <v>108</v>
      </c>
    </row>
    <row r="41" spans="1:1">
      <c r="A41" s="12" t="s">
        <v>110</v>
      </c>
    </row>
    <row r="42" spans="1:1">
      <c r="A42" s="12" t="s">
        <v>112</v>
      </c>
    </row>
    <row r="43" spans="1:1">
      <c r="A43" s="12" t="s">
        <v>114</v>
      </c>
    </row>
    <row r="44" spans="1:1">
      <c r="A44" s="12" t="s">
        <v>116</v>
      </c>
    </row>
    <row r="45" spans="1:1">
      <c r="A45" s="12" t="s">
        <v>118</v>
      </c>
    </row>
    <row r="46" spans="1:1">
      <c r="A46" s="12" t="s">
        <v>120</v>
      </c>
    </row>
    <row r="47" spans="1:1">
      <c r="A47" s="12" t="s">
        <v>122</v>
      </c>
    </row>
    <row r="48" spans="1:1">
      <c r="A48" s="12" t="s">
        <v>124</v>
      </c>
    </row>
    <row r="49" spans="1:1">
      <c r="A49" s="12" t="s">
        <v>126</v>
      </c>
    </row>
    <row r="50" spans="1:1">
      <c r="A50" s="12" t="s">
        <v>128</v>
      </c>
    </row>
    <row r="51" spans="1:1">
      <c r="A51" s="12" t="s">
        <v>153</v>
      </c>
    </row>
    <row r="52" spans="1:1">
      <c r="A52" s="12" t="s">
        <v>155</v>
      </c>
    </row>
    <row r="53" spans="1:1">
      <c r="A53" s="12" t="s">
        <v>147</v>
      </c>
    </row>
    <row r="54" spans="1:1">
      <c r="A54" s="12" t="s">
        <v>132</v>
      </c>
    </row>
    <row r="55" spans="1:1">
      <c r="A55" s="12" t="s">
        <v>134</v>
      </c>
    </row>
    <row r="56" spans="1:1">
      <c r="A56" s="12" t="s">
        <v>136</v>
      </c>
    </row>
    <row r="57" spans="1:1">
      <c r="A57" s="12" t="s">
        <v>138</v>
      </c>
    </row>
    <row r="58" spans="1:1">
      <c r="A58" s="12" t="s">
        <v>140</v>
      </c>
    </row>
    <row r="59" spans="1:1">
      <c r="A59" s="12" t="s">
        <v>159</v>
      </c>
    </row>
    <row r="60" spans="1:1">
      <c r="A60" s="12" t="s">
        <v>149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A87A-2B97-4B35-BB6F-8ED5D2D871C2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7ED0D2-7E9A-442D-A11D-3236101E74DE}"/>
</file>

<file path=customXml/itemProps2.xml><?xml version="1.0" encoding="utf-8"?>
<ds:datastoreItem xmlns:ds="http://schemas.openxmlformats.org/officeDocument/2006/customXml" ds:itemID="{5FFA26C3-3BC4-4DC0-98F9-3E1D4A459CAA}"/>
</file>

<file path=customXml/itemProps3.xml><?xml version="1.0" encoding="utf-8"?>
<ds:datastoreItem xmlns:ds="http://schemas.openxmlformats.org/officeDocument/2006/customXml" ds:itemID="{2CDCD599-66BE-45AB-A5B6-C67FB3580E7C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2026-02-18T16:39:06Z</dcterms:created>
  <dcterms:modified xsi:type="dcterms:W3CDTF">2026-02-18T17:12:47Z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