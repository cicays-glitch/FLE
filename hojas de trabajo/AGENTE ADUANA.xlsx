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hojas de trabajo/"/>
    </mc:Choice>
  </mc:AlternateContent>
  <xr:revisionPtr revIDLastSave="1" documentId="8_{FC59099C-BA5F-4EDD-93D1-116A786C725D}" xr6:coauthVersionLast="47" xr6:coauthVersionMax="47" xr10:uidLastSave="{2BE2FC9E-E1C9-4FD5-B7E2-01A8FD1D600B}"/>
  <bookViews>
    <workbookView xWindow="-107" yWindow="-107" windowWidth="20847" windowHeight="11111" xr2:uid="{9B2A5538-031A-4058-91E2-D8FC9261F573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17" i="1"/>
  <c r="J15" i="1"/>
  <c r="J16" i="1"/>
  <c r="J11" i="1"/>
  <c r="J23" i="1"/>
  <c r="J8" i="1"/>
  <c r="J9" i="1" s="1"/>
  <c r="J10" i="1" s="1"/>
  <c r="J5" i="1"/>
  <c r="J6" i="1" s="1"/>
  <c r="J7" i="1" s="1"/>
  <c r="J12" i="1" l="1"/>
  <c r="J13" i="1" s="1"/>
  <c r="J14" i="1" s="1"/>
  <c r="J18" i="1" s="1"/>
  <c r="J19" i="1" s="1"/>
  <c r="J21" i="1" s="1"/>
  <c r="J22" i="1" s="1"/>
  <c r="J24" i="1" s="1"/>
  <c r="L25" i="1" l="1"/>
</calcChain>
</file>

<file path=xl/sharedStrings.xml><?xml version="1.0" encoding="utf-8"?>
<sst xmlns="http://schemas.openxmlformats.org/spreadsheetml/2006/main" count="151" uniqueCount="71">
  <si>
    <t>DIA</t>
  </si>
  <si>
    <t>TIPO</t>
  </si>
  <si>
    <t>COMPROBANTE</t>
  </si>
  <si>
    <t>IMPUTACION</t>
  </si>
  <si>
    <t>CENTRO COSTO</t>
  </si>
  <si>
    <t>GLOSA</t>
  </si>
  <si>
    <t>REFERENCIA</t>
  </si>
  <si>
    <t>DEBITOS</t>
  </si>
  <si>
    <t>CREDITOS</t>
  </si>
  <si>
    <t>PERIODO</t>
  </si>
  <si>
    <t>AP -APERTURA</t>
  </si>
  <si>
    <t>APERTURA 2026</t>
  </si>
  <si>
    <t>EG -EGRESO</t>
  </si>
  <si>
    <t>10.853.224-6</t>
  </si>
  <si>
    <t>EMBARQUE N° 85466</t>
  </si>
  <si>
    <t>EMBARQUE 85910</t>
  </si>
  <si>
    <t>EMBARQUE 85542 Y 86086</t>
  </si>
  <si>
    <t>EMBARQUE 85560</t>
  </si>
  <si>
    <t>PROVISION 85723</t>
  </si>
  <si>
    <t>IN -INGRESO</t>
  </si>
  <si>
    <t>DEPÓSITO DOCUMENTO MISMO</t>
  </si>
  <si>
    <t>TR -TRASPASO</t>
  </si>
  <si>
    <t>SALDO A FAVOR ADUANA</t>
  </si>
  <si>
    <t>SALDO A FAVOR FLEXI 85723</t>
  </si>
  <si>
    <t>EMBARQUE 86086</t>
  </si>
  <si>
    <t>SALDO A FAVOR FLEXI</t>
  </si>
  <si>
    <t>DIFERENCIA EMB 85560</t>
  </si>
  <si>
    <t>AGENTE ADUANA</t>
  </si>
  <si>
    <t>Total :</t>
  </si>
  <si>
    <t>ANTICIPO AGENCIA DE ADUANAS</t>
  </si>
  <si>
    <t>Saldo apertura</t>
  </si>
  <si>
    <t>OCEAN NETWORD ANT AGENET</t>
  </si>
  <si>
    <t>Hapag Lloid nota de credito posterior a pago</t>
  </si>
  <si>
    <t>Saldo a favor agencia 78030 ND17417</t>
  </si>
  <si>
    <t>Saldo a favor Flexi 78305 F50719</t>
  </si>
  <si>
    <t>Saldo a favor agencia 78305</t>
  </si>
  <si>
    <t>Saldo a favor agencia 783057 ND17805</t>
  </si>
  <si>
    <t>Saldo a favor Flexi 78710  F51160</t>
  </si>
  <si>
    <t>Saldo a favor Flexi  78820 F51427</t>
  </si>
  <si>
    <t>Saldo a favor Flexi  79339 F51783</t>
  </si>
  <si>
    <t>Saldo a favor agencia 79339 ND17541</t>
  </si>
  <si>
    <t>Saldo a favor agencia  79386 F51426</t>
  </si>
  <si>
    <t>Saldo a favor Flexi  79420 F51463</t>
  </si>
  <si>
    <t>Saldo a favor agencia 79721  F51425</t>
  </si>
  <si>
    <t>Saldo a favor agencia 79722 F51424</t>
  </si>
  <si>
    <t>Saldo a favor Flexi  800539 F52151</t>
  </si>
  <si>
    <t>Saldo a favor agencia 800539</t>
  </si>
  <si>
    <t>Saldo a favor Flexi  80072 F51782</t>
  </si>
  <si>
    <t>Saldo a favor agencia  ND17494</t>
  </si>
  <si>
    <t>Saldo a favor Flexi  800240 F52370</t>
  </si>
  <si>
    <t>Saldo a favor agencia 80240 ND17860</t>
  </si>
  <si>
    <t>Saldo a favor agencia 80846 F52561</t>
  </si>
  <si>
    <t>Saldo a favor Flexi  80931 F52717</t>
  </si>
  <si>
    <t>Saldo a favor agencia 80931 ND17754</t>
  </si>
  <si>
    <t>Saldo a favor agencia 81224 F53004</t>
  </si>
  <si>
    <t>Saldo a favor agencia 81234 F53003</t>
  </si>
  <si>
    <t>Saldo a favor agencia 81356 F53534</t>
  </si>
  <si>
    <t>Saldo a favor agencia 81412 F53535</t>
  </si>
  <si>
    <t>Saldo a favor Flexi  81626 F53727</t>
  </si>
  <si>
    <t>Saldo a favor Flexi  81712 F54391</t>
  </si>
  <si>
    <t>82160</t>
  </si>
  <si>
    <t>-82186 F54359</t>
  </si>
  <si>
    <t>Saldo a favor Flexi  82352 F54153</t>
  </si>
  <si>
    <t>Saldo a favor Flexi  82731 F54358</t>
  </si>
  <si>
    <t>nd18381</t>
  </si>
  <si>
    <t>Saldo a favor Flexi  82951 F54897</t>
  </si>
  <si>
    <t>83093</t>
  </si>
  <si>
    <t>Saldo a favor Flexi  82951 F54894</t>
  </si>
  <si>
    <t>Saldo a favor Flexi  83624-84136 F55396-55395</t>
  </si>
  <si>
    <t>Anticipo Agente de  Aduaba Total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</si>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</sst>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43" formatCode="_ * #,##0.00_ ;_ * \-#,##0.00_ ;_ * &quot;-&quot;??_ ;_ @_ "/>
    <numFmt numFmtId="164" formatCode="_-* #,##0_-;\-* #,##0_-;_-* &quot;-&quot;_-;_-@_-"/>
    <numFmt numFmtId="165" formatCode="_-* #,##0.00_-;\-* #,##0.00_-;_-* &quot;-&quot;??_-;_-@_-"/>
    <numFmt numFmtId="166" formatCode="_-&quot;$&quot;\ * #,##0_-;\-&quot;$&quot;\ * #,##0_-;_-&quot;$&quot;\ * &quot;-&quot;_-;_-@_-"/>
    <numFmt numFmtId="167" formatCode="_(* #,##0_);_(* \(#,##0\);_(* &quot;-&quot;??_);_(@_)"/>
  </numFmts>
  <fonts count="3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b/>
      <sz val="10"/>
      <name val="Book Antiqua"/>
      <family val="1"/>
    </font>
    <font>
      <sz val="11"/>
      <color rgb="FF9C6500"/>
      <name val="Aptos Narrow"/>
      <family val="2"/>
      <scheme val="minor"/>
    </font>
    <font>
      <sz val="11"/>
      <color rgb="FF000000"/>
      <name val="Calibri"/>
      <family val="2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sz val="10"/>
      <color rgb="FF000000"/>
      <name val="Book Antiqua"/>
      <family val="1"/>
    </font>
    <font>
      <b/>
      <sz val="10"/>
      <color rgb="FF000000"/>
      <name val="Book Antiqua"/>
      <family val="1"/>
    </font>
    <font>
      <sz val="11"/>
      <color theme="1"/>
      <name val="Book Antiqua"/>
      <family val="1"/>
    </font>
    <font>
      <sz val="11"/>
      <color rgb="FF0070C0"/>
      <name val="Book Antiqua"/>
      <family val="1"/>
    </font>
    <font>
      <sz val="10"/>
      <color rgb="FF000000"/>
      <name val="Tahoma"/>
      <family val="2"/>
    </font>
    <font>
      <sz val="11"/>
      <color rgb="FF0070C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 style="thin">
        <color rgb="FF808080"/>
      </top>
      <bottom style="thin">
        <color indexed="64"/>
      </bottom>
      <diagonal/>
    </border>
    <border>
      <left/>
      <right/>
      <top style="thin">
        <color rgb="FF808080"/>
      </top>
      <bottom style="thin">
        <color indexed="64"/>
      </bottom>
      <diagonal/>
    </border>
    <border>
      <left/>
      <right style="thin">
        <color indexed="64"/>
      </right>
      <top style="thin">
        <color rgb="FF808080"/>
      </top>
      <bottom style="thin">
        <color indexed="64"/>
      </bottom>
      <diagonal/>
    </border>
    <border>
      <left/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indexed="64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/>
      <bottom style="medium">
        <color indexed="64"/>
      </bottom>
      <diagonal/>
    </border>
    <border>
      <left/>
      <right/>
      <top style="thin">
        <color rgb="FF808080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808080"/>
      </right>
      <top style="medium">
        <color indexed="64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80808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808080"/>
      </right>
      <top style="medium">
        <color indexed="64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indexed="64"/>
      </top>
      <bottom style="thin">
        <color rgb="FF808080"/>
      </bottom>
      <diagonal/>
    </border>
    <border>
      <left/>
      <right/>
      <top style="medium">
        <color indexed="64"/>
      </top>
      <bottom/>
      <diagonal/>
    </border>
    <border>
      <left style="thin">
        <color rgb="FF808080"/>
      </left>
      <right style="medium">
        <color indexed="64"/>
      </right>
      <top style="medium">
        <color indexed="64"/>
      </top>
      <bottom style="thin">
        <color rgb="FF808080"/>
      </bottom>
      <diagonal/>
    </border>
    <border>
      <left style="medium">
        <color indexed="64"/>
      </left>
      <right style="thin">
        <color rgb="FF808080"/>
      </right>
      <top/>
      <bottom style="medium">
        <color indexed="64"/>
      </bottom>
      <diagonal/>
    </border>
    <border>
      <left style="thin">
        <color rgb="FF808080"/>
      </left>
      <right style="medium">
        <color indexed="64"/>
      </right>
      <top style="thin">
        <color rgb="FF808080"/>
      </top>
      <bottom style="medium">
        <color indexed="64"/>
      </bottom>
      <diagonal/>
    </border>
    <border>
      <left style="medium">
        <color indexed="64"/>
      </left>
      <right style="thin">
        <color rgb="FF808080"/>
      </right>
      <top style="medium">
        <color indexed="64"/>
      </top>
      <bottom/>
      <diagonal/>
    </border>
    <border>
      <left style="thin">
        <color rgb="FF808080"/>
      </left>
      <right style="thin">
        <color rgb="FF808080"/>
      </right>
      <top style="medium">
        <color indexed="64"/>
      </top>
      <bottom/>
      <diagonal/>
    </border>
    <border>
      <left style="thin">
        <color rgb="FF80808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3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164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3" fillId="4" borderId="0" applyNumberFormat="0" applyBorder="0" applyAlignment="0" applyProtection="0"/>
    <xf numFmtId="0" fontId="1" fillId="0" borderId="0"/>
    <xf numFmtId="0" fontId="20" fillId="0" borderId="0"/>
    <xf numFmtId="0" fontId="19" fillId="0" borderId="0" applyNumberFormat="0" applyFill="0" applyBorder="0">
      <alignment vertical="center"/>
    </xf>
    <xf numFmtId="0" fontId="21" fillId="0" borderId="0"/>
    <xf numFmtId="0" fontId="1" fillId="0" borderId="0"/>
    <xf numFmtId="0" fontId="19" fillId="0" borderId="0" applyNumberFormat="0" applyFill="0" applyBorder="0">
      <alignment vertical="center"/>
    </xf>
    <xf numFmtId="0" fontId="24" fillId="0" borderId="0"/>
    <xf numFmtId="0" fontId="21" fillId="0" borderId="0"/>
    <xf numFmtId="165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3" fillId="4" borderId="0" applyNumberFormat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3" fillId="4" borderId="0" applyNumberFormat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3" fillId="4" borderId="0" applyNumberFormat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3" fillId="4" borderId="0" applyNumberFormat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3" fillId="4" borderId="0" applyNumberFormat="0" applyBorder="0" applyAlignment="0" applyProtection="0"/>
    <xf numFmtId="165" fontId="17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3" fillId="4" borderId="0" applyNumberFormat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3" fillId="4" borderId="0" applyNumberFormat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3" fillId="4" borderId="0" applyNumberFormat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1">
    <xf numFmtId="0" fontId="0" fillId="0" borderId="0" xfId="0"/>
    <xf numFmtId="0" fontId="15" fillId="0" borderId="10" xfId="0" applyFont="1" applyBorder="1"/>
    <xf numFmtId="3" fontId="0" fillId="0" borderId="0" xfId="0" applyNumberFormat="1"/>
    <xf numFmtId="0" fontId="13" fillId="0" borderId="0" xfId="0" applyFont="1"/>
    <xf numFmtId="3" fontId="13" fillId="0" borderId="0" xfId="0" applyNumberFormat="1" applyFont="1"/>
    <xf numFmtId="3" fontId="13" fillId="35" borderId="0" xfId="0" applyNumberFormat="1" applyFont="1" applyFill="1"/>
    <xf numFmtId="0" fontId="26" fillId="34" borderId="0" xfId="0" applyFont="1" applyFill="1"/>
    <xf numFmtId="167" fontId="22" fillId="34" borderId="0" xfId="56" applyNumberFormat="1" applyFont="1" applyFill="1"/>
    <xf numFmtId="0" fontId="30" fillId="34" borderId="0" xfId="0" applyFont="1" applyFill="1"/>
    <xf numFmtId="167" fontId="28" fillId="34" borderId="10" xfId="0" applyNumberFormat="1" applyFont="1" applyFill="1" applyBorder="1" applyAlignment="1">
      <alignment horizontal="right" vertical="center" wrapText="1"/>
    </xf>
    <xf numFmtId="0" fontId="27" fillId="34" borderId="0" xfId="0" applyFont="1" applyFill="1" applyAlignment="1">
      <alignment horizontal="left" vertical="center" wrapText="1"/>
    </xf>
    <xf numFmtId="0" fontId="27" fillId="34" borderId="16" xfId="0" applyFont="1" applyFill="1" applyBorder="1" applyAlignment="1">
      <alignment horizontal="left" vertical="center" wrapText="1"/>
    </xf>
    <xf numFmtId="49" fontId="27" fillId="34" borderId="16" xfId="0" applyNumberFormat="1" applyFont="1" applyFill="1" applyBorder="1" applyAlignment="1">
      <alignment horizontal="left" vertical="center"/>
    </xf>
    <xf numFmtId="14" fontId="27" fillId="34" borderId="22" xfId="0" applyNumberFormat="1" applyFont="1" applyFill="1" applyBorder="1" applyAlignment="1">
      <alignment horizontal="right" vertical="center"/>
    </xf>
    <xf numFmtId="41" fontId="31" fillId="0" borderId="14" xfId="61" applyFont="1" applyFill="1" applyBorder="1" applyAlignment="1">
      <alignment horizontal="right" vertical="center" wrapText="1"/>
    </xf>
    <xf numFmtId="49" fontId="27" fillId="34" borderId="0" xfId="0" applyNumberFormat="1" applyFont="1" applyFill="1" applyAlignment="1">
      <alignment horizontal="left" vertical="center"/>
    </xf>
    <xf numFmtId="41" fontId="31" fillId="0" borderId="0" xfId="61" applyFont="1" applyFill="1" applyBorder="1" applyAlignment="1">
      <alignment horizontal="right" vertical="center" wrapText="1"/>
    </xf>
    <xf numFmtId="0" fontId="27" fillId="34" borderId="17" xfId="0" applyFont="1" applyFill="1" applyBorder="1" applyAlignment="1">
      <alignment horizontal="left" vertical="center" wrapText="1"/>
    </xf>
    <xf numFmtId="49" fontId="27" fillId="34" borderId="17" xfId="0" applyNumberFormat="1" applyFont="1" applyFill="1" applyBorder="1" applyAlignment="1">
      <alignment horizontal="left" vertical="center"/>
    </xf>
    <xf numFmtId="14" fontId="27" fillId="34" borderId="0" xfId="0" applyNumberFormat="1" applyFont="1" applyFill="1" applyAlignment="1">
      <alignment horizontal="right" vertical="center"/>
    </xf>
    <xf numFmtId="41" fontId="31" fillId="0" borderId="16" xfId="61" applyFont="1" applyFill="1" applyBorder="1" applyAlignment="1">
      <alignment horizontal="right" vertical="center" wrapText="1"/>
    </xf>
    <xf numFmtId="0" fontId="27" fillId="34" borderId="24" xfId="0" applyFont="1" applyFill="1" applyBorder="1" applyAlignment="1">
      <alignment horizontal="left" vertical="center" wrapText="1"/>
    </xf>
    <xf numFmtId="49" fontId="27" fillId="34" borderId="24" xfId="0" applyNumberFormat="1" applyFont="1" applyFill="1" applyBorder="1" applyAlignment="1">
      <alignment horizontal="left" vertical="center"/>
    </xf>
    <xf numFmtId="14" fontId="27" fillId="34" borderId="25" xfId="0" applyNumberFormat="1" applyFont="1" applyFill="1" applyBorder="1" applyAlignment="1">
      <alignment horizontal="right" vertical="center"/>
    </xf>
    <xf numFmtId="41" fontId="31" fillId="0" borderId="15" xfId="61" applyFont="1" applyFill="1" applyBorder="1" applyAlignment="1">
      <alignment horizontal="right" vertical="center" wrapText="1"/>
    </xf>
    <xf numFmtId="0" fontId="27" fillId="34" borderId="23" xfId="0" applyFont="1" applyFill="1" applyBorder="1" applyAlignment="1">
      <alignment horizontal="left" vertical="center" wrapText="1"/>
    </xf>
    <xf numFmtId="49" fontId="27" fillId="34" borderId="23" xfId="0" applyNumberFormat="1" applyFont="1" applyFill="1" applyBorder="1" applyAlignment="1">
      <alignment horizontal="left" vertical="center"/>
    </xf>
    <xf numFmtId="14" fontId="27" fillId="34" borderId="26" xfId="0" applyNumberFormat="1" applyFont="1" applyFill="1" applyBorder="1" applyAlignment="1">
      <alignment horizontal="right" vertical="center"/>
    </xf>
    <xf numFmtId="41" fontId="32" fillId="34" borderId="0" xfId="0" applyNumberFormat="1" applyFont="1" applyFill="1"/>
    <xf numFmtId="41" fontId="30" fillId="34" borderId="0" xfId="0" applyNumberFormat="1" applyFont="1" applyFill="1"/>
    <xf numFmtId="167" fontId="30" fillId="34" borderId="0" xfId="0" applyNumberFormat="1" applyFont="1" applyFill="1"/>
    <xf numFmtId="41" fontId="31" fillId="36" borderId="0" xfId="61" applyFont="1" applyFill="1" applyBorder="1" applyAlignment="1">
      <alignment horizontal="right" vertical="center" wrapText="1"/>
    </xf>
    <xf numFmtId="41" fontId="31" fillId="0" borderId="23" xfId="61" applyFont="1" applyFill="1" applyBorder="1" applyAlignment="1">
      <alignment horizontal="right" vertical="center" wrapText="1"/>
    </xf>
    <xf numFmtId="14" fontId="27" fillId="34" borderId="27" xfId="0" applyNumberFormat="1" applyFont="1" applyFill="1" applyBorder="1" applyAlignment="1">
      <alignment horizontal="right" vertical="center"/>
    </xf>
    <xf numFmtId="41" fontId="31" fillId="36" borderId="24" xfId="61" applyFont="1" applyFill="1" applyBorder="1" applyAlignment="1">
      <alignment horizontal="right" vertical="center" wrapText="1"/>
    </xf>
    <xf numFmtId="0" fontId="27" fillId="34" borderId="28" xfId="0" applyFont="1" applyFill="1" applyBorder="1" applyAlignment="1">
      <alignment horizontal="left" vertical="center" wrapText="1"/>
    </xf>
    <xf numFmtId="49" fontId="27" fillId="34" borderId="29" xfId="0" applyNumberFormat="1" applyFont="1" applyFill="1" applyBorder="1" applyAlignment="1">
      <alignment horizontal="left" vertical="center"/>
    </xf>
    <xf numFmtId="14" fontId="27" fillId="34" borderId="30" xfId="0" applyNumberFormat="1" applyFont="1" applyFill="1" applyBorder="1" applyAlignment="1">
      <alignment horizontal="right" vertical="center"/>
    </xf>
    <xf numFmtId="41" fontId="31" fillId="0" borderId="31" xfId="61" applyFont="1" applyFill="1" applyBorder="1" applyAlignment="1">
      <alignment horizontal="right" vertical="center" wrapText="1"/>
    </xf>
    <xf numFmtId="0" fontId="27" fillId="34" borderId="21" xfId="0" applyFont="1" applyFill="1" applyBorder="1" applyAlignment="1">
      <alignment horizontal="left" vertical="center" wrapText="1"/>
    </xf>
    <xf numFmtId="0" fontId="27" fillId="34" borderId="32" xfId="0" applyFont="1" applyFill="1" applyBorder="1" applyAlignment="1">
      <alignment horizontal="left" vertical="center" wrapText="1"/>
    </xf>
    <xf numFmtId="49" fontId="27" fillId="34" borderId="33" xfId="0" applyNumberFormat="1" applyFont="1" applyFill="1" applyBorder="1" applyAlignment="1">
      <alignment horizontal="left" vertical="center"/>
    </xf>
    <xf numFmtId="14" fontId="27" fillId="34" borderId="34" xfId="0" applyNumberFormat="1" applyFont="1" applyFill="1" applyBorder="1" applyAlignment="1">
      <alignment horizontal="right" vertical="center"/>
    </xf>
    <xf numFmtId="41" fontId="31" fillId="36" borderId="35" xfId="61" applyFont="1" applyFill="1" applyBorder="1" applyAlignment="1">
      <alignment horizontal="right" vertical="center" wrapText="1"/>
    </xf>
    <xf numFmtId="0" fontId="27" fillId="34" borderId="36" xfId="0" applyFont="1" applyFill="1" applyBorder="1" applyAlignment="1">
      <alignment horizontal="left" vertical="center" wrapText="1"/>
    </xf>
    <xf numFmtId="41" fontId="31" fillId="36" borderId="37" xfId="61" applyFont="1" applyFill="1" applyBorder="1" applyAlignment="1">
      <alignment horizontal="right" vertical="center" wrapText="1"/>
    </xf>
    <xf numFmtId="41" fontId="31" fillId="36" borderId="31" xfId="61" applyFont="1" applyFill="1" applyBorder="1" applyAlignment="1">
      <alignment horizontal="right" vertical="center" wrapText="1"/>
    </xf>
    <xf numFmtId="41" fontId="31" fillId="0" borderId="17" xfId="61" applyFont="1" applyFill="1" applyBorder="1" applyAlignment="1">
      <alignment horizontal="right" vertical="center" wrapText="1"/>
    </xf>
    <xf numFmtId="0" fontId="27" fillId="34" borderId="38" xfId="0" applyFont="1" applyFill="1" applyBorder="1" applyAlignment="1">
      <alignment horizontal="left" vertical="center" wrapText="1"/>
    </xf>
    <xf numFmtId="49" fontId="27" fillId="34" borderId="39" xfId="0" applyNumberFormat="1" applyFont="1" applyFill="1" applyBorder="1" applyAlignment="1">
      <alignment horizontal="left" vertical="center"/>
    </xf>
    <xf numFmtId="41" fontId="31" fillId="36" borderId="40" xfId="61" applyFont="1" applyFill="1" applyBorder="1" applyAlignment="1">
      <alignment horizontal="right" vertical="center" wrapText="1"/>
    </xf>
    <xf numFmtId="0" fontId="27" fillId="34" borderId="41" xfId="0" applyFont="1" applyFill="1" applyBorder="1" applyAlignment="1">
      <alignment horizontal="left" vertical="center" wrapText="1"/>
    </xf>
    <xf numFmtId="49" fontId="27" fillId="34" borderId="30" xfId="0" applyNumberFormat="1" applyFont="1" applyFill="1" applyBorder="1" applyAlignment="1">
      <alignment horizontal="left" vertical="center"/>
    </xf>
    <xf numFmtId="41" fontId="31" fillId="0" borderId="42" xfId="61" applyFont="1" applyFill="1" applyBorder="1" applyAlignment="1">
      <alignment horizontal="right" vertical="center" wrapText="1"/>
    </xf>
    <xf numFmtId="167" fontId="29" fillId="34" borderId="0" xfId="0" applyNumberFormat="1" applyFont="1" applyFill="1"/>
    <xf numFmtId="0" fontId="25" fillId="34" borderId="11" xfId="0" applyFont="1" applyFill="1" applyBorder="1" applyAlignment="1">
      <alignment horizontal="left"/>
    </xf>
    <xf numFmtId="0" fontId="25" fillId="34" borderId="12" xfId="0" applyFont="1" applyFill="1" applyBorder="1" applyAlignment="1">
      <alignment horizontal="left"/>
    </xf>
    <xf numFmtId="0" fontId="25" fillId="34" borderId="13" xfId="0" applyFont="1" applyFill="1" applyBorder="1" applyAlignment="1">
      <alignment horizontal="left"/>
    </xf>
    <xf numFmtId="22" fontId="28" fillId="34" borderId="18" xfId="0" applyNumberFormat="1" applyFont="1" applyFill="1" applyBorder="1" applyAlignment="1">
      <alignment horizontal="right" vertical="center" wrapText="1"/>
    </xf>
    <xf numFmtId="22" fontId="28" fillId="34" borderId="19" xfId="0" applyNumberFormat="1" applyFont="1" applyFill="1" applyBorder="1" applyAlignment="1">
      <alignment horizontal="right" vertical="center" wrapText="1"/>
    </xf>
    <xf numFmtId="22" fontId="28" fillId="34" borderId="20" xfId="0" applyNumberFormat="1" applyFont="1" applyFill="1" applyBorder="1" applyAlignment="1">
      <alignment horizontal="right" vertical="center" wrapText="1"/>
    </xf>
  </cellXfs>
  <cellStyles count="1449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akcent 1" xfId="35" xr:uid="{F40C89B4-C3AE-42D1-A7C6-1BF0DC21A8E2}"/>
    <cellStyle name="60% - Énfasis1 10" xfId="36" xr:uid="{4F28C958-494F-4BB1-9679-49CFF92545C8}"/>
    <cellStyle name="60% - Énfasis1 2" xfId="65" xr:uid="{BEBE8406-6A3E-42D2-992B-1DDE85457C9B}"/>
    <cellStyle name="60% - Énfasis1 3" xfId="83" xr:uid="{1170EC09-E738-4A85-BA73-4D4A79FC486E}"/>
    <cellStyle name="60% - Énfasis1 4" xfId="112" xr:uid="{0E453F78-0482-462C-B7F1-9BCFCCFE0EE8}"/>
    <cellStyle name="60% - Énfasis1 5" xfId="162" xr:uid="{5FAB67DA-AA37-46D4-95ED-C9D3ADFBD151}"/>
    <cellStyle name="60% - Énfasis1 6" xfId="251" xr:uid="{69CC062B-29E7-4743-8377-88CD5B80B40A}"/>
    <cellStyle name="60% - Énfasis1 7" xfId="266" xr:uid="{9B3F2913-0BAF-4689-AE61-25B6AB56CD6A}"/>
    <cellStyle name="60% - Énfasis1 8" xfId="439" xr:uid="{9D45C05B-8531-4380-8EA6-CC00040C430B}"/>
    <cellStyle name="60% - Énfasis1 9" xfId="778" xr:uid="{68D015DD-B649-4FA1-9EA9-CFA504131A40}"/>
    <cellStyle name="60% - Énfasis2 10" xfId="37" xr:uid="{D553FF05-1BF6-48F8-B23E-38C4EF18592E}"/>
    <cellStyle name="60% - Énfasis2 2" xfId="66" xr:uid="{CA1D0776-5744-4FDD-A116-9F275FDCFB41}"/>
    <cellStyle name="60% - Énfasis2 3" xfId="84" xr:uid="{ACA5E037-3D7C-44C0-9507-DA2936D89515}"/>
    <cellStyle name="60% - Énfasis2 4" xfId="113" xr:uid="{FBE863F5-6AF5-4A3F-ABC5-75FF45098EA4}"/>
    <cellStyle name="60% - Énfasis2 5" xfId="163" xr:uid="{1AF8B651-AA2C-4E37-B3E6-771E3DDC5BFF}"/>
    <cellStyle name="60% - Énfasis2 6" xfId="252" xr:uid="{5065760A-CC72-417A-A0AB-2197E99EFA35}"/>
    <cellStyle name="60% - Énfasis2 7" xfId="267" xr:uid="{5BB7BEC1-6459-40FA-9E6E-8CA6CD86B953}"/>
    <cellStyle name="60% - Énfasis2 8" xfId="440" xr:uid="{CB89F2C3-5ED9-42BF-94A5-F49A71DFD847}"/>
    <cellStyle name="60% - Énfasis2 9" xfId="779" xr:uid="{2C13D94B-2DDC-458D-B728-1C0107F31610}"/>
    <cellStyle name="60% - Énfasis3 10" xfId="38" xr:uid="{7FCB004C-7C84-406C-8E8D-87D2159A4C60}"/>
    <cellStyle name="60% - Énfasis3 2" xfId="67" xr:uid="{F9AA20D8-354A-47DD-B09A-4EFF7E0DF3D0}"/>
    <cellStyle name="60% - Énfasis3 3" xfId="85" xr:uid="{6D9D0D6F-7230-4058-82E5-27E5FB587E43}"/>
    <cellStyle name="60% - Énfasis3 4" xfId="114" xr:uid="{607F6128-A3C0-4E78-B0AA-495520F418C1}"/>
    <cellStyle name="60% - Énfasis3 5" xfId="164" xr:uid="{97DF9ADF-05B8-43A7-A55B-F62454D8F0F5}"/>
    <cellStyle name="60% - Énfasis3 6" xfId="253" xr:uid="{BC8C0A8F-AF6F-436B-AF6A-8ED680FE53CC}"/>
    <cellStyle name="60% - Énfasis3 7" xfId="268" xr:uid="{07BE9A83-4284-4BD2-9195-93869EA76BD6}"/>
    <cellStyle name="60% - Énfasis3 8" xfId="441" xr:uid="{A212D64B-3EDE-4BF0-AE1A-D4AF76538E2D}"/>
    <cellStyle name="60% - Énfasis3 9" xfId="780" xr:uid="{ECD25CF5-461B-4437-A97C-DCB672ED4222}"/>
    <cellStyle name="60% - Énfasis4 10" xfId="39" xr:uid="{2FD97D19-FF41-4A21-8C7D-7842D98C3796}"/>
    <cellStyle name="60% - Énfasis4 2" xfId="68" xr:uid="{6C70D9A5-17A7-4F9A-97CD-F39828FA030B}"/>
    <cellStyle name="60% - Énfasis4 3" xfId="86" xr:uid="{DEBB3B93-1B59-4C41-83C6-5428F6075C46}"/>
    <cellStyle name="60% - Énfasis4 4" xfId="115" xr:uid="{A22FEE2B-DC45-4372-8EA4-4A2914E749E9}"/>
    <cellStyle name="60% - Énfasis4 5" xfId="165" xr:uid="{5D7E5B6F-957E-4F1D-8EB3-94AA4DCA8A42}"/>
    <cellStyle name="60% - Énfasis4 6" xfId="254" xr:uid="{5F4A1AD0-58B5-4C72-A2CF-7B5727E160E7}"/>
    <cellStyle name="60% - Énfasis4 7" xfId="269" xr:uid="{6E719F13-54B8-4862-950F-AB0ADF08DA8B}"/>
    <cellStyle name="60% - Énfasis4 8" xfId="442" xr:uid="{5FD353C2-B60B-43C8-8000-6B6A026B4719}"/>
    <cellStyle name="60% - Énfasis4 9" xfId="781" xr:uid="{E8D05C7A-D318-4C25-AD9E-C0DBA047C54F}"/>
    <cellStyle name="60% - Énfasis5 10" xfId="40" xr:uid="{CC332AA5-A758-4334-A491-D556159C5307}"/>
    <cellStyle name="60% - Énfasis5 2" xfId="69" xr:uid="{973E573D-9EA2-4DD7-B16D-D1BFD269DEC9}"/>
    <cellStyle name="60% - Énfasis5 3" xfId="87" xr:uid="{CBDEC3F6-6B43-4158-A4B7-8ED207147367}"/>
    <cellStyle name="60% - Énfasis5 4" xfId="116" xr:uid="{11DCF3E1-C649-4DA1-A1B2-E8A12CC540D3}"/>
    <cellStyle name="60% - Énfasis5 5" xfId="166" xr:uid="{D8EE2A84-3A6B-4AAE-A8CE-67D0F444478B}"/>
    <cellStyle name="60% - Énfasis5 6" xfId="255" xr:uid="{66A98135-AAF0-4C52-954D-894C0812CC37}"/>
    <cellStyle name="60% - Énfasis5 7" xfId="270" xr:uid="{BC10F0D8-B732-486A-8E07-72B52652606C}"/>
    <cellStyle name="60% - Énfasis5 8" xfId="443" xr:uid="{5C82F872-A0A7-47DD-8223-3BC00E740267}"/>
    <cellStyle name="60% - Énfasis5 9" xfId="782" xr:uid="{4F9C7ED7-1A3B-4C6B-AE4C-3A573F6E980C}"/>
    <cellStyle name="60% - Énfasis6 10" xfId="41" xr:uid="{DAEEC2C0-11DA-4243-8A46-B8E8E4E22B91}"/>
    <cellStyle name="60% - Énfasis6 2" xfId="70" xr:uid="{E6FE5318-DF26-4B93-A963-5C3276211D3B}"/>
    <cellStyle name="60% - Énfasis6 3" xfId="88" xr:uid="{2AF1AC40-4FB4-4B82-A67A-8FA26B70FF5B}"/>
    <cellStyle name="60% - Énfasis6 4" xfId="117" xr:uid="{B6B9AA76-41EF-4B2F-83FE-7A69EF432C43}"/>
    <cellStyle name="60% - Énfasis6 5" xfId="167" xr:uid="{3F3E3A28-06E0-4253-89E5-A6ADCA4B879F}"/>
    <cellStyle name="60% - Énfasis6 6" xfId="256" xr:uid="{C4811A90-FF24-4B58-89D1-7502FA43EB1C}"/>
    <cellStyle name="60% - Énfasis6 7" xfId="271" xr:uid="{E5E49853-5137-4CDD-8031-822A0DF0F597}"/>
    <cellStyle name="60% - Énfasis6 8" xfId="444" xr:uid="{F70AF33F-600D-4DBA-AEFD-BD881A6589F0}"/>
    <cellStyle name="60% - Énfasis6 9" xfId="783" xr:uid="{2E3E8A83-D87C-49F2-B500-5761F6695210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Incorrecto" xfId="7" builtinId="27" customBuiltin="1"/>
    <cellStyle name="Millares [0] 10" xfId="175" xr:uid="{29E1DFD6-735C-4823-AC0A-6F95F035302C}"/>
    <cellStyle name="Millares [0] 10 2" xfId="361" xr:uid="{918F62D9-8936-4E8D-9070-09D2CAD33E5B}"/>
    <cellStyle name="Millares [0] 10 2 2" xfId="700" xr:uid="{26CFF5B3-CDC6-4AA9-A866-171CC4A1C354}"/>
    <cellStyle name="Millares [0] 10 2 2 2" xfId="1371" xr:uid="{B0C58C0A-D67D-49EA-BBA3-15C6DEF1CAB9}"/>
    <cellStyle name="Millares [0] 10 2 3" xfId="1039" xr:uid="{F424418D-DC8A-4218-B70D-FF0D1A1E39AD}"/>
    <cellStyle name="Millares [0] 10 3" xfId="534" xr:uid="{64AEBDCE-9E55-4A97-8DEA-ABA4B9F88DCE}"/>
    <cellStyle name="Millares [0] 10 3 2" xfId="1205" xr:uid="{03F7A846-2135-45BC-9C57-F7BAEBB3CBCD}"/>
    <cellStyle name="Millares [0] 10 4" xfId="873" xr:uid="{8093ABDD-4DDE-49F9-BD11-AEAA0493FE6E}"/>
    <cellStyle name="Millares [0] 11" xfId="265" xr:uid="{3524FC6F-FEE4-4BC0-8B4A-97C1563BC46F}"/>
    <cellStyle name="Millares [0] 11 2" xfId="438" xr:uid="{910A4A04-D1FE-4994-92BD-9182071C7615}"/>
    <cellStyle name="Millares [0] 11 2 2" xfId="777" xr:uid="{544F7914-F6E0-4B97-88A8-A69BD25CB63B}"/>
    <cellStyle name="Millares [0] 11 2 2 2" xfId="1448" xr:uid="{73F1189D-5A15-48E6-BF58-AB55BF26F497}"/>
    <cellStyle name="Millares [0] 11 2 3" xfId="1116" xr:uid="{BFAE2F7C-0DD9-4C21-A7D3-3683E69E724B}"/>
    <cellStyle name="Millares [0] 11 3" xfId="611" xr:uid="{C77D82F0-2EAE-43F6-A49D-0137C62D7665}"/>
    <cellStyle name="Millares [0] 11 3 2" xfId="1282" xr:uid="{BF1AA122-FD05-4848-AA63-85D8EA8BF642}"/>
    <cellStyle name="Millares [0] 11 4" xfId="950" xr:uid="{AC23C9BF-EA5F-4419-B886-031270427C47}"/>
    <cellStyle name="Millares [0] 12" xfId="279" xr:uid="{87FFDEB0-9E3F-43FF-B91D-737777D84B23}"/>
    <cellStyle name="Millares [0] 12 2" xfId="618" xr:uid="{F62EFA3F-6AF8-4656-9FBF-FCCDC436D329}"/>
    <cellStyle name="Millares [0] 12 2 2" xfId="1289" xr:uid="{AE669947-7449-4597-8E4C-1B5B07357F03}"/>
    <cellStyle name="Millares [0] 12 3" xfId="957" xr:uid="{E61ECF1F-7B07-41F3-81F1-4D9490060B00}"/>
    <cellStyle name="Millares [0] 13" xfId="452" xr:uid="{9A7C9FF1-A15A-4AA0-A4C2-BDE396F2F456}"/>
    <cellStyle name="Millares [0] 13 2" xfId="1123" xr:uid="{0B7F25C4-E780-4826-8DBD-C395E3F002D6}"/>
    <cellStyle name="Millares [0] 14" xfId="791" xr:uid="{065BD757-4765-44C7-8713-8CA19BF79A1D}"/>
    <cellStyle name="Millares [0] 15" xfId="61" xr:uid="{F57CC6E9-8219-4D53-9193-68D8A5A723E1}"/>
    <cellStyle name="Millares [0] 2" xfId="43" xr:uid="{4987E9D7-F36A-45D5-9C39-E9F2F287D1EB}"/>
    <cellStyle name="Millares [0] 2 2" xfId="258" xr:uid="{641267DC-2D54-4DB8-BD1A-BF2BF4ECBAA2}"/>
    <cellStyle name="Millares [0] 3" xfId="44" xr:uid="{CACE8698-736B-4AD7-BCA6-E11358E441C0}"/>
    <cellStyle name="Millares [0] 3 2" xfId="72" xr:uid="{C258CD73-7E73-44BF-9D0B-8F3176398C28}"/>
    <cellStyle name="Millares [0] 3 2 2" xfId="101" xr:uid="{DF20DCDB-627D-4598-8AD7-4E5703946E44}"/>
    <cellStyle name="Millares [0] 3 2 2 2" xfId="149" xr:uid="{E015BAAB-76E9-4C42-95DF-E77E707B0861}"/>
    <cellStyle name="Millares [0] 3 2 2 2 2" xfId="238" xr:uid="{7949ADB6-F513-4A1B-87A6-3F4B74F553B9}"/>
    <cellStyle name="Millares [0] 3 2 2 2 2 2" xfId="424" xr:uid="{2095D2B8-49CB-493A-909C-DA9FFAF1BE33}"/>
    <cellStyle name="Millares [0] 3 2 2 2 2 2 2" xfId="763" xr:uid="{C48F9C20-D861-4015-A316-EEA850D8B9C6}"/>
    <cellStyle name="Millares [0] 3 2 2 2 2 2 2 2" xfId="1434" xr:uid="{1DEF373C-D4ED-41B9-A05E-71169F621A41}"/>
    <cellStyle name="Millares [0] 3 2 2 2 2 2 3" xfId="1102" xr:uid="{2587AFF5-0CA5-43D5-B7D8-21FE0D2FBC79}"/>
    <cellStyle name="Millares [0] 3 2 2 2 2 3" xfId="597" xr:uid="{880B1316-DEEF-47A6-979C-D3818711C025}"/>
    <cellStyle name="Millares [0] 3 2 2 2 2 3 2" xfId="1268" xr:uid="{043FCC32-8022-4F05-8BF7-28E23C9CB87E}"/>
    <cellStyle name="Millares [0] 3 2 2 2 2 4" xfId="936" xr:uid="{A89F7C4E-50F6-467A-95FD-CFA4EC0B32FE}"/>
    <cellStyle name="Millares [0] 3 2 2 2 3" xfId="342" xr:uid="{59D97FB3-D980-4FD2-A620-EAA7E54298B2}"/>
    <cellStyle name="Millares [0] 3 2 2 2 3 2" xfId="681" xr:uid="{31032ACD-4CA0-400B-A347-1F9781382F15}"/>
    <cellStyle name="Millares [0] 3 2 2 2 3 2 2" xfId="1352" xr:uid="{B9D2226D-0BAC-44AF-8102-8CA121A1EF74}"/>
    <cellStyle name="Millares [0] 3 2 2 2 3 3" xfId="1020" xr:uid="{8EC81197-D0CC-4694-9E6A-BBF929D52284}"/>
    <cellStyle name="Millares [0] 3 2 2 2 4" xfId="515" xr:uid="{A33208F9-C30A-4B9F-86E6-5D133CFF9997}"/>
    <cellStyle name="Millares [0] 3 2 2 2 4 2" xfId="1186" xr:uid="{93BB0B92-79E4-4486-9811-D05932AAC3F0}"/>
    <cellStyle name="Millares [0] 3 2 2 2 5" xfId="854" xr:uid="{C785BBA8-F795-4EC6-A098-B7DAC00186E8}"/>
    <cellStyle name="Millares [0] 3 2 2 3" xfId="198" xr:uid="{84A29B31-4377-4C12-BE08-B3DEEF353394}"/>
    <cellStyle name="Millares [0] 3 2 2 3 2" xfId="384" xr:uid="{EB17D51C-62CF-4570-B0D7-14C864067AAA}"/>
    <cellStyle name="Millares [0] 3 2 2 3 2 2" xfId="723" xr:uid="{5E69528C-1D82-4A41-BFEC-4966B1D6F6F8}"/>
    <cellStyle name="Millares [0] 3 2 2 3 2 2 2" xfId="1394" xr:uid="{B018CD8E-5B53-484C-AB62-C2C2E1BAEF77}"/>
    <cellStyle name="Millares [0] 3 2 2 3 2 3" xfId="1062" xr:uid="{53BF8CB9-366A-4B03-9314-1CF71ADE19B3}"/>
    <cellStyle name="Millares [0] 3 2 2 3 3" xfId="557" xr:uid="{9968A12A-678F-4DE6-BBB2-66E3FFE9B6ED}"/>
    <cellStyle name="Millares [0] 3 2 2 3 3 2" xfId="1228" xr:uid="{7D839B9F-CECB-4DA3-82C3-51E382DF7E6B}"/>
    <cellStyle name="Millares [0] 3 2 2 3 4" xfId="896" xr:uid="{4FEF0833-3160-4BD5-8C87-3FF08310D474}"/>
    <cellStyle name="Millares [0] 3 2 2 4" xfId="302" xr:uid="{281A7BB4-6926-477A-AEAF-C659F485CC63}"/>
    <cellStyle name="Millares [0] 3 2 2 4 2" xfId="641" xr:uid="{49F8AF28-B294-40F0-B51F-0C8056551330}"/>
    <cellStyle name="Millares [0] 3 2 2 4 2 2" xfId="1312" xr:uid="{75FAFFCF-B200-4870-9A7E-51C29B2AD1B1}"/>
    <cellStyle name="Millares [0] 3 2 2 4 3" xfId="980" xr:uid="{342B2E21-46C7-4992-A196-C881852F4BE2}"/>
    <cellStyle name="Millares [0] 3 2 2 5" xfId="475" xr:uid="{2B8C5B38-8553-42D4-8F25-9DE950F6DFC5}"/>
    <cellStyle name="Millares [0] 3 2 2 5 2" xfId="1146" xr:uid="{963D1E17-A20F-48AA-AFB5-C2DF213BA40F}"/>
    <cellStyle name="Millares [0] 3 2 2 6" xfId="814" xr:uid="{6520D1B3-F975-4D3C-8F95-2E282DF1F6DD}"/>
    <cellStyle name="Millares [0] 3 2 3" xfId="130" xr:uid="{B9E10C49-F5F7-4012-AD9C-50C0D83EBF4B}"/>
    <cellStyle name="Millares [0] 3 2 3 2" xfId="219" xr:uid="{7322A40D-8261-4684-828F-83B33ECD2FF8}"/>
    <cellStyle name="Millares [0] 3 2 3 2 2" xfId="405" xr:uid="{CD0EA72A-1D58-40F1-AA6C-3FDBE9B0B3AF}"/>
    <cellStyle name="Millares [0] 3 2 3 2 2 2" xfId="744" xr:uid="{8595930A-DB17-44AD-A873-A4F2958B0C73}"/>
    <cellStyle name="Millares [0] 3 2 3 2 2 2 2" xfId="1415" xr:uid="{3068D038-687B-41D2-9A56-B8E8A3492231}"/>
    <cellStyle name="Millares [0] 3 2 3 2 2 3" xfId="1083" xr:uid="{B64D056B-CE6E-4FB8-92BF-7B8592563C5D}"/>
    <cellStyle name="Millares [0] 3 2 3 2 3" xfId="578" xr:uid="{1B2794B0-BE2E-49A2-9014-7A387ED40F9F}"/>
    <cellStyle name="Millares [0] 3 2 3 2 3 2" xfId="1249" xr:uid="{9BF5B3E4-B33D-4110-9CAB-238A9F56CDB1}"/>
    <cellStyle name="Millares [0] 3 2 3 2 4" xfId="917" xr:uid="{6740D85B-EE2F-45BD-82A3-98EF31D0C7A6}"/>
    <cellStyle name="Millares [0] 3 2 3 3" xfId="323" xr:uid="{2442D285-10E4-400E-8089-5858E9EEE15E}"/>
    <cellStyle name="Millares [0] 3 2 3 3 2" xfId="662" xr:uid="{D5235801-BDE1-4437-AD86-6E30A653569C}"/>
    <cellStyle name="Millares [0] 3 2 3 3 2 2" xfId="1333" xr:uid="{3C9C7BD8-91F8-497E-8616-1493636CFE47}"/>
    <cellStyle name="Millares [0] 3 2 3 3 3" xfId="1001" xr:uid="{0817D21A-0E6D-4061-8BB4-F2903045C5F9}"/>
    <cellStyle name="Millares [0] 3 2 3 4" xfId="496" xr:uid="{C505A1D9-C21B-4358-A986-3EAB4D7F9259}"/>
    <cellStyle name="Millares [0] 3 2 3 4 2" xfId="1167" xr:uid="{450D16BD-F31E-4185-B7FB-A04147CC97C1}"/>
    <cellStyle name="Millares [0] 3 2 3 5" xfId="835" xr:uid="{B85DD399-336C-4E77-913F-F76DA460341A}"/>
    <cellStyle name="Millares [0] 3 2 4" xfId="179" xr:uid="{4B0C681E-F521-46C6-8440-7B4FB0B7C8A1}"/>
    <cellStyle name="Millares [0] 3 2 4 2" xfId="365" xr:uid="{708FD6E0-1297-46D6-9BA4-89EFF97AB45F}"/>
    <cellStyle name="Millares [0] 3 2 4 2 2" xfId="704" xr:uid="{7F0CCAB8-F59B-4024-99B6-257DD5C2DF4C}"/>
    <cellStyle name="Millares [0] 3 2 4 2 2 2" xfId="1375" xr:uid="{759CDA06-4851-4503-B4D2-A38720A1CFAB}"/>
    <cellStyle name="Millares [0] 3 2 4 2 3" xfId="1043" xr:uid="{A1863C53-5031-4052-B009-5C7FBE2A6C7B}"/>
    <cellStyle name="Millares [0] 3 2 4 3" xfId="538" xr:uid="{EF0D88D3-33D3-4309-A971-C265C3925BB3}"/>
    <cellStyle name="Millares [0] 3 2 4 3 2" xfId="1209" xr:uid="{DD097CFB-F4D1-4D19-A907-BF4C52509C7E}"/>
    <cellStyle name="Millares [0] 3 2 4 4" xfId="877" xr:uid="{83B2EB75-1497-4DB1-9DD5-CBFD46CC69B0}"/>
    <cellStyle name="Millares [0] 3 2 5" xfId="283" xr:uid="{00876558-6C94-4065-915A-77F60894FFA2}"/>
    <cellStyle name="Millares [0] 3 2 5 2" xfId="622" xr:uid="{CD3683AD-62E7-4272-A95C-4CD7A421313C}"/>
    <cellStyle name="Millares [0] 3 2 5 2 2" xfId="1293" xr:uid="{431484F8-D0B8-46CF-AD25-C0342055CD65}"/>
    <cellStyle name="Millares [0] 3 2 5 3" xfId="961" xr:uid="{6A7744EF-C093-4141-88B1-4880AF9A7424}"/>
    <cellStyle name="Millares [0] 3 2 6" xfId="456" xr:uid="{1A6A7C2C-A360-4789-9530-67D11B24B2EC}"/>
    <cellStyle name="Millares [0] 3 2 6 2" xfId="1127" xr:uid="{DACD42EC-577A-4EF6-BABA-E23F529872A8}"/>
    <cellStyle name="Millares [0] 3 2 7" xfId="795" xr:uid="{6FEC6475-E05A-4B05-A122-143A3159665A}"/>
    <cellStyle name="Millares [0] 3 3" xfId="90" xr:uid="{36783970-4919-4059-BD62-DC77CF35B13F}"/>
    <cellStyle name="Millares [0] 3 3 2" xfId="140" xr:uid="{595D0B2F-DE4F-402C-851A-F313CFEA1857}"/>
    <cellStyle name="Millares [0] 3 3 2 2" xfId="229" xr:uid="{62D1DF35-92F6-4576-B2CB-9601FFB61EE5}"/>
    <cellStyle name="Millares [0] 3 3 2 2 2" xfId="415" xr:uid="{43DE6BD7-B0AD-479F-8220-0B4AB1D79DA5}"/>
    <cellStyle name="Millares [0] 3 3 2 2 2 2" xfId="754" xr:uid="{BE771916-A702-464A-9CB1-4BEE29DF9BF8}"/>
    <cellStyle name="Millares [0] 3 3 2 2 2 2 2" xfId="1425" xr:uid="{63D07000-3028-415F-BD29-693F33C00672}"/>
    <cellStyle name="Millares [0] 3 3 2 2 2 3" xfId="1093" xr:uid="{CB7C9072-FAEE-42A5-A1B3-7E2FD442E2F8}"/>
    <cellStyle name="Millares [0] 3 3 2 2 3" xfId="588" xr:uid="{AFC337C2-B945-4EC8-9B36-7F974F6C6473}"/>
    <cellStyle name="Millares [0] 3 3 2 2 3 2" xfId="1259" xr:uid="{774177FE-4B53-481F-82E9-6E1BA7DBF7AC}"/>
    <cellStyle name="Millares [0] 3 3 2 2 4" xfId="927" xr:uid="{FD2BE9C2-935A-4116-9D7E-8DED8CBD9B2C}"/>
    <cellStyle name="Millares [0] 3 3 2 3" xfId="333" xr:uid="{8FECA99F-3CDA-47FC-AB82-EA06728044FE}"/>
    <cellStyle name="Millares [0] 3 3 2 3 2" xfId="672" xr:uid="{9630D106-3AEB-4B23-B387-BED00DF089E8}"/>
    <cellStyle name="Millares [0] 3 3 2 3 2 2" xfId="1343" xr:uid="{C3DF2955-A313-41C7-B332-40C5E4B8F4B1}"/>
    <cellStyle name="Millares [0] 3 3 2 3 3" xfId="1011" xr:uid="{5E78676A-DF6D-42BB-9841-74B1A0667824}"/>
    <cellStyle name="Millares [0] 3 3 2 4" xfId="506" xr:uid="{F38E238D-7DA6-482D-97A5-29D7F5320D97}"/>
    <cellStyle name="Millares [0] 3 3 2 4 2" xfId="1177" xr:uid="{F63FFB77-B88A-41A9-B29C-E4F389C67259}"/>
    <cellStyle name="Millares [0] 3 3 2 5" xfId="845" xr:uid="{E2D1B863-6B00-4779-AE10-5D9CAB9AC01D}"/>
    <cellStyle name="Millares [0] 3 3 3" xfId="189" xr:uid="{2ADF5F24-3A8E-49E6-84CB-83E885F18B3B}"/>
    <cellStyle name="Millares [0] 3 3 3 2" xfId="375" xr:uid="{813C689B-F7AE-4F35-92D4-48CFD62EBBED}"/>
    <cellStyle name="Millares [0] 3 3 3 2 2" xfId="714" xr:uid="{A51C2B72-A82E-4DE1-BF1F-B62963261B18}"/>
    <cellStyle name="Millares [0] 3 3 3 2 2 2" xfId="1385" xr:uid="{49B33BEC-DA73-4BB0-B2E4-E79464E8F506}"/>
    <cellStyle name="Millares [0] 3 3 3 2 3" xfId="1053" xr:uid="{6AB066B5-ED36-48C3-9CED-689DC14636F0}"/>
    <cellStyle name="Millares [0] 3 3 3 3" xfId="548" xr:uid="{BD724427-CE75-4918-B369-9615DF185280}"/>
    <cellStyle name="Millares [0] 3 3 3 3 2" xfId="1219" xr:uid="{7999D8E1-F6D7-43BA-85B3-7CE02540C597}"/>
    <cellStyle name="Millares [0] 3 3 3 4" xfId="887" xr:uid="{477E28E5-05B5-4660-8E9E-B02097CE6438}"/>
    <cellStyle name="Millares [0] 3 3 4" xfId="293" xr:uid="{1E3E9C05-44E5-4ED5-A8DF-46D6A82BBD6A}"/>
    <cellStyle name="Millares [0] 3 3 4 2" xfId="632" xr:uid="{5B883240-3C38-4224-8DC2-DBAA7F7E032C}"/>
    <cellStyle name="Millares [0] 3 3 4 2 2" xfId="1303" xr:uid="{1D60200F-B81E-4DB4-B22A-BC8DC4E02820}"/>
    <cellStyle name="Millares [0] 3 3 4 3" xfId="971" xr:uid="{BD7C449B-7B17-4757-90A1-37469ED5E335}"/>
    <cellStyle name="Millares [0] 3 3 5" xfId="466" xr:uid="{0B52D6AB-B623-4185-A51D-6ED49BB0223D}"/>
    <cellStyle name="Millares [0] 3 3 5 2" xfId="1137" xr:uid="{F26E8FB6-9652-41A0-AC3E-E8E128B0918F}"/>
    <cellStyle name="Millares [0] 3 3 6" xfId="805" xr:uid="{020D61BF-7F7F-4718-B44D-CA5C20AF0355}"/>
    <cellStyle name="Millares [0] 3 4" xfId="119" xr:uid="{DD69AA26-D13C-4583-A07A-E191EFADBA21}"/>
    <cellStyle name="Millares [0] 3 4 2" xfId="210" xr:uid="{1EC990DB-4345-4C03-820A-A6616DACA628}"/>
    <cellStyle name="Millares [0] 3 4 2 2" xfId="396" xr:uid="{47B083EF-C93C-433F-B1F1-27C0C33D7B46}"/>
    <cellStyle name="Millares [0] 3 4 2 2 2" xfId="735" xr:uid="{17AE185F-2910-43CE-966C-8BE720F53A3F}"/>
    <cellStyle name="Millares [0] 3 4 2 2 2 2" xfId="1406" xr:uid="{CAE35FF1-CE17-4CE6-AF60-DE5EE0FA4E8C}"/>
    <cellStyle name="Millares [0] 3 4 2 2 3" xfId="1074" xr:uid="{68500AF2-1753-4DFF-9FF0-E3D198AC36BD}"/>
    <cellStyle name="Millares [0] 3 4 2 3" xfId="569" xr:uid="{B9B51E89-8F9B-47C7-A749-27CFC43AFFF0}"/>
    <cellStyle name="Millares [0] 3 4 2 3 2" xfId="1240" xr:uid="{5F868C2E-89F3-4D75-9CC3-8B4C3370424E}"/>
    <cellStyle name="Millares [0] 3 4 2 4" xfId="908" xr:uid="{6B3EB467-0357-46DE-B198-E958E321F59A}"/>
    <cellStyle name="Millares [0] 3 4 3" xfId="314" xr:uid="{A34CA953-AC76-4065-8E9E-F2E3BCBC6D62}"/>
    <cellStyle name="Millares [0] 3 4 3 2" xfId="653" xr:uid="{A940B488-4129-4F2F-B0AB-104284523A85}"/>
    <cellStyle name="Millares [0] 3 4 3 2 2" xfId="1324" xr:uid="{2BC22243-6007-4733-9E07-C7FA4684E43A}"/>
    <cellStyle name="Millares [0] 3 4 3 3" xfId="992" xr:uid="{B5999E36-8C7B-4D22-9A4F-0C33E7D23064}"/>
    <cellStyle name="Millares [0] 3 4 4" xfId="487" xr:uid="{44858379-506A-4D27-869F-6FE4F9B8B06B}"/>
    <cellStyle name="Millares [0] 3 4 4 2" xfId="1158" xr:uid="{4D65476B-8724-45AA-B8FD-88DB9F5E7039}"/>
    <cellStyle name="Millares [0] 3 4 5" xfId="826" xr:uid="{582E6BB1-CA5A-4F1F-AF4B-E82E16A2E4CC}"/>
    <cellStyle name="Millares [0] 3 5" xfId="169" xr:uid="{0BEC93F5-CDC4-4D8D-8422-560F154253D1}"/>
    <cellStyle name="Millares [0] 3 5 2" xfId="356" xr:uid="{7BE8BE55-14FC-4B7C-AA27-FAB1775071E4}"/>
    <cellStyle name="Millares [0] 3 5 2 2" xfId="695" xr:uid="{43372CD2-D8C2-42B6-85D0-0000C9AAC829}"/>
    <cellStyle name="Millares [0] 3 5 2 2 2" xfId="1366" xr:uid="{149E3181-5365-4373-AD51-C567D296D9A1}"/>
    <cellStyle name="Millares [0] 3 5 2 3" xfId="1034" xr:uid="{110CCD2E-4709-4B26-9EF4-2B4ACD08892E}"/>
    <cellStyle name="Millares [0] 3 5 3" xfId="529" xr:uid="{9D723F63-A55F-4D2D-BE28-F349D3A72A4B}"/>
    <cellStyle name="Millares [0] 3 5 3 2" xfId="1200" xr:uid="{15435C83-23F6-4DF7-B142-DE4D01D5F83B}"/>
    <cellStyle name="Millares [0] 3 5 4" xfId="868" xr:uid="{FEB853BF-6EBC-4344-894A-2A12CBB439D7}"/>
    <cellStyle name="Millares [0] 3 6" xfId="273" xr:uid="{37252CD6-F674-478B-8EC6-DA0F1C1EA826}"/>
    <cellStyle name="Millares [0] 3 6 2" xfId="613" xr:uid="{88F15728-4E10-441D-99C7-D63003939FFA}"/>
    <cellStyle name="Millares [0] 3 6 2 2" xfId="1284" xr:uid="{602F9139-47BC-4D80-A8E9-CD4832A95F07}"/>
    <cellStyle name="Millares [0] 3 6 3" xfId="952" xr:uid="{1A684AAB-1121-4659-81B7-7B499AF62E98}"/>
    <cellStyle name="Millares [0] 3 7" xfId="446" xr:uid="{92F7FDB9-3002-47D1-B66C-FFABA46EEAD6}"/>
    <cellStyle name="Millares [0] 3 7 2" xfId="1118" xr:uid="{C1CFFBFB-2EF3-458F-8D70-66FE4479D5BC}"/>
    <cellStyle name="Millares [0] 3 8" xfId="785" xr:uid="{B145B9E2-2676-4CA4-8FDF-B471E8993F29}"/>
    <cellStyle name="Millares [0] 34" xfId="45" xr:uid="{306C3E8F-088C-42C8-BB50-00267DA679B7}"/>
    <cellStyle name="Millares [0] 34 2" xfId="73" xr:uid="{237DF2B8-98CC-4C94-A679-2FFC437FD20B}"/>
    <cellStyle name="Millares [0] 34 2 2" xfId="102" xr:uid="{09995709-4E22-4AA5-9882-EF797BDB3DE8}"/>
    <cellStyle name="Millares [0] 34 2 2 2" xfId="150" xr:uid="{55800A8A-64D0-4271-9EE8-65A44233FFB5}"/>
    <cellStyle name="Millares [0] 34 2 2 2 2" xfId="239" xr:uid="{DAE259AD-BB98-4325-9742-5AA7E014FB30}"/>
    <cellStyle name="Millares [0] 34 2 2 2 2 2" xfId="425" xr:uid="{EF30A114-3A97-4C59-81FC-D859D77A862F}"/>
    <cellStyle name="Millares [0] 34 2 2 2 2 2 2" xfId="764" xr:uid="{FE466DCE-5B39-46EC-A616-EC9D8FB92D87}"/>
    <cellStyle name="Millares [0] 34 2 2 2 2 2 2 2" xfId="1435" xr:uid="{849019A3-B443-4FC8-9D43-5A864C12C3A8}"/>
    <cellStyle name="Millares [0] 34 2 2 2 2 2 3" xfId="1103" xr:uid="{D6CC48CB-D0A2-4BD0-BFA0-E0F883A0C6CA}"/>
    <cellStyle name="Millares [0] 34 2 2 2 2 3" xfId="598" xr:uid="{AD391ECE-8AB4-4D5C-8DA0-D1629E30BD2C}"/>
    <cellStyle name="Millares [0] 34 2 2 2 2 3 2" xfId="1269" xr:uid="{07E3654D-0DDF-41FC-A389-E125033D2A43}"/>
    <cellStyle name="Millares [0] 34 2 2 2 2 4" xfId="937" xr:uid="{19058CEE-74BB-4555-B7E9-A337B63431FC}"/>
    <cellStyle name="Millares [0] 34 2 2 2 3" xfId="343" xr:uid="{7BDA5CC4-EEE3-43F6-B1DA-7EBB689CBE20}"/>
    <cellStyle name="Millares [0] 34 2 2 2 3 2" xfId="682" xr:uid="{C87A2F18-07AC-4962-BF5D-73CE1E2AAD7D}"/>
    <cellStyle name="Millares [0] 34 2 2 2 3 2 2" xfId="1353" xr:uid="{51E49CF1-E59C-4B4C-9DA4-9D8EC80EBAE6}"/>
    <cellStyle name="Millares [0] 34 2 2 2 3 3" xfId="1021" xr:uid="{89C2D43C-2CEF-43AF-AB74-9215CD56084C}"/>
    <cellStyle name="Millares [0] 34 2 2 2 4" xfId="516" xr:uid="{B003812B-E91A-4206-A8F1-DCA5378E0E01}"/>
    <cellStyle name="Millares [0] 34 2 2 2 4 2" xfId="1187" xr:uid="{014C6918-1055-420C-BBAD-07E1AFB74AEE}"/>
    <cellStyle name="Millares [0] 34 2 2 2 5" xfId="855" xr:uid="{78C2F5A1-D956-4663-AE3E-A8C273E3F573}"/>
    <cellStyle name="Millares [0] 34 2 2 3" xfId="199" xr:uid="{8F237F48-EE5A-4E3A-99D2-A767E9971C2B}"/>
    <cellStyle name="Millares [0] 34 2 2 3 2" xfId="385" xr:uid="{4409D639-4726-4334-838A-B38AC1222E47}"/>
    <cellStyle name="Millares [0] 34 2 2 3 2 2" xfId="724" xr:uid="{37FD119E-D98F-4FFD-B3A5-CCE71E2A7D70}"/>
    <cellStyle name="Millares [0] 34 2 2 3 2 2 2" xfId="1395" xr:uid="{A7C80A11-CD5F-48DF-8E1C-C0BAC1B080F4}"/>
    <cellStyle name="Millares [0] 34 2 2 3 2 3" xfId="1063" xr:uid="{07504204-385A-4734-B2EF-D1C82310ABEC}"/>
    <cellStyle name="Millares [0] 34 2 2 3 3" xfId="558" xr:uid="{F8B9B8E7-9489-4691-B9B9-DF27E5A86694}"/>
    <cellStyle name="Millares [0] 34 2 2 3 3 2" xfId="1229" xr:uid="{F2E8A435-2226-4509-9F2C-99C529E81E8D}"/>
    <cellStyle name="Millares [0] 34 2 2 3 4" xfId="897" xr:uid="{F04EED85-F5A5-4FB6-8877-40C37C0E63EF}"/>
    <cellStyle name="Millares [0] 34 2 2 4" xfId="303" xr:uid="{D8700CE8-08C0-45F7-ADB6-43D04A4BE733}"/>
    <cellStyle name="Millares [0] 34 2 2 4 2" xfId="642" xr:uid="{F11EB7C9-77DD-4AC5-945E-8993ACA86E45}"/>
    <cellStyle name="Millares [0] 34 2 2 4 2 2" xfId="1313" xr:uid="{4DB73B8D-AB94-4875-BC4C-05ABF179D870}"/>
    <cellStyle name="Millares [0] 34 2 2 4 3" xfId="981" xr:uid="{885CD24C-64A4-43CF-877C-2C7AAEF2F55E}"/>
    <cellStyle name="Millares [0] 34 2 2 5" xfId="476" xr:uid="{EEFC72FB-9F33-4B1F-917B-E41F36566356}"/>
    <cellStyle name="Millares [0] 34 2 2 5 2" xfId="1147" xr:uid="{17F7A36C-3E69-4CB2-B1B4-42A09D332731}"/>
    <cellStyle name="Millares [0] 34 2 2 6" xfId="815" xr:uid="{4A80E81E-1F9D-493C-8DC2-A94F3E79F56F}"/>
    <cellStyle name="Millares [0] 34 2 3" xfId="131" xr:uid="{F2DB0381-7AC6-4A4B-B566-F1AC49EB97FA}"/>
    <cellStyle name="Millares [0] 34 2 3 2" xfId="220" xr:uid="{322D6208-DA91-4940-9EF0-C80FA21AE006}"/>
    <cellStyle name="Millares [0] 34 2 3 2 2" xfId="406" xr:uid="{0BAB2050-689E-4496-A6CD-BAEE7CBEFFBF}"/>
    <cellStyle name="Millares [0] 34 2 3 2 2 2" xfId="745" xr:uid="{09213930-BFFB-4090-8C09-5F027FBEFB47}"/>
    <cellStyle name="Millares [0] 34 2 3 2 2 2 2" xfId="1416" xr:uid="{A72C2569-07DA-4FD9-B84B-6B19ADADE76D}"/>
    <cellStyle name="Millares [0] 34 2 3 2 2 3" xfId="1084" xr:uid="{52399AFB-C138-4E02-B98D-0DDC5DBB1B87}"/>
    <cellStyle name="Millares [0] 34 2 3 2 3" xfId="579" xr:uid="{C65A1E8D-F5F9-4AE3-A305-0399C3FAA810}"/>
    <cellStyle name="Millares [0] 34 2 3 2 3 2" xfId="1250" xr:uid="{6E0D7ECF-35D5-4793-AEE5-B332C3DEA011}"/>
    <cellStyle name="Millares [0] 34 2 3 2 4" xfId="918" xr:uid="{8003AF80-6336-4F77-9041-AE59E40CEC79}"/>
    <cellStyle name="Millares [0] 34 2 3 3" xfId="324" xr:uid="{75C0E1DC-4E38-4223-BF4F-CEDA559406C9}"/>
    <cellStyle name="Millares [0] 34 2 3 3 2" xfId="663" xr:uid="{62F6C931-F314-4D54-A78C-6BD88736C3CD}"/>
    <cellStyle name="Millares [0] 34 2 3 3 2 2" xfId="1334" xr:uid="{F38188C0-9FAC-4755-B431-4423077824FC}"/>
    <cellStyle name="Millares [0] 34 2 3 3 3" xfId="1002" xr:uid="{86DF64E3-8645-4D4B-836D-C5E22E0571D0}"/>
    <cellStyle name="Millares [0] 34 2 3 4" xfId="497" xr:uid="{5426766A-414A-43B2-A44A-DFE08C10C934}"/>
    <cellStyle name="Millares [0] 34 2 3 4 2" xfId="1168" xr:uid="{C321D4E4-8ABE-4A9D-B068-381953DEF89A}"/>
    <cellStyle name="Millares [0] 34 2 3 5" xfId="836" xr:uid="{FBAA9F83-949D-4F86-9B83-44AC4D22EC77}"/>
    <cellStyle name="Millares [0] 34 2 4" xfId="180" xr:uid="{F36A053A-6C35-43A8-BBDA-135DAEEEA968}"/>
    <cellStyle name="Millares [0] 34 2 4 2" xfId="366" xr:uid="{3795EE10-9FB0-47CD-91DF-1D4D713172A2}"/>
    <cellStyle name="Millares [0] 34 2 4 2 2" xfId="705" xr:uid="{FF30D6BD-4354-433C-9BFD-B4E4EF4EC6CA}"/>
    <cellStyle name="Millares [0] 34 2 4 2 2 2" xfId="1376" xr:uid="{0C913DCE-4B24-47D4-AE33-77D228EFF97D}"/>
    <cellStyle name="Millares [0] 34 2 4 2 3" xfId="1044" xr:uid="{6BCEF3D5-BC87-422D-B664-3114DEBB410E}"/>
    <cellStyle name="Millares [0] 34 2 4 3" xfId="539" xr:uid="{6F275BDF-9250-41F5-A9C4-E44F91079D64}"/>
    <cellStyle name="Millares [0] 34 2 4 3 2" xfId="1210" xr:uid="{795677AB-7D1F-4063-8405-BA8F407539EA}"/>
    <cellStyle name="Millares [0] 34 2 4 4" xfId="878" xr:uid="{375BF3EC-04B9-444D-AAAC-4EAD7B6D1135}"/>
    <cellStyle name="Millares [0] 34 2 5" xfId="284" xr:uid="{7F7C43C4-3341-458C-AB6E-C0499CC26A86}"/>
    <cellStyle name="Millares [0] 34 2 5 2" xfId="623" xr:uid="{229EAFE4-C85A-4EA4-AAC8-BF8CC8B27F72}"/>
    <cellStyle name="Millares [0] 34 2 5 2 2" xfId="1294" xr:uid="{90C7D62E-FC40-4B6B-AB3E-3FF7106729D8}"/>
    <cellStyle name="Millares [0] 34 2 5 3" xfId="962" xr:uid="{9CE5DAED-B3E4-4423-A347-D829568145EA}"/>
    <cellStyle name="Millares [0] 34 2 6" xfId="457" xr:uid="{F684AE00-8D64-45FE-8B71-67276D2D6113}"/>
    <cellStyle name="Millares [0] 34 2 6 2" xfId="1128" xr:uid="{BD68C9FA-07E0-49A3-9212-1D92E42E106A}"/>
    <cellStyle name="Millares [0] 34 2 7" xfId="796" xr:uid="{88FFF196-2403-48BB-8373-4FE53AD8AEF2}"/>
    <cellStyle name="Millares [0] 34 3" xfId="91" xr:uid="{987708A1-E7B8-46E3-907C-8301F9A2A081}"/>
    <cellStyle name="Millares [0] 34 3 2" xfId="141" xr:uid="{4FA67002-7CB8-40C3-B739-DB3F23C83064}"/>
    <cellStyle name="Millares [0] 34 3 2 2" xfId="230" xr:uid="{2825AA04-7CA1-4004-B472-E9D108FAEE3C}"/>
    <cellStyle name="Millares [0] 34 3 2 2 2" xfId="416" xr:uid="{1D10018F-BA47-4B82-B29B-259FEE9F723A}"/>
    <cellStyle name="Millares [0] 34 3 2 2 2 2" xfId="755" xr:uid="{57AD0908-F8E1-4C7A-8E77-9F1F18FFCC0C}"/>
    <cellStyle name="Millares [0] 34 3 2 2 2 2 2" xfId="1426" xr:uid="{AA485990-F8C7-4FFC-832D-EDF8C5589951}"/>
    <cellStyle name="Millares [0] 34 3 2 2 2 3" xfId="1094" xr:uid="{5E445381-09D2-4018-8601-EA3D12F54FD3}"/>
    <cellStyle name="Millares [0] 34 3 2 2 3" xfId="589" xr:uid="{291925C8-7787-4C13-B46A-6E3FDF3557F9}"/>
    <cellStyle name="Millares [0] 34 3 2 2 3 2" xfId="1260" xr:uid="{46DFF45D-5473-4E01-856B-950F0375D509}"/>
    <cellStyle name="Millares [0] 34 3 2 2 4" xfId="928" xr:uid="{EBC97F73-CA86-4152-ACC9-5DC48E42F412}"/>
    <cellStyle name="Millares [0] 34 3 2 3" xfId="334" xr:uid="{C3F82F82-ABEF-43B8-9031-00841A93FF46}"/>
    <cellStyle name="Millares [0] 34 3 2 3 2" xfId="673" xr:uid="{DCB8C889-683A-4A58-A74F-D3C6677D16D5}"/>
    <cellStyle name="Millares [0] 34 3 2 3 2 2" xfId="1344" xr:uid="{A5E39BC6-9796-47CC-B0BE-B33E4394ADE0}"/>
    <cellStyle name="Millares [0] 34 3 2 3 3" xfId="1012" xr:uid="{25BCF4A0-ED0A-441C-A029-2B973CCD9088}"/>
    <cellStyle name="Millares [0] 34 3 2 4" xfId="507" xr:uid="{479A8585-F23E-4924-B6FC-4536707E4435}"/>
    <cellStyle name="Millares [0] 34 3 2 4 2" xfId="1178" xr:uid="{435949B4-2011-462C-AC69-0B9DFC9DCFD2}"/>
    <cellStyle name="Millares [0] 34 3 2 5" xfId="846" xr:uid="{D9058E63-8952-47E8-BC35-B2F77ADBAB8E}"/>
    <cellStyle name="Millares [0] 34 3 3" xfId="190" xr:uid="{7A799991-4932-4AB7-AFB7-C25471AA3B77}"/>
    <cellStyle name="Millares [0] 34 3 3 2" xfId="376" xr:uid="{A7B3DC16-C734-48E2-81E5-E7620F7EEB3C}"/>
    <cellStyle name="Millares [0] 34 3 3 2 2" xfId="715" xr:uid="{BE2DB179-680E-4B24-89B5-04E02F0F41AB}"/>
    <cellStyle name="Millares [0] 34 3 3 2 2 2" xfId="1386" xr:uid="{BAAF93BF-7428-4100-A94B-4437ECC4EA80}"/>
    <cellStyle name="Millares [0] 34 3 3 2 3" xfId="1054" xr:uid="{70DB3758-EBD0-41E2-AE04-ADD8A3A856A2}"/>
    <cellStyle name="Millares [0] 34 3 3 3" xfId="549" xr:uid="{2727AEBF-465C-4ACC-8D68-8C8A70097723}"/>
    <cellStyle name="Millares [0] 34 3 3 3 2" xfId="1220" xr:uid="{9DFA5FE7-BA15-47D0-B113-58F6C090CF9E}"/>
    <cellStyle name="Millares [0] 34 3 3 4" xfId="888" xr:uid="{37671914-3936-4514-A82A-8F403C0F3FA7}"/>
    <cellStyle name="Millares [0] 34 3 4" xfId="294" xr:uid="{3B1C36CC-EE2F-4E0E-B01F-DA6213DD4B10}"/>
    <cellStyle name="Millares [0] 34 3 4 2" xfId="633" xr:uid="{499E0E35-B9BD-4197-BD7B-7F9D448C618C}"/>
    <cellStyle name="Millares [0] 34 3 4 2 2" xfId="1304" xr:uid="{5776E820-05EE-476E-9B4F-31FA52242F08}"/>
    <cellStyle name="Millares [0] 34 3 4 3" xfId="972" xr:uid="{4DE2FAC6-10A7-4FEF-AB96-6AACB9709A29}"/>
    <cellStyle name="Millares [0] 34 3 5" xfId="467" xr:uid="{6E3A8AA2-1FE7-4E45-A36C-EA640328A614}"/>
    <cellStyle name="Millares [0] 34 3 5 2" xfId="1138" xr:uid="{13ACE072-003E-4113-B7FC-DA6550415EDD}"/>
    <cellStyle name="Millares [0] 34 3 6" xfId="806" xr:uid="{2B1D7A26-1190-46E0-9F44-5ACE6333EECE}"/>
    <cellStyle name="Millares [0] 34 4" xfId="120" xr:uid="{CDF0C7B9-3601-4251-BB0E-D354F0B6019E}"/>
    <cellStyle name="Millares [0] 34 4 2" xfId="211" xr:uid="{BD8AB0F9-67C6-4F60-8B0A-7663D2C5359F}"/>
    <cellStyle name="Millares [0] 34 4 2 2" xfId="397" xr:uid="{7DDAAEBD-E78A-40A5-AC2E-7F4BFD00219C}"/>
    <cellStyle name="Millares [0] 34 4 2 2 2" xfId="736" xr:uid="{3586D0A3-BDDD-4B7F-BBAE-78B136A42BA5}"/>
    <cellStyle name="Millares [0] 34 4 2 2 2 2" xfId="1407" xr:uid="{9DDBDCCE-0FFE-40E6-89D1-1909A97FEDFA}"/>
    <cellStyle name="Millares [0] 34 4 2 2 3" xfId="1075" xr:uid="{E538DEC5-F050-4CCC-BEE4-400BA24EAEB1}"/>
    <cellStyle name="Millares [0] 34 4 2 3" xfId="570" xr:uid="{14874627-1DB7-4B61-8AA7-7E4F68346F6F}"/>
    <cellStyle name="Millares [0] 34 4 2 3 2" xfId="1241" xr:uid="{E0AB0DA9-82EA-475C-9BD2-CE98374FEBE4}"/>
    <cellStyle name="Millares [0] 34 4 2 4" xfId="909" xr:uid="{0B8F42D6-5665-4815-B23F-EC9C4946F965}"/>
    <cellStyle name="Millares [0] 34 4 3" xfId="315" xr:uid="{30890AC3-8A43-4FFD-9F3F-EB8A6C70DB87}"/>
    <cellStyle name="Millares [0] 34 4 3 2" xfId="654" xr:uid="{212DA89E-C317-4987-A86E-1708F146BC50}"/>
    <cellStyle name="Millares [0] 34 4 3 2 2" xfId="1325" xr:uid="{BC1D8775-FB45-4B40-8A36-9B6099EFBCB7}"/>
    <cellStyle name="Millares [0] 34 4 3 3" xfId="993" xr:uid="{B49A98DF-EDA5-4C82-A9EA-97FA7B3625B2}"/>
    <cellStyle name="Millares [0] 34 4 4" xfId="488" xr:uid="{A73DDC9F-1B36-4DD4-BC96-FAA324E5646C}"/>
    <cellStyle name="Millares [0] 34 4 4 2" xfId="1159" xr:uid="{EED82787-9F2F-4A1F-B036-9F63F5CD1E9A}"/>
    <cellStyle name="Millares [0] 34 4 5" xfId="827" xr:uid="{B3634BD6-42B6-469C-81E8-84F155B6EA90}"/>
    <cellStyle name="Millares [0] 34 5" xfId="170" xr:uid="{109286F0-46BE-4E2D-BE2B-29B7EE08F359}"/>
    <cellStyle name="Millares [0] 34 5 2" xfId="357" xr:uid="{7EB62DD1-B256-492F-ACD2-A193432BFAC9}"/>
    <cellStyle name="Millares [0] 34 5 2 2" xfId="696" xr:uid="{CD2F18A0-F39E-4E61-A8D5-FE8D207510BB}"/>
    <cellStyle name="Millares [0] 34 5 2 2 2" xfId="1367" xr:uid="{EBBA02C1-74A9-4BD2-AD90-495D4CC5322A}"/>
    <cellStyle name="Millares [0] 34 5 2 3" xfId="1035" xr:uid="{1CAA1A42-33D0-476A-8925-6B5042CBC210}"/>
    <cellStyle name="Millares [0] 34 5 3" xfId="530" xr:uid="{CC555D4D-2903-426F-94A3-73159B31FE25}"/>
    <cellStyle name="Millares [0] 34 5 3 2" xfId="1201" xr:uid="{3046248B-98B2-4DE0-B4CA-E173FD53C80C}"/>
    <cellStyle name="Millares [0] 34 5 4" xfId="869" xr:uid="{BF81C2A0-B7A3-4F26-827E-7696B90B4098}"/>
    <cellStyle name="Millares [0] 34 6" xfId="274" xr:uid="{E647DCD2-F088-45E2-8E14-50DC62316D91}"/>
    <cellStyle name="Millares [0] 34 6 2" xfId="614" xr:uid="{3F4C63DF-6469-47DA-9858-DE9FF1AD6993}"/>
    <cellStyle name="Millares [0] 34 6 2 2" xfId="1285" xr:uid="{C3050DC3-67F8-4DFF-B503-D8316275CEDD}"/>
    <cellStyle name="Millares [0] 34 6 3" xfId="953" xr:uid="{BA19940C-8787-4089-B07F-E6FF9D80F2A8}"/>
    <cellStyle name="Millares [0] 34 7" xfId="447" xr:uid="{835EEEC8-F83F-472E-8779-3829CE81E0B1}"/>
    <cellStyle name="Millares [0] 34 7 2" xfId="1119" xr:uid="{AF78B6C2-4067-4D4A-B280-898DF36DBAE0}"/>
    <cellStyle name="Millares [0] 34 8" xfId="786" xr:uid="{62011AB2-B8F4-4054-B3E7-9ED46AC0AE89}"/>
    <cellStyle name="Millares [0] 4" xfId="78" xr:uid="{0D339DEE-EE85-4570-B0EA-F880E9E60F8F}"/>
    <cellStyle name="Millares [0] 4 2" xfId="106" xr:uid="{F64F224E-A906-4EE8-AE2D-83703E87ADC3}"/>
    <cellStyle name="Millares [0] 4 2 2" xfId="154" xr:uid="{2D989CA6-B66E-44F8-87CE-0B44F6017C26}"/>
    <cellStyle name="Millares [0] 4 2 2 2" xfId="243" xr:uid="{6B4D012A-3268-422B-8976-F43B7E82BA34}"/>
    <cellStyle name="Millares [0] 4 2 2 2 2" xfId="429" xr:uid="{0EA731B6-DEF4-4B41-A669-41DBE0201E37}"/>
    <cellStyle name="Millares [0] 4 2 2 2 2 2" xfId="768" xr:uid="{CC97C762-F323-40DC-8D34-2D7AF708A79A}"/>
    <cellStyle name="Millares [0] 4 2 2 2 2 2 2" xfId="1439" xr:uid="{4700DAFC-109D-4083-9FA7-954721029E73}"/>
    <cellStyle name="Millares [0] 4 2 2 2 2 3" xfId="1107" xr:uid="{19A291DD-F7E0-47DD-B0E1-0D11552C069B}"/>
    <cellStyle name="Millares [0] 4 2 2 2 3" xfId="602" xr:uid="{205F2192-8E43-46D1-A947-5EDF5003AEDF}"/>
    <cellStyle name="Millares [0] 4 2 2 2 3 2" xfId="1273" xr:uid="{0017F8AA-E87B-48CA-808A-B912175CE876}"/>
    <cellStyle name="Millares [0] 4 2 2 2 4" xfId="941" xr:uid="{61F6D12F-4AB4-4A65-9DC0-F2D3333C76DF}"/>
    <cellStyle name="Millares [0] 4 2 2 3" xfId="347" xr:uid="{67AEBF7F-B035-4ABA-A771-B609913086B9}"/>
    <cellStyle name="Millares [0] 4 2 2 3 2" xfId="686" xr:uid="{F683A8DF-1C4F-4E3D-84C9-0377B85A8BF8}"/>
    <cellStyle name="Millares [0] 4 2 2 3 2 2" xfId="1357" xr:uid="{68D93753-5A4C-4951-86E9-65F274EA56BC}"/>
    <cellStyle name="Millares [0] 4 2 2 3 3" xfId="1025" xr:uid="{9371FEF4-66E0-4232-8993-C16ACCFF43C5}"/>
    <cellStyle name="Millares [0] 4 2 2 4" xfId="520" xr:uid="{5D7CC7B8-50F6-400B-8F05-327594C352E6}"/>
    <cellStyle name="Millares [0] 4 2 2 4 2" xfId="1191" xr:uid="{34C7D842-D210-4C60-AF06-61E2FD7C8FA3}"/>
    <cellStyle name="Millares [0] 4 2 2 5" xfId="859" xr:uid="{1A685926-6682-4206-84C3-59B9B9A182AA}"/>
    <cellStyle name="Millares [0] 4 2 3" xfId="203" xr:uid="{4EA7FC69-DD6A-477E-B705-7D133B559C7C}"/>
    <cellStyle name="Millares [0] 4 2 3 2" xfId="389" xr:uid="{9D3D6ECB-CD4C-431C-A92D-AEE61C9B639E}"/>
    <cellStyle name="Millares [0] 4 2 3 2 2" xfId="728" xr:uid="{000AD781-1B82-4EA5-A55D-C061A84820D8}"/>
    <cellStyle name="Millares [0] 4 2 3 2 2 2" xfId="1399" xr:uid="{98D79466-4073-4E97-BF77-A7448E02EF2A}"/>
    <cellStyle name="Millares [0] 4 2 3 2 3" xfId="1067" xr:uid="{3F878F73-0280-4A4C-8BF4-10A416422CAD}"/>
    <cellStyle name="Millares [0] 4 2 3 3" xfId="562" xr:uid="{C2CC5D54-9922-4C17-90A6-8F81F5082AA8}"/>
    <cellStyle name="Millares [0] 4 2 3 3 2" xfId="1233" xr:uid="{AB7EBC4E-22C1-44B9-824C-04694A6D0291}"/>
    <cellStyle name="Millares [0] 4 2 3 4" xfId="901" xr:uid="{F3D106D2-6F61-413E-AEE7-E703C9CF237E}"/>
    <cellStyle name="Millares [0] 4 2 4" xfId="307" xr:uid="{C4D3441F-2629-49FC-8634-65DF43B84F1B}"/>
    <cellStyle name="Millares [0] 4 2 4 2" xfId="646" xr:uid="{2300C29B-2E8B-4757-A5F3-EE88B5450029}"/>
    <cellStyle name="Millares [0] 4 2 4 2 2" xfId="1317" xr:uid="{7DE4D2B2-4F33-44C6-99C3-3E869555D90E}"/>
    <cellStyle name="Millares [0] 4 2 4 3" xfId="985" xr:uid="{14A7E261-51CC-4436-ABF9-A88838C2D132}"/>
    <cellStyle name="Millares [0] 4 2 5" xfId="480" xr:uid="{EF8BA364-4AFF-4527-9C83-061D628CDACC}"/>
    <cellStyle name="Millares [0] 4 2 5 2" xfId="1151" xr:uid="{5C76C54A-1FC6-43C8-ADB7-BBD77FE845DE}"/>
    <cellStyle name="Millares [0] 4 2 6" xfId="819" xr:uid="{3A00D55A-913A-428F-825B-E1ADBED89CFF}"/>
    <cellStyle name="Millares [0] 4 3" xfId="135" xr:uid="{99AC9734-6822-49BB-A67F-0C2F2D0C265A}"/>
    <cellStyle name="Millares [0] 4 3 2" xfId="224" xr:uid="{7345C5D7-AC12-47A3-A396-EF178F6C79D8}"/>
    <cellStyle name="Millares [0] 4 3 2 2" xfId="410" xr:uid="{35B71A3F-3C89-4C9F-93A8-E8C85D1DF069}"/>
    <cellStyle name="Millares [0] 4 3 2 2 2" xfId="749" xr:uid="{F8AE6B39-514F-4297-BB7B-1E273B31F2E3}"/>
    <cellStyle name="Millares [0] 4 3 2 2 2 2" xfId="1420" xr:uid="{3AF9F579-8455-4408-BF2C-F57626016164}"/>
    <cellStyle name="Millares [0] 4 3 2 2 3" xfId="1088" xr:uid="{14E7385F-D5FE-4654-8772-8E18C4FF64CA}"/>
    <cellStyle name="Millares [0] 4 3 2 3" xfId="583" xr:uid="{966A05F9-D2E9-4333-A0BD-804E314AD18C}"/>
    <cellStyle name="Millares [0] 4 3 2 3 2" xfId="1254" xr:uid="{293179AB-0DA2-4A9C-A082-5B959FE51B1B}"/>
    <cellStyle name="Millares [0] 4 3 2 4" xfId="922" xr:uid="{A9C0AFF8-90E5-4219-A80D-B74E3B0B25CA}"/>
    <cellStyle name="Millares [0] 4 3 3" xfId="328" xr:uid="{857D0514-1521-4AAF-AA3A-CEF34B1A6215}"/>
    <cellStyle name="Millares [0] 4 3 3 2" xfId="667" xr:uid="{6FE95883-B725-41C5-9F9C-1D86F61FCABB}"/>
    <cellStyle name="Millares [0] 4 3 3 2 2" xfId="1338" xr:uid="{B7E6E036-B21D-4236-891C-57B9C6552C85}"/>
    <cellStyle name="Millares [0] 4 3 3 3" xfId="1006" xr:uid="{B65C5543-A0AB-4720-9CE2-CF7D4AC83582}"/>
    <cellStyle name="Millares [0] 4 3 4" xfId="501" xr:uid="{F5774851-F646-424B-B1E9-9E79840EE976}"/>
    <cellStyle name="Millares [0] 4 3 4 2" xfId="1172" xr:uid="{B3215157-32D2-4F07-ACBC-BD456E7DE063}"/>
    <cellStyle name="Millares [0] 4 3 5" xfId="840" xr:uid="{2076257E-28A1-4B4A-B7ED-779B248E8240}"/>
    <cellStyle name="Millares [0] 4 4" xfId="184" xr:uid="{0E66627A-F4C6-4DA0-80E8-D539BB027621}"/>
    <cellStyle name="Millares [0] 4 4 2" xfId="370" xr:uid="{56CA5047-6CC5-4E91-AC38-E9FEDA50BDCA}"/>
    <cellStyle name="Millares [0] 4 4 2 2" xfId="709" xr:uid="{53E7CA98-814D-41D5-9D9C-39221530BBDA}"/>
    <cellStyle name="Millares [0] 4 4 2 2 2" xfId="1380" xr:uid="{2A3E7563-BE57-4694-9C2C-F7F4ADB2ABA5}"/>
    <cellStyle name="Millares [0] 4 4 2 3" xfId="1048" xr:uid="{ED3EB6D0-062D-4282-AC09-5639103FF5EE}"/>
    <cellStyle name="Millares [0] 4 4 3" xfId="543" xr:uid="{C994D40F-8294-469D-87B3-AC1F9A446DD2}"/>
    <cellStyle name="Millares [0] 4 4 3 2" xfId="1214" xr:uid="{B299FFD3-BC30-4709-83CB-D5C899AE0873}"/>
    <cellStyle name="Millares [0] 4 4 4" xfId="882" xr:uid="{9BEDF2E5-9928-4B2D-9771-F73B88F24333}"/>
    <cellStyle name="Millares [0] 4 5" xfId="288" xr:uid="{D9F725E1-01C6-427B-9E37-422AF72FD204}"/>
    <cellStyle name="Millares [0] 4 5 2" xfId="627" xr:uid="{3B833AFF-0350-4E03-92A5-9E77A580962F}"/>
    <cellStyle name="Millares [0] 4 5 2 2" xfId="1298" xr:uid="{92BAAA2E-B3E2-43B7-BE62-A8B6C2B2BD22}"/>
    <cellStyle name="Millares [0] 4 5 3" xfId="966" xr:uid="{27F99A3C-DDE7-4BEE-98B2-22601F353C71}"/>
    <cellStyle name="Millares [0] 4 6" xfId="461" xr:uid="{DF7AEC81-D46F-41A2-9A80-D89567B16058}"/>
    <cellStyle name="Millares [0] 4 6 2" xfId="1132" xr:uid="{E1BAF5A9-6663-40C4-BF24-4643B9A67C28}"/>
    <cellStyle name="Millares [0] 4 7" xfId="800" xr:uid="{57B04A19-9276-4D15-B07B-51A1B0A4FB3E}"/>
    <cellStyle name="Millares [0] 5" xfId="63" xr:uid="{F0117906-2B83-4054-9DFF-62DAE20FF654}"/>
    <cellStyle name="Millares [0] 5 2" xfId="98" xr:uid="{BE369878-BFFC-418F-942D-A8363A963F18}"/>
    <cellStyle name="Millares [0] 5 2 2" xfId="146" xr:uid="{11F6BCD0-0DE4-4899-830E-31CF7493C05B}"/>
    <cellStyle name="Millares [0] 5 2 2 2" xfId="235" xr:uid="{0667573B-EFB1-427C-8C7A-AE666AF23229}"/>
    <cellStyle name="Millares [0] 5 2 2 2 2" xfId="421" xr:uid="{79840759-8588-4397-9C9B-872A69246D01}"/>
    <cellStyle name="Millares [0] 5 2 2 2 2 2" xfId="760" xr:uid="{3E4DC223-FD7C-4617-A77F-9648A35EB91E}"/>
    <cellStyle name="Millares [0] 5 2 2 2 2 2 2" xfId="1431" xr:uid="{CCC600FB-BC6E-413D-85C4-6E389C55CB01}"/>
    <cellStyle name="Millares [0] 5 2 2 2 2 3" xfId="1099" xr:uid="{583E0C53-6BBD-4A74-BC0A-A036F38A7A7E}"/>
    <cellStyle name="Millares [0] 5 2 2 2 3" xfId="594" xr:uid="{4A7DA867-7904-48F0-9FFC-22959240C67A}"/>
    <cellStyle name="Millares [0] 5 2 2 2 3 2" xfId="1265" xr:uid="{5E3B9B65-987A-4284-B026-FAF6A3EB5FA5}"/>
    <cellStyle name="Millares [0] 5 2 2 2 4" xfId="933" xr:uid="{AAB5B021-9670-47A4-B316-9A5CB888FCBB}"/>
    <cellStyle name="Millares [0] 5 2 2 3" xfId="339" xr:uid="{AE82760B-3302-4F51-8E3D-245488136382}"/>
    <cellStyle name="Millares [0] 5 2 2 3 2" xfId="678" xr:uid="{EA4EBC77-9833-4F00-A244-738CD51DB5B2}"/>
    <cellStyle name="Millares [0] 5 2 2 3 2 2" xfId="1349" xr:uid="{674B86A0-75CA-4235-8F3D-B96B65C1E1A6}"/>
    <cellStyle name="Millares [0] 5 2 2 3 3" xfId="1017" xr:uid="{4BFBA34C-8F5A-46AB-B4CE-C720CE8E8E1A}"/>
    <cellStyle name="Millares [0] 5 2 2 4" xfId="512" xr:uid="{CD1CE870-D447-447B-89F4-615B93AE98BC}"/>
    <cellStyle name="Millares [0] 5 2 2 4 2" xfId="1183" xr:uid="{11F72059-505B-4133-BAF7-10C0050333EC}"/>
    <cellStyle name="Millares [0] 5 2 2 5" xfId="851" xr:uid="{7479EA4F-0B17-497B-AE0B-142976B08AE1}"/>
    <cellStyle name="Millares [0] 5 2 3" xfId="195" xr:uid="{27FDDCA2-33D9-4B70-B5DC-A10361DE4D20}"/>
    <cellStyle name="Millares [0] 5 2 3 2" xfId="381" xr:uid="{97336C22-4042-4A47-A909-0055BC092CF6}"/>
    <cellStyle name="Millares [0] 5 2 3 2 2" xfId="720" xr:uid="{47F5044E-5916-4B25-B1A8-1A494B24F15B}"/>
    <cellStyle name="Millares [0] 5 2 3 2 2 2" xfId="1391" xr:uid="{BF6C68A8-83B6-4DCB-BA89-3472708C93D0}"/>
    <cellStyle name="Millares [0] 5 2 3 2 3" xfId="1059" xr:uid="{4293584A-8064-4E17-B6D7-FA8849BE8A22}"/>
    <cellStyle name="Millares [0] 5 2 3 3" xfId="554" xr:uid="{E3FF8B2A-3A8E-4E9F-874A-4E7FC1F0D870}"/>
    <cellStyle name="Millares [0] 5 2 3 3 2" xfId="1225" xr:uid="{2485124A-FE27-462F-9079-44B4FA605B45}"/>
    <cellStyle name="Millares [0] 5 2 3 4" xfId="893" xr:uid="{537ACFC1-3B55-4681-9768-B0F09A3A0976}"/>
    <cellStyle name="Millares [0] 5 2 4" xfId="299" xr:uid="{E4376E96-949C-4AF9-8842-15095D05264C}"/>
    <cellStyle name="Millares [0] 5 2 4 2" xfId="638" xr:uid="{06C3471F-D5CE-450C-A5BE-2ECAA9DF7E92}"/>
    <cellStyle name="Millares [0] 5 2 4 2 2" xfId="1309" xr:uid="{0EA5B03C-4EE6-4F24-9923-05C721EA1F8E}"/>
    <cellStyle name="Millares [0] 5 2 4 3" xfId="977" xr:uid="{82F70E2B-1F73-4D68-9481-496CBC297273}"/>
    <cellStyle name="Millares [0] 5 2 5" xfId="472" xr:uid="{DD47F567-F60C-4022-8E3D-C14F68500DDF}"/>
    <cellStyle name="Millares [0] 5 2 5 2" xfId="1143" xr:uid="{886D065B-DFA2-4637-8240-BD4E675AAF84}"/>
    <cellStyle name="Millares [0] 5 2 6" xfId="811" xr:uid="{B0DA0FEF-0DBA-4F53-9370-82D075A6E0B4}"/>
    <cellStyle name="Millares [0] 5 3" xfId="127" xr:uid="{E4A53DE1-161F-4A94-ADC5-3DC3388AA935}"/>
    <cellStyle name="Millares [0] 5 3 2" xfId="216" xr:uid="{285DDE76-4D27-4E1C-8700-A1C70B6316E2}"/>
    <cellStyle name="Millares [0] 5 3 2 2" xfId="402" xr:uid="{FDE38703-CC97-4BBC-B691-99E4224EE858}"/>
    <cellStyle name="Millares [0] 5 3 2 2 2" xfId="741" xr:uid="{D6E28B60-3FED-4573-82D8-CA8D0F7F840F}"/>
    <cellStyle name="Millares [0] 5 3 2 2 2 2" xfId="1412" xr:uid="{2F803A42-DB75-4711-BC09-D554BED4F148}"/>
    <cellStyle name="Millares [0] 5 3 2 2 3" xfId="1080" xr:uid="{121E0690-4394-4884-B8E1-ED12E1FEFE23}"/>
    <cellStyle name="Millares [0] 5 3 2 3" xfId="575" xr:uid="{4697271F-4D2C-4897-B4D4-09FC7570467D}"/>
    <cellStyle name="Millares [0] 5 3 2 3 2" xfId="1246" xr:uid="{984D25C8-6811-46B2-B8FB-D401B1DA41E2}"/>
    <cellStyle name="Millares [0] 5 3 2 4" xfId="914" xr:uid="{5ED4D7C4-C118-451D-BC27-167116C0F486}"/>
    <cellStyle name="Millares [0] 5 3 3" xfId="320" xr:uid="{FC9A0CFB-00F0-4CE0-8389-A1D6D0CD2A74}"/>
    <cellStyle name="Millares [0] 5 3 3 2" xfId="659" xr:uid="{46C31B22-8DFB-4B98-B520-59F63C66678D}"/>
    <cellStyle name="Millares [0] 5 3 3 2 2" xfId="1330" xr:uid="{4CD963DF-79AF-45E7-ACED-9012C2A98181}"/>
    <cellStyle name="Millares [0] 5 3 3 3" xfId="998" xr:uid="{6CD5CB62-A2A9-44EE-983A-5329E97A5F9E}"/>
    <cellStyle name="Millares [0] 5 3 4" xfId="493" xr:uid="{72874F13-64C4-480B-9269-E1B17F2391B2}"/>
    <cellStyle name="Millares [0] 5 3 4 2" xfId="1164" xr:uid="{76765140-0B41-437A-84D0-91AD37B86B7C}"/>
    <cellStyle name="Millares [0] 5 3 5" xfId="832" xr:uid="{CDA6D0CC-CEA5-405F-9F72-C21CD4937A89}"/>
    <cellStyle name="Millares [0] 5 4" xfId="176" xr:uid="{06CEEB0B-3D3C-45D1-ACD3-E2DECFB44BA9}"/>
    <cellStyle name="Millares [0] 5 4 2" xfId="362" xr:uid="{5E67CC9B-1F14-4668-877F-21A7989D4075}"/>
    <cellStyle name="Millares [0] 5 4 2 2" xfId="701" xr:uid="{07F1EC1B-94C4-4281-8870-022AF690A605}"/>
    <cellStyle name="Millares [0] 5 4 2 2 2" xfId="1372" xr:uid="{1E734CFA-6B27-495F-90AD-C34B6397B97D}"/>
    <cellStyle name="Millares [0] 5 4 2 3" xfId="1040" xr:uid="{3E1D9560-09F9-47C9-9FBD-341D93B43577}"/>
    <cellStyle name="Millares [0] 5 4 3" xfId="535" xr:uid="{BB416BF6-FE2E-4CBF-BF3D-7424F0E8AA24}"/>
    <cellStyle name="Millares [0] 5 4 3 2" xfId="1206" xr:uid="{B411FF6D-78C5-4C5C-B104-25580B4193D5}"/>
    <cellStyle name="Millares [0] 5 4 4" xfId="874" xr:uid="{DCEE62A1-5AFC-4008-8F9A-9CB2F9BFCD9F}"/>
    <cellStyle name="Millares [0] 5 5" xfId="280" xr:uid="{0278B58F-8D29-4861-A133-9B8DC43B17CF}"/>
    <cellStyle name="Millares [0] 5 5 2" xfId="619" xr:uid="{6CD77470-23CA-49B8-A2ED-0F7C4E5605B5}"/>
    <cellStyle name="Millares [0] 5 5 2 2" xfId="1290" xr:uid="{03BB62A2-FB87-4900-B105-2CFB99CF3F13}"/>
    <cellStyle name="Millares [0] 5 5 3" xfId="958" xr:uid="{A18A28A9-ABD3-4CC4-8825-D35EBCF9F36D}"/>
    <cellStyle name="Millares [0] 5 6" xfId="453" xr:uid="{B3CADB3B-4DCE-4170-8D42-90CDFCFD841A}"/>
    <cellStyle name="Millares [0] 5 6 2" xfId="1124" xr:uid="{C4950FF5-3D37-488C-9DE7-7ECF361C8C4A}"/>
    <cellStyle name="Millares [0] 5 7" xfId="792" xr:uid="{8433D2FD-7F5A-44DB-AA73-33044EFD0778}"/>
    <cellStyle name="Millares [0] 6" xfId="96" xr:uid="{4965CE2C-6356-42CF-945D-02E92CA4536B}"/>
    <cellStyle name="Millares [0] 6 2" xfId="145" xr:uid="{B34B7153-B7D0-4C58-8204-0555BC3C2394}"/>
    <cellStyle name="Millares [0] 6 2 2" xfId="234" xr:uid="{F09715ED-47EC-4B91-82FB-EC12027CF2C6}"/>
    <cellStyle name="Millares [0] 6 2 2 2" xfId="420" xr:uid="{431B0C93-075C-44C7-B292-59C86828207A}"/>
    <cellStyle name="Millares [0] 6 2 2 2 2" xfId="759" xr:uid="{11477009-077F-488A-B84E-8CCE82F5F3E0}"/>
    <cellStyle name="Millares [0] 6 2 2 2 2 2" xfId="1430" xr:uid="{73353876-D66C-445F-AB3C-A666D6A9D70C}"/>
    <cellStyle name="Millares [0] 6 2 2 2 3" xfId="1098" xr:uid="{D747CD92-273F-4C93-8FFF-3F02CCCC3AF1}"/>
    <cellStyle name="Millares [0] 6 2 2 3" xfId="593" xr:uid="{8CE71401-1CF6-43A6-ACB2-D6AA286C09DC}"/>
    <cellStyle name="Millares [0] 6 2 2 3 2" xfId="1264" xr:uid="{BC52F9E1-1A82-4197-A304-F01825BC0F7C}"/>
    <cellStyle name="Millares [0] 6 2 2 4" xfId="932" xr:uid="{3C058AEF-9E6D-4708-AB63-CAAA10B37DE0}"/>
    <cellStyle name="Millares [0] 6 2 3" xfId="338" xr:uid="{6B88EADD-E179-4636-8EE0-383C9E0D8371}"/>
    <cellStyle name="Millares [0] 6 2 3 2" xfId="677" xr:uid="{9BCA2C51-5B7D-40F3-845E-39D79474D02E}"/>
    <cellStyle name="Millares [0] 6 2 3 2 2" xfId="1348" xr:uid="{9E14580F-B01C-46E0-A84B-FCDC0E67222B}"/>
    <cellStyle name="Millares [0] 6 2 3 3" xfId="1016" xr:uid="{50ADEC92-5B17-4A62-8DD1-BD5F8D74D7EB}"/>
    <cellStyle name="Millares [0] 6 2 4" xfId="511" xr:uid="{158CCCEC-2CF1-4023-B8F2-4B8FD3774865}"/>
    <cellStyle name="Millares [0] 6 2 4 2" xfId="1182" xr:uid="{FAA950E7-C78C-4951-9B59-142E8603B260}"/>
    <cellStyle name="Millares [0] 6 2 5" xfId="850" xr:uid="{A7437C83-67CB-4830-8409-E5E1529DEF90}"/>
    <cellStyle name="Millares [0] 6 3" xfId="194" xr:uid="{6C0F0A2A-FC87-4A24-8349-3EDD9AAEF2F1}"/>
    <cellStyle name="Millares [0] 6 3 2" xfId="380" xr:uid="{A02632D6-3640-4E73-A4C0-3AFF2F706ACE}"/>
    <cellStyle name="Millares [0] 6 3 2 2" xfId="719" xr:uid="{881404C7-C8F5-4730-8666-3489F7343641}"/>
    <cellStyle name="Millares [0] 6 3 2 2 2" xfId="1390" xr:uid="{13D5F531-6EA9-45F9-92D1-50C71501F67A}"/>
    <cellStyle name="Millares [0] 6 3 2 3" xfId="1058" xr:uid="{30229343-8DD5-404C-A07D-9077E39FCFFB}"/>
    <cellStyle name="Millares [0] 6 3 3" xfId="553" xr:uid="{508BCE8C-CFC8-4527-80E6-4154FA1F95FF}"/>
    <cellStyle name="Millares [0] 6 3 3 2" xfId="1224" xr:uid="{8CFE1318-FD38-4705-973B-892DC180ECA8}"/>
    <cellStyle name="Millares [0] 6 3 4" xfId="892" xr:uid="{87521FCC-C7AF-4551-A7AD-7DFEC0DABD2F}"/>
    <cellStyle name="Millares [0] 6 4" xfId="298" xr:uid="{25F7E48B-3C62-4C21-AD4D-EAAA0D9CB801}"/>
    <cellStyle name="Millares [0] 6 4 2" xfId="637" xr:uid="{0066B225-8A29-430F-880D-BBEFF836A6FD}"/>
    <cellStyle name="Millares [0] 6 4 2 2" xfId="1308" xr:uid="{D3E55E58-9DB6-4D17-85AC-36BD969FE059}"/>
    <cellStyle name="Millares [0] 6 4 3" xfId="976" xr:uid="{75D25B6A-506F-4950-B900-71BD72F021B3}"/>
    <cellStyle name="Millares [0] 6 5" xfId="471" xr:uid="{D0F7C594-9018-45A0-87FA-D3F8E142A322}"/>
    <cellStyle name="Millares [0] 6 5 2" xfId="1142" xr:uid="{377662EF-AE44-4659-9DA6-B0162B073397}"/>
    <cellStyle name="Millares [0] 6 6" xfId="810" xr:uid="{DC0273BD-B512-4187-9DBD-0DD7FC668F86}"/>
    <cellStyle name="Millares [0] 7" xfId="125" xr:uid="{46990040-BBCD-4AA3-AD80-9D9F46E1A3F6}"/>
    <cellStyle name="Millares [0] 7 2" xfId="215" xr:uid="{7FCBBB72-5C90-45B1-99DF-E98649AFB9AC}"/>
    <cellStyle name="Millares [0] 7 2 2" xfId="401" xr:uid="{9BD5ED74-95FC-414D-B246-8796887C9B8B}"/>
    <cellStyle name="Millares [0] 7 2 2 2" xfId="740" xr:uid="{D876BCFB-8273-4E92-989A-FA7C1E298E3C}"/>
    <cellStyle name="Millares [0] 7 2 2 2 2" xfId="1411" xr:uid="{DEE4F1B1-8D63-42D6-B3E1-20C1EB7A5B74}"/>
    <cellStyle name="Millares [0] 7 2 2 3" xfId="1079" xr:uid="{2AE0A7A8-152B-4FEF-83CA-0EA7F94E74AF}"/>
    <cellStyle name="Millares [0] 7 2 3" xfId="574" xr:uid="{50471078-51DB-4EB9-9D5B-D07EA9D551F3}"/>
    <cellStyle name="Millares [0] 7 2 3 2" xfId="1245" xr:uid="{88AD7441-315F-4F2C-8019-3B6B1E2AD123}"/>
    <cellStyle name="Millares [0] 7 2 4" xfId="913" xr:uid="{BCE6D115-C38E-4459-8295-E68CD2ABF15E}"/>
    <cellStyle name="Millares [0] 7 3" xfId="319" xr:uid="{B3476535-4127-4F2D-BDCF-681CD5961EF6}"/>
    <cellStyle name="Millares [0] 7 3 2" xfId="658" xr:uid="{6C5CE5CA-569D-403A-AED4-C3A3B238F2EC}"/>
    <cellStyle name="Millares [0] 7 3 2 2" xfId="1329" xr:uid="{9CB09380-37C2-4AC7-97E4-CC9FDB7392A7}"/>
    <cellStyle name="Millares [0] 7 3 3" xfId="997" xr:uid="{B0F842EF-FD4C-482F-B07F-799BE648A9C7}"/>
    <cellStyle name="Millares [0] 7 4" xfId="492" xr:uid="{7684C47E-4691-432F-9D2A-B38461214024}"/>
    <cellStyle name="Millares [0] 7 4 2" xfId="1163" xr:uid="{CDEC4065-FC90-4306-8372-5D7278B69A96}"/>
    <cellStyle name="Millares [0] 7 5" xfId="831" xr:uid="{4B5C5679-FAB4-4DC9-9B59-7510844D9A48}"/>
    <cellStyle name="Millares [0] 8" xfId="111" xr:uid="{6F9E3355-F017-4984-BE86-B0C0E8DD8821}"/>
    <cellStyle name="Millares [0] 8 2" xfId="208" xr:uid="{FF54CA5D-583D-477A-8BF0-098F569C5E39}"/>
    <cellStyle name="Millares [0] 8 2 2" xfId="394" xr:uid="{902760BB-007C-46E2-982A-76A4B59AD216}"/>
    <cellStyle name="Millares [0] 8 2 2 2" xfId="733" xr:uid="{F5A2BF30-FBD1-4A5D-A821-CD6EB9641518}"/>
    <cellStyle name="Millares [0] 8 2 2 2 2" xfId="1404" xr:uid="{349A9383-272A-4DED-854B-E6362934248E}"/>
    <cellStyle name="Millares [0] 8 2 2 3" xfId="1072" xr:uid="{F4CA5F22-4B90-4EF2-9087-CDBC4D1C3C2B}"/>
    <cellStyle name="Millares [0] 8 2 3" xfId="567" xr:uid="{13D7988A-F99E-487C-8964-D9D4622E6EEA}"/>
    <cellStyle name="Millares [0] 8 2 3 2" xfId="1238" xr:uid="{301FB23E-EBFF-428E-BA72-4A09CC73CA78}"/>
    <cellStyle name="Millares [0] 8 2 4" xfId="906" xr:uid="{9B2B4271-11B1-4F4C-A96B-02C9B4BD5885}"/>
    <cellStyle name="Millares [0] 8 3" xfId="312" xr:uid="{0AE3155D-39FE-40FE-9417-9CAD7421372D}"/>
    <cellStyle name="Millares [0] 8 3 2" xfId="651" xr:uid="{DA1F0813-3E83-4C11-B90F-3C200634A2B9}"/>
    <cellStyle name="Millares [0] 8 3 2 2" xfId="1322" xr:uid="{05C44EF3-D9C8-4475-867B-BA1E39252955}"/>
    <cellStyle name="Millares [0] 8 3 3" xfId="990" xr:uid="{9F57C500-91EA-4DFF-8EC4-DAD3DA8BBFAE}"/>
    <cellStyle name="Millares [0] 8 4" xfId="485" xr:uid="{67B65DBE-4A09-4EFB-9F43-87A3859179DD}"/>
    <cellStyle name="Millares [0] 8 4 2" xfId="1156" xr:uid="{E252B6CF-0473-4E90-B58E-2960653CF2A7}"/>
    <cellStyle name="Millares [0] 8 5" xfId="824" xr:uid="{50005C81-6CC8-466A-9B5D-231597181718}"/>
    <cellStyle name="Millares [0] 9" xfId="161" xr:uid="{91411EE3-215B-45C6-A586-BD2D65A7D6F3}"/>
    <cellStyle name="Millares [0] 9 2" xfId="250" xr:uid="{8BBD9EAB-8717-483D-8313-B5ED8F7F9639}"/>
    <cellStyle name="Millares [0] 9 2 2" xfId="436" xr:uid="{CC66A85D-7AB7-4A69-8CE9-71C1AB432DCD}"/>
    <cellStyle name="Millares [0] 9 2 2 2" xfId="775" xr:uid="{8CAA343C-8EA0-4DF8-AC31-BBA68BF2A37C}"/>
    <cellStyle name="Millares [0] 9 2 2 2 2" xfId="1446" xr:uid="{225585CF-FE0B-48A8-861C-7209CF533C15}"/>
    <cellStyle name="Millares [0] 9 2 2 3" xfId="1114" xr:uid="{56A09F9C-6496-4A5D-B9E2-8B0B7555F85F}"/>
    <cellStyle name="Millares [0] 9 2 3" xfId="609" xr:uid="{CFF0A237-81DC-43A2-A713-81AD3370CAF2}"/>
    <cellStyle name="Millares [0] 9 2 3 2" xfId="1280" xr:uid="{66F2E0B6-7DDF-4B84-B97F-EE9AE50AA41F}"/>
    <cellStyle name="Millares [0] 9 2 4" xfId="948" xr:uid="{8C6A56C3-682C-474D-933E-60906BCBA825}"/>
    <cellStyle name="Millares [0] 9 3" xfId="354" xr:uid="{8BC10F73-843D-430D-B8A0-A094950740C5}"/>
    <cellStyle name="Millares [0] 9 3 2" xfId="693" xr:uid="{C43B0E00-2626-45A9-8304-A2E3CEE932A0}"/>
    <cellStyle name="Millares [0] 9 3 2 2" xfId="1364" xr:uid="{6D77423E-0CAD-4B55-81C7-A1621C066FC0}"/>
    <cellStyle name="Millares [0] 9 3 3" xfId="1032" xr:uid="{E0FD457C-9713-481D-9BAE-0CC5D951B0BA}"/>
    <cellStyle name="Millares [0] 9 4" xfId="527" xr:uid="{17D6033D-03AB-463D-A47E-0EC52B5C8F23}"/>
    <cellStyle name="Millares [0] 9 4 2" xfId="1198" xr:uid="{50D9D650-B470-47CE-992C-7EAF98C2B22D}"/>
    <cellStyle name="Millares [0] 9 5" xfId="866" xr:uid="{DB13F876-F983-41E9-954E-7482CDD4D998}"/>
    <cellStyle name="Millares 10" xfId="118" xr:uid="{E216CA1D-DBB5-4A22-95E4-6A979A9D4CA0}"/>
    <cellStyle name="Millares 10 2" xfId="209" xr:uid="{CB415EDB-6D00-4F77-A276-5E688B59B23D}"/>
    <cellStyle name="Millares 10 2 2" xfId="395" xr:uid="{FA295CA3-F04E-486E-8AFD-6CA953FA0141}"/>
    <cellStyle name="Millares 10 2 2 2" xfId="734" xr:uid="{A4687692-6973-4FC6-A831-41DDA3C7971D}"/>
    <cellStyle name="Millares 10 2 2 2 2" xfId="1405" xr:uid="{2421E54A-85AC-4779-AE2C-A89B27A10A45}"/>
    <cellStyle name="Millares 10 2 2 3" xfId="1073" xr:uid="{78744D53-AFFB-4539-8D33-20B70B0420D7}"/>
    <cellStyle name="Millares 10 2 3" xfId="568" xr:uid="{B6B191C5-6575-4251-A7F7-0CB0B4CFB7C6}"/>
    <cellStyle name="Millares 10 2 3 2" xfId="1239" xr:uid="{44FB9B5D-2049-42F1-9965-066FF643F4AF}"/>
    <cellStyle name="Millares 10 2 4" xfId="907" xr:uid="{8B22FB4C-CE2C-4731-B741-ABE3D2D095C3}"/>
    <cellStyle name="Millares 10 3" xfId="313" xr:uid="{FDF5EFF0-6F64-4845-A0B3-51DC857211AF}"/>
    <cellStyle name="Millares 10 3 2" xfId="652" xr:uid="{6460CB2D-E5E9-415E-BCB3-83AFEC952BF2}"/>
    <cellStyle name="Millares 10 3 2 2" xfId="1323" xr:uid="{79ABB44D-A2AE-4170-954E-F493A0ED2B0D}"/>
    <cellStyle name="Millares 10 3 3" xfId="991" xr:uid="{DC636807-A3B1-4C19-B21E-00A49DD0AC39}"/>
    <cellStyle name="Millares 10 4" xfId="486" xr:uid="{5DF0D259-6C61-428C-B017-6B35BA26D76F}"/>
    <cellStyle name="Millares 10 4 2" xfId="1157" xr:uid="{1F17CD02-516E-43F1-9B0A-DA7E914AC687}"/>
    <cellStyle name="Millares 10 5" xfId="825" xr:uid="{71F19969-5F3C-4716-9724-562F620AB1E2}"/>
    <cellStyle name="Millares 100 2" xfId="57" xr:uid="{27163516-ECFE-4DBF-8B45-11598B9D11C2}"/>
    <cellStyle name="Millares 100 2 2" xfId="262" xr:uid="{69790DB4-331D-4289-A1B9-F992BE04E883}"/>
    <cellStyle name="Millares 11" xfId="159" xr:uid="{53DB1A5A-17CA-44F6-93BB-E2DA994DDC6E}"/>
    <cellStyle name="Millares 11 2" xfId="248" xr:uid="{766B47FA-59CC-45AA-B9FC-443BB0B850EE}"/>
    <cellStyle name="Millares 11 2 2" xfId="434" xr:uid="{79D52B86-F693-4632-A741-B5D62A01F928}"/>
    <cellStyle name="Millares 11 2 2 2" xfId="773" xr:uid="{B2CB0066-49F3-4216-AF0B-CA34DA01DF8B}"/>
    <cellStyle name="Millares 11 2 2 2 2" xfId="1444" xr:uid="{28A93BEC-CBF7-40A1-80FC-B56B45698486}"/>
    <cellStyle name="Millares 11 2 2 3" xfId="1112" xr:uid="{2DF9342F-D046-4C28-B95A-C0DB4C030208}"/>
    <cellStyle name="Millares 11 2 3" xfId="607" xr:uid="{2DFE7924-EB7F-4F7A-B157-13DCE02F7063}"/>
    <cellStyle name="Millares 11 2 3 2" xfId="1278" xr:uid="{C2B93C53-7CB3-4093-ACC7-C691BC96FD5E}"/>
    <cellStyle name="Millares 11 2 4" xfId="946" xr:uid="{0DE1A690-6FDA-4C2B-A976-72997F385A20}"/>
    <cellStyle name="Millares 11 3" xfId="352" xr:uid="{9C33B86D-2531-4858-A4D7-D7BA388FBF21}"/>
    <cellStyle name="Millares 11 3 2" xfId="691" xr:uid="{A7459851-0D2E-4411-AD06-CFB3373BA02F}"/>
    <cellStyle name="Millares 11 3 2 2" xfId="1362" xr:uid="{9712F9D5-FDD4-4DE5-BF9E-26428AE65275}"/>
    <cellStyle name="Millares 11 3 3" xfId="1030" xr:uid="{FABD2A95-D596-473E-B195-30413E3098E2}"/>
    <cellStyle name="Millares 11 4" xfId="525" xr:uid="{938CC705-B039-4FA0-AD68-102C8720F727}"/>
    <cellStyle name="Millares 11 4 2" xfId="1196" xr:uid="{ADC665CA-19E8-4EA2-9EBB-B825BD7C050C}"/>
    <cellStyle name="Millares 11 5" xfId="864" xr:uid="{EA196ABA-AA93-4894-A869-428B884B74DC}"/>
    <cellStyle name="Millares 12" xfId="160" xr:uid="{734BF867-5903-4C9A-B5FB-9B8D7D9A7DAD}"/>
    <cellStyle name="Millares 12 2" xfId="249" xr:uid="{12EF791F-5116-414B-AB6F-823BC957C7E9}"/>
    <cellStyle name="Millares 12 2 2" xfId="435" xr:uid="{E78861F2-48A5-434E-82F7-E77FCEC2B09F}"/>
    <cellStyle name="Millares 12 2 2 2" xfId="774" xr:uid="{F4FC36A4-06C0-454E-9018-CACE6E1512DD}"/>
    <cellStyle name="Millares 12 2 2 2 2" xfId="1445" xr:uid="{AF7D9E4E-F1A1-4E70-9E43-2BBE0B32D631}"/>
    <cellStyle name="Millares 12 2 2 3" xfId="1113" xr:uid="{5C504456-E0E1-4C33-BF36-500B54D1E5FD}"/>
    <cellStyle name="Millares 12 2 3" xfId="608" xr:uid="{95F14818-6E5B-4042-AC08-BE9130D635E5}"/>
    <cellStyle name="Millares 12 2 3 2" xfId="1279" xr:uid="{ED1F466B-A695-4847-A00C-00AA0F7BB8BA}"/>
    <cellStyle name="Millares 12 2 4" xfId="947" xr:uid="{76B38F39-83EE-4365-8DD0-E46EBD635ADE}"/>
    <cellStyle name="Millares 12 3" xfId="353" xr:uid="{750AA903-4A0D-4D67-A5B4-D8FFC59E2EA5}"/>
    <cellStyle name="Millares 12 3 2" xfId="692" xr:uid="{AF9F14D3-1B95-48CE-BD7C-F55D73386939}"/>
    <cellStyle name="Millares 12 3 2 2" xfId="1363" xr:uid="{1F5CDF62-1631-43DE-A892-F616443B48E5}"/>
    <cellStyle name="Millares 12 3 3" xfId="1031" xr:uid="{857AA634-8F1E-47CE-BBF7-57D47DD4C4D6}"/>
    <cellStyle name="Millares 12 4" xfId="526" xr:uid="{F9305D9F-06E9-4B91-9A56-935F1696AA0D}"/>
    <cellStyle name="Millares 12 4 2" xfId="1197" xr:uid="{6B474152-E237-4DE2-BC63-FD746E6AD7BF}"/>
    <cellStyle name="Millares 12 5" xfId="865" xr:uid="{55D3FFD9-32FB-49BF-BD38-7AD546A157D2}"/>
    <cellStyle name="Millares 13" xfId="168" xr:uid="{F4832A7C-DDF9-479B-88F5-0E2C025FA6C9}"/>
    <cellStyle name="Millares 13 2" xfId="355" xr:uid="{21DCF2F1-45A6-4FDC-8402-EFE35D54CE45}"/>
    <cellStyle name="Millares 13 2 2" xfId="694" xr:uid="{BE1E8496-7377-4C20-8A36-762825AEBBC0}"/>
    <cellStyle name="Millares 13 2 2 2" xfId="1365" xr:uid="{16B6E4D4-B37C-4388-A83E-9DCF18F13B0A}"/>
    <cellStyle name="Millares 13 2 3" xfId="1033" xr:uid="{DA7D14AC-F8DD-469C-A210-6456E084430B}"/>
    <cellStyle name="Millares 13 3" xfId="528" xr:uid="{95746330-DDF7-440D-862D-AE7E78F16004}"/>
    <cellStyle name="Millares 13 3 2" xfId="1199" xr:uid="{B4EEB769-4CFB-4338-882B-999B78278161}"/>
    <cellStyle name="Millares 13 4" xfId="867" xr:uid="{FDC4CD6B-CD47-437D-BFE1-9994448D6DAB}"/>
    <cellStyle name="Millares 14" xfId="257" xr:uid="{E81977C2-F079-44AA-A25C-F5B8C9BA9556}"/>
    <cellStyle name="Millares 14 2" xfId="437" xr:uid="{47E0BF71-9D6A-4A7D-AA72-DDB07020AF90}"/>
    <cellStyle name="Millares 14 2 2" xfId="776" xr:uid="{81BCF799-8A0A-4C46-AE52-D59A7F4948FF}"/>
    <cellStyle name="Millares 14 2 2 2" xfId="1447" xr:uid="{DFC2163D-1C1D-4727-9E01-8A76F71F96D3}"/>
    <cellStyle name="Millares 14 2 3" xfId="1115" xr:uid="{42B2D213-4358-439F-9F1C-C53E0BCE19C4}"/>
    <cellStyle name="Millares 14 3" xfId="610" xr:uid="{0AD51E74-F031-4934-A5FD-EFB695C3A082}"/>
    <cellStyle name="Millares 14 3 2" xfId="1281" xr:uid="{1351418B-2E1F-4C30-8F7E-DB8D40586E3C}"/>
    <cellStyle name="Millares 14 4" xfId="949" xr:uid="{E861DF14-F24F-4030-9AAD-465BE938225C}"/>
    <cellStyle name="Millares 15" xfId="272" xr:uid="{B6B18F81-1305-492A-9EE3-E6B8A639A979}"/>
    <cellStyle name="Millares 15 2" xfId="612" xr:uid="{EB0AAEA6-7FF7-40DB-9CF3-6E5D119E3465}"/>
    <cellStyle name="Millares 15 2 2" xfId="1283" xr:uid="{1766BA52-AD5A-4A76-9ACD-40B74981C08A}"/>
    <cellStyle name="Millares 15 3" xfId="951" xr:uid="{8A93D55F-2389-4406-910B-C30227556375}"/>
    <cellStyle name="Millares 16" xfId="445" xr:uid="{C9C19302-06D7-4E41-8197-E756FE85BF76}"/>
    <cellStyle name="Millares 16 2" xfId="1117" xr:uid="{2D443552-3E5E-4E38-8A4C-98997EA440C7}"/>
    <cellStyle name="Millares 17" xfId="784" xr:uid="{1D4C13CC-2012-451E-A9AA-C861FC44ECEA}"/>
    <cellStyle name="Millares 18" xfId="59" xr:uid="{A9337810-DA83-42B9-9CA1-47A1A994B78D}"/>
    <cellStyle name="Millares 19" xfId="42" xr:uid="{ADC1F8F6-F0E5-4E38-B377-89724AEA6693}"/>
    <cellStyle name="Millares 2" xfId="46" xr:uid="{9702CA6E-2AA9-4FEC-8952-81E06B49CDF8}"/>
    <cellStyle name="Millares 2 2" xfId="74" xr:uid="{B1E80904-BD0E-4B66-A2ED-22F733A4236A}"/>
    <cellStyle name="Millares 2 2 2" xfId="103" xr:uid="{1C7FF505-C970-49B5-941C-8C08692C5B5D}"/>
    <cellStyle name="Millares 2 2 2 2" xfId="151" xr:uid="{0536010B-E79E-450A-AD43-D5D205FC9499}"/>
    <cellStyle name="Millares 2 2 2 2 2" xfId="240" xr:uid="{A018FC4C-5053-4962-9EE9-EE848D61627D}"/>
    <cellStyle name="Millares 2 2 2 2 2 2" xfId="426" xr:uid="{E7783812-8C0B-47CD-8B05-0B57C27B2372}"/>
    <cellStyle name="Millares 2 2 2 2 2 2 2" xfId="765" xr:uid="{278162FC-530F-47C7-A7B8-AB3C6376ADBB}"/>
    <cellStyle name="Millares 2 2 2 2 2 2 2 2" xfId="1436" xr:uid="{41FB0BC8-E293-4AFC-8B35-9F6CB9A8D7A4}"/>
    <cellStyle name="Millares 2 2 2 2 2 2 3" xfId="1104" xr:uid="{C717ACCF-E467-410B-BF87-762B1B4531AE}"/>
    <cellStyle name="Millares 2 2 2 2 2 3" xfId="599" xr:uid="{EBD74326-CAA8-4B7E-9C38-6F28BB93E1DF}"/>
    <cellStyle name="Millares 2 2 2 2 2 3 2" xfId="1270" xr:uid="{1166C4B3-E278-4D88-8413-5111F6B0B09F}"/>
    <cellStyle name="Millares 2 2 2 2 2 4" xfId="938" xr:uid="{9091817F-0E2D-47F2-A2F2-1042837C90B6}"/>
    <cellStyle name="Millares 2 2 2 2 3" xfId="344" xr:uid="{E9EE8709-5A88-4978-A44A-8D1C551DDC4E}"/>
    <cellStyle name="Millares 2 2 2 2 3 2" xfId="683" xr:uid="{75C884D1-A164-494A-95C5-C268E0BBCF9C}"/>
    <cellStyle name="Millares 2 2 2 2 3 2 2" xfId="1354" xr:uid="{A25471AD-1132-42CA-9346-B9C82589CD80}"/>
    <cellStyle name="Millares 2 2 2 2 3 3" xfId="1022" xr:uid="{F37BAB2A-FABC-4C85-A18F-568DABDE136A}"/>
    <cellStyle name="Millares 2 2 2 2 4" xfId="517" xr:uid="{BA8FBBAD-A43F-41B6-9DDF-4354D693C054}"/>
    <cellStyle name="Millares 2 2 2 2 4 2" xfId="1188" xr:uid="{F3DF276D-87C3-4DA2-89A1-8BB4AE8ECFCE}"/>
    <cellStyle name="Millares 2 2 2 2 5" xfId="856" xr:uid="{76CB32F1-B2B3-495E-836C-B379BE1FB359}"/>
    <cellStyle name="Millares 2 2 2 3" xfId="200" xr:uid="{BE3EF6C3-2E31-4920-895C-53315C6742C1}"/>
    <cellStyle name="Millares 2 2 2 3 2" xfId="386" xr:uid="{A125EF73-CA72-47A6-BEF6-26A466011930}"/>
    <cellStyle name="Millares 2 2 2 3 2 2" xfId="725" xr:uid="{3ED55644-5362-47CD-9094-C97F16EC03FD}"/>
    <cellStyle name="Millares 2 2 2 3 2 2 2" xfId="1396" xr:uid="{34AA608C-AAA3-4ED0-BBF7-3AF45194C8E0}"/>
    <cellStyle name="Millares 2 2 2 3 2 3" xfId="1064" xr:uid="{EB32211B-5DD6-4336-832D-6EC0E89DDCE1}"/>
    <cellStyle name="Millares 2 2 2 3 3" xfId="559" xr:uid="{EC8F9B23-017E-4D0A-94F0-54B5ACF240C2}"/>
    <cellStyle name="Millares 2 2 2 3 3 2" xfId="1230" xr:uid="{D50F2A39-92E0-4854-AEE8-05D673583DC3}"/>
    <cellStyle name="Millares 2 2 2 3 4" xfId="898" xr:uid="{A89021AB-A7BA-4BE2-B2CD-15AA7517DE81}"/>
    <cellStyle name="Millares 2 2 2 4" xfId="304" xr:uid="{5573ECD2-09EB-41D7-8A99-37490CBC0616}"/>
    <cellStyle name="Millares 2 2 2 4 2" xfId="643" xr:uid="{E717A5D0-CAC0-49D7-AED7-3EA4E9F77F16}"/>
    <cellStyle name="Millares 2 2 2 4 2 2" xfId="1314" xr:uid="{A3ADB918-F58D-485E-B785-80A92BC97A99}"/>
    <cellStyle name="Millares 2 2 2 4 3" xfId="982" xr:uid="{CD5EA01B-C90C-4D46-AA7E-AD60170332AE}"/>
    <cellStyle name="Millares 2 2 2 5" xfId="477" xr:uid="{CB00C9C6-C5B7-4140-9255-1EECDADAB17F}"/>
    <cellStyle name="Millares 2 2 2 5 2" xfId="1148" xr:uid="{CA68D36C-4867-403E-B599-25E1D7AF30F4}"/>
    <cellStyle name="Millares 2 2 2 6" xfId="816" xr:uid="{C464CACB-3B1E-4B29-996B-EA31A70AD471}"/>
    <cellStyle name="Millares 2 2 3" xfId="132" xr:uid="{72A4C8B1-C0F4-4199-9E66-8CDB36E9F41B}"/>
    <cellStyle name="Millares 2 2 3 2" xfId="221" xr:uid="{3059F14E-4258-40B3-B9F6-A59699562708}"/>
    <cellStyle name="Millares 2 2 3 2 2" xfId="407" xr:uid="{0475010B-E744-4657-857E-55B83563B8CB}"/>
    <cellStyle name="Millares 2 2 3 2 2 2" xfId="746" xr:uid="{D2D06324-F7D2-4AF4-9536-7555798F2AC2}"/>
    <cellStyle name="Millares 2 2 3 2 2 2 2" xfId="1417" xr:uid="{4A295FB4-A318-4812-AC72-A916C6E7D398}"/>
    <cellStyle name="Millares 2 2 3 2 2 3" xfId="1085" xr:uid="{B659FB53-DD4E-404D-A85F-418F853D6966}"/>
    <cellStyle name="Millares 2 2 3 2 3" xfId="580" xr:uid="{8567290A-C284-4F4B-9C4A-00526B4D781D}"/>
    <cellStyle name="Millares 2 2 3 2 3 2" xfId="1251" xr:uid="{20113CB8-7E91-44A5-BD9C-49221FA08B78}"/>
    <cellStyle name="Millares 2 2 3 2 4" xfId="919" xr:uid="{F4695833-F947-4CE0-8301-5B0EEC4121D9}"/>
    <cellStyle name="Millares 2 2 3 3" xfId="325" xr:uid="{4084AB5D-43B9-4ECB-8848-B6DAF22BBBBB}"/>
    <cellStyle name="Millares 2 2 3 3 2" xfId="664" xr:uid="{893F0237-F5CC-44CE-995E-42A0406636D8}"/>
    <cellStyle name="Millares 2 2 3 3 2 2" xfId="1335" xr:uid="{123F7132-4700-411C-876C-6564AEF783C7}"/>
    <cellStyle name="Millares 2 2 3 3 3" xfId="1003" xr:uid="{65CE1643-4675-4C0F-A4A9-28D25DD319C7}"/>
    <cellStyle name="Millares 2 2 3 4" xfId="498" xr:uid="{9F760CEB-A20B-49FC-9CD4-C310C8E40FF3}"/>
    <cellStyle name="Millares 2 2 3 4 2" xfId="1169" xr:uid="{9B93107E-8AEC-4461-B158-9DBE8598216F}"/>
    <cellStyle name="Millares 2 2 3 5" xfId="837" xr:uid="{1B4D9DD8-342D-467A-99C5-92274501BAD8}"/>
    <cellStyle name="Millares 2 2 4" xfId="181" xr:uid="{C34E9442-F3E4-4492-BA2F-7E92C7058843}"/>
    <cellStyle name="Millares 2 2 4 2" xfId="367" xr:uid="{9631C445-4223-4196-8C49-B957E419E891}"/>
    <cellStyle name="Millares 2 2 4 2 2" xfId="706" xr:uid="{2E392E88-D08A-407B-8A57-4740D7BFA7AB}"/>
    <cellStyle name="Millares 2 2 4 2 2 2" xfId="1377" xr:uid="{BA947044-238A-4234-8466-342F755E07BB}"/>
    <cellStyle name="Millares 2 2 4 2 3" xfId="1045" xr:uid="{D8B828DA-5400-416F-AD41-C5385E9A25F2}"/>
    <cellStyle name="Millares 2 2 4 3" xfId="540" xr:uid="{FA013669-3DAF-46BA-B859-397403F879A2}"/>
    <cellStyle name="Millares 2 2 4 3 2" xfId="1211" xr:uid="{F5C1E7A8-0885-4522-81C2-D77B0FCF72D8}"/>
    <cellStyle name="Millares 2 2 4 4" xfId="879" xr:uid="{C4056DF9-69E4-4308-B08D-02E1724CD32F}"/>
    <cellStyle name="Millares 2 2 5" xfId="285" xr:uid="{5FE6F1DF-CF84-4CB6-BFBE-A61339537725}"/>
    <cellStyle name="Millares 2 2 5 2" xfId="624" xr:uid="{FC0B8C01-7655-43B0-930C-EC720B4F6760}"/>
    <cellStyle name="Millares 2 2 5 2 2" xfId="1295" xr:uid="{295801B2-8DB7-45D8-AC7A-50246B19049C}"/>
    <cellStyle name="Millares 2 2 5 3" xfId="963" xr:uid="{D55F00E3-E542-4974-89D4-6E8890F77C1A}"/>
    <cellStyle name="Millares 2 2 6" xfId="458" xr:uid="{1B66D60F-F063-4D5B-B65A-85B64D281D06}"/>
    <cellStyle name="Millares 2 2 6 2" xfId="1129" xr:uid="{B01722AD-C860-46A5-879C-7BC034F63508}"/>
    <cellStyle name="Millares 2 2 7" xfId="797" xr:uid="{B9EBA079-1B83-420A-A60B-E106DCE2FA6E}"/>
    <cellStyle name="Millares 2 3" xfId="92" xr:uid="{CBB339F4-19B5-47F9-9454-CC1AD75615CF}"/>
    <cellStyle name="Millares 2 3 2" xfId="142" xr:uid="{004AD78B-9BAD-4FDB-8042-FFE0480CCEE4}"/>
    <cellStyle name="Millares 2 3 2 2" xfId="231" xr:uid="{E36A6DEB-01B1-4665-9FB5-73DC75EF439F}"/>
    <cellStyle name="Millares 2 3 2 2 2" xfId="417" xr:uid="{FCFA2974-D404-4CCD-B009-7E288E9CA3F8}"/>
    <cellStyle name="Millares 2 3 2 2 2 2" xfId="756" xr:uid="{738790D9-08E9-47B8-8401-B78273E32EF6}"/>
    <cellStyle name="Millares 2 3 2 2 2 2 2" xfId="1427" xr:uid="{E6A74B5D-10A9-47E0-BF82-81A482C4A823}"/>
    <cellStyle name="Millares 2 3 2 2 2 3" xfId="1095" xr:uid="{43978AA2-E4C3-4CA2-B720-7F6CA0EF2989}"/>
    <cellStyle name="Millares 2 3 2 2 3" xfId="590" xr:uid="{540F45BF-ABD5-42B5-812B-E439F27FB99C}"/>
    <cellStyle name="Millares 2 3 2 2 3 2" xfId="1261" xr:uid="{6AEC5D2F-AA15-4285-9DE9-294E9CECE323}"/>
    <cellStyle name="Millares 2 3 2 2 4" xfId="929" xr:uid="{C9905115-7ADD-43CB-A213-3115CBD8991A}"/>
    <cellStyle name="Millares 2 3 2 3" xfId="335" xr:uid="{29ABDDCD-7AE3-4B5B-90F3-AB69713E7ADE}"/>
    <cellStyle name="Millares 2 3 2 3 2" xfId="674" xr:uid="{36DB8C10-7B7E-4685-B022-00D27037B45C}"/>
    <cellStyle name="Millares 2 3 2 3 2 2" xfId="1345" xr:uid="{56105799-E9E9-4169-A98F-C2E2229AF940}"/>
    <cellStyle name="Millares 2 3 2 3 3" xfId="1013" xr:uid="{474DC610-7CE7-42CC-94BB-2359858BC72B}"/>
    <cellStyle name="Millares 2 3 2 4" xfId="508" xr:uid="{59BA5772-264A-4CF4-BD05-9F25252CBA94}"/>
    <cellStyle name="Millares 2 3 2 4 2" xfId="1179" xr:uid="{8AE71C62-F662-489E-9371-3FEA3A347175}"/>
    <cellStyle name="Millares 2 3 2 5" xfId="847" xr:uid="{4EABC3A9-EB88-480F-B46D-7DBAFF7FF1A5}"/>
    <cellStyle name="Millares 2 3 3" xfId="191" xr:uid="{BA702F43-E515-493A-919D-137400ADB3A6}"/>
    <cellStyle name="Millares 2 3 3 2" xfId="377" xr:uid="{F17BE223-02F4-4822-9AF8-F850089E257B}"/>
    <cellStyle name="Millares 2 3 3 2 2" xfId="716" xr:uid="{4CBBF02B-B21A-41A5-8699-BC0F6D167278}"/>
    <cellStyle name="Millares 2 3 3 2 2 2" xfId="1387" xr:uid="{02D9EA30-78ED-451E-B968-633A42715534}"/>
    <cellStyle name="Millares 2 3 3 2 3" xfId="1055" xr:uid="{4D00FA97-55D4-48A6-8502-E3C03C6A2D66}"/>
    <cellStyle name="Millares 2 3 3 3" xfId="550" xr:uid="{B3F12336-7080-4B79-B55E-88157874900C}"/>
    <cellStyle name="Millares 2 3 3 3 2" xfId="1221" xr:uid="{E35AF465-7F4F-46C6-8814-ECB15D608B8D}"/>
    <cellStyle name="Millares 2 3 3 4" xfId="889" xr:uid="{EA70B8B5-0C79-42C5-A5DD-DD6F51712DD3}"/>
    <cellStyle name="Millares 2 3 4" xfId="295" xr:uid="{24FF9746-FD17-42B3-8758-6FA884C52270}"/>
    <cellStyle name="Millares 2 3 4 2" xfId="634" xr:uid="{352F7C9D-3962-4088-8729-9BD116055BA0}"/>
    <cellStyle name="Millares 2 3 4 2 2" xfId="1305" xr:uid="{4E2018CE-499E-42B1-9CB3-DE781382B427}"/>
    <cellStyle name="Millares 2 3 4 3" xfId="973" xr:uid="{A05E7988-44D4-47E8-B422-CE1E6489D7ED}"/>
    <cellStyle name="Millares 2 3 5" xfId="468" xr:uid="{1E08521F-8D3F-49E3-B0D8-FD6E4BA63775}"/>
    <cellStyle name="Millares 2 3 5 2" xfId="1139" xr:uid="{3678BFEA-2366-4C81-BC1B-8FA3F8BC6436}"/>
    <cellStyle name="Millares 2 3 6" xfId="807" xr:uid="{794ECAED-4DF7-496A-BD28-68953ABB3A1E}"/>
    <cellStyle name="Millares 2 4" xfId="121" xr:uid="{C1021C6F-1D59-49BA-A584-18EA83142D1E}"/>
    <cellStyle name="Millares 2 4 2" xfId="212" xr:uid="{D33D63E4-F218-4711-AFBF-2D27E03E6E51}"/>
    <cellStyle name="Millares 2 4 2 2" xfId="398" xr:uid="{76A134CD-AE50-41DB-AB39-B7866304029B}"/>
    <cellStyle name="Millares 2 4 2 2 2" xfId="737" xr:uid="{71355DDC-9CF5-43FB-9C56-487F74DE5DD9}"/>
    <cellStyle name="Millares 2 4 2 2 2 2" xfId="1408" xr:uid="{19C233CF-ECF3-464F-BB60-3612B148E5E7}"/>
    <cellStyle name="Millares 2 4 2 2 3" xfId="1076" xr:uid="{789BC827-B572-4620-A044-DBC12E6B849C}"/>
    <cellStyle name="Millares 2 4 2 3" xfId="571" xr:uid="{CB41C2DC-7EBE-4338-899B-7AF0BFC29EF6}"/>
    <cellStyle name="Millares 2 4 2 3 2" xfId="1242" xr:uid="{33BA6772-2B87-4E21-8247-CA5BB89E590B}"/>
    <cellStyle name="Millares 2 4 2 4" xfId="910" xr:uid="{F2AA34BD-9268-472D-BE06-A821F9AFAE2E}"/>
    <cellStyle name="Millares 2 4 3" xfId="316" xr:uid="{D66533F7-EA37-4A93-A6CD-53F281F454A2}"/>
    <cellStyle name="Millares 2 4 3 2" xfId="655" xr:uid="{59459D37-D832-4125-BB32-CBAC9BDD375F}"/>
    <cellStyle name="Millares 2 4 3 2 2" xfId="1326" xr:uid="{D99B017A-7996-4817-842E-B56170391997}"/>
    <cellStyle name="Millares 2 4 3 3" xfId="994" xr:uid="{6B368399-607E-4DD7-82F3-BA1DBD7A0E2E}"/>
    <cellStyle name="Millares 2 4 4" xfId="489" xr:uid="{F508985C-406D-4D2E-9A42-67AD2896716E}"/>
    <cellStyle name="Millares 2 4 4 2" xfId="1160" xr:uid="{0F04949A-D6E5-4AB7-9D22-1EECB1B77CC8}"/>
    <cellStyle name="Millares 2 4 5" xfId="828" xr:uid="{7EC3FB34-AA7B-4CAE-BF80-B10EEDA223F4}"/>
    <cellStyle name="Millares 2 5" xfId="171" xr:uid="{F4D019A8-58F8-4B67-A89F-EAFC20B28090}"/>
    <cellStyle name="Millares 2 5 2" xfId="358" xr:uid="{D2F882BD-683E-4DBA-8FEB-B86E69CC4DA7}"/>
    <cellStyle name="Millares 2 5 2 2" xfId="697" xr:uid="{798F1F4C-B568-4DF2-87DC-FDF4AC7B6E21}"/>
    <cellStyle name="Millares 2 5 2 2 2" xfId="1368" xr:uid="{8B50DBBC-B58E-4031-A0D0-264CAE4A4231}"/>
    <cellStyle name="Millares 2 5 2 3" xfId="1036" xr:uid="{93473A8C-9F41-4F61-BD02-B52C8C434074}"/>
    <cellStyle name="Millares 2 5 3" xfId="531" xr:uid="{4E4B547D-7C3F-4B92-AE61-70B18413C576}"/>
    <cellStyle name="Millares 2 5 3 2" xfId="1202" xr:uid="{D336D49A-7208-4B3D-BA07-37073124C5F4}"/>
    <cellStyle name="Millares 2 5 4" xfId="870" xr:uid="{65E61BBA-2B2D-46AB-80F8-FC2D0410E454}"/>
    <cellStyle name="Millares 2 6" xfId="259" xr:uid="{CDB909C8-EABC-4221-85B2-B140A050C867}"/>
    <cellStyle name="Millares 2 7" xfId="275" xr:uid="{9B00027A-0DD7-4688-8140-B6B085F90D63}"/>
    <cellStyle name="Millares 2 7 2" xfId="615" xr:uid="{6B6095CF-967D-441C-A784-5CD6C7D63ADB}"/>
    <cellStyle name="Millares 2 7 2 2" xfId="1286" xr:uid="{9CA419A6-A635-4F65-AF02-41BFCA61DD17}"/>
    <cellStyle name="Millares 2 7 3" xfId="954" xr:uid="{48518166-875A-4D2A-AEB1-05AA0F3FDE31}"/>
    <cellStyle name="Millares 2 8" xfId="448" xr:uid="{93F6C830-CA1E-46B6-8EBA-7754BDEE0B1F}"/>
    <cellStyle name="Millares 2 8 2" xfId="1120" xr:uid="{3C33EB87-8132-456A-97EE-3F1E4B5AFDED}"/>
    <cellStyle name="Millares 2 9" xfId="787" xr:uid="{4B5D7744-8E78-49AA-9C9A-2095E1D6E30B}"/>
    <cellStyle name="Millares 3" xfId="71" xr:uid="{5F7D2061-693B-42E8-A20C-E8FE894E812F}"/>
    <cellStyle name="Millares 3 2" xfId="100" xr:uid="{631230C8-B3D4-4DFC-8A9A-D1943E2EBBC7}"/>
    <cellStyle name="Millares 3 2 2" xfId="60" xr:uid="{EA669738-ECB0-4550-9639-2D8CB9EE19E6}"/>
    <cellStyle name="Millares 3 2 2 2" xfId="264" xr:uid="{1BA3DFCA-6733-4756-86DE-53D0C502ACCF}"/>
    <cellStyle name="Millares 3 2 3" xfId="148" xr:uid="{DD3B307F-CD76-4389-9CA2-ACC4F175521C}"/>
    <cellStyle name="Millares 3 2 3 2" xfId="237" xr:uid="{685EAF36-456A-47AA-B25B-D107E69A9E10}"/>
    <cellStyle name="Millares 3 2 3 2 2" xfId="423" xr:uid="{AA221015-4E3F-42B8-ACDD-943A0D9FFCB2}"/>
    <cellStyle name="Millares 3 2 3 2 2 2" xfId="762" xr:uid="{CAEC1332-45CF-4E20-8DBB-B165FB3DFDEE}"/>
    <cellStyle name="Millares 3 2 3 2 2 2 2" xfId="1433" xr:uid="{9056A355-CC4C-4548-BDE8-5C76C7606C6F}"/>
    <cellStyle name="Millares 3 2 3 2 2 3" xfId="1101" xr:uid="{4FB9624B-5DAA-47E1-BA77-939E03D47715}"/>
    <cellStyle name="Millares 3 2 3 2 3" xfId="596" xr:uid="{1BBB40F5-7365-424C-A773-752C7CB15867}"/>
    <cellStyle name="Millares 3 2 3 2 3 2" xfId="1267" xr:uid="{8A51DF03-883A-47B8-B716-533FFBD10DC0}"/>
    <cellStyle name="Millares 3 2 3 2 4" xfId="935" xr:uid="{18323730-891E-495E-BFB1-D93D12AE50FA}"/>
    <cellStyle name="Millares 3 2 3 3" xfId="341" xr:uid="{00F2DD0E-62AE-4216-A361-6590A4309B69}"/>
    <cellStyle name="Millares 3 2 3 3 2" xfId="680" xr:uid="{BB9C6CAA-514E-4332-A064-6AFA8742E5BA}"/>
    <cellStyle name="Millares 3 2 3 3 2 2" xfId="1351" xr:uid="{8CF8A554-D8C0-4A8A-A391-362ECDC5E442}"/>
    <cellStyle name="Millares 3 2 3 3 3" xfId="1019" xr:uid="{7B6C2E76-8E33-4523-9F9D-EB377B8EFB9D}"/>
    <cellStyle name="Millares 3 2 3 4" xfId="514" xr:uid="{FCFA8DCC-29F1-4EC1-863B-54A13FD8D329}"/>
    <cellStyle name="Millares 3 2 3 4 2" xfId="1185" xr:uid="{E6D38494-FEEC-44BE-8703-863A4A39BEBC}"/>
    <cellStyle name="Millares 3 2 3 5" xfId="853" xr:uid="{727555B5-F7E6-4C82-9650-37E9ED92FF2A}"/>
    <cellStyle name="Millares 3 2 4" xfId="197" xr:uid="{DC27EFAF-D52E-4003-859B-3E2F6DB0CBB0}"/>
    <cellStyle name="Millares 3 2 4 2" xfId="383" xr:uid="{9FD1933E-ECBC-43C3-8A9E-0A132BB7261C}"/>
    <cellStyle name="Millares 3 2 4 2 2" xfId="722" xr:uid="{A5120761-3271-486A-AC9C-268ABA34586E}"/>
    <cellStyle name="Millares 3 2 4 2 2 2" xfId="1393" xr:uid="{08A2B912-78D5-4FB3-85A0-6C6E9C09415D}"/>
    <cellStyle name="Millares 3 2 4 2 3" xfId="1061" xr:uid="{A57D3259-CF45-4AC3-B37A-1218D322C8DE}"/>
    <cellStyle name="Millares 3 2 4 3" xfId="556" xr:uid="{414C3F0B-53E3-436F-BF7B-E80A42FE2219}"/>
    <cellStyle name="Millares 3 2 4 3 2" xfId="1227" xr:uid="{8BD47983-4BBA-4047-AA0F-6A0165069917}"/>
    <cellStyle name="Millares 3 2 4 4" xfId="895" xr:uid="{BF7F94A4-D493-4FFC-AEB9-65D22C42BAD4}"/>
    <cellStyle name="Millares 3 2 5" xfId="301" xr:uid="{42D38A55-912A-4E4E-B2D8-F1D43BF20659}"/>
    <cellStyle name="Millares 3 2 5 2" xfId="640" xr:uid="{4DBB0292-E4A6-4A58-8CB7-F23308E13849}"/>
    <cellStyle name="Millares 3 2 5 2 2" xfId="1311" xr:uid="{6DD7B2AA-1874-4F80-B267-7D786A85A373}"/>
    <cellStyle name="Millares 3 2 5 3" xfId="979" xr:uid="{6A98E2E0-EADD-436C-9BC7-C1FE6DC5532B}"/>
    <cellStyle name="Millares 3 2 6" xfId="474" xr:uid="{A80F03DB-619D-49B5-B824-D0EE27620531}"/>
    <cellStyle name="Millares 3 2 6 2" xfId="1145" xr:uid="{9C80A86D-EA47-4CF2-A8A9-0C44A954BB96}"/>
    <cellStyle name="Millares 3 2 7" xfId="813" xr:uid="{75A9CBEA-8CC3-48AD-9DF7-4E3BEBB9B3F0}"/>
    <cellStyle name="Millares 3 3" xfId="129" xr:uid="{8B1CE1A6-0363-47B2-8ACD-718BA26EFCF1}"/>
    <cellStyle name="Millares 3 3 2" xfId="218" xr:uid="{577A4A30-19BC-45A2-85D4-11CC8F4E37A2}"/>
    <cellStyle name="Millares 3 3 2 2" xfId="404" xr:uid="{D82B6CF5-8C95-4936-8CAC-E7317BCFC180}"/>
    <cellStyle name="Millares 3 3 2 2 2" xfId="743" xr:uid="{62D62BB9-52F3-4C0E-8987-81516EBB75AB}"/>
    <cellStyle name="Millares 3 3 2 2 2 2" xfId="1414" xr:uid="{2AB8CA7B-7942-4396-9986-8862AF9B8D3B}"/>
    <cellStyle name="Millares 3 3 2 2 3" xfId="1082" xr:uid="{E2D0090D-6A75-4128-AB75-FE107BA2C0E6}"/>
    <cellStyle name="Millares 3 3 2 3" xfId="577" xr:uid="{F275EE37-77C2-49D2-AF99-9A9C7771890E}"/>
    <cellStyle name="Millares 3 3 2 3 2" xfId="1248" xr:uid="{330F6842-456B-45A0-AE75-F973F6E09504}"/>
    <cellStyle name="Millares 3 3 2 4" xfId="916" xr:uid="{69246A64-BF72-4BE6-BFE6-6B23A9431955}"/>
    <cellStyle name="Millares 3 3 3" xfId="322" xr:uid="{6C5551BE-B9A0-479E-9675-688DD7BEEBB8}"/>
    <cellStyle name="Millares 3 3 3 2" xfId="661" xr:uid="{250179A5-1FB1-48AB-8E93-96D74BD1768C}"/>
    <cellStyle name="Millares 3 3 3 2 2" xfId="1332" xr:uid="{CC7E2309-82E9-4D85-8EAA-C0499DAEE4EB}"/>
    <cellStyle name="Millares 3 3 3 3" xfId="1000" xr:uid="{5F047D35-31FB-44C9-8179-C959F14C23FB}"/>
    <cellStyle name="Millares 3 3 4" xfId="495" xr:uid="{0BDEE108-1AA8-4A87-B3FE-41D6488447DE}"/>
    <cellStyle name="Millares 3 3 4 2" xfId="1166" xr:uid="{6396F018-F38C-472F-92C6-48C8FE56E8EC}"/>
    <cellStyle name="Millares 3 3 5" xfId="834" xr:uid="{B7275D2D-2459-418C-89D2-92270979B685}"/>
    <cellStyle name="Millares 3 4" xfId="178" xr:uid="{FF9D9677-533F-47D9-8FEB-CBEB903A5AA1}"/>
    <cellStyle name="Millares 3 4 2" xfId="364" xr:uid="{C7886275-83D4-44F9-A425-C9679545D2EF}"/>
    <cellStyle name="Millares 3 4 2 2" xfId="703" xr:uid="{26186BEA-7EF3-401F-BE61-28357AE730A9}"/>
    <cellStyle name="Millares 3 4 2 2 2" xfId="1374" xr:uid="{D9ECFF3F-03D7-46F2-B5EC-790C65FD4F2C}"/>
    <cellStyle name="Millares 3 4 2 3" xfId="1042" xr:uid="{6A209D76-F8FF-4955-80C5-6CA05C8315B7}"/>
    <cellStyle name="Millares 3 4 3" xfId="537" xr:uid="{C687F1A9-807D-48F7-9025-E52A5CFEA39E}"/>
    <cellStyle name="Millares 3 4 3 2" xfId="1208" xr:uid="{4889626C-2988-4EB2-855A-4BC48B549150}"/>
    <cellStyle name="Millares 3 4 4" xfId="876" xr:uid="{07B5ABF1-98F3-4BB1-B347-B21547D0B27D}"/>
    <cellStyle name="Millares 3 5" xfId="282" xr:uid="{C41A6552-3E49-427B-AB45-EB5EFF27AD17}"/>
    <cellStyle name="Millares 3 5 2" xfId="621" xr:uid="{E465E227-1A01-474F-9D31-FAF761B6D936}"/>
    <cellStyle name="Millares 3 5 2 2" xfId="1292" xr:uid="{2EAE17B2-62E9-4986-9B78-F520701F5D79}"/>
    <cellStyle name="Millares 3 5 3" xfId="960" xr:uid="{7CFB5944-8C42-4171-85EC-3B56F1881261}"/>
    <cellStyle name="Millares 3 6" xfId="455" xr:uid="{4E2BBAC7-5FAF-42BD-90DA-9164D9334877}"/>
    <cellStyle name="Millares 3 6 2" xfId="1126" xr:uid="{21BA5089-730F-4E1F-A7EB-CE6AF7CAB9B5}"/>
    <cellStyle name="Millares 3 7" xfId="794" xr:uid="{2BE3D5AA-DB04-48D9-A2F9-5FE540367726}"/>
    <cellStyle name="Millares 30 2 2" xfId="58" xr:uid="{CE009594-228E-4184-9A10-3904FBA7462B}"/>
    <cellStyle name="Millares 30 2 2 2" xfId="77" xr:uid="{B557BF13-3357-49C1-A217-F243EF0A350D}"/>
    <cellStyle name="Millares 30 2 2 2 2" xfId="105" xr:uid="{0D6C4584-509F-432C-A9A3-6F28C00ECA8C}"/>
    <cellStyle name="Millares 30 2 2 2 2 2" xfId="153" xr:uid="{130370C2-2E56-4348-B7A4-E0CFC1146283}"/>
    <cellStyle name="Millares 30 2 2 2 2 2 2" xfId="242" xr:uid="{93AE1BC3-D58D-45C8-AEBF-B404959F8113}"/>
    <cellStyle name="Millares 30 2 2 2 2 2 2 2" xfId="428" xr:uid="{0BF3A526-373D-43E4-BE0C-27096082A3EA}"/>
    <cellStyle name="Millares 30 2 2 2 2 2 2 2 2" xfId="767" xr:uid="{BF39A197-C7C8-44AA-BC55-CF58DE474E07}"/>
    <cellStyle name="Millares 30 2 2 2 2 2 2 2 2 2" xfId="1438" xr:uid="{3F3ED8F1-3AB5-41D0-A829-AB5036CAACC7}"/>
    <cellStyle name="Millares 30 2 2 2 2 2 2 2 3" xfId="1106" xr:uid="{7E5E686E-9188-43BE-B157-87EB2B8D0A99}"/>
    <cellStyle name="Millares 30 2 2 2 2 2 2 3" xfId="601" xr:uid="{AC2B1454-54D0-49E8-9906-89782390BD7A}"/>
    <cellStyle name="Millares 30 2 2 2 2 2 2 3 2" xfId="1272" xr:uid="{D6C059E7-CA80-495E-99A9-60E93668C00D}"/>
    <cellStyle name="Millares 30 2 2 2 2 2 2 4" xfId="940" xr:uid="{76FC51F5-50A1-4E78-AE53-EFA2B1861929}"/>
    <cellStyle name="Millares 30 2 2 2 2 2 3" xfId="346" xr:uid="{53BBA53A-FCA7-4B0B-A313-7DB83878E103}"/>
    <cellStyle name="Millares 30 2 2 2 2 2 3 2" xfId="685" xr:uid="{F8734EF4-E03B-4120-A6AA-2EB802E35000}"/>
    <cellStyle name="Millares 30 2 2 2 2 2 3 2 2" xfId="1356" xr:uid="{BED6CE29-5614-4281-82A3-C1DDA8816C62}"/>
    <cellStyle name="Millares 30 2 2 2 2 2 3 3" xfId="1024" xr:uid="{A91582E1-7FB6-45FD-998F-F8C9F0DE00CF}"/>
    <cellStyle name="Millares 30 2 2 2 2 2 4" xfId="519" xr:uid="{91FE830A-29DE-4F83-87B8-58BCC87454EE}"/>
    <cellStyle name="Millares 30 2 2 2 2 2 4 2" xfId="1190" xr:uid="{67C00E50-BDEF-4447-8912-21B0FCBC6C59}"/>
    <cellStyle name="Millares 30 2 2 2 2 2 5" xfId="858" xr:uid="{FA80D57E-BE10-4428-B29A-399DB5B007F1}"/>
    <cellStyle name="Millares 30 2 2 2 2 3" xfId="202" xr:uid="{9646CE27-DF1F-4D22-8049-645D24F61AE8}"/>
    <cellStyle name="Millares 30 2 2 2 2 3 2" xfId="388" xr:uid="{9096C8A0-7937-4EAC-A047-AB2484069CDA}"/>
    <cellStyle name="Millares 30 2 2 2 2 3 2 2" xfId="727" xr:uid="{EB33EEB1-22F0-4A4C-A84E-C27676EECDE3}"/>
    <cellStyle name="Millares 30 2 2 2 2 3 2 2 2" xfId="1398" xr:uid="{8ECD7637-DFAA-4029-B464-B87859FCFC5D}"/>
    <cellStyle name="Millares 30 2 2 2 2 3 2 3" xfId="1066" xr:uid="{6EE6A0E1-352E-4CED-A6D4-606AFE7330D6}"/>
    <cellStyle name="Millares 30 2 2 2 2 3 3" xfId="561" xr:uid="{63AEBAC4-03DD-4337-AF88-42329C2098D1}"/>
    <cellStyle name="Millares 30 2 2 2 2 3 3 2" xfId="1232" xr:uid="{38A8CF56-4DA0-4893-BEFF-3C4E87B4C1AC}"/>
    <cellStyle name="Millares 30 2 2 2 2 3 4" xfId="900" xr:uid="{DDAAB08B-8AAC-42EC-957E-834B21E89AFB}"/>
    <cellStyle name="Millares 30 2 2 2 2 4" xfId="306" xr:uid="{9B1D9EF1-745C-407B-B831-11AB80DE8EBB}"/>
    <cellStyle name="Millares 30 2 2 2 2 4 2" xfId="645" xr:uid="{6DC8FDFA-C50C-413E-AB37-99E4F3D66FC2}"/>
    <cellStyle name="Millares 30 2 2 2 2 4 2 2" xfId="1316" xr:uid="{45380491-4E43-4340-BFA4-27716DC201D2}"/>
    <cellStyle name="Millares 30 2 2 2 2 4 3" xfId="984" xr:uid="{4B8E1868-BD09-4EFD-AED9-42435E644BDE}"/>
    <cellStyle name="Millares 30 2 2 2 2 5" xfId="479" xr:uid="{FDE859A7-E963-4935-9C9F-8DAB3D9E6B21}"/>
    <cellStyle name="Millares 30 2 2 2 2 5 2" xfId="1150" xr:uid="{9B972541-5AB3-4AA1-A5EB-637C43CDDFF6}"/>
    <cellStyle name="Millares 30 2 2 2 2 6" xfId="818" xr:uid="{1ECD9AC2-61BC-42AD-82E5-22E7AB2CEA35}"/>
    <cellStyle name="Millares 30 2 2 2 3" xfId="134" xr:uid="{0E7A3DB8-BEA2-4F98-A4BC-04BC80CAD99D}"/>
    <cellStyle name="Millares 30 2 2 2 3 2" xfId="223" xr:uid="{6DF24E6E-CFE6-4E4B-83EB-C08163A14A4B}"/>
    <cellStyle name="Millares 30 2 2 2 3 2 2" xfId="409" xr:uid="{0E84BB65-636C-4CF4-8BFC-E2FBC63ACC97}"/>
    <cellStyle name="Millares 30 2 2 2 3 2 2 2" xfId="748" xr:uid="{32408BF0-93BD-43E5-AC72-AC1CCD20FF72}"/>
    <cellStyle name="Millares 30 2 2 2 3 2 2 2 2" xfId="1419" xr:uid="{C2C81762-BF0F-45E0-93D3-B25611F3373C}"/>
    <cellStyle name="Millares 30 2 2 2 3 2 2 3" xfId="1087" xr:uid="{F3C82F60-AD40-4C0E-9429-34ED0EC8AC38}"/>
    <cellStyle name="Millares 30 2 2 2 3 2 3" xfId="582" xr:uid="{59665D5C-FEA8-4CBB-B305-F7B065EB7E00}"/>
    <cellStyle name="Millares 30 2 2 2 3 2 3 2" xfId="1253" xr:uid="{197704D6-0CC7-44D7-A26B-DA7A77976CCD}"/>
    <cellStyle name="Millares 30 2 2 2 3 2 4" xfId="921" xr:uid="{BEEFFA87-5D51-4F11-9279-4A16F9B15E6B}"/>
    <cellStyle name="Millares 30 2 2 2 3 3" xfId="327" xr:uid="{DFD24624-D6E8-44F3-A9B6-B55503EFDB5B}"/>
    <cellStyle name="Millares 30 2 2 2 3 3 2" xfId="666" xr:uid="{6B245D8C-19F7-4C01-B298-9E592530DF60}"/>
    <cellStyle name="Millares 30 2 2 2 3 3 2 2" xfId="1337" xr:uid="{A71FFF1C-BA4E-4C0B-929F-D2DB9D0918AD}"/>
    <cellStyle name="Millares 30 2 2 2 3 3 3" xfId="1005" xr:uid="{407DC724-F1BB-47AC-8175-859ED3DEF05E}"/>
    <cellStyle name="Millares 30 2 2 2 3 4" xfId="500" xr:uid="{1A1A5180-F227-47C3-8A71-6136A2113E0E}"/>
    <cellStyle name="Millares 30 2 2 2 3 4 2" xfId="1171" xr:uid="{A88EB034-956B-4E78-A7A6-5CE0504E0D32}"/>
    <cellStyle name="Millares 30 2 2 2 3 5" xfId="839" xr:uid="{DD698248-3F9A-4042-AC07-22B6DF84EFB5}"/>
    <cellStyle name="Millares 30 2 2 2 4" xfId="183" xr:uid="{4A5593AB-75C7-4CEA-B528-50DA1EC0C326}"/>
    <cellStyle name="Millares 30 2 2 2 4 2" xfId="369" xr:uid="{F10BA1CA-331B-4423-982B-B926478D6741}"/>
    <cellStyle name="Millares 30 2 2 2 4 2 2" xfId="708" xr:uid="{C86513CB-0434-4EB3-86C9-D7F328902237}"/>
    <cellStyle name="Millares 30 2 2 2 4 2 2 2" xfId="1379" xr:uid="{31A60BB3-66EF-41D9-8BCB-3C461D6F5B0C}"/>
    <cellStyle name="Millares 30 2 2 2 4 2 3" xfId="1047" xr:uid="{44CF541A-1D35-48D3-9A8D-BDCA54AF399F}"/>
    <cellStyle name="Millares 30 2 2 2 4 3" xfId="542" xr:uid="{048AB761-F035-4FA0-970E-A0A07E799472}"/>
    <cellStyle name="Millares 30 2 2 2 4 3 2" xfId="1213" xr:uid="{D73BBAAF-2431-4B61-B876-506651706093}"/>
    <cellStyle name="Millares 30 2 2 2 4 4" xfId="881" xr:uid="{7FAD6364-F36F-401A-89F4-B3ECBA39149B}"/>
    <cellStyle name="Millares 30 2 2 2 5" xfId="287" xr:uid="{95577CF7-551E-4292-8F68-1350A2F2F788}"/>
    <cellStyle name="Millares 30 2 2 2 5 2" xfId="626" xr:uid="{6A90D917-937B-4095-AC85-88F4FF5E7016}"/>
    <cellStyle name="Millares 30 2 2 2 5 2 2" xfId="1297" xr:uid="{DBFAA671-DA54-4EBC-BF69-8DB1A1BF8373}"/>
    <cellStyle name="Millares 30 2 2 2 5 3" xfId="965" xr:uid="{2474B9F2-321E-4FB7-932E-E2331FE90640}"/>
    <cellStyle name="Millares 30 2 2 2 6" xfId="460" xr:uid="{8FD35E3F-6FB9-44BB-A897-6EB6BC8F1C58}"/>
    <cellStyle name="Millares 30 2 2 2 6 2" xfId="1131" xr:uid="{EF8C730C-EC83-4A75-9008-E6B2DE7F5B57}"/>
    <cellStyle name="Millares 30 2 2 2 7" xfId="799" xr:uid="{F289E8E2-5D80-4F5C-B6CF-EDD496673FD2}"/>
    <cellStyle name="Millares 30 2 2 3" xfId="95" xr:uid="{423AD4B9-AC29-4085-B430-FD72FC139A69}"/>
    <cellStyle name="Millares 30 2 2 3 2" xfId="144" xr:uid="{D5605F6A-6C6D-4F7B-8426-B743A35165F9}"/>
    <cellStyle name="Millares 30 2 2 3 2 2" xfId="233" xr:uid="{5B9D07F8-BD1B-4202-9350-52E1477EE717}"/>
    <cellStyle name="Millares 30 2 2 3 2 2 2" xfId="419" xr:uid="{97422954-4E51-4F5D-9BB4-E7220A29BAFB}"/>
    <cellStyle name="Millares 30 2 2 3 2 2 2 2" xfId="758" xr:uid="{679D5515-DAA7-49C9-8C1C-834E7F0FBDE8}"/>
    <cellStyle name="Millares 30 2 2 3 2 2 2 2 2" xfId="1429" xr:uid="{EB94DCD8-EED1-443C-8051-6D5C1BCD310B}"/>
    <cellStyle name="Millares 30 2 2 3 2 2 2 3" xfId="1097" xr:uid="{31C7C090-8A9B-4DCE-B651-035D73151C9C}"/>
    <cellStyle name="Millares 30 2 2 3 2 2 3" xfId="592" xr:uid="{955CB0C2-78B2-4B55-9650-015084D19012}"/>
    <cellStyle name="Millares 30 2 2 3 2 2 3 2" xfId="1263" xr:uid="{E0864C64-6724-471C-9CBE-509BB258D4D7}"/>
    <cellStyle name="Millares 30 2 2 3 2 2 4" xfId="931" xr:uid="{3240FFD7-8D65-4641-AE84-CCA1E43FCB08}"/>
    <cellStyle name="Millares 30 2 2 3 2 3" xfId="337" xr:uid="{B2083B88-02CF-4C11-84BD-71EBA024C216}"/>
    <cellStyle name="Millares 30 2 2 3 2 3 2" xfId="676" xr:uid="{303ECA49-A1AB-4615-8DC3-D7A5FB0AD9BF}"/>
    <cellStyle name="Millares 30 2 2 3 2 3 2 2" xfId="1347" xr:uid="{3E58A359-3C09-4D91-8B6D-8587EA5CE5A3}"/>
    <cellStyle name="Millares 30 2 2 3 2 3 3" xfId="1015" xr:uid="{4987CA6D-4349-4290-B4D9-12279F7F8233}"/>
    <cellStyle name="Millares 30 2 2 3 2 4" xfId="510" xr:uid="{1956BCDB-1165-4444-8CDB-C7485F33A0F7}"/>
    <cellStyle name="Millares 30 2 2 3 2 4 2" xfId="1181" xr:uid="{8C961873-5C70-41E7-8EF1-73F287E79A4B}"/>
    <cellStyle name="Millares 30 2 2 3 2 5" xfId="849" xr:uid="{2D5AB098-CCC6-499D-9084-4577ECDB3BBA}"/>
    <cellStyle name="Millares 30 2 2 3 3" xfId="193" xr:uid="{6308880D-E135-45B6-A2FD-16DE0F771FB6}"/>
    <cellStyle name="Millares 30 2 2 3 3 2" xfId="379" xr:uid="{50EEBDBB-A951-4FDE-8528-1CE550BF0708}"/>
    <cellStyle name="Millares 30 2 2 3 3 2 2" xfId="718" xr:uid="{37E177E0-5BA9-4080-897A-79BE06708EAD}"/>
    <cellStyle name="Millares 30 2 2 3 3 2 2 2" xfId="1389" xr:uid="{3B0D74CB-B01E-487A-A350-14372B77C816}"/>
    <cellStyle name="Millares 30 2 2 3 3 2 3" xfId="1057" xr:uid="{ADD0A767-293B-412A-A681-A3C118DFF0E3}"/>
    <cellStyle name="Millares 30 2 2 3 3 3" xfId="552" xr:uid="{C8EFB282-ACB9-4CCB-91EA-B6CE28DB91CA}"/>
    <cellStyle name="Millares 30 2 2 3 3 3 2" xfId="1223" xr:uid="{71F87EB0-754B-4430-A824-55C45750A1E5}"/>
    <cellStyle name="Millares 30 2 2 3 3 4" xfId="891" xr:uid="{D31AC6F1-E4EA-4EC8-BCCC-93CEB03D55E4}"/>
    <cellStyle name="Millares 30 2 2 3 4" xfId="297" xr:uid="{52A69097-CEF0-4A1D-9DBB-27CDEEBBE1D0}"/>
    <cellStyle name="Millares 30 2 2 3 4 2" xfId="636" xr:uid="{7C832595-817B-4DDA-B4C0-BADD6E150687}"/>
    <cellStyle name="Millares 30 2 2 3 4 2 2" xfId="1307" xr:uid="{A746002D-FDB9-4340-9F91-4D916EDD0263}"/>
    <cellStyle name="Millares 30 2 2 3 4 3" xfId="975" xr:uid="{0FA838C6-81D0-441A-8E4D-BE3354211CAE}"/>
    <cellStyle name="Millares 30 2 2 3 5" xfId="470" xr:uid="{3124937C-BDCD-4B58-85F3-1B0E8E65749E}"/>
    <cellStyle name="Millares 30 2 2 3 5 2" xfId="1141" xr:uid="{63155A8C-67E5-439D-A42A-8F38D1E09BB4}"/>
    <cellStyle name="Millares 30 2 2 3 6" xfId="809" xr:uid="{E948717B-4861-4DCE-8406-18A1DA79D6C6}"/>
    <cellStyle name="Millares 30 2 2 4" xfId="124" xr:uid="{6F582C51-1D6E-493E-8403-689E915F182A}"/>
    <cellStyle name="Millares 30 2 2 4 2" xfId="214" xr:uid="{D3025A59-BB3B-4813-9647-A559F587A471}"/>
    <cellStyle name="Millares 30 2 2 4 2 2" xfId="400" xr:uid="{6836EAD4-57C3-4383-8278-852C11F4B8F1}"/>
    <cellStyle name="Millares 30 2 2 4 2 2 2" xfId="739" xr:uid="{A2A184B6-FF5E-4331-954B-528F5B2E0DC8}"/>
    <cellStyle name="Millares 30 2 2 4 2 2 2 2" xfId="1410" xr:uid="{17E6008E-2DC3-48BA-BF7D-BD2208D016A4}"/>
    <cellStyle name="Millares 30 2 2 4 2 2 3" xfId="1078" xr:uid="{8FE23C03-A939-4154-87B6-7C5FC18CB52A}"/>
    <cellStyle name="Millares 30 2 2 4 2 3" xfId="573" xr:uid="{E32E0621-F9BB-4311-89E8-22A4728B398C}"/>
    <cellStyle name="Millares 30 2 2 4 2 3 2" xfId="1244" xr:uid="{DDE07CB1-A826-40F4-9760-DE7A0F27311E}"/>
    <cellStyle name="Millares 30 2 2 4 2 4" xfId="912" xr:uid="{A04DC97B-5C19-4365-B09C-A395772E91A5}"/>
    <cellStyle name="Millares 30 2 2 4 3" xfId="318" xr:uid="{BC731B62-72DF-4B41-ABBE-B4A9D7028B9B}"/>
    <cellStyle name="Millares 30 2 2 4 3 2" xfId="657" xr:uid="{A7C84D16-7BA7-488C-8489-6B62236F9CCE}"/>
    <cellStyle name="Millares 30 2 2 4 3 2 2" xfId="1328" xr:uid="{740322C2-D9DB-42DB-88B4-5645E4B12B88}"/>
    <cellStyle name="Millares 30 2 2 4 3 3" xfId="996" xr:uid="{19C27F9C-0957-4359-9300-6A53FC9A4E9A}"/>
    <cellStyle name="Millares 30 2 2 4 4" xfId="491" xr:uid="{E0E6EF2B-1F47-4E52-85DA-D69FFFCF8C39}"/>
    <cellStyle name="Millares 30 2 2 4 4 2" xfId="1162" xr:uid="{21296B42-D72A-4BDF-BE91-E0E4AA1F2479}"/>
    <cellStyle name="Millares 30 2 2 4 5" xfId="830" xr:uid="{215DF5B9-B14E-4D62-91D7-DE8B3C999549}"/>
    <cellStyle name="Millares 30 2 2 5" xfId="174" xr:uid="{CFE3DC54-1CB0-458C-A4E7-74A9A488BA49}"/>
    <cellStyle name="Millares 30 2 2 5 2" xfId="360" xr:uid="{60A07186-42E8-49E1-B4FB-963BB2EF481E}"/>
    <cellStyle name="Millares 30 2 2 5 2 2" xfId="699" xr:uid="{A95709EC-8A6A-41E2-A327-CC5F334E1A9C}"/>
    <cellStyle name="Millares 30 2 2 5 2 2 2" xfId="1370" xr:uid="{B37C5570-416C-4FB3-A6D7-F47D4095818B}"/>
    <cellStyle name="Millares 30 2 2 5 2 3" xfId="1038" xr:uid="{C8784BF4-DAB4-41ED-B0DA-DF7F33A6C4A2}"/>
    <cellStyle name="Millares 30 2 2 5 3" xfId="533" xr:uid="{4E25C1E9-581C-47BF-85B0-052677C9DEF6}"/>
    <cellStyle name="Millares 30 2 2 5 3 2" xfId="1204" xr:uid="{12769449-F2AF-4CDF-B617-7BBAAB43FE81}"/>
    <cellStyle name="Millares 30 2 2 5 4" xfId="872" xr:uid="{2421F4C6-C797-4FD1-AD68-7981E4ABA893}"/>
    <cellStyle name="Millares 30 2 2 6" xfId="263" xr:uid="{44DF5753-E395-4381-9B75-7DB42B4BF751}"/>
    <cellStyle name="Millares 30 2 2 7" xfId="278" xr:uid="{0A8785C1-4141-4F39-84A3-E9ADA291FE9B}"/>
    <cellStyle name="Millares 30 2 2 7 2" xfId="617" xr:uid="{24E347CD-086A-4CF1-BF38-8854FD79CDCC}"/>
    <cellStyle name="Millares 30 2 2 7 2 2" xfId="1288" xr:uid="{E6D7D26B-D4F6-48A9-A111-0C57E7DFB5BE}"/>
    <cellStyle name="Millares 30 2 2 7 3" xfId="956" xr:uid="{F7CFC32E-7981-43DF-ABBF-B8FB504E7438}"/>
    <cellStyle name="Millares 30 2 2 8" xfId="451" xr:uid="{B09478D1-9675-472A-B925-495811C7ACCA}"/>
    <cellStyle name="Millares 30 2 2 8 2" xfId="1122" xr:uid="{F0692A0E-4973-4D8E-800C-ADAA93F8DDD6}"/>
    <cellStyle name="Millares 30 2 2 9" xfId="790" xr:uid="{EA7D70AE-BC18-4ED9-A549-14161D49ECC3}"/>
    <cellStyle name="Millares 4" xfId="80" xr:uid="{70D74AAB-43A4-4EC9-89EA-BD0E6A012324}"/>
    <cellStyle name="Millares 4 2" xfId="107" xr:uid="{2B792B6B-75B0-439D-AC31-C19B646B11A9}"/>
    <cellStyle name="Millares 4 2 2" xfId="155" xr:uid="{2C387086-2B6B-49FA-B5D5-DE78DD2B6243}"/>
    <cellStyle name="Millares 4 2 2 2" xfId="244" xr:uid="{D71CEB20-5851-41BB-B1CD-FF7B844B6512}"/>
    <cellStyle name="Millares 4 2 2 2 2" xfId="430" xr:uid="{7DBAC54F-4568-4FF1-B37E-20CA1596AC17}"/>
    <cellStyle name="Millares 4 2 2 2 2 2" xfId="769" xr:uid="{968DB15E-B107-426E-AEAC-11B91A266352}"/>
    <cellStyle name="Millares 4 2 2 2 2 2 2" xfId="1440" xr:uid="{61A4DFF9-EB71-4CC6-8C20-7050425D0F7C}"/>
    <cellStyle name="Millares 4 2 2 2 2 3" xfId="1108" xr:uid="{C0C8EC87-2B0B-4E94-A81D-9D27F2E320A9}"/>
    <cellStyle name="Millares 4 2 2 2 3" xfId="603" xr:uid="{CAAF2149-4597-42FB-B88C-3F438A78F7E0}"/>
    <cellStyle name="Millares 4 2 2 2 3 2" xfId="1274" xr:uid="{D541339F-B531-4EF1-B932-73E74774B2FA}"/>
    <cellStyle name="Millares 4 2 2 2 4" xfId="942" xr:uid="{8E90C491-2974-4FBD-ACB8-6D72FA599130}"/>
    <cellStyle name="Millares 4 2 2 3" xfId="348" xr:uid="{C81318E4-1E2F-41DC-B2AF-F95B46049519}"/>
    <cellStyle name="Millares 4 2 2 3 2" xfId="687" xr:uid="{DC8BB184-8725-4C53-9610-50BC5CDFE2C3}"/>
    <cellStyle name="Millares 4 2 2 3 2 2" xfId="1358" xr:uid="{914ADFD9-3AAF-4911-B1CF-DDDB399B3FA0}"/>
    <cellStyle name="Millares 4 2 2 3 3" xfId="1026" xr:uid="{B5451805-C51C-42B4-90FB-A13DC14127BB}"/>
    <cellStyle name="Millares 4 2 2 4" xfId="521" xr:uid="{AD2EBF07-CDDA-41E3-ADF3-9C46D5039FF2}"/>
    <cellStyle name="Millares 4 2 2 4 2" xfId="1192" xr:uid="{CAE93AE8-663D-44C2-9531-45C25AB0065F}"/>
    <cellStyle name="Millares 4 2 2 5" xfId="860" xr:uid="{127F0204-7CE1-4D0A-A9CA-65E2FBA66A20}"/>
    <cellStyle name="Millares 4 2 3" xfId="204" xr:uid="{ED7C541E-1949-42A2-A8BB-3EF834B6873A}"/>
    <cellStyle name="Millares 4 2 3 2" xfId="390" xr:uid="{CB843161-017B-4458-A4C6-EDD520F6C5B3}"/>
    <cellStyle name="Millares 4 2 3 2 2" xfId="729" xr:uid="{97D8F417-50BC-4A46-9B72-8BE5CA109331}"/>
    <cellStyle name="Millares 4 2 3 2 2 2" xfId="1400" xr:uid="{2CD1E6FC-BBB9-45F2-B841-EE63B25822E0}"/>
    <cellStyle name="Millares 4 2 3 2 3" xfId="1068" xr:uid="{67795091-8B1C-4CF0-A542-B6A3B81A6106}"/>
    <cellStyle name="Millares 4 2 3 3" xfId="563" xr:uid="{DF5509FB-72B2-4049-BA0D-6735827C232D}"/>
    <cellStyle name="Millares 4 2 3 3 2" xfId="1234" xr:uid="{06DDEB18-6FA9-4462-8794-2D8812C53C89}"/>
    <cellStyle name="Millares 4 2 3 4" xfId="902" xr:uid="{E43D7914-3066-43FC-BFC7-D8231D0DC4E8}"/>
    <cellStyle name="Millares 4 2 4" xfId="308" xr:uid="{403A503B-D25B-4666-B71B-D7884D18E103}"/>
    <cellStyle name="Millares 4 2 4 2" xfId="647" xr:uid="{0CEC9F3E-4189-46CD-BB6B-A722C719D2DE}"/>
    <cellStyle name="Millares 4 2 4 2 2" xfId="1318" xr:uid="{E1CD21EE-5059-4168-8059-3CCC7F3BD2C1}"/>
    <cellStyle name="Millares 4 2 4 3" xfId="986" xr:uid="{3ECEA7A9-07B7-43AF-8B90-035CA37B80AF}"/>
    <cellStyle name="Millares 4 2 5" xfId="481" xr:uid="{9DF2A0FB-A145-440E-B6F2-4C726D6FFBFC}"/>
    <cellStyle name="Millares 4 2 5 2" xfId="1152" xr:uid="{CFB0C838-C99D-42DD-9E02-4105077D9DA9}"/>
    <cellStyle name="Millares 4 2 6" xfId="820" xr:uid="{CDA4F785-ACB5-4F85-A767-1B09C04B2C06}"/>
    <cellStyle name="Millares 4 3" xfId="136" xr:uid="{3A6C4556-22E7-4BEF-96D3-F56333548584}"/>
    <cellStyle name="Millares 4 3 2" xfId="225" xr:uid="{B331876B-2210-4B24-B32C-DCE3A3A82BAF}"/>
    <cellStyle name="Millares 4 3 2 2" xfId="411" xr:uid="{45A3CF00-2DE7-41D2-8050-B98D44DCA271}"/>
    <cellStyle name="Millares 4 3 2 2 2" xfId="750" xr:uid="{4A17F19A-7B74-4FC2-95D8-E42A88D5FB13}"/>
    <cellStyle name="Millares 4 3 2 2 2 2" xfId="1421" xr:uid="{0A1BF7FA-8B5C-4387-87C5-3E67A1E9B3AD}"/>
    <cellStyle name="Millares 4 3 2 2 3" xfId="1089" xr:uid="{033BC2B5-AF30-4ECD-B5CA-694E5946EEB6}"/>
    <cellStyle name="Millares 4 3 2 3" xfId="584" xr:uid="{E94C1716-2406-46B1-B5C5-848A27DAF284}"/>
    <cellStyle name="Millares 4 3 2 3 2" xfId="1255" xr:uid="{2E48E41E-946B-4EAA-BA93-3F9041438D34}"/>
    <cellStyle name="Millares 4 3 2 4" xfId="923" xr:uid="{D7077B4F-9207-4B83-9592-4C69DDC32B78}"/>
    <cellStyle name="Millares 4 3 3" xfId="329" xr:uid="{FFC8B8C6-05A2-4FF2-A754-877AFB13F9C8}"/>
    <cellStyle name="Millares 4 3 3 2" xfId="668" xr:uid="{8FA1B66F-A740-4D7E-A9D3-5909BF0CFE48}"/>
    <cellStyle name="Millares 4 3 3 2 2" xfId="1339" xr:uid="{83229917-CDE6-478D-BAFE-3147928949A8}"/>
    <cellStyle name="Millares 4 3 3 3" xfId="1007" xr:uid="{DEDD6E87-823E-41F8-BE23-0FBDD9183568}"/>
    <cellStyle name="Millares 4 3 4" xfId="502" xr:uid="{47F485B1-2695-42BA-8507-1052BEA84E75}"/>
    <cellStyle name="Millares 4 3 4 2" xfId="1173" xr:uid="{C123C680-6166-4026-BDA3-7750A70FB8D4}"/>
    <cellStyle name="Millares 4 3 5" xfId="841" xr:uid="{0A6D043A-6FD2-4303-B1CF-B52CD59727E0}"/>
    <cellStyle name="Millares 4 4" xfId="185" xr:uid="{2F17BBFA-8982-4704-8918-596C5A1CB505}"/>
    <cellStyle name="Millares 4 4 2" xfId="371" xr:uid="{7057977D-D0BE-42F5-B689-23AA01A0F88E}"/>
    <cellStyle name="Millares 4 4 2 2" xfId="710" xr:uid="{A5DAA7F0-8329-41AA-B6F6-1288140264B4}"/>
    <cellStyle name="Millares 4 4 2 2 2" xfId="1381" xr:uid="{69A481A5-8AD6-4CED-820B-73F4C5E43959}"/>
    <cellStyle name="Millares 4 4 2 3" xfId="1049" xr:uid="{359C6AE2-21DE-49FB-9578-E312C3F85591}"/>
    <cellStyle name="Millares 4 4 3" xfId="544" xr:uid="{FE2EA571-C572-4F20-9C47-DC217AE52729}"/>
    <cellStyle name="Millares 4 4 3 2" xfId="1215" xr:uid="{60B1E3FC-1F46-4144-BE5F-557E0B47A36E}"/>
    <cellStyle name="Millares 4 4 4" xfId="883" xr:uid="{1E738CE1-B3E7-4042-B3FD-1F29E5FBF247}"/>
    <cellStyle name="Millares 4 5" xfId="289" xr:uid="{AC83B3F7-C7F2-49FB-9D16-6E86A646E0EB}"/>
    <cellStyle name="Millares 4 5 2" xfId="628" xr:uid="{0D171F77-40D2-4E04-B52A-58B1B6FFFF09}"/>
    <cellStyle name="Millares 4 5 2 2" xfId="1299" xr:uid="{729D9D8A-E5A1-4172-80D9-5CB98986C19B}"/>
    <cellStyle name="Millares 4 5 3" xfId="967" xr:uid="{61B96EFD-7C8B-4AE9-A50C-06086412FE7B}"/>
    <cellStyle name="Millares 4 6" xfId="462" xr:uid="{CC8E4F76-AEA5-4EE6-95BF-24B334844272}"/>
    <cellStyle name="Millares 4 6 2" xfId="1133" xr:uid="{D9B3EC3F-0C18-4132-B66A-3B12A1E5CC2B}"/>
    <cellStyle name="Millares 4 7" xfId="801" xr:uid="{206EF9D8-82B4-4A3E-A18D-370249338C2F}"/>
    <cellStyle name="Millares 5" xfId="64" xr:uid="{13F041B1-2560-4DF7-A2A2-1B88526FC4AA}"/>
    <cellStyle name="Millares 5 2" xfId="99" xr:uid="{87769333-6838-45D9-82DC-1D859CD7E1C9}"/>
    <cellStyle name="Millares 5 2 2" xfId="147" xr:uid="{DEE3447A-7407-4322-B661-D6F54A587935}"/>
    <cellStyle name="Millares 5 2 2 2" xfId="236" xr:uid="{21BD85F3-F45F-45C0-943B-D7C973807BBB}"/>
    <cellStyle name="Millares 5 2 2 2 2" xfId="422" xr:uid="{6AFB1475-34DD-4A25-A023-C85B17CE5136}"/>
    <cellStyle name="Millares 5 2 2 2 2 2" xfId="761" xr:uid="{EC42605F-C5D6-46EA-A4F1-A846251FF0CB}"/>
    <cellStyle name="Millares 5 2 2 2 2 2 2" xfId="1432" xr:uid="{AD645A8E-4109-4492-BB9D-BB14BF4CB9C7}"/>
    <cellStyle name="Millares 5 2 2 2 2 3" xfId="1100" xr:uid="{5B00B7C6-E011-459E-AC3B-690BC76B906D}"/>
    <cellStyle name="Millares 5 2 2 2 3" xfId="595" xr:uid="{E6283F6A-514D-4C63-BCC3-FED70D41E23B}"/>
    <cellStyle name="Millares 5 2 2 2 3 2" xfId="1266" xr:uid="{3065917E-D21F-4B43-B5BA-E9E12E5E2C66}"/>
    <cellStyle name="Millares 5 2 2 2 4" xfId="934" xr:uid="{4389AFB3-34C7-4AF0-9A5E-16A5F7EA746B}"/>
    <cellStyle name="Millares 5 2 2 3" xfId="340" xr:uid="{D9726FB3-8CFF-4AE2-B8D1-6C183097D3B7}"/>
    <cellStyle name="Millares 5 2 2 3 2" xfId="679" xr:uid="{5BA5CDD1-4251-4777-91FE-E1214EF4B605}"/>
    <cellStyle name="Millares 5 2 2 3 2 2" xfId="1350" xr:uid="{1B0E488A-3BB0-4AEE-96DA-C100FFA0D2E8}"/>
    <cellStyle name="Millares 5 2 2 3 3" xfId="1018" xr:uid="{E288A215-C706-4B5B-8375-EF64932496B9}"/>
    <cellStyle name="Millares 5 2 2 4" xfId="513" xr:uid="{C6E59B6B-C3EF-4C91-891D-B49200B0583A}"/>
    <cellStyle name="Millares 5 2 2 4 2" xfId="1184" xr:uid="{E280294B-E47F-4600-9D53-441E0E2C609B}"/>
    <cellStyle name="Millares 5 2 2 5" xfId="852" xr:uid="{2ACC7E3E-84A8-403C-A79F-EBDF9349A21A}"/>
    <cellStyle name="Millares 5 2 3" xfId="196" xr:uid="{892A89C4-3837-49BE-9A77-72390323EC86}"/>
    <cellStyle name="Millares 5 2 3 2" xfId="382" xr:uid="{8D21A9DC-5BBE-4BB1-B492-DA8CF3B5D47A}"/>
    <cellStyle name="Millares 5 2 3 2 2" xfId="721" xr:uid="{469899BB-D107-4048-998E-8DAF57609CD1}"/>
    <cellStyle name="Millares 5 2 3 2 2 2" xfId="1392" xr:uid="{C31D84D0-B435-4EFE-A931-D9E2D2C5CAAF}"/>
    <cellStyle name="Millares 5 2 3 2 3" xfId="1060" xr:uid="{FCB45E15-3467-46B6-BDED-6508053A2042}"/>
    <cellStyle name="Millares 5 2 3 3" xfId="555" xr:uid="{AD654FCA-9EB3-4349-8673-90D658278A62}"/>
    <cellStyle name="Millares 5 2 3 3 2" xfId="1226" xr:uid="{CD7E3C68-7D30-40FA-89BD-2336739F927B}"/>
    <cellStyle name="Millares 5 2 3 4" xfId="894" xr:uid="{E2351BD0-C4DF-463E-80FB-CCA16CF35984}"/>
    <cellStyle name="Millares 5 2 4" xfId="300" xr:uid="{9E1786AE-190B-4D68-92D5-D94F24F0C82A}"/>
    <cellStyle name="Millares 5 2 4 2" xfId="639" xr:uid="{C5C70E21-A2AD-4CED-AC2C-1316D9530C36}"/>
    <cellStyle name="Millares 5 2 4 2 2" xfId="1310" xr:uid="{45524994-A419-4B19-A379-6C2F1191E02D}"/>
    <cellStyle name="Millares 5 2 4 3" xfId="978" xr:uid="{9DC17981-4C5F-4797-A028-9C4ECB0A63DD}"/>
    <cellStyle name="Millares 5 2 5" xfId="473" xr:uid="{7701A048-CEB3-45C4-B3C9-44D121DAE11F}"/>
    <cellStyle name="Millares 5 2 5 2" xfId="1144" xr:uid="{81B667C6-72B4-4697-B02E-0416EDBCF946}"/>
    <cellStyle name="Millares 5 2 6" xfId="812" xr:uid="{78FE68E7-9857-474D-A047-ED7F07F09099}"/>
    <cellStyle name="Millares 5 3" xfId="128" xr:uid="{807277DF-AECC-420C-A379-C9D3ECE8AE6D}"/>
    <cellStyle name="Millares 5 3 2" xfId="217" xr:uid="{5B027D1E-B6EC-47C5-A39A-70A3B2BBD6E6}"/>
    <cellStyle name="Millares 5 3 2 2" xfId="403" xr:uid="{82A480BF-0006-451E-81BB-EAB6BEF8DCDA}"/>
    <cellStyle name="Millares 5 3 2 2 2" xfId="742" xr:uid="{C1924C39-E766-4A03-AABE-56CCE0E55DDD}"/>
    <cellStyle name="Millares 5 3 2 2 2 2" xfId="1413" xr:uid="{0BD7711E-7096-47FA-B357-A0952A5AB39E}"/>
    <cellStyle name="Millares 5 3 2 2 3" xfId="1081" xr:uid="{F4AD7607-AB16-4283-9146-87F3EDABE2B5}"/>
    <cellStyle name="Millares 5 3 2 3" xfId="576" xr:uid="{D79B7A9E-0BA0-4464-8FDA-D3D3A466B8F6}"/>
    <cellStyle name="Millares 5 3 2 3 2" xfId="1247" xr:uid="{DDF02AF7-5129-400D-A6DC-0A1C26445032}"/>
    <cellStyle name="Millares 5 3 2 4" xfId="915" xr:uid="{B2294203-54D5-4227-B227-594E7E6088FA}"/>
    <cellStyle name="Millares 5 3 3" xfId="321" xr:uid="{28A8D5E1-2D91-40B3-849A-7F7C97AA681C}"/>
    <cellStyle name="Millares 5 3 3 2" xfId="660" xr:uid="{CAFBCBAA-AAD4-4C00-A72E-C6A008900EBB}"/>
    <cellStyle name="Millares 5 3 3 2 2" xfId="1331" xr:uid="{6D6B60C9-DD23-4BEB-8E8B-5A260EFC38FB}"/>
    <cellStyle name="Millares 5 3 3 3" xfId="999" xr:uid="{03700910-1F90-420D-8B11-F1674B43A06B}"/>
    <cellStyle name="Millares 5 3 4" xfId="494" xr:uid="{4DF9290E-C914-4F0D-AEFD-1EC16B9A2ECA}"/>
    <cellStyle name="Millares 5 3 4 2" xfId="1165" xr:uid="{076A1672-8950-4579-9FF6-3A7A63E2156B}"/>
    <cellStyle name="Millares 5 3 5" xfId="833" xr:uid="{F9C8D48B-94B8-4898-AB73-AB1FC41FAAE5}"/>
    <cellStyle name="Millares 5 4" xfId="177" xr:uid="{AB1F26BF-3243-45A4-8FA1-A6579A9ABEAB}"/>
    <cellStyle name="Millares 5 4 2" xfId="363" xr:uid="{18BA2266-8BFB-42A5-84D1-5D17DAAABA06}"/>
    <cellStyle name="Millares 5 4 2 2" xfId="702" xr:uid="{EA25D2DD-E0DE-4746-9A34-3D4A52877A82}"/>
    <cellStyle name="Millares 5 4 2 2 2" xfId="1373" xr:uid="{533D54F2-B844-4F77-B6B7-91CA53FEFF2F}"/>
    <cellStyle name="Millares 5 4 2 3" xfId="1041" xr:uid="{F8F60E4D-48BB-4DCC-8DBF-0F2BB930B78F}"/>
    <cellStyle name="Millares 5 4 3" xfId="536" xr:uid="{44AC69F7-1A33-42C5-9865-74DACBFEC3EC}"/>
    <cellStyle name="Millares 5 4 3 2" xfId="1207" xr:uid="{8737B887-A9EC-4622-AFDE-6B8894112041}"/>
    <cellStyle name="Millares 5 4 4" xfId="875" xr:uid="{4CDC0DEF-92AA-43F0-AFDF-276BF7E4BAC0}"/>
    <cellStyle name="Millares 5 5" xfId="281" xr:uid="{71912CC5-D46A-4849-8561-F782E5A3A527}"/>
    <cellStyle name="Millares 5 5 2" xfId="620" xr:uid="{1E9748B5-A609-4AC9-8B30-B3A1316C61D1}"/>
    <cellStyle name="Millares 5 5 2 2" xfId="1291" xr:uid="{216A61B4-9244-4F21-BD40-F0D14123A0DA}"/>
    <cellStyle name="Millares 5 5 3" xfId="959" xr:uid="{62023C94-DB7F-456C-949B-3BA0FBF7813E}"/>
    <cellStyle name="Millares 5 6" xfId="454" xr:uid="{680FE7D7-89C7-4D8F-9F02-173BBFEB0526}"/>
    <cellStyle name="Millares 5 6 2" xfId="1125" xr:uid="{129BF7DB-9141-4CAE-8223-0C82866B968B}"/>
    <cellStyle name="Millares 5 7" xfId="793" xr:uid="{D6D84F64-28F1-45A5-A3EB-302166CAE144}"/>
    <cellStyle name="Millares 6" xfId="81" xr:uid="{6FDCDCA4-153A-4DC9-9059-063391A92874}"/>
    <cellStyle name="Millares 6 2" xfId="108" xr:uid="{14E01CD5-0B3E-4C2D-BFF0-BFC39476A94D}"/>
    <cellStyle name="Millares 6 2 2" xfId="156" xr:uid="{EDA4CE0E-50AA-4DAD-9481-B24235ABACAA}"/>
    <cellStyle name="Millares 6 2 2 2" xfId="245" xr:uid="{B1088031-B137-4CD3-B545-0E3C6CE952E2}"/>
    <cellStyle name="Millares 6 2 2 2 2" xfId="431" xr:uid="{CB3D1A71-A991-4B1E-AA2B-5E2C36DEB68F}"/>
    <cellStyle name="Millares 6 2 2 2 2 2" xfId="770" xr:uid="{6BFF6855-41D9-4E41-AE7C-90C91B079324}"/>
    <cellStyle name="Millares 6 2 2 2 2 2 2" xfId="1441" xr:uid="{2D882CF4-D209-4A13-BD9D-D2D617B1B522}"/>
    <cellStyle name="Millares 6 2 2 2 2 3" xfId="1109" xr:uid="{BB6864A0-C921-4B99-9380-93EA5726FDE8}"/>
    <cellStyle name="Millares 6 2 2 2 3" xfId="604" xr:uid="{29F25F6B-A742-4F97-BDAA-35A2B6D85F5C}"/>
    <cellStyle name="Millares 6 2 2 2 3 2" xfId="1275" xr:uid="{B542A567-55A4-4540-A923-F33E618DA116}"/>
    <cellStyle name="Millares 6 2 2 2 4" xfId="943" xr:uid="{D5046CF2-D0B0-4015-ABF6-7E5C066A7281}"/>
    <cellStyle name="Millares 6 2 2 3" xfId="349" xr:uid="{4A2D3B02-7FE0-4B9D-96DE-D1BD7B0C21F0}"/>
    <cellStyle name="Millares 6 2 2 3 2" xfId="688" xr:uid="{E3D17C62-5608-48EC-BAD8-71B95C10C4BF}"/>
    <cellStyle name="Millares 6 2 2 3 2 2" xfId="1359" xr:uid="{9D396DCA-0B82-4866-A926-81EE881FB277}"/>
    <cellStyle name="Millares 6 2 2 3 3" xfId="1027" xr:uid="{54CB9C72-9259-46B0-841B-CC16DBA62AC8}"/>
    <cellStyle name="Millares 6 2 2 4" xfId="522" xr:uid="{7CE9D2A8-7FAF-489F-B518-C00A56B7AB54}"/>
    <cellStyle name="Millares 6 2 2 4 2" xfId="1193" xr:uid="{D79AC985-EFF9-4DAD-9662-1F60CBD049B5}"/>
    <cellStyle name="Millares 6 2 2 5" xfId="861" xr:uid="{30CF9D4E-D88B-4BA2-9868-8CA243A7D0A6}"/>
    <cellStyle name="Millares 6 2 3" xfId="205" xr:uid="{AE7AFC88-D7BC-4975-941E-BC0297A2254F}"/>
    <cellStyle name="Millares 6 2 3 2" xfId="391" xr:uid="{53BBE8DF-A797-4243-88C7-6D2C4611946A}"/>
    <cellStyle name="Millares 6 2 3 2 2" xfId="730" xr:uid="{5994E12C-B065-47DB-99A1-E9FF3267EB58}"/>
    <cellStyle name="Millares 6 2 3 2 2 2" xfId="1401" xr:uid="{9B929F23-10F6-40A4-9EAE-CDFB7224B771}"/>
    <cellStyle name="Millares 6 2 3 2 3" xfId="1069" xr:uid="{BE118B33-C380-4862-A17A-6AFDC61B3502}"/>
    <cellStyle name="Millares 6 2 3 3" xfId="564" xr:uid="{C2D78C7A-6A00-4BD5-BC12-FBD77439758C}"/>
    <cellStyle name="Millares 6 2 3 3 2" xfId="1235" xr:uid="{04AEE656-70C0-4028-BB3B-0497BA12E7F7}"/>
    <cellStyle name="Millares 6 2 3 4" xfId="903" xr:uid="{E73DC31F-6248-467A-8ACF-EBCE36353C20}"/>
    <cellStyle name="Millares 6 2 4" xfId="309" xr:uid="{733AA2C7-8FA7-4D1A-AFB2-5941BB4DFC6C}"/>
    <cellStyle name="Millares 6 2 4 2" xfId="648" xr:uid="{68B7F35F-F001-42A6-9488-58B27865359F}"/>
    <cellStyle name="Millares 6 2 4 2 2" xfId="1319" xr:uid="{A3BB0953-3BCE-40E1-9B22-A88EC8DC1E66}"/>
    <cellStyle name="Millares 6 2 4 3" xfId="987" xr:uid="{F4557C10-AD0D-4062-A4DF-D6FF1A475439}"/>
    <cellStyle name="Millares 6 2 5" xfId="482" xr:uid="{8360D426-A936-4CAE-AD73-5DB685A2944E}"/>
    <cellStyle name="Millares 6 2 5 2" xfId="1153" xr:uid="{48849D94-32F4-4C97-8286-8FC76F52DEB0}"/>
    <cellStyle name="Millares 6 2 6" xfId="821" xr:uid="{4D525100-2C63-42D3-83B7-EAFF88BFD81E}"/>
    <cellStyle name="Millares 6 3" xfId="137" xr:uid="{7B706292-9768-4798-BB48-789476D145B1}"/>
    <cellStyle name="Millares 6 3 2" xfId="226" xr:uid="{21A317EF-E9B2-4397-B93E-3E9D95655880}"/>
    <cellStyle name="Millares 6 3 2 2" xfId="412" xr:uid="{6D1A7201-26DB-4A90-93A4-0DE337BF8EC5}"/>
    <cellStyle name="Millares 6 3 2 2 2" xfId="751" xr:uid="{965D93BB-84A9-4BF6-B07A-EE1D43E7845F}"/>
    <cellStyle name="Millares 6 3 2 2 2 2" xfId="1422" xr:uid="{8262375E-D50B-4204-A493-8074B8D7FF1B}"/>
    <cellStyle name="Millares 6 3 2 2 3" xfId="1090" xr:uid="{533F43F5-3E29-492D-931A-1E7489D81168}"/>
    <cellStyle name="Millares 6 3 2 3" xfId="585" xr:uid="{F6BBA1F7-B226-49CF-9C9C-13272DF90AD7}"/>
    <cellStyle name="Millares 6 3 2 3 2" xfId="1256" xr:uid="{3D18D421-5CF0-4F26-BAF9-01BF793F7DC9}"/>
    <cellStyle name="Millares 6 3 2 4" xfId="924" xr:uid="{2DD11B43-0438-4E85-9BD2-D75D9EA09823}"/>
    <cellStyle name="Millares 6 3 3" xfId="330" xr:uid="{D6DDE6D3-7512-4035-8125-F4A9E125F9DB}"/>
    <cellStyle name="Millares 6 3 3 2" xfId="669" xr:uid="{E391485A-6A1C-449E-B0C2-78529AABC357}"/>
    <cellStyle name="Millares 6 3 3 2 2" xfId="1340" xr:uid="{B9E738E7-2629-4DEA-8905-02B738BC6645}"/>
    <cellStyle name="Millares 6 3 3 3" xfId="1008" xr:uid="{C4CBA887-7FF6-4C2B-AA70-33C1F2A3F014}"/>
    <cellStyle name="Millares 6 3 4" xfId="503" xr:uid="{91A1E7BE-FB96-4375-A4CF-6E01FA7AA534}"/>
    <cellStyle name="Millares 6 3 4 2" xfId="1174" xr:uid="{7386AC16-A136-4398-8294-83030BDB615B}"/>
    <cellStyle name="Millares 6 3 5" xfId="842" xr:uid="{1894C196-AA3F-47B8-835A-C2455847489C}"/>
    <cellStyle name="Millares 6 4" xfId="186" xr:uid="{DF7CB4D4-F71B-4B01-A3F4-1D9FACF76F12}"/>
    <cellStyle name="Millares 6 4 2" xfId="372" xr:uid="{7E8E6E96-3A8C-42C4-B490-EB348E84C52C}"/>
    <cellStyle name="Millares 6 4 2 2" xfId="711" xr:uid="{7A75283A-6DFB-4267-BBFD-5EA7736F76FA}"/>
    <cellStyle name="Millares 6 4 2 2 2" xfId="1382" xr:uid="{08256028-C15B-43F4-A49A-8A3A6EA75967}"/>
    <cellStyle name="Millares 6 4 2 3" xfId="1050" xr:uid="{9BB23618-5290-4C58-9FED-3F46AACAF32F}"/>
    <cellStyle name="Millares 6 4 3" xfId="545" xr:uid="{18F1985B-84B9-40B5-9A09-99547C6BAC8C}"/>
    <cellStyle name="Millares 6 4 3 2" xfId="1216" xr:uid="{C77D20D4-1B44-487E-83E9-C6172CF4BC7B}"/>
    <cellStyle name="Millares 6 4 4" xfId="884" xr:uid="{8FB6EB10-3FFE-4BD1-A7E5-6CAB23A59BFC}"/>
    <cellStyle name="Millares 6 5" xfId="290" xr:uid="{E81272EE-DD41-46C5-B62D-7E6D330DF14E}"/>
    <cellStyle name="Millares 6 5 2" xfId="629" xr:uid="{959673D2-5ECC-4B8F-BE05-6437AC3FCA21}"/>
    <cellStyle name="Millares 6 5 2 2" xfId="1300" xr:uid="{89D79225-2FC2-47AC-AAF9-0046AA72494D}"/>
    <cellStyle name="Millares 6 5 3" xfId="968" xr:uid="{221A699C-8AFE-4D78-91F6-1EC22EAE6C29}"/>
    <cellStyle name="Millares 6 6" xfId="463" xr:uid="{7633B463-831E-42F2-842D-09335075AE84}"/>
    <cellStyle name="Millares 6 6 2" xfId="1134" xr:uid="{31E04630-4B0F-4BEA-8385-4AA220C357DA}"/>
    <cellStyle name="Millares 6 7" xfId="802" xr:uid="{B2434EC5-8A3E-4FBF-9629-CBCDB68C626D}"/>
    <cellStyle name="Millares 7" xfId="82" xr:uid="{F1ABAA9B-B56F-440D-888D-EC347CD89681}"/>
    <cellStyle name="Millares 7 2" xfId="109" xr:uid="{839723DE-75D8-4A30-9A3E-5F636E869B74}"/>
    <cellStyle name="Millares 7 2 2" xfId="157" xr:uid="{295764E6-AC40-4A43-8BD1-09AB5834B40A}"/>
    <cellStyle name="Millares 7 2 2 2" xfId="246" xr:uid="{A6E2C8AE-8780-4A6E-90B2-B5B1310E2339}"/>
    <cellStyle name="Millares 7 2 2 2 2" xfId="432" xr:uid="{E7135FA9-DE1B-4857-A83B-9F7CF981EE92}"/>
    <cellStyle name="Millares 7 2 2 2 2 2" xfId="771" xr:uid="{DEBC7030-B214-4A8F-93A2-7011EF1691B5}"/>
    <cellStyle name="Millares 7 2 2 2 2 2 2" xfId="1442" xr:uid="{452DEE47-9B18-4350-8AD3-B270CE9A1A3F}"/>
    <cellStyle name="Millares 7 2 2 2 2 3" xfId="1110" xr:uid="{8E30FFC6-05EA-4CDA-AD92-E42A4EBF149E}"/>
    <cellStyle name="Millares 7 2 2 2 3" xfId="605" xr:uid="{FEB01FDC-7AB6-4353-BE06-40C034319029}"/>
    <cellStyle name="Millares 7 2 2 2 3 2" xfId="1276" xr:uid="{6DA61745-9ADA-4CF2-B13E-2DBBF8FFF3CD}"/>
    <cellStyle name="Millares 7 2 2 2 4" xfId="944" xr:uid="{3FD884F4-B321-4961-88F7-E3EC91979464}"/>
    <cellStyle name="Millares 7 2 2 3" xfId="350" xr:uid="{EED42C57-DA7B-45EF-AE46-A6217334A55B}"/>
    <cellStyle name="Millares 7 2 2 3 2" xfId="689" xr:uid="{F5C65AD5-7708-4613-8A3A-1B48D9782120}"/>
    <cellStyle name="Millares 7 2 2 3 2 2" xfId="1360" xr:uid="{9B00DC42-5002-4A29-BC7E-87477780CCC5}"/>
    <cellStyle name="Millares 7 2 2 3 3" xfId="1028" xr:uid="{7D6F27D2-F9C3-4135-B80E-9C18BAED4EED}"/>
    <cellStyle name="Millares 7 2 2 4" xfId="523" xr:uid="{764EF772-6C07-40F5-A38A-440FAC0BF649}"/>
    <cellStyle name="Millares 7 2 2 4 2" xfId="1194" xr:uid="{C075288E-50E0-44B6-A08D-5ECE63A69809}"/>
    <cellStyle name="Millares 7 2 2 5" xfId="862" xr:uid="{E2C2EBD5-AC7D-43AD-AD38-16BC0A318E89}"/>
    <cellStyle name="Millares 7 2 3" xfId="206" xr:uid="{C7BA4DD8-90E3-4C50-87A1-1A3EDFB8B836}"/>
    <cellStyle name="Millares 7 2 3 2" xfId="392" xr:uid="{3630600A-D29C-45C3-8C6E-AE0A2166B8D4}"/>
    <cellStyle name="Millares 7 2 3 2 2" xfId="731" xr:uid="{3C7C5B82-9C80-4430-BA3D-03A1B9A605D4}"/>
    <cellStyle name="Millares 7 2 3 2 2 2" xfId="1402" xr:uid="{9073089B-1F1C-4A9E-B9DF-601B50787E2B}"/>
    <cellStyle name="Millares 7 2 3 2 3" xfId="1070" xr:uid="{C490A047-A149-469D-B132-07F0375AC339}"/>
    <cellStyle name="Millares 7 2 3 3" xfId="565" xr:uid="{BC0F15A5-444A-4B03-8766-B97F014F438C}"/>
    <cellStyle name="Millares 7 2 3 3 2" xfId="1236" xr:uid="{688EF6AD-6789-4E80-A32E-242D2A84139B}"/>
    <cellStyle name="Millares 7 2 3 4" xfId="904" xr:uid="{0647431C-BDBB-4B97-94E3-97857445459A}"/>
    <cellStyle name="Millares 7 2 4" xfId="310" xr:uid="{A9454980-F51F-489B-B776-3172E43452A1}"/>
    <cellStyle name="Millares 7 2 4 2" xfId="649" xr:uid="{5F49AABC-10CE-4AD1-BE53-99699564183E}"/>
    <cellStyle name="Millares 7 2 4 2 2" xfId="1320" xr:uid="{714B216A-F089-4E5D-9378-AE838AE90B95}"/>
    <cellStyle name="Millares 7 2 4 3" xfId="988" xr:uid="{1A33E0CF-9560-4D37-BF9B-CD4116458222}"/>
    <cellStyle name="Millares 7 2 5" xfId="483" xr:uid="{F61DC1CA-BFE3-4922-B9BF-DC04B39E0162}"/>
    <cellStyle name="Millares 7 2 5 2" xfId="1154" xr:uid="{9D8B7D3C-D5C2-47CE-9B58-5E7DE79A25E7}"/>
    <cellStyle name="Millares 7 2 6" xfId="822" xr:uid="{278B937A-387C-4B09-9E2E-A05C8CC6DB56}"/>
    <cellStyle name="Millares 7 3" xfId="138" xr:uid="{5B205DA2-0CAA-48C8-AA16-5F95ED38DCC4}"/>
    <cellStyle name="Millares 7 3 2" xfId="227" xr:uid="{217748B9-EB94-4210-B612-D4916D4318D0}"/>
    <cellStyle name="Millares 7 3 2 2" xfId="413" xr:uid="{EA0CE971-1F1F-4703-98C9-3321D4412FFB}"/>
    <cellStyle name="Millares 7 3 2 2 2" xfId="752" xr:uid="{84E84E6B-8DEC-428B-B87D-ADB5DEBAD9ED}"/>
    <cellStyle name="Millares 7 3 2 2 2 2" xfId="1423" xr:uid="{8DE35237-88F2-4E00-8933-50CA12DDFF89}"/>
    <cellStyle name="Millares 7 3 2 2 3" xfId="1091" xr:uid="{4F006A62-8314-4AF0-95C1-24F7AF71C15E}"/>
    <cellStyle name="Millares 7 3 2 3" xfId="586" xr:uid="{C5B0B5DB-076D-42D1-A39F-D1156DA921D6}"/>
    <cellStyle name="Millares 7 3 2 3 2" xfId="1257" xr:uid="{C5F70F9F-83B6-4BB4-9E9C-D9E983D1F81A}"/>
    <cellStyle name="Millares 7 3 2 4" xfId="925" xr:uid="{8A128235-9736-4B37-B2E0-3DEC03638C41}"/>
    <cellStyle name="Millares 7 3 3" xfId="331" xr:uid="{3EE43F80-3BC7-4A1D-82ED-83E7C378CF46}"/>
    <cellStyle name="Millares 7 3 3 2" xfId="670" xr:uid="{8E9F6F57-30FC-4E39-ACD7-88FC944BEE33}"/>
    <cellStyle name="Millares 7 3 3 2 2" xfId="1341" xr:uid="{008F9753-F86A-476E-A2A3-DA8E17CE0ED8}"/>
    <cellStyle name="Millares 7 3 3 3" xfId="1009" xr:uid="{23B045FC-D45F-4779-A531-A0B35716916E}"/>
    <cellStyle name="Millares 7 3 4" xfId="504" xr:uid="{5EAA72FC-FAA9-4DA0-8EEF-969C959DA908}"/>
    <cellStyle name="Millares 7 3 4 2" xfId="1175" xr:uid="{31693FA9-A877-4C21-A4B4-E59E9403CA89}"/>
    <cellStyle name="Millares 7 3 5" xfId="843" xr:uid="{4E564CD5-697E-4848-8F84-7C47BD9A4943}"/>
    <cellStyle name="Millares 7 4" xfId="187" xr:uid="{61892C42-B95F-4C16-AD75-997336C83FEF}"/>
    <cellStyle name="Millares 7 4 2" xfId="373" xr:uid="{DBE09907-0107-489C-A7FF-7BC927E0DDD6}"/>
    <cellStyle name="Millares 7 4 2 2" xfId="712" xr:uid="{66CD5841-4F7A-45BD-BC78-EF4A8924595D}"/>
    <cellStyle name="Millares 7 4 2 2 2" xfId="1383" xr:uid="{25E9E5AD-4F1F-4327-B740-23F35AC75E12}"/>
    <cellStyle name="Millares 7 4 2 3" xfId="1051" xr:uid="{E19EDFC4-40F4-426D-B795-BB30D79140A3}"/>
    <cellStyle name="Millares 7 4 3" xfId="546" xr:uid="{B2868913-3549-430E-B9B9-6BBD1DA13130}"/>
    <cellStyle name="Millares 7 4 3 2" xfId="1217" xr:uid="{CEACB33F-063B-406C-BA44-38045E3D6405}"/>
    <cellStyle name="Millares 7 4 4" xfId="885" xr:uid="{89A8A884-9101-4D51-8F85-44E8F94B40C3}"/>
    <cellStyle name="Millares 7 5" xfId="291" xr:uid="{73EE1F1D-CF57-4F81-AEB7-9D690356A35F}"/>
    <cellStyle name="Millares 7 5 2" xfId="630" xr:uid="{C6D3E54E-B342-4F3C-A15E-92DE5432A054}"/>
    <cellStyle name="Millares 7 5 2 2" xfId="1301" xr:uid="{69CF3DA1-4F7F-467E-8117-5B217532FB5B}"/>
    <cellStyle name="Millares 7 5 3" xfId="969" xr:uid="{5B2CE82E-C67C-4E42-A004-FF2E29E6C0F1}"/>
    <cellStyle name="Millares 7 6" xfId="464" xr:uid="{B4260C87-F264-4FD2-953C-976395615B93}"/>
    <cellStyle name="Millares 7 6 2" xfId="1135" xr:uid="{3961A202-BAB8-4202-ACB2-1CB400D0E3DE}"/>
    <cellStyle name="Millares 7 7" xfId="803" xr:uid="{A02E7394-FF79-48F0-ABF4-F07C466DBA5C}"/>
    <cellStyle name="Millares 79" xfId="47" xr:uid="{32BAD09A-12CC-490F-B0FB-99DD63A55395}"/>
    <cellStyle name="Millares 79 2" xfId="75" xr:uid="{06165947-DEE5-46F4-A21A-F4AD632C296C}"/>
    <cellStyle name="Millares 79 2 2" xfId="104" xr:uid="{A152553C-6848-4FAD-8FFC-D1256B7AEFF0}"/>
    <cellStyle name="Millares 79 2 2 2" xfId="152" xr:uid="{595F5074-AFF6-492B-9703-67C27A6ADC41}"/>
    <cellStyle name="Millares 79 2 2 2 2" xfId="241" xr:uid="{417BCF21-6D78-4F3D-B4D2-BDE551B1E71C}"/>
    <cellStyle name="Millares 79 2 2 2 2 2" xfId="427" xr:uid="{5BC2CC8D-762C-4BDE-9DCA-716D07AF773A}"/>
    <cellStyle name="Millares 79 2 2 2 2 2 2" xfId="766" xr:uid="{A119E721-11BA-4B71-89CF-7605C90DFCEB}"/>
    <cellStyle name="Millares 79 2 2 2 2 2 2 2" xfId="1437" xr:uid="{2226808D-2FA2-4AE8-A012-FB37B477EFF1}"/>
    <cellStyle name="Millares 79 2 2 2 2 2 3" xfId="1105" xr:uid="{0C649982-2065-4562-A2DB-EE2513CEFF1B}"/>
    <cellStyle name="Millares 79 2 2 2 2 3" xfId="600" xr:uid="{DCD50764-6000-4FD2-98AB-F9E1215ECFC6}"/>
    <cellStyle name="Millares 79 2 2 2 2 3 2" xfId="1271" xr:uid="{AA26775B-461C-495C-9E3B-FD183C5F6A16}"/>
    <cellStyle name="Millares 79 2 2 2 2 4" xfId="939" xr:uid="{9990BF97-C25C-4313-BE2A-D7FAFF3254B9}"/>
    <cellStyle name="Millares 79 2 2 2 3" xfId="345" xr:uid="{F15D6456-B188-4F9B-A788-503FC26014FF}"/>
    <cellStyle name="Millares 79 2 2 2 3 2" xfId="684" xr:uid="{B124443E-673C-4377-8D74-4CDDE89F744F}"/>
    <cellStyle name="Millares 79 2 2 2 3 2 2" xfId="1355" xr:uid="{CEDCE555-00C4-4F6E-BA6D-447E9D0776E3}"/>
    <cellStyle name="Millares 79 2 2 2 3 3" xfId="1023" xr:uid="{D477C144-37E7-4D3E-B40E-7D720C295E22}"/>
    <cellStyle name="Millares 79 2 2 2 4" xfId="518" xr:uid="{363CDBC0-459F-406F-A86D-06F031BF3068}"/>
    <cellStyle name="Millares 79 2 2 2 4 2" xfId="1189" xr:uid="{2F68E40C-5CC9-4281-8AB1-90B3122BD0CD}"/>
    <cellStyle name="Millares 79 2 2 2 5" xfId="857" xr:uid="{8C317760-9E24-4B30-A07F-41C2B47DE9A9}"/>
    <cellStyle name="Millares 79 2 2 3" xfId="201" xr:uid="{45C44608-233F-4E85-8D07-93695675BEC1}"/>
    <cellStyle name="Millares 79 2 2 3 2" xfId="387" xr:uid="{F06B47BC-DC9B-4C0B-95E9-C1C44F7D0245}"/>
    <cellStyle name="Millares 79 2 2 3 2 2" xfId="726" xr:uid="{AE36CE48-DC2A-4364-B565-BB6A0B65ACA2}"/>
    <cellStyle name="Millares 79 2 2 3 2 2 2" xfId="1397" xr:uid="{4597EF0F-667D-4F99-91D1-97B495004066}"/>
    <cellStyle name="Millares 79 2 2 3 2 3" xfId="1065" xr:uid="{9E468E41-82B4-4591-85D2-30C5112D3D8E}"/>
    <cellStyle name="Millares 79 2 2 3 3" xfId="560" xr:uid="{B49BC8A7-5F70-49D0-947D-6B37A5F6F4EB}"/>
    <cellStyle name="Millares 79 2 2 3 3 2" xfId="1231" xr:uid="{FA7AAFA9-CEB7-4491-BE18-867B84E318A3}"/>
    <cellStyle name="Millares 79 2 2 3 4" xfId="899" xr:uid="{23F3DA4B-8F1F-45D4-A452-8AA8BA49B9C6}"/>
    <cellStyle name="Millares 79 2 2 4" xfId="305" xr:uid="{BD61E7AF-85F0-42CD-8264-065D004AA288}"/>
    <cellStyle name="Millares 79 2 2 4 2" xfId="644" xr:uid="{9D9CD78C-1578-44C7-ABE5-8563C848B4EB}"/>
    <cellStyle name="Millares 79 2 2 4 2 2" xfId="1315" xr:uid="{8C8359BA-F315-468E-AEC0-BC083369C766}"/>
    <cellStyle name="Millares 79 2 2 4 3" xfId="983" xr:uid="{5BA15845-AD5B-4021-BF95-1524A35355D9}"/>
    <cellStyle name="Millares 79 2 2 5" xfId="478" xr:uid="{36CFD6DD-291C-4C01-B416-0FF74C5B9E10}"/>
    <cellStyle name="Millares 79 2 2 5 2" xfId="1149" xr:uid="{B6A43489-61E5-4F2B-A85B-491C0D0C2442}"/>
    <cellStyle name="Millares 79 2 2 6" xfId="817" xr:uid="{DE359627-74B1-4F66-95E3-63749D3A94F3}"/>
    <cellStyle name="Millares 79 2 3" xfId="133" xr:uid="{F9B43556-2B10-4173-8EBA-EA05DDCCA04A}"/>
    <cellStyle name="Millares 79 2 3 2" xfId="222" xr:uid="{385D7FE5-51AE-42F7-A3EE-2D315713EFB6}"/>
    <cellStyle name="Millares 79 2 3 2 2" xfId="408" xr:uid="{F9159A33-0196-4C6D-B3BA-3EDCB70BCA04}"/>
    <cellStyle name="Millares 79 2 3 2 2 2" xfId="747" xr:uid="{C149D4AE-B995-44B5-8F02-0A822073E4E9}"/>
    <cellStyle name="Millares 79 2 3 2 2 2 2" xfId="1418" xr:uid="{E23058C5-0485-4B82-B01A-73630A544ED2}"/>
    <cellStyle name="Millares 79 2 3 2 2 3" xfId="1086" xr:uid="{B5243924-6BAB-4035-BA51-2E348021CC41}"/>
    <cellStyle name="Millares 79 2 3 2 3" xfId="581" xr:uid="{E02B3BB2-9BF2-4D65-ABF0-611741083646}"/>
    <cellStyle name="Millares 79 2 3 2 3 2" xfId="1252" xr:uid="{86CCDE09-C870-4861-82B1-3D9770BFC9EF}"/>
    <cellStyle name="Millares 79 2 3 2 4" xfId="920" xr:uid="{DD60C7E7-7B0A-4D3D-8951-529E4381144A}"/>
    <cellStyle name="Millares 79 2 3 3" xfId="326" xr:uid="{437A24EA-A4A8-473B-A6B7-4034EC7CFD28}"/>
    <cellStyle name="Millares 79 2 3 3 2" xfId="665" xr:uid="{3110E523-2FF8-488A-A4DC-F51201B8C514}"/>
    <cellStyle name="Millares 79 2 3 3 2 2" xfId="1336" xr:uid="{EA7F7F25-C314-43B0-85F6-15B6E8198A1E}"/>
    <cellStyle name="Millares 79 2 3 3 3" xfId="1004" xr:uid="{95BE646C-2F85-4A5E-945E-1A22ED00375F}"/>
    <cellStyle name="Millares 79 2 3 4" xfId="499" xr:uid="{0C86C91E-F663-4BC7-9194-F1543947F672}"/>
    <cellStyle name="Millares 79 2 3 4 2" xfId="1170" xr:uid="{F0A4612B-7C6E-4345-8D7A-45B452099877}"/>
    <cellStyle name="Millares 79 2 3 5" xfId="838" xr:uid="{F4E6B975-4511-46D2-B4FF-0962B131D067}"/>
    <cellStyle name="Millares 79 2 4" xfId="182" xr:uid="{C82CB4E8-BBC2-4789-8848-8590E4100286}"/>
    <cellStyle name="Millares 79 2 4 2" xfId="368" xr:uid="{B63AF76A-BA0D-4405-8D8F-DBE81CCED306}"/>
    <cellStyle name="Millares 79 2 4 2 2" xfId="707" xr:uid="{D97FA820-5ADD-407F-9878-15016C14E550}"/>
    <cellStyle name="Millares 79 2 4 2 2 2" xfId="1378" xr:uid="{64B52529-28BA-47D2-9508-30117733809F}"/>
    <cellStyle name="Millares 79 2 4 2 3" xfId="1046" xr:uid="{EC77AC43-5E72-4152-AE73-161D1D8339B7}"/>
    <cellStyle name="Millares 79 2 4 3" xfId="541" xr:uid="{D8698EC7-DECD-4EFF-AA26-CDF423FE08A7}"/>
    <cellStyle name="Millares 79 2 4 3 2" xfId="1212" xr:uid="{F5CDE1FF-4F6D-4B8C-B265-42DB48859556}"/>
    <cellStyle name="Millares 79 2 4 4" xfId="880" xr:uid="{03F3F9D8-9574-47D4-B5CC-F179469391FA}"/>
    <cellStyle name="Millares 79 2 5" xfId="286" xr:uid="{0E2B02D3-9F5D-4143-AD70-B89F62D5BFA0}"/>
    <cellStyle name="Millares 79 2 5 2" xfId="625" xr:uid="{C4001AB7-38B6-414E-892E-CA65BCF8E8E3}"/>
    <cellStyle name="Millares 79 2 5 2 2" xfId="1296" xr:uid="{30FADA36-CE3E-4DE7-943E-B03C32416223}"/>
    <cellStyle name="Millares 79 2 5 3" xfId="964" xr:uid="{339BDA32-D9B8-4E56-963C-0E2F2C6C1260}"/>
    <cellStyle name="Millares 79 2 6" xfId="459" xr:uid="{7A1A4F50-739C-43A8-9ED9-D7CFC08A104F}"/>
    <cellStyle name="Millares 79 2 6 2" xfId="1130" xr:uid="{D3F0CE34-8CAA-4419-A508-F80F430796E4}"/>
    <cellStyle name="Millares 79 2 7" xfId="798" xr:uid="{8A069EA3-A18C-4976-8357-FB3B416A2675}"/>
    <cellStyle name="Millares 79 3" xfId="93" xr:uid="{E3F34C06-D212-4E0D-918A-5A1FE69506AF}"/>
    <cellStyle name="Millares 79 3 2" xfId="143" xr:uid="{660A5A5F-343A-478C-AE13-DEF50B86E5A9}"/>
    <cellStyle name="Millares 79 3 2 2" xfId="232" xr:uid="{922817DA-FC64-440B-93E7-230C1F0BCD1C}"/>
    <cellStyle name="Millares 79 3 2 2 2" xfId="418" xr:uid="{0090FA65-5F76-40A6-B5B0-E867E9CB57A1}"/>
    <cellStyle name="Millares 79 3 2 2 2 2" xfId="757" xr:uid="{E9DC2710-27DF-4FF9-8EC0-4327DE412BD0}"/>
    <cellStyle name="Millares 79 3 2 2 2 2 2" xfId="1428" xr:uid="{49A14A4E-5D95-4B56-961E-227D49AF47DE}"/>
    <cellStyle name="Millares 79 3 2 2 2 3" xfId="1096" xr:uid="{1FC72791-5056-463F-AD0A-E6B8BD329BEF}"/>
    <cellStyle name="Millares 79 3 2 2 3" xfId="591" xr:uid="{289F0B00-7DD4-4611-B006-B2607895215D}"/>
    <cellStyle name="Millares 79 3 2 2 3 2" xfId="1262" xr:uid="{B34D2838-BA7C-43C2-B076-C179C9C9EA42}"/>
    <cellStyle name="Millares 79 3 2 2 4" xfId="930" xr:uid="{4FC3E97D-64B5-452F-9639-797EEC63A431}"/>
    <cellStyle name="Millares 79 3 2 3" xfId="336" xr:uid="{E50FB3CF-03B3-4239-9738-24544F44BF63}"/>
    <cellStyle name="Millares 79 3 2 3 2" xfId="675" xr:uid="{6AF9F467-0DA2-4C0E-BDEC-66DEED34ECCD}"/>
    <cellStyle name="Millares 79 3 2 3 2 2" xfId="1346" xr:uid="{DAF0C4C8-986B-440E-AEA5-54D96A08DC17}"/>
    <cellStyle name="Millares 79 3 2 3 3" xfId="1014" xr:uid="{A37287DF-D994-4FD5-BF60-7A4BD014A625}"/>
    <cellStyle name="Millares 79 3 2 4" xfId="509" xr:uid="{3B11DD89-0A33-4504-B361-49A4864F6FC1}"/>
    <cellStyle name="Millares 79 3 2 4 2" xfId="1180" xr:uid="{CE0B747F-0CFA-49D6-8FDF-5E89B6473406}"/>
    <cellStyle name="Millares 79 3 2 5" xfId="848" xr:uid="{76E1AFCD-70C5-4E2E-B373-8DCEDC9BE5BC}"/>
    <cellStyle name="Millares 79 3 3" xfId="192" xr:uid="{A1246C0F-9396-4939-BF0A-4792B1892D38}"/>
    <cellStyle name="Millares 79 3 3 2" xfId="378" xr:uid="{CEA1FCAC-DCFC-45C7-8457-475D4FEF1CC6}"/>
    <cellStyle name="Millares 79 3 3 2 2" xfId="717" xr:uid="{8A4196F5-4A95-49B3-B1D7-77B29A499C1D}"/>
    <cellStyle name="Millares 79 3 3 2 2 2" xfId="1388" xr:uid="{8E23FD20-4065-4217-9BAE-87358334DBFD}"/>
    <cellStyle name="Millares 79 3 3 2 3" xfId="1056" xr:uid="{EFEFE366-903B-4E62-8E1E-7A268BB81613}"/>
    <cellStyle name="Millares 79 3 3 3" xfId="551" xr:uid="{792FF023-B182-4D2F-A72D-F90B2A033173}"/>
    <cellStyle name="Millares 79 3 3 3 2" xfId="1222" xr:uid="{3FCBBE76-D235-4B62-8E56-822386A7AD63}"/>
    <cellStyle name="Millares 79 3 3 4" xfId="890" xr:uid="{6834F6FE-AE42-4E20-A9C5-BC7009B1C27A}"/>
    <cellStyle name="Millares 79 3 4" xfId="296" xr:uid="{DCF01237-AE02-402A-89EE-F2964146AF59}"/>
    <cellStyle name="Millares 79 3 4 2" xfId="635" xr:uid="{688524FC-33AE-410C-86FF-E64D2A36A9AB}"/>
    <cellStyle name="Millares 79 3 4 2 2" xfId="1306" xr:uid="{F2E15518-5B9B-40F0-BED5-DE9C40F8D38B}"/>
    <cellStyle name="Millares 79 3 4 3" xfId="974" xr:uid="{5851345B-87EE-43A2-BB89-937EC488B07D}"/>
    <cellStyle name="Millares 79 3 5" xfId="469" xr:uid="{0243ACF7-8CB3-4BD2-AD53-2F2EC1052942}"/>
    <cellStyle name="Millares 79 3 5 2" xfId="1140" xr:uid="{D6685BF9-8271-4B7F-971D-0E4143442C6F}"/>
    <cellStyle name="Millares 79 3 6" xfId="808" xr:uid="{DF39BBA9-EC3B-40C4-B291-C36CDB6F05DA}"/>
    <cellStyle name="Millares 79 4" xfId="122" xr:uid="{0B7C27A1-0A6F-46A5-BF79-D9D2486DC909}"/>
    <cellStyle name="Millares 79 4 2" xfId="213" xr:uid="{619D94AC-BDCF-4D54-9BAD-E7910727EC23}"/>
    <cellStyle name="Millares 79 4 2 2" xfId="399" xr:uid="{6C3CEADB-3A47-471C-8F6D-71A140FAD8BA}"/>
    <cellStyle name="Millares 79 4 2 2 2" xfId="738" xr:uid="{ADC0E6A4-95D5-45D0-9DB1-83485516AF46}"/>
    <cellStyle name="Millares 79 4 2 2 2 2" xfId="1409" xr:uid="{72E6D4E3-EA72-47F2-A4C7-60BB739C8444}"/>
    <cellStyle name="Millares 79 4 2 2 3" xfId="1077" xr:uid="{C35EDB0F-7C78-4689-ADD8-365493B52417}"/>
    <cellStyle name="Millares 79 4 2 3" xfId="572" xr:uid="{C59AE0DE-DE6E-472B-BC21-990182A6C215}"/>
    <cellStyle name="Millares 79 4 2 3 2" xfId="1243" xr:uid="{9025DC6D-FD01-4F67-A4A4-631AA067BD84}"/>
    <cellStyle name="Millares 79 4 2 4" xfId="911" xr:uid="{35E3FF94-1C83-48F1-981E-BFC685C6F82C}"/>
    <cellStyle name="Millares 79 4 3" xfId="317" xr:uid="{E1250189-9138-43BE-9423-CC2B6497F95A}"/>
    <cellStyle name="Millares 79 4 3 2" xfId="656" xr:uid="{3E2F8034-F9F6-4BC5-9488-353276E56A5B}"/>
    <cellStyle name="Millares 79 4 3 2 2" xfId="1327" xr:uid="{72546F34-E361-4DA3-9427-CBFC480C435B}"/>
    <cellStyle name="Millares 79 4 3 3" xfId="995" xr:uid="{7568D968-A1CC-415B-AC5D-5A09786585D3}"/>
    <cellStyle name="Millares 79 4 4" xfId="490" xr:uid="{9E082448-F221-4463-AD3D-9A1E8B8B8298}"/>
    <cellStyle name="Millares 79 4 4 2" xfId="1161" xr:uid="{FE5E3952-B32B-4E0F-A457-259EBEE721FC}"/>
    <cellStyle name="Millares 79 4 5" xfId="829" xr:uid="{8FB839AE-4D3F-44CC-8040-EBF16D4DFCCC}"/>
    <cellStyle name="Millares 79 5" xfId="172" xr:uid="{BEB7BD73-10E2-46DC-B83F-CC16B6A74A75}"/>
    <cellStyle name="Millares 79 5 2" xfId="359" xr:uid="{A25480CF-9407-4CD1-8935-E39F020DDE2B}"/>
    <cellStyle name="Millares 79 5 2 2" xfId="698" xr:uid="{E568FFD9-675E-4988-A9B1-53D5D08EC030}"/>
    <cellStyle name="Millares 79 5 2 2 2" xfId="1369" xr:uid="{09BC79F5-6E5C-4B62-987A-AA56C77B73A5}"/>
    <cellStyle name="Millares 79 5 2 3" xfId="1037" xr:uid="{F51CF61B-A304-4319-A608-A15764B3C043}"/>
    <cellStyle name="Millares 79 5 3" xfId="532" xr:uid="{48CCABE8-0D22-441E-B881-B9126C282EAE}"/>
    <cellStyle name="Millares 79 5 3 2" xfId="1203" xr:uid="{94E27468-4CE3-4850-B5DB-C582CD92C947}"/>
    <cellStyle name="Millares 79 5 4" xfId="871" xr:uid="{A3CC4156-C787-4A24-B0CD-3DFD4AAA93F5}"/>
    <cellStyle name="Millares 79 6" xfId="260" xr:uid="{214C0FE0-E311-4D92-8A40-701339367145}"/>
    <cellStyle name="Millares 79 7" xfId="276" xr:uid="{6D0408BC-0658-493C-858C-F4A1DD4902DC}"/>
    <cellStyle name="Millares 79 7 2" xfId="616" xr:uid="{306A7B16-6E9E-4CEA-BAA3-7D0CDADCB99A}"/>
    <cellStyle name="Millares 79 7 2 2" xfId="1287" xr:uid="{AC272DDE-4024-4529-954F-936888F15FE0}"/>
    <cellStyle name="Millares 79 7 3" xfId="955" xr:uid="{9D50BC3C-DA98-4A7A-8525-0EA89B49AF3C}"/>
    <cellStyle name="Millares 79 8" xfId="449" xr:uid="{47E0AC05-174B-43D5-83C1-67B08215CA80}"/>
    <cellStyle name="Millares 79 8 2" xfId="1121" xr:uid="{CE0BB992-6371-4F32-996C-60190FFA71E4}"/>
    <cellStyle name="Millares 79 9" xfId="788" xr:uid="{5A745AF5-CA7C-43B6-942B-CEE47790AB7E}"/>
    <cellStyle name="Millares 8" xfId="89" xr:uid="{89174677-1A6A-4695-85C1-AD21381D8923}"/>
    <cellStyle name="Millares 8 2" xfId="139" xr:uid="{2A58F18F-FE4D-46E8-AC00-2CD2D04E5F54}"/>
    <cellStyle name="Millares 8 2 2" xfId="228" xr:uid="{96C29A17-14FC-4C05-BA2A-B9FD84FDC6F0}"/>
    <cellStyle name="Millares 8 2 2 2" xfId="414" xr:uid="{AAD37CB9-5D96-45DC-B673-3443BEACA85C}"/>
    <cellStyle name="Millares 8 2 2 2 2" xfId="753" xr:uid="{FDA639C5-6630-4DF4-90B3-0D596BFF95C4}"/>
    <cellStyle name="Millares 8 2 2 2 2 2" xfId="1424" xr:uid="{5C4F4757-928E-4F91-929E-EBBCD810ABAF}"/>
    <cellStyle name="Millares 8 2 2 2 3" xfId="1092" xr:uid="{3027F965-7BC3-4DA8-968C-78651DE9478E}"/>
    <cellStyle name="Millares 8 2 2 3" xfId="587" xr:uid="{F004FD1F-B983-4807-B025-EADAFB7AA3BD}"/>
    <cellStyle name="Millares 8 2 2 3 2" xfId="1258" xr:uid="{178CB319-8BC3-49AF-BB86-CE72F70EAD74}"/>
    <cellStyle name="Millares 8 2 2 4" xfId="926" xr:uid="{F38351FE-2168-4D2D-AB7A-617CAFCD8FA9}"/>
    <cellStyle name="Millares 8 2 3" xfId="332" xr:uid="{C90D2058-9C68-48FA-AA8C-940491782EC1}"/>
    <cellStyle name="Millares 8 2 3 2" xfId="671" xr:uid="{72BBF434-01C5-45DF-8D4D-24C7F0055E3A}"/>
    <cellStyle name="Millares 8 2 3 2 2" xfId="1342" xr:uid="{62AFA7A3-0AF7-4795-BA79-FD0EB1686827}"/>
    <cellStyle name="Millares 8 2 3 3" xfId="1010" xr:uid="{998C6ED3-B7BC-4EF2-B714-C3FE67DE68B8}"/>
    <cellStyle name="Millares 8 2 4" xfId="505" xr:uid="{4712D531-443D-44B4-8C56-0D7A07A179CA}"/>
    <cellStyle name="Millares 8 2 4 2" xfId="1176" xr:uid="{0A9EFDFC-9DA6-47FE-89FF-66A3711F2B87}"/>
    <cellStyle name="Millares 8 2 5" xfId="844" xr:uid="{7233BE1D-0BA9-417A-A04D-CFE63B1A8AAA}"/>
    <cellStyle name="Millares 8 3" xfId="188" xr:uid="{578B8C9F-E62E-4F1E-BD6E-223A8A1B2C49}"/>
    <cellStyle name="Millares 8 3 2" xfId="374" xr:uid="{FFF4AC15-9F86-454D-94BA-8897E8FFEB10}"/>
    <cellStyle name="Millares 8 3 2 2" xfId="713" xr:uid="{08C491CB-CE5A-4000-8D85-F2180E76D6B2}"/>
    <cellStyle name="Millares 8 3 2 2 2" xfId="1384" xr:uid="{2D8AFC1D-5C31-438A-8D01-94D3939E0D1A}"/>
    <cellStyle name="Millares 8 3 2 3" xfId="1052" xr:uid="{B219A0B4-3753-4B16-A75D-C1D7264E7442}"/>
    <cellStyle name="Millares 8 3 3" xfId="547" xr:uid="{7876AB0D-3806-4DB1-BBA5-87FE5417D35F}"/>
    <cellStyle name="Millares 8 3 3 2" xfId="1218" xr:uid="{CF617507-3A3D-446A-B3A4-09A70034689E}"/>
    <cellStyle name="Millares 8 3 4" xfId="886" xr:uid="{A7E587F1-CF46-40DA-9C2F-4B4AA31A33B8}"/>
    <cellStyle name="Millares 8 4" xfId="292" xr:uid="{14513CA5-9E70-4665-A060-767CA320DD4A}"/>
    <cellStyle name="Millares 8 4 2" xfId="631" xr:uid="{DC7C39E2-ABD4-416C-B83E-97C0B386A101}"/>
    <cellStyle name="Millares 8 4 2 2" xfId="1302" xr:uid="{0BF6388F-DFC0-4D5A-9B76-9A4BE31A8250}"/>
    <cellStyle name="Millares 8 4 3" xfId="970" xr:uid="{C0C70E92-F1EA-4D0C-9C9B-97AF98A87703}"/>
    <cellStyle name="Millares 8 5" xfId="465" xr:uid="{2CF31366-4533-4D0D-B1A6-5D4CE67DCD36}"/>
    <cellStyle name="Millares 8 5 2" xfId="1136" xr:uid="{3910904C-3C11-42EA-B4CC-6A38650D940B}"/>
    <cellStyle name="Millares 8 6" xfId="804" xr:uid="{6EEC1CF7-768C-48EF-9A16-0603D3D66BF3}"/>
    <cellStyle name="Millares 9" xfId="110" xr:uid="{938A28EB-AC00-44D4-AE34-6A78A743AB8D}"/>
    <cellStyle name="Millares 9 2" xfId="158" xr:uid="{FFE65D7B-F734-4221-839E-FE174374D307}"/>
    <cellStyle name="Millares 9 2 2" xfId="247" xr:uid="{947F31AE-A31A-459B-8D30-D18D2D7DDBDE}"/>
    <cellStyle name="Millares 9 2 2 2" xfId="433" xr:uid="{E501FB0F-27C3-4726-B9E8-8E1863F51A4A}"/>
    <cellStyle name="Millares 9 2 2 2 2" xfId="772" xr:uid="{D88D620A-E2CE-4BE5-A487-2D42616CEEF6}"/>
    <cellStyle name="Millares 9 2 2 2 2 2" xfId="1443" xr:uid="{2FB25272-A883-4DA7-A669-D090A5CA14D6}"/>
    <cellStyle name="Millares 9 2 2 2 3" xfId="1111" xr:uid="{4B44898E-4543-432A-AF3C-4091941CC3BD}"/>
    <cellStyle name="Millares 9 2 2 3" xfId="606" xr:uid="{A938235C-5AD5-4572-B8ED-4F4CE96C5636}"/>
    <cellStyle name="Millares 9 2 2 3 2" xfId="1277" xr:uid="{D3E7C1F5-227D-477C-A01F-7E0BD5EAB69B}"/>
    <cellStyle name="Millares 9 2 2 4" xfId="945" xr:uid="{7A403269-D0F0-47C0-9608-649AD3360EEE}"/>
    <cellStyle name="Millares 9 2 3" xfId="351" xr:uid="{6C93E7AB-2C06-4BF2-BB2A-94D90CA5EAEF}"/>
    <cellStyle name="Millares 9 2 3 2" xfId="690" xr:uid="{3FFBDA4E-CA52-43D7-8742-7BC869C1F585}"/>
    <cellStyle name="Millares 9 2 3 2 2" xfId="1361" xr:uid="{AA0AB23D-F695-414A-9C20-CDEBB7552542}"/>
    <cellStyle name="Millares 9 2 3 3" xfId="1029" xr:uid="{2D7B3BFF-B7C5-40FA-9FCE-B24E48FEF8BF}"/>
    <cellStyle name="Millares 9 2 4" xfId="524" xr:uid="{7BA100B7-EF77-4632-9C3B-5AEDEE30DF2F}"/>
    <cellStyle name="Millares 9 2 4 2" xfId="1195" xr:uid="{8BCF2B9D-C766-44CC-BADD-068A516315CF}"/>
    <cellStyle name="Millares 9 2 5" xfId="863" xr:uid="{830D725F-A54C-498E-8425-9A8A5D83D131}"/>
    <cellStyle name="Millares 9 3" xfId="207" xr:uid="{27360D2F-0FF8-40F7-807E-B8D077FC4C87}"/>
    <cellStyle name="Millares 9 3 2" xfId="393" xr:uid="{74A6CF63-2872-494D-B293-FF9F3684B4E2}"/>
    <cellStyle name="Millares 9 3 2 2" xfId="732" xr:uid="{C486F4F0-02DA-48E8-8C00-7E9B2906BE85}"/>
    <cellStyle name="Millares 9 3 2 2 2" xfId="1403" xr:uid="{49F30F5F-0B32-4BEE-8114-E04B55769E38}"/>
    <cellStyle name="Millares 9 3 2 3" xfId="1071" xr:uid="{8D6E364C-0F86-41CE-A3E6-3C11F2CB2FB2}"/>
    <cellStyle name="Millares 9 3 3" xfId="566" xr:uid="{AA57155C-0447-4BBE-A1CF-658EC1AE6879}"/>
    <cellStyle name="Millares 9 3 3 2" xfId="1237" xr:uid="{4B189144-7A54-4E8C-AF5D-E9AD3A43F0F0}"/>
    <cellStyle name="Millares 9 3 4" xfId="905" xr:uid="{C3996FC4-06C8-4C12-AA72-804820857681}"/>
    <cellStyle name="Millares 9 4" xfId="311" xr:uid="{FFC188CF-EA35-4D96-AAEC-C9BC4D772229}"/>
    <cellStyle name="Millares 9 4 2" xfId="650" xr:uid="{CD1E7E52-C113-4282-A0DF-358EC7617A09}"/>
    <cellStyle name="Millares 9 4 2 2" xfId="1321" xr:uid="{40F30779-7992-4226-AA0F-D50FA58A7A4C}"/>
    <cellStyle name="Millares 9 4 3" xfId="989" xr:uid="{0D33FC56-6FC5-4A92-AADE-A3020481289E}"/>
    <cellStyle name="Millares 9 5" xfId="484" xr:uid="{E2AF0391-0C30-4DB5-8F46-77CEF2BA0A60}"/>
    <cellStyle name="Millares 9 5 2" xfId="1155" xr:uid="{7D5020BA-B0B6-45CD-809B-FC1A4D7068D2}"/>
    <cellStyle name="Millares 9 6" xfId="823" xr:uid="{258F9BA5-55E4-4C6E-AE2D-A0EB410C45F2}"/>
    <cellStyle name="Neutral 10" xfId="48" xr:uid="{3DF017EC-7715-4104-93A0-8C95E6F91CB8}"/>
    <cellStyle name="Neutral 2" xfId="76" xr:uid="{A87269CF-7EEA-4BBE-B3C0-76A04AB02B0A}"/>
    <cellStyle name="Neutral 3" xfId="94" xr:uid="{8F77D780-DA2F-482B-91D4-A73DEEF2CD08}"/>
    <cellStyle name="Neutral 4" xfId="123" xr:uid="{07D762D7-F8C6-42F8-943C-93661B195A47}"/>
    <cellStyle name="Neutral 5" xfId="173" xr:uid="{3F86F58B-A203-4BF1-944D-D66E44CD0CC7}"/>
    <cellStyle name="Neutral 6" xfId="261" xr:uid="{4EF60D03-25EC-47B0-992F-8029DF221D4E}"/>
    <cellStyle name="Neutral 7" xfId="277" xr:uid="{D13F5E31-C2F1-456E-92B3-9E72AC8738BB}"/>
    <cellStyle name="Neutral 8" xfId="450" xr:uid="{34E48EB3-62F4-4952-9E94-8F9E846B18E7}"/>
    <cellStyle name="Neutral 9" xfId="789" xr:uid="{46BB6B7E-CAA8-468D-8217-A539E36AFDCC}"/>
    <cellStyle name="Normal" xfId="0" builtinId="0"/>
    <cellStyle name="Normal 15" xfId="49" xr:uid="{5F648742-798D-44E4-8767-642A9A83F413}"/>
    <cellStyle name="Normal 2" xfId="50" xr:uid="{C7E6855F-578E-47D7-9627-A6B169720A64}"/>
    <cellStyle name="Normal 2 10" xfId="51" xr:uid="{42A9040D-4101-4611-870D-8C08A4CCFC8A}"/>
    <cellStyle name="Normal 3" xfId="52" xr:uid="{D563183B-86E8-46A9-BF6B-3223EA69202A}"/>
    <cellStyle name="Normal 3 57" xfId="62" xr:uid="{CAD8F9BE-B992-49E1-94A3-30BA36EBBDC4}"/>
    <cellStyle name="Normal 4" xfId="53" xr:uid="{16708A47-39FC-41FC-B7D2-242862D2F1F1}"/>
    <cellStyle name="Normal 4 10" xfId="54" xr:uid="{40FBB00F-FF3C-41DE-96F7-5739C3DAAE2E}"/>
    <cellStyle name="Normal 5" xfId="55" xr:uid="{EF21DB98-3E15-441B-9942-FE93ABDD668B}"/>
    <cellStyle name="Normal_Expotrade 122004-1" xfId="56" xr:uid="{044B4483-073A-4B2C-9BF8-0F391F96B471}"/>
    <cellStyle name="Notas" xfId="14" builtinId="10" customBuiltin="1"/>
    <cellStyle name="Porcentaje 2" xfId="79" xr:uid="{5DFAD96C-5D14-42FA-8205-C937F297CEB0}"/>
    <cellStyle name="Porcentaje 3" xfId="97" xr:uid="{B986FB3E-A9CB-42D1-BDD8-2D6C3D7F6F7E}"/>
    <cellStyle name="Porcentaje 4" xfId="126" xr:uid="{2FCFD9C7-279F-441D-97A5-14528C577DD9}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FD4F-227F-45C8-875B-1ED5F69DFF7C}">
  <dimension ref="A3:L25"/>
  <sheetViews>
    <sheetView tabSelected="1" workbookViewId="0">
      <selection activeCell="K22" sqref="K22"/>
    </sheetView>
  </sheetViews>
  <sheetFormatPr baseColWidth="10" defaultRowHeight="14"/>
  <cols>
    <col min="6" max="6" width="27" bestFit="1" customWidth="1"/>
  </cols>
  <sheetData>
    <row r="3" spans="1:1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5" spans="1:10">
      <c r="A5">
        <v>1</v>
      </c>
      <c r="B5" t="s">
        <v>10</v>
      </c>
      <c r="C5">
        <v>1</v>
      </c>
      <c r="E5">
        <v>0</v>
      </c>
      <c r="F5" t="s">
        <v>11</v>
      </c>
      <c r="G5">
        <v>0</v>
      </c>
      <c r="H5" s="2">
        <v>4330563</v>
      </c>
      <c r="I5">
        <v>0</v>
      </c>
      <c r="J5" s="2">
        <f>+H5</f>
        <v>4330563</v>
      </c>
    </row>
    <row r="6" spans="1:10">
      <c r="A6">
        <v>31</v>
      </c>
      <c r="B6" t="s">
        <v>19</v>
      </c>
      <c r="C6">
        <v>3</v>
      </c>
      <c r="D6" t="s">
        <v>13</v>
      </c>
      <c r="E6">
        <v>0</v>
      </c>
      <c r="F6" t="s">
        <v>20</v>
      </c>
      <c r="G6">
        <v>20260131</v>
      </c>
      <c r="H6">
        <v>0</v>
      </c>
      <c r="I6" s="2">
        <v>3230206</v>
      </c>
      <c r="J6" s="2">
        <f>J5+H6-I6</f>
        <v>1100357</v>
      </c>
    </row>
    <row r="7" spans="1:10">
      <c r="A7">
        <v>31</v>
      </c>
      <c r="B7" t="s">
        <v>21</v>
      </c>
      <c r="C7">
        <v>818</v>
      </c>
      <c r="D7" t="s">
        <v>13</v>
      </c>
      <c r="E7">
        <v>0</v>
      </c>
      <c r="F7" t="s">
        <v>27</v>
      </c>
      <c r="G7">
        <v>16650</v>
      </c>
      <c r="H7">
        <v>0</v>
      </c>
      <c r="I7" s="2">
        <v>1100257</v>
      </c>
      <c r="J7" s="2">
        <f t="shared" ref="J7:J22" si="0">J6+H7-I7</f>
        <v>100</v>
      </c>
    </row>
    <row r="8" spans="1:10">
      <c r="A8">
        <v>9</v>
      </c>
      <c r="B8" t="s">
        <v>12</v>
      </c>
      <c r="C8">
        <v>54</v>
      </c>
      <c r="D8" t="s">
        <v>13</v>
      </c>
      <c r="E8">
        <v>0</v>
      </c>
      <c r="F8" t="s">
        <v>14</v>
      </c>
      <c r="G8">
        <v>85466</v>
      </c>
      <c r="H8" s="2">
        <v>8683566</v>
      </c>
      <c r="I8">
        <v>0</v>
      </c>
      <c r="J8" s="2">
        <f>+H8</f>
        <v>8683566</v>
      </c>
    </row>
    <row r="9" spans="1:10">
      <c r="A9">
        <v>31</v>
      </c>
      <c r="B9" t="s">
        <v>21</v>
      </c>
      <c r="C9">
        <v>770</v>
      </c>
      <c r="D9" t="s">
        <v>13</v>
      </c>
      <c r="E9">
        <v>0</v>
      </c>
      <c r="F9" t="s">
        <v>14</v>
      </c>
      <c r="G9">
        <v>85466</v>
      </c>
      <c r="H9">
        <v>0</v>
      </c>
      <c r="I9" s="2">
        <v>8683566</v>
      </c>
      <c r="J9" s="2">
        <f t="shared" si="0"/>
        <v>0</v>
      </c>
    </row>
    <row r="10" spans="1:10">
      <c r="A10">
        <v>31</v>
      </c>
      <c r="B10" t="s">
        <v>21</v>
      </c>
      <c r="C10">
        <v>770</v>
      </c>
      <c r="D10" t="s">
        <v>13</v>
      </c>
      <c r="E10">
        <v>0</v>
      </c>
      <c r="F10" t="s">
        <v>14</v>
      </c>
      <c r="G10">
        <v>85466</v>
      </c>
      <c r="H10">
        <v>0</v>
      </c>
      <c r="I10" s="2">
        <v>694068</v>
      </c>
      <c r="J10" s="5">
        <f t="shared" si="0"/>
        <v>-694068</v>
      </c>
    </row>
    <row r="11" spans="1:10">
      <c r="A11">
        <v>16</v>
      </c>
      <c r="B11" t="s">
        <v>12</v>
      </c>
      <c r="C11">
        <v>146</v>
      </c>
      <c r="D11" t="s">
        <v>13</v>
      </c>
      <c r="E11">
        <v>0</v>
      </c>
      <c r="F11" t="s">
        <v>16</v>
      </c>
      <c r="G11">
        <v>85542</v>
      </c>
      <c r="H11" s="2">
        <v>27665397</v>
      </c>
      <c r="I11">
        <v>0</v>
      </c>
      <c r="J11" s="2">
        <f>+H11</f>
        <v>27665397</v>
      </c>
    </row>
    <row r="12" spans="1:10">
      <c r="A12">
        <v>31</v>
      </c>
      <c r="B12" t="s">
        <v>21</v>
      </c>
      <c r="C12">
        <v>772</v>
      </c>
      <c r="D12" t="s">
        <v>13</v>
      </c>
      <c r="E12">
        <v>0</v>
      </c>
      <c r="F12" t="s">
        <v>24</v>
      </c>
      <c r="G12">
        <v>85542</v>
      </c>
      <c r="H12">
        <v>0</v>
      </c>
      <c r="I12" s="2">
        <v>3565952</v>
      </c>
      <c r="J12" s="2">
        <f t="shared" si="0"/>
        <v>24099445</v>
      </c>
    </row>
    <row r="13" spans="1:10">
      <c r="A13">
        <v>31</v>
      </c>
      <c r="B13" t="s">
        <v>21</v>
      </c>
      <c r="C13">
        <v>773</v>
      </c>
      <c r="D13" t="s">
        <v>13</v>
      </c>
      <c r="E13">
        <v>0</v>
      </c>
      <c r="F13" t="s">
        <v>16</v>
      </c>
      <c r="G13">
        <v>85542</v>
      </c>
      <c r="H13">
        <v>0</v>
      </c>
      <c r="I13" s="2">
        <v>24099445</v>
      </c>
      <c r="J13" s="2">
        <f t="shared" si="0"/>
        <v>0</v>
      </c>
    </row>
    <row r="14" spans="1:10">
      <c r="A14">
        <v>31</v>
      </c>
      <c r="B14" t="s">
        <v>21</v>
      </c>
      <c r="C14">
        <v>773</v>
      </c>
      <c r="D14" t="s">
        <v>13</v>
      </c>
      <c r="E14">
        <v>0</v>
      </c>
      <c r="F14" t="s">
        <v>25</v>
      </c>
      <c r="G14">
        <v>85542</v>
      </c>
      <c r="H14" s="2">
        <v>417259</v>
      </c>
      <c r="I14">
        <v>0</v>
      </c>
      <c r="J14" s="5">
        <f t="shared" si="0"/>
        <v>417259</v>
      </c>
    </row>
    <row r="15" spans="1:10">
      <c r="A15">
        <v>31</v>
      </c>
      <c r="B15" t="s">
        <v>21</v>
      </c>
      <c r="C15">
        <v>751</v>
      </c>
      <c r="D15" t="s">
        <v>13</v>
      </c>
      <c r="E15">
        <v>0</v>
      </c>
      <c r="F15" t="s">
        <v>22</v>
      </c>
      <c r="G15">
        <v>85560</v>
      </c>
      <c r="H15">
        <v>0</v>
      </c>
      <c r="I15" s="2">
        <v>368136</v>
      </c>
      <c r="J15" s="4">
        <f>-I15</f>
        <v>-368136</v>
      </c>
    </row>
    <row r="16" spans="1:10">
      <c r="A16">
        <v>21</v>
      </c>
      <c r="B16" t="s">
        <v>12</v>
      </c>
      <c r="C16">
        <v>42</v>
      </c>
      <c r="D16" t="s">
        <v>13</v>
      </c>
      <c r="E16">
        <v>0</v>
      </c>
      <c r="F16" t="s">
        <v>17</v>
      </c>
      <c r="G16">
        <v>85560</v>
      </c>
      <c r="H16" s="2">
        <v>18231074</v>
      </c>
      <c r="I16">
        <v>0</v>
      </c>
      <c r="J16" s="2">
        <f>+H16</f>
        <v>18231074</v>
      </c>
    </row>
    <row r="17" spans="1:12">
      <c r="A17">
        <v>31</v>
      </c>
      <c r="B17" t="s">
        <v>21</v>
      </c>
      <c r="C17">
        <v>787</v>
      </c>
      <c r="D17" t="s">
        <v>13</v>
      </c>
      <c r="E17">
        <v>0</v>
      </c>
      <c r="F17" t="s">
        <v>17</v>
      </c>
      <c r="G17">
        <v>85560</v>
      </c>
      <c r="H17">
        <v>0</v>
      </c>
      <c r="I17" s="2">
        <v>17862938</v>
      </c>
      <c r="J17" s="2">
        <f>J16+H17-I17</f>
        <v>368136</v>
      </c>
    </row>
    <row r="18" spans="1:12">
      <c r="A18">
        <v>31</v>
      </c>
      <c r="B18" t="s">
        <v>21</v>
      </c>
      <c r="C18">
        <v>787</v>
      </c>
      <c r="D18" t="s">
        <v>13</v>
      </c>
      <c r="E18">
        <v>0</v>
      </c>
      <c r="F18" t="s">
        <v>26</v>
      </c>
      <c r="G18">
        <v>85560</v>
      </c>
      <c r="H18">
        <v>0</v>
      </c>
      <c r="I18" s="2">
        <v>368136</v>
      </c>
      <c r="J18" s="2">
        <f t="shared" si="0"/>
        <v>0</v>
      </c>
    </row>
    <row r="19" spans="1:12">
      <c r="A19">
        <v>31</v>
      </c>
      <c r="B19" t="s">
        <v>21</v>
      </c>
      <c r="C19">
        <v>787</v>
      </c>
      <c r="D19" t="s">
        <v>13</v>
      </c>
      <c r="E19">
        <v>0</v>
      </c>
      <c r="F19" t="s">
        <v>25</v>
      </c>
      <c r="G19">
        <v>85560</v>
      </c>
      <c r="H19" s="2">
        <v>124801</v>
      </c>
      <c r="I19">
        <v>0</v>
      </c>
      <c r="J19" s="5">
        <f t="shared" si="0"/>
        <v>124801</v>
      </c>
    </row>
    <row r="20" spans="1:12">
      <c r="A20">
        <v>30</v>
      </c>
      <c r="B20" t="s">
        <v>12</v>
      </c>
      <c r="C20">
        <v>126</v>
      </c>
      <c r="D20" t="s">
        <v>13</v>
      </c>
      <c r="E20">
        <v>0</v>
      </c>
      <c r="F20" t="s">
        <v>18</v>
      </c>
      <c r="G20">
        <v>85723</v>
      </c>
      <c r="H20" s="2">
        <v>6691439</v>
      </c>
      <c r="I20">
        <v>0</v>
      </c>
      <c r="J20" s="2">
        <f>+H20</f>
        <v>6691439</v>
      </c>
    </row>
    <row r="21" spans="1:12">
      <c r="A21">
        <v>31</v>
      </c>
      <c r="B21" t="s">
        <v>21</v>
      </c>
      <c r="C21">
        <v>771</v>
      </c>
      <c r="D21" t="s">
        <v>13</v>
      </c>
      <c r="E21">
        <v>0</v>
      </c>
      <c r="F21" t="s">
        <v>18</v>
      </c>
      <c r="G21">
        <v>85723</v>
      </c>
      <c r="H21">
        <v>0</v>
      </c>
      <c r="I21" s="2">
        <v>6691439</v>
      </c>
      <c r="J21" s="2">
        <f t="shared" si="0"/>
        <v>0</v>
      </c>
    </row>
    <row r="22" spans="1:12">
      <c r="A22">
        <v>31</v>
      </c>
      <c r="B22" t="s">
        <v>21</v>
      </c>
      <c r="C22">
        <v>771</v>
      </c>
      <c r="D22" t="s">
        <v>13</v>
      </c>
      <c r="E22">
        <v>0</v>
      </c>
      <c r="F22" t="s">
        <v>23</v>
      </c>
      <c r="G22">
        <v>85723</v>
      </c>
      <c r="H22" s="2">
        <v>587358</v>
      </c>
      <c r="I22">
        <v>0</v>
      </c>
      <c r="J22" s="5">
        <f t="shared" si="0"/>
        <v>587358</v>
      </c>
    </row>
    <row r="23" spans="1:12">
      <c r="A23">
        <v>14</v>
      </c>
      <c r="B23" t="s">
        <v>12</v>
      </c>
      <c r="C23">
        <v>71</v>
      </c>
      <c r="D23" t="s">
        <v>13</v>
      </c>
      <c r="E23">
        <v>0</v>
      </c>
      <c r="F23" t="s">
        <v>15</v>
      </c>
      <c r="G23" s="3">
        <v>85910</v>
      </c>
      <c r="H23" s="2">
        <v>24524841</v>
      </c>
      <c r="I23">
        <v>0</v>
      </c>
      <c r="J23" s="4">
        <f>+H23</f>
        <v>24524841</v>
      </c>
    </row>
    <row r="24" spans="1:12">
      <c r="A24">
        <v>31</v>
      </c>
      <c r="B24" t="s">
        <v>21</v>
      </c>
      <c r="C24">
        <v>772</v>
      </c>
      <c r="D24" t="s">
        <v>13</v>
      </c>
      <c r="E24">
        <v>0</v>
      </c>
      <c r="F24" t="s">
        <v>25</v>
      </c>
      <c r="G24">
        <v>86086</v>
      </c>
      <c r="H24" s="2">
        <v>10917</v>
      </c>
      <c r="I24">
        <v>0</v>
      </c>
      <c r="J24" s="2">
        <f>J22+H24-I24</f>
        <v>598275</v>
      </c>
    </row>
    <row r="25" spans="1:12">
      <c r="F25" t="s">
        <v>28</v>
      </c>
      <c r="H25" s="2">
        <v>91267215</v>
      </c>
      <c r="I25" s="2">
        <v>66664143</v>
      </c>
      <c r="L25" s="2">
        <f>+J10+J23+J14+J19+J22</f>
        <v>24960191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F17A-0482-4443-85C3-E63E5C40C2FC}">
  <dimension ref="A1:E45"/>
  <sheetViews>
    <sheetView topLeftCell="A32" workbookViewId="0">
      <selection activeCell="I7" sqref="I7"/>
    </sheetView>
  </sheetViews>
  <sheetFormatPr baseColWidth="10" defaultRowHeight="14"/>
  <cols>
    <col min="2" max="2" width="41.19921875" bestFit="1" customWidth="1"/>
    <col min="3" max="3" width="11.296875" bestFit="1" customWidth="1"/>
    <col min="4" max="4" width="12" bestFit="1" customWidth="1"/>
  </cols>
  <sheetData>
    <row r="1" spans="1:5">
      <c r="A1" s="55" t="s">
        <v>29</v>
      </c>
      <c r="B1" s="56"/>
      <c r="C1" s="56"/>
      <c r="D1" s="57"/>
    </row>
    <row r="2" spans="1:5" ht="26.9">
      <c r="A2" s="11" t="s">
        <v>13</v>
      </c>
      <c r="B2" s="12" t="s">
        <v>30</v>
      </c>
      <c r="C2" s="13">
        <v>45658</v>
      </c>
      <c r="D2" s="14">
        <v>1841294</v>
      </c>
      <c r="E2" s="8">
        <v>439207</v>
      </c>
    </row>
    <row r="3" spans="1:5" ht="26.9">
      <c r="A3" s="17" t="s">
        <v>13</v>
      </c>
      <c r="B3" s="18" t="s">
        <v>31</v>
      </c>
      <c r="C3" s="13">
        <v>45688</v>
      </c>
      <c r="D3" s="24">
        <v>153147</v>
      </c>
    </row>
    <row r="4" spans="1:5" ht="26.9">
      <c r="A4" s="11" t="s">
        <v>13</v>
      </c>
      <c r="B4" s="12" t="s">
        <v>31</v>
      </c>
      <c r="C4" s="19">
        <v>45777</v>
      </c>
      <c r="D4" s="20">
        <v>142011</v>
      </c>
    </row>
    <row r="5" spans="1:5" ht="27.4" thickBot="1">
      <c r="A5" s="10" t="s">
        <v>13</v>
      </c>
      <c r="B5" s="15" t="s">
        <v>32</v>
      </c>
      <c r="C5" s="19">
        <v>45777</v>
      </c>
      <c r="D5" s="31">
        <v>447120</v>
      </c>
      <c r="E5" s="29">
        <v>447120</v>
      </c>
    </row>
    <row r="6" spans="1:5" ht="27.4" thickBot="1">
      <c r="A6" s="35" t="s">
        <v>13</v>
      </c>
      <c r="B6" s="36" t="s">
        <v>33</v>
      </c>
      <c r="C6" s="37">
        <v>45747</v>
      </c>
      <c r="D6" s="38">
        <v>-594387</v>
      </c>
      <c r="E6" s="29"/>
    </row>
    <row r="7" spans="1:5" ht="27.4" thickBot="1">
      <c r="A7" s="51" t="s">
        <v>13</v>
      </c>
      <c r="B7" s="52" t="s">
        <v>34</v>
      </c>
      <c r="C7" s="37">
        <v>45688</v>
      </c>
      <c r="D7" s="53">
        <v>484548</v>
      </c>
    </row>
    <row r="8" spans="1:5" ht="26.9">
      <c r="A8" s="17" t="s">
        <v>13</v>
      </c>
      <c r="B8" s="18" t="s">
        <v>35</v>
      </c>
      <c r="C8" s="19">
        <v>45787</v>
      </c>
      <c r="D8" s="47">
        <v>-336214</v>
      </c>
    </row>
    <row r="9" spans="1:5" ht="27.4" thickBot="1">
      <c r="A9" s="25" t="s">
        <v>13</v>
      </c>
      <c r="B9" s="26" t="s">
        <v>36</v>
      </c>
      <c r="C9" s="27">
        <v>45838</v>
      </c>
      <c r="D9" s="32">
        <v>-360819</v>
      </c>
      <c r="E9" s="29">
        <v>-212485</v>
      </c>
    </row>
    <row r="10" spans="1:5" ht="27.4" thickBot="1">
      <c r="A10" s="21" t="s">
        <v>13</v>
      </c>
      <c r="B10" s="22" t="s">
        <v>37</v>
      </c>
      <c r="C10" s="33">
        <v>45715</v>
      </c>
      <c r="D10" s="34">
        <v>1469042</v>
      </c>
    </row>
    <row r="11" spans="1:5" ht="27.4" thickBot="1">
      <c r="A11" s="35" t="s">
        <v>13</v>
      </c>
      <c r="B11" s="36" t="s">
        <v>38</v>
      </c>
      <c r="C11" s="37">
        <v>45747</v>
      </c>
      <c r="D11" s="38">
        <v>142224</v>
      </c>
    </row>
    <row r="12" spans="1:5" ht="26.9">
      <c r="A12" s="40" t="s">
        <v>13</v>
      </c>
      <c r="B12" s="41" t="s">
        <v>39</v>
      </c>
      <c r="C12" s="42">
        <v>45747</v>
      </c>
      <c r="D12" s="43">
        <v>783641</v>
      </c>
    </row>
    <row r="13" spans="1:5" ht="27.4" thickBot="1">
      <c r="A13" s="44" t="s">
        <v>13</v>
      </c>
      <c r="B13" s="22" t="s">
        <v>40</v>
      </c>
      <c r="C13" s="23">
        <v>45754</v>
      </c>
      <c r="D13" s="45">
        <v>-733079</v>
      </c>
    </row>
    <row r="14" spans="1:5" ht="27.4" thickBot="1">
      <c r="A14" s="35" t="s">
        <v>13</v>
      </c>
      <c r="B14" s="36" t="s">
        <v>41</v>
      </c>
      <c r="C14" s="37">
        <v>45747</v>
      </c>
      <c r="D14" s="46">
        <v>-84707</v>
      </c>
    </row>
    <row r="15" spans="1:5" ht="27.4" thickBot="1">
      <c r="A15" s="35" t="s">
        <v>13</v>
      </c>
      <c r="B15" s="36" t="s">
        <v>42</v>
      </c>
      <c r="C15" s="37">
        <v>45747</v>
      </c>
      <c r="D15" s="46">
        <v>413073</v>
      </c>
    </row>
    <row r="16" spans="1:5" ht="27.4" thickBot="1">
      <c r="A16" s="35" t="s">
        <v>13</v>
      </c>
      <c r="B16" s="36" t="s">
        <v>43</v>
      </c>
      <c r="C16" s="37">
        <v>45747</v>
      </c>
      <c r="D16" s="46">
        <v>-249267</v>
      </c>
    </row>
    <row r="17" spans="1:4" ht="27.4" thickBot="1">
      <c r="A17" s="35" t="s">
        <v>13</v>
      </c>
      <c r="B17" s="36" t="s">
        <v>44</v>
      </c>
      <c r="C17" s="37">
        <v>45747</v>
      </c>
      <c r="D17" s="46">
        <v>-156734</v>
      </c>
    </row>
    <row r="18" spans="1:4" ht="26.9">
      <c r="A18" s="40" t="s">
        <v>13</v>
      </c>
      <c r="B18" s="41" t="s">
        <v>45</v>
      </c>
      <c r="C18" s="42">
        <v>45775</v>
      </c>
      <c r="D18" s="43">
        <v>374729</v>
      </c>
    </row>
    <row r="19" spans="1:4" ht="27.4" thickBot="1">
      <c r="A19" s="44" t="s">
        <v>13</v>
      </c>
      <c r="B19" s="22" t="s">
        <v>46</v>
      </c>
      <c r="C19" s="23">
        <v>45808</v>
      </c>
      <c r="D19" s="45">
        <v>-1293333</v>
      </c>
    </row>
    <row r="20" spans="1:4" ht="26.9">
      <c r="A20" s="48" t="s">
        <v>13</v>
      </c>
      <c r="B20" s="49" t="s">
        <v>47</v>
      </c>
      <c r="C20" s="42">
        <v>45747</v>
      </c>
      <c r="D20" s="50">
        <v>478036</v>
      </c>
    </row>
    <row r="21" spans="1:4" ht="27.4" thickBot="1">
      <c r="A21" s="44" t="s">
        <v>13</v>
      </c>
      <c r="B21" s="22" t="s">
        <v>48</v>
      </c>
      <c r="C21" s="23">
        <v>45838</v>
      </c>
      <c r="D21" s="45">
        <v>-639980</v>
      </c>
    </row>
    <row r="22" spans="1:4" ht="26.9">
      <c r="A22" s="40" t="s">
        <v>13</v>
      </c>
      <c r="B22" s="41" t="s">
        <v>49</v>
      </c>
      <c r="C22" s="42">
        <v>45777</v>
      </c>
      <c r="D22" s="43">
        <v>1185508</v>
      </c>
    </row>
    <row r="23" spans="1:4" ht="27.4" thickBot="1">
      <c r="A23" s="44" t="s">
        <v>13</v>
      </c>
      <c r="B23" s="22" t="s">
        <v>50</v>
      </c>
      <c r="C23" s="23">
        <v>45838</v>
      </c>
      <c r="D23" s="45">
        <v>-1154830</v>
      </c>
    </row>
    <row r="24" spans="1:4" ht="27.4" thickBot="1">
      <c r="A24" s="35" t="s">
        <v>13</v>
      </c>
      <c r="B24" s="36" t="s">
        <v>51</v>
      </c>
      <c r="C24" s="37">
        <v>45808</v>
      </c>
      <c r="D24" s="46">
        <v>-882216</v>
      </c>
    </row>
    <row r="25" spans="1:4" ht="26.9">
      <c r="A25" s="40" t="s">
        <v>13</v>
      </c>
      <c r="B25" s="41" t="s">
        <v>52</v>
      </c>
      <c r="C25" s="42">
        <v>45808</v>
      </c>
      <c r="D25" s="43">
        <v>443997</v>
      </c>
    </row>
    <row r="26" spans="1:4" ht="27.4" thickBot="1">
      <c r="A26" s="44" t="s">
        <v>13</v>
      </c>
      <c r="B26" s="22" t="s">
        <v>53</v>
      </c>
      <c r="C26" s="23">
        <v>45838</v>
      </c>
      <c r="D26" s="45">
        <v>-19388</v>
      </c>
    </row>
    <row r="27" spans="1:4" ht="27.4" thickBot="1">
      <c r="A27" s="35" t="s">
        <v>13</v>
      </c>
      <c r="B27" s="36" t="s">
        <v>54</v>
      </c>
      <c r="C27" s="37">
        <v>45838</v>
      </c>
      <c r="D27" s="46">
        <v>-5066</v>
      </c>
    </row>
    <row r="28" spans="1:4" ht="27.4" thickBot="1">
      <c r="A28" s="35" t="s">
        <v>13</v>
      </c>
      <c r="B28" s="36" t="s">
        <v>55</v>
      </c>
      <c r="C28" s="37">
        <v>45838</v>
      </c>
      <c r="D28" s="46">
        <v>-8737</v>
      </c>
    </row>
    <row r="29" spans="1:4" ht="27.4" thickBot="1">
      <c r="A29" s="35" t="s">
        <v>13</v>
      </c>
      <c r="B29" s="36" t="s">
        <v>56</v>
      </c>
      <c r="C29" s="37">
        <v>45869</v>
      </c>
      <c r="D29" s="46">
        <v>-54337</v>
      </c>
    </row>
    <row r="30" spans="1:4" ht="27.4" thickBot="1">
      <c r="A30" s="35" t="s">
        <v>13</v>
      </c>
      <c r="B30" s="36" t="s">
        <v>57</v>
      </c>
      <c r="C30" s="37">
        <v>45869</v>
      </c>
      <c r="D30" s="46">
        <v>-156898</v>
      </c>
    </row>
    <row r="31" spans="1:4" ht="27.4" thickBot="1">
      <c r="A31" s="35" t="s">
        <v>13</v>
      </c>
      <c r="B31" s="36" t="s">
        <v>58</v>
      </c>
      <c r="C31" s="37">
        <v>45869</v>
      </c>
      <c r="D31" s="46">
        <v>137980</v>
      </c>
    </row>
    <row r="32" spans="1:4" ht="27.4" thickBot="1">
      <c r="A32" s="35" t="s">
        <v>13</v>
      </c>
      <c r="B32" s="36" t="s">
        <v>59</v>
      </c>
      <c r="C32" s="37">
        <v>45877</v>
      </c>
      <c r="D32" s="38">
        <v>6259</v>
      </c>
    </row>
    <row r="33" spans="1:5" ht="14.55" thickBot="1">
      <c r="A33" s="35"/>
      <c r="B33" s="36" t="s">
        <v>60</v>
      </c>
      <c r="C33" s="37">
        <v>45905</v>
      </c>
      <c r="D33" s="38">
        <v>-3263591</v>
      </c>
    </row>
    <row r="34" spans="1:5" ht="14.55" thickBot="1">
      <c r="A34" s="35"/>
      <c r="B34" s="36" t="s">
        <v>61</v>
      </c>
      <c r="C34" s="37">
        <v>45889</v>
      </c>
      <c r="D34" s="38">
        <v>502208</v>
      </c>
    </row>
    <row r="35" spans="1:5" ht="27.4" thickBot="1">
      <c r="A35" s="35" t="s">
        <v>13</v>
      </c>
      <c r="B35" s="36" t="s">
        <v>62</v>
      </c>
      <c r="C35" s="37">
        <v>45877</v>
      </c>
      <c r="D35" s="46">
        <v>417604</v>
      </c>
    </row>
    <row r="36" spans="1:5" ht="27.4" thickBot="1">
      <c r="A36" s="35" t="s">
        <v>13</v>
      </c>
      <c r="B36" s="36" t="s">
        <v>63</v>
      </c>
      <c r="C36" s="37">
        <v>45889</v>
      </c>
      <c r="D36" s="46">
        <v>404623</v>
      </c>
    </row>
    <row r="37" spans="1:5" ht="27.4" thickBot="1">
      <c r="A37" s="35" t="s">
        <v>13</v>
      </c>
      <c r="B37" s="36" t="s">
        <v>64</v>
      </c>
      <c r="C37" s="37">
        <v>45889</v>
      </c>
      <c r="D37" s="46">
        <v>-112116</v>
      </c>
    </row>
    <row r="38" spans="1:5" ht="27.4" thickBot="1">
      <c r="A38" s="35" t="s">
        <v>13</v>
      </c>
      <c r="B38" s="36" t="s">
        <v>65</v>
      </c>
      <c r="C38" s="37">
        <v>45930</v>
      </c>
      <c r="D38" s="46">
        <v>520320</v>
      </c>
    </row>
    <row r="39" spans="1:5" ht="14.55" thickBot="1">
      <c r="A39" s="39"/>
      <c r="B39" s="18" t="s">
        <v>66</v>
      </c>
      <c r="C39" s="19"/>
      <c r="D39" s="38">
        <v>-28406869</v>
      </c>
    </row>
    <row r="40" spans="1:5" ht="27.4" thickBot="1">
      <c r="A40" s="17" t="s">
        <v>13</v>
      </c>
      <c r="B40" s="18" t="s">
        <v>67</v>
      </c>
      <c r="C40" s="19">
        <v>45930</v>
      </c>
      <c r="D40" s="47">
        <v>32088875</v>
      </c>
    </row>
    <row r="41" spans="1:5" ht="27.4" thickBot="1">
      <c r="A41" s="35" t="s">
        <v>13</v>
      </c>
      <c r="B41" s="36" t="s">
        <v>68</v>
      </c>
      <c r="C41" s="37">
        <v>45961</v>
      </c>
      <c r="D41" s="46">
        <v>406795</v>
      </c>
    </row>
    <row r="42" spans="1:5" ht="26.9">
      <c r="A42" s="11" t="s">
        <v>13</v>
      </c>
      <c r="B42" s="15"/>
      <c r="C42" s="19"/>
      <c r="D42" s="16"/>
    </row>
    <row r="43" spans="1:5">
      <c r="A43" s="58" t="s">
        <v>69</v>
      </c>
      <c r="B43" s="59"/>
      <c r="C43" s="60"/>
      <c r="D43" s="9">
        <v>4330463</v>
      </c>
      <c r="E43" s="28" t="s">
        <v>70</v>
      </c>
    </row>
    <row r="44" spans="1:5">
      <c r="A44" s="6"/>
      <c r="B44" s="6"/>
      <c r="C44" s="6"/>
      <c r="D44" s="7">
        <v>3230206</v>
      </c>
      <c r="E44" s="30"/>
    </row>
    <row r="45" spans="1:5">
      <c r="D45" s="54">
        <v>1100257</v>
      </c>
      <c r="E45" s="30"/>
    </row>
  </sheetData>
  <mergeCells count="2">
    <mergeCell ref="A1:D1"/>
    <mergeCell ref="A43:C43"/>
  </mergeCells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E7858-EAAC-47F9-A817-65CFCB722958}">
  <dimension ref="A1"/>
  <sheetViews>
    <sheetView workbookViewId="0"/>
  </sheetViews>
  <sheetFormatPr baseColWidth="10" defaultRowHeight="14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4251F5-9EDE-4D08-A09D-0931EB1AC32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751EC6DF-9FD5-45FB-9B67-C5303FE69F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B124FE-AA45-4FAA-9C28-0EDFA8D620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2026-02-17T00:53:03Z</dcterms:created>
  <dcterms:modified xsi:type="dcterms:W3CDTF">2026-03-12T23:02:36Z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