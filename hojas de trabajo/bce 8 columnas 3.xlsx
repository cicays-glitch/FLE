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hojas de trabajo/"/>
    </mc:Choice>
  </mc:AlternateContent>
  <xr:revisionPtr revIDLastSave="0" documentId="8_{C923CC4B-A19B-4E9C-A346-C9D7C1C91C41}" xr6:coauthVersionLast="47" xr6:coauthVersionMax="47" xr10:uidLastSave="{00000000-0000-0000-0000-000000000000}"/>
  <bookViews>
    <workbookView xWindow="-107" yWindow="-107" windowWidth="20847" windowHeight="11111" xr2:uid="{E66DB1CF-F917-4C7F-B573-A4DC35A672BB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1" l="1"/>
  <c r="A64" i="1" s="1"/>
  <c r="B65" i="1"/>
  <c r="A65" i="1" s="1"/>
  <c r="B66" i="1"/>
  <c r="B67" i="1"/>
  <c r="B68" i="1"/>
  <c r="B69" i="1"/>
  <c r="B70" i="1"/>
  <c r="A70" i="1" s="1"/>
  <c r="B71" i="1"/>
  <c r="A71" i="1" s="1"/>
  <c r="B72" i="1"/>
  <c r="A72" i="1" s="1"/>
  <c r="B73" i="1"/>
  <c r="A73" i="1" s="1"/>
  <c r="B74" i="1"/>
  <c r="A74" i="1" s="1"/>
  <c r="B75" i="1"/>
  <c r="A75" i="1" s="1"/>
  <c r="B76" i="1"/>
  <c r="A76" i="1" s="1"/>
  <c r="B77" i="1"/>
  <c r="A77" i="1" s="1"/>
  <c r="B78" i="1"/>
  <c r="B79" i="1"/>
  <c r="B80" i="1"/>
  <c r="B81" i="1"/>
  <c r="B82" i="1"/>
  <c r="B83" i="1"/>
  <c r="A83" i="1" s="1"/>
  <c r="B84" i="1"/>
  <c r="A84" i="1" s="1"/>
  <c r="B85" i="1"/>
  <c r="A85" i="1" s="1"/>
  <c r="B86" i="1"/>
  <c r="A86" i="1" s="1"/>
  <c r="B87" i="1"/>
  <c r="A87" i="1" s="1"/>
  <c r="B88" i="1"/>
  <c r="A88" i="1" s="1"/>
  <c r="B89" i="1"/>
  <c r="A89" i="1" s="1"/>
  <c r="B90" i="1"/>
  <c r="B91" i="1"/>
  <c r="B92" i="1"/>
  <c r="B93" i="1"/>
  <c r="B94" i="1"/>
  <c r="B95" i="1"/>
  <c r="A95" i="1" s="1"/>
  <c r="B96" i="1"/>
  <c r="A96" i="1" s="1"/>
  <c r="B97" i="1"/>
  <c r="A97" i="1" s="1"/>
  <c r="B98" i="1"/>
  <c r="A98" i="1" s="1"/>
  <c r="B99" i="1"/>
  <c r="A99" i="1" s="1"/>
  <c r="B100" i="1"/>
  <c r="A100" i="1" s="1"/>
  <c r="B101" i="1"/>
  <c r="A101" i="1" s="1"/>
  <c r="B102" i="1"/>
  <c r="B103" i="1"/>
  <c r="B104" i="1"/>
  <c r="B105" i="1"/>
  <c r="B106" i="1"/>
  <c r="B107" i="1"/>
  <c r="A107" i="1" s="1"/>
  <c r="B108" i="1"/>
  <c r="A108" i="1" s="1"/>
  <c r="B109" i="1"/>
  <c r="A109" i="1" s="1"/>
  <c r="B11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3" i="1"/>
  <c r="A3" i="1" s="1"/>
  <c r="B4" i="1"/>
  <c r="A4" i="1" s="1"/>
  <c r="B5" i="1"/>
  <c r="A5" i="1" s="1"/>
  <c r="B6" i="1"/>
  <c r="A6" i="1" s="1"/>
  <c r="B7" i="1"/>
  <c r="A7" i="1" s="1"/>
  <c r="B8" i="1"/>
  <c r="A8" i="1" s="1"/>
  <c r="B9" i="1"/>
  <c r="A9" i="1" s="1"/>
  <c r="B10" i="1"/>
  <c r="A10" i="1" s="1"/>
  <c r="B11" i="1"/>
  <c r="A11" i="1" s="1"/>
  <c r="B12" i="1"/>
  <c r="A12" i="1" s="1"/>
  <c r="B13" i="1"/>
  <c r="A13" i="1" s="1"/>
  <c r="B14" i="1"/>
  <c r="A14" i="1" s="1"/>
  <c r="B15" i="1"/>
  <c r="A15" i="1" s="1"/>
  <c r="B16" i="1"/>
  <c r="A16" i="1" s="1"/>
  <c r="B17" i="1"/>
  <c r="A17" i="1" s="1"/>
  <c r="B18" i="1"/>
  <c r="A18" i="1" s="1"/>
  <c r="B19" i="1"/>
  <c r="A19" i="1" s="1"/>
  <c r="B20" i="1"/>
  <c r="A20" i="1" s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6" i="1"/>
  <c r="A67" i="1"/>
  <c r="A68" i="1"/>
  <c r="A69" i="1"/>
  <c r="A78" i="1"/>
  <c r="A79" i="1"/>
  <c r="A80" i="1"/>
  <c r="A81" i="1"/>
  <c r="A82" i="1"/>
  <c r="A90" i="1"/>
  <c r="A91" i="1"/>
  <c r="A92" i="1"/>
  <c r="A93" i="1"/>
  <c r="A94" i="1"/>
  <c r="A102" i="1"/>
  <c r="A103" i="1"/>
  <c r="A104" i="1"/>
  <c r="A105" i="1"/>
  <c r="A106" i="1"/>
  <c r="B2" i="1"/>
  <c r="A2" i="1" s="1"/>
</calcChain>
</file>

<file path=xl/sharedStrings.xml><?xml version="1.0" encoding="utf-8"?>
<sst xmlns="http://schemas.openxmlformats.org/spreadsheetml/2006/main" count="345" uniqueCount="231">
  <si>
    <t>Item</t>
  </si>
  <si>
    <t>Cuenta</t>
  </si>
  <si>
    <t>Nombre Cuenta.</t>
  </si>
  <si>
    <t>Debitos</t>
  </si>
  <si>
    <t>Creditos</t>
  </si>
  <si>
    <t>Sal. Deudor</t>
  </si>
  <si>
    <t>Sal. Acreedor</t>
  </si>
  <si>
    <t>Activos</t>
  </si>
  <si>
    <t>Pasivos</t>
  </si>
  <si>
    <t>Pérdidas</t>
  </si>
  <si>
    <t>Ganancias</t>
  </si>
  <si>
    <t>1.1.01.101</t>
  </si>
  <si>
    <t>EFECTIVO EN TRANSITO</t>
  </si>
  <si>
    <t>1.1.01.203</t>
  </si>
  <si>
    <t>FONDO FIJO PLAZA EGAÑA</t>
  </si>
  <si>
    <t>1.1.01.204</t>
  </si>
  <si>
    <t>FONDO FIJO VESPUCIO</t>
  </si>
  <si>
    <t>1.1.01.205</t>
  </si>
  <si>
    <t>FONDO FIJO TREBOL</t>
  </si>
  <si>
    <t>1.1.01.206</t>
  </si>
  <si>
    <t>FONDO FIJO COSTANERA CENTER</t>
  </si>
  <si>
    <t>1.1.01.207</t>
  </si>
  <si>
    <t>FONDO FIJO FLORIDA CENTER</t>
  </si>
  <si>
    <t>1.1.01.208</t>
  </si>
  <si>
    <t>FONDO FIJO SANTIAGO CENTRO</t>
  </si>
  <si>
    <t>1.1.01.209</t>
  </si>
  <si>
    <t>FONDO FIJO CONCEPCION CENTRO</t>
  </si>
  <si>
    <t>1.1.01.210</t>
  </si>
  <si>
    <t>FONDO FIJO TALCA</t>
  </si>
  <si>
    <t>1.1.01.211</t>
  </si>
  <si>
    <t>FONSO FIJO PLAZA NORTE</t>
  </si>
  <si>
    <t>1.1.01.212</t>
  </si>
  <si>
    <t>FONDO FIJO PLAZA OESTE</t>
  </si>
  <si>
    <t>1.1.01.301</t>
  </si>
  <si>
    <t>BANCOS CTA CTE $</t>
  </si>
  <si>
    <t>1.1.01.302</t>
  </si>
  <si>
    <t>BANCOS CTA CTE US$</t>
  </si>
  <si>
    <t>1.1.02.106</t>
  </si>
  <si>
    <t>DEPOSITO A PLAZO CORREDORA</t>
  </si>
  <si>
    <t>1.1.03.201</t>
  </si>
  <si>
    <t>GASTOS PAGADOS POR ANTICIPADO</t>
  </si>
  <si>
    <t>1.1.04.102</t>
  </si>
  <si>
    <t>CLIENTES BOLETAS</t>
  </si>
  <si>
    <t>1.1.04.104</t>
  </si>
  <si>
    <t>FONDOS POR RENDIR</t>
  </si>
  <si>
    <t>1.1.04.105</t>
  </si>
  <si>
    <t>TRANSBANK POR COBRAR TC</t>
  </si>
  <si>
    <t>1.1.04.106</t>
  </si>
  <si>
    <t>TRANSBANK POR COBRAR TD</t>
  </si>
  <si>
    <t>1.1.04.108</t>
  </si>
  <si>
    <t>GIFTCARD</t>
  </si>
  <si>
    <t>1.1.04.109</t>
  </si>
  <si>
    <t>ECOMMERCE</t>
  </si>
  <si>
    <t>1.1.04.112</t>
  </si>
  <si>
    <t>GETNET TC</t>
  </si>
  <si>
    <t>1.1.04.113</t>
  </si>
  <si>
    <t>GETNET TD/ PREPAGO</t>
  </si>
  <si>
    <t>1.1.04.200</t>
  </si>
  <si>
    <t>CUENTAS POR COBRAR</t>
  </si>
  <si>
    <t>1.1.05.403</t>
  </si>
  <si>
    <t>ANTICIPO PROVEEDORES</t>
  </si>
  <si>
    <t>1.1.05.405</t>
  </si>
  <si>
    <t>ANTICIPO AGENCIA DE ADUANAS</t>
  </si>
  <si>
    <t>1.1.06.401</t>
  </si>
  <si>
    <t>EXISTENCIAS NACIONALES</t>
  </si>
  <si>
    <t>1.1.06.801</t>
  </si>
  <si>
    <t>MERCADERIA EN TRANSITO</t>
  </si>
  <si>
    <t>1.1.06.802</t>
  </si>
  <si>
    <t>MERCADERIA EN TRANSITO USD</t>
  </si>
  <si>
    <t>1.1.09.101</t>
  </si>
  <si>
    <t>IVA CREDITO FISCAL (COMPRAS)</t>
  </si>
  <si>
    <t>1.1.09.103</t>
  </si>
  <si>
    <t>REMANENTE IVA CREDITO FISCAL</t>
  </si>
  <si>
    <t>1.2.02.101</t>
  </si>
  <si>
    <t>GARANTIAS DE ARRIENDO</t>
  </si>
  <si>
    <t>1.2.02.401</t>
  </si>
  <si>
    <t>MUEBLES, UTILES Y OTROS</t>
  </si>
  <si>
    <t>1.2.02.402</t>
  </si>
  <si>
    <t>EQUIPOS COMPUTACIONALES</t>
  </si>
  <si>
    <t>1.2.02.405</t>
  </si>
  <si>
    <t>ACTIVO EN CONSTRUCCION</t>
  </si>
  <si>
    <t>1.2.02.904</t>
  </si>
  <si>
    <t>DEPRECIACION ACUMULADA MUEBLES Y UTILES</t>
  </si>
  <si>
    <t>1.2.02.905</t>
  </si>
  <si>
    <t>DEPRECIACION ACUMULADA EQUIPOS COMPUTACIONALES</t>
  </si>
  <si>
    <t>2.1.01.203</t>
  </si>
  <si>
    <t>PRESTAMOS NO BANCARIOS MONTO A</t>
  </si>
  <si>
    <t>2.1.01.204</t>
  </si>
  <si>
    <t>CUENTAS POR PAGAR</t>
  </si>
  <si>
    <t>2.1.01.601</t>
  </si>
  <si>
    <t>TARJETA CREDITO CLP</t>
  </si>
  <si>
    <t>2.1.02.102</t>
  </si>
  <si>
    <t>PROVEEDORES US$</t>
  </si>
  <si>
    <t>2.1.02.103</t>
  </si>
  <si>
    <t>PROVEEDORES $</t>
  </si>
  <si>
    <t>2.1.02.401</t>
  </si>
  <si>
    <t>HONORARIOS POR PAGAR</t>
  </si>
  <si>
    <t>2.1.02.503</t>
  </si>
  <si>
    <t>PREVIRED POR PAGAR</t>
  </si>
  <si>
    <t>2.1.02.604</t>
  </si>
  <si>
    <t>ACREEDORES VARIOS</t>
  </si>
  <si>
    <t>2.1.02.605</t>
  </si>
  <si>
    <t>PROVISIONES VARIAS</t>
  </si>
  <si>
    <t>2.1.05.101</t>
  </si>
  <si>
    <t>IMPUESTO ÚNICO TRABAJADORES</t>
  </si>
  <si>
    <t>2.1.05.102</t>
  </si>
  <si>
    <t>RETENCION DE HONORARIOS</t>
  </si>
  <si>
    <t>2.1.05.103</t>
  </si>
  <si>
    <t>IVA DEBITO FISCAL (VENTAS)</t>
  </si>
  <si>
    <t>2.1.05.106</t>
  </si>
  <si>
    <t>IMPUESTO POR PAGAR FORM. 29</t>
  </si>
  <si>
    <t>2.1.06.103</t>
  </si>
  <si>
    <t>SUELDOS POR PAGAR</t>
  </si>
  <si>
    <t>2.3.01.101</t>
  </si>
  <si>
    <t>CAPITAL</t>
  </si>
  <si>
    <t>2.3.02.101</t>
  </si>
  <si>
    <t>RESULTADOS ACUMULADOS</t>
  </si>
  <si>
    <t>3.1.02.101</t>
  </si>
  <si>
    <t>COSTO DE VENTAS</t>
  </si>
  <si>
    <t>3.1.02.102</t>
  </si>
  <si>
    <t>COSTOS OPERATIVOS - FLETES INTERNOS</t>
  </si>
  <si>
    <t>3.1.02.104</t>
  </si>
  <si>
    <t>COMISIÓN - CANAL DIGITAL</t>
  </si>
  <si>
    <t>3.1.02.105</t>
  </si>
  <si>
    <t>FLETES - CANAL DIGITAL</t>
  </si>
  <si>
    <t>3.1.02.108</t>
  </si>
  <si>
    <t>SERVICIOS  - CANAL DIGITAL</t>
  </si>
  <si>
    <t>3.1.02.109</t>
  </si>
  <si>
    <t>DESCUENTOS GIFTCARD</t>
  </si>
  <si>
    <t>3.1.02.110</t>
  </si>
  <si>
    <t>DESCUENTOS CLUB FLEXI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</si>
  <si>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</si>
  <si>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</si>
  <si>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</si>
  <si>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</si>
  <si>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</si>
  <si>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</si>
  <si>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</si>
  <si>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</si>
  <si>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</si>
  <si>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</si>
  <si>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</si>
  <si>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</si>
  <si>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</si>
  <si>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</si>
  <si>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</si>
  <si>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</si>
  <si>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</si>
  <si>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</si>
  <si>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</si>
  <si>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</si>
  <si>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</si>
  <si>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</si>
  <si>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</si>
  <si>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</si>
  <si>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</si>
  <si>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</si>
  <si>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</si>
  <si>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</si>
  <si>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</si>
  <si>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</si>
  <si>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</si>
  <si>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</si>
  <si>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</si>
  <si>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</si>
  <si>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</si>
  <si>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</si>
  <si>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3.1.06.301</t>
  </si>
  <si>
    <t>ARRIENDOS</t>
  </si>
  <si>
    <t>3.1.06.302</t>
  </si>
  <si>
    <t>ARRIENDO DE BODEGAS</t>
  </si>
  <si>
    <t>3.1.06.305</t>
  </si>
  <si>
    <t>GASTOS DIVERSOS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</si>
  <si>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</si>
  <si>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</si>
  <si>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</si>
  <si>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</si>
  <si>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</si>
  <si>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</si>
  <si>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</si>
  <si>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</si>
  <si>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</si>
  <si>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</si>
  <si>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</si>
  <si>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</si>
  <si>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</si>
  <si>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</si>
  <si>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</si>
  <si>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</si>
  <si>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</si>
  <si>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</si>
  <si>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3.1.06.803</t>
  </si>
  <si>
    <t>UTILES DE OFICINA Y PAPELERIA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</si>
  <si>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</si>
  <si>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</si>
  <si>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</si>
  <si>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</si>
  <si>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</si>
  <si>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</si>
  <si>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</si>
  <si>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</si>
  <si>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</si>
  <si>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</si>
  <si>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</si>
  <si>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</si>
  <si>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</si>
  <si>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</si>
  <si>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3.1.07.822</t>
  </si>
  <si>
    <t>GASTOS DE PUBLICIDAD Y MARKETING</t>
  </si>
  <si>
    <t>3.1.07.833</t>
  </si>
  <si>
    <t xml:space="preserve">SUMINISTROS VISUAL </t>
  </si>
  <si>
    <t>3.1.08.701</t>
  </si>
  <si>
    <t>DEPRECIACION DEL EJERCICIO</t>
  </si>
  <si>
    <t>3.2.08.105</t>
  </si>
  <si>
    <t xml:space="preserve">INTERESES POR PRESTAMO </t>
  </si>
  <si>
    <t>3.2.08.116</t>
  </si>
  <si>
    <t>INTERES GANADO POR DEPOSITO A PLAZO PESOS</t>
  </si>
  <si>
    <t>3.2.11.158</t>
  </si>
  <si>
    <t>DIFERENCIA DE CAMBIO</t>
  </si>
  <si>
    <t>3.2.13.101</t>
  </si>
  <si>
    <t>CORRECCION MONETARIA ACTIVOS</t>
  </si>
  <si>
    <t>3.2.13.109</t>
  </si>
  <si>
    <t>AJUSTE REDONDEO AUTO</t>
  </si>
  <si>
    <t>3.1.01.103</t>
  </si>
  <si>
    <t>VENTAS CON BOLETA (RPA)</t>
  </si>
  <si>
    <t>3.1.01.300</t>
  </si>
  <si>
    <t>OTROS INGRESOS</t>
  </si>
  <si>
    <t>TOT</t>
  </si>
  <si>
    <t>SUMAS</t>
  </si>
  <si>
    <t>UTILIDAD O PERDIDA DEL EJERCICIO</t>
  </si>
  <si>
    <t>SUMAS IGUALES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</si>
</sst>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5" formatCode="_ * #,##0_ ;_ * \-#,##0_ ;_ * &quot;-&quot;_ ;_ @_ "/>
    <numFmt numFmtId="167" formatCode="_ * #,##0.00_ ;_ * \-#,##0.00_ ;_ * &quot;-&quot;??_ ;_ @_ "/>
    <numFmt numFmtId="168" formatCode="_-* #,##0_-;\-* #,##0_-;_-* &quot;-&quot;_-;_-@_-"/>
    <numFmt numFmtId="169" formatCode="_-* #,##0.00_-;\-* #,##0.00_-;_-* &quot;-&quot;??_-;_-@_-"/>
    <numFmt numFmtId="170" formatCode="_-&quot;$&quot;\ * #,##0_-;\-&quot;$&quot;\ * #,##0_-;_-&quot;$&quot;\ * &quot;-&quot;_-;_-@_-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sz val="11"/>
      <name val="Book Antiqua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33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23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21" fillId="0" borderId="0"/>
    <xf numFmtId="0" fontId="20" fillId="0" borderId="0" applyNumberFormat="0" applyFill="0" applyBorder="0">
      <alignment vertical="center"/>
    </xf>
    <xf numFmtId="0" fontId="22" fillId="0" borderId="0"/>
    <xf numFmtId="0" fontId="1" fillId="0" borderId="0"/>
    <xf numFmtId="0" fontId="20" fillId="0" borderId="0" applyNumberFormat="0" applyFill="0" applyBorder="0">
      <alignment vertical="center"/>
    </xf>
    <xf numFmtId="0" fontId="25" fillId="0" borderId="0"/>
    <xf numFmtId="169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1" fillId="0" borderId="0" applyFont="0" applyFill="0" applyBorder="0" applyAlignment="0" applyProtection="0"/>
    <xf numFmtId="0" fontId="24" fillId="4" borderId="0" applyNumberFormat="0" applyBorder="0" applyAlignment="0" applyProtection="0"/>
    <xf numFmtId="169" fontId="18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26" fillId="34" borderId="10" xfId="0" applyFont="1" applyFill="1" applyBorder="1" applyAlignment="1">
      <alignment horizontal="right"/>
    </xf>
    <xf numFmtId="0" fontId="23" fillId="34" borderId="10" xfId="42" applyFill="1" applyBorder="1" applyAlignment="1">
      <alignment horizontal="right"/>
    </xf>
    <xf numFmtId="0" fontId="26" fillId="0" borderId="10" xfId="0" applyFont="1" applyBorder="1" applyAlignment="1">
      <alignment horizontal="right"/>
    </xf>
    <xf numFmtId="0" fontId="0" fillId="0" borderId="0" xfId="0" applyAlignment="1">
      <alignment horizontal="left"/>
    </xf>
  </cellXfs>
  <cellStyles count="1449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akcent 1" xfId="35" xr:uid="{032FF4B0-E485-4C19-B9F1-90DC3E02EE48}"/>
    <cellStyle name="60% - Énfasis1 10" xfId="36" xr:uid="{629BC8FD-1854-43B5-8A82-0788C28A6946}"/>
    <cellStyle name="60% - Énfasis1 2" xfId="65" xr:uid="{50B3F054-0B03-48EA-A675-373587933C62}"/>
    <cellStyle name="60% - Énfasis1 3" xfId="83" xr:uid="{920028FF-457E-4A23-8E07-159249B2DF72}"/>
    <cellStyle name="60% - Énfasis1 4" xfId="112" xr:uid="{BC399D75-5607-4C17-ABBE-EE493C66028A}"/>
    <cellStyle name="60% - Énfasis1 5" xfId="162" xr:uid="{0CAA2DD9-6CFB-49CA-9532-4CEA4093B4DE}"/>
    <cellStyle name="60% - Énfasis1 6" xfId="251" xr:uid="{0B094E89-552D-4893-AA2E-85D797EF81FD}"/>
    <cellStyle name="60% - Énfasis1 7" xfId="266" xr:uid="{044A61FE-563C-4008-9043-B1B46AFE8BCB}"/>
    <cellStyle name="60% - Énfasis1 8" xfId="439" xr:uid="{794CD6E5-25E7-467F-AEF5-850668301C88}"/>
    <cellStyle name="60% - Énfasis1 9" xfId="778" xr:uid="{467E3C25-5607-49C6-A19C-4E5F5B9BC036}"/>
    <cellStyle name="60% - Énfasis2 10" xfId="37" xr:uid="{77017810-AECB-4CF0-9AB2-BE6A1CA93EE9}"/>
    <cellStyle name="60% - Énfasis2 2" xfId="66" xr:uid="{78551F73-CC91-4D16-87CD-6234EB672E75}"/>
    <cellStyle name="60% - Énfasis2 3" xfId="84" xr:uid="{588BCDB5-9EF5-4342-97D1-C55AB47C6DEA}"/>
    <cellStyle name="60% - Énfasis2 4" xfId="113" xr:uid="{05493D7C-7BA1-417D-8969-4D84B05FAAE5}"/>
    <cellStyle name="60% - Énfasis2 5" xfId="163" xr:uid="{E5C1496C-84A3-4555-BDBA-5812CA76161E}"/>
    <cellStyle name="60% - Énfasis2 6" xfId="252" xr:uid="{9ECE9DDF-6203-442F-A150-D55F1A591A3F}"/>
    <cellStyle name="60% - Énfasis2 7" xfId="267" xr:uid="{32F7BBEF-3245-4B1C-A917-64C1DD481D82}"/>
    <cellStyle name="60% - Énfasis2 8" xfId="440" xr:uid="{8CCC40C9-2A00-40B8-9EDE-64DDDB81DA11}"/>
    <cellStyle name="60% - Énfasis2 9" xfId="779" xr:uid="{AE978DB1-7A05-42CF-AB48-41EB595196B3}"/>
    <cellStyle name="60% - Énfasis3 10" xfId="38" xr:uid="{AD322BAC-B63E-4954-9E9A-19A03C62EE7E}"/>
    <cellStyle name="60% - Énfasis3 2" xfId="67" xr:uid="{7FBFC901-0DB2-4494-8193-0FF8CCB83C2E}"/>
    <cellStyle name="60% - Énfasis3 3" xfId="85" xr:uid="{3D5B3137-DC57-437B-8DB1-E1E423C47002}"/>
    <cellStyle name="60% - Énfasis3 4" xfId="114" xr:uid="{A1E8CB6C-8FF5-414F-AAB5-8A8700332134}"/>
    <cellStyle name="60% - Énfasis3 5" xfId="164" xr:uid="{652589C4-4722-4A8C-8F66-B432D751CD90}"/>
    <cellStyle name="60% - Énfasis3 6" xfId="253" xr:uid="{DB26A37A-FD2D-464E-BE9B-676E244523E8}"/>
    <cellStyle name="60% - Énfasis3 7" xfId="268" xr:uid="{E5D114BF-3EF5-4B18-AC88-E6D2286A55F0}"/>
    <cellStyle name="60% - Énfasis3 8" xfId="441" xr:uid="{3D26A9A4-0A05-4407-AD42-79702A6EB7FB}"/>
    <cellStyle name="60% - Énfasis3 9" xfId="780" xr:uid="{A5CB030C-AA05-4866-9E0B-7017B546EFCF}"/>
    <cellStyle name="60% - Énfasis4 10" xfId="39" xr:uid="{AA421139-2B71-4257-91C5-659EB6951C8F}"/>
    <cellStyle name="60% - Énfasis4 2" xfId="68" xr:uid="{C0DB96FC-1E15-4705-82D5-A28000D7BC61}"/>
    <cellStyle name="60% - Énfasis4 3" xfId="86" xr:uid="{450ADDB3-2DC1-4639-AD3C-562BF9C58A4A}"/>
    <cellStyle name="60% - Énfasis4 4" xfId="115" xr:uid="{9A6DC262-8649-44D3-9534-4A45EDC9D51C}"/>
    <cellStyle name="60% - Énfasis4 5" xfId="165" xr:uid="{B7DD74A6-998E-430A-B8F8-AE257B6130E6}"/>
    <cellStyle name="60% - Énfasis4 6" xfId="254" xr:uid="{6ABB8FD5-06B8-4D25-BA63-378C47C4E49E}"/>
    <cellStyle name="60% - Énfasis4 7" xfId="269" xr:uid="{B11B9C32-8E10-4467-8F38-DBC90AB32EDB}"/>
    <cellStyle name="60% - Énfasis4 8" xfId="442" xr:uid="{9FF910BE-538D-4010-827C-755EBA0A3019}"/>
    <cellStyle name="60% - Énfasis4 9" xfId="781" xr:uid="{CF20BBD6-CD64-433F-A8F7-6F30F5BA8BB6}"/>
    <cellStyle name="60% - Énfasis5 10" xfId="40" xr:uid="{4F986DA4-0DDD-45F0-A325-ED429CB6F6BF}"/>
    <cellStyle name="60% - Énfasis5 2" xfId="69" xr:uid="{5F02AEDB-24FA-4D73-98CB-2C5873FD0F45}"/>
    <cellStyle name="60% - Énfasis5 3" xfId="87" xr:uid="{8FAA47F8-260A-4D2D-AC7A-C443F56C9D44}"/>
    <cellStyle name="60% - Énfasis5 4" xfId="116" xr:uid="{CEA4B2AA-1002-4281-9394-8855C32D8F33}"/>
    <cellStyle name="60% - Énfasis5 5" xfId="166" xr:uid="{EFD820D4-93DC-4867-BFAF-B075F5BA15BD}"/>
    <cellStyle name="60% - Énfasis5 6" xfId="255" xr:uid="{172C52D8-3DB6-4BD7-9278-691DEDAFE3ED}"/>
    <cellStyle name="60% - Énfasis5 7" xfId="270" xr:uid="{800ED03A-4320-41D0-A243-8EA477FCA95E}"/>
    <cellStyle name="60% - Énfasis5 8" xfId="443" xr:uid="{9FD7F170-B4A4-48AC-8B1C-1099E2981E0E}"/>
    <cellStyle name="60% - Énfasis5 9" xfId="782" xr:uid="{6DECCC67-7A6B-457F-B370-6A4E0851466C}"/>
    <cellStyle name="60% - Énfasis6 10" xfId="41" xr:uid="{BB43CA1F-275C-4194-AB6D-A41D515841F6}"/>
    <cellStyle name="60% - Énfasis6 2" xfId="70" xr:uid="{AF23AED0-C3C7-4DB0-A261-30D2114F7CAB}"/>
    <cellStyle name="60% - Énfasis6 3" xfId="88" xr:uid="{55F32538-506D-4ED4-BE18-280B2E108145}"/>
    <cellStyle name="60% - Énfasis6 4" xfId="117" xr:uid="{CB5610A8-0E77-4DF4-98C3-2340AB63F730}"/>
    <cellStyle name="60% - Énfasis6 5" xfId="167" xr:uid="{8D2B45AE-FA98-4792-8D7C-23F09A9818FD}"/>
    <cellStyle name="60% - Énfasis6 6" xfId="256" xr:uid="{13011499-3BB0-46D5-A754-33D4B7933F46}"/>
    <cellStyle name="60% - Énfasis6 7" xfId="271" xr:uid="{AC822857-DD45-47D9-9DD9-C8BF3763E66B}"/>
    <cellStyle name="60% - Énfasis6 8" xfId="444" xr:uid="{BE2F94D8-7BA7-4D15-962C-4A2C1872D2D4}"/>
    <cellStyle name="60% - Énfasis6 9" xfId="783" xr:uid="{C0088BF3-4ADC-4951-B0D1-91A4C9FB7F5B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Hipervínculo" xfId="42" builtinId="8"/>
    <cellStyle name="Incorrecto" xfId="7" builtinId="27" customBuiltin="1"/>
    <cellStyle name="Millares [0] 10" xfId="175" xr:uid="{F729C927-0CBB-4D01-BD6D-40121680D803}"/>
    <cellStyle name="Millares [0] 10 2" xfId="361" xr:uid="{F8BED7C1-7FFA-4C55-BA46-C34C5ECC2F11}"/>
    <cellStyle name="Millares [0] 10 2 2" xfId="700" xr:uid="{6FEE32A8-6C90-45FE-8EF2-1A576B5CC3E3}"/>
    <cellStyle name="Millares [0] 10 2 2 2" xfId="1371" xr:uid="{86C54A3C-D662-4BD0-AB63-0F45465E761B}"/>
    <cellStyle name="Millares [0] 10 2 3" xfId="1039" xr:uid="{2A290C18-89B1-4B33-B983-D2E161F25DF8}"/>
    <cellStyle name="Millares [0] 10 3" xfId="534" xr:uid="{DAF18C8D-D298-4A88-B4C3-C8307C45EC5D}"/>
    <cellStyle name="Millares [0] 10 3 2" xfId="1205" xr:uid="{7309AA2C-E79E-4987-8182-FF63C20B348A}"/>
    <cellStyle name="Millares [0] 10 4" xfId="873" xr:uid="{34534AE6-A641-4F76-BB25-19946EE3BD3F}"/>
    <cellStyle name="Millares [0] 11" xfId="265" xr:uid="{00F9B557-753C-486F-8309-71C7CD19BACB}"/>
    <cellStyle name="Millares [0] 11 2" xfId="438" xr:uid="{FA9B68F5-DEF2-4653-B8C8-FA140EA2B439}"/>
    <cellStyle name="Millares [0] 11 2 2" xfId="777" xr:uid="{5B9E7B2F-165C-4F67-95EE-D2CFD81754B9}"/>
    <cellStyle name="Millares [0] 11 2 2 2" xfId="1448" xr:uid="{2CAFB397-0F5B-458E-851C-C9DCAA55D71F}"/>
    <cellStyle name="Millares [0] 11 2 3" xfId="1116" xr:uid="{F1FB638A-FBF1-408A-9432-4D9B1EF5B1F9}"/>
    <cellStyle name="Millares [0] 11 3" xfId="611" xr:uid="{6A319A34-5DFB-49C2-B79F-997422485E54}"/>
    <cellStyle name="Millares [0] 11 3 2" xfId="1282" xr:uid="{9B0B206A-D661-42BC-A93D-ED0566889A0D}"/>
    <cellStyle name="Millares [0] 11 4" xfId="950" xr:uid="{417E65B2-7970-454F-88F4-4E0979BE97DF}"/>
    <cellStyle name="Millares [0] 12" xfId="279" xr:uid="{7F3B1090-3542-4F20-8EAE-4DA1607D091D}"/>
    <cellStyle name="Millares [0] 12 2" xfId="618" xr:uid="{5765F2DC-0C88-4A14-9DEA-9635212447EF}"/>
    <cellStyle name="Millares [0] 12 2 2" xfId="1289" xr:uid="{EF016869-0AB3-4AA7-AD3B-D4094CE8B65E}"/>
    <cellStyle name="Millares [0] 12 3" xfId="957" xr:uid="{629A8701-745C-4059-A7A6-612928A089E1}"/>
    <cellStyle name="Millares [0] 13" xfId="452" xr:uid="{C22F7663-63CD-47DA-BFC2-84D8F387CD72}"/>
    <cellStyle name="Millares [0] 13 2" xfId="1123" xr:uid="{A8A9E3D7-210F-47B5-B8F0-A6002211DA88}"/>
    <cellStyle name="Millares [0] 14" xfId="791" xr:uid="{0882BACF-78D8-4FDB-9571-920B7B136413}"/>
    <cellStyle name="Millares [0] 15" xfId="61" xr:uid="{3272DFCE-3B02-40BE-9BD6-11043226009E}"/>
    <cellStyle name="Millares [0] 2" xfId="44" xr:uid="{4B0E6363-5342-428D-8076-674A2761AD2C}"/>
    <cellStyle name="Millares [0] 2 2" xfId="258" xr:uid="{70245D26-C8AC-4AF0-B5C4-DF530E0250BB}"/>
    <cellStyle name="Millares [0] 3" xfId="45" xr:uid="{BDDED15C-A6AA-46E3-9DA9-6330391B5037}"/>
    <cellStyle name="Millares [0] 3 2" xfId="72" xr:uid="{1C1D29D5-050A-4754-90FD-4EC8E7C7DF6E}"/>
    <cellStyle name="Millares [0] 3 2 2" xfId="101" xr:uid="{943070FC-E41E-4E0A-9307-AA3F2EA43532}"/>
    <cellStyle name="Millares [0] 3 2 2 2" xfId="149" xr:uid="{EE687B8A-F108-4293-B9A7-7F5A299AA397}"/>
    <cellStyle name="Millares [0] 3 2 2 2 2" xfId="238" xr:uid="{C864A8D4-C449-4CC6-975A-44727505CC45}"/>
    <cellStyle name="Millares [0] 3 2 2 2 2 2" xfId="424" xr:uid="{1116538C-CB2A-4643-89B8-7E8F11AA7860}"/>
    <cellStyle name="Millares [0] 3 2 2 2 2 2 2" xfId="763" xr:uid="{BC698A45-F016-4027-A0AF-58F4B59467AC}"/>
    <cellStyle name="Millares [0] 3 2 2 2 2 2 2 2" xfId="1434" xr:uid="{ABDC8776-7A62-4C75-BF55-9B41191F11BF}"/>
    <cellStyle name="Millares [0] 3 2 2 2 2 2 3" xfId="1102" xr:uid="{0B29607D-4C48-4AEB-8AE8-967F6AAB943A}"/>
    <cellStyle name="Millares [0] 3 2 2 2 2 3" xfId="597" xr:uid="{51CBD6A4-974D-45AF-B885-F2F33AC965BD}"/>
    <cellStyle name="Millares [0] 3 2 2 2 2 3 2" xfId="1268" xr:uid="{C4D032A2-5362-40BC-A6F6-79D31F1ADD47}"/>
    <cellStyle name="Millares [0] 3 2 2 2 2 4" xfId="936" xr:uid="{F3699BE9-4265-43B5-952D-F606895B43D4}"/>
    <cellStyle name="Millares [0] 3 2 2 2 3" xfId="342" xr:uid="{7B34BE32-4797-459E-9D3F-D3425261302A}"/>
    <cellStyle name="Millares [0] 3 2 2 2 3 2" xfId="681" xr:uid="{89FB7D0A-41B0-4CBF-AD39-5FAFEECDCAFC}"/>
    <cellStyle name="Millares [0] 3 2 2 2 3 2 2" xfId="1352" xr:uid="{2B611E3A-B7BE-4AFF-99FA-1EEDD1379191}"/>
    <cellStyle name="Millares [0] 3 2 2 2 3 3" xfId="1020" xr:uid="{364E4F2B-4D82-4F32-9669-A1D232DE06FC}"/>
    <cellStyle name="Millares [0] 3 2 2 2 4" xfId="515" xr:uid="{D19F8C23-35CE-4FF7-AC20-9E02F905284A}"/>
    <cellStyle name="Millares [0] 3 2 2 2 4 2" xfId="1186" xr:uid="{DA1065CD-D695-40AA-B4CE-BEAAC936D900}"/>
    <cellStyle name="Millares [0] 3 2 2 2 5" xfId="854" xr:uid="{51862DDB-6AE8-4B2A-8E6C-8A7A247958CF}"/>
    <cellStyle name="Millares [0] 3 2 2 3" xfId="198" xr:uid="{E7689E54-FA7D-4F3C-B0FF-829799908C80}"/>
    <cellStyle name="Millares [0] 3 2 2 3 2" xfId="384" xr:uid="{A34668AE-6075-4349-B17B-1742581B3DAB}"/>
    <cellStyle name="Millares [0] 3 2 2 3 2 2" xfId="723" xr:uid="{AC0E1760-029B-44F2-A26D-F83D41E1F44E}"/>
    <cellStyle name="Millares [0] 3 2 2 3 2 2 2" xfId="1394" xr:uid="{D5A2B88C-3DD7-43D7-924A-F0265B8AB431}"/>
    <cellStyle name="Millares [0] 3 2 2 3 2 3" xfId="1062" xr:uid="{F154E28B-0869-4ADA-9064-A15FE6CBA67D}"/>
    <cellStyle name="Millares [0] 3 2 2 3 3" xfId="557" xr:uid="{41BFFB00-D182-49E8-8551-7AD353187DC4}"/>
    <cellStyle name="Millares [0] 3 2 2 3 3 2" xfId="1228" xr:uid="{7DD11D54-6DEB-49AF-B309-C9787559A71F}"/>
    <cellStyle name="Millares [0] 3 2 2 3 4" xfId="896" xr:uid="{403AD75C-37D0-4DD3-8DA2-A47B3BB46C79}"/>
    <cellStyle name="Millares [0] 3 2 2 4" xfId="302" xr:uid="{22FE6B5A-E5F5-4DED-A3B7-8EE22A3B850B}"/>
    <cellStyle name="Millares [0] 3 2 2 4 2" xfId="641" xr:uid="{0D6FD568-A34C-4E02-B5CA-2353238EC0BA}"/>
    <cellStyle name="Millares [0] 3 2 2 4 2 2" xfId="1312" xr:uid="{DECC6CED-2396-4FBA-9F4B-D945B42EE9DF}"/>
    <cellStyle name="Millares [0] 3 2 2 4 3" xfId="980" xr:uid="{73200AFB-6817-4847-B528-0EAFE9405E15}"/>
    <cellStyle name="Millares [0] 3 2 2 5" xfId="475" xr:uid="{A182C2F5-DE68-4869-B06E-5CEC5C929332}"/>
    <cellStyle name="Millares [0] 3 2 2 5 2" xfId="1146" xr:uid="{548382BD-D606-44C4-A7F2-5D23ACD40F37}"/>
    <cellStyle name="Millares [0] 3 2 2 6" xfId="814" xr:uid="{5CE1EB5F-5EFD-4CA2-9238-984F4F85A441}"/>
    <cellStyle name="Millares [0] 3 2 3" xfId="130" xr:uid="{2B703A39-1263-4FD6-B468-8394BD332CA0}"/>
    <cellStyle name="Millares [0] 3 2 3 2" xfId="219" xr:uid="{91DED45D-2F3F-4FC8-B317-CA305799CFBB}"/>
    <cellStyle name="Millares [0] 3 2 3 2 2" xfId="405" xr:uid="{869BA0B4-5DC2-4EA0-8F04-ADD04D8FC73C}"/>
    <cellStyle name="Millares [0] 3 2 3 2 2 2" xfId="744" xr:uid="{E4C7B093-D3C4-42D2-B8B3-9A0F4A3211F6}"/>
    <cellStyle name="Millares [0] 3 2 3 2 2 2 2" xfId="1415" xr:uid="{28D982DD-7CA7-4236-A208-87E151F01E7F}"/>
    <cellStyle name="Millares [0] 3 2 3 2 2 3" xfId="1083" xr:uid="{A018E2E3-C883-4224-8D99-D2DF0E4AF533}"/>
    <cellStyle name="Millares [0] 3 2 3 2 3" xfId="578" xr:uid="{7E59CDDF-4BAA-402E-AC53-015E04B2F108}"/>
    <cellStyle name="Millares [0] 3 2 3 2 3 2" xfId="1249" xr:uid="{4F50CF88-7C5F-45A5-BD2C-BD24AE0A549A}"/>
    <cellStyle name="Millares [0] 3 2 3 2 4" xfId="917" xr:uid="{7F034CF1-CC06-46D1-A639-2581321AE09F}"/>
    <cellStyle name="Millares [0] 3 2 3 3" xfId="323" xr:uid="{DF66403F-D50B-412D-8A5B-D33C45920AD1}"/>
    <cellStyle name="Millares [0] 3 2 3 3 2" xfId="662" xr:uid="{EA91B87B-0FC2-4126-AB3B-5F09F84ABA67}"/>
    <cellStyle name="Millares [0] 3 2 3 3 2 2" xfId="1333" xr:uid="{9D0ECC33-CB71-45F7-9BCD-BECBC4245897}"/>
    <cellStyle name="Millares [0] 3 2 3 3 3" xfId="1001" xr:uid="{5890320F-B296-41F1-BDDA-D9317678CAC4}"/>
    <cellStyle name="Millares [0] 3 2 3 4" xfId="496" xr:uid="{D048456F-268D-4454-96F9-CC90809FF4CE}"/>
    <cellStyle name="Millares [0] 3 2 3 4 2" xfId="1167" xr:uid="{B16C13EF-6DD6-484B-9605-D163BCF85CD9}"/>
    <cellStyle name="Millares [0] 3 2 3 5" xfId="835" xr:uid="{D235F648-D252-4738-9F4C-681407EA8182}"/>
    <cellStyle name="Millares [0] 3 2 4" xfId="179" xr:uid="{5E0739AA-DB2F-4E9E-BC31-5A49CCB32A80}"/>
    <cellStyle name="Millares [0] 3 2 4 2" xfId="365" xr:uid="{E599776B-4E60-4E20-A86F-0C4D0D603EAF}"/>
    <cellStyle name="Millares [0] 3 2 4 2 2" xfId="704" xr:uid="{42195ABF-D9C6-4FF6-B52A-3202A0375E0F}"/>
    <cellStyle name="Millares [0] 3 2 4 2 2 2" xfId="1375" xr:uid="{B50777C4-8969-48F4-8A87-31157035FE32}"/>
    <cellStyle name="Millares [0] 3 2 4 2 3" xfId="1043" xr:uid="{4C5B9D4B-715D-4DA0-A010-0E4812917EEC}"/>
    <cellStyle name="Millares [0] 3 2 4 3" xfId="538" xr:uid="{5F60634C-F936-435A-9F79-8EB45B71515B}"/>
    <cellStyle name="Millares [0] 3 2 4 3 2" xfId="1209" xr:uid="{F9F3116E-6C83-410F-83A2-36A3BA8C9676}"/>
    <cellStyle name="Millares [0] 3 2 4 4" xfId="877" xr:uid="{5A46EA45-14EC-44FD-97F3-EA19CA512300}"/>
    <cellStyle name="Millares [0] 3 2 5" xfId="283" xr:uid="{DC8E8D7E-87F7-442B-87C6-C87244FCAB92}"/>
    <cellStyle name="Millares [0] 3 2 5 2" xfId="622" xr:uid="{E52D6758-4371-4A14-9BF5-AF837298356E}"/>
    <cellStyle name="Millares [0] 3 2 5 2 2" xfId="1293" xr:uid="{F70661D8-41E9-4CE0-9DED-67898857EA55}"/>
    <cellStyle name="Millares [0] 3 2 5 3" xfId="961" xr:uid="{9F32095F-05FB-41EE-B88B-DEC102AD09BF}"/>
    <cellStyle name="Millares [0] 3 2 6" xfId="456" xr:uid="{712BBBB6-6DAB-4C33-B5AF-76FEB22F42C6}"/>
    <cellStyle name="Millares [0] 3 2 6 2" xfId="1127" xr:uid="{E76A3D9A-2A91-462C-B081-BBF62B5B282C}"/>
    <cellStyle name="Millares [0] 3 2 7" xfId="795" xr:uid="{3ED079A2-4344-4C38-9AC8-0AF6A56B6FF9}"/>
    <cellStyle name="Millares [0] 3 3" xfId="90" xr:uid="{4CD1ED06-938C-4470-BB88-AF642A89B62F}"/>
    <cellStyle name="Millares [0] 3 3 2" xfId="140" xr:uid="{F570FABF-2D7F-43FB-95CB-3376F49CDA4D}"/>
    <cellStyle name="Millares [0] 3 3 2 2" xfId="229" xr:uid="{0E307507-A14A-42F7-8B13-747535895084}"/>
    <cellStyle name="Millares [0] 3 3 2 2 2" xfId="415" xr:uid="{2CFC5F9C-C7BB-4907-96A1-2A93E7EFBE62}"/>
    <cellStyle name="Millares [0] 3 3 2 2 2 2" xfId="754" xr:uid="{D30309AC-4B1F-4100-AAA1-D79F1177D5BA}"/>
    <cellStyle name="Millares [0] 3 3 2 2 2 2 2" xfId="1425" xr:uid="{9E015194-4C95-4C87-9772-294A4C76B336}"/>
    <cellStyle name="Millares [0] 3 3 2 2 2 3" xfId="1093" xr:uid="{8B945025-4F7A-4153-9E9B-07A993E93916}"/>
    <cellStyle name="Millares [0] 3 3 2 2 3" xfId="588" xr:uid="{5BE11B4A-97C4-48F9-9EDA-96EA4C1B57D0}"/>
    <cellStyle name="Millares [0] 3 3 2 2 3 2" xfId="1259" xr:uid="{4CDEC4BA-B0FA-4849-8922-9D0FB3B72518}"/>
    <cellStyle name="Millares [0] 3 3 2 2 4" xfId="927" xr:uid="{5CB04F86-1432-4646-B88B-950770F96FFE}"/>
    <cellStyle name="Millares [0] 3 3 2 3" xfId="333" xr:uid="{6842C23B-A3AC-4090-A1A2-74744AF10B8D}"/>
    <cellStyle name="Millares [0] 3 3 2 3 2" xfId="672" xr:uid="{60261504-0A4F-445E-AAE0-52225B7D14E9}"/>
    <cellStyle name="Millares [0] 3 3 2 3 2 2" xfId="1343" xr:uid="{0A18433F-154D-4B00-B60D-A831AC36B3B7}"/>
    <cellStyle name="Millares [0] 3 3 2 3 3" xfId="1011" xr:uid="{CEACBAF2-D062-4312-9722-F1B9B29C6A35}"/>
    <cellStyle name="Millares [0] 3 3 2 4" xfId="506" xr:uid="{7662488C-C3D2-4962-9CAC-ED1FF90FD042}"/>
    <cellStyle name="Millares [0] 3 3 2 4 2" xfId="1177" xr:uid="{EF52A17E-C6A9-471B-A0D7-CB548EA684FE}"/>
    <cellStyle name="Millares [0] 3 3 2 5" xfId="845" xr:uid="{2D78C860-2DFE-4C13-ABEB-AB2D4F3F5AF9}"/>
    <cellStyle name="Millares [0] 3 3 3" xfId="189" xr:uid="{4E9D10E3-6383-4C7E-B504-F17428E7BE09}"/>
    <cellStyle name="Millares [0] 3 3 3 2" xfId="375" xr:uid="{7EEFBC44-5263-40C6-95EF-CBFC5D81CC4F}"/>
    <cellStyle name="Millares [0] 3 3 3 2 2" xfId="714" xr:uid="{CD3ABED1-7F6B-4A89-A405-FBE82F364875}"/>
    <cellStyle name="Millares [0] 3 3 3 2 2 2" xfId="1385" xr:uid="{338D2468-D1B4-4631-937E-DE3653D93376}"/>
    <cellStyle name="Millares [0] 3 3 3 2 3" xfId="1053" xr:uid="{A32B26D0-8651-4583-9C52-B5120BE58D06}"/>
    <cellStyle name="Millares [0] 3 3 3 3" xfId="548" xr:uid="{B6CDC106-A090-4537-A0A5-F8F3E98FE098}"/>
    <cellStyle name="Millares [0] 3 3 3 3 2" xfId="1219" xr:uid="{D8AA93FC-A916-4B1A-877B-8E0AFCF414EB}"/>
    <cellStyle name="Millares [0] 3 3 3 4" xfId="887" xr:uid="{5D15DABF-3481-4719-B92E-049BFEF90303}"/>
    <cellStyle name="Millares [0] 3 3 4" xfId="293" xr:uid="{23FC6F6A-A0F3-48A1-A26F-852787737909}"/>
    <cellStyle name="Millares [0] 3 3 4 2" xfId="632" xr:uid="{B61B8FF6-ADB0-4BB5-AB03-D59897B3517F}"/>
    <cellStyle name="Millares [0] 3 3 4 2 2" xfId="1303" xr:uid="{F1413458-8AD0-4424-B747-1CBD97A54351}"/>
    <cellStyle name="Millares [0] 3 3 4 3" xfId="971" xr:uid="{E14DF006-04C1-4825-811B-0D148EFF6415}"/>
    <cellStyle name="Millares [0] 3 3 5" xfId="466" xr:uid="{78D523C7-694B-4A01-B433-9005E99B6024}"/>
    <cellStyle name="Millares [0] 3 3 5 2" xfId="1137" xr:uid="{82AE63D6-3289-4225-8404-00477BE5C7CC}"/>
    <cellStyle name="Millares [0] 3 3 6" xfId="805" xr:uid="{93AE4263-D53B-41C7-86F8-6D9C5DCBAA81}"/>
    <cellStyle name="Millares [0] 3 4" xfId="119" xr:uid="{080E4784-4D06-4DB0-B22C-24DEA6DFA0F9}"/>
    <cellStyle name="Millares [0] 3 4 2" xfId="210" xr:uid="{48EC9BA1-2652-47BF-8ACB-E4CCF5A0EC22}"/>
    <cellStyle name="Millares [0] 3 4 2 2" xfId="396" xr:uid="{9B1EACA2-D4E8-44E3-BFAA-1F58DDF8C8D8}"/>
    <cellStyle name="Millares [0] 3 4 2 2 2" xfId="735" xr:uid="{C3AB013D-EEA1-4B69-9B46-A08B3AE1EA20}"/>
    <cellStyle name="Millares [0] 3 4 2 2 2 2" xfId="1406" xr:uid="{6D75CF3D-F327-4741-AA9A-33A990EA0B08}"/>
    <cellStyle name="Millares [0] 3 4 2 2 3" xfId="1074" xr:uid="{A55243CE-69A5-4D26-8EEB-79B3BB9A8A25}"/>
    <cellStyle name="Millares [0] 3 4 2 3" xfId="569" xr:uid="{1606B953-636F-43B1-9A9C-31F64513BDE7}"/>
    <cellStyle name="Millares [0] 3 4 2 3 2" xfId="1240" xr:uid="{EA67848E-88E7-4777-B3B0-DB532B7BA067}"/>
    <cellStyle name="Millares [0] 3 4 2 4" xfId="908" xr:uid="{EBDE2AFC-2F02-42C5-B7FF-1E0CF145CC31}"/>
    <cellStyle name="Millares [0] 3 4 3" xfId="314" xr:uid="{24DB39E3-8EA5-49CD-927F-152FEA3BF596}"/>
    <cellStyle name="Millares [0] 3 4 3 2" xfId="653" xr:uid="{42C13ADF-B290-4C81-9CD2-90DA60CEE446}"/>
    <cellStyle name="Millares [0] 3 4 3 2 2" xfId="1324" xr:uid="{E62ED0EB-0FAA-4D28-BE5A-539F5E7B443D}"/>
    <cellStyle name="Millares [0] 3 4 3 3" xfId="992" xr:uid="{4D9184A3-9EE6-43E5-A5D1-285D1D29D2B4}"/>
    <cellStyle name="Millares [0] 3 4 4" xfId="487" xr:uid="{56C8EC1E-7587-4A0D-B043-5EBCD81DB0CC}"/>
    <cellStyle name="Millares [0] 3 4 4 2" xfId="1158" xr:uid="{93A1AFD7-CB4B-43F4-A93C-C77F345F8846}"/>
    <cellStyle name="Millares [0] 3 4 5" xfId="826" xr:uid="{975C5BBC-6AE3-4E28-B76B-6AABCCD8C3AA}"/>
    <cellStyle name="Millares [0] 3 5" xfId="169" xr:uid="{0FB86DE3-59ED-43D1-8F20-E06054AA6E45}"/>
    <cellStyle name="Millares [0] 3 5 2" xfId="356" xr:uid="{2657042C-3A5A-4606-95A7-DF2AFE127DA6}"/>
    <cellStyle name="Millares [0] 3 5 2 2" xfId="695" xr:uid="{EA7A7CA2-18B5-4ECD-BF57-D83B1AB1101B}"/>
    <cellStyle name="Millares [0] 3 5 2 2 2" xfId="1366" xr:uid="{E3C551B8-00F3-4BD0-A5C1-8781A674233C}"/>
    <cellStyle name="Millares [0] 3 5 2 3" xfId="1034" xr:uid="{80587116-350B-4B17-951C-501ACAA64B59}"/>
    <cellStyle name="Millares [0] 3 5 3" xfId="529" xr:uid="{A89F6E50-1D59-4735-B250-61B2CBEE61A7}"/>
    <cellStyle name="Millares [0] 3 5 3 2" xfId="1200" xr:uid="{0E63516A-151E-4F4F-AD73-371E99140B10}"/>
    <cellStyle name="Millares [0] 3 5 4" xfId="868" xr:uid="{6944F235-94ED-4992-9B3B-7978C0C3820B}"/>
    <cellStyle name="Millares [0] 3 6" xfId="273" xr:uid="{440E2E6C-0126-46E0-B062-03968C6ACB18}"/>
    <cellStyle name="Millares [0] 3 6 2" xfId="613" xr:uid="{97FBEA14-E511-45F3-824E-F87A9514A76F}"/>
    <cellStyle name="Millares [0] 3 6 2 2" xfId="1284" xr:uid="{0987502C-BD50-4D42-836F-18042416DC28}"/>
    <cellStyle name="Millares [0] 3 6 3" xfId="952" xr:uid="{6384278C-3366-4CD8-B4D7-385144736C20}"/>
    <cellStyle name="Millares [0] 3 7" xfId="446" xr:uid="{656474D6-84F1-4847-828E-0E422C703FB3}"/>
    <cellStyle name="Millares [0] 3 7 2" xfId="1118" xr:uid="{B6B722DC-8CB3-4260-90CE-FF73256D00D7}"/>
    <cellStyle name="Millares [0] 3 8" xfId="785" xr:uid="{592B8D40-7C01-4CA4-B118-5D2562D1AFB7}"/>
    <cellStyle name="Millares [0] 34" xfId="46" xr:uid="{F3D2C551-96F3-4CCC-87F4-93A08289E755}"/>
    <cellStyle name="Millares [0] 34 2" xfId="73" xr:uid="{4B2A5D90-E4A3-4B0D-A7FF-D621A8BB51B3}"/>
    <cellStyle name="Millares [0] 34 2 2" xfId="102" xr:uid="{7C718F2C-809E-419B-B06F-266336DA141F}"/>
    <cellStyle name="Millares [0] 34 2 2 2" xfId="150" xr:uid="{A4C9794E-FA4E-4746-B10A-2EDE5BF2E09B}"/>
    <cellStyle name="Millares [0] 34 2 2 2 2" xfId="239" xr:uid="{807A9082-415A-4D5C-B21F-0F9EDBEE340E}"/>
    <cellStyle name="Millares [0] 34 2 2 2 2 2" xfId="425" xr:uid="{6E446E13-DF8E-44AB-BC88-36C2866DB927}"/>
    <cellStyle name="Millares [0] 34 2 2 2 2 2 2" xfId="764" xr:uid="{EDD841D0-CEC8-45DD-BE81-B5D4FD9E9AE3}"/>
    <cellStyle name="Millares [0] 34 2 2 2 2 2 2 2" xfId="1435" xr:uid="{598D04F5-527C-413B-965F-69BD3A763922}"/>
    <cellStyle name="Millares [0] 34 2 2 2 2 2 3" xfId="1103" xr:uid="{51080480-35F5-4F5C-87AC-AF12FED359AE}"/>
    <cellStyle name="Millares [0] 34 2 2 2 2 3" xfId="598" xr:uid="{15792EEB-0DD0-4754-B1BF-40F2827454E0}"/>
    <cellStyle name="Millares [0] 34 2 2 2 2 3 2" xfId="1269" xr:uid="{93FA2EC1-0D02-44A2-A01E-72B73D25868C}"/>
    <cellStyle name="Millares [0] 34 2 2 2 2 4" xfId="937" xr:uid="{6C859A17-E4AB-45CB-B6F4-B34EE994C03A}"/>
    <cellStyle name="Millares [0] 34 2 2 2 3" xfId="343" xr:uid="{ABB126A1-17E8-4350-9F5D-125222516DF6}"/>
    <cellStyle name="Millares [0] 34 2 2 2 3 2" xfId="682" xr:uid="{6FE3595C-4041-4D30-B06C-492DB9C48672}"/>
    <cellStyle name="Millares [0] 34 2 2 2 3 2 2" xfId="1353" xr:uid="{754DFD5B-34B4-4F05-B137-14667C3AF214}"/>
    <cellStyle name="Millares [0] 34 2 2 2 3 3" xfId="1021" xr:uid="{F78F0CBC-1B9C-40B1-B60C-2EC17A6F3034}"/>
    <cellStyle name="Millares [0] 34 2 2 2 4" xfId="516" xr:uid="{01BFDEAA-90FC-49A5-B662-0D6870F33B72}"/>
    <cellStyle name="Millares [0] 34 2 2 2 4 2" xfId="1187" xr:uid="{3E3BD1B2-6026-4544-A900-D8860E7F8511}"/>
    <cellStyle name="Millares [0] 34 2 2 2 5" xfId="855" xr:uid="{AAE07BA0-644D-48F0-B64D-696C795158BB}"/>
    <cellStyle name="Millares [0] 34 2 2 3" xfId="199" xr:uid="{5EBB190B-8253-43B9-B7AC-6E2AB0D38AD0}"/>
    <cellStyle name="Millares [0] 34 2 2 3 2" xfId="385" xr:uid="{FC75D6A0-5EC2-47A1-ACC0-9E6082A42841}"/>
    <cellStyle name="Millares [0] 34 2 2 3 2 2" xfId="724" xr:uid="{A9F17C9D-3C68-43ED-8850-00A6D4B9843A}"/>
    <cellStyle name="Millares [0] 34 2 2 3 2 2 2" xfId="1395" xr:uid="{B9559A25-0A37-4171-B2A8-8CB0EF63C85F}"/>
    <cellStyle name="Millares [0] 34 2 2 3 2 3" xfId="1063" xr:uid="{653F24E5-3FA1-4C92-AD16-CA1CA5F17BC7}"/>
    <cellStyle name="Millares [0] 34 2 2 3 3" xfId="558" xr:uid="{1C54D2C7-B7BE-4803-9857-567929BEA208}"/>
    <cellStyle name="Millares [0] 34 2 2 3 3 2" xfId="1229" xr:uid="{1FBABCDD-91E5-43F3-AB7E-FAB1F70795BB}"/>
    <cellStyle name="Millares [0] 34 2 2 3 4" xfId="897" xr:uid="{256C0EE7-AB10-4834-BCEA-E06B0B3D3499}"/>
    <cellStyle name="Millares [0] 34 2 2 4" xfId="303" xr:uid="{85834997-3267-440A-AC57-320907087BC0}"/>
    <cellStyle name="Millares [0] 34 2 2 4 2" xfId="642" xr:uid="{6F341319-86F9-4C5C-9CB5-0035E559328E}"/>
    <cellStyle name="Millares [0] 34 2 2 4 2 2" xfId="1313" xr:uid="{BB6B89E2-E3FF-4972-8876-EC840272B06E}"/>
    <cellStyle name="Millares [0] 34 2 2 4 3" xfId="981" xr:uid="{AC83C0A4-8334-49DA-B94F-6D588C207FC1}"/>
    <cellStyle name="Millares [0] 34 2 2 5" xfId="476" xr:uid="{B890FA5F-E443-487F-A6CC-B4C26F6DA325}"/>
    <cellStyle name="Millares [0] 34 2 2 5 2" xfId="1147" xr:uid="{340D8652-9666-47C0-8F16-871BBAD28AFB}"/>
    <cellStyle name="Millares [0] 34 2 2 6" xfId="815" xr:uid="{049EB923-BA2B-4C93-A062-A509448615A8}"/>
    <cellStyle name="Millares [0] 34 2 3" xfId="131" xr:uid="{D3A254C0-5182-4DA2-AF0E-67176772E3A9}"/>
    <cellStyle name="Millares [0] 34 2 3 2" xfId="220" xr:uid="{67753085-F6FF-4BF3-9D9F-A2E96F73662C}"/>
    <cellStyle name="Millares [0] 34 2 3 2 2" xfId="406" xr:uid="{31EEA07A-3CA1-415E-AFEB-A0E201BD1CF3}"/>
    <cellStyle name="Millares [0] 34 2 3 2 2 2" xfId="745" xr:uid="{70F388F7-7DD7-49CB-BC94-92A97F67E249}"/>
    <cellStyle name="Millares [0] 34 2 3 2 2 2 2" xfId="1416" xr:uid="{656A3E6A-1FC1-4496-8543-ECF0749E6A85}"/>
    <cellStyle name="Millares [0] 34 2 3 2 2 3" xfId="1084" xr:uid="{E794E4DC-E1CC-4C55-BBB1-5F47F8BAA33E}"/>
    <cellStyle name="Millares [0] 34 2 3 2 3" xfId="579" xr:uid="{B195DF87-4067-4E7E-AFA4-C258A23AE47D}"/>
    <cellStyle name="Millares [0] 34 2 3 2 3 2" xfId="1250" xr:uid="{8DF5EBB4-5E05-4F8D-94B2-E6CF968E4883}"/>
    <cellStyle name="Millares [0] 34 2 3 2 4" xfId="918" xr:uid="{20EA501D-E85E-450B-A537-1F6F37F791E9}"/>
    <cellStyle name="Millares [0] 34 2 3 3" xfId="324" xr:uid="{8CE875C9-282F-4BD9-8C83-565E21B8DB56}"/>
    <cellStyle name="Millares [0] 34 2 3 3 2" xfId="663" xr:uid="{C4640E9F-3C8D-4DC0-994A-9BBA6D576845}"/>
    <cellStyle name="Millares [0] 34 2 3 3 2 2" xfId="1334" xr:uid="{643E1AE3-D28D-4B45-82EF-455781DF02E8}"/>
    <cellStyle name="Millares [0] 34 2 3 3 3" xfId="1002" xr:uid="{37D74A06-2D7A-4B64-83E1-9595AC2B8F28}"/>
    <cellStyle name="Millares [0] 34 2 3 4" xfId="497" xr:uid="{ECE2E9FE-7409-4574-9456-E29204921A22}"/>
    <cellStyle name="Millares [0] 34 2 3 4 2" xfId="1168" xr:uid="{07DFE015-1FFD-4DF5-BA1A-85F60EBC6075}"/>
    <cellStyle name="Millares [0] 34 2 3 5" xfId="836" xr:uid="{8496CBCA-1BC7-44EA-BF77-AFD0B4B366DB}"/>
    <cellStyle name="Millares [0] 34 2 4" xfId="180" xr:uid="{EABDA8C0-3053-46B8-A274-B9ABAFA9FE34}"/>
    <cellStyle name="Millares [0] 34 2 4 2" xfId="366" xr:uid="{FEBCC1F9-526D-4897-BE1B-79AE7A5948D9}"/>
    <cellStyle name="Millares [0] 34 2 4 2 2" xfId="705" xr:uid="{B1311403-A601-41F5-9371-7039BC02B3A8}"/>
    <cellStyle name="Millares [0] 34 2 4 2 2 2" xfId="1376" xr:uid="{757B5056-3E21-4432-B476-3CBA504DA01F}"/>
    <cellStyle name="Millares [0] 34 2 4 2 3" xfId="1044" xr:uid="{EEF97676-97C0-4358-B2FC-8A67FC813408}"/>
    <cellStyle name="Millares [0] 34 2 4 3" xfId="539" xr:uid="{2ABE7C71-1104-45D6-AD84-A21D1E8B9451}"/>
    <cellStyle name="Millares [0] 34 2 4 3 2" xfId="1210" xr:uid="{874D74A2-1BF4-43AE-A046-F968F2584AD1}"/>
    <cellStyle name="Millares [0] 34 2 4 4" xfId="878" xr:uid="{5F09EDD3-3CCF-4313-8F06-21C91725056B}"/>
    <cellStyle name="Millares [0] 34 2 5" xfId="284" xr:uid="{80CC51D1-F5B5-44D2-AC0A-37D4093051C3}"/>
    <cellStyle name="Millares [0] 34 2 5 2" xfId="623" xr:uid="{BBD663F2-CAD4-40A8-B692-90CEDDFA1F6C}"/>
    <cellStyle name="Millares [0] 34 2 5 2 2" xfId="1294" xr:uid="{93EC780F-B62C-4FD1-BECD-70F57115BF00}"/>
    <cellStyle name="Millares [0] 34 2 5 3" xfId="962" xr:uid="{1E0B5F6E-700D-456E-A1C3-B3A68D50ED54}"/>
    <cellStyle name="Millares [0] 34 2 6" xfId="457" xr:uid="{218F3B8B-AD1F-4A22-B363-FA2802DA8A54}"/>
    <cellStyle name="Millares [0] 34 2 6 2" xfId="1128" xr:uid="{6B3DF955-737F-47AD-9C67-BEF3DA258C42}"/>
    <cellStyle name="Millares [0] 34 2 7" xfId="796" xr:uid="{607F63FF-3828-40D8-9723-663877A58C52}"/>
    <cellStyle name="Millares [0] 34 3" xfId="91" xr:uid="{2C21AE95-E50A-4FF4-B996-9F5B733F6900}"/>
    <cellStyle name="Millares [0] 34 3 2" xfId="141" xr:uid="{1DF84103-BD7D-4FC5-A2C4-4D1D3F3C4F70}"/>
    <cellStyle name="Millares [0] 34 3 2 2" xfId="230" xr:uid="{B367B4E1-2550-4A15-BAF4-A61ACE5865E5}"/>
    <cellStyle name="Millares [0] 34 3 2 2 2" xfId="416" xr:uid="{B9890BE0-8BD0-4B6F-BE3F-2E5320325DF8}"/>
    <cellStyle name="Millares [0] 34 3 2 2 2 2" xfId="755" xr:uid="{A50D34C8-CFB7-4974-9372-E58F3C19CE27}"/>
    <cellStyle name="Millares [0] 34 3 2 2 2 2 2" xfId="1426" xr:uid="{7F38D421-CC87-40A6-9A4B-7A22A6CE97B7}"/>
    <cellStyle name="Millares [0] 34 3 2 2 2 3" xfId="1094" xr:uid="{1B6F02C3-89E3-4BB3-A835-C937C2CE8697}"/>
    <cellStyle name="Millares [0] 34 3 2 2 3" xfId="589" xr:uid="{7F66B89D-0B6A-45A1-8045-B19E64916FD9}"/>
    <cellStyle name="Millares [0] 34 3 2 2 3 2" xfId="1260" xr:uid="{A5312F83-355A-4879-812B-DCAA2483EF28}"/>
    <cellStyle name="Millares [0] 34 3 2 2 4" xfId="928" xr:uid="{74C302A3-7646-448D-ACDF-6069BBB88D02}"/>
    <cellStyle name="Millares [0] 34 3 2 3" xfId="334" xr:uid="{787B8082-D72A-4A1C-8BAE-269488C0C3C8}"/>
    <cellStyle name="Millares [0] 34 3 2 3 2" xfId="673" xr:uid="{167B76A6-E6F0-4343-9C30-8DC2B8B978E6}"/>
    <cellStyle name="Millares [0] 34 3 2 3 2 2" xfId="1344" xr:uid="{11CC27F5-9729-438D-8565-76F0A49BBF8F}"/>
    <cellStyle name="Millares [0] 34 3 2 3 3" xfId="1012" xr:uid="{14986475-5C79-4EE8-BA39-161353E29C0B}"/>
    <cellStyle name="Millares [0] 34 3 2 4" xfId="507" xr:uid="{2ED55A49-9AF0-4E23-BA81-8D152728B8F7}"/>
    <cellStyle name="Millares [0] 34 3 2 4 2" xfId="1178" xr:uid="{BC917FCA-08A7-4556-8CF9-2E27D02BA748}"/>
    <cellStyle name="Millares [0] 34 3 2 5" xfId="846" xr:uid="{7B3C9A80-BBF6-4B51-9BCB-BB274A6B7441}"/>
    <cellStyle name="Millares [0] 34 3 3" xfId="190" xr:uid="{82A2EDCF-D6E6-42A7-B0B5-3D8DF587F960}"/>
    <cellStyle name="Millares [0] 34 3 3 2" xfId="376" xr:uid="{ABCD1F94-0462-4A28-8B09-7EC8039BADE7}"/>
    <cellStyle name="Millares [0] 34 3 3 2 2" xfId="715" xr:uid="{2564DDD7-0183-40DA-B94A-FC455E05B1B5}"/>
    <cellStyle name="Millares [0] 34 3 3 2 2 2" xfId="1386" xr:uid="{A7D1A6A4-6382-4909-9616-785133FB57BC}"/>
    <cellStyle name="Millares [0] 34 3 3 2 3" xfId="1054" xr:uid="{539A6462-C32B-4980-B458-4A49F7484C06}"/>
    <cellStyle name="Millares [0] 34 3 3 3" xfId="549" xr:uid="{6586D10E-3611-4BA0-AFD2-394753DBD444}"/>
    <cellStyle name="Millares [0] 34 3 3 3 2" xfId="1220" xr:uid="{8E1FA617-9C6E-4AD4-A906-0F29F0AE978A}"/>
    <cellStyle name="Millares [0] 34 3 3 4" xfId="888" xr:uid="{847428AC-7FEA-4005-A124-8F69198E95AE}"/>
    <cellStyle name="Millares [0] 34 3 4" xfId="294" xr:uid="{43DF0F0F-CEED-493D-A9FA-A9F88AA5B5A1}"/>
    <cellStyle name="Millares [0] 34 3 4 2" xfId="633" xr:uid="{BE2DE1BC-81DC-407C-A4FB-BEF81E04A0AE}"/>
    <cellStyle name="Millares [0] 34 3 4 2 2" xfId="1304" xr:uid="{55AB4DF9-F384-4A5A-9688-ABE1539AA3E3}"/>
    <cellStyle name="Millares [0] 34 3 4 3" xfId="972" xr:uid="{D6AE4F94-755E-4BEB-9CAB-E1FF936B183D}"/>
    <cellStyle name="Millares [0] 34 3 5" xfId="467" xr:uid="{A8194C08-D1CF-4592-929D-445A35238305}"/>
    <cellStyle name="Millares [0] 34 3 5 2" xfId="1138" xr:uid="{CD7BB832-6C56-4100-BD3F-F5C3A9BB3117}"/>
    <cellStyle name="Millares [0] 34 3 6" xfId="806" xr:uid="{9607989D-8CF3-4D92-9BD1-2E4AF5438DF7}"/>
    <cellStyle name="Millares [0] 34 4" xfId="120" xr:uid="{C068992F-914A-4198-8478-06E4E961A179}"/>
    <cellStyle name="Millares [0] 34 4 2" xfId="211" xr:uid="{D9B264AC-443B-47D1-A269-764E1C5C969A}"/>
    <cellStyle name="Millares [0] 34 4 2 2" xfId="397" xr:uid="{AF794E76-5F6C-4AC4-804F-725C1E1977A6}"/>
    <cellStyle name="Millares [0] 34 4 2 2 2" xfId="736" xr:uid="{B647FFC4-9290-4035-A83B-DD5DF4F09633}"/>
    <cellStyle name="Millares [0] 34 4 2 2 2 2" xfId="1407" xr:uid="{263B57D9-DF04-4FDD-A0C5-AF35C788035D}"/>
    <cellStyle name="Millares [0] 34 4 2 2 3" xfId="1075" xr:uid="{FDBA1DE7-EED6-4188-BE00-BFEA5D4B6AAF}"/>
    <cellStyle name="Millares [0] 34 4 2 3" xfId="570" xr:uid="{36BD48A8-1F7A-4F22-AECE-66D50D0D0411}"/>
    <cellStyle name="Millares [0] 34 4 2 3 2" xfId="1241" xr:uid="{3F6C6899-4E66-4A73-8807-9368275DD47E}"/>
    <cellStyle name="Millares [0] 34 4 2 4" xfId="909" xr:uid="{7510B9C7-D578-4620-85AA-7CFC1C0A1114}"/>
    <cellStyle name="Millares [0] 34 4 3" xfId="315" xr:uid="{225CF6EB-0B4B-4D0F-AB59-D0193B316D71}"/>
    <cellStyle name="Millares [0] 34 4 3 2" xfId="654" xr:uid="{A977BF5B-23F0-407D-BE20-910D7E19F8BC}"/>
    <cellStyle name="Millares [0] 34 4 3 2 2" xfId="1325" xr:uid="{B74884BF-4E8C-4228-ABA0-092D98A790E7}"/>
    <cellStyle name="Millares [0] 34 4 3 3" xfId="993" xr:uid="{39B1A870-8781-4620-842E-2666295FFEE1}"/>
    <cellStyle name="Millares [0] 34 4 4" xfId="488" xr:uid="{32F52568-C76A-4933-B37F-524922B2F3CA}"/>
    <cellStyle name="Millares [0] 34 4 4 2" xfId="1159" xr:uid="{8C2AC657-38B1-48CB-8D74-13F36F5D7DF2}"/>
    <cellStyle name="Millares [0] 34 4 5" xfId="827" xr:uid="{8F157DBA-A9CE-4429-946A-DDED48AEB23F}"/>
    <cellStyle name="Millares [0] 34 5" xfId="170" xr:uid="{3533FFF3-81C1-4798-BF20-E0DB1E78B67E}"/>
    <cellStyle name="Millares [0] 34 5 2" xfId="357" xr:uid="{4AA1E899-4DA6-4BAD-8187-380A1907C98E}"/>
    <cellStyle name="Millares [0] 34 5 2 2" xfId="696" xr:uid="{B213CF0A-82C6-4F26-AD5A-320747369595}"/>
    <cellStyle name="Millares [0] 34 5 2 2 2" xfId="1367" xr:uid="{C510249C-23CD-44F6-A280-6CED6D890B22}"/>
    <cellStyle name="Millares [0] 34 5 2 3" xfId="1035" xr:uid="{90E4AF4B-CC11-4C6D-B3E1-EF3057E8C3E6}"/>
    <cellStyle name="Millares [0] 34 5 3" xfId="530" xr:uid="{49CD88E7-9073-478A-949F-75BE0F69B177}"/>
    <cellStyle name="Millares [0] 34 5 3 2" xfId="1201" xr:uid="{758ED408-3AE1-4C78-8F51-7C12F0AD1900}"/>
    <cellStyle name="Millares [0] 34 5 4" xfId="869" xr:uid="{8B257F6F-A08B-4B9C-BE62-478DFE063F9A}"/>
    <cellStyle name="Millares [0] 34 6" xfId="274" xr:uid="{961A9A6C-B625-4734-BA36-25FC586517B4}"/>
    <cellStyle name="Millares [0] 34 6 2" xfId="614" xr:uid="{C58FF62A-515D-419B-89D7-B9C1C1DAE1A6}"/>
    <cellStyle name="Millares [0] 34 6 2 2" xfId="1285" xr:uid="{852298DA-A26A-4CFE-ADCF-651511DB6E97}"/>
    <cellStyle name="Millares [0] 34 6 3" xfId="953" xr:uid="{88482470-E1CD-4B23-9495-9AE08AA37FF5}"/>
    <cellStyle name="Millares [0] 34 7" xfId="447" xr:uid="{8BE8EFDB-AD30-428A-96F7-E0E6229ED07E}"/>
    <cellStyle name="Millares [0] 34 7 2" xfId="1119" xr:uid="{AB893BB0-8103-4008-98A2-0A7D27B10148}"/>
    <cellStyle name="Millares [0] 34 8" xfId="786" xr:uid="{6EDC15A3-EE78-45F9-9F7F-C372B80B47FC}"/>
    <cellStyle name="Millares [0] 4" xfId="78" xr:uid="{50A1C027-78E2-401C-83BE-99E9C2911A85}"/>
    <cellStyle name="Millares [0] 4 2" xfId="106" xr:uid="{21809B9F-96CF-4F47-AC48-D27CF1F16DBE}"/>
    <cellStyle name="Millares [0] 4 2 2" xfId="154" xr:uid="{5B6A692E-B7F6-405E-96B7-180395E72660}"/>
    <cellStyle name="Millares [0] 4 2 2 2" xfId="243" xr:uid="{B09A9B51-A424-40AB-81BE-FB3D17C80D9A}"/>
    <cellStyle name="Millares [0] 4 2 2 2 2" xfId="429" xr:uid="{8748F341-1325-4227-B439-FF2030AF3F71}"/>
    <cellStyle name="Millares [0] 4 2 2 2 2 2" xfId="768" xr:uid="{2B0095E6-B3C9-40F1-A795-957B367D1B01}"/>
    <cellStyle name="Millares [0] 4 2 2 2 2 2 2" xfId="1439" xr:uid="{B95AE418-CC4B-4245-B545-7DED6298C85F}"/>
    <cellStyle name="Millares [0] 4 2 2 2 2 3" xfId="1107" xr:uid="{AFED2191-34C2-429D-9781-1B00151AF6F8}"/>
    <cellStyle name="Millares [0] 4 2 2 2 3" xfId="602" xr:uid="{0B907228-4044-4BF3-946F-BACBB09BFDB7}"/>
    <cellStyle name="Millares [0] 4 2 2 2 3 2" xfId="1273" xr:uid="{79B9C127-86C2-44B1-AE13-8D1A7E21CDF3}"/>
    <cellStyle name="Millares [0] 4 2 2 2 4" xfId="941" xr:uid="{27062BCE-42E2-424E-8760-5F94483759E7}"/>
    <cellStyle name="Millares [0] 4 2 2 3" xfId="347" xr:uid="{821EC1D7-6177-44A0-B6AF-F73CFDE85DF9}"/>
    <cellStyle name="Millares [0] 4 2 2 3 2" xfId="686" xr:uid="{170E0751-577F-456C-99EE-701F5DE9DD8B}"/>
    <cellStyle name="Millares [0] 4 2 2 3 2 2" xfId="1357" xr:uid="{F49D9ECB-85B4-4173-BDD6-EE6FE442D35B}"/>
    <cellStyle name="Millares [0] 4 2 2 3 3" xfId="1025" xr:uid="{544EDBD5-411D-4929-9B9A-C809A8B50C7E}"/>
    <cellStyle name="Millares [0] 4 2 2 4" xfId="520" xr:uid="{17B3A908-A2A9-4010-AD86-4B2B4B5D085D}"/>
    <cellStyle name="Millares [0] 4 2 2 4 2" xfId="1191" xr:uid="{AEBE50A7-2C19-49D7-B9F4-8CB75A5F88B6}"/>
    <cellStyle name="Millares [0] 4 2 2 5" xfId="859" xr:uid="{20DE63F3-83A2-49C5-90DF-3702EFCB7A22}"/>
    <cellStyle name="Millares [0] 4 2 3" xfId="203" xr:uid="{9C93CE53-B496-408A-96CA-CEABC66B21DD}"/>
    <cellStyle name="Millares [0] 4 2 3 2" xfId="389" xr:uid="{72B956AC-6860-43B5-BC71-94EE4CCAE7AA}"/>
    <cellStyle name="Millares [0] 4 2 3 2 2" xfId="728" xr:uid="{BBF38CF9-8698-4EDF-B600-759B84065CAD}"/>
    <cellStyle name="Millares [0] 4 2 3 2 2 2" xfId="1399" xr:uid="{7F210CC6-AA95-4897-830B-29AAB293F5E2}"/>
    <cellStyle name="Millares [0] 4 2 3 2 3" xfId="1067" xr:uid="{62D31465-CCB0-40C5-9F8B-97F7D4E2D6AE}"/>
    <cellStyle name="Millares [0] 4 2 3 3" xfId="562" xr:uid="{D1F4FB16-9A88-463E-BF8D-692D143E59D5}"/>
    <cellStyle name="Millares [0] 4 2 3 3 2" xfId="1233" xr:uid="{5EE2D54B-11FB-4F51-8127-4D4EEDBAFF32}"/>
    <cellStyle name="Millares [0] 4 2 3 4" xfId="901" xr:uid="{578D2122-F59E-47EC-A5F9-6B7B6BEB010E}"/>
    <cellStyle name="Millares [0] 4 2 4" xfId="307" xr:uid="{BCF71580-6225-484C-AB73-AE7D3A3E5C40}"/>
    <cellStyle name="Millares [0] 4 2 4 2" xfId="646" xr:uid="{DA930CE6-39A5-49C2-9EC9-575BEE7DE7FF}"/>
    <cellStyle name="Millares [0] 4 2 4 2 2" xfId="1317" xr:uid="{FE171E70-C9F6-4CA2-8ABA-425EC3CB92F7}"/>
    <cellStyle name="Millares [0] 4 2 4 3" xfId="985" xr:uid="{BFAAF700-C595-4FE0-98B5-F1297200B325}"/>
    <cellStyle name="Millares [0] 4 2 5" xfId="480" xr:uid="{48ACA4DD-CEDC-468C-8FA0-68497F42A4A6}"/>
    <cellStyle name="Millares [0] 4 2 5 2" xfId="1151" xr:uid="{41AFD083-A5FB-496B-9110-7CCB1FAC5F9D}"/>
    <cellStyle name="Millares [0] 4 2 6" xfId="819" xr:uid="{87D789FF-8600-4424-8AE8-30D8431B727E}"/>
    <cellStyle name="Millares [0] 4 3" xfId="135" xr:uid="{998D566A-7C87-41C6-BEAD-AF944ED464CB}"/>
    <cellStyle name="Millares [0] 4 3 2" xfId="224" xr:uid="{511D51CF-E6E3-48EC-8F16-B6D267B522DA}"/>
    <cellStyle name="Millares [0] 4 3 2 2" xfId="410" xr:uid="{8403B397-60E7-41C1-A199-6A332867170C}"/>
    <cellStyle name="Millares [0] 4 3 2 2 2" xfId="749" xr:uid="{D6F0A435-02DC-46B9-ADF9-678C7C095828}"/>
    <cellStyle name="Millares [0] 4 3 2 2 2 2" xfId="1420" xr:uid="{BAA82D93-2370-412C-8EB4-C428AC22610E}"/>
    <cellStyle name="Millares [0] 4 3 2 2 3" xfId="1088" xr:uid="{DDD75138-C021-4A9D-92EF-743F40AB2544}"/>
    <cellStyle name="Millares [0] 4 3 2 3" xfId="583" xr:uid="{E2D09AA6-DB3F-4773-95C1-8750D8943628}"/>
    <cellStyle name="Millares [0] 4 3 2 3 2" xfId="1254" xr:uid="{8C27BA71-6499-4EA5-BEA5-1ECDADE33B2C}"/>
    <cellStyle name="Millares [0] 4 3 2 4" xfId="922" xr:uid="{FD46813F-42AB-4E03-B98B-64D2D478FDF8}"/>
    <cellStyle name="Millares [0] 4 3 3" xfId="328" xr:uid="{C909BD9B-956A-4748-84EB-625776FB183C}"/>
    <cellStyle name="Millares [0] 4 3 3 2" xfId="667" xr:uid="{8ED77916-4C7C-472E-A750-1DE507918A69}"/>
    <cellStyle name="Millares [0] 4 3 3 2 2" xfId="1338" xr:uid="{AFC40CB7-C84C-46B1-B0C2-060E9DFB3837}"/>
    <cellStyle name="Millares [0] 4 3 3 3" xfId="1006" xr:uid="{0FA18826-C410-436F-9877-65FC7C930285}"/>
    <cellStyle name="Millares [0] 4 3 4" xfId="501" xr:uid="{C9BE31F6-2344-4D59-9683-BB918D7683A0}"/>
    <cellStyle name="Millares [0] 4 3 4 2" xfId="1172" xr:uid="{6A091FE4-AD2E-41F3-91F4-1E120383E246}"/>
    <cellStyle name="Millares [0] 4 3 5" xfId="840" xr:uid="{2BB14CA9-4AD8-4AEC-9520-5C2ED9204B21}"/>
    <cellStyle name="Millares [0] 4 4" xfId="184" xr:uid="{4D60502E-DC57-4043-A7C1-9080F82640C8}"/>
    <cellStyle name="Millares [0] 4 4 2" xfId="370" xr:uid="{BDABE20A-0ACD-412F-A0C5-7DCA0745F70E}"/>
    <cellStyle name="Millares [0] 4 4 2 2" xfId="709" xr:uid="{24F602FB-CFE3-402C-AD39-70F6A583206C}"/>
    <cellStyle name="Millares [0] 4 4 2 2 2" xfId="1380" xr:uid="{A33CAA8B-6257-4D26-B181-6A036CAAF359}"/>
    <cellStyle name="Millares [0] 4 4 2 3" xfId="1048" xr:uid="{B5A8EBD9-06BC-46E2-B77A-A4FF1BA94E58}"/>
    <cellStyle name="Millares [0] 4 4 3" xfId="543" xr:uid="{547E08C8-1B61-4573-8C44-EB117E9EDD29}"/>
    <cellStyle name="Millares [0] 4 4 3 2" xfId="1214" xr:uid="{5950BD7A-06D3-4358-98A9-3D62DBF940C5}"/>
    <cellStyle name="Millares [0] 4 4 4" xfId="882" xr:uid="{4B1AD5A4-37C9-4A8F-810B-251A72BF7256}"/>
    <cellStyle name="Millares [0] 4 5" xfId="288" xr:uid="{39E6BE56-67C1-4F2C-BD78-38ACF5878E09}"/>
    <cellStyle name="Millares [0] 4 5 2" xfId="627" xr:uid="{9DA7EB8E-2647-415E-B6CD-0AEF8C73203D}"/>
    <cellStyle name="Millares [0] 4 5 2 2" xfId="1298" xr:uid="{0C26DB5F-386C-4C5F-BA0C-E9B5DEBDD433}"/>
    <cellStyle name="Millares [0] 4 5 3" xfId="966" xr:uid="{6AA87FB6-3836-4625-B96F-E0BD8BDE244A}"/>
    <cellStyle name="Millares [0] 4 6" xfId="461" xr:uid="{C3586B44-0346-40FB-B76B-8DE71BF84509}"/>
    <cellStyle name="Millares [0] 4 6 2" xfId="1132" xr:uid="{D269BB1B-CB2D-4D03-B951-AA939CD20AF4}"/>
    <cellStyle name="Millares [0] 4 7" xfId="800" xr:uid="{168820CE-56C1-4556-9ADB-DDB579BBFE16}"/>
    <cellStyle name="Millares [0] 5" xfId="63" xr:uid="{C08ABC32-6EB5-4858-9A6F-07D0F637A9D4}"/>
    <cellStyle name="Millares [0] 5 2" xfId="98" xr:uid="{B3B66676-B2B7-48AB-BBDA-2AA14042D2EA}"/>
    <cellStyle name="Millares [0] 5 2 2" xfId="146" xr:uid="{A6C74B28-7F10-415F-AF9E-7585D337C255}"/>
    <cellStyle name="Millares [0] 5 2 2 2" xfId="235" xr:uid="{E7C17A02-8C27-4438-85B0-7B3D28CFD8CB}"/>
    <cellStyle name="Millares [0] 5 2 2 2 2" xfId="421" xr:uid="{5C48CB27-56A1-4E19-994B-353B9732B3B2}"/>
    <cellStyle name="Millares [0] 5 2 2 2 2 2" xfId="760" xr:uid="{620C1CE7-B1DF-4A71-9F26-0177B44D9E15}"/>
    <cellStyle name="Millares [0] 5 2 2 2 2 2 2" xfId="1431" xr:uid="{0375A13E-2397-4F3B-A11D-86089FC11501}"/>
    <cellStyle name="Millares [0] 5 2 2 2 2 3" xfId="1099" xr:uid="{62ED5972-122E-4748-A2D7-E869B5DD0E8F}"/>
    <cellStyle name="Millares [0] 5 2 2 2 3" xfId="594" xr:uid="{39B43C15-D19C-4701-ADA4-F38F713DBB7D}"/>
    <cellStyle name="Millares [0] 5 2 2 2 3 2" xfId="1265" xr:uid="{C74DC83E-FA7C-4AEB-AD73-9AC0CFB0282D}"/>
    <cellStyle name="Millares [0] 5 2 2 2 4" xfId="933" xr:uid="{E85861B4-0B24-4830-811E-09D570223345}"/>
    <cellStyle name="Millares [0] 5 2 2 3" xfId="339" xr:uid="{AD4BDB54-BC30-486F-8660-9152A07202CC}"/>
    <cellStyle name="Millares [0] 5 2 2 3 2" xfId="678" xr:uid="{9A55ED60-8847-4FCA-82FC-1FF9031BCAC6}"/>
    <cellStyle name="Millares [0] 5 2 2 3 2 2" xfId="1349" xr:uid="{E3C27730-CA60-41B8-9491-E44B3C56C74F}"/>
    <cellStyle name="Millares [0] 5 2 2 3 3" xfId="1017" xr:uid="{741E6F01-44F3-4D1B-89D0-0D57A4BC0E75}"/>
    <cellStyle name="Millares [0] 5 2 2 4" xfId="512" xr:uid="{F6E02854-63EE-4DC6-A6C1-C1A88DA96F8B}"/>
    <cellStyle name="Millares [0] 5 2 2 4 2" xfId="1183" xr:uid="{88C5A867-C22D-4DD7-AA96-BF5921984E08}"/>
    <cellStyle name="Millares [0] 5 2 2 5" xfId="851" xr:uid="{92B21059-160C-4A7A-BFF8-2D4EF53F401D}"/>
    <cellStyle name="Millares [0] 5 2 3" xfId="195" xr:uid="{2E052994-0350-4676-B89F-991A03DE0D33}"/>
    <cellStyle name="Millares [0] 5 2 3 2" xfId="381" xr:uid="{DD154BB6-404A-4241-9F54-1AD9FA59542A}"/>
    <cellStyle name="Millares [0] 5 2 3 2 2" xfId="720" xr:uid="{A7BF5096-9304-495A-B90B-C844A756A47D}"/>
    <cellStyle name="Millares [0] 5 2 3 2 2 2" xfId="1391" xr:uid="{043C8D57-C57A-413C-AF33-C6C92A27D77F}"/>
    <cellStyle name="Millares [0] 5 2 3 2 3" xfId="1059" xr:uid="{2F30B599-6E1D-43B5-8A18-8A7F36C6E5FC}"/>
    <cellStyle name="Millares [0] 5 2 3 3" xfId="554" xr:uid="{F02529D6-3211-4821-85DF-049A61982059}"/>
    <cellStyle name="Millares [0] 5 2 3 3 2" xfId="1225" xr:uid="{C6688A6A-2DCA-4FB9-8510-2AEA957665F0}"/>
    <cellStyle name="Millares [0] 5 2 3 4" xfId="893" xr:uid="{3D2D33E9-9BAC-4CF0-B4AC-CDCA30D8B6C2}"/>
    <cellStyle name="Millares [0] 5 2 4" xfId="299" xr:uid="{06CF2C68-7220-4944-9E93-99E953A19F0E}"/>
    <cellStyle name="Millares [0] 5 2 4 2" xfId="638" xr:uid="{CEF330C0-0435-43AB-A4B1-B6ECBD2E5E3E}"/>
    <cellStyle name="Millares [0] 5 2 4 2 2" xfId="1309" xr:uid="{B11806E5-4AEF-4CF9-B142-7F74D9F421B9}"/>
    <cellStyle name="Millares [0] 5 2 4 3" xfId="977" xr:uid="{2F745F69-7162-4B70-BF70-B48756E6E4E3}"/>
    <cellStyle name="Millares [0] 5 2 5" xfId="472" xr:uid="{0ACCC578-F7C4-43A7-8F16-E0EEE01FCC39}"/>
    <cellStyle name="Millares [0] 5 2 5 2" xfId="1143" xr:uid="{CC837C2B-A503-439B-82C8-EF9B774A4449}"/>
    <cellStyle name="Millares [0] 5 2 6" xfId="811" xr:uid="{E7672624-31E3-4355-99CA-746C0A286096}"/>
    <cellStyle name="Millares [0] 5 3" xfId="127" xr:uid="{DD3C7BC4-4C40-4EF2-8419-8CA5A1DABC72}"/>
    <cellStyle name="Millares [0] 5 3 2" xfId="216" xr:uid="{F0685666-9BCA-42B7-92D5-61A103A7A1E9}"/>
    <cellStyle name="Millares [0] 5 3 2 2" xfId="402" xr:uid="{3F567F3A-AF04-4EE2-8840-E6DDF31EFE0F}"/>
    <cellStyle name="Millares [0] 5 3 2 2 2" xfId="741" xr:uid="{2989DFE7-0AEC-4969-8D17-1F4135AFB365}"/>
    <cellStyle name="Millares [0] 5 3 2 2 2 2" xfId="1412" xr:uid="{646339C3-CFA5-4CEA-A83F-230DC3B6D5A6}"/>
    <cellStyle name="Millares [0] 5 3 2 2 3" xfId="1080" xr:uid="{0A3DD4BD-2997-4B20-981F-6821FCE3FC8A}"/>
    <cellStyle name="Millares [0] 5 3 2 3" xfId="575" xr:uid="{3401CCD2-92B4-41B4-B9BF-99B4C24C0D47}"/>
    <cellStyle name="Millares [0] 5 3 2 3 2" xfId="1246" xr:uid="{B3D68391-3D5F-4431-8130-90435E26F340}"/>
    <cellStyle name="Millares [0] 5 3 2 4" xfId="914" xr:uid="{A8A39427-5989-4960-B87A-035D41F1A562}"/>
    <cellStyle name="Millares [0] 5 3 3" xfId="320" xr:uid="{738A96DC-4150-4539-944D-0EA7014DB830}"/>
    <cellStyle name="Millares [0] 5 3 3 2" xfId="659" xr:uid="{9D400CDD-9BEA-4CC4-B05E-DE7A6295776E}"/>
    <cellStyle name="Millares [0] 5 3 3 2 2" xfId="1330" xr:uid="{611B1F57-31FD-4C23-8ECC-A7E895393F3A}"/>
    <cellStyle name="Millares [0] 5 3 3 3" xfId="998" xr:uid="{AA07DB3E-0807-469D-A422-F574C321557F}"/>
    <cellStyle name="Millares [0] 5 3 4" xfId="493" xr:uid="{755A4CCC-D755-43BC-B872-B7C51558C999}"/>
    <cellStyle name="Millares [0] 5 3 4 2" xfId="1164" xr:uid="{14CEEAEB-5DD4-4354-A7DD-F6514074D626}"/>
    <cellStyle name="Millares [0] 5 3 5" xfId="832" xr:uid="{7899ACAF-394C-4DFE-9E87-59B37E889DC0}"/>
    <cellStyle name="Millares [0] 5 4" xfId="176" xr:uid="{7A088623-C9C7-4DDB-8A42-AAC584170B8A}"/>
    <cellStyle name="Millares [0] 5 4 2" xfId="362" xr:uid="{7901517E-F31E-4ED0-B3A3-B49BDAFEF25F}"/>
    <cellStyle name="Millares [0] 5 4 2 2" xfId="701" xr:uid="{E0392716-D28A-4A08-B345-3F611524FD4C}"/>
    <cellStyle name="Millares [0] 5 4 2 2 2" xfId="1372" xr:uid="{B67C4B8B-9DB2-4B65-8E65-775D748CC53D}"/>
    <cellStyle name="Millares [0] 5 4 2 3" xfId="1040" xr:uid="{3FB73D10-15D0-492B-9B17-4958EC2E45D6}"/>
    <cellStyle name="Millares [0] 5 4 3" xfId="535" xr:uid="{87941CA6-D51F-4065-BC45-7FD2A322269F}"/>
    <cellStyle name="Millares [0] 5 4 3 2" xfId="1206" xr:uid="{3881969A-151F-4DBC-9AE3-3326987A61EE}"/>
    <cellStyle name="Millares [0] 5 4 4" xfId="874" xr:uid="{617A4835-351E-4F2D-BE08-3F72AD775B97}"/>
    <cellStyle name="Millares [0] 5 5" xfId="280" xr:uid="{71EA3BA8-F261-4EC2-8EFD-D024359126E3}"/>
    <cellStyle name="Millares [0] 5 5 2" xfId="619" xr:uid="{CB57DF43-BFB8-4E36-8B95-8C1E46E5FE52}"/>
    <cellStyle name="Millares [0] 5 5 2 2" xfId="1290" xr:uid="{6D5E7BB0-29E2-4198-9843-FA0C952C2EC9}"/>
    <cellStyle name="Millares [0] 5 5 3" xfId="958" xr:uid="{FE8E0E33-D4EC-442A-A026-0082DC2CDFA9}"/>
    <cellStyle name="Millares [0] 5 6" xfId="453" xr:uid="{BE9B6D15-AE44-49B9-B0E8-42DD40D4CB06}"/>
    <cellStyle name="Millares [0] 5 6 2" xfId="1124" xr:uid="{9C560EF1-B5B4-4946-9574-EFB3EEF41B32}"/>
    <cellStyle name="Millares [0] 5 7" xfId="792" xr:uid="{F111D570-C162-4A9F-A543-BF1FED818783}"/>
    <cellStyle name="Millares [0] 6" xfId="96" xr:uid="{5F04F14C-F1AF-4751-AF76-A08A0DFE6350}"/>
    <cellStyle name="Millares [0] 6 2" xfId="145" xr:uid="{29C2FF2C-ACD3-442D-ACF5-1B1E5EAF86BC}"/>
    <cellStyle name="Millares [0] 6 2 2" xfId="234" xr:uid="{4A90FC41-794C-4F92-9841-7015D57589A3}"/>
    <cellStyle name="Millares [0] 6 2 2 2" xfId="420" xr:uid="{89B55C00-32B3-4C2B-BE4E-8CC74E265482}"/>
    <cellStyle name="Millares [0] 6 2 2 2 2" xfId="759" xr:uid="{7624B40D-FBE3-4052-96F5-F1BA691731CF}"/>
    <cellStyle name="Millares [0] 6 2 2 2 2 2" xfId="1430" xr:uid="{6C4EFE64-1E86-46EF-BDE5-202358F0444B}"/>
    <cellStyle name="Millares [0] 6 2 2 2 3" xfId="1098" xr:uid="{4E19CE3D-1CDD-49DC-90EF-E40304D22F67}"/>
    <cellStyle name="Millares [0] 6 2 2 3" xfId="593" xr:uid="{348C0C9D-BF09-4224-A28A-AC3F18D7BADA}"/>
    <cellStyle name="Millares [0] 6 2 2 3 2" xfId="1264" xr:uid="{EC1BA57C-5DC7-4B7B-8F31-52029EB0427D}"/>
    <cellStyle name="Millares [0] 6 2 2 4" xfId="932" xr:uid="{E30B216A-5B29-4D4B-90CD-5B407B915F44}"/>
    <cellStyle name="Millares [0] 6 2 3" xfId="338" xr:uid="{1CF1129E-5CC3-41B4-843C-254FC0BD3517}"/>
    <cellStyle name="Millares [0] 6 2 3 2" xfId="677" xr:uid="{3D61D418-5C1E-4093-B229-405C3631E715}"/>
    <cellStyle name="Millares [0] 6 2 3 2 2" xfId="1348" xr:uid="{D0199CBB-639C-4D7E-AD62-FA91A39ECD2F}"/>
    <cellStyle name="Millares [0] 6 2 3 3" xfId="1016" xr:uid="{E23BCBDD-CD70-413B-9B17-AB94D24AA0C1}"/>
    <cellStyle name="Millares [0] 6 2 4" xfId="511" xr:uid="{01450E89-A9E5-40EF-9E84-E96DFF4E5FC3}"/>
    <cellStyle name="Millares [0] 6 2 4 2" xfId="1182" xr:uid="{022EF578-010B-49CB-9CCD-29A408BF4065}"/>
    <cellStyle name="Millares [0] 6 2 5" xfId="850" xr:uid="{BC2156F2-DD46-470F-83A5-C38D295A2499}"/>
    <cellStyle name="Millares [0] 6 3" xfId="194" xr:uid="{08F5D7E9-A570-4077-A0C2-83F81C1AD825}"/>
    <cellStyle name="Millares [0] 6 3 2" xfId="380" xr:uid="{7F6A53E6-F220-4F5D-9AAE-32ABA51C4270}"/>
    <cellStyle name="Millares [0] 6 3 2 2" xfId="719" xr:uid="{6D648E9B-E643-4CDC-8E9B-A0262106283E}"/>
    <cellStyle name="Millares [0] 6 3 2 2 2" xfId="1390" xr:uid="{D971B4C8-A8DA-4532-8DE9-FE63206DE9BF}"/>
    <cellStyle name="Millares [0] 6 3 2 3" xfId="1058" xr:uid="{6FFF6FC9-C44A-4408-8A97-171112CB4DCF}"/>
    <cellStyle name="Millares [0] 6 3 3" xfId="553" xr:uid="{E186B0D2-6975-4CEB-80CF-6BCCEF08983D}"/>
    <cellStyle name="Millares [0] 6 3 3 2" xfId="1224" xr:uid="{125F95E9-AF33-42C6-94FC-64698A8DA4B5}"/>
    <cellStyle name="Millares [0] 6 3 4" xfId="892" xr:uid="{D09502DF-3614-4FA2-9E70-6C5BE2A1F707}"/>
    <cellStyle name="Millares [0] 6 4" xfId="298" xr:uid="{4D7F7A9F-F67A-4DC9-879C-72AD70BDE8CC}"/>
    <cellStyle name="Millares [0] 6 4 2" xfId="637" xr:uid="{C96D2A24-B98F-44D1-A1A5-1AEEA1E9F3A4}"/>
    <cellStyle name="Millares [0] 6 4 2 2" xfId="1308" xr:uid="{0A73CA3F-1D4C-448D-854B-6883B47BA4E0}"/>
    <cellStyle name="Millares [0] 6 4 3" xfId="976" xr:uid="{43D02108-234C-49F3-BD13-A59E258BF8B5}"/>
    <cellStyle name="Millares [0] 6 5" xfId="471" xr:uid="{5C6674B0-F49B-4CEC-BA4A-844B5F5C6F2F}"/>
    <cellStyle name="Millares [0] 6 5 2" xfId="1142" xr:uid="{1222A72B-2FE2-430E-B98D-63D08BF3FDE2}"/>
    <cellStyle name="Millares [0] 6 6" xfId="810" xr:uid="{8B85CC84-8234-43FB-AD3E-D406A44F176D}"/>
    <cellStyle name="Millares [0] 7" xfId="125" xr:uid="{0AB0E2E4-2137-4D0B-9400-B07D2BA447FE}"/>
    <cellStyle name="Millares [0] 7 2" xfId="215" xr:uid="{5B1D35C4-1526-4D0D-BB21-59D02580F4BB}"/>
    <cellStyle name="Millares [0] 7 2 2" xfId="401" xr:uid="{D42EEF89-A805-42B9-B486-F44045E97813}"/>
    <cellStyle name="Millares [0] 7 2 2 2" xfId="740" xr:uid="{C515F6F2-3E84-47E0-8BBD-9A44E2837671}"/>
    <cellStyle name="Millares [0] 7 2 2 2 2" xfId="1411" xr:uid="{086F92EC-649F-469D-956F-635B4FC2C603}"/>
    <cellStyle name="Millares [0] 7 2 2 3" xfId="1079" xr:uid="{D3FCF6F9-85F5-48B9-8604-4FF752B501EF}"/>
    <cellStyle name="Millares [0] 7 2 3" xfId="574" xr:uid="{8BDF14D3-A896-4DD5-BBC4-CD707C2C31D0}"/>
    <cellStyle name="Millares [0] 7 2 3 2" xfId="1245" xr:uid="{201875A8-6B57-4650-97E1-CA69CD91D378}"/>
    <cellStyle name="Millares [0] 7 2 4" xfId="913" xr:uid="{625DEA79-0E8A-4CBC-90DD-CD19F10C6EA2}"/>
    <cellStyle name="Millares [0] 7 3" xfId="319" xr:uid="{2DD83CC7-45E1-4D65-8B84-5A6B8FDD2F53}"/>
    <cellStyle name="Millares [0] 7 3 2" xfId="658" xr:uid="{AFC9E1E3-BA00-4F3A-8A23-8BDF74D0291E}"/>
    <cellStyle name="Millares [0] 7 3 2 2" xfId="1329" xr:uid="{BE7883C8-A696-4D61-ABCE-0B11D87766DB}"/>
    <cellStyle name="Millares [0] 7 3 3" xfId="997" xr:uid="{C6DA7776-EB25-4416-9EB6-915EC326F45F}"/>
    <cellStyle name="Millares [0] 7 4" xfId="492" xr:uid="{66F9E908-E706-4EC0-958F-81775ECC2460}"/>
    <cellStyle name="Millares [0] 7 4 2" xfId="1163" xr:uid="{6D9B20CA-1528-4C61-B2E4-D63F30343C55}"/>
    <cellStyle name="Millares [0] 7 5" xfId="831" xr:uid="{0F8B72B3-0A9F-425A-BEE7-0C70B413A267}"/>
    <cellStyle name="Millares [0] 8" xfId="111" xr:uid="{CFBD0AE1-202E-414A-8E71-67CDB17DA44F}"/>
    <cellStyle name="Millares [0] 8 2" xfId="208" xr:uid="{528F9BB1-7F97-4A11-A2FF-DC1071B638A4}"/>
    <cellStyle name="Millares [0] 8 2 2" xfId="394" xr:uid="{D979C3C7-9272-41FE-AC24-C051577DC7EA}"/>
    <cellStyle name="Millares [0] 8 2 2 2" xfId="733" xr:uid="{ACF3B45A-CAC5-4CB1-A992-7DCD6E5E0AB4}"/>
    <cellStyle name="Millares [0] 8 2 2 2 2" xfId="1404" xr:uid="{7B59AC09-AE6F-495D-A023-8317C23D4974}"/>
    <cellStyle name="Millares [0] 8 2 2 3" xfId="1072" xr:uid="{A50D76A6-0D5D-4242-BC17-C4E5CEEF51A1}"/>
    <cellStyle name="Millares [0] 8 2 3" xfId="567" xr:uid="{E0EBB107-4929-4F13-A3FC-237E5646B97C}"/>
    <cellStyle name="Millares [0] 8 2 3 2" xfId="1238" xr:uid="{878F434A-BE3F-4941-BE00-F73E4198AD9F}"/>
    <cellStyle name="Millares [0] 8 2 4" xfId="906" xr:uid="{A5219F74-1A27-41EF-AB45-9EF86D88CE92}"/>
    <cellStyle name="Millares [0] 8 3" xfId="312" xr:uid="{8743470B-A57D-4A62-AEB6-07C816B3C536}"/>
    <cellStyle name="Millares [0] 8 3 2" xfId="651" xr:uid="{B68055DB-3FF6-4FCD-9445-6C8EE69BBCE8}"/>
    <cellStyle name="Millares [0] 8 3 2 2" xfId="1322" xr:uid="{32E36D87-9E79-46FE-9B10-5333EC4719F3}"/>
    <cellStyle name="Millares [0] 8 3 3" xfId="990" xr:uid="{6305EA81-7861-4342-B6DB-B833F0A77C6E}"/>
    <cellStyle name="Millares [0] 8 4" xfId="485" xr:uid="{ED7004EB-99FB-4FB6-BFE7-75795C1BEF92}"/>
    <cellStyle name="Millares [0] 8 4 2" xfId="1156" xr:uid="{8FE6A92C-D771-4F90-B689-F39EA05480C7}"/>
    <cellStyle name="Millares [0] 8 5" xfId="824" xr:uid="{6B0C028C-D88B-4A65-92CF-21D8A1FCF04E}"/>
    <cellStyle name="Millares [0] 9" xfId="161" xr:uid="{52F84094-3665-4076-907B-873FC5511615}"/>
    <cellStyle name="Millares [0] 9 2" xfId="250" xr:uid="{1356B796-4497-48B3-B2A3-E443A51965F0}"/>
    <cellStyle name="Millares [0] 9 2 2" xfId="436" xr:uid="{FB17B7EE-102F-46F8-90A9-C04C8E12597C}"/>
    <cellStyle name="Millares [0] 9 2 2 2" xfId="775" xr:uid="{9C6667BA-769C-4826-B573-2C47AD68B609}"/>
    <cellStyle name="Millares [0] 9 2 2 2 2" xfId="1446" xr:uid="{D14E3CEE-CD5B-4C7B-93E5-76324770A1E6}"/>
    <cellStyle name="Millares [0] 9 2 2 3" xfId="1114" xr:uid="{73B9EF81-4BEA-46C0-B148-9E0581FA9194}"/>
    <cellStyle name="Millares [0] 9 2 3" xfId="609" xr:uid="{9F565875-A612-4820-B25A-96E3E9B40E89}"/>
    <cellStyle name="Millares [0] 9 2 3 2" xfId="1280" xr:uid="{CEA5C24F-54EF-44C5-89FD-1B83E13224D1}"/>
    <cellStyle name="Millares [0] 9 2 4" xfId="948" xr:uid="{C7240BC4-A3B2-4F5E-A974-95848BE1EDA8}"/>
    <cellStyle name="Millares [0] 9 3" xfId="354" xr:uid="{782F9C64-487A-413D-99C8-08A019D3F60E}"/>
    <cellStyle name="Millares [0] 9 3 2" xfId="693" xr:uid="{146A710F-0CDA-490D-9D19-24DDEFBDF4C8}"/>
    <cellStyle name="Millares [0] 9 3 2 2" xfId="1364" xr:uid="{E514284D-821D-43E2-BFE3-2152DA791EA4}"/>
    <cellStyle name="Millares [0] 9 3 3" xfId="1032" xr:uid="{A63D4357-9179-439B-8949-1DD556E07233}"/>
    <cellStyle name="Millares [0] 9 4" xfId="527" xr:uid="{CAF8CF1A-AF0B-499C-9CA9-F0512DFF8C7B}"/>
    <cellStyle name="Millares [0] 9 4 2" xfId="1198" xr:uid="{C39EE837-17D2-4875-86EE-2DE31EA687B3}"/>
    <cellStyle name="Millares [0] 9 5" xfId="866" xr:uid="{0D5E38C9-10C5-49BE-A31F-7C7A4EC54A5F}"/>
    <cellStyle name="Millares 10" xfId="118" xr:uid="{42AEB49F-E1A7-4CC0-9917-2CF36E0C3B1C}"/>
    <cellStyle name="Millares 10 2" xfId="209" xr:uid="{DDDB5970-3ED6-4F2C-ADA5-DB1CCE0FFA85}"/>
    <cellStyle name="Millares 10 2 2" xfId="395" xr:uid="{658F9EF5-6608-4805-A4A8-727AECDADB3B}"/>
    <cellStyle name="Millares 10 2 2 2" xfId="734" xr:uid="{89753F14-5FD3-46B7-9F97-8E494DE05340}"/>
    <cellStyle name="Millares 10 2 2 2 2" xfId="1405" xr:uid="{1A08348C-D976-4EC2-890A-8CEC9E407742}"/>
    <cellStyle name="Millares 10 2 2 3" xfId="1073" xr:uid="{A8779666-2885-4705-BD97-C757A728D032}"/>
    <cellStyle name="Millares 10 2 3" xfId="568" xr:uid="{7A90ADCF-C147-4F02-81B8-2CD578909CCF}"/>
    <cellStyle name="Millares 10 2 3 2" xfId="1239" xr:uid="{C0208253-1132-4C21-94AD-537C58EF42C5}"/>
    <cellStyle name="Millares 10 2 4" xfId="907" xr:uid="{2AEA2B14-ABD8-4742-9BC3-97F40557955A}"/>
    <cellStyle name="Millares 10 3" xfId="313" xr:uid="{B4E74DFE-B0C2-4B7F-B719-54BE13DB1C83}"/>
    <cellStyle name="Millares 10 3 2" xfId="652" xr:uid="{1031542E-33D2-4553-862F-BAF5AD284748}"/>
    <cellStyle name="Millares 10 3 2 2" xfId="1323" xr:uid="{6AFD1AEE-0F3C-4AFF-9EAD-9CB53F8C62B7}"/>
    <cellStyle name="Millares 10 3 3" xfId="991" xr:uid="{FAD3303F-B2C5-46C1-95D1-0D212BEFF852}"/>
    <cellStyle name="Millares 10 4" xfId="486" xr:uid="{550CC22B-4BDD-45E6-A8A2-B556A1A12ADC}"/>
    <cellStyle name="Millares 10 4 2" xfId="1157" xr:uid="{3A495F34-4C4E-4CC4-8F28-81E8428DB51D}"/>
    <cellStyle name="Millares 10 5" xfId="825" xr:uid="{03EB1F4E-F8FB-45D1-AE22-0B215147684D}"/>
    <cellStyle name="Millares 100 2" xfId="57" xr:uid="{F16942E1-A556-41DE-A4BB-5D62562C6980}"/>
    <cellStyle name="Millares 100 2 2" xfId="262" xr:uid="{0BFD1E33-3DEF-43AA-9B89-2D72423157F6}"/>
    <cellStyle name="Millares 11" xfId="159" xr:uid="{4A0EACB7-BDFA-42A8-964E-22F3705E3598}"/>
    <cellStyle name="Millares 11 2" xfId="248" xr:uid="{458DB54E-5285-4F2D-8B96-CD205FE5104A}"/>
    <cellStyle name="Millares 11 2 2" xfId="434" xr:uid="{C9A3C9B3-BE03-4EF0-9142-48DCC46DF906}"/>
    <cellStyle name="Millares 11 2 2 2" xfId="773" xr:uid="{1022F267-C528-4FE1-A7AC-3DDB3A4450A9}"/>
    <cellStyle name="Millares 11 2 2 2 2" xfId="1444" xr:uid="{C653CB98-9D62-442C-A4B6-CC7ABD9A6FDD}"/>
    <cellStyle name="Millares 11 2 2 3" xfId="1112" xr:uid="{7E75D75B-E583-418A-8DD6-137212E7E3A6}"/>
    <cellStyle name="Millares 11 2 3" xfId="607" xr:uid="{5428DFA4-23F1-474A-BDA9-725072E8995E}"/>
    <cellStyle name="Millares 11 2 3 2" xfId="1278" xr:uid="{0BC9D432-8981-4A42-8C04-E7A05D509453}"/>
    <cellStyle name="Millares 11 2 4" xfId="946" xr:uid="{B0B14F60-62B7-4C78-A687-CC8890032C5E}"/>
    <cellStyle name="Millares 11 3" xfId="352" xr:uid="{E9508980-6BD0-491F-8E34-3A9E32D21287}"/>
    <cellStyle name="Millares 11 3 2" xfId="691" xr:uid="{9AC5A137-73FC-4BDE-8C40-0F809B54F7E6}"/>
    <cellStyle name="Millares 11 3 2 2" xfId="1362" xr:uid="{5FB5B94A-8D77-4CFB-971D-ABE6DF5D3D0F}"/>
    <cellStyle name="Millares 11 3 3" xfId="1030" xr:uid="{352FF226-695C-4B39-B130-E0323398DC16}"/>
    <cellStyle name="Millares 11 4" xfId="525" xr:uid="{94EC1573-E033-4673-8D2A-6AC8A2008F53}"/>
    <cellStyle name="Millares 11 4 2" xfId="1196" xr:uid="{E9781D92-7E3D-4C8A-8E67-C32B67E98472}"/>
    <cellStyle name="Millares 11 5" xfId="864" xr:uid="{FC4900A6-6F59-482E-AF61-FF47865337D9}"/>
    <cellStyle name="Millares 12" xfId="160" xr:uid="{D7D115D9-8A89-4ACF-9519-D04752600901}"/>
    <cellStyle name="Millares 12 2" xfId="249" xr:uid="{65CA98E3-CC0B-45FC-8E60-75C37F53426B}"/>
    <cellStyle name="Millares 12 2 2" xfId="435" xr:uid="{6B13920E-DE69-4BA5-9FEF-9B20FCA94CB6}"/>
    <cellStyle name="Millares 12 2 2 2" xfId="774" xr:uid="{94DA61A0-F6C6-4439-895A-12DC573BED14}"/>
    <cellStyle name="Millares 12 2 2 2 2" xfId="1445" xr:uid="{6A8D2A99-83C6-41D2-8338-8C20FC3FD2C2}"/>
    <cellStyle name="Millares 12 2 2 3" xfId="1113" xr:uid="{3E71EB99-8E58-4F66-9AB4-96CEB89AB962}"/>
    <cellStyle name="Millares 12 2 3" xfId="608" xr:uid="{5F4DBE15-9B96-4878-884F-F967EADFD7D9}"/>
    <cellStyle name="Millares 12 2 3 2" xfId="1279" xr:uid="{CF4CFF34-D32B-4885-89A3-4D2F7506B391}"/>
    <cellStyle name="Millares 12 2 4" xfId="947" xr:uid="{978EE6F3-FE7A-45E3-A112-3003E1A4F168}"/>
    <cellStyle name="Millares 12 3" xfId="353" xr:uid="{78EDE460-CE42-44F5-A5B5-CC447B177525}"/>
    <cellStyle name="Millares 12 3 2" xfId="692" xr:uid="{352B185E-4401-4C3D-A3F1-C9BD1A1B73DB}"/>
    <cellStyle name="Millares 12 3 2 2" xfId="1363" xr:uid="{8C89D760-85EC-470D-A9BA-8CA6A21A07B1}"/>
    <cellStyle name="Millares 12 3 3" xfId="1031" xr:uid="{F9351E0B-2370-4D5A-AAD5-B61C26711772}"/>
    <cellStyle name="Millares 12 4" xfId="526" xr:uid="{D352F709-8F01-4B55-A326-7519BFADACCE}"/>
    <cellStyle name="Millares 12 4 2" xfId="1197" xr:uid="{23D6647F-4275-48E0-AC5F-23E766794E50}"/>
    <cellStyle name="Millares 12 5" xfId="865" xr:uid="{089761C0-2768-453B-B533-2E1A6DE184C3}"/>
    <cellStyle name="Millares 13" xfId="168" xr:uid="{9B4EE47B-C222-436E-A4E6-685D2356DCCF}"/>
    <cellStyle name="Millares 13 2" xfId="355" xr:uid="{FA17E199-44D0-45F6-B884-5BAA722BB6BE}"/>
    <cellStyle name="Millares 13 2 2" xfId="694" xr:uid="{9DD06E87-FA13-43AB-BA03-EDB82280A3D5}"/>
    <cellStyle name="Millares 13 2 2 2" xfId="1365" xr:uid="{F9227F75-26BF-44A0-B38A-B72C31DB03CD}"/>
    <cellStyle name="Millares 13 2 3" xfId="1033" xr:uid="{8DF7024D-F125-450D-BBF4-30D4EDE59DE8}"/>
    <cellStyle name="Millares 13 3" xfId="528" xr:uid="{7A3BFBB5-22CA-4802-84DD-3C130BF3ED98}"/>
    <cellStyle name="Millares 13 3 2" xfId="1199" xr:uid="{6DFAA17F-1930-4034-9669-9211AED0BC02}"/>
    <cellStyle name="Millares 13 4" xfId="867" xr:uid="{813531B2-6767-475C-88F6-0C5801C8180A}"/>
    <cellStyle name="Millares 14" xfId="257" xr:uid="{9F82EAA2-9967-48A8-86C7-FFE85BFB7396}"/>
    <cellStyle name="Millares 14 2" xfId="437" xr:uid="{DB7F8D37-3B85-4C56-AEF8-A765A6CCCE61}"/>
    <cellStyle name="Millares 14 2 2" xfId="776" xr:uid="{A139BCC4-A8A7-4A64-81D9-3374BDF7CF42}"/>
    <cellStyle name="Millares 14 2 2 2" xfId="1447" xr:uid="{06F933A7-6B65-4011-A5ED-8EDE16FF57BD}"/>
    <cellStyle name="Millares 14 2 3" xfId="1115" xr:uid="{2E181274-8AF2-4B73-B812-62B859AEEAEE}"/>
    <cellStyle name="Millares 14 3" xfId="610" xr:uid="{8B7A2EE4-941F-452C-A569-ACCF3BBDE68A}"/>
    <cellStyle name="Millares 14 3 2" xfId="1281" xr:uid="{8D9A7035-BEE4-4B74-8E28-3338EBC287AF}"/>
    <cellStyle name="Millares 14 4" xfId="949" xr:uid="{191710B1-D01E-4686-8942-3ADA81C2B973}"/>
    <cellStyle name="Millares 15" xfId="272" xr:uid="{5D466F21-AA70-4DB4-9EDA-B46F26C78DF7}"/>
    <cellStyle name="Millares 15 2" xfId="612" xr:uid="{A794B601-7917-454F-B193-7A2E03D618A3}"/>
    <cellStyle name="Millares 15 2 2" xfId="1283" xr:uid="{78C4E3FC-1ABC-4DE8-B359-D1A3F613ED07}"/>
    <cellStyle name="Millares 15 3" xfId="951" xr:uid="{C4E64344-B9A8-4338-9034-E203E037E40B}"/>
    <cellStyle name="Millares 16" xfId="445" xr:uid="{0CBD7A04-B0C8-4E63-AC8C-4D2C33E49A86}"/>
    <cellStyle name="Millares 16 2" xfId="1117" xr:uid="{8E0E60E9-CF45-4602-8167-5F06252A5857}"/>
    <cellStyle name="Millares 17" xfId="784" xr:uid="{998F9017-F36D-40D1-B6DC-39C9A0B80B41}"/>
    <cellStyle name="Millares 18" xfId="59" xr:uid="{C90A8B7E-7AB9-4068-B384-8B55C9F745F8}"/>
    <cellStyle name="Millares 19" xfId="43" xr:uid="{D803A133-7F8C-40C4-9E17-59A3285555E2}"/>
    <cellStyle name="Millares 2" xfId="47" xr:uid="{B40188EB-4FFE-45AA-9036-7C95D2236086}"/>
    <cellStyle name="Millares 2 2" xfId="74" xr:uid="{2B17890A-C776-4BDF-8E6F-DA84C85E73C2}"/>
    <cellStyle name="Millares 2 2 2" xfId="103" xr:uid="{2C007D73-02E6-466B-A1DA-496793FDAEFA}"/>
    <cellStyle name="Millares 2 2 2 2" xfId="151" xr:uid="{2C9C02FC-3743-43E3-97B9-C612FC112503}"/>
    <cellStyle name="Millares 2 2 2 2 2" xfId="240" xr:uid="{BDD91877-B498-4623-A422-2C5B3A2F6F57}"/>
    <cellStyle name="Millares 2 2 2 2 2 2" xfId="426" xr:uid="{EA9FAF66-24F5-47B6-B82A-799D083FFD09}"/>
    <cellStyle name="Millares 2 2 2 2 2 2 2" xfId="765" xr:uid="{59A5B4D5-766A-43D2-80CA-0885070C6C00}"/>
    <cellStyle name="Millares 2 2 2 2 2 2 2 2" xfId="1436" xr:uid="{78C75BBA-5FB0-4277-9B49-B8DF2A303A95}"/>
    <cellStyle name="Millares 2 2 2 2 2 2 3" xfId="1104" xr:uid="{85AA688A-4A7F-498E-9310-8664BB08D60A}"/>
    <cellStyle name="Millares 2 2 2 2 2 3" xfId="599" xr:uid="{48C0A0D6-3392-4732-89B4-57B944FDCA34}"/>
    <cellStyle name="Millares 2 2 2 2 2 3 2" xfId="1270" xr:uid="{5307D9E4-69AD-47CF-BE9C-D24A278EAE5F}"/>
    <cellStyle name="Millares 2 2 2 2 2 4" xfId="938" xr:uid="{8DCB47F2-61C8-4210-B2CD-EDDB2CD87221}"/>
    <cellStyle name="Millares 2 2 2 2 3" xfId="344" xr:uid="{3D90FAEA-4334-4291-B925-6C9977CC17F3}"/>
    <cellStyle name="Millares 2 2 2 2 3 2" xfId="683" xr:uid="{DCC73575-F82E-469D-89A1-9181990D3758}"/>
    <cellStyle name="Millares 2 2 2 2 3 2 2" xfId="1354" xr:uid="{137B331B-9D3B-4B2A-80D5-934D0A4BF8BC}"/>
    <cellStyle name="Millares 2 2 2 2 3 3" xfId="1022" xr:uid="{D08B8C26-91D1-4F24-97D9-07C49FB5718F}"/>
    <cellStyle name="Millares 2 2 2 2 4" xfId="517" xr:uid="{00FB9727-B24D-472A-AE4D-E03D5503672F}"/>
    <cellStyle name="Millares 2 2 2 2 4 2" xfId="1188" xr:uid="{433BA114-E098-4B64-BD3D-D0A161A6DFED}"/>
    <cellStyle name="Millares 2 2 2 2 5" xfId="856" xr:uid="{84AE2741-BA1D-40B2-BE6F-638A34E28E6D}"/>
    <cellStyle name="Millares 2 2 2 3" xfId="200" xr:uid="{A0816D5F-DB9C-47C1-B0A4-FA92A6B937FC}"/>
    <cellStyle name="Millares 2 2 2 3 2" xfId="386" xr:uid="{8EEC9BB1-B1B0-4492-8A85-BDCB2099F062}"/>
    <cellStyle name="Millares 2 2 2 3 2 2" xfId="725" xr:uid="{1E52FB31-D3AA-4A92-AC2B-3D9679394977}"/>
    <cellStyle name="Millares 2 2 2 3 2 2 2" xfId="1396" xr:uid="{814F6917-18AC-41FD-B0E9-C5FB127B7297}"/>
    <cellStyle name="Millares 2 2 2 3 2 3" xfId="1064" xr:uid="{44B9344B-169D-424B-AB9D-E88564A4C0BC}"/>
    <cellStyle name="Millares 2 2 2 3 3" xfId="559" xr:uid="{372EAF50-DBFE-4018-BFD0-E86D4CB59EF9}"/>
    <cellStyle name="Millares 2 2 2 3 3 2" xfId="1230" xr:uid="{C2DA759C-1F24-4691-93B4-AA275FE855F0}"/>
    <cellStyle name="Millares 2 2 2 3 4" xfId="898" xr:uid="{4163A2BA-B80D-4BF3-A226-DFB565D3483D}"/>
    <cellStyle name="Millares 2 2 2 4" xfId="304" xr:uid="{A7377150-DC74-4CE7-A5A4-545C5337DDAC}"/>
    <cellStyle name="Millares 2 2 2 4 2" xfId="643" xr:uid="{0854D92F-F06B-4B9B-A45E-B4FA5C4EE3CB}"/>
    <cellStyle name="Millares 2 2 2 4 2 2" xfId="1314" xr:uid="{EFB45DC4-07FE-4889-99DD-1F9669ABFE69}"/>
    <cellStyle name="Millares 2 2 2 4 3" xfId="982" xr:uid="{60635F08-0B0E-467B-A008-ECDE99D8C9EE}"/>
    <cellStyle name="Millares 2 2 2 5" xfId="477" xr:uid="{AEF91916-3C6A-4AAF-9AC8-18F0C02BF01D}"/>
    <cellStyle name="Millares 2 2 2 5 2" xfId="1148" xr:uid="{4CC680A6-DC5C-49AA-9646-63C2182695F3}"/>
    <cellStyle name="Millares 2 2 2 6" xfId="816" xr:uid="{12FAD897-F471-4342-8B1E-1E8798C7BCCF}"/>
    <cellStyle name="Millares 2 2 3" xfId="132" xr:uid="{86446F99-B1FF-4F39-BAF9-AEF1C90311CE}"/>
    <cellStyle name="Millares 2 2 3 2" xfId="221" xr:uid="{56277816-DEF3-4696-89BC-4CBAC76EE4A0}"/>
    <cellStyle name="Millares 2 2 3 2 2" xfId="407" xr:uid="{2439599E-52B9-4D4E-9371-250D28C9E142}"/>
    <cellStyle name="Millares 2 2 3 2 2 2" xfId="746" xr:uid="{565B7B65-BABD-4044-BE0F-687232CDCB28}"/>
    <cellStyle name="Millares 2 2 3 2 2 2 2" xfId="1417" xr:uid="{8043AFFF-A4CF-45DE-8621-69CCC93BFC42}"/>
    <cellStyle name="Millares 2 2 3 2 2 3" xfId="1085" xr:uid="{99250A9E-2F7D-4426-A482-A98D211E8094}"/>
    <cellStyle name="Millares 2 2 3 2 3" xfId="580" xr:uid="{ACB92106-5C0F-4B23-87FB-E4CD1B6E7ADD}"/>
    <cellStyle name="Millares 2 2 3 2 3 2" xfId="1251" xr:uid="{62D3E2A5-A9DC-416B-81A4-40FBB4B4765F}"/>
    <cellStyle name="Millares 2 2 3 2 4" xfId="919" xr:uid="{E80D8C1C-ABED-424A-9AFA-74ED8C7CDABA}"/>
    <cellStyle name="Millares 2 2 3 3" xfId="325" xr:uid="{95247975-1D94-466D-A488-B44BBABD82D6}"/>
    <cellStyle name="Millares 2 2 3 3 2" xfId="664" xr:uid="{136A9CF5-3F80-4EF0-8E10-EF351B7ED332}"/>
    <cellStyle name="Millares 2 2 3 3 2 2" xfId="1335" xr:uid="{10E627CC-030D-4E44-9BA4-7BE6D44DC2D7}"/>
    <cellStyle name="Millares 2 2 3 3 3" xfId="1003" xr:uid="{97277A63-AB96-4015-B9A1-1BA47250AC86}"/>
    <cellStyle name="Millares 2 2 3 4" xfId="498" xr:uid="{597CECB2-7B63-444E-A5A6-8BD8F1327618}"/>
    <cellStyle name="Millares 2 2 3 4 2" xfId="1169" xr:uid="{2E5CF591-8219-456F-ACE0-546BFDFB4D3B}"/>
    <cellStyle name="Millares 2 2 3 5" xfId="837" xr:uid="{95CECB37-EC6F-449F-8429-32BADDD8F75E}"/>
    <cellStyle name="Millares 2 2 4" xfId="181" xr:uid="{0867EA29-3BFC-44DD-B631-5B221AC545F6}"/>
    <cellStyle name="Millares 2 2 4 2" xfId="367" xr:uid="{AF06CFEE-0FE3-41FC-8E24-F9F864ABDA56}"/>
    <cellStyle name="Millares 2 2 4 2 2" xfId="706" xr:uid="{0D58713C-3000-4197-9A47-4BC48DBE38D0}"/>
    <cellStyle name="Millares 2 2 4 2 2 2" xfId="1377" xr:uid="{2CE55A52-99D7-46E8-A71F-34C3B7F2DC54}"/>
    <cellStyle name="Millares 2 2 4 2 3" xfId="1045" xr:uid="{D14B87A3-C0CD-40CD-9F22-CAC44FD9B8FE}"/>
    <cellStyle name="Millares 2 2 4 3" xfId="540" xr:uid="{EDFDFDF7-66A6-4163-BE4C-F64A39C06EED}"/>
    <cellStyle name="Millares 2 2 4 3 2" xfId="1211" xr:uid="{3A0F9851-5000-40BB-AAB2-0BA6D28D7A24}"/>
    <cellStyle name="Millares 2 2 4 4" xfId="879" xr:uid="{EE962D61-F48E-4A59-A72B-8A8C6593A0F3}"/>
    <cellStyle name="Millares 2 2 5" xfId="285" xr:uid="{DCE0F8C9-19DD-4323-AF8B-71ACFEE2DEB6}"/>
    <cellStyle name="Millares 2 2 5 2" xfId="624" xr:uid="{A183EB48-0DE9-4A25-9BF0-B6A0B6B0FEA1}"/>
    <cellStyle name="Millares 2 2 5 2 2" xfId="1295" xr:uid="{FAFA633E-B4C8-4481-8E1B-116F7AD6F667}"/>
    <cellStyle name="Millares 2 2 5 3" xfId="963" xr:uid="{6904FF48-8556-4E20-8ACB-3EBFD9515FA6}"/>
    <cellStyle name="Millares 2 2 6" xfId="458" xr:uid="{4CD6B801-168D-49AC-A341-9D5D5484E19D}"/>
    <cellStyle name="Millares 2 2 6 2" xfId="1129" xr:uid="{370B4C5C-611C-4ABD-A761-BC09F5B272B0}"/>
    <cellStyle name="Millares 2 2 7" xfId="797" xr:uid="{A8DEF2E4-56D3-44D5-A716-A11D572C0306}"/>
    <cellStyle name="Millares 2 3" xfId="92" xr:uid="{1E509B29-C4AC-446B-875B-7BBDE43C1AEE}"/>
    <cellStyle name="Millares 2 3 2" xfId="142" xr:uid="{79E55239-9757-4EA8-BB1F-2A52B79951AC}"/>
    <cellStyle name="Millares 2 3 2 2" xfId="231" xr:uid="{3AF9CACA-5C45-4A27-B313-EFA86F108FF0}"/>
    <cellStyle name="Millares 2 3 2 2 2" xfId="417" xr:uid="{AF3349ED-EB70-4E40-B606-597A44404165}"/>
    <cellStyle name="Millares 2 3 2 2 2 2" xfId="756" xr:uid="{D6C4FEAC-8102-4CFA-A04C-53D1ED3FE944}"/>
    <cellStyle name="Millares 2 3 2 2 2 2 2" xfId="1427" xr:uid="{F76A3FDE-4E2B-43F6-8CDC-FAAE7B684CBD}"/>
    <cellStyle name="Millares 2 3 2 2 2 3" xfId="1095" xr:uid="{3422BD04-E104-4A6C-9E1F-844798B4F22A}"/>
    <cellStyle name="Millares 2 3 2 2 3" xfId="590" xr:uid="{445D23A4-A2F8-44C9-9AF7-2F7C7387C42D}"/>
    <cellStyle name="Millares 2 3 2 2 3 2" xfId="1261" xr:uid="{AD025A77-8DF2-4678-9F94-897A9204624D}"/>
    <cellStyle name="Millares 2 3 2 2 4" xfId="929" xr:uid="{39C808EB-DE41-4921-954A-52F9740C9FE0}"/>
    <cellStyle name="Millares 2 3 2 3" xfId="335" xr:uid="{FDDC7ACF-4568-4C76-B847-4664ABAE0692}"/>
    <cellStyle name="Millares 2 3 2 3 2" xfId="674" xr:uid="{20F0FA65-750F-4910-B0D4-C09F201A1FC4}"/>
    <cellStyle name="Millares 2 3 2 3 2 2" xfId="1345" xr:uid="{67DAC8D7-CEF6-4218-97A3-A8DF6F2E6F92}"/>
    <cellStyle name="Millares 2 3 2 3 3" xfId="1013" xr:uid="{D1336016-2F61-4495-833B-1D4DACFF2D31}"/>
    <cellStyle name="Millares 2 3 2 4" xfId="508" xr:uid="{245ED59D-19F4-4EF9-8144-74185401531E}"/>
    <cellStyle name="Millares 2 3 2 4 2" xfId="1179" xr:uid="{812778BC-1CE0-47A8-AA39-311AD153F2BF}"/>
    <cellStyle name="Millares 2 3 2 5" xfId="847" xr:uid="{3A622975-521B-41DE-AFC1-C230F25555D3}"/>
    <cellStyle name="Millares 2 3 3" xfId="191" xr:uid="{FB65C2E8-82FA-4106-8734-6041FAF06C2C}"/>
    <cellStyle name="Millares 2 3 3 2" xfId="377" xr:uid="{49F7BFFA-42E8-4C46-97CC-9A2DAFD74F58}"/>
    <cellStyle name="Millares 2 3 3 2 2" xfId="716" xr:uid="{A2CDEB03-3967-438B-BDCB-814BE92C269E}"/>
    <cellStyle name="Millares 2 3 3 2 2 2" xfId="1387" xr:uid="{AF40DE65-1665-4064-A2CF-3952BC7B7335}"/>
    <cellStyle name="Millares 2 3 3 2 3" xfId="1055" xr:uid="{59C8AABA-839F-4AE1-8D03-8CCEC3078C46}"/>
    <cellStyle name="Millares 2 3 3 3" xfId="550" xr:uid="{BCB03CAB-5FB9-48AC-A0A9-3315A3188884}"/>
    <cellStyle name="Millares 2 3 3 3 2" xfId="1221" xr:uid="{ABB583F1-96FC-4A9B-9530-6BC019EF69F3}"/>
    <cellStyle name="Millares 2 3 3 4" xfId="889" xr:uid="{48A08A7C-63C3-40D5-BC04-E32DF8CE6C64}"/>
    <cellStyle name="Millares 2 3 4" xfId="295" xr:uid="{C67F2108-F82C-4A26-A9DC-C82A063FE702}"/>
    <cellStyle name="Millares 2 3 4 2" xfId="634" xr:uid="{3D3220CD-D9EB-4C70-9D4F-B80D70D3F0FF}"/>
    <cellStyle name="Millares 2 3 4 2 2" xfId="1305" xr:uid="{08AEA3C8-D3AF-482C-AAE8-4E5C63274376}"/>
    <cellStyle name="Millares 2 3 4 3" xfId="973" xr:uid="{E1F11F27-4AD7-49B4-9967-7FD8DB9D9E2E}"/>
    <cellStyle name="Millares 2 3 5" xfId="468" xr:uid="{A3137E23-ABB1-41ED-8CE0-FBF1B01BC58C}"/>
    <cellStyle name="Millares 2 3 5 2" xfId="1139" xr:uid="{AFD2C30C-FC53-4C20-87DE-21C57629C3D2}"/>
    <cellStyle name="Millares 2 3 6" xfId="807" xr:uid="{E94FA952-F596-4B25-9C48-E14E4737B4E4}"/>
    <cellStyle name="Millares 2 4" xfId="121" xr:uid="{F1FFA024-4691-4FAD-8C05-5882848D7E5A}"/>
    <cellStyle name="Millares 2 4 2" xfId="212" xr:uid="{633F58BF-E13F-4912-8025-A9506627A556}"/>
    <cellStyle name="Millares 2 4 2 2" xfId="398" xr:uid="{121371D1-B389-49B4-B7B9-0EAB9C603668}"/>
    <cellStyle name="Millares 2 4 2 2 2" xfId="737" xr:uid="{D8B54E29-5A74-4B98-A4E4-642A455FC7B3}"/>
    <cellStyle name="Millares 2 4 2 2 2 2" xfId="1408" xr:uid="{AEEE398F-50AE-4073-B775-830B46F93245}"/>
    <cellStyle name="Millares 2 4 2 2 3" xfId="1076" xr:uid="{BF87CC46-54EA-45DD-94B8-A6E82CCC0BCB}"/>
    <cellStyle name="Millares 2 4 2 3" xfId="571" xr:uid="{A00E857E-744C-4187-963E-22CFB2CD7588}"/>
    <cellStyle name="Millares 2 4 2 3 2" xfId="1242" xr:uid="{E4C6BB53-2098-459B-8350-1CE0FA36587C}"/>
    <cellStyle name="Millares 2 4 2 4" xfId="910" xr:uid="{E6C10D76-2415-4590-802F-04B1CF73DCD0}"/>
    <cellStyle name="Millares 2 4 3" xfId="316" xr:uid="{AFA50267-679C-4901-BE0F-419E57740B18}"/>
    <cellStyle name="Millares 2 4 3 2" xfId="655" xr:uid="{713EAA54-34A8-44B8-AD59-F5276042DE62}"/>
    <cellStyle name="Millares 2 4 3 2 2" xfId="1326" xr:uid="{A30DA8C4-A6CC-41F6-8CE4-A64539EAA9E3}"/>
    <cellStyle name="Millares 2 4 3 3" xfId="994" xr:uid="{AD21A620-2160-4F50-85A2-DA9AC7D7A5C8}"/>
    <cellStyle name="Millares 2 4 4" xfId="489" xr:uid="{BD47C6D2-707B-4B2A-A7CB-4A8DBC5459FA}"/>
    <cellStyle name="Millares 2 4 4 2" xfId="1160" xr:uid="{95121459-C637-4DDA-8642-FCC76E25F809}"/>
    <cellStyle name="Millares 2 4 5" xfId="828" xr:uid="{19504CC6-460B-4960-A73C-44A7697A058B}"/>
    <cellStyle name="Millares 2 5" xfId="171" xr:uid="{BAC7196F-9DDC-49A4-89F9-AF76BFB344E1}"/>
    <cellStyle name="Millares 2 5 2" xfId="358" xr:uid="{BCC15022-2228-4C09-BD37-A01D4F68E59C}"/>
    <cellStyle name="Millares 2 5 2 2" xfId="697" xr:uid="{B0077AEC-9E0D-4D05-BC72-273BC0255AD4}"/>
    <cellStyle name="Millares 2 5 2 2 2" xfId="1368" xr:uid="{04695690-30AF-40C4-BC14-307FAB1492C7}"/>
    <cellStyle name="Millares 2 5 2 3" xfId="1036" xr:uid="{6D2815D0-80CB-4E42-A0FF-FEDFE9D21282}"/>
    <cellStyle name="Millares 2 5 3" xfId="531" xr:uid="{C15D3EA3-2014-487B-B4B3-64CDDDE9EED9}"/>
    <cellStyle name="Millares 2 5 3 2" xfId="1202" xr:uid="{8EE6ABD9-54BC-4225-AAE7-3365FDF55E25}"/>
    <cellStyle name="Millares 2 5 4" xfId="870" xr:uid="{E7D1806A-32D0-41CB-B524-EC6221B6CF0B}"/>
    <cellStyle name="Millares 2 6" xfId="259" xr:uid="{621F2F16-E4FF-4A56-AFAE-64422D5F5131}"/>
    <cellStyle name="Millares 2 7" xfId="275" xr:uid="{BB62541E-BD63-44EA-A651-4E9E82C6740D}"/>
    <cellStyle name="Millares 2 7 2" xfId="615" xr:uid="{DA1733CA-C387-49D2-94AA-27810A36090C}"/>
    <cellStyle name="Millares 2 7 2 2" xfId="1286" xr:uid="{88572657-76D6-4C6F-B847-AF585F1217FA}"/>
    <cellStyle name="Millares 2 7 3" xfId="954" xr:uid="{4E5612C2-505B-4366-A871-690C4775C21B}"/>
    <cellStyle name="Millares 2 8" xfId="448" xr:uid="{AD2AF427-C70F-4951-9FFE-6580B6AE5469}"/>
    <cellStyle name="Millares 2 8 2" xfId="1120" xr:uid="{7C8665FE-BE33-4033-9053-FD5B4D069F1D}"/>
    <cellStyle name="Millares 2 9" xfId="787" xr:uid="{4DA6F3F5-9928-444E-8D7A-48EED1EFCE8E}"/>
    <cellStyle name="Millares 3" xfId="71" xr:uid="{319BC020-3C0F-4C13-8169-9EA7DE680623}"/>
    <cellStyle name="Millares 3 2" xfId="100" xr:uid="{ADAF9EC5-F43A-44E8-8D57-C8C5C6BC7509}"/>
    <cellStyle name="Millares 3 2 2" xfId="60" xr:uid="{9BF5FA14-0195-4925-971D-70D7F44784A9}"/>
    <cellStyle name="Millares 3 2 2 2" xfId="264" xr:uid="{B34EBA4A-4A58-4614-AA4A-D495BD35B01C}"/>
    <cellStyle name="Millares 3 2 3" xfId="148" xr:uid="{9FF6F3C4-60B1-4882-8963-C3C2B7F10B4D}"/>
    <cellStyle name="Millares 3 2 3 2" xfId="237" xr:uid="{AC108CB9-14DB-4738-943D-708237FAEEA3}"/>
    <cellStyle name="Millares 3 2 3 2 2" xfId="423" xr:uid="{B3C3515A-CDCC-4F0D-8B55-8C58381F3A0D}"/>
    <cellStyle name="Millares 3 2 3 2 2 2" xfId="762" xr:uid="{151CD102-8ED4-4689-B9C9-A3CC609F7533}"/>
    <cellStyle name="Millares 3 2 3 2 2 2 2" xfId="1433" xr:uid="{2433060E-8C62-41D5-B2C8-3D0667A8957E}"/>
    <cellStyle name="Millares 3 2 3 2 2 3" xfId="1101" xr:uid="{6DAAF2E8-C414-414E-B013-323CF0CD483A}"/>
    <cellStyle name="Millares 3 2 3 2 3" xfId="596" xr:uid="{77AA9C96-34DF-4513-B515-D1645EB0DE33}"/>
    <cellStyle name="Millares 3 2 3 2 3 2" xfId="1267" xr:uid="{7340D7EF-5ABE-4475-8191-F99102B96F3B}"/>
    <cellStyle name="Millares 3 2 3 2 4" xfId="935" xr:uid="{BAE82FDF-96A4-43AD-9913-E513870B8204}"/>
    <cellStyle name="Millares 3 2 3 3" xfId="341" xr:uid="{4DBF5927-852C-4F86-B31D-CDADFC361ECE}"/>
    <cellStyle name="Millares 3 2 3 3 2" xfId="680" xr:uid="{A8A5FEBC-447C-4A69-9C11-B9966E7323EB}"/>
    <cellStyle name="Millares 3 2 3 3 2 2" xfId="1351" xr:uid="{0BE443C6-0A60-4A72-8FEA-A58895125A99}"/>
    <cellStyle name="Millares 3 2 3 3 3" xfId="1019" xr:uid="{C5815F60-51D7-4570-84FC-CC86B7EB3E74}"/>
    <cellStyle name="Millares 3 2 3 4" xfId="514" xr:uid="{81FD6A69-A5D3-4391-84D0-55D6D34ADC3B}"/>
    <cellStyle name="Millares 3 2 3 4 2" xfId="1185" xr:uid="{E80944C9-04BF-4242-98EC-ACDC48F24CDA}"/>
    <cellStyle name="Millares 3 2 3 5" xfId="853" xr:uid="{7CFDB4A6-97E6-429E-935B-6C41E62C12A3}"/>
    <cellStyle name="Millares 3 2 4" xfId="197" xr:uid="{43759D88-7558-4FB6-888F-9E0EBB090570}"/>
    <cellStyle name="Millares 3 2 4 2" xfId="383" xr:uid="{3C90F584-E7F0-4EED-9F2B-FE4CFB45C23B}"/>
    <cellStyle name="Millares 3 2 4 2 2" xfId="722" xr:uid="{51BD8B1E-98D6-419A-8D16-9E41FABEC8FD}"/>
    <cellStyle name="Millares 3 2 4 2 2 2" xfId="1393" xr:uid="{5FD74764-3A0D-4BB3-956B-A774B5F4961B}"/>
    <cellStyle name="Millares 3 2 4 2 3" xfId="1061" xr:uid="{A4D8EE2F-6653-49C9-A848-0331C801EDAE}"/>
    <cellStyle name="Millares 3 2 4 3" xfId="556" xr:uid="{72EB23C2-2B72-4572-B067-70F593099255}"/>
    <cellStyle name="Millares 3 2 4 3 2" xfId="1227" xr:uid="{5E3A1FB6-3934-48BF-9278-CC9D47D2AF92}"/>
    <cellStyle name="Millares 3 2 4 4" xfId="895" xr:uid="{C4CC6559-086A-4F6E-83C4-4FC46C044E6B}"/>
    <cellStyle name="Millares 3 2 5" xfId="301" xr:uid="{57F76E66-9B7A-4015-A33A-0EA3483692E2}"/>
    <cellStyle name="Millares 3 2 5 2" xfId="640" xr:uid="{04CEAD06-85D6-4B89-83A2-DD44E73B0B37}"/>
    <cellStyle name="Millares 3 2 5 2 2" xfId="1311" xr:uid="{7EA5354B-8471-4D52-8416-6D34209E50CF}"/>
    <cellStyle name="Millares 3 2 5 3" xfId="979" xr:uid="{BF577938-A20A-483F-AE49-28E015FABC8C}"/>
    <cellStyle name="Millares 3 2 6" xfId="474" xr:uid="{8335D139-E0DE-4CD8-9167-96E2C345901C}"/>
    <cellStyle name="Millares 3 2 6 2" xfId="1145" xr:uid="{562A71AD-593F-4E9F-A890-79F6E8FE1E8F}"/>
    <cellStyle name="Millares 3 2 7" xfId="813" xr:uid="{130E8759-152D-46D0-B68D-C8AE3295F8CE}"/>
    <cellStyle name="Millares 3 3" xfId="129" xr:uid="{BB779DEF-F0C5-41D2-95C3-87E055B62F59}"/>
    <cellStyle name="Millares 3 3 2" xfId="218" xr:uid="{EBDAE2B4-9252-44DC-B365-CFF03CFEDE5B}"/>
    <cellStyle name="Millares 3 3 2 2" xfId="404" xr:uid="{63918B74-ECA8-4E97-B721-2359959CB1B2}"/>
    <cellStyle name="Millares 3 3 2 2 2" xfId="743" xr:uid="{E675C142-D928-42F7-A693-557E6A279CCB}"/>
    <cellStyle name="Millares 3 3 2 2 2 2" xfId="1414" xr:uid="{668FA5D5-E7CC-4469-85A8-F6F1328DB235}"/>
    <cellStyle name="Millares 3 3 2 2 3" xfId="1082" xr:uid="{4D67A819-BF0B-408B-BDD6-B01DF845C4AC}"/>
    <cellStyle name="Millares 3 3 2 3" xfId="577" xr:uid="{964D5CCB-4A2E-4949-96D1-3624D86FFDEE}"/>
    <cellStyle name="Millares 3 3 2 3 2" xfId="1248" xr:uid="{BAA91274-32D5-4365-885C-9BEFD5709964}"/>
    <cellStyle name="Millares 3 3 2 4" xfId="916" xr:uid="{31120E16-6D76-4082-A711-EB86B9596A26}"/>
    <cellStyle name="Millares 3 3 3" xfId="322" xr:uid="{192C3230-8BF1-4826-B1AA-C4574C269535}"/>
    <cellStyle name="Millares 3 3 3 2" xfId="661" xr:uid="{55F33DCC-2BC6-4988-ABFC-98CE83C33980}"/>
    <cellStyle name="Millares 3 3 3 2 2" xfId="1332" xr:uid="{424BB245-7553-43AC-B76C-CCA630F89056}"/>
    <cellStyle name="Millares 3 3 3 3" xfId="1000" xr:uid="{E03CE26E-9A68-4B71-A622-C4A33494673E}"/>
    <cellStyle name="Millares 3 3 4" xfId="495" xr:uid="{F07002D3-DD0F-4DCF-92E4-40800C1A778E}"/>
    <cellStyle name="Millares 3 3 4 2" xfId="1166" xr:uid="{D24E726A-0BE4-441F-9131-7EEB6B04E7E6}"/>
    <cellStyle name="Millares 3 3 5" xfId="834" xr:uid="{D94974AD-AA63-497B-AED7-28D311038580}"/>
    <cellStyle name="Millares 3 4" xfId="178" xr:uid="{B128BA83-11E3-4E50-B9E3-183D3EF80F0F}"/>
    <cellStyle name="Millares 3 4 2" xfId="364" xr:uid="{A95D48AC-A968-4DA1-9122-6141732D62B3}"/>
    <cellStyle name="Millares 3 4 2 2" xfId="703" xr:uid="{97389605-7AD1-4B31-A26E-1A1C6116363B}"/>
    <cellStyle name="Millares 3 4 2 2 2" xfId="1374" xr:uid="{E62545AA-7283-4E54-8151-4050AACA1856}"/>
    <cellStyle name="Millares 3 4 2 3" xfId="1042" xr:uid="{8CF22641-BF9C-4CC3-B276-96C44BDF196B}"/>
    <cellStyle name="Millares 3 4 3" xfId="537" xr:uid="{2DA1AF4B-71D7-4809-8C5A-7CDDF3771230}"/>
    <cellStyle name="Millares 3 4 3 2" xfId="1208" xr:uid="{9023200E-C91C-42E9-85B3-2698518D3597}"/>
    <cellStyle name="Millares 3 4 4" xfId="876" xr:uid="{EBD01133-D2B8-4A04-A0EE-131B6283DF3F}"/>
    <cellStyle name="Millares 3 5" xfId="282" xr:uid="{78CBDDAA-AC16-4942-9F4B-211622674E11}"/>
    <cellStyle name="Millares 3 5 2" xfId="621" xr:uid="{7C8CCB8C-3631-46EA-A5EA-3F217C39FB35}"/>
    <cellStyle name="Millares 3 5 2 2" xfId="1292" xr:uid="{C04E5079-C8AB-4EB4-AF78-F4F3A3593625}"/>
    <cellStyle name="Millares 3 5 3" xfId="960" xr:uid="{20C79638-21B3-44B9-8CED-6ABA51624BC2}"/>
    <cellStyle name="Millares 3 6" xfId="455" xr:uid="{492D2DD1-BD6E-4706-9713-810697F91931}"/>
    <cellStyle name="Millares 3 6 2" xfId="1126" xr:uid="{EF8C69FC-A91F-4CD9-A9D1-5CDE3465D3CF}"/>
    <cellStyle name="Millares 3 7" xfId="794" xr:uid="{F4A5BAF7-0DD6-4057-A68F-1C70C1D519AF}"/>
    <cellStyle name="Millares 30 2 2" xfId="58" xr:uid="{1BEFCA5F-6E70-497F-A3C6-7F8E74A0149D}"/>
    <cellStyle name="Millares 30 2 2 2" xfId="77" xr:uid="{FAA75E1C-62C7-49AB-A717-63012AC5E504}"/>
    <cellStyle name="Millares 30 2 2 2 2" xfId="105" xr:uid="{D1EFAB53-017F-4B2E-9D49-030700E3BA04}"/>
    <cellStyle name="Millares 30 2 2 2 2 2" xfId="153" xr:uid="{88819689-9929-4437-917A-90D030A42BC0}"/>
    <cellStyle name="Millares 30 2 2 2 2 2 2" xfId="242" xr:uid="{8393B89C-3F8C-446D-8E05-D6B9C0E69465}"/>
    <cellStyle name="Millares 30 2 2 2 2 2 2 2" xfId="428" xr:uid="{8F69CF95-4145-4FAB-BBC6-211F070B4D49}"/>
    <cellStyle name="Millares 30 2 2 2 2 2 2 2 2" xfId="767" xr:uid="{A6450A5A-2CFF-45E8-8BE1-BD3246682CFB}"/>
    <cellStyle name="Millares 30 2 2 2 2 2 2 2 2 2" xfId="1438" xr:uid="{87738142-57AB-4EB9-A044-8431BA022232}"/>
    <cellStyle name="Millares 30 2 2 2 2 2 2 2 3" xfId="1106" xr:uid="{E104F8BB-43B0-4B0C-88F4-4EDAFC576ED6}"/>
    <cellStyle name="Millares 30 2 2 2 2 2 2 3" xfId="601" xr:uid="{E5B9EB9D-21F8-4F6E-B23A-10760443DB6F}"/>
    <cellStyle name="Millares 30 2 2 2 2 2 2 3 2" xfId="1272" xr:uid="{BE2CC440-DB0E-4A5C-B47E-288874556A4E}"/>
    <cellStyle name="Millares 30 2 2 2 2 2 2 4" xfId="940" xr:uid="{95819781-06D5-429D-82B2-4CC1F96E6D08}"/>
    <cellStyle name="Millares 30 2 2 2 2 2 3" xfId="346" xr:uid="{F5A7F393-CC2C-44BE-B813-2485029B1557}"/>
    <cellStyle name="Millares 30 2 2 2 2 2 3 2" xfId="685" xr:uid="{D4CD374D-B5CE-4A12-A4D3-A53CF3EED5D3}"/>
    <cellStyle name="Millares 30 2 2 2 2 2 3 2 2" xfId="1356" xr:uid="{C8CED052-93CE-4D5B-8EC8-37B12B5FD1A5}"/>
    <cellStyle name="Millares 30 2 2 2 2 2 3 3" xfId="1024" xr:uid="{D1F500FB-071F-4E72-9D1E-66B007D77B8E}"/>
    <cellStyle name="Millares 30 2 2 2 2 2 4" xfId="519" xr:uid="{F3236EA4-DDF4-4A84-8B83-8372A876B13C}"/>
    <cellStyle name="Millares 30 2 2 2 2 2 4 2" xfId="1190" xr:uid="{3F1D36D9-9A79-4E7D-A43C-5F86539393B4}"/>
    <cellStyle name="Millares 30 2 2 2 2 2 5" xfId="858" xr:uid="{D3A8D517-A55E-480B-A14C-B05E2B7E1AEB}"/>
    <cellStyle name="Millares 30 2 2 2 2 3" xfId="202" xr:uid="{E282E561-089B-444B-A99E-B215D074BC2D}"/>
    <cellStyle name="Millares 30 2 2 2 2 3 2" xfId="388" xr:uid="{7EF01D31-0BFA-4217-8B22-5FD427B25D52}"/>
    <cellStyle name="Millares 30 2 2 2 2 3 2 2" xfId="727" xr:uid="{12E40374-7B76-4409-8951-E8BBBF46AD0B}"/>
    <cellStyle name="Millares 30 2 2 2 2 3 2 2 2" xfId="1398" xr:uid="{3D36FF4B-62CA-40A9-99F1-DF0ADCE40DAF}"/>
    <cellStyle name="Millares 30 2 2 2 2 3 2 3" xfId="1066" xr:uid="{E8F9D4D0-1E6A-452D-B702-BCE13B0A6959}"/>
    <cellStyle name="Millares 30 2 2 2 2 3 3" xfId="561" xr:uid="{E1B38387-67B1-4635-89B0-1AECD683F379}"/>
    <cellStyle name="Millares 30 2 2 2 2 3 3 2" xfId="1232" xr:uid="{44E539A1-E55A-4AD7-8F71-876D6E0C9CD7}"/>
    <cellStyle name="Millares 30 2 2 2 2 3 4" xfId="900" xr:uid="{02788E52-4DA3-4988-8CF5-C3FD8E96E91F}"/>
    <cellStyle name="Millares 30 2 2 2 2 4" xfId="306" xr:uid="{00400CF9-A1C6-4D2F-A1AA-24E901333D6F}"/>
    <cellStyle name="Millares 30 2 2 2 2 4 2" xfId="645" xr:uid="{169D5236-B8B8-473B-A50B-16C3C70DB54B}"/>
    <cellStyle name="Millares 30 2 2 2 2 4 2 2" xfId="1316" xr:uid="{4B16B6E5-65EB-4FCD-A0B9-C022A33BA9C6}"/>
    <cellStyle name="Millares 30 2 2 2 2 4 3" xfId="984" xr:uid="{2B7A3B89-FC8B-497A-B260-9A0A1B04B5EE}"/>
    <cellStyle name="Millares 30 2 2 2 2 5" xfId="479" xr:uid="{34AB0E38-1876-4693-BF0D-46B35067746D}"/>
    <cellStyle name="Millares 30 2 2 2 2 5 2" xfId="1150" xr:uid="{A9367673-F8E6-4304-8C7F-38FB98D47160}"/>
    <cellStyle name="Millares 30 2 2 2 2 6" xfId="818" xr:uid="{F2DE2E32-0764-4AD0-BB3C-B086B37409E4}"/>
    <cellStyle name="Millares 30 2 2 2 3" xfId="134" xr:uid="{EC8E8E3F-0196-438F-8E5C-7FC27A204B05}"/>
    <cellStyle name="Millares 30 2 2 2 3 2" xfId="223" xr:uid="{D2EAD50B-53DB-49CA-9FD3-EE82625ADB47}"/>
    <cellStyle name="Millares 30 2 2 2 3 2 2" xfId="409" xr:uid="{0842016E-CC37-490E-B1C5-3317EED705BD}"/>
    <cellStyle name="Millares 30 2 2 2 3 2 2 2" xfId="748" xr:uid="{CA202157-EA1F-4B89-A243-BBF5A6B94BDE}"/>
    <cellStyle name="Millares 30 2 2 2 3 2 2 2 2" xfId="1419" xr:uid="{2ABDB2D3-67FA-4A8A-8C56-66F6B32F27E7}"/>
    <cellStyle name="Millares 30 2 2 2 3 2 2 3" xfId="1087" xr:uid="{F6E79516-F4E1-4F83-A1BE-B384D96E34DA}"/>
    <cellStyle name="Millares 30 2 2 2 3 2 3" xfId="582" xr:uid="{2475CA65-AD9E-4C37-9B9E-2157784D6914}"/>
    <cellStyle name="Millares 30 2 2 2 3 2 3 2" xfId="1253" xr:uid="{EBDCDF6B-7AA9-4A9D-9688-D320B9AC0DE5}"/>
    <cellStyle name="Millares 30 2 2 2 3 2 4" xfId="921" xr:uid="{3052640B-AB3A-41AB-BC8F-4B386F5B3FD3}"/>
    <cellStyle name="Millares 30 2 2 2 3 3" xfId="327" xr:uid="{E53BC7A5-2A08-418A-81E8-36EFCC7C5213}"/>
    <cellStyle name="Millares 30 2 2 2 3 3 2" xfId="666" xr:uid="{2B7A18FF-1394-4CF5-89EE-A5E91896FDF7}"/>
    <cellStyle name="Millares 30 2 2 2 3 3 2 2" xfId="1337" xr:uid="{79F0A951-BEC0-486C-A546-8CEE7BDF70AA}"/>
    <cellStyle name="Millares 30 2 2 2 3 3 3" xfId="1005" xr:uid="{EEEBB145-B814-4AF6-89C3-80E5B8E926C4}"/>
    <cellStyle name="Millares 30 2 2 2 3 4" xfId="500" xr:uid="{8E0CECEA-C17F-49E0-80F4-37E5CC1F43E9}"/>
    <cellStyle name="Millares 30 2 2 2 3 4 2" xfId="1171" xr:uid="{72F2A050-05B3-46F7-ADF5-8AF0DCAE110C}"/>
    <cellStyle name="Millares 30 2 2 2 3 5" xfId="839" xr:uid="{A3FB1AFC-C9C3-436F-944F-B9E3CE0592D2}"/>
    <cellStyle name="Millares 30 2 2 2 4" xfId="183" xr:uid="{93E68AB4-3C55-4996-830F-D636E557D029}"/>
    <cellStyle name="Millares 30 2 2 2 4 2" xfId="369" xr:uid="{368F9FE3-75FA-468F-A8EB-CACDC2D7F596}"/>
    <cellStyle name="Millares 30 2 2 2 4 2 2" xfId="708" xr:uid="{87BC901E-706B-401A-9551-E527A1BE9DF1}"/>
    <cellStyle name="Millares 30 2 2 2 4 2 2 2" xfId="1379" xr:uid="{62AA2E49-EBFE-432B-A856-EA519957DE15}"/>
    <cellStyle name="Millares 30 2 2 2 4 2 3" xfId="1047" xr:uid="{8D6C43E8-7153-47E4-897A-0ADE89A7F9AE}"/>
    <cellStyle name="Millares 30 2 2 2 4 3" xfId="542" xr:uid="{49DF1468-5713-49B4-BFD6-F642A3C7A794}"/>
    <cellStyle name="Millares 30 2 2 2 4 3 2" xfId="1213" xr:uid="{F8F9A6FA-F6E1-4F5C-A689-5BFC4F010072}"/>
    <cellStyle name="Millares 30 2 2 2 4 4" xfId="881" xr:uid="{B44B7485-A830-4632-AE3E-289D95F4548A}"/>
    <cellStyle name="Millares 30 2 2 2 5" xfId="287" xr:uid="{AC278168-F80F-4755-915A-1B7FE9CB39AB}"/>
    <cellStyle name="Millares 30 2 2 2 5 2" xfId="626" xr:uid="{31FA15A5-89B7-49B3-B574-AC16D88A4634}"/>
    <cellStyle name="Millares 30 2 2 2 5 2 2" xfId="1297" xr:uid="{9A320A2E-3C50-45DA-AA17-2D5A360D12F1}"/>
    <cellStyle name="Millares 30 2 2 2 5 3" xfId="965" xr:uid="{C6BD0CCC-678C-4FF2-9ABF-C8AC9D52F87A}"/>
    <cellStyle name="Millares 30 2 2 2 6" xfId="460" xr:uid="{F9E6FAA4-C76D-4D93-B9E5-C5545796DA9C}"/>
    <cellStyle name="Millares 30 2 2 2 6 2" xfId="1131" xr:uid="{CC793D28-1B25-4A15-A096-A45F769D68C2}"/>
    <cellStyle name="Millares 30 2 2 2 7" xfId="799" xr:uid="{FD2B64B2-E428-4916-9EFE-2C9EAA5B9914}"/>
    <cellStyle name="Millares 30 2 2 3" xfId="95" xr:uid="{D9380636-524C-445E-9BEC-93E3CE78131D}"/>
    <cellStyle name="Millares 30 2 2 3 2" xfId="144" xr:uid="{1498D9ED-7139-408B-B622-F745AE2BAD21}"/>
    <cellStyle name="Millares 30 2 2 3 2 2" xfId="233" xr:uid="{944F8415-A419-4565-943B-2A072D5D87AA}"/>
    <cellStyle name="Millares 30 2 2 3 2 2 2" xfId="419" xr:uid="{F465D3BF-5D1B-4619-8FDA-860E211214F4}"/>
    <cellStyle name="Millares 30 2 2 3 2 2 2 2" xfId="758" xr:uid="{14C7EBFD-1A41-4091-A7B8-00BB9BD58FB9}"/>
    <cellStyle name="Millares 30 2 2 3 2 2 2 2 2" xfId="1429" xr:uid="{211BC1BF-AD1A-4D1E-B44C-A7993BF2367B}"/>
    <cellStyle name="Millares 30 2 2 3 2 2 2 3" xfId="1097" xr:uid="{EEB3D26C-8F00-4CCA-B975-4754762A770D}"/>
    <cellStyle name="Millares 30 2 2 3 2 2 3" xfId="592" xr:uid="{9113C0BA-3DE5-45E2-B2E8-558336012B63}"/>
    <cellStyle name="Millares 30 2 2 3 2 2 3 2" xfId="1263" xr:uid="{0E8F71D6-54A6-4E6A-8B8D-8F5EE0C481DD}"/>
    <cellStyle name="Millares 30 2 2 3 2 2 4" xfId="931" xr:uid="{A65A5190-A66D-40F9-9A23-F3F4E4955CC1}"/>
    <cellStyle name="Millares 30 2 2 3 2 3" xfId="337" xr:uid="{C2FD3321-8889-4E3C-86D4-62BD79985C80}"/>
    <cellStyle name="Millares 30 2 2 3 2 3 2" xfId="676" xr:uid="{AA9AC410-9075-4686-B99E-43E797131020}"/>
    <cellStyle name="Millares 30 2 2 3 2 3 2 2" xfId="1347" xr:uid="{499DBE12-715B-4E6F-98EF-A5A883E0879D}"/>
    <cellStyle name="Millares 30 2 2 3 2 3 3" xfId="1015" xr:uid="{55D5623D-A899-407F-8DF3-10E38113D703}"/>
    <cellStyle name="Millares 30 2 2 3 2 4" xfId="510" xr:uid="{EF0864D2-0A9F-4681-B60A-298AE69FA2FA}"/>
    <cellStyle name="Millares 30 2 2 3 2 4 2" xfId="1181" xr:uid="{9235870B-63C1-4664-B9D5-579AA881D727}"/>
    <cellStyle name="Millares 30 2 2 3 2 5" xfId="849" xr:uid="{0ED04B61-0175-49E2-AC9A-3D56998D4271}"/>
    <cellStyle name="Millares 30 2 2 3 3" xfId="193" xr:uid="{3017B8B8-420E-4CF5-AE76-1E38A9408D04}"/>
    <cellStyle name="Millares 30 2 2 3 3 2" xfId="379" xr:uid="{1195D3A9-E048-4C10-B756-69FB57397BEC}"/>
    <cellStyle name="Millares 30 2 2 3 3 2 2" xfId="718" xr:uid="{AD76B8DF-217A-4C3E-B7B9-66D33E87C5AA}"/>
    <cellStyle name="Millares 30 2 2 3 3 2 2 2" xfId="1389" xr:uid="{A15C57A2-BD7E-4006-846D-4B8533BEC32C}"/>
    <cellStyle name="Millares 30 2 2 3 3 2 3" xfId="1057" xr:uid="{9C1FF4FD-FF63-47A2-8F08-B390928DD629}"/>
    <cellStyle name="Millares 30 2 2 3 3 3" xfId="552" xr:uid="{D44FC747-C101-463E-948E-7B18A1250FE3}"/>
    <cellStyle name="Millares 30 2 2 3 3 3 2" xfId="1223" xr:uid="{72D0D6FA-A489-41D4-8601-A4D66BA1F4B2}"/>
    <cellStyle name="Millares 30 2 2 3 3 4" xfId="891" xr:uid="{F6D4F7A3-A885-46D9-B3BF-2B2CE80372F1}"/>
    <cellStyle name="Millares 30 2 2 3 4" xfId="297" xr:uid="{0DB83524-A73E-4255-B54E-1C58DB15B571}"/>
    <cellStyle name="Millares 30 2 2 3 4 2" xfId="636" xr:uid="{9E15E9FD-D8B1-466E-8FE6-14C70A947F19}"/>
    <cellStyle name="Millares 30 2 2 3 4 2 2" xfId="1307" xr:uid="{895762E5-7550-4F08-9593-CE46AB025D51}"/>
    <cellStyle name="Millares 30 2 2 3 4 3" xfId="975" xr:uid="{7C8612B1-3360-470F-ACBA-1927F343A8F6}"/>
    <cellStyle name="Millares 30 2 2 3 5" xfId="470" xr:uid="{371A9729-2C38-4292-8C6F-248B87D6EC31}"/>
    <cellStyle name="Millares 30 2 2 3 5 2" xfId="1141" xr:uid="{5D95DA78-C624-4BF4-85A8-1049B961E99B}"/>
    <cellStyle name="Millares 30 2 2 3 6" xfId="809" xr:uid="{0D1BB543-F54C-4C14-B851-DB34F07ECF8E}"/>
    <cellStyle name="Millares 30 2 2 4" xfId="124" xr:uid="{300A7AD3-A53C-4981-98F3-14EC40CD4CBE}"/>
    <cellStyle name="Millares 30 2 2 4 2" xfId="214" xr:uid="{878E95C8-F075-4E89-8970-26BF6C2FCA23}"/>
    <cellStyle name="Millares 30 2 2 4 2 2" xfId="400" xr:uid="{A4A5E17B-806A-4E20-AD27-E8A223CFF76A}"/>
    <cellStyle name="Millares 30 2 2 4 2 2 2" xfId="739" xr:uid="{54AF83ED-1E9B-40CF-BF4D-44EACDD307F5}"/>
    <cellStyle name="Millares 30 2 2 4 2 2 2 2" xfId="1410" xr:uid="{542E3228-005D-4A02-A354-7A90973BC1A1}"/>
    <cellStyle name="Millares 30 2 2 4 2 2 3" xfId="1078" xr:uid="{45A405FB-88D6-4568-9780-9FD0FD4EFC6C}"/>
    <cellStyle name="Millares 30 2 2 4 2 3" xfId="573" xr:uid="{7A4C0662-5B39-42EE-8759-5706A8F5E73F}"/>
    <cellStyle name="Millares 30 2 2 4 2 3 2" xfId="1244" xr:uid="{DE8C2826-F870-4575-B071-464312B7D6D9}"/>
    <cellStyle name="Millares 30 2 2 4 2 4" xfId="912" xr:uid="{CC85BADA-6197-4210-8EDD-04C4F40E0F37}"/>
    <cellStyle name="Millares 30 2 2 4 3" xfId="318" xr:uid="{F609A87D-F6F2-4AD5-8EF5-CAB667E60369}"/>
    <cellStyle name="Millares 30 2 2 4 3 2" xfId="657" xr:uid="{603175B9-1502-469C-87DE-746B6FD9B7F2}"/>
    <cellStyle name="Millares 30 2 2 4 3 2 2" xfId="1328" xr:uid="{ACF1BB56-3FB5-4BF4-AAAD-76C753823A14}"/>
    <cellStyle name="Millares 30 2 2 4 3 3" xfId="996" xr:uid="{71FF1693-8666-4698-8BD1-3053DE9D4FE1}"/>
    <cellStyle name="Millares 30 2 2 4 4" xfId="491" xr:uid="{0720BB8B-0B55-4C92-8AF0-13D8451D2FF6}"/>
    <cellStyle name="Millares 30 2 2 4 4 2" xfId="1162" xr:uid="{4B757DA5-5A58-4298-A719-7FE95FF044C3}"/>
    <cellStyle name="Millares 30 2 2 4 5" xfId="830" xr:uid="{C0DBFE8C-01B9-4B8D-8825-51F7E3F068F9}"/>
    <cellStyle name="Millares 30 2 2 5" xfId="174" xr:uid="{30F49E20-8A1F-4E9D-AEDB-D588D7882FBB}"/>
    <cellStyle name="Millares 30 2 2 5 2" xfId="360" xr:uid="{6FA084C6-8432-4B70-A361-E4FDD35F1D6F}"/>
    <cellStyle name="Millares 30 2 2 5 2 2" xfId="699" xr:uid="{8928E3BD-777A-4C47-AFBC-E9895D17E8BF}"/>
    <cellStyle name="Millares 30 2 2 5 2 2 2" xfId="1370" xr:uid="{242A0FD4-2D0E-4398-BA8B-6B0374CD4A02}"/>
    <cellStyle name="Millares 30 2 2 5 2 3" xfId="1038" xr:uid="{7FBA9654-9377-47FB-9F33-CE8729019632}"/>
    <cellStyle name="Millares 30 2 2 5 3" xfId="533" xr:uid="{63CB8477-1086-493B-B840-1ECADB35CA1C}"/>
    <cellStyle name="Millares 30 2 2 5 3 2" xfId="1204" xr:uid="{1FD398AE-1A6B-4767-9B44-263C58B5177D}"/>
    <cellStyle name="Millares 30 2 2 5 4" xfId="872" xr:uid="{D1BF6498-9A5C-4AE3-A9B5-4ED3164140D2}"/>
    <cellStyle name="Millares 30 2 2 6" xfId="263" xr:uid="{971C93D0-4F95-4914-A118-E0091819E142}"/>
    <cellStyle name="Millares 30 2 2 7" xfId="278" xr:uid="{1A7CC632-25D6-401B-90F2-6B69114A8BD0}"/>
    <cellStyle name="Millares 30 2 2 7 2" xfId="617" xr:uid="{08B68398-00EE-4955-9A2B-70F9B667A471}"/>
    <cellStyle name="Millares 30 2 2 7 2 2" xfId="1288" xr:uid="{92C50C6A-63C4-478D-AC20-6924D8AB89AE}"/>
    <cellStyle name="Millares 30 2 2 7 3" xfId="956" xr:uid="{D5C431B0-1224-4FE3-8079-07F5C8D5F6CE}"/>
    <cellStyle name="Millares 30 2 2 8" xfId="451" xr:uid="{3F6CCFD0-0ED6-436A-948A-35C6FCAE2049}"/>
    <cellStyle name="Millares 30 2 2 8 2" xfId="1122" xr:uid="{C27E6C59-6C54-41FB-8746-47D1B6FA1547}"/>
    <cellStyle name="Millares 30 2 2 9" xfId="790" xr:uid="{92EF6669-8401-4683-86FC-01EA9ADE79F4}"/>
    <cellStyle name="Millares 4" xfId="80" xr:uid="{6A761A4D-F866-4CBB-909D-B93270E8DB24}"/>
    <cellStyle name="Millares 4 2" xfId="107" xr:uid="{21AD383C-4A6F-46E6-9ADB-3D503A2E59DA}"/>
    <cellStyle name="Millares 4 2 2" xfId="155" xr:uid="{C67D7FB9-70DD-440B-888E-989FE7D6DACD}"/>
    <cellStyle name="Millares 4 2 2 2" xfId="244" xr:uid="{6FC19710-9358-4C82-BA2A-1DC754CBCFC2}"/>
    <cellStyle name="Millares 4 2 2 2 2" xfId="430" xr:uid="{82D37426-E8ED-4DF4-A9F1-33276713B70E}"/>
    <cellStyle name="Millares 4 2 2 2 2 2" xfId="769" xr:uid="{720D3944-DB81-412F-98CE-411F2DA7110D}"/>
    <cellStyle name="Millares 4 2 2 2 2 2 2" xfId="1440" xr:uid="{F1E130B7-9602-44B8-9529-3CE5A6560147}"/>
    <cellStyle name="Millares 4 2 2 2 2 3" xfId="1108" xr:uid="{8A40BBB8-EF69-4C2E-B917-D828369133BA}"/>
    <cellStyle name="Millares 4 2 2 2 3" xfId="603" xr:uid="{35B6C47F-4397-4FF2-A3EC-1C91393F7679}"/>
    <cellStyle name="Millares 4 2 2 2 3 2" xfId="1274" xr:uid="{4A3D35AE-37FD-47A5-8301-169E6A54333D}"/>
    <cellStyle name="Millares 4 2 2 2 4" xfId="942" xr:uid="{59B2F86D-66B0-441A-A0F2-D393F141CCB4}"/>
    <cellStyle name="Millares 4 2 2 3" xfId="348" xr:uid="{E198E341-FFB1-47D3-9B48-FCDBC5C9D43B}"/>
    <cellStyle name="Millares 4 2 2 3 2" xfId="687" xr:uid="{BE6BC257-7A47-4B02-9879-7B258E1365A4}"/>
    <cellStyle name="Millares 4 2 2 3 2 2" xfId="1358" xr:uid="{6D51CDC3-F163-4F00-BB58-6C6FA55EE6CB}"/>
    <cellStyle name="Millares 4 2 2 3 3" xfId="1026" xr:uid="{D6FBA2D4-74E2-41DA-8A05-C8D0EAE78ED2}"/>
    <cellStyle name="Millares 4 2 2 4" xfId="521" xr:uid="{BD833A02-CD17-4FB3-85D8-C9B443407D4D}"/>
    <cellStyle name="Millares 4 2 2 4 2" xfId="1192" xr:uid="{992BBA8E-91F6-4787-AEE7-8046376E9857}"/>
    <cellStyle name="Millares 4 2 2 5" xfId="860" xr:uid="{C614D2B2-B04F-470F-962D-9D80BBBE149D}"/>
    <cellStyle name="Millares 4 2 3" xfId="204" xr:uid="{D1FDCEB0-E48E-4FA1-A200-0EE847176B67}"/>
    <cellStyle name="Millares 4 2 3 2" xfId="390" xr:uid="{78AB3960-CF94-4B08-973F-0A9A372AA9F5}"/>
    <cellStyle name="Millares 4 2 3 2 2" xfId="729" xr:uid="{F5C8F36A-3DB4-43D7-B9ED-31272B9527EB}"/>
    <cellStyle name="Millares 4 2 3 2 2 2" xfId="1400" xr:uid="{83F66937-F6AB-431F-AD0B-99166CB80499}"/>
    <cellStyle name="Millares 4 2 3 2 3" xfId="1068" xr:uid="{7813B1C6-6F5D-4007-BE78-728E20F0C803}"/>
    <cellStyle name="Millares 4 2 3 3" xfId="563" xr:uid="{89054CFC-3D5B-48BA-B7E4-D1393D6A2E38}"/>
    <cellStyle name="Millares 4 2 3 3 2" xfId="1234" xr:uid="{BA8FFFA6-C250-4743-BF72-783E3CEC8025}"/>
    <cellStyle name="Millares 4 2 3 4" xfId="902" xr:uid="{F1544071-46F8-466C-8DD7-AFD96D7ED903}"/>
    <cellStyle name="Millares 4 2 4" xfId="308" xr:uid="{C3587041-9476-4706-AF7A-8945C53D2049}"/>
    <cellStyle name="Millares 4 2 4 2" xfId="647" xr:uid="{AD2A2B41-264B-4AAF-95DD-4F9CAE412F28}"/>
    <cellStyle name="Millares 4 2 4 2 2" xfId="1318" xr:uid="{E4B7B7EE-7BCD-4DA7-8F7E-47F8DACF3838}"/>
    <cellStyle name="Millares 4 2 4 3" xfId="986" xr:uid="{729FB822-9F5E-4420-95A9-9A613F94976B}"/>
    <cellStyle name="Millares 4 2 5" xfId="481" xr:uid="{499E95CF-CB5B-4E41-9973-58BCA9F18A11}"/>
    <cellStyle name="Millares 4 2 5 2" xfId="1152" xr:uid="{207AAE02-ACE4-4FFA-BF25-DA618F361781}"/>
    <cellStyle name="Millares 4 2 6" xfId="820" xr:uid="{2B763FBE-3ADA-437F-8157-19415BCBCC43}"/>
    <cellStyle name="Millares 4 3" xfId="136" xr:uid="{82DC4013-38F0-4CD5-964C-7FFFF558A020}"/>
    <cellStyle name="Millares 4 3 2" xfId="225" xr:uid="{214F0B1B-A8E7-4221-81DB-2B6BBC689062}"/>
    <cellStyle name="Millares 4 3 2 2" xfId="411" xr:uid="{E22A0019-1F7B-4496-989E-20E2C41249CD}"/>
    <cellStyle name="Millares 4 3 2 2 2" xfId="750" xr:uid="{59762EBF-1EF1-4AE4-9FD4-580DDADE1CD3}"/>
    <cellStyle name="Millares 4 3 2 2 2 2" xfId="1421" xr:uid="{C6138E42-7FFA-4822-B495-F0B2533B8940}"/>
    <cellStyle name="Millares 4 3 2 2 3" xfId="1089" xr:uid="{051B9BD5-D174-4EC3-8287-EE7486FE749F}"/>
    <cellStyle name="Millares 4 3 2 3" xfId="584" xr:uid="{A0CF3117-FE7B-4F05-BD89-E19306D5AF74}"/>
    <cellStyle name="Millares 4 3 2 3 2" xfId="1255" xr:uid="{56F53ABB-A85F-4105-AD46-4F01F4CC58D5}"/>
    <cellStyle name="Millares 4 3 2 4" xfId="923" xr:uid="{321E40F3-D5D2-4C8B-BACC-DBB5BCEE6DF1}"/>
    <cellStyle name="Millares 4 3 3" xfId="329" xr:uid="{BF78892B-18C5-42BA-B1B4-A3FF6CA19AA9}"/>
    <cellStyle name="Millares 4 3 3 2" xfId="668" xr:uid="{DEE2095E-F3B2-4B0E-9B30-A3199681FF25}"/>
    <cellStyle name="Millares 4 3 3 2 2" xfId="1339" xr:uid="{A6CA1B7C-8909-49B2-A15B-B2749B21D132}"/>
    <cellStyle name="Millares 4 3 3 3" xfId="1007" xr:uid="{376D146C-09F2-4997-B4BB-05C0934E395C}"/>
    <cellStyle name="Millares 4 3 4" xfId="502" xr:uid="{4BA25049-990D-4711-A335-0D4ADB5442F2}"/>
    <cellStyle name="Millares 4 3 4 2" xfId="1173" xr:uid="{86E699AD-D6B7-454A-B595-89CA0CCEBCD0}"/>
    <cellStyle name="Millares 4 3 5" xfId="841" xr:uid="{2B2787C0-6553-45BD-8D9B-D908190A46BE}"/>
    <cellStyle name="Millares 4 4" xfId="185" xr:uid="{65236C3E-5144-4ECB-9556-E9D38D72149C}"/>
    <cellStyle name="Millares 4 4 2" xfId="371" xr:uid="{AF54C800-16DD-49AA-B29E-CB91D80E94D8}"/>
    <cellStyle name="Millares 4 4 2 2" xfId="710" xr:uid="{238FA29A-F458-4D22-A6AE-BB3529AF9B11}"/>
    <cellStyle name="Millares 4 4 2 2 2" xfId="1381" xr:uid="{0B648E1E-97CA-49FF-A211-2F0FA34B2EE1}"/>
    <cellStyle name="Millares 4 4 2 3" xfId="1049" xr:uid="{E43C417D-D4AE-4774-9C50-544894026A3B}"/>
    <cellStyle name="Millares 4 4 3" xfId="544" xr:uid="{0ED1D148-106A-4E1C-A49A-33A9A50D6D65}"/>
    <cellStyle name="Millares 4 4 3 2" xfId="1215" xr:uid="{919E1D4D-C163-4AA1-8D0B-50A2310DDD94}"/>
    <cellStyle name="Millares 4 4 4" xfId="883" xr:uid="{B773EB50-8494-47AB-BFD9-7BD9537F1749}"/>
    <cellStyle name="Millares 4 5" xfId="289" xr:uid="{9653ACC3-B011-4BED-B79C-7D1F11D9FC3E}"/>
    <cellStyle name="Millares 4 5 2" xfId="628" xr:uid="{8729FD58-DB8E-4768-B274-EBA0F4DF9AE0}"/>
    <cellStyle name="Millares 4 5 2 2" xfId="1299" xr:uid="{80742F3E-7B70-42B9-AAC1-90017D135D1E}"/>
    <cellStyle name="Millares 4 5 3" xfId="967" xr:uid="{2ABD4391-95A1-4DF0-87AA-CBA8539BF118}"/>
    <cellStyle name="Millares 4 6" xfId="462" xr:uid="{EC5E6170-D8D5-4138-A71C-2E77585237F9}"/>
    <cellStyle name="Millares 4 6 2" xfId="1133" xr:uid="{70175BE7-CCB8-42ED-A230-78BAFA294E74}"/>
    <cellStyle name="Millares 4 7" xfId="801" xr:uid="{3AF45A7E-9623-444A-9592-2D822FECF455}"/>
    <cellStyle name="Millares 5" xfId="64" xr:uid="{AAD4C6BE-367F-41B5-95E2-69CAAF5707AF}"/>
    <cellStyle name="Millares 5 2" xfId="99" xr:uid="{ADFE9DF8-409E-41E6-A961-0BB56CD1ED9D}"/>
    <cellStyle name="Millares 5 2 2" xfId="147" xr:uid="{1C63B801-4983-4BAD-85A5-68BEDABC8632}"/>
    <cellStyle name="Millares 5 2 2 2" xfId="236" xr:uid="{88EC6729-BE94-4E93-8009-2C73214B8276}"/>
    <cellStyle name="Millares 5 2 2 2 2" xfId="422" xr:uid="{7F9192B6-2F87-4BF4-920A-742EF19F8786}"/>
    <cellStyle name="Millares 5 2 2 2 2 2" xfId="761" xr:uid="{92872D24-B02A-4BED-ACD3-2505032F0A2D}"/>
    <cellStyle name="Millares 5 2 2 2 2 2 2" xfId="1432" xr:uid="{8F4CB506-800A-4B19-94AE-C7558DAD1E30}"/>
    <cellStyle name="Millares 5 2 2 2 2 3" xfId="1100" xr:uid="{BBBFBEE9-EE91-4627-BAA6-60716513B2E0}"/>
    <cellStyle name="Millares 5 2 2 2 3" xfId="595" xr:uid="{CA25F214-3860-4A52-B638-F2DCE1B8D54F}"/>
    <cellStyle name="Millares 5 2 2 2 3 2" xfId="1266" xr:uid="{48490E04-6E2B-469D-8478-198F0E51CD12}"/>
    <cellStyle name="Millares 5 2 2 2 4" xfId="934" xr:uid="{A3820427-30B0-4097-938E-C5BEC9DBE970}"/>
    <cellStyle name="Millares 5 2 2 3" xfId="340" xr:uid="{DA50399D-E8E3-418C-8E17-AA36123036BA}"/>
    <cellStyle name="Millares 5 2 2 3 2" xfId="679" xr:uid="{054B8899-0034-4A55-867A-467C12D253FF}"/>
    <cellStyle name="Millares 5 2 2 3 2 2" xfId="1350" xr:uid="{E5389AFA-9E2D-4FF3-9E3D-82AB0444C3CD}"/>
    <cellStyle name="Millares 5 2 2 3 3" xfId="1018" xr:uid="{C5A74529-E10E-497D-9B82-C9245404A941}"/>
    <cellStyle name="Millares 5 2 2 4" xfId="513" xr:uid="{E7681479-72F7-4D20-B3F6-25AE69EB3E90}"/>
    <cellStyle name="Millares 5 2 2 4 2" xfId="1184" xr:uid="{026D8BEE-4BDC-42F8-ACEF-00C705261701}"/>
    <cellStyle name="Millares 5 2 2 5" xfId="852" xr:uid="{233F36A6-C24C-4A9A-A7C2-034B62781689}"/>
    <cellStyle name="Millares 5 2 3" xfId="196" xr:uid="{8422A17E-723C-4546-ADBF-FEA91977D21B}"/>
    <cellStyle name="Millares 5 2 3 2" xfId="382" xr:uid="{F46584B4-3E27-4FF1-BCD9-FB677E27A667}"/>
    <cellStyle name="Millares 5 2 3 2 2" xfId="721" xr:uid="{A7270EB3-6136-4112-8ED5-C53ADD779EF8}"/>
    <cellStyle name="Millares 5 2 3 2 2 2" xfId="1392" xr:uid="{74D68782-5462-4615-9E62-FDB2A60A3767}"/>
    <cellStyle name="Millares 5 2 3 2 3" xfId="1060" xr:uid="{1BC28B48-6DC4-4992-BF71-4257AF291BDF}"/>
    <cellStyle name="Millares 5 2 3 3" xfId="555" xr:uid="{963C0D1A-B7F3-4F90-937D-32BFD40A8024}"/>
    <cellStyle name="Millares 5 2 3 3 2" xfId="1226" xr:uid="{C7CC59EE-DCD8-43AE-9D74-50886B354B9F}"/>
    <cellStyle name="Millares 5 2 3 4" xfId="894" xr:uid="{7A14F5C6-4E26-411A-B556-53121EE19C04}"/>
    <cellStyle name="Millares 5 2 4" xfId="300" xr:uid="{96A8130B-A3CA-4D60-870C-3C4A40F7A53F}"/>
    <cellStyle name="Millares 5 2 4 2" xfId="639" xr:uid="{E4BBEB11-53AD-4ECC-B9FE-AC9B16913571}"/>
    <cellStyle name="Millares 5 2 4 2 2" xfId="1310" xr:uid="{1D58895F-5CE8-466D-89F1-F76846976B6D}"/>
    <cellStyle name="Millares 5 2 4 3" xfId="978" xr:uid="{E3F7292E-2157-46D4-AB18-7E79D97C9078}"/>
    <cellStyle name="Millares 5 2 5" xfId="473" xr:uid="{80D8E9E7-516E-445E-90FE-4F3395233BEF}"/>
    <cellStyle name="Millares 5 2 5 2" xfId="1144" xr:uid="{16D74B32-1185-4E9A-99ED-9F926BACEFE0}"/>
    <cellStyle name="Millares 5 2 6" xfId="812" xr:uid="{586F312E-8ECA-406E-A109-301292E85EDB}"/>
    <cellStyle name="Millares 5 3" xfId="128" xr:uid="{31DDEBBA-D77C-4BB2-9EF3-5739AAC2891E}"/>
    <cellStyle name="Millares 5 3 2" xfId="217" xr:uid="{6B57A89F-AC8F-4005-A9DA-70A4F3E14B49}"/>
    <cellStyle name="Millares 5 3 2 2" xfId="403" xr:uid="{968BF629-1750-434E-A3F2-B4871F04F5F9}"/>
    <cellStyle name="Millares 5 3 2 2 2" xfId="742" xr:uid="{C7EB846E-643F-442C-9A38-88B3176FEFF1}"/>
    <cellStyle name="Millares 5 3 2 2 2 2" xfId="1413" xr:uid="{D2B94693-88EE-4280-A982-973778AEF673}"/>
    <cellStyle name="Millares 5 3 2 2 3" xfId="1081" xr:uid="{21A1EE3B-A34D-4EF4-B3FD-C6842DE22B79}"/>
    <cellStyle name="Millares 5 3 2 3" xfId="576" xr:uid="{E3634D98-5992-492B-AA31-FF7193C80FD9}"/>
    <cellStyle name="Millares 5 3 2 3 2" xfId="1247" xr:uid="{CDD804E9-FEEE-4296-BEE6-72744116B4AA}"/>
    <cellStyle name="Millares 5 3 2 4" xfId="915" xr:uid="{64AF6C59-35AD-4AF1-AC45-738992679F77}"/>
    <cellStyle name="Millares 5 3 3" xfId="321" xr:uid="{8A6F4735-20F5-447E-A22F-BC9969C30C59}"/>
    <cellStyle name="Millares 5 3 3 2" xfId="660" xr:uid="{479D7FE5-8F6F-41AF-974C-2A5907F55BA1}"/>
    <cellStyle name="Millares 5 3 3 2 2" xfId="1331" xr:uid="{C03443C2-3307-4C2B-9981-1D2F5C4D77C2}"/>
    <cellStyle name="Millares 5 3 3 3" xfId="999" xr:uid="{50B4ABC6-4D84-4013-B174-86AA306B4A4B}"/>
    <cellStyle name="Millares 5 3 4" xfId="494" xr:uid="{A4442DAB-948B-4598-9AFB-53663DAC8040}"/>
    <cellStyle name="Millares 5 3 4 2" xfId="1165" xr:uid="{6DB1D85B-E912-45D6-96CB-6DC6576BC2FF}"/>
    <cellStyle name="Millares 5 3 5" xfId="833" xr:uid="{97B7BDAE-9FD2-420A-901B-CEA42B6D46C7}"/>
    <cellStyle name="Millares 5 4" xfId="177" xr:uid="{70921259-EA33-492D-923F-1153877B4356}"/>
    <cellStyle name="Millares 5 4 2" xfId="363" xr:uid="{1195374B-62A0-443C-958D-F6F14854853D}"/>
    <cellStyle name="Millares 5 4 2 2" xfId="702" xr:uid="{0BEA5958-B997-42FC-83A5-26C2D7A6D8C2}"/>
    <cellStyle name="Millares 5 4 2 2 2" xfId="1373" xr:uid="{057B4A42-7540-4F7B-98BB-294AF3578218}"/>
    <cellStyle name="Millares 5 4 2 3" xfId="1041" xr:uid="{B1B870FC-4E48-4EA0-8069-DE47F8ABADB1}"/>
    <cellStyle name="Millares 5 4 3" xfId="536" xr:uid="{BF6B7612-D675-4AE2-A3C9-43B9BB2B945A}"/>
    <cellStyle name="Millares 5 4 3 2" xfId="1207" xr:uid="{E83AD3F3-C62E-49B3-95D7-F9D71FD6230F}"/>
    <cellStyle name="Millares 5 4 4" xfId="875" xr:uid="{E361B37A-2389-4B59-9D5A-74B542511AFD}"/>
    <cellStyle name="Millares 5 5" xfId="281" xr:uid="{8B93194B-EF40-41DB-9D94-B0AB43B14D08}"/>
    <cellStyle name="Millares 5 5 2" xfId="620" xr:uid="{B8C1D30A-F7FF-4A30-ADF1-43511EFA76B0}"/>
    <cellStyle name="Millares 5 5 2 2" xfId="1291" xr:uid="{52032502-0956-4DB7-A8E0-A51A38236A70}"/>
    <cellStyle name="Millares 5 5 3" xfId="959" xr:uid="{D6C5704C-8C87-4C49-8BB4-08D4F4DDA80F}"/>
    <cellStyle name="Millares 5 6" xfId="454" xr:uid="{ECAB32E0-4087-4F5A-A6FA-AB062E82930D}"/>
    <cellStyle name="Millares 5 6 2" xfId="1125" xr:uid="{918B4ED0-A3A6-4B11-B621-BA71D1860555}"/>
    <cellStyle name="Millares 5 7" xfId="793" xr:uid="{9A303B87-61E9-47D4-A9B1-5BF9A1D1C466}"/>
    <cellStyle name="Millares 6" xfId="81" xr:uid="{85A2FE5A-128F-48D7-94B3-35A3EE908361}"/>
    <cellStyle name="Millares 6 2" xfId="108" xr:uid="{CF8266BC-1490-4E99-AF91-AB1D7BF6B93F}"/>
    <cellStyle name="Millares 6 2 2" xfId="156" xr:uid="{8BDAD2B0-44AD-4828-86FC-8D7ECA614652}"/>
    <cellStyle name="Millares 6 2 2 2" xfId="245" xr:uid="{B0289DF5-9C80-4038-9DC5-D47A53C935F2}"/>
    <cellStyle name="Millares 6 2 2 2 2" xfId="431" xr:uid="{9E45887E-3DC4-4A5E-B3D6-C1C0CE0B01BD}"/>
    <cellStyle name="Millares 6 2 2 2 2 2" xfId="770" xr:uid="{F2513546-9C33-40FD-A1B3-6737D50DE4F1}"/>
    <cellStyle name="Millares 6 2 2 2 2 2 2" xfId="1441" xr:uid="{F5962812-B200-4B34-B856-4B7AD037DAC8}"/>
    <cellStyle name="Millares 6 2 2 2 2 3" xfId="1109" xr:uid="{81051072-48E4-4B98-9306-E7B5C5CD3ADF}"/>
    <cellStyle name="Millares 6 2 2 2 3" xfId="604" xr:uid="{56BA1EDA-7A4A-4EE7-B074-42438A4DF9D2}"/>
    <cellStyle name="Millares 6 2 2 2 3 2" xfId="1275" xr:uid="{8F9E1851-64CF-421C-8292-D36CF8FEA052}"/>
    <cellStyle name="Millares 6 2 2 2 4" xfId="943" xr:uid="{F1583E2A-85CF-4FAC-808B-69FC683E0DF5}"/>
    <cellStyle name="Millares 6 2 2 3" xfId="349" xr:uid="{81B7271F-B7EF-4C9B-AF8F-6E4775416B63}"/>
    <cellStyle name="Millares 6 2 2 3 2" xfId="688" xr:uid="{E33E1F21-CD13-457B-84F6-1D5112A2F8FE}"/>
    <cellStyle name="Millares 6 2 2 3 2 2" xfId="1359" xr:uid="{263E5642-A104-4747-91AA-7D06526BC5F8}"/>
    <cellStyle name="Millares 6 2 2 3 3" xfId="1027" xr:uid="{E2AEFD57-9322-496F-B780-E4476180C10F}"/>
    <cellStyle name="Millares 6 2 2 4" xfId="522" xr:uid="{4F245980-7610-487F-B46A-0566DD4E58F5}"/>
    <cellStyle name="Millares 6 2 2 4 2" xfId="1193" xr:uid="{AD0EC013-5F57-4CAD-B20B-A64BE1E6812D}"/>
    <cellStyle name="Millares 6 2 2 5" xfId="861" xr:uid="{F95E3BFF-C6CE-4B60-90CB-C84B4985686C}"/>
    <cellStyle name="Millares 6 2 3" xfId="205" xr:uid="{7230C5DD-BCFA-4540-B65D-AE7989640153}"/>
    <cellStyle name="Millares 6 2 3 2" xfId="391" xr:uid="{BCBF4170-946E-427D-A61F-AED7ABDEDC9D}"/>
    <cellStyle name="Millares 6 2 3 2 2" xfId="730" xr:uid="{9DF09501-F72E-456F-910C-4BABDF271CA9}"/>
    <cellStyle name="Millares 6 2 3 2 2 2" xfId="1401" xr:uid="{E891FE83-813C-4870-83D2-E49DE1F0D011}"/>
    <cellStyle name="Millares 6 2 3 2 3" xfId="1069" xr:uid="{A634F167-F0C5-442D-8788-947436041002}"/>
    <cellStyle name="Millares 6 2 3 3" xfId="564" xr:uid="{E61DFDD0-6051-4975-8E63-DF5D828CA1AD}"/>
    <cellStyle name="Millares 6 2 3 3 2" xfId="1235" xr:uid="{1A41CA90-6C17-4028-97D9-0AB563E175E5}"/>
    <cellStyle name="Millares 6 2 3 4" xfId="903" xr:uid="{E8B69AB7-9C5D-41D0-9216-75BFF030456C}"/>
    <cellStyle name="Millares 6 2 4" xfId="309" xr:uid="{31218087-F76C-4ED5-9B1F-06F08B1D29EA}"/>
    <cellStyle name="Millares 6 2 4 2" xfId="648" xr:uid="{22993E12-3724-4BE8-91F0-642BE49A715A}"/>
    <cellStyle name="Millares 6 2 4 2 2" xfId="1319" xr:uid="{8D60FFF5-A7BB-4442-B876-12CD509A39BE}"/>
    <cellStyle name="Millares 6 2 4 3" xfId="987" xr:uid="{F96BF00C-4574-416F-90A1-B41C53442406}"/>
    <cellStyle name="Millares 6 2 5" xfId="482" xr:uid="{31184CD3-B0E3-4C29-A2D3-5058771FEFFD}"/>
    <cellStyle name="Millares 6 2 5 2" xfId="1153" xr:uid="{EAEBD772-D133-4C62-A512-AC759D8A5418}"/>
    <cellStyle name="Millares 6 2 6" xfId="821" xr:uid="{F79CB37F-169C-40EB-91C7-D44327BE5FFB}"/>
    <cellStyle name="Millares 6 3" xfId="137" xr:uid="{3D34C558-08A2-4540-BA0F-29D384ACFE41}"/>
    <cellStyle name="Millares 6 3 2" xfId="226" xr:uid="{C30B9CF4-C5BF-445B-AF03-8145A4921DF8}"/>
    <cellStyle name="Millares 6 3 2 2" xfId="412" xr:uid="{D4890B6D-6351-4347-ADE0-10B0B80F4326}"/>
    <cellStyle name="Millares 6 3 2 2 2" xfId="751" xr:uid="{EFC6A070-1738-4439-90D3-5D171D6F51F9}"/>
    <cellStyle name="Millares 6 3 2 2 2 2" xfId="1422" xr:uid="{A5DF4A0B-E7FA-45FB-B2EA-1BD61A8E11A7}"/>
    <cellStyle name="Millares 6 3 2 2 3" xfId="1090" xr:uid="{C4F29BF6-CDD0-4545-91CC-F301D331372B}"/>
    <cellStyle name="Millares 6 3 2 3" xfId="585" xr:uid="{ABC84D4A-AA74-4DE6-80EA-1E97C53C10F2}"/>
    <cellStyle name="Millares 6 3 2 3 2" xfId="1256" xr:uid="{0912C9BE-867C-4F1D-B4C0-6F67309F5003}"/>
    <cellStyle name="Millares 6 3 2 4" xfId="924" xr:uid="{0176FD1E-421C-444E-B686-914EF88761BF}"/>
    <cellStyle name="Millares 6 3 3" xfId="330" xr:uid="{AC670572-1694-4C43-9AA1-AC4EDB8EBC0E}"/>
    <cellStyle name="Millares 6 3 3 2" xfId="669" xr:uid="{134A704D-5479-49AF-8947-913377BACF94}"/>
    <cellStyle name="Millares 6 3 3 2 2" xfId="1340" xr:uid="{22274C28-1A97-472F-B5C2-FC23B9D790EE}"/>
    <cellStyle name="Millares 6 3 3 3" xfId="1008" xr:uid="{D8393C83-5F1F-4CB7-B71F-2A9F25EDA05D}"/>
    <cellStyle name="Millares 6 3 4" xfId="503" xr:uid="{61900250-5116-4854-AB1C-BED382EFB039}"/>
    <cellStyle name="Millares 6 3 4 2" xfId="1174" xr:uid="{0C7EC925-51EF-43AD-959D-08CEE5A6803D}"/>
    <cellStyle name="Millares 6 3 5" xfId="842" xr:uid="{AA87690D-FE85-42FE-A989-DDC29944C364}"/>
    <cellStyle name="Millares 6 4" xfId="186" xr:uid="{AA9F5BB0-D1E8-4A25-A26B-4FD29088375A}"/>
    <cellStyle name="Millares 6 4 2" xfId="372" xr:uid="{1CFFA74D-8038-4D17-9304-7A59FBA383E1}"/>
    <cellStyle name="Millares 6 4 2 2" xfId="711" xr:uid="{CA157D9E-1DD3-4E53-9523-DEC14376DFA5}"/>
    <cellStyle name="Millares 6 4 2 2 2" xfId="1382" xr:uid="{AC27CA76-0AD8-43C9-9207-30782D0E77C9}"/>
    <cellStyle name="Millares 6 4 2 3" xfId="1050" xr:uid="{08F254DD-B536-4555-922E-9549BE4D5FC4}"/>
    <cellStyle name="Millares 6 4 3" xfId="545" xr:uid="{F05DA96B-928F-46FA-8954-9F9B0A47B65F}"/>
    <cellStyle name="Millares 6 4 3 2" xfId="1216" xr:uid="{AB0943D1-720D-422D-92BB-E00FF9B21DEC}"/>
    <cellStyle name="Millares 6 4 4" xfId="884" xr:uid="{C21B2A13-CC6D-4A60-9949-3281A5C85C9F}"/>
    <cellStyle name="Millares 6 5" xfId="290" xr:uid="{283A627D-F098-43BA-818E-8E868E39161A}"/>
    <cellStyle name="Millares 6 5 2" xfId="629" xr:uid="{D52AC753-2799-41C6-899F-8D8171AFAA96}"/>
    <cellStyle name="Millares 6 5 2 2" xfId="1300" xr:uid="{2C24EFED-DEF4-48F6-A38A-C65E13A79E76}"/>
    <cellStyle name="Millares 6 5 3" xfId="968" xr:uid="{83269162-B65A-4A3D-A177-05FCC527A06D}"/>
    <cellStyle name="Millares 6 6" xfId="463" xr:uid="{74695608-6275-4CEF-B632-5988502514D5}"/>
    <cellStyle name="Millares 6 6 2" xfId="1134" xr:uid="{534E57F8-5FD1-4DDE-8E57-254F830F4CAD}"/>
    <cellStyle name="Millares 6 7" xfId="802" xr:uid="{77EC9E2F-8167-40A8-B9C4-0654CEE812D0}"/>
    <cellStyle name="Millares 7" xfId="82" xr:uid="{573E8D2F-24CB-42E7-BA6D-8D724DF9D88F}"/>
    <cellStyle name="Millares 7 2" xfId="109" xr:uid="{BEA4381D-032B-47D2-92DA-9378B1096276}"/>
    <cellStyle name="Millares 7 2 2" xfId="157" xr:uid="{9D96E05E-7723-44BB-AD6E-2615F55E39EE}"/>
    <cellStyle name="Millares 7 2 2 2" xfId="246" xr:uid="{48560A02-D741-4C05-8557-3A326BFA1BCE}"/>
    <cellStyle name="Millares 7 2 2 2 2" xfId="432" xr:uid="{3B205D59-A8C8-4DA5-A698-0FAED0DD44A4}"/>
    <cellStyle name="Millares 7 2 2 2 2 2" xfId="771" xr:uid="{952603AF-218B-4F50-AF14-D1A2063F1290}"/>
    <cellStyle name="Millares 7 2 2 2 2 2 2" xfId="1442" xr:uid="{5B0C6A09-945A-463D-AC3E-6F28F37AEF3D}"/>
    <cellStyle name="Millares 7 2 2 2 2 3" xfId="1110" xr:uid="{43C68460-424F-404B-9DFE-E1B20865A031}"/>
    <cellStyle name="Millares 7 2 2 2 3" xfId="605" xr:uid="{6360CF9C-43B0-4E76-A4B4-63A08F76ED6B}"/>
    <cellStyle name="Millares 7 2 2 2 3 2" xfId="1276" xr:uid="{8AB5E238-2B55-4F51-A366-EE528FF032FE}"/>
    <cellStyle name="Millares 7 2 2 2 4" xfId="944" xr:uid="{00CA2D84-136A-471F-98DC-006C23CDC854}"/>
    <cellStyle name="Millares 7 2 2 3" xfId="350" xr:uid="{2173DA2E-C74C-421B-A9CA-1A00DEA25346}"/>
    <cellStyle name="Millares 7 2 2 3 2" xfId="689" xr:uid="{998CFD0A-6152-4A85-ACDC-721714BAA5F7}"/>
    <cellStyle name="Millares 7 2 2 3 2 2" xfId="1360" xr:uid="{39591B9B-8C74-4252-BEAA-B37439CB6141}"/>
    <cellStyle name="Millares 7 2 2 3 3" xfId="1028" xr:uid="{0E475E4F-6A51-497F-8F2D-CD8425465094}"/>
    <cellStyle name="Millares 7 2 2 4" xfId="523" xr:uid="{BFFDBB33-9313-4FCE-A154-C3C262F0C7B9}"/>
    <cellStyle name="Millares 7 2 2 4 2" xfId="1194" xr:uid="{875BB6BC-5853-40F7-B861-92900806B145}"/>
    <cellStyle name="Millares 7 2 2 5" xfId="862" xr:uid="{B6439A6F-C9F1-42E9-979A-787C3BE0A471}"/>
    <cellStyle name="Millares 7 2 3" xfId="206" xr:uid="{DB1F1A00-0480-4D6D-93E9-DF9190AED649}"/>
    <cellStyle name="Millares 7 2 3 2" xfId="392" xr:uid="{1DC15786-E75C-40CB-9E4F-154E002AEFBB}"/>
    <cellStyle name="Millares 7 2 3 2 2" xfId="731" xr:uid="{720EB415-5D63-4F5A-8B83-913C560B957A}"/>
    <cellStyle name="Millares 7 2 3 2 2 2" xfId="1402" xr:uid="{894FC627-F903-4121-923C-F151A5ADA5BC}"/>
    <cellStyle name="Millares 7 2 3 2 3" xfId="1070" xr:uid="{0D1420A6-B606-4509-AD4E-5E32E36726CB}"/>
    <cellStyle name="Millares 7 2 3 3" xfId="565" xr:uid="{26D45CAB-9270-4EAB-9CE0-4EFB8BDC99D8}"/>
    <cellStyle name="Millares 7 2 3 3 2" xfId="1236" xr:uid="{1856D92C-80C1-41B9-9204-8E5BF997B2DD}"/>
    <cellStyle name="Millares 7 2 3 4" xfId="904" xr:uid="{73BFAC81-EC8C-47AD-A62C-5EAB7580893E}"/>
    <cellStyle name="Millares 7 2 4" xfId="310" xr:uid="{D60A77C1-974A-4505-A214-35A48D83FABA}"/>
    <cellStyle name="Millares 7 2 4 2" xfId="649" xr:uid="{AB69237E-9E84-4F74-ADC9-D8B1C61C21D7}"/>
    <cellStyle name="Millares 7 2 4 2 2" xfId="1320" xr:uid="{7C14373E-4BA2-42F9-9543-16E8D8F659B5}"/>
    <cellStyle name="Millares 7 2 4 3" xfId="988" xr:uid="{D2C3782A-143F-434A-9DF6-33101F7DC998}"/>
    <cellStyle name="Millares 7 2 5" xfId="483" xr:uid="{1C59820A-E3AC-4DF6-A6C9-6CB06F489362}"/>
    <cellStyle name="Millares 7 2 5 2" xfId="1154" xr:uid="{C5657538-78A6-4A04-B91C-F9F0B33BA435}"/>
    <cellStyle name="Millares 7 2 6" xfId="822" xr:uid="{5D1FDE97-2C9C-47D5-853E-13D0C8EF9B32}"/>
    <cellStyle name="Millares 7 3" xfId="138" xr:uid="{F62518E4-E9EC-4C93-AC4E-1B656216AF7D}"/>
    <cellStyle name="Millares 7 3 2" xfId="227" xr:uid="{5FD0DB4F-B76A-44E7-BA1E-E2A6A9A38202}"/>
    <cellStyle name="Millares 7 3 2 2" xfId="413" xr:uid="{2F09A809-D92C-4B61-8146-A112A607C8E1}"/>
    <cellStyle name="Millares 7 3 2 2 2" xfId="752" xr:uid="{E5EA733F-A915-461B-831D-6EDEEC3CFCE4}"/>
    <cellStyle name="Millares 7 3 2 2 2 2" xfId="1423" xr:uid="{2CEAE250-CFE2-4A1C-B10E-36C09A70E71D}"/>
    <cellStyle name="Millares 7 3 2 2 3" xfId="1091" xr:uid="{0EDE290E-57C7-43B5-B5FE-22795B4D263C}"/>
    <cellStyle name="Millares 7 3 2 3" xfId="586" xr:uid="{089648FD-6B5C-42C3-8BFE-B6F1A7B8DCC1}"/>
    <cellStyle name="Millares 7 3 2 3 2" xfId="1257" xr:uid="{20B38B41-13BB-471C-A768-BA9261396DBC}"/>
    <cellStyle name="Millares 7 3 2 4" xfId="925" xr:uid="{0AFBEFF0-E8CD-45CE-BABB-D28F1BA798F8}"/>
    <cellStyle name="Millares 7 3 3" xfId="331" xr:uid="{BB446D87-446D-436E-B94F-2AB9A4E7E925}"/>
    <cellStyle name="Millares 7 3 3 2" xfId="670" xr:uid="{1133A147-EEF5-4173-B750-A3278596F49F}"/>
    <cellStyle name="Millares 7 3 3 2 2" xfId="1341" xr:uid="{3D026E67-F3A5-4AC8-B5A4-C89005EAE2B3}"/>
    <cellStyle name="Millares 7 3 3 3" xfId="1009" xr:uid="{F7C97746-B098-4DFC-9A63-118708259F64}"/>
    <cellStyle name="Millares 7 3 4" xfId="504" xr:uid="{6F10207A-4834-4F45-B9B1-27FEDB57A285}"/>
    <cellStyle name="Millares 7 3 4 2" xfId="1175" xr:uid="{7FDE6104-8ABC-44F0-8D78-085368E320D8}"/>
    <cellStyle name="Millares 7 3 5" xfId="843" xr:uid="{58AB52EC-857A-420C-B46D-7C1C3C1878EF}"/>
    <cellStyle name="Millares 7 4" xfId="187" xr:uid="{0773B332-235D-4134-9425-2DD17BCCEADF}"/>
    <cellStyle name="Millares 7 4 2" xfId="373" xr:uid="{29C618B3-E1CE-42B4-B594-E2E8B4F36C58}"/>
    <cellStyle name="Millares 7 4 2 2" xfId="712" xr:uid="{29A90BB9-861D-4150-A1D9-56D481A97907}"/>
    <cellStyle name="Millares 7 4 2 2 2" xfId="1383" xr:uid="{BD121CF0-2E75-4B1B-AE23-9DE0AAA6B1F2}"/>
    <cellStyle name="Millares 7 4 2 3" xfId="1051" xr:uid="{9F8D732A-6977-4FCE-90D4-72EE8E6802C2}"/>
    <cellStyle name="Millares 7 4 3" xfId="546" xr:uid="{E139788A-54CF-4075-9F70-B724F6ECB9FB}"/>
    <cellStyle name="Millares 7 4 3 2" xfId="1217" xr:uid="{C7A4C31B-E2A9-47B3-8901-DDD964DB826D}"/>
    <cellStyle name="Millares 7 4 4" xfId="885" xr:uid="{F843DF7D-3037-421A-94C1-A2FC67AE03DD}"/>
    <cellStyle name="Millares 7 5" xfId="291" xr:uid="{00874FCF-D9C7-477C-A23D-E4252C76C8EC}"/>
    <cellStyle name="Millares 7 5 2" xfId="630" xr:uid="{CA412423-304B-4CC2-B9AA-FDD2E1EC6793}"/>
    <cellStyle name="Millares 7 5 2 2" xfId="1301" xr:uid="{85647781-5E56-4C5C-8A22-BF1A5C3B3AA3}"/>
    <cellStyle name="Millares 7 5 3" xfId="969" xr:uid="{5CC70F22-8ADE-42B0-902D-FDC94AA07331}"/>
    <cellStyle name="Millares 7 6" xfId="464" xr:uid="{045CF766-9F36-4042-8331-BA8B5FF31D8B}"/>
    <cellStyle name="Millares 7 6 2" xfId="1135" xr:uid="{092C9E79-C64E-4134-B38A-5CECD0FAB1E9}"/>
    <cellStyle name="Millares 7 7" xfId="803" xr:uid="{88D943C5-9168-480E-84F1-25EBA89EFA93}"/>
    <cellStyle name="Millares 79" xfId="48" xr:uid="{A075D030-5E5A-403F-BF8A-0B622F862AC9}"/>
    <cellStyle name="Millares 79 2" xfId="75" xr:uid="{9807AA93-8095-4302-A8F2-EABC7139FE0D}"/>
    <cellStyle name="Millares 79 2 2" xfId="104" xr:uid="{8A04B37D-4F3E-477C-B32B-0D79FC2873E4}"/>
    <cellStyle name="Millares 79 2 2 2" xfId="152" xr:uid="{04D2F260-E8DD-4807-8352-92C94AF3E41E}"/>
    <cellStyle name="Millares 79 2 2 2 2" xfId="241" xr:uid="{DE12ED85-DFE3-43F1-B574-83353CE8A50E}"/>
    <cellStyle name="Millares 79 2 2 2 2 2" xfId="427" xr:uid="{308EC610-1F73-40BF-8079-985731FA0313}"/>
    <cellStyle name="Millares 79 2 2 2 2 2 2" xfId="766" xr:uid="{E3690DBD-19C6-40D8-9E7E-BA5F7BB1EB13}"/>
    <cellStyle name="Millares 79 2 2 2 2 2 2 2" xfId="1437" xr:uid="{6F4C2149-22E1-4F9B-B792-9C361BCB54F4}"/>
    <cellStyle name="Millares 79 2 2 2 2 2 3" xfId="1105" xr:uid="{FE3B9EDD-153F-4E85-8643-09238F86D736}"/>
    <cellStyle name="Millares 79 2 2 2 2 3" xfId="600" xr:uid="{E3EC435E-5F12-4E43-AFC4-D3EF5541FB8E}"/>
    <cellStyle name="Millares 79 2 2 2 2 3 2" xfId="1271" xr:uid="{82642AA7-8F7D-4979-8D8F-4D03D2918325}"/>
    <cellStyle name="Millares 79 2 2 2 2 4" xfId="939" xr:uid="{E6042E01-053E-4757-BD9D-781E670A323C}"/>
    <cellStyle name="Millares 79 2 2 2 3" xfId="345" xr:uid="{5B2FA7B1-D966-4D30-B1B4-FF9A047F2332}"/>
    <cellStyle name="Millares 79 2 2 2 3 2" xfId="684" xr:uid="{1E28DB55-CED6-4E73-A4B9-BE53BB6410CA}"/>
    <cellStyle name="Millares 79 2 2 2 3 2 2" xfId="1355" xr:uid="{F6C043D8-DDD0-418E-BB44-F7B1B7711A5D}"/>
    <cellStyle name="Millares 79 2 2 2 3 3" xfId="1023" xr:uid="{F49307BA-47A9-4FDF-A8A1-DDFD1F90C1EB}"/>
    <cellStyle name="Millares 79 2 2 2 4" xfId="518" xr:uid="{33EAC758-A854-458C-9785-F474A07885A7}"/>
    <cellStyle name="Millares 79 2 2 2 4 2" xfId="1189" xr:uid="{1C8B50D0-6A7E-4E91-BAE0-025570AA8645}"/>
    <cellStyle name="Millares 79 2 2 2 5" xfId="857" xr:uid="{E40DA589-D32D-4A1F-8351-BBF265CE4D3C}"/>
    <cellStyle name="Millares 79 2 2 3" xfId="201" xr:uid="{419B2AE2-8F6D-4887-9671-1B15B3B019F5}"/>
    <cellStyle name="Millares 79 2 2 3 2" xfId="387" xr:uid="{87F16F7B-DAE2-4993-96F9-D576AA40B474}"/>
    <cellStyle name="Millares 79 2 2 3 2 2" xfId="726" xr:uid="{A58208B6-AE92-4F1A-8E15-B18104863DF6}"/>
    <cellStyle name="Millares 79 2 2 3 2 2 2" xfId="1397" xr:uid="{2C5E3FA6-7527-4EFB-837C-01106C8C94DA}"/>
    <cellStyle name="Millares 79 2 2 3 2 3" xfId="1065" xr:uid="{F5AB3AE6-EE47-4912-8F91-B14CC4A3CFD5}"/>
    <cellStyle name="Millares 79 2 2 3 3" xfId="560" xr:uid="{D0CA9C62-7779-430E-B551-663C10C9F9E5}"/>
    <cellStyle name="Millares 79 2 2 3 3 2" xfId="1231" xr:uid="{63856EB2-0F5B-4222-A568-86DC7122D9A5}"/>
    <cellStyle name="Millares 79 2 2 3 4" xfId="899" xr:uid="{F499BC29-4D80-452B-9347-9541CBCF2257}"/>
    <cellStyle name="Millares 79 2 2 4" xfId="305" xr:uid="{53F1AF45-2C7D-46FB-9BAA-474270CA21AC}"/>
    <cellStyle name="Millares 79 2 2 4 2" xfId="644" xr:uid="{5C6BE863-ECC3-4D19-8A74-7380185AC5EF}"/>
    <cellStyle name="Millares 79 2 2 4 2 2" xfId="1315" xr:uid="{5656B1B2-8621-409E-BB89-97901300E3E6}"/>
    <cellStyle name="Millares 79 2 2 4 3" xfId="983" xr:uid="{AB63946A-5415-4E32-A342-911ECE7EE665}"/>
    <cellStyle name="Millares 79 2 2 5" xfId="478" xr:uid="{511A8E54-A9F3-4D6B-B28D-7FF14B6731E0}"/>
    <cellStyle name="Millares 79 2 2 5 2" xfId="1149" xr:uid="{03CAEBCC-4938-42DA-9E5A-77A025C5E943}"/>
    <cellStyle name="Millares 79 2 2 6" xfId="817" xr:uid="{7385D58A-F073-44ED-9FAD-CC22841B9E38}"/>
    <cellStyle name="Millares 79 2 3" xfId="133" xr:uid="{787591C3-0D40-4043-90F2-F89E05F36C48}"/>
    <cellStyle name="Millares 79 2 3 2" xfId="222" xr:uid="{EA1D35CF-8853-4682-8825-33CCD9373CBE}"/>
    <cellStyle name="Millares 79 2 3 2 2" xfId="408" xr:uid="{FB4E89EA-AFDB-48E7-AC85-7FBD9B272ADF}"/>
    <cellStyle name="Millares 79 2 3 2 2 2" xfId="747" xr:uid="{4C728776-C60E-483D-A96A-F2E188710994}"/>
    <cellStyle name="Millares 79 2 3 2 2 2 2" xfId="1418" xr:uid="{C98FA4BC-C0BC-4380-9AE5-5BF7D66DA17D}"/>
    <cellStyle name="Millares 79 2 3 2 2 3" xfId="1086" xr:uid="{F200B7F3-30A6-4CF0-A893-E2B759C687CC}"/>
    <cellStyle name="Millares 79 2 3 2 3" xfId="581" xr:uid="{5251A3C4-D5F9-4551-8C58-5E298D02E986}"/>
    <cellStyle name="Millares 79 2 3 2 3 2" xfId="1252" xr:uid="{10DCF12F-068C-43E2-809C-2941997BF85A}"/>
    <cellStyle name="Millares 79 2 3 2 4" xfId="920" xr:uid="{E82D0C6B-A998-4ED6-84EE-6DE20883195A}"/>
    <cellStyle name="Millares 79 2 3 3" xfId="326" xr:uid="{AE267F7B-9D5D-45BC-93E0-7E15AABCF65E}"/>
    <cellStyle name="Millares 79 2 3 3 2" xfId="665" xr:uid="{5C3D5979-A4AB-4719-915C-52DBB3E95AB3}"/>
    <cellStyle name="Millares 79 2 3 3 2 2" xfId="1336" xr:uid="{5C87715F-6773-492F-9969-8F72808BC4DE}"/>
    <cellStyle name="Millares 79 2 3 3 3" xfId="1004" xr:uid="{EE5C014D-99BF-4E95-B135-3065AEF8CA0E}"/>
    <cellStyle name="Millares 79 2 3 4" xfId="499" xr:uid="{9C5C59E0-A551-454E-B8C3-6892AF3D6F11}"/>
    <cellStyle name="Millares 79 2 3 4 2" xfId="1170" xr:uid="{3A3CED10-72E2-4F91-B0E5-22BD631B715C}"/>
    <cellStyle name="Millares 79 2 3 5" xfId="838" xr:uid="{64A6B080-E064-43C5-83B6-777BA05065D8}"/>
    <cellStyle name="Millares 79 2 4" xfId="182" xr:uid="{C3E3D77A-BC11-478A-930D-10D4A5B9685F}"/>
    <cellStyle name="Millares 79 2 4 2" xfId="368" xr:uid="{3D689307-0392-4D0C-9726-8C74794B5448}"/>
    <cellStyle name="Millares 79 2 4 2 2" xfId="707" xr:uid="{0D89FABF-3362-46BD-8C7E-FE196A92D925}"/>
    <cellStyle name="Millares 79 2 4 2 2 2" xfId="1378" xr:uid="{34F82D49-D3E6-444C-9C6D-54D900861BB7}"/>
    <cellStyle name="Millares 79 2 4 2 3" xfId="1046" xr:uid="{149BBCD4-89EB-4FCB-9352-9B4A1996967E}"/>
    <cellStyle name="Millares 79 2 4 3" xfId="541" xr:uid="{137B3490-ED8E-4C11-B6A7-61134FD00EB7}"/>
    <cellStyle name="Millares 79 2 4 3 2" xfId="1212" xr:uid="{F54E964F-5254-47D3-99B7-B00A8021655E}"/>
    <cellStyle name="Millares 79 2 4 4" xfId="880" xr:uid="{1C16804E-A15A-42B7-B843-9B8EE3048293}"/>
    <cellStyle name="Millares 79 2 5" xfId="286" xr:uid="{7D80875B-A408-414D-BDE7-784DE4950A16}"/>
    <cellStyle name="Millares 79 2 5 2" xfId="625" xr:uid="{D26D7951-A3C3-4847-A81D-7329AAA3A04F}"/>
    <cellStyle name="Millares 79 2 5 2 2" xfId="1296" xr:uid="{8483E4A3-C2BE-4AA2-90BC-78E92F2812D5}"/>
    <cellStyle name="Millares 79 2 5 3" xfId="964" xr:uid="{0ED3A8F9-0EDE-4F72-B29B-066F5AAFD0F6}"/>
    <cellStyle name="Millares 79 2 6" xfId="459" xr:uid="{B0F37765-5692-4B04-ABC5-C4F123957399}"/>
    <cellStyle name="Millares 79 2 6 2" xfId="1130" xr:uid="{73ACC356-4B99-46BF-BF21-69239ADBAEF3}"/>
    <cellStyle name="Millares 79 2 7" xfId="798" xr:uid="{54943C9A-EF2F-445E-92CE-828E4FDA380E}"/>
    <cellStyle name="Millares 79 3" xfId="93" xr:uid="{0AED2E4C-5773-4926-B486-D5F8D91398C8}"/>
    <cellStyle name="Millares 79 3 2" xfId="143" xr:uid="{DDDD4955-DC1D-4C9B-8DE3-9D19FF086608}"/>
    <cellStyle name="Millares 79 3 2 2" xfId="232" xr:uid="{306486BB-3BA7-4A33-A7C7-1B0760266B26}"/>
    <cellStyle name="Millares 79 3 2 2 2" xfId="418" xr:uid="{7FEBE385-E16F-47D3-912F-786292F6F538}"/>
    <cellStyle name="Millares 79 3 2 2 2 2" xfId="757" xr:uid="{6346ADF7-43A6-4226-8DE4-8E50918BF8CC}"/>
    <cellStyle name="Millares 79 3 2 2 2 2 2" xfId="1428" xr:uid="{9FEF8370-3E1D-4082-95C9-77CE515EA56B}"/>
    <cellStyle name="Millares 79 3 2 2 2 3" xfId="1096" xr:uid="{275CD146-BFD6-4793-968D-FA901CCFC908}"/>
    <cellStyle name="Millares 79 3 2 2 3" xfId="591" xr:uid="{74E98F9A-5229-45BE-960A-85B3AB44B48D}"/>
    <cellStyle name="Millares 79 3 2 2 3 2" xfId="1262" xr:uid="{8ADE92F3-BCCC-4D9E-ABCD-EFD565B23B0A}"/>
    <cellStyle name="Millares 79 3 2 2 4" xfId="930" xr:uid="{7465EF5F-175C-4030-A515-B235992215A2}"/>
    <cellStyle name="Millares 79 3 2 3" xfId="336" xr:uid="{18DC6AAF-BAFD-4103-B3B9-C1F00805F498}"/>
    <cellStyle name="Millares 79 3 2 3 2" xfId="675" xr:uid="{1C244C5C-841B-4EF2-B350-456F1660A376}"/>
    <cellStyle name="Millares 79 3 2 3 2 2" xfId="1346" xr:uid="{9353E4EE-EFB4-4003-BF2C-A790D68E9F2D}"/>
    <cellStyle name="Millares 79 3 2 3 3" xfId="1014" xr:uid="{C0D86D36-519B-4C27-88DF-8C63F262C70D}"/>
    <cellStyle name="Millares 79 3 2 4" xfId="509" xr:uid="{3BE6DE57-23E3-4152-AB65-35404145714F}"/>
    <cellStyle name="Millares 79 3 2 4 2" xfId="1180" xr:uid="{F2F610B9-81B3-4DC7-97C8-ADA82CB6300E}"/>
    <cellStyle name="Millares 79 3 2 5" xfId="848" xr:uid="{16C527F6-3B90-413A-B3E8-DF70A8C9DA30}"/>
    <cellStyle name="Millares 79 3 3" xfId="192" xr:uid="{9794796D-0024-4FCF-A586-337824AA48B8}"/>
    <cellStyle name="Millares 79 3 3 2" xfId="378" xr:uid="{C340BF74-1EE9-40E1-85C8-AE2EB3D23FAC}"/>
    <cellStyle name="Millares 79 3 3 2 2" xfId="717" xr:uid="{605EA25F-220A-40A6-8A2C-36255A123CF3}"/>
    <cellStyle name="Millares 79 3 3 2 2 2" xfId="1388" xr:uid="{00D048A2-6765-4950-917A-9387CB21FA59}"/>
    <cellStyle name="Millares 79 3 3 2 3" xfId="1056" xr:uid="{5DF1DBA1-862E-47F1-8889-7DD7AE68587C}"/>
    <cellStyle name="Millares 79 3 3 3" xfId="551" xr:uid="{C57BA6AB-463B-44C2-B120-467C3C5559D6}"/>
    <cellStyle name="Millares 79 3 3 3 2" xfId="1222" xr:uid="{36B3C7E1-5150-476A-A418-4E5EFA7E436E}"/>
    <cellStyle name="Millares 79 3 3 4" xfId="890" xr:uid="{469B6685-6E33-425E-AD7D-67E6B9C59AA1}"/>
    <cellStyle name="Millares 79 3 4" xfId="296" xr:uid="{D173913B-FEB5-40BB-AA3C-F0AB6FF09742}"/>
    <cellStyle name="Millares 79 3 4 2" xfId="635" xr:uid="{1ED70DB6-9043-46F6-B02E-9D8B2280FB66}"/>
    <cellStyle name="Millares 79 3 4 2 2" xfId="1306" xr:uid="{E4CF906E-5A38-4D5B-BFBD-2A40A7239C72}"/>
    <cellStyle name="Millares 79 3 4 3" xfId="974" xr:uid="{5E704817-1FC8-449F-A135-A54BD8B6573A}"/>
    <cellStyle name="Millares 79 3 5" xfId="469" xr:uid="{05A85FDE-849B-4E67-999C-55545559A9E4}"/>
    <cellStyle name="Millares 79 3 5 2" xfId="1140" xr:uid="{5B4A5CC1-9CBD-49E0-A84A-ECA6A8F6A548}"/>
    <cellStyle name="Millares 79 3 6" xfId="808" xr:uid="{0D5866DD-52FC-4030-8691-CB2D9032158A}"/>
    <cellStyle name="Millares 79 4" xfId="122" xr:uid="{A754CB7E-E32E-4ED2-AE3F-529234978CB3}"/>
    <cellStyle name="Millares 79 4 2" xfId="213" xr:uid="{7194FF21-7114-42A9-84D5-A257BDC7D952}"/>
    <cellStyle name="Millares 79 4 2 2" xfId="399" xr:uid="{6A363DB9-1F5C-4948-8CC1-B3265D9A7729}"/>
    <cellStyle name="Millares 79 4 2 2 2" xfId="738" xr:uid="{C7F60A43-DBAC-4547-8C54-6C86F0C61EFE}"/>
    <cellStyle name="Millares 79 4 2 2 2 2" xfId="1409" xr:uid="{F2B6A309-701E-40DF-8EC3-9A2659DBA8F1}"/>
    <cellStyle name="Millares 79 4 2 2 3" xfId="1077" xr:uid="{1DF191CA-7747-44F3-9F5D-B322A78D0E30}"/>
    <cellStyle name="Millares 79 4 2 3" xfId="572" xr:uid="{C2C55B78-B643-4DC4-A822-28ADAF821335}"/>
    <cellStyle name="Millares 79 4 2 3 2" xfId="1243" xr:uid="{CCEA8BA5-313B-4772-BB05-79F5AD4A7209}"/>
    <cellStyle name="Millares 79 4 2 4" xfId="911" xr:uid="{369A164E-CD05-4DBC-805F-00C88B371418}"/>
    <cellStyle name="Millares 79 4 3" xfId="317" xr:uid="{C0D6F3C5-36EC-4277-AEA1-22BD5A2B8423}"/>
    <cellStyle name="Millares 79 4 3 2" xfId="656" xr:uid="{BCEFE48D-A826-403E-9B99-2D5E3214EA6C}"/>
    <cellStyle name="Millares 79 4 3 2 2" xfId="1327" xr:uid="{B65264B0-4086-413F-A05B-F820746D9D8B}"/>
    <cellStyle name="Millares 79 4 3 3" xfId="995" xr:uid="{893BCF9F-6058-4D3E-847F-47D1542F7E04}"/>
    <cellStyle name="Millares 79 4 4" xfId="490" xr:uid="{2DF03810-219F-412D-ACAB-3019240ED227}"/>
    <cellStyle name="Millares 79 4 4 2" xfId="1161" xr:uid="{61F6E04E-AE11-4DDF-A5D6-72F4265C4432}"/>
    <cellStyle name="Millares 79 4 5" xfId="829" xr:uid="{1DA15730-5CC0-40F5-B506-86BF4E952F1E}"/>
    <cellStyle name="Millares 79 5" xfId="172" xr:uid="{E36E409B-1BD9-4160-84D8-DE4CB2232091}"/>
    <cellStyle name="Millares 79 5 2" xfId="359" xr:uid="{9F97935E-2C6B-4629-85F2-4DBC49FDB0CB}"/>
    <cellStyle name="Millares 79 5 2 2" xfId="698" xr:uid="{D1CB2CFE-753C-49CC-9D22-D4FE487FBEFC}"/>
    <cellStyle name="Millares 79 5 2 2 2" xfId="1369" xr:uid="{70FCD233-3469-425A-8A69-9A535842462B}"/>
    <cellStyle name="Millares 79 5 2 3" xfId="1037" xr:uid="{C22F6F5F-6BCF-4B85-8EE3-6FFB54EE1933}"/>
    <cellStyle name="Millares 79 5 3" xfId="532" xr:uid="{848FAE5D-5363-40CF-ABC5-14C43332DD47}"/>
    <cellStyle name="Millares 79 5 3 2" xfId="1203" xr:uid="{D0457908-C28A-4657-844F-9D469BAC2910}"/>
    <cellStyle name="Millares 79 5 4" xfId="871" xr:uid="{EDE90807-3EE9-4108-A3DD-93E7A7F65941}"/>
    <cellStyle name="Millares 79 6" xfId="260" xr:uid="{BEB8CA94-5E16-4DA7-9129-A6381FC786BE}"/>
    <cellStyle name="Millares 79 7" xfId="276" xr:uid="{1713A1F9-285F-4A07-B962-564D0DFEFD7C}"/>
    <cellStyle name="Millares 79 7 2" xfId="616" xr:uid="{E023DFA6-8EC7-4902-A761-AD324667FDCD}"/>
    <cellStyle name="Millares 79 7 2 2" xfId="1287" xr:uid="{0B7AB4FA-7358-462E-AAF0-FD02B269CACE}"/>
    <cellStyle name="Millares 79 7 3" xfId="955" xr:uid="{0E3B49C5-8183-4707-A270-498AF46671FE}"/>
    <cellStyle name="Millares 79 8" xfId="449" xr:uid="{60C3B4FB-D814-476C-AF9B-E98FB3D5E6FD}"/>
    <cellStyle name="Millares 79 8 2" xfId="1121" xr:uid="{3C2618CF-B19F-4FB4-8987-354FEB6FEFE0}"/>
    <cellStyle name="Millares 79 9" xfId="788" xr:uid="{78D840CF-C853-4D6E-BD5E-7EA6DB252382}"/>
    <cellStyle name="Millares 8" xfId="89" xr:uid="{611544DD-6476-479D-A581-E923798D4A77}"/>
    <cellStyle name="Millares 8 2" xfId="139" xr:uid="{26A24E40-52EA-4B5E-99D1-93CB89C3E86F}"/>
    <cellStyle name="Millares 8 2 2" xfId="228" xr:uid="{E61F08AE-B324-4EC3-8123-AF02D75F5AD3}"/>
    <cellStyle name="Millares 8 2 2 2" xfId="414" xr:uid="{E7992BCF-BE20-43E2-8ACE-E66332C165EB}"/>
    <cellStyle name="Millares 8 2 2 2 2" xfId="753" xr:uid="{D4A2848F-E07A-4C9A-97D9-3F9D16DFFE74}"/>
    <cellStyle name="Millares 8 2 2 2 2 2" xfId="1424" xr:uid="{8AA46B94-ADF3-4615-A8FD-0B120EB09F36}"/>
    <cellStyle name="Millares 8 2 2 2 3" xfId="1092" xr:uid="{8691337F-192D-4F7F-8012-3BF36E25827F}"/>
    <cellStyle name="Millares 8 2 2 3" xfId="587" xr:uid="{A9B17B5A-1350-49A3-974A-9D90913D5159}"/>
    <cellStyle name="Millares 8 2 2 3 2" xfId="1258" xr:uid="{662B7C82-8733-46D1-9C57-419F8E0C5390}"/>
    <cellStyle name="Millares 8 2 2 4" xfId="926" xr:uid="{3629B914-24CB-4496-BE17-2456A58D43FE}"/>
    <cellStyle name="Millares 8 2 3" xfId="332" xr:uid="{94A9FC35-5561-420D-A38F-A7690AFE9EEC}"/>
    <cellStyle name="Millares 8 2 3 2" xfId="671" xr:uid="{76E3B50C-92C8-43AE-BD4D-70E15A5221AA}"/>
    <cellStyle name="Millares 8 2 3 2 2" xfId="1342" xr:uid="{55B590D0-05D3-4624-BA5C-5B039C863754}"/>
    <cellStyle name="Millares 8 2 3 3" xfId="1010" xr:uid="{ECFB61EF-FB5B-4E47-B181-97B7CDA5FC84}"/>
    <cellStyle name="Millares 8 2 4" xfId="505" xr:uid="{145FCEAF-6D4D-4CE2-A8A7-A8CC2B609F81}"/>
    <cellStyle name="Millares 8 2 4 2" xfId="1176" xr:uid="{651EC07A-9035-4799-8AA1-02C38A0EE66D}"/>
    <cellStyle name="Millares 8 2 5" xfId="844" xr:uid="{483B2F3C-FB01-4785-9076-DCEA7400312C}"/>
    <cellStyle name="Millares 8 3" xfId="188" xr:uid="{B26E3FC7-9168-4AE8-A417-EA8F80E0AB60}"/>
    <cellStyle name="Millares 8 3 2" xfId="374" xr:uid="{02038263-E46B-4369-906B-3F91C8850A5B}"/>
    <cellStyle name="Millares 8 3 2 2" xfId="713" xr:uid="{A3FCA19E-9126-49DD-84AE-99F6224E9460}"/>
    <cellStyle name="Millares 8 3 2 2 2" xfId="1384" xr:uid="{684BBA35-3F45-428E-9A51-D50B4BBFFB05}"/>
    <cellStyle name="Millares 8 3 2 3" xfId="1052" xr:uid="{F54C7AEA-DA8B-4C0A-9D05-1EF00083CBD2}"/>
    <cellStyle name="Millares 8 3 3" xfId="547" xr:uid="{B61C6330-92C4-45D6-B3F4-4328B5C3656B}"/>
    <cellStyle name="Millares 8 3 3 2" xfId="1218" xr:uid="{CD346BE8-0EFF-4947-8A5C-6E696A0A362D}"/>
    <cellStyle name="Millares 8 3 4" xfId="886" xr:uid="{3349CC09-9516-4F9B-BB02-540D64EA0329}"/>
    <cellStyle name="Millares 8 4" xfId="292" xr:uid="{FC8DA5BE-5E74-4B6F-A0A9-FB43AA22CF0C}"/>
    <cellStyle name="Millares 8 4 2" xfId="631" xr:uid="{92B55C6F-4723-4943-9C01-10F0AA4518B0}"/>
    <cellStyle name="Millares 8 4 2 2" xfId="1302" xr:uid="{8B39AB23-0842-46F6-95DE-78FA3041320D}"/>
    <cellStyle name="Millares 8 4 3" xfId="970" xr:uid="{881B062D-AC52-4247-9606-B43474C8A745}"/>
    <cellStyle name="Millares 8 5" xfId="465" xr:uid="{9E32F1BD-2581-4DF1-84D1-9EDC59D17259}"/>
    <cellStyle name="Millares 8 5 2" xfId="1136" xr:uid="{2DD22D9F-4DBF-42A7-85C1-539BFE55E84F}"/>
    <cellStyle name="Millares 8 6" xfId="804" xr:uid="{139AB9E7-7E0D-4557-AF08-C162F0558B1F}"/>
    <cellStyle name="Millares 9" xfId="110" xr:uid="{847D19B7-39C0-46D4-9436-DB73DD58A72C}"/>
    <cellStyle name="Millares 9 2" xfId="158" xr:uid="{DCF5365C-4660-4DDD-AACE-C1CBE586B768}"/>
    <cellStyle name="Millares 9 2 2" xfId="247" xr:uid="{39E32AB0-628E-4CB0-995F-BC02DC21C7C8}"/>
    <cellStyle name="Millares 9 2 2 2" xfId="433" xr:uid="{986F6B61-CBAA-4FA1-984D-C4AD7B69A697}"/>
    <cellStyle name="Millares 9 2 2 2 2" xfId="772" xr:uid="{DF5BF16E-DCB4-4AEC-9372-846236E6DD43}"/>
    <cellStyle name="Millares 9 2 2 2 2 2" xfId="1443" xr:uid="{1AFF65BD-58FA-4CFE-A35B-95685BCCFA16}"/>
    <cellStyle name="Millares 9 2 2 2 3" xfId="1111" xr:uid="{305FCD98-6520-4E4D-A3E3-6E341EE059E7}"/>
    <cellStyle name="Millares 9 2 2 3" xfId="606" xr:uid="{862C486A-1CC4-405A-A9E9-2C37AE580780}"/>
    <cellStyle name="Millares 9 2 2 3 2" xfId="1277" xr:uid="{F58379D5-1EA5-48FE-9B86-C64D76566479}"/>
    <cellStyle name="Millares 9 2 2 4" xfId="945" xr:uid="{73EEEE43-BB00-46F2-98A9-AC74E1966E99}"/>
    <cellStyle name="Millares 9 2 3" xfId="351" xr:uid="{60FDF90B-C0A5-4DD5-99E9-F5B962894B39}"/>
    <cellStyle name="Millares 9 2 3 2" xfId="690" xr:uid="{CEA65DFB-DC9E-4C90-B70D-8178B7FFBFCE}"/>
    <cellStyle name="Millares 9 2 3 2 2" xfId="1361" xr:uid="{4BD80E8D-B6A7-4E57-8FC5-E351B6922C17}"/>
    <cellStyle name="Millares 9 2 3 3" xfId="1029" xr:uid="{96059F0F-1209-43AF-8D7A-045AA7ABD161}"/>
    <cellStyle name="Millares 9 2 4" xfId="524" xr:uid="{1C0A6F9F-CBDA-41FA-94A3-E58C24F91F25}"/>
    <cellStyle name="Millares 9 2 4 2" xfId="1195" xr:uid="{D8568A64-4E39-4C34-97F5-7195BD3A4324}"/>
    <cellStyle name="Millares 9 2 5" xfId="863" xr:uid="{7D0D8145-D48B-46D4-9279-AA8E6522EB7C}"/>
    <cellStyle name="Millares 9 3" xfId="207" xr:uid="{2388ACF8-8536-4EA3-86E7-5B4BD2AE7A12}"/>
    <cellStyle name="Millares 9 3 2" xfId="393" xr:uid="{6B66B0EB-B2E7-45AE-8ABA-6DC651A169DD}"/>
    <cellStyle name="Millares 9 3 2 2" xfId="732" xr:uid="{692C1C83-51AC-499C-BFB1-583A2BC700A4}"/>
    <cellStyle name="Millares 9 3 2 2 2" xfId="1403" xr:uid="{B8FCBF8B-F0CE-4A79-9EE4-6AC2BA4387DF}"/>
    <cellStyle name="Millares 9 3 2 3" xfId="1071" xr:uid="{726BA8E4-1DD9-40D5-A62E-EBEF7121241E}"/>
    <cellStyle name="Millares 9 3 3" xfId="566" xr:uid="{C8CEBC00-B47E-4939-AB2F-5E1E54041749}"/>
    <cellStyle name="Millares 9 3 3 2" xfId="1237" xr:uid="{C6C02BDC-BDD9-44DA-B503-47536BDF564F}"/>
    <cellStyle name="Millares 9 3 4" xfId="905" xr:uid="{359A9B8C-378E-4BD9-88EE-9657057C51DB}"/>
    <cellStyle name="Millares 9 4" xfId="311" xr:uid="{4F3EFEFE-0D6F-4630-961B-8838625D10E7}"/>
    <cellStyle name="Millares 9 4 2" xfId="650" xr:uid="{8F9BD4D2-2931-437F-B6D5-9F52E1385768}"/>
    <cellStyle name="Millares 9 4 2 2" xfId="1321" xr:uid="{D390B06B-078F-4E92-B019-E94692493060}"/>
    <cellStyle name="Millares 9 4 3" xfId="989" xr:uid="{86AA1E13-AB03-4B59-956D-5F530B20D461}"/>
    <cellStyle name="Millares 9 5" xfId="484" xr:uid="{7A599119-BD14-488E-AF66-469FBF7BF19B}"/>
    <cellStyle name="Millares 9 5 2" xfId="1155" xr:uid="{F8885CC0-54DD-4CD8-BC4D-150760C9D002}"/>
    <cellStyle name="Millares 9 6" xfId="823" xr:uid="{DBAE85F5-6A23-4942-8E1C-AAF211BE5DEA}"/>
    <cellStyle name="Neutral 10" xfId="49" xr:uid="{439F9480-5F73-471F-AD25-75273044A4F9}"/>
    <cellStyle name="Neutral 2" xfId="76" xr:uid="{F72E934F-1A95-44A2-9696-5BDED034B859}"/>
    <cellStyle name="Neutral 3" xfId="94" xr:uid="{EA761542-5B1B-42F9-9714-CE8F207670B4}"/>
    <cellStyle name="Neutral 4" xfId="123" xr:uid="{3091B25A-D3E2-4AB9-82B8-E20288F96065}"/>
    <cellStyle name="Neutral 5" xfId="173" xr:uid="{D4EEEE75-939A-4AF6-A680-698191CC4BD1}"/>
    <cellStyle name="Neutral 6" xfId="261" xr:uid="{2667C18E-051A-4E17-B56C-8BADD33C544E}"/>
    <cellStyle name="Neutral 7" xfId="277" xr:uid="{685A3A03-F049-471C-9D3C-B2BDF49F494B}"/>
    <cellStyle name="Neutral 8" xfId="450" xr:uid="{D198F8F7-B2C1-457D-8DE0-84C12C6B548D}"/>
    <cellStyle name="Neutral 9" xfId="789" xr:uid="{187B1644-F336-4051-BA29-8A193AF53627}"/>
    <cellStyle name="Normal" xfId="0" builtinId="0"/>
    <cellStyle name="Normal 15" xfId="50" xr:uid="{36B6DF6D-2888-4F47-93A4-FFD63B2630BC}"/>
    <cellStyle name="Normal 2" xfId="51" xr:uid="{6742FCD7-EDB5-49AE-BAC7-FFE935719849}"/>
    <cellStyle name="Normal 2 10" xfId="52" xr:uid="{6879E393-34EF-463A-AEC6-8522F732356F}"/>
    <cellStyle name="Normal 3" xfId="53" xr:uid="{4F5B50D7-60C0-4C3E-9578-7AC4855FDC95}"/>
    <cellStyle name="Normal 3 57" xfId="62" xr:uid="{DD85097B-5BF4-497F-B93F-1FF5C83DA1C6}"/>
    <cellStyle name="Normal 4" xfId="54" xr:uid="{D39E5E03-6F7E-4DCF-9B30-D7CF784FE9F6}"/>
    <cellStyle name="Normal 4 10" xfId="55" xr:uid="{C14ED1F3-004F-48C1-8AEC-5DA5C073F22B}"/>
    <cellStyle name="Normal 5" xfId="56" xr:uid="{988B80DF-7C22-4182-BC8A-7AB135BD9E14}"/>
    <cellStyle name="Notas" xfId="14" builtinId="10" customBuiltin="1"/>
    <cellStyle name="Porcentaje 2" xfId="79" xr:uid="{9E62C975-9EB0-4993-93B0-496CB19A3284}"/>
    <cellStyle name="Porcentaje 3" xfId="97" xr:uid="{AE6150E1-D86A-44E1-9F9D-F0775C02C2C1}"/>
    <cellStyle name="Porcentaje 4" xfId="126" xr:uid="{AD0E813E-BF61-4AB8-BA88-032BE3E559D0}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4BE6-3302-465C-BAF2-3D97137BE750}">
  <dimension ref="A1:L119"/>
  <sheetViews>
    <sheetView tabSelected="1" topLeftCell="A83" workbookViewId="0">
      <selection activeCell="O91" sqref="O91"/>
    </sheetView>
  </sheetViews>
  <sheetFormatPr baseColWidth="10" defaultRowHeight="14"/>
  <cols>
    <col min="1" max="1" width="11.19921875" style="3"/>
    <col min="2" max="3" width="11.19921875" style="5"/>
    <col min="4" max="4" width="11.19921875" style="3"/>
    <col min="5" max="6" width="13.3984375" style="5" bestFit="1" customWidth="1"/>
    <col min="7" max="10" width="12.3984375" style="5" bestFit="1" customWidth="1"/>
    <col min="11" max="12" width="10.8984375" style="5" bestFit="1" customWidth="1"/>
  </cols>
  <sheetData>
    <row r="1" spans="1:12" s="1" customFormat="1" ht="13.45">
      <c r="A1" s="2" t="s">
        <v>0</v>
      </c>
      <c r="B1" s="4" t="s">
        <v>0</v>
      </c>
      <c r="C1" s="4" t="s">
        <v>1</v>
      </c>
      <c r="D1" s="2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>
      <c r="A2" s="3" t="b">
        <f>EXACT(C2,B2)</f>
        <v>1</v>
      </c>
      <c r="B2" s="5" t="str">
        <f>+Hoja2!A1</f>
        <v>1.1.01.101</v>
      </c>
      <c r="C2" s="5" t="s">
        <v>11</v>
      </c>
      <c r="D2" s="3" t="s">
        <v>12</v>
      </c>
      <c r="E2" s="6">
        <v>216337650</v>
      </c>
      <c r="F2" s="6">
        <v>142232595</v>
      </c>
      <c r="G2" s="6">
        <v>74105055</v>
      </c>
      <c r="H2" s="5">
        <v>0</v>
      </c>
      <c r="I2" s="6">
        <v>74105055</v>
      </c>
      <c r="J2" s="5">
        <v>0</v>
      </c>
      <c r="K2" s="5">
        <v>0</v>
      </c>
      <c r="L2" s="5">
        <v>0</v>
      </c>
    </row>
    <row r="3" spans="1:12">
      <c r="A3" s="10" t="b">
        <f t="shared" ref="A3:A65" si="0">EXACT(C3,B3)</f>
        <v>1</v>
      </c>
      <c r="B3" s="5" t="str">
        <f>+Hoja2!A2</f>
        <v>1.1.01.203</v>
      </c>
      <c r="C3" s="5" t="s">
        <v>13</v>
      </c>
      <c r="D3" s="3" t="s">
        <v>14</v>
      </c>
      <c r="E3" s="6">
        <v>99910</v>
      </c>
      <c r="F3" s="6">
        <v>58308</v>
      </c>
      <c r="G3" s="6">
        <v>41602</v>
      </c>
      <c r="H3" s="5">
        <v>0</v>
      </c>
      <c r="I3" s="6">
        <v>41602</v>
      </c>
      <c r="J3" s="5">
        <v>0</v>
      </c>
      <c r="K3" s="5">
        <v>0</v>
      </c>
      <c r="L3" s="5">
        <v>0</v>
      </c>
    </row>
    <row r="4" spans="1:12">
      <c r="A4" s="10" t="b">
        <f t="shared" si="0"/>
        <v>1</v>
      </c>
      <c r="B4" s="5" t="str">
        <f>+Hoja2!A3</f>
        <v>1.1.01.204</v>
      </c>
      <c r="C4" s="5" t="s">
        <v>15</v>
      </c>
      <c r="D4" s="3" t="s">
        <v>16</v>
      </c>
      <c r="E4" s="6">
        <v>85990</v>
      </c>
      <c r="F4" s="5">
        <v>0</v>
      </c>
      <c r="G4" s="6">
        <v>85990</v>
      </c>
      <c r="H4" s="5">
        <v>0</v>
      </c>
      <c r="I4" s="6">
        <v>85990</v>
      </c>
      <c r="J4" s="5">
        <v>0</v>
      </c>
      <c r="K4" s="5">
        <v>0</v>
      </c>
      <c r="L4" s="5">
        <v>0</v>
      </c>
    </row>
    <row r="5" spans="1:12">
      <c r="A5" s="10" t="b">
        <f t="shared" si="0"/>
        <v>1</v>
      </c>
      <c r="B5" s="5" t="str">
        <f>+Hoja2!A4</f>
        <v>1.1.01.205</v>
      </c>
      <c r="C5" s="5" t="s">
        <v>17</v>
      </c>
      <c r="D5" s="3" t="s">
        <v>18</v>
      </c>
      <c r="E5" s="6">
        <v>154990</v>
      </c>
      <c r="F5" s="6">
        <v>152308</v>
      </c>
      <c r="G5" s="6">
        <v>2682</v>
      </c>
      <c r="H5" s="5">
        <v>0</v>
      </c>
      <c r="I5" s="6">
        <v>2682</v>
      </c>
      <c r="J5" s="5">
        <v>0</v>
      </c>
      <c r="K5" s="5">
        <v>0</v>
      </c>
      <c r="L5" s="5">
        <v>0</v>
      </c>
    </row>
    <row r="6" spans="1:12">
      <c r="A6" s="10" t="b">
        <f t="shared" si="0"/>
        <v>1</v>
      </c>
      <c r="B6" s="5" t="str">
        <f>+Hoja2!A5</f>
        <v>1.1.01.206</v>
      </c>
      <c r="C6" s="5" t="s">
        <v>19</v>
      </c>
      <c r="D6" s="3" t="s">
        <v>20</v>
      </c>
      <c r="E6" s="6">
        <v>100000</v>
      </c>
      <c r="F6" s="6">
        <v>108130</v>
      </c>
      <c r="G6" s="5">
        <v>0</v>
      </c>
      <c r="H6" s="6">
        <v>8130</v>
      </c>
      <c r="I6" s="5">
        <v>0</v>
      </c>
      <c r="J6" s="6">
        <v>8130</v>
      </c>
      <c r="K6" s="5">
        <v>0</v>
      </c>
      <c r="L6" s="5">
        <v>0</v>
      </c>
    </row>
    <row r="7" spans="1:12">
      <c r="A7" s="10" t="b">
        <f t="shared" si="0"/>
        <v>1</v>
      </c>
      <c r="B7" s="5" t="str">
        <f>+Hoja2!A6</f>
        <v>1.1.01.207</v>
      </c>
      <c r="C7" s="5" t="s">
        <v>21</v>
      </c>
      <c r="D7" s="3" t="s">
        <v>22</v>
      </c>
      <c r="E7" s="6">
        <v>337628</v>
      </c>
      <c r="F7" s="6">
        <v>254628</v>
      </c>
      <c r="G7" s="6">
        <v>83000</v>
      </c>
      <c r="H7" s="5">
        <v>0</v>
      </c>
      <c r="I7" s="6">
        <v>83000</v>
      </c>
      <c r="J7" s="5">
        <v>0</v>
      </c>
      <c r="K7" s="5">
        <v>0</v>
      </c>
      <c r="L7" s="5">
        <v>0</v>
      </c>
    </row>
    <row r="8" spans="1:12">
      <c r="A8" s="10" t="b">
        <f t="shared" si="0"/>
        <v>1</v>
      </c>
      <c r="B8" s="5" t="str">
        <f>+Hoja2!A7</f>
        <v>1.1.01.208</v>
      </c>
      <c r="C8" s="5" t="s">
        <v>23</v>
      </c>
      <c r="D8" s="3" t="s">
        <v>24</v>
      </c>
      <c r="E8" s="6">
        <v>131290</v>
      </c>
      <c r="F8" s="6">
        <v>91720</v>
      </c>
      <c r="G8" s="6">
        <v>39570</v>
      </c>
      <c r="H8" s="5">
        <v>0</v>
      </c>
      <c r="I8" s="6">
        <v>39570</v>
      </c>
      <c r="J8" s="5">
        <v>0</v>
      </c>
      <c r="K8" s="5">
        <v>0</v>
      </c>
      <c r="L8" s="5">
        <v>0</v>
      </c>
    </row>
    <row r="9" spans="1:12">
      <c r="A9" s="10" t="b">
        <f t="shared" si="0"/>
        <v>1</v>
      </c>
      <c r="B9" s="5" t="str">
        <f>+Hoja2!A8</f>
        <v>1.1.01.209</v>
      </c>
      <c r="C9" s="5" t="s">
        <v>25</v>
      </c>
      <c r="D9" s="3" t="s">
        <v>26</v>
      </c>
      <c r="E9" s="6">
        <v>103980</v>
      </c>
      <c r="F9" s="6">
        <v>46490</v>
      </c>
      <c r="G9" s="6">
        <v>57490</v>
      </c>
      <c r="H9" s="5">
        <v>0</v>
      </c>
      <c r="I9" s="6">
        <v>57490</v>
      </c>
      <c r="J9" s="5">
        <v>0</v>
      </c>
      <c r="K9" s="5">
        <v>0</v>
      </c>
      <c r="L9" s="5">
        <v>0</v>
      </c>
    </row>
    <row r="10" spans="1:12">
      <c r="A10" s="10" t="b">
        <f t="shared" si="0"/>
        <v>1</v>
      </c>
      <c r="B10" s="5" t="str">
        <f>+Hoja2!A9</f>
        <v>1.1.01.210</v>
      </c>
      <c r="C10" s="5" t="s">
        <v>27</v>
      </c>
      <c r="D10" s="3" t="s">
        <v>28</v>
      </c>
      <c r="E10" s="6">
        <v>103994</v>
      </c>
      <c r="F10" s="6">
        <v>90688</v>
      </c>
      <c r="G10" s="6">
        <v>13306</v>
      </c>
      <c r="H10" s="5">
        <v>0</v>
      </c>
      <c r="I10" s="6">
        <v>13306</v>
      </c>
      <c r="J10" s="5">
        <v>0</v>
      </c>
      <c r="K10" s="5">
        <v>0</v>
      </c>
      <c r="L10" s="5">
        <v>0</v>
      </c>
    </row>
    <row r="11" spans="1:12">
      <c r="A11" s="10" t="b">
        <f t="shared" si="0"/>
        <v>1</v>
      </c>
      <c r="B11" s="5" t="str">
        <f>+Hoja2!A10</f>
        <v>1.1.01.211</v>
      </c>
      <c r="C11" s="5" t="s">
        <v>29</v>
      </c>
      <c r="D11" s="3" t="s">
        <v>30</v>
      </c>
      <c r="E11" s="6">
        <v>128075</v>
      </c>
      <c r="F11" s="6">
        <v>80955</v>
      </c>
      <c r="G11" s="6">
        <v>47120</v>
      </c>
      <c r="H11" s="5">
        <v>0</v>
      </c>
      <c r="I11" s="6">
        <v>47120</v>
      </c>
      <c r="J11" s="5">
        <v>0</v>
      </c>
      <c r="K11" s="5">
        <v>0</v>
      </c>
      <c r="L11" s="5">
        <v>0</v>
      </c>
    </row>
    <row r="12" spans="1:12">
      <c r="A12" s="10" t="b">
        <f t="shared" si="0"/>
        <v>1</v>
      </c>
      <c r="B12" s="5" t="str">
        <f>+Hoja2!A11</f>
        <v>1.1.01.212</v>
      </c>
      <c r="C12" s="5" t="s">
        <v>31</v>
      </c>
      <c r="D12" s="3" t="s">
        <v>32</v>
      </c>
      <c r="E12" s="6">
        <v>135671</v>
      </c>
      <c r="F12" s="6">
        <v>75671</v>
      </c>
      <c r="G12" s="6">
        <v>60000</v>
      </c>
      <c r="H12" s="5">
        <v>0</v>
      </c>
      <c r="I12" s="6">
        <v>60000</v>
      </c>
      <c r="J12" s="5">
        <v>0</v>
      </c>
      <c r="K12" s="5">
        <v>0</v>
      </c>
      <c r="L12" s="5">
        <v>0</v>
      </c>
    </row>
    <row r="13" spans="1:12">
      <c r="A13" s="10" t="b">
        <f t="shared" si="0"/>
        <v>1</v>
      </c>
      <c r="B13" s="5" t="str">
        <f>+Hoja2!A12</f>
        <v>1.1.01.301</v>
      </c>
      <c r="C13" s="5" t="s">
        <v>33</v>
      </c>
      <c r="D13" s="3" t="s">
        <v>34</v>
      </c>
      <c r="E13" s="6">
        <v>822199777</v>
      </c>
      <c r="F13" s="6">
        <v>381616850</v>
      </c>
      <c r="G13" s="6">
        <v>440582927</v>
      </c>
      <c r="H13" s="5">
        <v>0</v>
      </c>
      <c r="I13" s="6">
        <v>440582927</v>
      </c>
      <c r="J13" s="5">
        <v>0</v>
      </c>
      <c r="K13" s="5">
        <v>0</v>
      </c>
      <c r="L13" s="5">
        <v>0</v>
      </c>
    </row>
    <row r="14" spans="1:12">
      <c r="A14" s="10" t="b">
        <f t="shared" si="0"/>
        <v>1</v>
      </c>
      <c r="B14" s="5" t="str">
        <f>+Hoja2!A13</f>
        <v>1.1.01.302</v>
      </c>
      <c r="C14" s="5" t="s">
        <v>35</v>
      </c>
      <c r="D14" s="3" t="s">
        <v>36</v>
      </c>
      <c r="E14" s="6">
        <v>1302586021</v>
      </c>
      <c r="F14" s="6">
        <v>930624208</v>
      </c>
      <c r="G14" s="6">
        <v>371961813</v>
      </c>
      <c r="H14" s="5">
        <v>0</v>
      </c>
      <c r="I14" s="6">
        <v>371961813</v>
      </c>
      <c r="J14" s="5">
        <v>0</v>
      </c>
      <c r="K14" s="5">
        <v>0</v>
      </c>
      <c r="L14" s="5">
        <v>0</v>
      </c>
    </row>
    <row r="15" spans="1:12">
      <c r="A15" s="10" t="b">
        <f t="shared" si="0"/>
        <v>1</v>
      </c>
      <c r="B15" s="5" t="str">
        <f>+Hoja2!A14</f>
        <v>1.1.02.106</v>
      </c>
      <c r="C15" s="5" t="s">
        <v>37</v>
      </c>
      <c r="D15" s="3" t="s">
        <v>38</v>
      </c>
      <c r="E15" s="6">
        <v>4941276</v>
      </c>
      <c r="F15" s="5">
        <v>0</v>
      </c>
      <c r="G15" s="6">
        <v>4941276</v>
      </c>
      <c r="H15" s="5">
        <v>0</v>
      </c>
      <c r="I15" s="6">
        <v>4941276</v>
      </c>
      <c r="J15" s="5">
        <v>0</v>
      </c>
      <c r="K15" s="5">
        <v>0</v>
      </c>
      <c r="L15" s="5">
        <v>0</v>
      </c>
    </row>
    <row r="16" spans="1:12">
      <c r="A16" s="10" t="b">
        <f t="shared" si="0"/>
        <v>1</v>
      </c>
      <c r="B16" s="5" t="str">
        <f>+Hoja2!A15</f>
        <v>1.1.03.201</v>
      </c>
      <c r="C16" s="5" t="s">
        <v>39</v>
      </c>
      <c r="D16" s="3" t="s">
        <v>40</v>
      </c>
      <c r="E16" s="6">
        <v>40348532</v>
      </c>
      <c r="F16" s="6">
        <v>5398716</v>
      </c>
      <c r="G16" s="6">
        <v>34949816</v>
      </c>
      <c r="H16" s="5">
        <v>0</v>
      </c>
      <c r="I16" s="6">
        <v>34949816</v>
      </c>
      <c r="J16" s="5">
        <v>0</v>
      </c>
      <c r="K16" s="5">
        <v>0</v>
      </c>
      <c r="L16" s="5">
        <v>0</v>
      </c>
    </row>
    <row r="17" spans="1:12">
      <c r="A17" s="10" t="b">
        <f t="shared" si="0"/>
        <v>1</v>
      </c>
      <c r="B17" s="5" t="str">
        <f>+Hoja2!A16</f>
        <v>1.1.04.102</v>
      </c>
      <c r="C17" s="5" t="s">
        <v>41</v>
      </c>
      <c r="D17" s="3" t="s">
        <v>42</v>
      </c>
      <c r="E17" s="6">
        <v>312645466</v>
      </c>
      <c r="F17" s="6">
        <v>315803955</v>
      </c>
      <c r="G17" s="5">
        <v>0</v>
      </c>
      <c r="H17" s="6">
        <v>3158489</v>
      </c>
      <c r="I17" s="5">
        <v>0</v>
      </c>
      <c r="J17" s="6">
        <v>3158489</v>
      </c>
      <c r="K17" s="5">
        <v>0</v>
      </c>
      <c r="L17" s="5">
        <v>0</v>
      </c>
    </row>
    <row r="18" spans="1:12">
      <c r="A18" s="10" t="b">
        <f t="shared" si="0"/>
        <v>1</v>
      </c>
      <c r="B18" s="5" t="str">
        <f>+Hoja2!A17</f>
        <v>1.1.04.104</v>
      </c>
      <c r="C18" s="5" t="s">
        <v>43</v>
      </c>
      <c r="D18" s="3" t="s">
        <v>44</v>
      </c>
      <c r="E18" s="6">
        <v>4201583</v>
      </c>
      <c r="F18" s="6">
        <v>3267232</v>
      </c>
      <c r="G18" s="6">
        <v>934351</v>
      </c>
      <c r="H18" s="5">
        <v>0</v>
      </c>
      <c r="I18" s="6">
        <v>934351</v>
      </c>
      <c r="J18" s="5">
        <v>0</v>
      </c>
      <c r="K18" s="5">
        <v>0</v>
      </c>
      <c r="L18" s="5">
        <v>0</v>
      </c>
    </row>
    <row r="19" spans="1:12">
      <c r="A19" s="10" t="b">
        <f t="shared" si="0"/>
        <v>1</v>
      </c>
      <c r="B19" s="5" t="str">
        <f>+Hoja2!A18</f>
        <v>1.1.04.105</v>
      </c>
      <c r="C19" s="5" t="s">
        <v>45</v>
      </c>
      <c r="D19" s="3" t="s">
        <v>46</v>
      </c>
      <c r="E19" s="6">
        <v>436527998</v>
      </c>
      <c r="F19" s="6">
        <v>381954503</v>
      </c>
      <c r="G19" s="6">
        <v>54573495</v>
      </c>
      <c r="H19" s="5">
        <v>0</v>
      </c>
      <c r="I19" s="6">
        <v>54573495</v>
      </c>
      <c r="J19" s="5">
        <v>0</v>
      </c>
      <c r="K19" s="5">
        <v>0</v>
      </c>
      <c r="L19" s="5">
        <v>0</v>
      </c>
    </row>
    <row r="20" spans="1:12">
      <c r="A20" s="10" t="b">
        <f t="shared" si="0"/>
        <v>1</v>
      </c>
      <c r="B20" s="5" t="str">
        <f>+Hoja2!A19</f>
        <v>1.1.04.106</v>
      </c>
      <c r="C20" s="5" t="s">
        <v>47</v>
      </c>
      <c r="D20" s="3" t="s">
        <v>48</v>
      </c>
      <c r="E20" s="6">
        <v>442414883</v>
      </c>
      <c r="F20" s="6">
        <v>370577979</v>
      </c>
      <c r="G20" s="6">
        <v>71836904</v>
      </c>
      <c r="H20" s="5">
        <v>0</v>
      </c>
      <c r="I20" s="6">
        <v>71836904</v>
      </c>
      <c r="J20" s="5">
        <v>0</v>
      </c>
      <c r="K20" s="5">
        <v>0</v>
      </c>
      <c r="L20" s="5">
        <v>0</v>
      </c>
    </row>
    <row r="21" spans="1:12">
      <c r="A21" s="10" t="b">
        <f t="shared" si="0"/>
        <v>1</v>
      </c>
      <c r="B21" s="5" t="str">
        <f>+Hoja2!A20</f>
        <v>1.1.04.108</v>
      </c>
      <c r="C21" s="5" t="s">
        <v>49</v>
      </c>
      <c r="D21" s="3" t="s">
        <v>50</v>
      </c>
      <c r="E21" s="6">
        <v>525390</v>
      </c>
      <c r="F21" s="6">
        <v>44990</v>
      </c>
      <c r="G21" s="6">
        <v>480400</v>
      </c>
      <c r="H21" s="5">
        <v>0</v>
      </c>
      <c r="I21" s="6">
        <v>480400</v>
      </c>
      <c r="J21" s="5">
        <v>0</v>
      </c>
      <c r="K21" s="5">
        <v>0</v>
      </c>
      <c r="L21" s="5">
        <v>0</v>
      </c>
    </row>
    <row r="22" spans="1:12">
      <c r="A22" s="10" t="b">
        <f t="shared" si="0"/>
        <v>1</v>
      </c>
      <c r="B22" s="5" t="str">
        <f>+Hoja2!A21</f>
        <v>1.1.04.109</v>
      </c>
      <c r="C22" s="5" t="s">
        <v>51</v>
      </c>
      <c r="D22" s="3" t="s">
        <v>52</v>
      </c>
      <c r="E22" s="6">
        <v>1174287901</v>
      </c>
      <c r="F22" s="6">
        <v>972428242</v>
      </c>
      <c r="G22" s="6">
        <v>201859659</v>
      </c>
      <c r="H22" s="5">
        <v>0</v>
      </c>
      <c r="I22" s="6">
        <v>201859659</v>
      </c>
      <c r="J22" s="5">
        <v>0</v>
      </c>
      <c r="K22" s="5">
        <v>0</v>
      </c>
      <c r="L22" s="5">
        <v>0</v>
      </c>
    </row>
    <row r="23" spans="1:12">
      <c r="A23" s="10" t="b">
        <f t="shared" si="0"/>
        <v>1</v>
      </c>
      <c r="B23" s="5" t="str">
        <f>+Hoja2!A22</f>
        <v>1.1.04.112</v>
      </c>
      <c r="C23" s="5" t="s">
        <v>53</v>
      </c>
      <c r="D23" s="3" t="s">
        <v>54</v>
      </c>
      <c r="E23" s="6">
        <v>31526988</v>
      </c>
      <c r="F23" s="6">
        <v>21762676</v>
      </c>
      <c r="G23" s="6">
        <v>9764312</v>
      </c>
      <c r="H23" s="5">
        <v>0</v>
      </c>
      <c r="I23" s="6">
        <v>9764312</v>
      </c>
      <c r="J23" s="5">
        <v>0</v>
      </c>
      <c r="K23" s="5">
        <v>0</v>
      </c>
      <c r="L23" s="5">
        <v>0</v>
      </c>
    </row>
    <row r="24" spans="1:12">
      <c r="A24" s="10" t="b">
        <f t="shared" si="0"/>
        <v>1</v>
      </c>
      <c r="B24" s="5" t="str">
        <f>+Hoja2!A23</f>
        <v>1.1.04.113</v>
      </c>
      <c r="C24" s="5" t="s">
        <v>55</v>
      </c>
      <c r="D24" s="3" t="s">
        <v>56</v>
      </c>
      <c r="E24" s="6">
        <v>26081492</v>
      </c>
      <c r="F24" s="6">
        <v>24549633</v>
      </c>
      <c r="G24" s="6">
        <v>1531859</v>
      </c>
      <c r="H24" s="5">
        <v>0</v>
      </c>
      <c r="I24" s="6">
        <v>1531859</v>
      </c>
      <c r="J24" s="5">
        <v>0</v>
      </c>
      <c r="K24" s="5">
        <v>0</v>
      </c>
      <c r="L24" s="5">
        <v>0</v>
      </c>
    </row>
    <row r="25" spans="1:12">
      <c r="A25" s="10" t="b">
        <f t="shared" si="0"/>
        <v>1</v>
      </c>
      <c r="B25" s="5" t="str">
        <f>+Hoja2!A24</f>
        <v>1.1.04.200</v>
      </c>
      <c r="C25" s="5" t="s">
        <v>57</v>
      </c>
      <c r="D25" s="3" t="s">
        <v>58</v>
      </c>
      <c r="E25" s="6">
        <v>6734121</v>
      </c>
      <c r="F25" s="5">
        <v>0</v>
      </c>
      <c r="G25" s="6">
        <v>6734121</v>
      </c>
      <c r="H25" s="5">
        <v>0</v>
      </c>
      <c r="I25" s="6">
        <v>6734121</v>
      </c>
      <c r="J25" s="5">
        <v>0</v>
      </c>
      <c r="K25" s="5">
        <v>0</v>
      </c>
      <c r="L25" s="5">
        <v>0</v>
      </c>
    </row>
    <row r="26" spans="1:12">
      <c r="A26" s="10" t="b">
        <f t="shared" si="0"/>
        <v>1</v>
      </c>
      <c r="B26" s="5" t="str">
        <f>+Hoja2!A25</f>
        <v>1.1.05.403</v>
      </c>
      <c r="C26" s="5" t="s">
        <v>59</v>
      </c>
      <c r="D26" s="3" t="s">
        <v>60</v>
      </c>
      <c r="E26" s="6">
        <v>36676834</v>
      </c>
      <c r="F26" s="6">
        <v>5880839</v>
      </c>
      <c r="G26" s="6">
        <v>30795995</v>
      </c>
      <c r="H26" s="5">
        <v>0</v>
      </c>
      <c r="I26" s="6">
        <v>30795995</v>
      </c>
      <c r="J26" s="5">
        <v>0</v>
      </c>
      <c r="K26" s="5">
        <v>0</v>
      </c>
      <c r="L26" s="5">
        <v>0</v>
      </c>
    </row>
    <row r="27" spans="1:12">
      <c r="A27" s="10" t="b">
        <f t="shared" si="0"/>
        <v>1</v>
      </c>
      <c r="B27" s="5" t="str">
        <f>+Hoja2!A26</f>
        <v>1.1.05.405</v>
      </c>
      <c r="C27" s="5" t="s">
        <v>61</v>
      </c>
      <c r="D27" s="3" t="s">
        <v>62</v>
      </c>
      <c r="E27" s="6">
        <v>91705591</v>
      </c>
      <c r="F27" s="6">
        <v>90820948</v>
      </c>
      <c r="G27" s="6">
        <v>884643</v>
      </c>
      <c r="H27" s="5">
        <v>0</v>
      </c>
      <c r="I27" s="6">
        <v>884643</v>
      </c>
      <c r="J27" s="5">
        <v>0</v>
      </c>
      <c r="K27" s="5">
        <v>0</v>
      </c>
      <c r="L27" s="5">
        <v>0</v>
      </c>
    </row>
    <row r="28" spans="1:12">
      <c r="A28" s="10" t="b">
        <f t="shared" si="0"/>
        <v>1</v>
      </c>
      <c r="B28" s="5" t="str">
        <f>+Hoja2!A27</f>
        <v>1.1.06.401</v>
      </c>
      <c r="C28" s="5" t="s">
        <v>63</v>
      </c>
      <c r="D28" s="3" t="s">
        <v>64</v>
      </c>
      <c r="E28" s="6">
        <v>1748739874</v>
      </c>
      <c r="F28" s="6">
        <v>140247755</v>
      </c>
      <c r="G28" s="6">
        <v>1608492119</v>
      </c>
      <c r="H28" s="5">
        <v>0</v>
      </c>
      <c r="I28" s="6">
        <v>1608492119</v>
      </c>
      <c r="J28" s="5">
        <v>0</v>
      </c>
      <c r="K28" s="5">
        <v>0</v>
      </c>
      <c r="L28" s="5">
        <v>0</v>
      </c>
    </row>
    <row r="29" spans="1:12">
      <c r="A29" s="10" t="b">
        <f t="shared" si="0"/>
        <v>1</v>
      </c>
      <c r="B29" s="5" t="str">
        <f>+Hoja2!A28</f>
        <v>1.1.06.801</v>
      </c>
      <c r="C29" s="5" t="s">
        <v>65</v>
      </c>
      <c r="D29" s="3" t="s">
        <v>66</v>
      </c>
      <c r="E29" s="6">
        <v>10845119</v>
      </c>
      <c r="F29" s="6">
        <v>10845119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>
      <c r="A30" s="10" t="b">
        <f t="shared" si="0"/>
        <v>1</v>
      </c>
      <c r="B30" s="5" t="str">
        <f>+Hoja2!A29</f>
        <v>1.1.06.802</v>
      </c>
      <c r="C30" s="5" t="s">
        <v>67</v>
      </c>
      <c r="D30" s="3" t="s">
        <v>68</v>
      </c>
      <c r="E30" s="6">
        <v>534894224</v>
      </c>
      <c r="F30" s="6">
        <v>319226794</v>
      </c>
      <c r="G30" s="6">
        <v>215667430</v>
      </c>
      <c r="H30" s="5">
        <v>0</v>
      </c>
      <c r="I30" s="6">
        <v>215667430</v>
      </c>
      <c r="J30" s="5">
        <v>0</v>
      </c>
      <c r="K30" s="5">
        <v>0</v>
      </c>
      <c r="L30" s="5">
        <v>0</v>
      </c>
    </row>
    <row r="31" spans="1:12">
      <c r="A31" s="10" t="b">
        <f t="shared" si="0"/>
        <v>1</v>
      </c>
      <c r="B31" s="5" t="str">
        <f>+Hoja2!A30</f>
        <v>1.1.09.101</v>
      </c>
      <c r="C31" s="5" t="s">
        <v>69</v>
      </c>
      <c r="D31" s="3" t="s">
        <v>70</v>
      </c>
      <c r="E31" s="6">
        <v>127018590</v>
      </c>
      <c r="F31" s="6">
        <v>127018590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>
      <c r="A32" s="10" t="b">
        <f t="shared" si="0"/>
        <v>1</v>
      </c>
      <c r="B32" s="5" t="str">
        <f>+Hoja2!A31</f>
        <v>1.1.09.103</v>
      </c>
      <c r="C32" s="5" t="s">
        <v>71</v>
      </c>
      <c r="D32" s="3" t="s">
        <v>72</v>
      </c>
      <c r="E32" s="6">
        <v>423005179</v>
      </c>
      <c r="F32" s="6">
        <v>65664239</v>
      </c>
      <c r="G32" s="6">
        <v>357340940</v>
      </c>
      <c r="H32" s="5">
        <v>0</v>
      </c>
      <c r="I32" s="6">
        <v>357340940</v>
      </c>
      <c r="J32" s="5">
        <v>0</v>
      </c>
      <c r="K32" s="5">
        <v>0</v>
      </c>
      <c r="L32" s="5">
        <v>0</v>
      </c>
    </row>
    <row r="33" spans="1:12">
      <c r="A33" s="10" t="b">
        <f t="shared" si="0"/>
        <v>1</v>
      </c>
      <c r="B33" s="5" t="str">
        <f>+Hoja2!A32</f>
        <v>1.2.02.101</v>
      </c>
      <c r="C33" s="5" t="s">
        <v>73</v>
      </c>
      <c r="D33" s="3" t="s">
        <v>74</v>
      </c>
      <c r="E33" s="6">
        <v>83146237</v>
      </c>
      <c r="F33" s="6">
        <v>25817865</v>
      </c>
      <c r="G33" s="6">
        <v>57328372</v>
      </c>
      <c r="H33" s="5">
        <v>0</v>
      </c>
      <c r="I33" s="6">
        <v>57328372</v>
      </c>
      <c r="J33" s="5">
        <v>0</v>
      </c>
      <c r="K33" s="5">
        <v>0</v>
      </c>
      <c r="L33" s="5">
        <v>0</v>
      </c>
    </row>
    <row r="34" spans="1:12">
      <c r="A34" s="10" t="b">
        <f t="shared" si="0"/>
        <v>1</v>
      </c>
      <c r="B34" s="5" t="str">
        <f>+Hoja2!A33</f>
        <v>1.2.02.401</v>
      </c>
      <c r="C34" s="5" t="s">
        <v>75</v>
      </c>
      <c r="D34" s="3" t="s">
        <v>76</v>
      </c>
      <c r="E34" s="6">
        <v>656828984</v>
      </c>
      <c r="F34" s="5">
        <v>0</v>
      </c>
      <c r="G34" s="6">
        <v>656828984</v>
      </c>
      <c r="H34" s="5">
        <v>0</v>
      </c>
      <c r="I34" s="6">
        <v>656828984</v>
      </c>
      <c r="J34" s="5">
        <v>0</v>
      </c>
      <c r="K34" s="5">
        <v>0</v>
      </c>
      <c r="L34" s="5">
        <v>0</v>
      </c>
    </row>
    <row r="35" spans="1:12">
      <c r="A35" s="10" t="b">
        <f t="shared" si="0"/>
        <v>1</v>
      </c>
      <c r="B35" s="5" t="str">
        <f>+Hoja2!A34</f>
        <v>1.2.02.402</v>
      </c>
      <c r="C35" s="5" t="s">
        <v>77</v>
      </c>
      <c r="D35" s="3" t="s">
        <v>78</v>
      </c>
      <c r="E35" s="6">
        <v>109578639</v>
      </c>
      <c r="F35" s="5">
        <v>0</v>
      </c>
      <c r="G35" s="6">
        <v>109578639</v>
      </c>
      <c r="H35" s="5">
        <v>0</v>
      </c>
      <c r="I35" s="6">
        <v>109578639</v>
      </c>
      <c r="J35" s="5">
        <v>0</v>
      </c>
      <c r="K35" s="5">
        <v>0</v>
      </c>
      <c r="L35" s="5">
        <v>0</v>
      </c>
    </row>
    <row r="36" spans="1:12">
      <c r="A36" s="10" t="b">
        <f t="shared" si="0"/>
        <v>1</v>
      </c>
      <c r="B36" s="5" t="str">
        <f>+Hoja2!A35</f>
        <v>1.2.02.405</v>
      </c>
      <c r="C36" s="5" t="s">
        <v>79</v>
      </c>
      <c r="D36" s="3" t="s">
        <v>80</v>
      </c>
      <c r="E36" s="6">
        <v>27748636</v>
      </c>
      <c r="F36" s="5">
        <v>0</v>
      </c>
      <c r="G36" s="6">
        <v>27748636</v>
      </c>
      <c r="H36" s="5">
        <v>0</v>
      </c>
      <c r="I36" s="6">
        <v>27748636</v>
      </c>
      <c r="J36" s="5">
        <v>0</v>
      </c>
      <c r="K36" s="5">
        <v>0</v>
      </c>
      <c r="L36" s="5">
        <v>0</v>
      </c>
    </row>
    <row r="37" spans="1:12">
      <c r="A37" s="10" t="b">
        <f t="shared" si="0"/>
        <v>1</v>
      </c>
      <c r="B37" s="5" t="str">
        <f>+Hoja2!A36</f>
        <v>1.2.02.904</v>
      </c>
      <c r="C37" s="5" t="s">
        <v>81</v>
      </c>
      <c r="D37" s="3" t="s">
        <v>82</v>
      </c>
      <c r="E37" s="5">
        <v>0</v>
      </c>
      <c r="F37" s="6">
        <v>210830802</v>
      </c>
      <c r="G37" s="5">
        <v>0</v>
      </c>
      <c r="H37" s="6">
        <v>210830802</v>
      </c>
      <c r="I37" s="5">
        <v>0</v>
      </c>
      <c r="J37" s="6">
        <v>210830802</v>
      </c>
      <c r="K37" s="5">
        <v>0</v>
      </c>
      <c r="L37" s="5">
        <v>0</v>
      </c>
    </row>
    <row r="38" spans="1:12">
      <c r="A38" s="10" t="b">
        <f t="shared" si="0"/>
        <v>1</v>
      </c>
      <c r="B38" s="5" t="str">
        <f>+Hoja2!A37</f>
        <v>1.2.02.905</v>
      </c>
      <c r="C38" s="5" t="s">
        <v>83</v>
      </c>
      <c r="D38" s="3" t="s">
        <v>84</v>
      </c>
      <c r="E38" s="5">
        <v>0</v>
      </c>
      <c r="F38" s="6">
        <v>36686284</v>
      </c>
      <c r="G38" s="5">
        <v>0</v>
      </c>
      <c r="H38" s="6">
        <v>36686284</v>
      </c>
      <c r="I38" s="5">
        <v>0</v>
      </c>
      <c r="J38" s="6">
        <v>36686284</v>
      </c>
      <c r="K38" s="5">
        <v>0</v>
      </c>
      <c r="L38" s="5">
        <v>0</v>
      </c>
    </row>
    <row r="39" spans="1:12">
      <c r="A39" s="10" t="b">
        <f t="shared" si="0"/>
        <v>1</v>
      </c>
      <c r="B39" s="5" t="str">
        <f>+Hoja2!A38</f>
        <v>2.1.01.203</v>
      </c>
      <c r="C39" s="5" t="s">
        <v>85</v>
      </c>
      <c r="D39" s="3" t="s">
        <v>86</v>
      </c>
      <c r="E39" s="6">
        <v>7125750</v>
      </c>
      <c r="F39" s="6">
        <v>153794472</v>
      </c>
      <c r="G39" s="5">
        <v>0</v>
      </c>
      <c r="H39" s="6">
        <v>146668722</v>
      </c>
      <c r="I39" s="5">
        <v>0</v>
      </c>
      <c r="J39" s="6">
        <v>146668722</v>
      </c>
      <c r="K39" s="5">
        <v>0</v>
      </c>
      <c r="L39" s="5">
        <v>0</v>
      </c>
    </row>
    <row r="40" spans="1:12">
      <c r="A40" s="10" t="b">
        <f t="shared" si="0"/>
        <v>1</v>
      </c>
      <c r="B40" s="5" t="str">
        <f>+Hoja2!A39</f>
        <v>2.1.01.204</v>
      </c>
      <c r="C40" s="5" t="s">
        <v>87</v>
      </c>
      <c r="D40" s="3" t="s">
        <v>88</v>
      </c>
      <c r="E40" s="6">
        <v>513807</v>
      </c>
      <c r="F40" s="6">
        <v>5382695</v>
      </c>
      <c r="G40" s="5">
        <v>0</v>
      </c>
      <c r="H40" s="6">
        <v>4868888</v>
      </c>
      <c r="I40" s="5">
        <v>0</v>
      </c>
      <c r="J40" s="6">
        <v>4868888</v>
      </c>
      <c r="K40" s="5">
        <v>0</v>
      </c>
      <c r="L40" s="5">
        <v>0</v>
      </c>
    </row>
    <row r="41" spans="1:12">
      <c r="A41" s="10" t="b">
        <f t="shared" si="0"/>
        <v>1</v>
      </c>
      <c r="B41" s="5" t="str">
        <f>+Hoja2!A40</f>
        <v>2.1.01.601</v>
      </c>
      <c r="C41" s="5" t="s">
        <v>89</v>
      </c>
      <c r="D41" s="3" t="s">
        <v>90</v>
      </c>
      <c r="E41" s="6">
        <v>4654339</v>
      </c>
      <c r="F41" s="6">
        <v>4083503</v>
      </c>
      <c r="G41" s="6">
        <v>570836</v>
      </c>
      <c r="H41" s="5">
        <v>0</v>
      </c>
      <c r="I41" s="6">
        <v>570836</v>
      </c>
      <c r="J41" s="5">
        <v>0</v>
      </c>
      <c r="K41" s="5">
        <v>0</v>
      </c>
      <c r="L41" s="5">
        <v>0</v>
      </c>
    </row>
    <row r="42" spans="1:12">
      <c r="A42" s="10" t="b">
        <f t="shared" si="0"/>
        <v>1</v>
      </c>
      <c r="B42" s="5" t="str">
        <f>+Hoja2!A41</f>
        <v>2.1.02.102</v>
      </c>
      <c r="C42" s="5" t="s">
        <v>91</v>
      </c>
      <c r="D42" s="3" t="s">
        <v>92</v>
      </c>
      <c r="E42" s="6">
        <v>965676666</v>
      </c>
      <c r="F42" s="6">
        <v>2200581245</v>
      </c>
      <c r="G42" s="5">
        <v>0</v>
      </c>
      <c r="H42" s="6">
        <v>1234904579</v>
      </c>
      <c r="I42" s="5">
        <v>0</v>
      </c>
      <c r="J42" s="6">
        <v>1234904579</v>
      </c>
      <c r="K42" s="5">
        <v>0</v>
      </c>
      <c r="L42" s="5">
        <v>0</v>
      </c>
    </row>
    <row r="43" spans="1:12">
      <c r="A43" s="10" t="b">
        <f t="shared" si="0"/>
        <v>1</v>
      </c>
      <c r="B43" s="5" t="str">
        <f>+Hoja2!A42</f>
        <v>2.1.02.103</v>
      </c>
      <c r="C43" s="5" t="s">
        <v>93</v>
      </c>
      <c r="D43" s="3" t="s">
        <v>94</v>
      </c>
      <c r="E43" s="6">
        <v>272939080</v>
      </c>
      <c r="F43" s="6">
        <v>289265126</v>
      </c>
      <c r="G43" s="5">
        <v>0</v>
      </c>
      <c r="H43" s="6">
        <v>16326046</v>
      </c>
      <c r="I43" s="5">
        <v>0</v>
      </c>
      <c r="J43" s="6">
        <v>16326046</v>
      </c>
      <c r="K43" s="5">
        <v>0</v>
      </c>
      <c r="L43" s="5">
        <v>0</v>
      </c>
    </row>
    <row r="44" spans="1:12">
      <c r="A44" s="10" t="b">
        <f t="shared" si="0"/>
        <v>1</v>
      </c>
      <c r="B44" s="5" t="str">
        <f>+Hoja2!A43</f>
        <v>2.1.02.401</v>
      </c>
      <c r="C44" s="5" t="s">
        <v>95</v>
      </c>
      <c r="D44" s="3" t="s">
        <v>96</v>
      </c>
      <c r="E44" s="6">
        <v>466593</v>
      </c>
      <c r="F44" s="6">
        <v>2014886</v>
      </c>
      <c r="G44" s="5">
        <v>0</v>
      </c>
      <c r="H44" s="6">
        <v>1548293</v>
      </c>
      <c r="I44" s="5">
        <v>0</v>
      </c>
      <c r="J44" s="6">
        <v>1548293</v>
      </c>
      <c r="K44" s="5">
        <v>0</v>
      </c>
      <c r="L44" s="5">
        <v>0</v>
      </c>
    </row>
    <row r="45" spans="1:12">
      <c r="A45" s="10" t="b">
        <f t="shared" si="0"/>
        <v>1</v>
      </c>
      <c r="B45" s="5" t="str">
        <f>+Hoja2!A44</f>
        <v>2.1.02.503</v>
      </c>
      <c r="C45" s="5" t="s">
        <v>97</v>
      </c>
      <c r="D45" s="3" t="s">
        <v>98</v>
      </c>
      <c r="E45" s="6">
        <v>20106416</v>
      </c>
      <c r="F45" s="6">
        <v>30063451</v>
      </c>
      <c r="G45" s="5">
        <v>0</v>
      </c>
      <c r="H45" s="6">
        <v>9957035</v>
      </c>
      <c r="I45" s="5">
        <v>0</v>
      </c>
      <c r="J45" s="6">
        <v>9957035</v>
      </c>
      <c r="K45" s="5">
        <v>0</v>
      </c>
      <c r="L45" s="5">
        <v>0</v>
      </c>
    </row>
    <row r="46" spans="1:12">
      <c r="A46" s="10" t="b">
        <f t="shared" si="0"/>
        <v>1</v>
      </c>
      <c r="B46" s="5" t="str">
        <f>+Hoja2!A45</f>
        <v>2.1.02.604</v>
      </c>
      <c r="C46" s="5" t="s">
        <v>99</v>
      </c>
      <c r="D46" s="3" t="s">
        <v>100</v>
      </c>
      <c r="E46" s="6">
        <v>1098646</v>
      </c>
      <c r="F46" s="6">
        <v>1361766</v>
      </c>
      <c r="G46" s="5">
        <v>0</v>
      </c>
      <c r="H46" s="6">
        <v>263120</v>
      </c>
      <c r="I46" s="5">
        <v>0</v>
      </c>
      <c r="J46" s="6">
        <v>263120</v>
      </c>
      <c r="K46" s="5">
        <v>0</v>
      </c>
      <c r="L46" s="5">
        <v>0</v>
      </c>
    </row>
    <row r="47" spans="1:12">
      <c r="A47" s="10" t="b">
        <f t="shared" si="0"/>
        <v>1</v>
      </c>
      <c r="B47" s="5" t="str">
        <f>+Hoja2!A46</f>
        <v>2.1.02.605</v>
      </c>
      <c r="C47" s="5" t="s">
        <v>101</v>
      </c>
      <c r="D47" s="3" t="s">
        <v>102</v>
      </c>
      <c r="E47" s="6">
        <v>52686928</v>
      </c>
      <c r="F47" s="6">
        <v>134174766</v>
      </c>
      <c r="G47" s="5">
        <v>0</v>
      </c>
      <c r="H47" s="6">
        <v>81487838</v>
      </c>
      <c r="I47" s="5">
        <v>0</v>
      </c>
      <c r="J47" s="6">
        <v>81487838</v>
      </c>
      <c r="K47" s="5">
        <v>0</v>
      </c>
      <c r="L47" s="5">
        <v>0</v>
      </c>
    </row>
    <row r="48" spans="1:12">
      <c r="A48" s="10" t="b">
        <f t="shared" si="0"/>
        <v>1</v>
      </c>
      <c r="B48" s="5" t="str">
        <f>+Hoja2!A47</f>
        <v>2.1.05.101</v>
      </c>
      <c r="C48" s="5" t="s">
        <v>103</v>
      </c>
      <c r="D48" s="3" t="s">
        <v>104</v>
      </c>
      <c r="E48" s="6">
        <v>2373539</v>
      </c>
      <c r="F48" s="6">
        <v>2373539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>
      <c r="A49" s="10" t="b">
        <f t="shared" si="0"/>
        <v>1</v>
      </c>
      <c r="B49" s="5" t="str">
        <f>+Hoja2!A48</f>
        <v>2.1.05.102</v>
      </c>
      <c r="C49" s="5" t="s">
        <v>105</v>
      </c>
      <c r="D49" s="3" t="s">
        <v>106</v>
      </c>
      <c r="E49" s="6">
        <v>230070</v>
      </c>
      <c r="F49" s="6">
        <v>230070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</row>
    <row r="50" spans="1:12">
      <c r="A50" s="10" t="b">
        <f t="shared" si="0"/>
        <v>1</v>
      </c>
      <c r="B50" s="5" t="str">
        <f>+Hoja2!A49</f>
        <v>2.1.05.103</v>
      </c>
      <c r="C50" s="5" t="s">
        <v>107</v>
      </c>
      <c r="D50" s="3" t="s">
        <v>108</v>
      </c>
      <c r="E50" s="6">
        <v>145138628</v>
      </c>
      <c r="F50" s="6">
        <v>145138628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</row>
    <row r="51" spans="1:12">
      <c r="A51" s="10" t="b">
        <f t="shared" si="0"/>
        <v>1</v>
      </c>
      <c r="B51" s="5" t="str">
        <f>+Hoja2!A50</f>
        <v>2.1.05.106</v>
      </c>
      <c r="C51" s="5" t="s">
        <v>109</v>
      </c>
      <c r="D51" s="3" t="s">
        <v>110</v>
      </c>
      <c r="E51" s="6">
        <v>3289310</v>
      </c>
      <c r="F51" s="6">
        <v>4248262</v>
      </c>
      <c r="G51" s="5">
        <v>0</v>
      </c>
      <c r="H51" s="6">
        <v>958952</v>
      </c>
      <c r="I51" s="5">
        <v>0</v>
      </c>
      <c r="J51" s="6">
        <v>958952</v>
      </c>
      <c r="K51" s="5">
        <v>0</v>
      </c>
      <c r="L51" s="5">
        <v>0</v>
      </c>
    </row>
    <row r="52" spans="1:12">
      <c r="A52" s="10" t="b">
        <f t="shared" si="0"/>
        <v>1</v>
      </c>
      <c r="B52" s="5" t="str">
        <f>+Hoja2!A51</f>
        <v>2.1.06.103</v>
      </c>
      <c r="C52" s="5" t="s">
        <v>111</v>
      </c>
      <c r="D52" s="3" t="s">
        <v>112</v>
      </c>
      <c r="E52" s="6">
        <v>62073342</v>
      </c>
      <c r="F52" s="6">
        <v>76200159</v>
      </c>
      <c r="G52" s="5">
        <v>0</v>
      </c>
      <c r="H52" s="6">
        <v>14126817</v>
      </c>
      <c r="I52" s="5">
        <v>0</v>
      </c>
      <c r="J52" s="6">
        <v>14126817</v>
      </c>
      <c r="K52" s="5">
        <v>0</v>
      </c>
      <c r="L52" s="5">
        <v>0</v>
      </c>
    </row>
    <row r="53" spans="1:12">
      <c r="A53" s="10" t="b">
        <f t="shared" si="0"/>
        <v>1</v>
      </c>
      <c r="B53" s="5" t="str">
        <f>+Hoja2!A52</f>
        <v>2.3.01.101</v>
      </c>
      <c r="C53" s="5" t="s">
        <v>113</v>
      </c>
      <c r="D53" s="3" t="s">
        <v>114</v>
      </c>
      <c r="E53" s="5">
        <v>0</v>
      </c>
      <c r="F53" s="6">
        <v>5770668867</v>
      </c>
      <c r="G53" s="5">
        <v>0</v>
      </c>
      <c r="H53" s="6">
        <v>5770668867</v>
      </c>
      <c r="I53" s="5">
        <v>0</v>
      </c>
      <c r="J53" s="6">
        <v>5770668867</v>
      </c>
      <c r="K53" s="5">
        <v>0</v>
      </c>
      <c r="L53" s="5">
        <v>0</v>
      </c>
    </row>
    <row r="54" spans="1:12">
      <c r="A54" s="10" t="b">
        <f t="shared" si="0"/>
        <v>1</v>
      </c>
      <c r="B54" s="5" t="str">
        <f>+Hoja2!A53</f>
        <v>2.3.02.101</v>
      </c>
      <c r="C54" s="5" t="s">
        <v>115</v>
      </c>
      <c r="D54" s="3" t="s">
        <v>116</v>
      </c>
      <c r="E54" s="6">
        <v>3142106839</v>
      </c>
      <c r="F54" s="5">
        <v>0</v>
      </c>
      <c r="G54" s="6">
        <v>3142106839</v>
      </c>
      <c r="H54" s="5">
        <v>0</v>
      </c>
      <c r="I54" s="6">
        <v>3142106839</v>
      </c>
      <c r="J54" s="5">
        <v>0</v>
      </c>
      <c r="K54" s="5">
        <v>0</v>
      </c>
      <c r="L54" s="5">
        <v>0</v>
      </c>
    </row>
    <row r="55" spans="1:12">
      <c r="A55" s="10" t="b">
        <f t="shared" si="0"/>
        <v>1</v>
      </c>
      <c r="B55" s="5" t="str">
        <f>+Hoja2!A54</f>
        <v>3.1.01.103</v>
      </c>
      <c r="C55" s="5" t="s">
        <v>223</v>
      </c>
      <c r="D55" s="3" t="s">
        <v>224</v>
      </c>
      <c r="E55" s="6">
        <v>14544984</v>
      </c>
      <c r="F55" s="6">
        <v>261159276</v>
      </c>
      <c r="G55" s="5">
        <v>0</v>
      </c>
      <c r="H55" s="6">
        <v>246614292</v>
      </c>
      <c r="I55" s="5">
        <v>0</v>
      </c>
      <c r="J55" s="5">
        <v>0</v>
      </c>
      <c r="K55" s="5">
        <v>0</v>
      </c>
      <c r="L55" s="6">
        <v>246614292</v>
      </c>
    </row>
    <row r="56" spans="1:12">
      <c r="A56" s="10" t="b">
        <f t="shared" si="0"/>
        <v>1</v>
      </c>
      <c r="B56" s="5" t="str">
        <f>+Hoja2!A55</f>
        <v>3.1.01.300</v>
      </c>
      <c r="C56" s="5" t="s">
        <v>225</v>
      </c>
      <c r="D56" s="3" t="s">
        <v>226</v>
      </c>
      <c r="E56" s="5">
        <v>0</v>
      </c>
      <c r="F56" s="6">
        <v>3751074</v>
      </c>
      <c r="G56" s="5">
        <v>0</v>
      </c>
      <c r="H56" s="6">
        <v>3751074</v>
      </c>
      <c r="I56" s="5">
        <v>0</v>
      </c>
      <c r="J56" s="5">
        <v>0</v>
      </c>
      <c r="K56" s="5">
        <v>0</v>
      </c>
      <c r="L56" s="6">
        <v>3751074</v>
      </c>
    </row>
    <row r="57" spans="1:12">
      <c r="A57" s="10" t="b">
        <f t="shared" si="0"/>
        <v>1</v>
      </c>
      <c r="B57" s="5" t="str">
        <f>+Hoja2!A56</f>
        <v>3.1.02.101</v>
      </c>
      <c r="C57" s="5" t="s">
        <v>117</v>
      </c>
      <c r="D57" s="3" t="s">
        <v>118</v>
      </c>
      <c r="E57" s="6">
        <v>140247843</v>
      </c>
      <c r="F57" s="6">
        <v>5408771</v>
      </c>
      <c r="G57" s="6">
        <v>134839072</v>
      </c>
      <c r="H57" s="5">
        <v>0</v>
      </c>
      <c r="I57" s="5">
        <v>0</v>
      </c>
      <c r="J57" s="5">
        <v>0</v>
      </c>
      <c r="K57" s="6">
        <v>134839072</v>
      </c>
      <c r="L57" s="5">
        <v>0</v>
      </c>
    </row>
    <row r="58" spans="1:12">
      <c r="A58" s="10" t="b">
        <f t="shared" si="0"/>
        <v>1</v>
      </c>
      <c r="B58" s="5" t="str">
        <f>+Hoja2!A57</f>
        <v>3.1.02.102</v>
      </c>
      <c r="C58" s="5" t="s">
        <v>119</v>
      </c>
      <c r="D58" s="3" t="s">
        <v>120</v>
      </c>
      <c r="E58" s="6">
        <v>4308135</v>
      </c>
      <c r="F58" s="6">
        <v>2467680</v>
      </c>
      <c r="G58" s="6">
        <v>1840455</v>
      </c>
      <c r="H58" s="5">
        <v>0</v>
      </c>
      <c r="I58" s="5">
        <v>0</v>
      </c>
      <c r="J58" s="5">
        <v>0</v>
      </c>
      <c r="K58" s="6">
        <v>1840455</v>
      </c>
      <c r="L58" s="5">
        <v>0</v>
      </c>
    </row>
    <row r="59" spans="1:12">
      <c r="A59" s="10" t="b">
        <f t="shared" si="0"/>
        <v>1</v>
      </c>
      <c r="B59" s="5" t="str">
        <f>+Hoja2!A58</f>
        <v>3.1.02.104</v>
      </c>
      <c r="C59" s="5" t="s">
        <v>121</v>
      </c>
      <c r="D59" s="3" t="s">
        <v>122</v>
      </c>
      <c r="E59" s="6">
        <v>3006169</v>
      </c>
      <c r="F59" s="6">
        <v>306345</v>
      </c>
      <c r="G59" s="6">
        <v>2699824</v>
      </c>
      <c r="H59" s="5">
        <v>0</v>
      </c>
      <c r="I59" s="5">
        <v>0</v>
      </c>
      <c r="J59" s="5">
        <v>0</v>
      </c>
      <c r="K59" s="6">
        <v>2699824</v>
      </c>
      <c r="L59" s="5">
        <v>0</v>
      </c>
    </row>
    <row r="60" spans="1:12">
      <c r="A60" s="10" t="b">
        <f t="shared" si="0"/>
        <v>1</v>
      </c>
      <c r="B60" s="5" t="str">
        <f>+Hoja2!A59</f>
        <v>3.1.02.105</v>
      </c>
      <c r="C60" s="5" t="s">
        <v>123</v>
      </c>
      <c r="D60" s="3" t="s">
        <v>124</v>
      </c>
      <c r="E60" s="6">
        <v>9636092</v>
      </c>
      <c r="F60" s="6">
        <v>8836045</v>
      </c>
      <c r="G60" s="6">
        <v>800047</v>
      </c>
      <c r="H60" s="5">
        <v>0</v>
      </c>
      <c r="I60" s="5">
        <v>0</v>
      </c>
      <c r="J60" s="5">
        <v>0</v>
      </c>
      <c r="K60" s="6">
        <v>800047</v>
      </c>
      <c r="L60" s="5">
        <v>0</v>
      </c>
    </row>
    <row r="61" spans="1:12">
      <c r="A61" s="10" t="b">
        <f t="shared" si="0"/>
        <v>1</v>
      </c>
      <c r="B61" s="5" t="str">
        <f>+Hoja2!A60</f>
        <v>3.1.02.108</v>
      </c>
      <c r="C61" s="5" t="s">
        <v>125</v>
      </c>
      <c r="D61" s="3" t="s">
        <v>126</v>
      </c>
      <c r="E61" s="6">
        <v>1984340</v>
      </c>
      <c r="F61" s="6">
        <v>8318</v>
      </c>
      <c r="G61" s="6">
        <v>1976022</v>
      </c>
      <c r="H61" s="5">
        <v>0</v>
      </c>
      <c r="I61" s="5">
        <v>0</v>
      </c>
      <c r="J61" s="5">
        <v>0</v>
      </c>
      <c r="K61" s="6">
        <v>1976022</v>
      </c>
      <c r="L61" s="5">
        <v>0</v>
      </c>
    </row>
    <row r="62" spans="1:12">
      <c r="A62" s="10" t="b">
        <f t="shared" si="0"/>
        <v>1</v>
      </c>
      <c r="B62" s="5" t="str">
        <f>+Hoja2!A61</f>
        <v>3.1.02.109</v>
      </c>
      <c r="C62" s="5" t="s">
        <v>127</v>
      </c>
      <c r="D62" s="3" t="s">
        <v>128</v>
      </c>
      <c r="E62" s="6">
        <v>44990</v>
      </c>
      <c r="F62" s="5">
        <v>0</v>
      </c>
      <c r="G62" s="6">
        <v>44990</v>
      </c>
      <c r="H62" s="5">
        <v>0</v>
      </c>
      <c r="I62" s="5">
        <v>0</v>
      </c>
      <c r="J62" s="5">
        <v>0</v>
      </c>
      <c r="K62" s="6">
        <v>44990</v>
      </c>
      <c r="L62" s="5">
        <v>0</v>
      </c>
    </row>
    <row r="63" spans="1:12">
      <c r="A63" s="10" t="b">
        <f t="shared" si="0"/>
        <v>1</v>
      </c>
      <c r="B63" s="5" t="str">
        <f>+Hoja2!A62</f>
        <v>3.1.02.110</v>
      </c>
      <c r="C63" s="5" t="s">
        <v>129</v>
      </c>
      <c r="D63" s="3" t="s">
        <v>130</v>
      </c>
      <c r="E63" s="6">
        <v>46507</v>
      </c>
      <c r="F63" s="5">
        <v>0</v>
      </c>
      <c r="G63" s="6">
        <v>46507</v>
      </c>
      <c r="H63" s="5">
        <v>0</v>
      </c>
      <c r="I63" s="5">
        <v>0</v>
      </c>
      <c r="J63" s="5">
        <v>0</v>
      </c>
      <c r="K63" s="6">
        <v>46507</v>
      </c>
      <c r="L63" s="5">
        <v>0</v>
      </c>
    </row>
    <row r="64" spans="1:12">
      <c r="A64" s="10" t="b">
        <f t="shared" si="0"/>
        <v>1</v>
      </c>
      <c r="B64" s="5" t="str">
        <f>+Hoja2!A63</f>
        <v>3.1.05.101</v>
      </c>
      <c r="C64" s="5" t="s">
        <v>131</v>
      </c>
      <c r="D64" s="3" t="s">
        <v>132</v>
      </c>
      <c r="E64" s="6">
        <v>62966456</v>
      </c>
      <c r="F64" s="6">
        <v>17849305</v>
      </c>
      <c r="G64" s="6">
        <v>45117151</v>
      </c>
      <c r="H64" s="5">
        <v>0</v>
      </c>
      <c r="I64" s="5">
        <v>0</v>
      </c>
      <c r="J64" s="5">
        <v>0</v>
      </c>
      <c r="K64" s="6">
        <v>45117151</v>
      </c>
      <c r="L64" s="5">
        <v>0</v>
      </c>
    </row>
    <row r="65" spans="1:12">
      <c r="A65" s="10" t="b">
        <f t="shared" si="0"/>
        <v>1</v>
      </c>
      <c r="B65" s="5" t="str">
        <f>+Hoja2!A64</f>
        <v>3.1.05.102</v>
      </c>
      <c r="C65" s="5" t="s">
        <v>133</v>
      </c>
      <c r="D65" s="3" t="s">
        <v>134</v>
      </c>
      <c r="E65" s="6">
        <v>3506290</v>
      </c>
      <c r="F65" s="5">
        <v>0</v>
      </c>
      <c r="G65" s="6">
        <v>3506290</v>
      </c>
      <c r="H65" s="5">
        <v>0</v>
      </c>
      <c r="I65" s="5">
        <v>0</v>
      </c>
      <c r="J65" s="5">
        <v>0</v>
      </c>
      <c r="K65" s="6">
        <v>3506290</v>
      </c>
      <c r="L65" s="5">
        <v>0</v>
      </c>
    </row>
    <row r="66" spans="1:12">
      <c r="A66" s="10" t="b">
        <f t="shared" ref="A66:A109" si="1">EXACT(C66,B66)</f>
        <v>1</v>
      </c>
      <c r="B66" s="5" t="str">
        <f>+Hoja2!A65</f>
        <v>3.1.05.103</v>
      </c>
      <c r="C66" s="5" t="s">
        <v>135</v>
      </c>
      <c r="D66" s="3" t="s">
        <v>136</v>
      </c>
      <c r="E66" s="6">
        <v>2100346</v>
      </c>
      <c r="F66" s="6">
        <v>445263</v>
      </c>
      <c r="G66" s="6">
        <v>1655083</v>
      </c>
      <c r="H66" s="5">
        <v>0</v>
      </c>
      <c r="I66" s="5">
        <v>0</v>
      </c>
      <c r="J66" s="5">
        <v>0</v>
      </c>
      <c r="K66" s="6">
        <v>1655083</v>
      </c>
      <c r="L66" s="5">
        <v>0</v>
      </c>
    </row>
    <row r="67" spans="1:12">
      <c r="A67" s="10" t="b">
        <f t="shared" si="1"/>
        <v>1</v>
      </c>
      <c r="B67" s="5" t="str">
        <f>+Hoja2!A66</f>
        <v>3.1.05.104</v>
      </c>
      <c r="C67" s="5" t="s">
        <v>137</v>
      </c>
      <c r="D67" s="3" t="s">
        <v>138</v>
      </c>
      <c r="E67" s="6">
        <v>12533440</v>
      </c>
      <c r="F67" s="6">
        <v>1949288</v>
      </c>
      <c r="G67" s="6">
        <v>10584152</v>
      </c>
      <c r="H67" s="5">
        <v>0</v>
      </c>
      <c r="I67" s="5">
        <v>0</v>
      </c>
      <c r="J67" s="5">
        <v>0</v>
      </c>
      <c r="K67" s="6">
        <v>10584152</v>
      </c>
      <c r="L67" s="5">
        <v>0</v>
      </c>
    </row>
    <row r="68" spans="1:12">
      <c r="A68" s="10" t="b">
        <f t="shared" si="1"/>
        <v>1</v>
      </c>
      <c r="B68" s="5" t="str">
        <f>+Hoja2!A67</f>
        <v>3.1.05.107</v>
      </c>
      <c r="C68" s="5" t="s">
        <v>139</v>
      </c>
      <c r="D68" s="3" t="s">
        <v>140</v>
      </c>
      <c r="E68" s="6">
        <v>4000</v>
      </c>
      <c r="F68" s="5">
        <v>0</v>
      </c>
      <c r="G68" s="6">
        <v>4000</v>
      </c>
      <c r="H68" s="5">
        <v>0</v>
      </c>
      <c r="I68" s="5">
        <v>0</v>
      </c>
      <c r="J68" s="5">
        <v>0</v>
      </c>
      <c r="K68" s="6">
        <v>4000</v>
      </c>
      <c r="L68" s="5">
        <v>0</v>
      </c>
    </row>
    <row r="69" spans="1:12">
      <c r="A69" s="10" t="b">
        <f t="shared" si="1"/>
        <v>1</v>
      </c>
      <c r="B69" s="5" t="str">
        <f>+Hoja2!A68</f>
        <v>3.1.05.110</v>
      </c>
      <c r="C69" s="5" t="s">
        <v>141</v>
      </c>
      <c r="D69" s="3" t="s">
        <v>142</v>
      </c>
      <c r="E69" s="6">
        <v>756003</v>
      </c>
      <c r="F69" s="6">
        <v>155849</v>
      </c>
      <c r="G69" s="6">
        <v>600154</v>
      </c>
      <c r="H69" s="5">
        <v>0</v>
      </c>
      <c r="I69" s="5">
        <v>0</v>
      </c>
      <c r="J69" s="5">
        <v>0</v>
      </c>
      <c r="K69" s="6">
        <v>600154</v>
      </c>
      <c r="L69" s="5">
        <v>0</v>
      </c>
    </row>
    <row r="70" spans="1:12">
      <c r="A70" s="10" t="b">
        <f t="shared" si="1"/>
        <v>1</v>
      </c>
      <c r="B70" s="5" t="str">
        <f>+Hoja2!A69</f>
        <v>3.1.05.111</v>
      </c>
      <c r="C70" s="5" t="s">
        <v>143</v>
      </c>
      <c r="D70" s="3" t="s">
        <v>144</v>
      </c>
      <c r="E70" s="6">
        <v>1270552</v>
      </c>
      <c r="F70" s="6">
        <v>258071</v>
      </c>
      <c r="G70" s="6">
        <v>1012481</v>
      </c>
      <c r="H70" s="5">
        <v>0</v>
      </c>
      <c r="I70" s="5">
        <v>0</v>
      </c>
      <c r="J70" s="5">
        <v>0</v>
      </c>
      <c r="K70" s="6">
        <v>1012481</v>
      </c>
      <c r="L70" s="5">
        <v>0</v>
      </c>
    </row>
    <row r="71" spans="1:12">
      <c r="A71" s="10" t="b">
        <f t="shared" si="1"/>
        <v>1</v>
      </c>
      <c r="B71" s="5" t="str">
        <f>+Hoja2!A70</f>
        <v>3.1.05.112</v>
      </c>
      <c r="C71" s="5" t="s">
        <v>145</v>
      </c>
      <c r="D71" s="3" t="s">
        <v>146</v>
      </c>
      <c r="E71" s="6">
        <v>81254</v>
      </c>
      <c r="F71" s="6">
        <v>16759</v>
      </c>
      <c r="G71" s="6">
        <v>64495</v>
      </c>
      <c r="H71" s="5">
        <v>0</v>
      </c>
      <c r="I71" s="5">
        <v>0</v>
      </c>
      <c r="J71" s="5">
        <v>0</v>
      </c>
      <c r="K71" s="6">
        <v>64495</v>
      </c>
      <c r="L71" s="5">
        <v>0</v>
      </c>
    </row>
    <row r="72" spans="1:12">
      <c r="A72" s="10" t="b">
        <f t="shared" si="1"/>
        <v>1</v>
      </c>
      <c r="B72" s="5" t="str">
        <f>+Hoja2!A71</f>
        <v>3.1.05.113</v>
      </c>
      <c r="C72" s="5" t="s">
        <v>147</v>
      </c>
      <c r="D72" s="3" t="s">
        <v>148</v>
      </c>
      <c r="E72" s="6">
        <v>742542</v>
      </c>
      <c r="F72" s="6">
        <v>150824</v>
      </c>
      <c r="G72" s="6">
        <v>591718</v>
      </c>
      <c r="H72" s="5">
        <v>0</v>
      </c>
      <c r="I72" s="5">
        <v>0</v>
      </c>
      <c r="J72" s="5">
        <v>0</v>
      </c>
      <c r="K72" s="6">
        <v>591718</v>
      </c>
      <c r="L72" s="5">
        <v>0</v>
      </c>
    </row>
    <row r="73" spans="1:12">
      <c r="A73" s="10" t="b">
        <f t="shared" si="1"/>
        <v>1</v>
      </c>
      <c r="B73" s="5" t="str">
        <f>+Hoja2!A72</f>
        <v>3.1.05.117</v>
      </c>
      <c r="C73" s="5" t="s">
        <v>149</v>
      </c>
      <c r="D73" s="3" t="s">
        <v>150</v>
      </c>
      <c r="E73" s="6">
        <v>756324</v>
      </c>
      <c r="F73" s="5">
        <v>0</v>
      </c>
      <c r="G73" s="6">
        <v>756324</v>
      </c>
      <c r="H73" s="5">
        <v>0</v>
      </c>
      <c r="I73" s="5">
        <v>0</v>
      </c>
      <c r="J73" s="5">
        <v>0</v>
      </c>
      <c r="K73" s="6">
        <v>756324</v>
      </c>
      <c r="L73" s="5">
        <v>0</v>
      </c>
    </row>
    <row r="74" spans="1:12">
      <c r="A74" s="10" t="b">
        <f t="shared" si="1"/>
        <v>1</v>
      </c>
      <c r="B74" s="5" t="str">
        <f>+Hoja2!A73</f>
        <v>3.1.05.121</v>
      </c>
      <c r="C74" s="5" t="s">
        <v>151</v>
      </c>
      <c r="D74" s="3" t="s">
        <v>152</v>
      </c>
      <c r="E74" s="6">
        <v>1447552</v>
      </c>
      <c r="F74" s="5">
        <v>0</v>
      </c>
      <c r="G74" s="6">
        <v>1447552</v>
      </c>
      <c r="H74" s="5">
        <v>0</v>
      </c>
      <c r="I74" s="5">
        <v>0</v>
      </c>
      <c r="J74" s="5">
        <v>0</v>
      </c>
      <c r="K74" s="6">
        <v>1447552</v>
      </c>
      <c r="L74" s="5">
        <v>0</v>
      </c>
    </row>
    <row r="75" spans="1:12">
      <c r="A75" s="10" t="b">
        <f t="shared" si="1"/>
        <v>1</v>
      </c>
      <c r="B75" s="5" t="str">
        <f>+Hoja2!A74</f>
        <v>3.1.05.122</v>
      </c>
      <c r="C75" s="5" t="s">
        <v>153</v>
      </c>
      <c r="D75" s="3" t="s">
        <v>154</v>
      </c>
      <c r="E75" s="6">
        <v>6445321</v>
      </c>
      <c r="F75" s="5">
        <v>0</v>
      </c>
      <c r="G75" s="6">
        <v>6445321</v>
      </c>
      <c r="H75" s="5">
        <v>0</v>
      </c>
      <c r="I75" s="5">
        <v>0</v>
      </c>
      <c r="J75" s="5">
        <v>0</v>
      </c>
      <c r="K75" s="6">
        <v>6445321</v>
      </c>
      <c r="L75" s="5">
        <v>0</v>
      </c>
    </row>
    <row r="76" spans="1:12">
      <c r="A76" s="10" t="b">
        <f t="shared" si="1"/>
        <v>1</v>
      </c>
      <c r="B76" s="5" t="str">
        <f>+Hoja2!A75</f>
        <v>3.1.06.108</v>
      </c>
      <c r="C76" s="5" t="s">
        <v>155</v>
      </c>
      <c r="D76" s="3" t="s">
        <v>156</v>
      </c>
      <c r="E76" s="6">
        <v>3136500</v>
      </c>
      <c r="F76" s="6">
        <v>810000</v>
      </c>
      <c r="G76" s="6">
        <v>2326500</v>
      </c>
      <c r="H76" s="5">
        <v>0</v>
      </c>
      <c r="I76" s="5">
        <v>0</v>
      </c>
      <c r="J76" s="5">
        <v>0</v>
      </c>
      <c r="K76" s="6">
        <v>2326500</v>
      </c>
      <c r="L76" s="5">
        <v>0</v>
      </c>
    </row>
    <row r="77" spans="1:12">
      <c r="A77" s="10" t="b">
        <f t="shared" si="1"/>
        <v>1</v>
      </c>
      <c r="B77" s="5" t="str">
        <f>+Hoja2!A76</f>
        <v>3.1.06.109</v>
      </c>
      <c r="C77" s="5" t="s">
        <v>157</v>
      </c>
      <c r="D77" s="3" t="s">
        <v>158</v>
      </c>
      <c r="E77" s="6">
        <v>3136500</v>
      </c>
      <c r="F77" s="6">
        <v>810000</v>
      </c>
      <c r="G77" s="6">
        <v>2326500</v>
      </c>
      <c r="H77" s="5">
        <v>0</v>
      </c>
      <c r="I77" s="5">
        <v>0</v>
      </c>
      <c r="J77" s="5">
        <v>0</v>
      </c>
      <c r="K77" s="6">
        <v>2326500</v>
      </c>
      <c r="L77" s="5">
        <v>0</v>
      </c>
    </row>
    <row r="78" spans="1:12">
      <c r="A78" s="10" t="b">
        <f t="shared" si="1"/>
        <v>1</v>
      </c>
      <c r="B78" s="5" t="str">
        <f>+Hoja2!A77</f>
        <v>3.1.06.116</v>
      </c>
      <c r="C78" s="5" t="s">
        <v>159</v>
      </c>
      <c r="D78" s="3" t="s">
        <v>160</v>
      </c>
      <c r="E78" s="6">
        <v>257471</v>
      </c>
      <c r="F78" s="6">
        <v>1395860</v>
      </c>
      <c r="G78" s="5">
        <v>0</v>
      </c>
      <c r="H78" s="6">
        <v>1138389</v>
      </c>
      <c r="I78" s="5">
        <v>0</v>
      </c>
      <c r="J78" s="5">
        <v>0</v>
      </c>
      <c r="K78" s="5">
        <v>0</v>
      </c>
      <c r="L78" s="6">
        <v>1138389</v>
      </c>
    </row>
    <row r="79" spans="1:12">
      <c r="A79" s="10" t="b">
        <f t="shared" si="1"/>
        <v>1</v>
      </c>
      <c r="B79" s="5" t="str">
        <f>+Hoja2!A78</f>
        <v>3.1.06.201</v>
      </c>
      <c r="C79" s="5" t="s">
        <v>161</v>
      </c>
      <c r="D79" s="3" t="s">
        <v>162</v>
      </c>
      <c r="E79" s="6">
        <v>505000</v>
      </c>
      <c r="F79" s="5">
        <v>0</v>
      </c>
      <c r="G79" s="6">
        <v>505000</v>
      </c>
      <c r="H79" s="5">
        <v>0</v>
      </c>
      <c r="I79" s="5">
        <v>0</v>
      </c>
      <c r="J79" s="5">
        <v>0</v>
      </c>
      <c r="K79" s="6">
        <v>505000</v>
      </c>
      <c r="L79" s="5">
        <v>0</v>
      </c>
    </row>
    <row r="80" spans="1:12">
      <c r="A80" s="10" t="b">
        <f t="shared" si="1"/>
        <v>1</v>
      </c>
      <c r="B80" s="5" t="str">
        <f>+Hoja2!A79</f>
        <v>3.1.06.206</v>
      </c>
      <c r="C80" s="5" t="s">
        <v>163</v>
      </c>
      <c r="D80" s="3" t="s">
        <v>164</v>
      </c>
      <c r="E80" s="6">
        <v>6995194</v>
      </c>
      <c r="F80" s="6">
        <v>3893716</v>
      </c>
      <c r="G80" s="6">
        <v>3101478</v>
      </c>
      <c r="H80" s="5">
        <v>0</v>
      </c>
      <c r="I80" s="5">
        <v>0</v>
      </c>
      <c r="J80" s="5">
        <v>0</v>
      </c>
      <c r="K80" s="6">
        <v>3101478</v>
      </c>
      <c r="L80" s="5">
        <v>0</v>
      </c>
    </row>
    <row r="81" spans="1:12">
      <c r="A81" s="10" t="b">
        <f t="shared" si="1"/>
        <v>1</v>
      </c>
      <c r="B81" s="5" t="str">
        <f>+Hoja2!A80</f>
        <v>3.1.06.209</v>
      </c>
      <c r="C81" s="5" t="s">
        <v>165</v>
      </c>
      <c r="D81" s="3" t="s">
        <v>166</v>
      </c>
      <c r="E81" s="6">
        <v>179571</v>
      </c>
      <c r="F81" s="6">
        <v>179571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</row>
    <row r="82" spans="1:12">
      <c r="A82" s="10" t="b">
        <f t="shared" si="1"/>
        <v>1</v>
      </c>
      <c r="B82" s="5" t="str">
        <f>+Hoja2!A81</f>
        <v>3.1.06.301</v>
      </c>
      <c r="C82" s="5" t="s">
        <v>167</v>
      </c>
      <c r="D82" s="3" t="s">
        <v>168</v>
      </c>
      <c r="E82" s="6">
        <v>77626062</v>
      </c>
      <c r="F82" s="6">
        <v>5128166</v>
      </c>
      <c r="G82" s="6">
        <v>72497896</v>
      </c>
      <c r="H82" s="5">
        <v>0</v>
      </c>
      <c r="I82" s="5">
        <v>0</v>
      </c>
      <c r="J82" s="5">
        <v>0</v>
      </c>
      <c r="K82" s="6">
        <v>72497896</v>
      </c>
      <c r="L82" s="5">
        <v>0</v>
      </c>
    </row>
    <row r="83" spans="1:12">
      <c r="A83" s="10" t="b">
        <f t="shared" si="1"/>
        <v>1</v>
      </c>
      <c r="B83" s="5" t="str">
        <f>+Hoja2!A82</f>
        <v>3.1.06.302</v>
      </c>
      <c r="C83" s="5" t="s">
        <v>169</v>
      </c>
      <c r="D83" s="3" t="s">
        <v>170</v>
      </c>
      <c r="E83" s="6">
        <v>3126087</v>
      </c>
      <c r="F83" s="5">
        <v>0</v>
      </c>
      <c r="G83" s="6">
        <v>3126087</v>
      </c>
      <c r="H83" s="5">
        <v>0</v>
      </c>
      <c r="I83" s="5">
        <v>0</v>
      </c>
      <c r="J83" s="5">
        <v>0</v>
      </c>
      <c r="K83" s="6">
        <v>3126087</v>
      </c>
      <c r="L83" s="5">
        <v>0</v>
      </c>
    </row>
    <row r="84" spans="1:12">
      <c r="A84" s="10" t="b">
        <f t="shared" si="1"/>
        <v>1</v>
      </c>
      <c r="B84" s="5" t="str">
        <f>+Hoja2!A83</f>
        <v>3.1.06.305</v>
      </c>
      <c r="C84" s="5" t="s">
        <v>171</v>
      </c>
      <c r="D84" s="3" t="s">
        <v>172</v>
      </c>
      <c r="E84" s="6">
        <v>894169</v>
      </c>
      <c r="F84" s="6">
        <v>263120</v>
      </c>
      <c r="G84" s="6">
        <v>631049</v>
      </c>
      <c r="H84" s="5">
        <v>0</v>
      </c>
      <c r="I84" s="5">
        <v>0</v>
      </c>
      <c r="J84" s="5">
        <v>0</v>
      </c>
      <c r="K84" s="6">
        <v>631049</v>
      </c>
      <c r="L84" s="5">
        <v>0</v>
      </c>
    </row>
    <row r="85" spans="1:12">
      <c r="A85" s="10" t="b">
        <f t="shared" si="1"/>
        <v>1</v>
      </c>
      <c r="B85" s="5" t="str">
        <f>+Hoja2!A84</f>
        <v>3.1.06.401</v>
      </c>
      <c r="C85" s="5" t="s">
        <v>173</v>
      </c>
      <c r="D85" s="3" t="s">
        <v>174</v>
      </c>
      <c r="E85" s="6">
        <v>826138</v>
      </c>
      <c r="F85" s="6">
        <v>648423</v>
      </c>
      <c r="G85" s="6">
        <v>177715</v>
      </c>
      <c r="H85" s="5">
        <v>0</v>
      </c>
      <c r="I85" s="5">
        <v>0</v>
      </c>
      <c r="J85" s="5">
        <v>0</v>
      </c>
      <c r="K85" s="6">
        <v>177715</v>
      </c>
      <c r="L85" s="5">
        <v>0</v>
      </c>
    </row>
    <row r="86" spans="1:12">
      <c r="A86" s="10" t="b">
        <f t="shared" si="1"/>
        <v>1</v>
      </c>
      <c r="B86" s="5" t="str">
        <f>+Hoja2!A85</f>
        <v>3.1.06.406</v>
      </c>
      <c r="C86" s="5" t="s">
        <v>175</v>
      </c>
      <c r="D86" s="3" t="s">
        <v>176</v>
      </c>
      <c r="E86" s="6">
        <v>131229</v>
      </c>
      <c r="F86" s="5">
        <v>0</v>
      </c>
      <c r="G86" s="6">
        <v>131229</v>
      </c>
      <c r="H86" s="5">
        <v>0</v>
      </c>
      <c r="I86" s="5">
        <v>0</v>
      </c>
      <c r="J86" s="5">
        <v>0</v>
      </c>
      <c r="K86" s="6">
        <v>131229</v>
      </c>
      <c r="L86" s="5">
        <v>0</v>
      </c>
    </row>
    <row r="87" spans="1:12">
      <c r="A87" s="10" t="b">
        <f t="shared" si="1"/>
        <v>1</v>
      </c>
      <c r="B87" s="5" t="str">
        <f>+Hoja2!A86</f>
        <v>3.1.06.501</v>
      </c>
      <c r="C87" s="5" t="s">
        <v>177</v>
      </c>
      <c r="D87" s="3" t="s">
        <v>178</v>
      </c>
      <c r="E87" s="6">
        <v>839257</v>
      </c>
      <c r="F87" s="5">
        <v>0</v>
      </c>
      <c r="G87" s="6">
        <v>839257</v>
      </c>
      <c r="H87" s="5">
        <v>0</v>
      </c>
      <c r="I87" s="5">
        <v>0</v>
      </c>
      <c r="J87" s="5">
        <v>0</v>
      </c>
      <c r="K87" s="6">
        <v>839257</v>
      </c>
      <c r="L87" s="5">
        <v>0</v>
      </c>
    </row>
    <row r="88" spans="1:12">
      <c r="A88" s="10" t="b">
        <f t="shared" si="1"/>
        <v>1</v>
      </c>
      <c r="B88" s="5" t="str">
        <f>+Hoja2!A87</f>
        <v>3.1.06.504</v>
      </c>
      <c r="C88" s="5" t="s">
        <v>179</v>
      </c>
      <c r="D88" s="3" t="s">
        <v>180</v>
      </c>
      <c r="E88" s="6">
        <v>1065119</v>
      </c>
      <c r="F88" s="5">
        <v>0</v>
      </c>
      <c r="G88" s="6">
        <v>1065119</v>
      </c>
      <c r="H88" s="5">
        <v>0</v>
      </c>
      <c r="I88" s="5">
        <v>0</v>
      </c>
      <c r="J88" s="5">
        <v>0</v>
      </c>
      <c r="K88" s="6">
        <v>1065119</v>
      </c>
      <c r="L88" s="5">
        <v>0</v>
      </c>
    </row>
    <row r="89" spans="1:12">
      <c r="A89" s="10" t="b">
        <f t="shared" si="1"/>
        <v>1</v>
      </c>
      <c r="B89" s="5" t="str">
        <f>+Hoja2!A88</f>
        <v>3.1.06.505</v>
      </c>
      <c r="C89" s="5" t="s">
        <v>181</v>
      </c>
      <c r="D89" s="3" t="s">
        <v>182</v>
      </c>
      <c r="E89" s="6">
        <v>420710</v>
      </c>
      <c r="F89" s="5">
        <v>0</v>
      </c>
      <c r="G89" s="6">
        <v>420710</v>
      </c>
      <c r="H89" s="5">
        <v>0</v>
      </c>
      <c r="I89" s="5">
        <v>0</v>
      </c>
      <c r="J89" s="5">
        <v>0</v>
      </c>
      <c r="K89" s="6">
        <v>420710</v>
      </c>
      <c r="L89" s="5">
        <v>0</v>
      </c>
    </row>
    <row r="90" spans="1:12">
      <c r="A90" s="10" t="b">
        <f t="shared" si="1"/>
        <v>1</v>
      </c>
      <c r="B90" s="5" t="str">
        <f>+Hoja2!A89</f>
        <v>3.1.06.506</v>
      </c>
      <c r="C90" s="5" t="s">
        <v>183</v>
      </c>
      <c r="D90" s="3" t="s">
        <v>184</v>
      </c>
      <c r="E90" s="6">
        <v>663414</v>
      </c>
      <c r="F90" s="5">
        <v>0</v>
      </c>
      <c r="G90" s="6">
        <v>663414</v>
      </c>
      <c r="H90" s="5">
        <v>0</v>
      </c>
      <c r="I90" s="5">
        <v>0</v>
      </c>
      <c r="J90" s="5">
        <v>0</v>
      </c>
      <c r="K90" s="6">
        <v>663414</v>
      </c>
      <c r="L90" s="5">
        <v>0</v>
      </c>
    </row>
    <row r="91" spans="1:12">
      <c r="A91" s="10" t="b">
        <f t="shared" si="1"/>
        <v>1</v>
      </c>
      <c r="B91" s="5" t="str">
        <f>+Hoja2!A90</f>
        <v>3.1.06.507</v>
      </c>
      <c r="C91" s="5" t="s">
        <v>185</v>
      </c>
      <c r="D91" s="3" t="s">
        <v>186</v>
      </c>
      <c r="E91" s="6">
        <v>61186</v>
      </c>
      <c r="F91" s="6">
        <v>61187</v>
      </c>
      <c r="G91" s="5">
        <v>0</v>
      </c>
      <c r="H91" s="5">
        <v>1</v>
      </c>
      <c r="I91" s="5">
        <v>0</v>
      </c>
      <c r="J91" s="5">
        <v>0</v>
      </c>
      <c r="K91" s="5">
        <v>0</v>
      </c>
      <c r="L91" s="5">
        <v>1</v>
      </c>
    </row>
    <row r="92" spans="1:12">
      <c r="A92" s="10" t="b">
        <f t="shared" si="1"/>
        <v>1</v>
      </c>
      <c r="B92" s="5" t="str">
        <f>+Hoja2!A91</f>
        <v>3.1.06.601</v>
      </c>
      <c r="C92" s="5" t="s">
        <v>187</v>
      </c>
      <c r="D92" s="3" t="s">
        <v>188</v>
      </c>
      <c r="E92" s="6">
        <v>7893808</v>
      </c>
      <c r="F92" s="6">
        <v>6788199</v>
      </c>
      <c r="G92" s="6">
        <v>1105609</v>
      </c>
      <c r="H92" s="5">
        <v>0</v>
      </c>
      <c r="I92" s="5">
        <v>0</v>
      </c>
      <c r="J92" s="5">
        <v>0</v>
      </c>
      <c r="K92" s="6">
        <v>1105609</v>
      </c>
      <c r="L92" s="5">
        <v>0</v>
      </c>
    </row>
    <row r="93" spans="1:12">
      <c r="A93" s="10" t="b">
        <f t="shared" si="1"/>
        <v>1</v>
      </c>
      <c r="B93" s="5" t="str">
        <f>+Hoja2!A92</f>
        <v>3.1.06.602</v>
      </c>
      <c r="C93" s="5" t="s">
        <v>189</v>
      </c>
      <c r="D93" s="3" t="s">
        <v>190</v>
      </c>
      <c r="E93" s="6">
        <v>642168</v>
      </c>
      <c r="F93" s="5">
        <v>0</v>
      </c>
      <c r="G93" s="6">
        <v>642168</v>
      </c>
      <c r="H93" s="5">
        <v>0</v>
      </c>
      <c r="I93" s="5">
        <v>0</v>
      </c>
      <c r="J93" s="5">
        <v>0</v>
      </c>
      <c r="K93" s="6">
        <v>642168</v>
      </c>
      <c r="L93" s="5">
        <v>0</v>
      </c>
    </row>
    <row r="94" spans="1:12">
      <c r="A94" s="10" t="b">
        <f t="shared" si="1"/>
        <v>1</v>
      </c>
      <c r="B94" s="5" t="str">
        <f>+Hoja2!A93</f>
        <v>3.1.06.803</v>
      </c>
      <c r="C94" s="5" t="s">
        <v>191</v>
      </c>
      <c r="D94" s="3" t="s">
        <v>192</v>
      </c>
      <c r="E94" s="6">
        <v>371590</v>
      </c>
      <c r="F94" s="5">
        <v>0</v>
      </c>
      <c r="G94" s="6">
        <v>371590</v>
      </c>
      <c r="H94" s="5">
        <v>0</v>
      </c>
      <c r="I94" s="5">
        <v>0</v>
      </c>
      <c r="J94" s="5">
        <v>0</v>
      </c>
      <c r="K94" s="6">
        <v>371590</v>
      </c>
      <c r="L94" s="5">
        <v>0</v>
      </c>
    </row>
    <row r="95" spans="1:12">
      <c r="A95" s="10" t="b">
        <f t="shared" si="1"/>
        <v>1</v>
      </c>
      <c r="B95" s="5" t="str">
        <f>+Hoja2!A94</f>
        <v>3.1.06.806</v>
      </c>
      <c r="C95" s="5" t="s">
        <v>193</v>
      </c>
      <c r="D95" s="3" t="s">
        <v>194</v>
      </c>
      <c r="E95" s="6">
        <v>502259</v>
      </c>
      <c r="F95" s="5">
        <v>0</v>
      </c>
      <c r="G95" s="6">
        <v>502259</v>
      </c>
      <c r="H95" s="5">
        <v>0</v>
      </c>
      <c r="I95" s="5">
        <v>0</v>
      </c>
      <c r="J95" s="5">
        <v>0</v>
      </c>
      <c r="K95" s="6">
        <v>502259</v>
      </c>
      <c r="L95" s="5">
        <v>0</v>
      </c>
    </row>
    <row r="96" spans="1:12">
      <c r="A96" s="10" t="b">
        <f t="shared" si="1"/>
        <v>1</v>
      </c>
      <c r="B96" s="5" t="str">
        <f>+Hoja2!A95</f>
        <v>3.1.06.812</v>
      </c>
      <c r="C96" s="5" t="s">
        <v>195</v>
      </c>
      <c r="D96" s="3" t="s">
        <v>196</v>
      </c>
      <c r="E96" s="6">
        <v>2925416</v>
      </c>
      <c r="F96" s="6">
        <v>71660</v>
      </c>
      <c r="G96" s="6">
        <v>2853756</v>
      </c>
      <c r="H96" s="5">
        <v>0</v>
      </c>
      <c r="I96" s="5">
        <v>0</v>
      </c>
      <c r="J96" s="5">
        <v>0</v>
      </c>
      <c r="K96" s="6">
        <v>2853756</v>
      </c>
      <c r="L96" s="5">
        <v>0</v>
      </c>
    </row>
    <row r="97" spans="1:12">
      <c r="A97" s="10" t="b">
        <f t="shared" si="1"/>
        <v>1</v>
      </c>
      <c r="B97" s="5" t="str">
        <f>+Hoja2!A96</f>
        <v>3.1.06.813</v>
      </c>
      <c r="C97" s="5" t="s">
        <v>197</v>
      </c>
      <c r="D97" s="3" t="s">
        <v>198</v>
      </c>
      <c r="E97" s="6">
        <v>597458</v>
      </c>
      <c r="F97" s="5">
        <v>0</v>
      </c>
      <c r="G97" s="6">
        <v>597458</v>
      </c>
      <c r="H97" s="5">
        <v>0</v>
      </c>
      <c r="I97" s="5">
        <v>0</v>
      </c>
      <c r="J97" s="5">
        <v>0</v>
      </c>
      <c r="K97" s="6">
        <v>597458</v>
      </c>
      <c r="L97" s="5">
        <v>0</v>
      </c>
    </row>
    <row r="98" spans="1:12">
      <c r="A98" s="10" t="b">
        <f t="shared" si="1"/>
        <v>1</v>
      </c>
      <c r="B98" s="5" t="str">
        <f>+Hoja2!A97</f>
        <v>3.1.06.817</v>
      </c>
      <c r="C98" s="5" t="s">
        <v>199</v>
      </c>
      <c r="D98" s="3" t="s">
        <v>200</v>
      </c>
      <c r="E98" s="6">
        <v>868786</v>
      </c>
      <c r="F98" s="5">
        <v>0</v>
      </c>
      <c r="G98" s="6">
        <v>868786</v>
      </c>
      <c r="H98" s="5">
        <v>0</v>
      </c>
      <c r="I98" s="5">
        <v>0</v>
      </c>
      <c r="J98" s="5">
        <v>0</v>
      </c>
      <c r="K98" s="6">
        <v>868786</v>
      </c>
      <c r="L98" s="5">
        <v>0</v>
      </c>
    </row>
    <row r="99" spans="1:12">
      <c r="A99" s="10" t="b">
        <f t="shared" si="1"/>
        <v>1</v>
      </c>
      <c r="B99" s="5" t="str">
        <f>+Hoja2!A98</f>
        <v>3.1.06.818</v>
      </c>
      <c r="C99" s="5" t="s">
        <v>201</v>
      </c>
      <c r="D99" s="3" t="s">
        <v>202</v>
      </c>
      <c r="E99" s="6">
        <v>3506825</v>
      </c>
      <c r="F99" s="6">
        <v>587504</v>
      </c>
      <c r="G99" s="6">
        <v>2919321</v>
      </c>
      <c r="H99" s="5">
        <v>0</v>
      </c>
      <c r="I99" s="5">
        <v>0</v>
      </c>
      <c r="J99" s="5">
        <v>0</v>
      </c>
      <c r="K99" s="6">
        <v>2919321</v>
      </c>
      <c r="L99" s="5">
        <v>0</v>
      </c>
    </row>
    <row r="100" spans="1:12">
      <c r="A100" s="10" t="b">
        <f t="shared" si="1"/>
        <v>1</v>
      </c>
      <c r="B100" s="5" t="str">
        <f>+Hoja2!A99</f>
        <v>3.1.06.831</v>
      </c>
      <c r="C100" s="5" t="s">
        <v>203</v>
      </c>
      <c r="D100" s="3" t="s">
        <v>204</v>
      </c>
      <c r="E100" s="6">
        <v>268190</v>
      </c>
      <c r="F100" s="5">
        <v>0</v>
      </c>
      <c r="G100" s="6">
        <v>268190</v>
      </c>
      <c r="H100" s="5">
        <v>0</v>
      </c>
      <c r="I100" s="5">
        <v>0</v>
      </c>
      <c r="J100" s="5">
        <v>0</v>
      </c>
      <c r="K100" s="6">
        <v>268190</v>
      </c>
      <c r="L100" s="5">
        <v>0</v>
      </c>
    </row>
    <row r="101" spans="1:12">
      <c r="A101" s="10" t="b">
        <f t="shared" si="1"/>
        <v>1</v>
      </c>
      <c r="B101" s="5" t="str">
        <f>+Hoja2!A100</f>
        <v>3.1.06.837</v>
      </c>
      <c r="C101" s="5" t="s">
        <v>205</v>
      </c>
      <c r="D101" s="3" t="s">
        <v>206</v>
      </c>
      <c r="E101" s="6">
        <v>2094675</v>
      </c>
      <c r="F101" s="6">
        <v>1506417</v>
      </c>
      <c r="G101" s="6">
        <v>588258</v>
      </c>
      <c r="H101" s="5">
        <v>0</v>
      </c>
      <c r="I101" s="5">
        <v>0</v>
      </c>
      <c r="J101" s="5">
        <v>0</v>
      </c>
      <c r="K101" s="6">
        <v>588258</v>
      </c>
      <c r="L101" s="5">
        <v>0</v>
      </c>
    </row>
    <row r="102" spans="1:12">
      <c r="A102" s="10" t="b">
        <f t="shared" si="1"/>
        <v>1</v>
      </c>
      <c r="B102" s="5" t="str">
        <f>+Hoja2!A101</f>
        <v>3.1.07.822</v>
      </c>
      <c r="C102" s="5" t="s">
        <v>207</v>
      </c>
      <c r="D102" s="3" t="s">
        <v>208</v>
      </c>
      <c r="E102" s="6">
        <v>2114357</v>
      </c>
      <c r="F102" s="6">
        <v>27489</v>
      </c>
      <c r="G102" s="6">
        <v>2086868</v>
      </c>
      <c r="H102" s="5">
        <v>0</v>
      </c>
      <c r="I102" s="5">
        <v>0</v>
      </c>
      <c r="J102" s="5">
        <v>0</v>
      </c>
      <c r="K102" s="6">
        <v>2086868</v>
      </c>
      <c r="L102" s="5">
        <v>0</v>
      </c>
    </row>
    <row r="103" spans="1:12">
      <c r="A103" s="10" t="b">
        <f t="shared" si="1"/>
        <v>1</v>
      </c>
      <c r="B103" s="5" t="str">
        <f>+Hoja2!A102</f>
        <v>3.1.07.833</v>
      </c>
      <c r="C103" s="5" t="s">
        <v>209</v>
      </c>
      <c r="D103" s="3" t="s">
        <v>210</v>
      </c>
      <c r="E103" s="6">
        <v>1894972</v>
      </c>
      <c r="F103" s="6">
        <v>63900</v>
      </c>
      <c r="G103" s="6">
        <v>1831072</v>
      </c>
      <c r="H103" s="5">
        <v>0</v>
      </c>
      <c r="I103" s="5">
        <v>0</v>
      </c>
      <c r="J103" s="5">
        <v>0</v>
      </c>
      <c r="K103" s="6">
        <v>1831072</v>
      </c>
      <c r="L103" s="5">
        <v>0</v>
      </c>
    </row>
    <row r="104" spans="1:12">
      <c r="A104" s="10" t="b">
        <f t="shared" si="1"/>
        <v>1</v>
      </c>
      <c r="B104" s="5" t="str">
        <f>+Hoja2!A103</f>
        <v>3.1.08.701</v>
      </c>
      <c r="C104" s="5" t="s">
        <v>211</v>
      </c>
      <c r="D104" s="3" t="s">
        <v>212</v>
      </c>
      <c r="E104" s="6">
        <v>8846337</v>
      </c>
      <c r="F104" s="5">
        <v>0</v>
      </c>
      <c r="G104" s="6">
        <v>8846337</v>
      </c>
      <c r="H104" s="5">
        <v>0</v>
      </c>
      <c r="I104" s="5">
        <v>0</v>
      </c>
      <c r="J104" s="5">
        <v>0</v>
      </c>
      <c r="K104" s="6">
        <v>8846337</v>
      </c>
      <c r="L104" s="5">
        <v>0</v>
      </c>
    </row>
    <row r="105" spans="1:12">
      <c r="A105" s="10" t="b">
        <f t="shared" si="1"/>
        <v>1</v>
      </c>
      <c r="B105" s="5" t="str">
        <f>+Hoja2!A104</f>
        <v>3.2.08.105</v>
      </c>
      <c r="C105" s="5" t="s">
        <v>213</v>
      </c>
      <c r="D105" s="3" t="s">
        <v>214</v>
      </c>
      <c r="E105" s="6">
        <v>19305</v>
      </c>
      <c r="F105" s="5">
        <v>0</v>
      </c>
      <c r="G105" s="6">
        <v>19305</v>
      </c>
      <c r="H105" s="5">
        <v>0</v>
      </c>
      <c r="I105" s="5">
        <v>0</v>
      </c>
      <c r="J105" s="5">
        <v>0</v>
      </c>
      <c r="K105" s="6">
        <v>19305</v>
      </c>
      <c r="L105" s="5">
        <v>0</v>
      </c>
    </row>
    <row r="106" spans="1:12">
      <c r="A106" s="10" t="b">
        <f t="shared" si="1"/>
        <v>1</v>
      </c>
      <c r="B106" s="5" t="str">
        <f>+Hoja2!A105</f>
        <v>3.2.08.116</v>
      </c>
      <c r="C106" s="5" t="s">
        <v>215</v>
      </c>
      <c r="D106" s="3" t="s">
        <v>216</v>
      </c>
      <c r="E106" s="5">
        <v>0</v>
      </c>
      <c r="F106" s="6">
        <v>5791</v>
      </c>
      <c r="G106" s="5">
        <v>0</v>
      </c>
      <c r="H106" s="6">
        <v>5791</v>
      </c>
      <c r="I106" s="5">
        <v>0</v>
      </c>
      <c r="J106" s="5">
        <v>0</v>
      </c>
      <c r="K106" s="5">
        <v>0</v>
      </c>
      <c r="L106" s="6">
        <v>5791</v>
      </c>
    </row>
    <row r="107" spans="1:12">
      <c r="A107" s="10" t="b">
        <f t="shared" si="1"/>
        <v>1</v>
      </c>
      <c r="B107" s="5" t="str">
        <f>+Hoja2!A106</f>
        <v>3.2.11.158</v>
      </c>
      <c r="C107" s="5" t="s">
        <v>217</v>
      </c>
      <c r="D107" s="3" t="s">
        <v>218</v>
      </c>
      <c r="E107" s="6">
        <v>60116244</v>
      </c>
      <c r="F107" s="6">
        <v>84142416</v>
      </c>
      <c r="G107" s="5">
        <v>0</v>
      </c>
      <c r="H107" s="6">
        <v>24026172</v>
      </c>
      <c r="I107" s="5">
        <v>0</v>
      </c>
      <c r="J107" s="5">
        <v>0</v>
      </c>
      <c r="K107" s="5">
        <v>0</v>
      </c>
      <c r="L107" s="6">
        <v>24026172</v>
      </c>
    </row>
    <row r="108" spans="1:12">
      <c r="A108" s="10" t="b">
        <f t="shared" si="1"/>
        <v>1</v>
      </c>
      <c r="B108" s="5" t="str">
        <f>+Hoja2!A107</f>
        <v>3.2.13.101</v>
      </c>
      <c r="C108" s="5" t="s">
        <v>219</v>
      </c>
      <c r="D108" s="3" t="s">
        <v>220</v>
      </c>
      <c r="E108" s="6">
        <v>1746970</v>
      </c>
      <c r="F108" s="6">
        <v>1123173</v>
      </c>
      <c r="G108" s="6">
        <v>623797</v>
      </c>
      <c r="H108" s="5">
        <v>0</v>
      </c>
      <c r="I108" s="5">
        <v>0</v>
      </c>
      <c r="J108" s="5">
        <v>0</v>
      </c>
      <c r="K108" s="6">
        <v>623797</v>
      </c>
      <c r="L108" s="5">
        <v>0</v>
      </c>
    </row>
    <row r="109" spans="1:12">
      <c r="A109" s="10" t="b">
        <f t="shared" si="1"/>
        <v>1</v>
      </c>
      <c r="B109" s="5" t="str">
        <f>+Hoja2!A108</f>
        <v>3.2.13.109</v>
      </c>
      <c r="C109" s="5" t="s">
        <v>221</v>
      </c>
      <c r="D109" s="3" t="s">
        <v>222</v>
      </c>
      <c r="E109" s="5">
        <v>34</v>
      </c>
      <c r="F109" s="5">
        <v>0</v>
      </c>
      <c r="G109" s="5">
        <v>34</v>
      </c>
      <c r="H109" s="5">
        <v>0</v>
      </c>
      <c r="I109" s="5">
        <v>0</v>
      </c>
      <c r="J109" s="5">
        <v>0</v>
      </c>
      <c r="K109" s="5">
        <v>34</v>
      </c>
      <c r="L109" s="5">
        <v>0</v>
      </c>
    </row>
    <row r="110" spans="1:12">
      <c r="A110" s="3" t="e">
        <v>#N/A</v>
      </c>
      <c r="B110" s="5">
        <f>+Hoja2!A109</f>
        <v>0</v>
      </c>
      <c r="C110" s="5" t="e">
        <v>#N/A</v>
      </c>
      <c r="D110" s="3" t="e">
        <v>#N/A</v>
      </c>
      <c r="E110" s="5" t="e">
        <v>#N/A</v>
      </c>
      <c r="F110" s="5" t="e">
        <v>#N/A</v>
      </c>
      <c r="G110" s="5" t="e">
        <v>#N/A</v>
      </c>
      <c r="H110" s="5" t="e">
        <v>#N/A</v>
      </c>
      <c r="I110" s="5" t="e">
        <v>#N/A</v>
      </c>
      <c r="J110" s="5" t="e">
        <v>#N/A</v>
      </c>
      <c r="K110" s="5" t="e">
        <v>#N/A</v>
      </c>
      <c r="L110" s="5" t="e">
        <v>#N/A</v>
      </c>
    </row>
    <row r="112" spans="1:12">
      <c r="B112" s="5" t="s">
        <v>227</v>
      </c>
      <c r="D112" s="3" t="s">
        <v>228</v>
      </c>
      <c r="E112" s="6">
        <v>13814157114</v>
      </c>
      <c r="F112" s="5">
        <v>0</v>
      </c>
      <c r="G112" s="6">
        <v>7807998581</v>
      </c>
      <c r="H112" s="5">
        <v>0</v>
      </c>
      <c r="I112" s="6">
        <v>7482030181</v>
      </c>
      <c r="J112" s="5">
        <v>0</v>
      </c>
      <c r="K112" s="6">
        <v>325968400</v>
      </c>
      <c r="L112" s="5">
        <v>0</v>
      </c>
    </row>
    <row r="113" spans="2:12">
      <c r="B113" s="5" t="s">
        <v>227</v>
      </c>
      <c r="E113" s="5">
        <v>0</v>
      </c>
      <c r="F113" s="6">
        <v>13814157114</v>
      </c>
      <c r="G113" s="5">
        <v>0</v>
      </c>
      <c r="H113" s="6">
        <v>7807998581</v>
      </c>
      <c r="I113" s="5">
        <v>0</v>
      </c>
      <c r="J113" s="6">
        <v>7532462862</v>
      </c>
      <c r="K113" s="5">
        <v>0</v>
      </c>
      <c r="L113" s="6">
        <v>275535719</v>
      </c>
    </row>
    <row r="115" spans="2:12">
      <c r="B115" s="5" t="s">
        <v>227</v>
      </c>
      <c r="D115" s="3" t="s">
        <v>229</v>
      </c>
      <c r="E115" s="5">
        <v>0</v>
      </c>
      <c r="F115" s="5">
        <v>0</v>
      </c>
      <c r="G115" s="5">
        <v>0</v>
      </c>
      <c r="H115" s="5">
        <v>0</v>
      </c>
      <c r="I115" s="6">
        <v>50432681</v>
      </c>
      <c r="J115" s="5">
        <v>0</v>
      </c>
      <c r="K115" s="5">
        <v>0</v>
      </c>
      <c r="L115" s="5">
        <v>0</v>
      </c>
    </row>
    <row r="116" spans="2:12">
      <c r="B116" s="5" t="s">
        <v>227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6">
        <v>50432681</v>
      </c>
    </row>
    <row r="118" spans="2:12">
      <c r="B118" s="5" t="s">
        <v>227</v>
      </c>
      <c r="D118" s="3" t="s">
        <v>230</v>
      </c>
      <c r="E118" s="6">
        <v>13814157114</v>
      </c>
      <c r="F118" s="5">
        <v>0</v>
      </c>
      <c r="G118" s="6">
        <v>7807998581</v>
      </c>
      <c r="H118" s="5">
        <v>0</v>
      </c>
      <c r="I118" s="6">
        <v>7532462862</v>
      </c>
      <c r="J118" s="5">
        <v>0</v>
      </c>
      <c r="K118" s="6">
        <v>325968400</v>
      </c>
      <c r="L118" s="5">
        <v>0</v>
      </c>
    </row>
    <row r="119" spans="2:12">
      <c r="B119" s="5" t="s">
        <v>227</v>
      </c>
      <c r="E119" s="5">
        <v>0</v>
      </c>
      <c r="F119" s="6">
        <v>13814157114</v>
      </c>
      <c r="G119" s="5">
        <v>0</v>
      </c>
      <c r="H119" s="6">
        <v>7807998581</v>
      </c>
      <c r="I119" s="5">
        <v>0</v>
      </c>
      <c r="J119" s="6">
        <v>7532462862</v>
      </c>
      <c r="K119" s="5">
        <v>0</v>
      </c>
      <c r="L119" s="6">
        <v>325968400</v>
      </c>
    </row>
  </sheetData>
  <sortState xmlns:xlrd2="http://schemas.microsoft.com/office/spreadsheetml/2017/richdata2" ref="A2:L30001">
    <sortCondition ref="C2:C30001"/>
  </sortState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088B-32A3-4CC3-992A-E58967778DD7}">
  <dimension ref="A1:A108"/>
  <sheetViews>
    <sheetView topLeftCell="A43" workbookViewId="0">
      <selection activeCell="A63" sqref="A63:XFD63"/>
    </sheetView>
  </sheetViews>
  <sheetFormatPr baseColWidth="10" defaultRowHeight="14"/>
  <sheetData>
    <row r="1" spans="1:1">
      <c r="A1" s="8" t="s">
        <v>11</v>
      </c>
    </row>
    <row r="2" spans="1:1">
      <c r="A2" s="8" t="s">
        <v>13</v>
      </c>
    </row>
    <row r="3" spans="1:1">
      <c r="A3" s="8" t="s">
        <v>15</v>
      </c>
    </row>
    <row r="4" spans="1:1">
      <c r="A4" s="8" t="s">
        <v>17</v>
      </c>
    </row>
    <row r="5" spans="1:1">
      <c r="A5" s="8" t="s">
        <v>19</v>
      </c>
    </row>
    <row r="6" spans="1:1">
      <c r="A6" s="8" t="s">
        <v>21</v>
      </c>
    </row>
    <row r="7" spans="1:1">
      <c r="A7" s="8" t="s">
        <v>23</v>
      </c>
    </row>
    <row r="8" spans="1:1">
      <c r="A8" s="8" t="s">
        <v>25</v>
      </c>
    </row>
    <row r="9" spans="1:1">
      <c r="A9" s="8" t="s">
        <v>27</v>
      </c>
    </row>
    <row r="10" spans="1:1">
      <c r="A10" s="8" t="s">
        <v>29</v>
      </c>
    </row>
    <row r="11" spans="1:1">
      <c r="A11" s="8" t="s">
        <v>31</v>
      </c>
    </row>
    <row r="12" spans="1:1">
      <c r="A12" s="8" t="s">
        <v>33</v>
      </c>
    </row>
    <row r="13" spans="1:1">
      <c r="A13" s="8" t="s">
        <v>35</v>
      </c>
    </row>
    <row r="14" spans="1:1">
      <c r="A14" s="8" t="s">
        <v>37</v>
      </c>
    </row>
    <row r="15" spans="1:1">
      <c r="A15" s="8" t="s">
        <v>39</v>
      </c>
    </row>
    <row r="16" spans="1:1">
      <c r="A16" s="8" t="s">
        <v>41</v>
      </c>
    </row>
    <row r="17" spans="1:1">
      <c r="A17" s="8" t="s">
        <v>43</v>
      </c>
    </row>
    <row r="18" spans="1:1">
      <c r="A18" s="8" t="s">
        <v>45</v>
      </c>
    </row>
    <row r="19" spans="1:1">
      <c r="A19" s="8" t="s">
        <v>47</v>
      </c>
    </row>
    <row r="20" spans="1:1">
      <c r="A20" s="8" t="s">
        <v>49</v>
      </c>
    </row>
    <row r="21" spans="1:1">
      <c r="A21" s="8" t="s">
        <v>51</v>
      </c>
    </row>
    <row r="22" spans="1:1">
      <c r="A22" s="8" t="s">
        <v>53</v>
      </c>
    </row>
    <row r="23" spans="1:1">
      <c r="A23" s="8" t="s">
        <v>55</v>
      </c>
    </row>
    <row r="24" spans="1:1">
      <c r="A24" s="8" t="s">
        <v>57</v>
      </c>
    </row>
    <row r="25" spans="1:1">
      <c r="A25" s="8" t="s">
        <v>59</v>
      </c>
    </row>
    <row r="26" spans="1:1">
      <c r="A26" s="8" t="s">
        <v>61</v>
      </c>
    </row>
    <row r="27" spans="1:1">
      <c r="A27" s="8" t="s">
        <v>63</v>
      </c>
    </row>
    <row r="28" spans="1:1">
      <c r="A28" s="8" t="s">
        <v>65</v>
      </c>
    </row>
    <row r="29" spans="1:1">
      <c r="A29" s="8" t="s">
        <v>67</v>
      </c>
    </row>
    <row r="30" spans="1:1">
      <c r="A30" s="8" t="s">
        <v>69</v>
      </c>
    </row>
    <row r="31" spans="1:1">
      <c r="A31" s="8" t="s">
        <v>71</v>
      </c>
    </row>
    <row r="32" spans="1:1">
      <c r="A32" s="8" t="s">
        <v>73</v>
      </c>
    </row>
    <row r="33" spans="1:1">
      <c r="A33" s="8" t="s">
        <v>75</v>
      </c>
    </row>
    <row r="34" spans="1:1">
      <c r="A34" s="8" t="s">
        <v>77</v>
      </c>
    </row>
    <row r="35" spans="1:1">
      <c r="A35" s="8" t="s">
        <v>79</v>
      </c>
    </row>
    <row r="36" spans="1:1">
      <c r="A36" s="8" t="s">
        <v>81</v>
      </c>
    </row>
    <row r="37" spans="1:1">
      <c r="A37" s="8" t="s">
        <v>83</v>
      </c>
    </row>
    <row r="38" spans="1:1">
      <c r="A38" s="8" t="s">
        <v>85</v>
      </c>
    </row>
    <row r="39" spans="1:1">
      <c r="A39" s="8" t="s">
        <v>87</v>
      </c>
    </row>
    <row r="40" spans="1:1">
      <c r="A40" s="8" t="s">
        <v>89</v>
      </c>
    </row>
    <row r="41" spans="1:1">
      <c r="A41" s="8" t="s">
        <v>91</v>
      </c>
    </row>
    <row r="42" spans="1:1">
      <c r="A42" s="8" t="s">
        <v>93</v>
      </c>
    </row>
    <row r="43" spans="1:1">
      <c r="A43" s="8" t="s">
        <v>95</v>
      </c>
    </row>
    <row r="44" spans="1:1">
      <c r="A44" s="8" t="s">
        <v>97</v>
      </c>
    </row>
    <row r="45" spans="1:1">
      <c r="A45" s="8" t="s">
        <v>99</v>
      </c>
    </row>
    <row r="46" spans="1:1">
      <c r="A46" s="8" t="s">
        <v>101</v>
      </c>
    </row>
    <row r="47" spans="1:1">
      <c r="A47" s="8" t="s">
        <v>103</v>
      </c>
    </row>
    <row r="48" spans="1:1">
      <c r="A48" s="8" t="s">
        <v>105</v>
      </c>
    </row>
    <row r="49" spans="1:1">
      <c r="A49" s="8" t="s">
        <v>107</v>
      </c>
    </row>
    <row r="50" spans="1:1">
      <c r="A50" s="8" t="s">
        <v>109</v>
      </c>
    </row>
    <row r="51" spans="1:1">
      <c r="A51" s="8" t="s">
        <v>111</v>
      </c>
    </row>
    <row r="52" spans="1:1">
      <c r="A52" s="8" t="s">
        <v>113</v>
      </c>
    </row>
    <row r="53" spans="1:1">
      <c r="A53" s="8" t="s">
        <v>115</v>
      </c>
    </row>
    <row r="54" spans="1:1">
      <c r="A54" s="7" t="s">
        <v>223</v>
      </c>
    </row>
    <row r="55" spans="1:1">
      <c r="A55" s="7" t="s">
        <v>225</v>
      </c>
    </row>
    <row r="56" spans="1:1">
      <c r="A56" s="7" t="s">
        <v>117</v>
      </c>
    </row>
    <row r="57" spans="1:1">
      <c r="A57" s="7" t="s">
        <v>119</v>
      </c>
    </row>
    <row r="58" spans="1:1">
      <c r="A58" s="7" t="s">
        <v>121</v>
      </c>
    </row>
    <row r="59" spans="1:1">
      <c r="A59" s="7" t="s">
        <v>123</v>
      </c>
    </row>
    <row r="60" spans="1:1">
      <c r="A60" s="7" t="s">
        <v>125</v>
      </c>
    </row>
    <row r="61" spans="1:1">
      <c r="A61" s="7" t="s">
        <v>127</v>
      </c>
    </row>
    <row r="62" spans="1:1">
      <c r="A62" s="7" t="s">
        <v>129</v>
      </c>
    </row>
    <row r="63" spans="1:1">
      <c r="A63" s="7" t="s">
        <v>131</v>
      </c>
    </row>
    <row r="64" spans="1:1">
      <c r="A64" s="7" t="s">
        <v>133</v>
      </c>
    </row>
    <row r="65" spans="1:1">
      <c r="A65" s="7" t="s">
        <v>135</v>
      </c>
    </row>
    <row r="66" spans="1:1">
      <c r="A66" s="7" t="s">
        <v>137</v>
      </c>
    </row>
    <row r="67" spans="1:1">
      <c r="A67" s="7" t="s">
        <v>139</v>
      </c>
    </row>
    <row r="68" spans="1:1">
      <c r="A68" s="7" t="s">
        <v>141</v>
      </c>
    </row>
    <row r="69" spans="1:1">
      <c r="A69" s="7" t="s">
        <v>143</v>
      </c>
    </row>
    <row r="70" spans="1:1">
      <c r="A70" s="7" t="s">
        <v>145</v>
      </c>
    </row>
    <row r="71" spans="1:1">
      <c r="A71" s="7" t="s">
        <v>147</v>
      </c>
    </row>
    <row r="72" spans="1:1">
      <c r="A72" s="7" t="s">
        <v>149</v>
      </c>
    </row>
    <row r="73" spans="1:1">
      <c r="A73" s="7" t="s">
        <v>151</v>
      </c>
    </row>
    <row r="74" spans="1:1">
      <c r="A74" s="7" t="s">
        <v>153</v>
      </c>
    </row>
    <row r="75" spans="1:1">
      <c r="A75" s="7" t="s">
        <v>155</v>
      </c>
    </row>
    <row r="76" spans="1:1">
      <c r="A76" s="7" t="s">
        <v>157</v>
      </c>
    </row>
    <row r="77" spans="1:1">
      <c r="A77" s="9" t="s">
        <v>159</v>
      </c>
    </row>
    <row r="78" spans="1:1">
      <c r="A78" s="7" t="s">
        <v>161</v>
      </c>
    </row>
    <row r="79" spans="1:1">
      <c r="A79" s="7" t="s">
        <v>163</v>
      </c>
    </row>
    <row r="80" spans="1:1">
      <c r="A80" s="7" t="s">
        <v>165</v>
      </c>
    </row>
    <row r="81" spans="1:1">
      <c r="A81" s="7" t="s">
        <v>167</v>
      </c>
    </row>
    <row r="82" spans="1:1">
      <c r="A82" s="7" t="s">
        <v>169</v>
      </c>
    </row>
    <row r="83" spans="1:1">
      <c r="A83" s="7" t="s">
        <v>171</v>
      </c>
    </row>
    <row r="84" spans="1:1">
      <c r="A84" s="7" t="s">
        <v>173</v>
      </c>
    </row>
    <row r="85" spans="1:1">
      <c r="A85" s="7" t="s">
        <v>175</v>
      </c>
    </row>
    <row r="86" spans="1:1">
      <c r="A86" s="7" t="s">
        <v>177</v>
      </c>
    </row>
    <row r="87" spans="1:1">
      <c r="A87" s="7" t="s">
        <v>179</v>
      </c>
    </row>
    <row r="88" spans="1:1">
      <c r="A88" s="7" t="s">
        <v>181</v>
      </c>
    </row>
    <row r="89" spans="1:1">
      <c r="A89" s="7" t="s">
        <v>183</v>
      </c>
    </row>
    <row r="90" spans="1:1">
      <c r="A90" s="7" t="s">
        <v>185</v>
      </c>
    </row>
    <row r="91" spans="1:1">
      <c r="A91" s="7" t="s">
        <v>187</v>
      </c>
    </row>
    <row r="92" spans="1:1">
      <c r="A92" s="7" t="s">
        <v>189</v>
      </c>
    </row>
    <row r="93" spans="1:1">
      <c r="A93" s="7" t="s">
        <v>191</v>
      </c>
    </row>
    <row r="94" spans="1:1">
      <c r="A94" s="7" t="s">
        <v>193</v>
      </c>
    </row>
    <row r="95" spans="1:1">
      <c r="A95" s="7" t="s">
        <v>195</v>
      </c>
    </row>
    <row r="96" spans="1:1">
      <c r="A96" s="7" t="s">
        <v>197</v>
      </c>
    </row>
    <row r="97" spans="1:1">
      <c r="A97" s="7" t="s">
        <v>199</v>
      </c>
    </row>
    <row r="98" spans="1:1">
      <c r="A98" s="7" t="s">
        <v>201</v>
      </c>
    </row>
    <row r="99" spans="1:1">
      <c r="A99" s="7" t="s">
        <v>203</v>
      </c>
    </row>
    <row r="100" spans="1:1">
      <c r="A100" s="7" t="s">
        <v>205</v>
      </c>
    </row>
    <row r="101" spans="1:1">
      <c r="A101" s="7" t="s">
        <v>207</v>
      </c>
    </row>
    <row r="102" spans="1:1">
      <c r="A102" s="9" t="s">
        <v>209</v>
      </c>
    </row>
    <row r="103" spans="1:1">
      <c r="A103" s="7" t="s">
        <v>211</v>
      </c>
    </row>
    <row r="104" spans="1:1">
      <c r="A104" s="7" t="s">
        <v>213</v>
      </c>
    </row>
    <row r="105" spans="1:1">
      <c r="A105" s="7" t="s">
        <v>215</v>
      </c>
    </row>
    <row r="106" spans="1:1">
      <c r="A106" s="7" t="s">
        <v>217</v>
      </c>
    </row>
    <row r="107" spans="1:1">
      <c r="A107" s="7" t="s">
        <v>219</v>
      </c>
    </row>
    <row r="108" spans="1:1">
      <c r="A108" s="7" t="s">
        <v>221</v>
      </c>
    </row>
  </sheetData>
  <hyperlinks>
    <hyperlink ref="A1" location="'Cajas y Bancos'!A1" display="1.1.01.101" xr:uid="{C0B6F68F-B002-48BC-B45E-2A297545D49F}"/>
    <hyperlink ref="A2" location="'Cajas y Bancos'!A1" display="1.1.01.203" xr:uid="{27DEC780-332B-4CC8-85CE-C0D9427C3D7D}"/>
    <hyperlink ref="A3" location="'Cajas y Bancos'!A1" display="1.1.01.204" xr:uid="{FAF47476-B0E8-46CC-A5EE-595FCA4E8714}"/>
    <hyperlink ref="A4" location="'Cajas y Bancos'!A1" display="1.1.01.205" xr:uid="{E8C2DD7D-D27F-4788-B755-8A2531333115}"/>
    <hyperlink ref="A5" location="'Cajas y Bancos'!A1" display="1.1.01.206" xr:uid="{EF25AA04-869F-4EFE-B64C-2CDD5E3AAA62}"/>
    <hyperlink ref="A6" location="'Cajas y Bancos'!A1" display="1.1.01.207" xr:uid="{EE6502A2-430E-4329-9CA0-747FF7F01F17}"/>
    <hyperlink ref="A7" location="'Cajas y Bancos'!A1" display="1.1.01.208" xr:uid="{1CCB1843-A079-4B3F-964E-CF5CB13E314C}"/>
    <hyperlink ref="A11" location="'Cajas y Bancos'!A1" display="1.1.01.209" xr:uid="{9E318BE0-0210-4D2A-9E2B-9F0CA9EC9432}"/>
    <hyperlink ref="A12" location="'Cajas y Bancos'!A1" display="1.1.01.301" xr:uid="{257EF075-AE42-427A-9535-194983F3DB20}"/>
    <hyperlink ref="A13" location="'Cajas y Bancos'!A1" display="1.1.01.302" xr:uid="{1D1A5CD1-29C2-43C5-9A21-835E6ECF3FE5}"/>
    <hyperlink ref="A14" location="'Cajas y Bancos'!A1" display="1.1.02.106" xr:uid="{807DA19E-72F5-4DFD-A863-B0CBC011CA5A}"/>
    <hyperlink ref="A15" location="'Derechos de arrendamiento'!A1" display="1.1.03.201" xr:uid="{070AAADB-962C-4B87-A28C-52134DE116E9}"/>
    <hyperlink ref="A16" location="Clientes!A1" display="1.1.04.102" xr:uid="{D7C021CF-F698-45EC-9E8B-A1C45870C7FE}"/>
    <hyperlink ref="A17" location="'Pagos Anticipados'!A1" display="1.1.04.104" xr:uid="{FB2146CA-A3C3-43A5-A4D8-978A0FFE1C80}"/>
    <hyperlink ref="A18" location="'Deudores Diversos'!A1" display="1.1.04.105" xr:uid="{A2450BB9-CEE6-419E-AD29-F7727082159C}"/>
    <hyperlink ref="A19" location="'Deudores Diversos'!A1" display="1.1.04.106" xr:uid="{4973DE54-ED15-4DF3-85C8-FEA74004D421}"/>
    <hyperlink ref="A21" location="'Deudores Diversos'!A1" display="1.1.04.109" xr:uid="{93664D92-AA52-4568-B662-2B7E4A98314D}"/>
    <hyperlink ref="A24" location="'Deudores Diversos'!A1" display="1.1.04.200" xr:uid="{FF1C5F76-0819-4ADA-9AE5-72B72AA2CE70}"/>
    <hyperlink ref="A25" location="'Pagos Anticipados'!A1" display="1.1.05.403" xr:uid="{B38C1C75-DE03-4215-BAB1-431A07261B70}"/>
    <hyperlink ref="A26" location="'Pagos Anticipados'!A1" display="1.1.05.405" xr:uid="{66991AAB-ECE6-4F49-AC50-8FCD575FFA35}"/>
    <hyperlink ref="A27" location="Inventarios!A1" display="1.1.06.401" xr:uid="{F4EABD4C-5248-40B7-9F30-D2412EF6B454}"/>
    <hyperlink ref="A28" location="Inventarios!A1" display="1.1.06.801" xr:uid="{E7BDA6CA-79FD-4FF5-A6F9-B4B5DC506797}"/>
    <hyperlink ref="A29" location="Inventarios!A1" display="1.1.06.802" xr:uid="{B013E647-942E-435A-B91E-BAA86E876FA6}"/>
    <hyperlink ref="A30" location="'Impuestos a favor'!A1" display="1.1.09.101" xr:uid="{8FB9B359-1ABC-4E50-94DC-8B86DE4F4C64}"/>
    <hyperlink ref="A31" location="'Impuestos a favor'!A1" display="1.1.09.103" xr:uid="{CB4D1D73-B128-4215-99E6-F4FE5C1B9C06}"/>
    <hyperlink ref="A32" location="'Derechos de arrendamiento'!A1" display="1.2.02.101" xr:uid="{32F22431-919A-458D-A9FB-C10A1AB8F06A}"/>
    <hyperlink ref="A33" location="'Activo fijo'!A1" display="1.2.02.401" xr:uid="{94E4FDCD-6B55-47B4-B898-8406EAE4D351}"/>
    <hyperlink ref="A34" location="'Activo fijo'!A1" display="1.2.02.402" xr:uid="{87BD121C-2DBB-4512-B735-634B540B28F7}"/>
    <hyperlink ref="A36" location="'Activo fijo'!A1" display="1.2.02.904" xr:uid="{D2D827E8-F6DA-4628-93D4-6A91C06B6790}"/>
    <hyperlink ref="A37" location="'Activo fijo'!A1" display="1.2.02.905" xr:uid="{AEF767D2-87BE-47E4-B021-3D3C11B71A70}"/>
    <hyperlink ref="A38" location="'Acreedores diversos (prestamo)'!A1" display="2.1.01.203" xr:uid="{4697E371-DB05-4B70-8FC7-56CF59B950E5}"/>
    <hyperlink ref="A40" location="'Acreedores Diversos'!A1" display="2.1.01.601" xr:uid="{AD67180F-71D2-4FF8-BED7-85C1D43333AF}"/>
    <hyperlink ref="A41" location="'Cuentas por pagar EERR'!A1" display="2.1.02.102" xr:uid="{478350FE-4E50-47C4-B655-78012B7902F9}"/>
    <hyperlink ref="A42" location="Proveedores!A1" display="2.1.02.103" xr:uid="{59590D6E-7541-4BEC-8449-A887068F5476}"/>
    <hyperlink ref="A43" location="Proveedores!A1" display="2.1.02.401" xr:uid="{E8D48828-7756-4734-94A6-5EFB38280877}"/>
    <hyperlink ref="A44" location="'Impuestos nómina'!A1" display="2.1.02.503" xr:uid="{27E59FFE-360D-49AE-9722-125C91A811E2}"/>
    <hyperlink ref="A45" location="Proveedores!A1" display="2.1.02.604" xr:uid="{6595DE74-2FA1-4E38-AAB9-DFDB97B18F60}"/>
    <hyperlink ref="A46" location="'Otros Pasivos'!A1" display="2.1.02.605" xr:uid="{28F2AC0F-CB87-4D20-A9E1-C8F3C28D5548}"/>
    <hyperlink ref="A47" location="'IVA por pagar del mes'!A1" display="2.1.05.101" xr:uid="{2C583B59-888B-4004-9E28-C443AC4D2450}"/>
    <hyperlink ref="A48" location="'IVA por pagar del mes'!A1" display="2.1.05.102" xr:uid="{2808734C-ABB9-4237-B6FC-5A260178BB7E}"/>
    <hyperlink ref="A49" location="'IVA por pagar del mes'!A1" display="2.1.05.103" xr:uid="{59626565-7A76-4BC9-987B-98825C79DFE2}"/>
    <hyperlink ref="A50" location="'IVA por pagar del mes'!A1" display="2.1.05.106" xr:uid="{474CD37F-F375-4C1C-9C5C-34FADE35266A}"/>
    <hyperlink ref="A51" location="'Otros Pasivos'!A1" display="2.1.06.103" xr:uid="{1D6AD34A-F4DC-4EBD-AE2F-7AB7A92967B6}"/>
    <hyperlink ref="A52" location="Patrimonio!A1" display="2.3.01.101" xr:uid="{D1EFE023-3721-4A94-8659-942F5C7B1982}"/>
    <hyperlink ref="A53" location="Patrimonio!A1" display="2.3.02.101" xr:uid="{EB6F99FE-3271-4A11-9579-A00428FAF5DE}"/>
    <hyperlink ref="A8" location="'Cajas y Bancos'!A1" display="1.1.01.209" xr:uid="{9D4C46F0-FA40-47A5-90C6-C8CA4A1D65D3}"/>
    <hyperlink ref="A9" location="'Cajas y Bancos'!A1" display="1.1.01.209" xr:uid="{BC669CA4-8D3B-4C1D-8330-DCA9EF392D06}"/>
    <hyperlink ref="A35" location="'Activo fijo'!A1" display="1.2.02.404" xr:uid="{89D114AC-90CC-4F20-88DC-A7A8D7D2B307}"/>
    <hyperlink ref="A10" location="'Cajas y Bancos'!A1" display="1.1.01.209" xr:uid="{26ADDEC5-FBE1-4861-B7D3-20456E93DE5E}"/>
    <hyperlink ref="A39" location="'Acreedores Diversos'!A1" display="2.1.01.601" xr:uid="{BCFEEA75-D0DE-4D8E-B2B4-A5FBAF205F2C}"/>
  </hyperlink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9A91E-33AA-43F4-A86A-7B038B3313CD}"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6AC2DF-A228-4C94-94F1-4885D3A156C3}"/>
</file>

<file path=customXml/itemProps2.xml><?xml version="1.0" encoding="utf-8"?>
<ds:datastoreItem xmlns:ds="http://schemas.openxmlformats.org/officeDocument/2006/customXml" ds:itemID="{EAE82C04-173D-4CD6-890C-6FECFA921990}"/>
</file>

<file path=customXml/itemProps3.xml><?xml version="1.0" encoding="utf-8"?>
<ds:datastoreItem xmlns:ds="http://schemas.openxmlformats.org/officeDocument/2006/customXml" ds:itemID="{19B57402-98D5-40C1-8A78-E858D28247D6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2026-02-17T14:35:30Z</dcterms:created>
  <dcterms:modified xsi:type="dcterms:W3CDTF">2026-02-17T14:49:58Z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