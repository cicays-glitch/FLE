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FF0D3F51-820B-412F-82AA-B10575F43A98}" xr6:coauthVersionLast="47" xr6:coauthVersionMax="47" xr10:uidLastSave="{00000000-0000-0000-0000-000000000000}"/>
  <bookViews>
    <workbookView xWindow="20525" yWindow="-107" windowWidth="20848" windowHeight="11111" xr2:uid="{51F69207-B8B4-40AE-A4AB-44BA41555C4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2" i="1"/>
  <c r="A22" i="1" s="1"/>
  <c r="B23" i="1"/>
  <c r="A23" i="1" s="1"/>
  <c r="B24" i="1"/>
  <c r="B25" i="1"/>
  <c r="B26" i="1"/>
  <c r="B27" i="1"/>
  <c r="B28" i="1"/>
  <c r="B29" i="1"/>
  <c r="B30" i="1"/>
  <c r="B31" i="1"/>
  <c r="B32" i="1"/>
  <c r="B33" i="1"/>
  <c r="B34" i="1"/>
  <c r="A34" i="1" s="1"/>
  <c r="B35" i="1"/>
  <c r="A35" i="1" s="1"/>
  <c r="B36" i="1"/>
  <c r="B37" i="1"/>
  <c r="B38" i="1"/>
  <c r="B39" i="1"/>
  <c r="B40" i="1"/>
  <c r="B41" i="1"/>
  <c r="B42" i="1"/>
  <c r="B43" i="1"/>
  <c r="B44" i="1"/>
  <c r="B45" i="1"/>
  <c r="B46" i="1"/>
  <c r="A46" i="1" s="1"/>
  <c r="B47" i="1"/>
  <c r="A47" i="1" s="1"/>
  <c r="B48" i="1"/>
  <c r="B49" i="1"/>
  <c r="B50" i="1"/>
  <c r="B51" i="1"/>
  <c r="B52" i="1"/>
  <c r="B53" i="1"/>
  <c r="B54" i="1"/>
  <c r="B55" i="1"/>
  <c r="B56" i="1"/>
  <c r="B57" i="1"/>
  <c r="B58" i="1"/>
  <c r="A58" i="1" s="1"/>
  <c r="B59" i="1"/>
  <c r="A59" i="1" s="1"/>
  <c r="B60" i="1"/>
  <c r="B61" i="1"/>
  <c r="B62" i="1"/>
  <c r="B63" i="1"/>
  <c r="B64" i="1"/>
  <c r="B65" i="1"/>
  <c r="B66" i="1"/>
  <c r="B67" i="1"/>
  <c r="B68" i="1"/>
  <c r="B69" i="1"/>
  <c r="B70" i="1"/>
  <c r="A70" i="1" s="1"/>
  <c r="B71" i="1"/>
  <c r="A71" i="1" s="1"/>
  <c r="B72" i="1"/>
  <c r="B73" i="1"/>
  <c r="B74" i="1"/>
  <c r="B75" i="1"/>
  <c r="B76" i="1"/>
  <c r="B77" i="1"/>
  <c r="B78" i="1"/>
  <c r="B79" i="1"/>
  <c r="B80" i="1"/>
  <c r="B81" i="1"/>
  <c r="B82" i="1"/>
  <c r="B83" i="1"/>
  <c r="A83" i="1" s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A105" i="1" s="1"/>
  <c r="B106" i="1"/>
  <c r="B107" i="1"/>
  <c r="B108" i="1"/>
  <c r="B109" i="1"/>
  <c r="B110" i="1"/>
  <c r="A75" i="1"/>
  <c r="A87" i="1"/>
  <c r="B3" i="1"/>
  <c r="A3" i="1" s="1"/>
  <c r="B4" i="1"/>
  <c r="A4" i="1" s="1"/>
  <c r="B5" i="1"/>
  <c r="A5" i="1" s="1"/>
  <c r="B6" i="1"/>
  <c r="A6" i="1" s="1"/>
  <c r="B7" i="1"/>
  <c r="A7" i="1" s="1"/>
  <c r="B8" i="1"/>
  <c r="A8" i="1" s="1"/>
  <c r="B9" i="1"/>
  <c r="A9" i="1" s="1"/>
  <c r="B10" i="1"/>
  <c r="A10" i="1" s="1"/>
  <c r="B11" i="1"/>
  <c r="A11" i="1" s="1"/>
  <c r="B12" i="1"/>
  <c r="A12" i="1" s="1"/>
  <c r="B13" i="1"/>
  <c r="A13" i="1" s="1"/>
  <c r="B14" i="1"/>
  <c r="A14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A21" i="1"/>
  <c r="A24" i="1"/>
  <c r="A25" i="1"/>
  <c r="A26" i="1"/>
  <c r="A27" i="1"/>
  <c r="A28" i="1"/>
  <c r="A29" i="1"/>
  <c r="A30" i="1"/>
  <c r="A31" i="1"/>
  <c r="A32" i="1"/>
  <c r="A33" i="1"/>
  <c r="A36" i="1"/>
  <c r="A37" i="1"/>
  <c r="A38" i="1"/>
  <c r="A39" i="1"/>
  <c r="A40" i="1"/>
  <c r="A41" i="1"/>
  <c r="A42" i="1"/>
  <c r="A43" i="1"/>
  <c r="A44" i="1"/>
  <c r="A45" i="1"/>
  <c r="A48" i="1"/>
  <c r="A49" i="1"/>
  <c r="A50" i="1"/>
  <c r="A51" i="1"/>
  <c r="A52" i="1"/>
  <c r="A53" i="1"/>
  <c r="A54" i="1"/>
  <c r="A55" i="1"/>
  <c r="A56" i="1"/>
  <c r="A57" i="1"/>
  <c r="A60" i="1"/>
  <c r="A61" i="1"/>
  <c r="A62" i="1"/>
  <c r="A63" i="1"/>
  <c r="A64" i="1"/>
  <c r="A65" i="1"/>
  <c r="A66" i="1"/>
  <c r="A67" i="1"/>
  <c r="A68" i="1"/>
  <c r="A69" i="1"/>
  <c r="A72" i="1"/>
  <c r="A73" i="1"/>
  <c r="A74" i="1"/>
  <c r="A76" i="1"/>
  <c r="A77" i="1"/>
  <c r="A78" i="1"/>
  <c r="A79" i="1"/>
  <c r="A80" i="1"/>
  <c r="A81" i="1"/>
  <c r="A82" i="1"/>
  <c r="A84" i="1"/>
  <c r="A85" i="1"/>
  <c r="A86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6" i="1"/>
  <c r="A107" i="1"/>
  <c r="A108" i="1"/>
  <c r="A109" i="1"/>
  <c r="B2" i="1"/>
  <c r="A2" i="1" s="1"/>
</calcChain>
</file>

<file path=xl/sharedStrings.xml><?xml version="1.0" encoding="utf-8"?>
<sst xmlns="http://schemas.openxmlformats.org/spreadsheetml/2006/main" count="345" uniqueCount="231">
  <si>
    <t>Item</t>
  </si>
  <si>
    <t>Cuenta</t>
  </si>
  <si>
    <t>Nombre Cuenta.</t>
  </si>
  <si>
    <t>Debitos</t>
  </si>
  <si>
    <t>Creditos</t>
  </si>
  <si>
    <t>Sal. Deudor</t>
  </si>
  <si>
    <t>Sal. Acreedor</t>
  </si>
  <si>
    <t>Activos</t>
  </si>
  <si>
    <t>Pasivos</t>
  </si>
  <si>
    <t>Pérdidas</t>
  </si>
  <si>
    <t>Ganancias</t>
  </si>
  <si>
    <t>1.1.01.101</t>
  </si>
  <si>
    <t>EFECTIVO EN TRANSITO</t>
  </si>
  <si>
    <t>1.1.01.203</t>
  </si>
  <si>
    <t>FONDO FIJO PLAZA EGAÑA</t>
  </si>
  <si>
    <t>1.1.01.204</t>
  </si>
  <si>
    <t>FONDO FIJO VESPUCIO</t>
  </si>
  <si>
    <t>1.1.01.205</t>
  </si>
  <si>
    <t>FONDO FIJO TREBOL</t>
  </si>
  <si>
    <t>1.1.01.206</t>
  </si>
  <si>
    <t>FONDO FIJO COSTANERA CENTER</t>
  </si>
  <si>
    <t>1.1.01.207</t>
  </si>
  <si>
    <t>FONDO FIJO FLORIDA CENTER</t>
  </si>
  <si>
    <t>1.1.01.208</t>
  </si>
  <si>
    <t>FONDO FIJO SANTIAGO CENTRO</t>
  </si>
  <si>
    <t>1.1.01.209</t>
  </si>
  <si>
    <t>FONDO FIJO CONCEPCION CENTRO</t>
  </si>
  <si>
    <t>1.1.01.210</t>
  </si>
  <si>
    <t>FONDO FIJO TALCA</t>
  </si>
  <si>
    <t>1.1.01.211</t>
  </si>
  <si>
    <t>FONSO FIJO PLAZA NORTE</t>
  </si>
  <si>
    <t>1.1.01.212</t>
  </si>
  <si>
    <t>FONDO FIJO PLAZA OESTE</t>
  </si>
  <si>
    <t>1.1.01.301</t>
  </si>
  <si>
    <t>BANCOS CTA CTE $</t>
  </si>
  <si>
    <t>1.1.01.302</t>
  </si>
  <si>
    <t>BANCOS CTA CTE US$</t>
  </si>
  <si>
    <t>1.1.02.106</t>
  </si>
  <si>
    <t>DEPOSITO A PLAZO CORREDORA</t>
  </si>
  <si>
    <t>1.1.03.201</t>
  </si>
  <si>
    <t>GASTOS PAGADOS POR ANTICIPADO</t>
  </si>
  <si>
    <t>1.1.04.102</t>
  </si>
  <si>
    <t>CLIENTES BOLETAS</t>
  </si>
  <si>
    <t>1.1.04.104</t>
  </si>
  <si>
    <t>FONDOS POR RENDIR</t>
  </si>
  <si>
    <t>1.1.04.105</t>
  </si>
  <si>
    <t>TRANSBANK POR COBRAR TC</t>
  </si>
  <si>
    <t>1.1.04.106</t>
  </si>
  <si>
    <t>TRANSBANK POR COBRAR TD</t>
  </si>
  <si>
    <t>1.1.04.108</t>
  </si>
  <si>
    <t>GIFTCARD</t>
  </si>
  <si>
    <t>1.1.04.109</t>
  </si>
  <si>
    <t>ECOMMERCE</t>
  </si>
  <si>
    <t>1.1.04.112</t>
  </si>
  <si>
    <t>GETNET TC</t>
  </si>
  <si>
    <t>1.1.04.113</t>
  </si>
  <si>
    <t>GETNET TD/ PREPAGO</t>
  </si>
  <si>
    <t>1.1.04.200</t>
  </si>
  <si>
    <t>CUENTAS POR COBRAR</t>
  </si>
  <si>
    <t>1.1.05.403</t>
  </si>
  <si>
    <t>ANTICIPO PROVEEDORES</t>
  </si>
  <si>
    <t>1.1.05.405</t>
  </si>
  <si>
    <t>ANTICIPO AGENCIA DE ADUANAS</t>
  </si>
  <si>
    <t>1.1.06.401</t>
  </si>
  <si>
    <t>EXISTENCIAS NACIONALES</t>
  </si>
  <si>
    <t>1.1.06.801</t>
  </si>
  <si>
    <t>MERCADERIA EN TRANSITO</t>
  </si>
  <si>
    <t>1.1.06.802</t>
  </si>
  <si>
    <t>MERCADERIA EN TRANSITO USD</t>
  </si>
  <si>
    <t>1.1.09.101</t>
  </si>
  <si>
    <t>IVA CREDITO FISCAL (COMPRAS)</t>
  </si>
  <si>
    <t>1.1.09.103</t>
  </si>
  <si>
    <t>REMANENTE IVA CREDITO FISCAL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</si>
  <si>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</si>
  <si>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</si>
  <si>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</si>
  <si>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</si>
  <si>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</si>
  <si>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</si>
  <si>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</si>
  <si>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</si>
  <si>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1.2.02.904</t>
  </si>
  <si>
    <t>DEPRECIACION ACUMULADA MUEBLES Y UTILES</t>
  </si>
  <si>
    <t>1.2.02.905</t>
  </si>
  <si>
    <t>DEPRECIACION ACUMULADA EQUIPOS COMPUTACIONALES</t>
  </si>
  <si>
    <t>2.1.01.203</t>
  </si>
  <si>
    <t>PRESTAMOS NO BANCARIOS MONTO A</t>
  </si>
  <si>
    <t>2.1.01.204</t>
  </si>
  <si>
    <t>CUENTAS POR PAGAR</t>
  </si>
  <si>
    <t>2.1.01.601</t>
  </si>
  <si>
    <t>TARJETA CREDITO CLP</t>
  </si>
  <si>
    <t>2.1.02.102</t>
  </si>
  <si>
    <t>PROVEEDORES US$</t>
  </si>
  <si>
    <t>2.1.02.103</t>
  </si>
  <si>
    <t>PROVEEDORES $</t>
  </si>
  <si>
    <t>2.1.02.401</t>
  </si>
  <si>
    <t>HONORARIOS POR PAGAR</t>
  </si>
  <si>
    <t>2.1.02.503</t>
  </si>
  <si>
    <t>PREVIRED POR PAGAR</t>
  </si>
  <si>
    <t>2.1.02.604</t>
  </si>
  <si>
    <t>ACREEDORES VARIOS</t>
  </si>
  <si>
    <t>2.1.02.605</t>
  </si>
  <si>
    <t>PROVISIONES VARIAS</t>
  </si>
  <si>
    <t>2.1.05.101</t>
  </si>
  <si>
    <t>IMPUESTO ÚNICO TRABAJADORES</t>
  </si>
  <si>
    <t>2.1.05.102</t>
  </si>
  <si>
    <t>RETENCION DE HONORARIOS</t>
  </si>
  <si>
    <t>2.1.05.103</t>
  </si>
  <si>
    <t>IVA DEBITO FISCAL (VENTAS)</t>
  </si>
  <si>
    <t>2.1.05.106</t>
  </si>
  <si>
    <t>IMPUESTO POR PAGAR FORM. 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</si>
  <si>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</si>
  <si>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</si>
  <si>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</si>
  <si>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</si>
  <si>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</si>
  <si>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</si>
  <si>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</si>
  <si>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</si>
  <si>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</si>
  <si>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</si>
  <si>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3.1.02.104</t>
  </si>
  <si>
    <t>COMISIÓN - CANAL DIGITAL</t>
  </si>
  <si>
    <t>3.1.02.105</t>
  </si>
  <si>
    <t>FLETES - CANAL DIGITAL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</si>
  <si>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</si>
  <si>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</si>
  <si>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</si>
  <si>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</si>
  <si>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</si>
  <si>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</si>
  <si>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</si>
  <si>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</si>
  <si>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</si>
  <si>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</si>
  <si>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</si>
  <si>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</si>
  <si>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</si>
  <si>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</si>
  <si>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</si>
  <si>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</si>
  <si>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</si>
  <si>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</si>
  <si>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</si>
  <si>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</si>
  <si>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</si>
  <si>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</si>
  <si>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</si>
  <si>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</si>
  <si>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</si>
  <si>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</si>
  <si>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</si>
  <si>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</si>
  <si>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</si>
  <si>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</si>
  <si>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</si>
  <si>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</si>
  <si>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</si>
  <si>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</si>
  <si>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</si>
  <si>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</si>
  <si>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</si>
  <si>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</si>
  <si>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</si>
  <si>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</si>
  <si>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</si>
  <si>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</si>
  <si>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</si>
  <si>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</si>
  <si>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</si>
  <si>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</si>
  <si>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</si>
  <si>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</si>
  <si>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</si>
  <si>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</si>
  <si>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</si>
  <si>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</si>
  <si>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</si>
  <si>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</si>
  <si>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</si>
  <si>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</si>
  <si>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</si>
  <si>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</si>
  <si>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</si>
  <si>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</si>
  <si>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</si>
  <si>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</si>
  <si>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</si>
  <si>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</si>
  <si>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</si>
  <si>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</si>
  <si>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</si>
  <si>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</si>
  <si>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</si>
  <si>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</si>
  <si>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</si>
  <si>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</si>
  <si>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</si>
  <si>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</si>
  <si>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</si>
  <si>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</si>
  <si>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</si>
  <si>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</si>
  <si>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</si>
  <si>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</si>
  <si>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</si>
  <si>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</si>
  <si>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</si>
  <si>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</si>
  <si>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3.1.07.833</t>
  </si>
  <si>
    <t xml:space="preserve">SUMINISTROS VISUAL </t>
  </si>
  <si>
    <t>3.1.08.701</t>
  </si>
  <si>
    <t>DEPRECIACION DEL EJERCICIO</t>
  </si>
  <si>
    <t>3.2.08.105</t>
  </si>
  <si>
    <t xml:space="preserve">INTERESES POR PRESTAMO </t>
  </si>
  <si>
    <t>3.2.08.116</t>
  </si>
  <si>
    <t>INTERES GANADO POR DEPOSITO A PLAZO PESOS</t>
  </si>
  <si>
    <t>3.2.11.158</t>
  </si>
  <si>
    <t>DIFERENCIA DE CAMBIO</t>
  </si>
  <si>
    <t>3.2.13.101</t>
  </si>
  <si>
    <t>CORRECCION MONETARIA ACTIVOS</t>
  </si>
  <si>
    <t>3.2.13.109</t>
  </si>
  <si>
    <t>AJUSTE REDONDEO AUTO</t>
  </si>
  <si>
    <t>3.1.01.103</t>
  </si>
  <si>
    <t>VENTAS CON BOLETA (RPA)</t>
  </si>
  <si>
    <t>3.1.01.300</t>
  </si>
  <si>
    <t>OTROS INGRESOS</t>
  </si>
  <si>
    <t>TOT</t>
  </si>
  <si>
    <t>SUMAS</t>
  </si>
  <si>
    <t>UTILIDAD O PERDIDA DEL EJERCICIO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</si>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</sst>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3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6" fillId="34" borderId="10" xfId="0" applyFont="1" applyFill="1" applyBorder="1" applyAlignment="1">
      <alignment horizontal="right"/>
    </xf>
    <xf numFmtId="0" fontId="23" fillId="34" borderId="10" xfId="42" applyFill="1" applyBorder="1" applyAlignment="1">
      <alignment horizontal="right"/>
    </xf>
    <xf numFmtId="0" fontId="26" fillId="0" borderId="10" xfId="0" applyFont="1" applyBorder="1" applyAlignment="1">
      <alignment horizontal="right"/>
    </xf>
    <xf numFmtId="0" fontId="0" fillId="0" borderId="0" xfId="0" applyAlignment="1">
      <alignment horizontal="left"/>
    </xf>
  </cellXfs>
  <cellStyles count="1449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58C4A7A1-9136-4336-B5A9-8EB18D2D0804}"/>
    <cellStyle name="60% - Énfasis1 10" xfId="36" xr:uid="{6E672CAF-CDA7-4B5B-9AC6-A2CB88DE347F}"/>
    <cellStyle name="60% - Énfasis1 2" xfId="65" xr:uid="{10584C08-E758-490C-ACE1-9DB53E5CE48B}"/>
    <cellStyle name="60% - Énfasis1 3" xfId="83" xr:uid="{2598DA2A-41FB-4FD0-A2D8-1A8A56C04468}"/>
    <cellStyle name="60% - Énfasis1 4" xfId="112" xr:uid="{7B6ECCF5-60B0-448F-BCE3-2F37286047D4}"/>
    <cellStyle name="60% - Énfasis1 5" xfId="162" xr:uid="{C71B4CF6-EB5F-4AA6-89DA-295E5473C639}"/>
    <cellStyle name="60% - Énfasis1 6" xfId="251" xr:uid="{DDEB43D7-A1CE-4579-A19B-B698450EAB11}"/>
    <cellStyle name="60% - Énfasis1 7" xfId="266" xr:uid="{95138FD3-DB23-4ADB-A3C4-1368F37F4DD2}"/>
    <cellStyle name="60% - Énfasis1 8" xfId="439" xr:uid="{C8E23AFE-8DB2-488B-B712-8BC11D12CCE8}"/>
    <cellStyle name="60% - Énfasis1 9" xfId="778" xr:uid="{5F82768D-2CE4-4D18-B471-B4F95549C4D4}"/>
    <cellStyle name="60% - Énfasis2 10" xfId="37" xr:uid="{5E84BEAC-61F6-45A6-BF6A-E83A4FCADBCD}"/>
    <cellStyle name="60% - Énfasis2 2" xfId="66" xr:uid="{87CB2591-F7D2-48C6-B765-02D7ABBE8863}"/>
    <cellStyle name="60% - Énfasis2 3" xfId="84" xr:uid="{125F38CC-A447-41E2-B8DD-36E3B7F13996}"/>
    <cellStyle name="60% - Énfasis2 4" xfId="113" xr:uid="{BA5B98EA-FD80-4CCD-BDA3-96A12A290970}"/>
    <cellStyle name="60% - Énfasis2 5" xfId="163" xr:uid="{34A4D206-5D7A-44A9-9877-2165023333DA}"/>
    <cellStyle name="60% - Énfasis2 6" xfId="252" xr:uid="{1C6F5004-E631-4DBA-BE0F-C7E0FFF3861F}"/>
    <cellStyle name="60% - Énfasis2 7" xfId="267" xr:uid="{FB003428-4AF7-42A1-BCF6-C96593492976}"/>
    <cellStyle name="60% - Énfasis2 8" xfId="440" xr:uid="{B16C7BD9-A78C-4CBC-88AC-8DAA8555492D}"/>
    <cellStyle name="60% - Énfasis2 9" xfId="779" xr:uid="{35E7AEC9-1BF9-4789-822E-8BE5C9BBA347}"/>
    <cellStyle name="60% - Énfasis3 10" xfId="38" xr:uid="{0246BAE3-869A-402E-B5AA-ED1F2B4BE469}"/>
    <cellStyle name="60% - Énfasis3 2" xfId="67" xr:uid="{F6840019-10EF-451D-B237-793F9A0A4041}"/>
    <cellStyle name="60% - Énfasis3 3" xfId="85" xr:uid="{533DBF57-0895-4D6E-877C-3C0B7C8D8669}"/>
    <cellStyle name="60% - Énfasis3 4" xfId="114" xr:uid="{B22DB9CB-869B-450B-A601-AFBD7B65BF85}"/>
    <cellStyle name="60% - Énfasis3 5" xfId="164" xr:uid="{F8C424A6-90B8-4483-807B-8985BB4C6754}"/>
    <cellStyle name="60% - Énfasis3 6" xfId="253" xr:uid="{B455E099-1F77-4AF5-BFEE-CEE4978DD7EC}"/>
    <cellStyle name="60% - Énfasis3 7" xfId="268" xr:uid="{0261609F-7F56-422E-B281-DBA3E5161DA6}"/>
    <cellStyle name="60% - Énfasis3 8" xfId="441" xr:uid="{61721350-30F5-46E8-9112-647F59605034}"/>
    <cellStyle name="60% - Énfasis3 9" xfId="780" xr:uid="{4AE0D76B-DE51-4968-AF1A-760A034A857D}"/>
    <cellStyle name="60% - Énfasis4 10" xfId="39" xr:uid="{F2A658FE-DE24-4ACD-82E8-E1CB95E3ED7B}"/>
    <cellStyle name="60% - Énfasis4 2" xfId="68" xr:uid="{09C5387D-270C-4585-9773-811A2E05B59D}"/>
    <cellStyle name="60% - Énfasis4 3" xfId="86" xr:uid="{8CA81172-71B3-4C46-9E5A-90FFD7B23E25}"/>
    <cellStyle name="60% - Énfasis4 4" xfId="115" xr:uid="{777F117D-3EF7-495A-9213-BB3CE47F8C9B}"/>
    <cellStyle name="60% - Énfasis4 5" xfId="165" xr:uid="{7D0719EA-659F-43C3-842D-B0CE0E5FBC38}"/>
    <cellStyle name="60% - Énfasis4 6" xfId="254" xr:uid="{DE1129C7-400F-437C-A95C-E058EF7FDF81}"/>
    <cellStyle name="60% - Énfasis4 7" xfId="269" xr:uid="{27B85256-7E20-47CE-A921-6F1385C8520D}"/>
    <cellStyle name="60% - Énfasis4 8" xfId="442" xr:uid="{71A9AA71-9EA6-457C-A055-1345E4086BC6}"/>
    <cellStyle name="60% - Énfasis4 9" xfId="781" xr:uid="{DD037321-EE40-4803-8B33-874EA46FC499}"/>
    <cellStyle name="60% - Énfasis5 10" xfId="40" xr:uid="{332D527D-0347-4588-AA8F-E3103D05EF10}"/>
    <cellStyle name="60% - Énfasis5 2" xfId="69" xr:uid="{B3601707-A317-4551-AD6E-BB6AB96A296B}"/>
    <cellStyle name="60% - Énfasis5 3" xfId="87" xr:uid="{F5BF095C-F0EF-4756-AD42-6FBCA9CF1B1A}"/>
    <cellStyle name="60% - Énfasis5 4" xfId="116" xr:uid="{AD785FF6-70B1-48E8-BE69-7AB3176037B0}"/>
    <cellStyle name="60% - Énfasis5 5" xfId="166" xr:uid="{2E95F60F-339E-4AF9-990E-F71DB1937AEA}"/>
    <cellStyle name="60% - Énfasis5 6" xfId="255" xr:uid="{AFD0F2BA-45A1-41EB-BA04-77BA29FFF832}"/>
    <cellStyle name="60% - Énfasis5 7" xfId="270" xr:uid="{AD14E1EA-2945-45A4-8388-E47FC3F4EB2C}"/>
    <cellStyle name="60% - Énfasis5 8" xfId="443" xr:uid="{28270DFE-4FC3-43F7-8156-A4F5523FD2D0}"/>
    <cellStyle name="60% - Énfasis5 9" xfId="782" xr:uid="{8CAC3722-9A23-45AB-A135-EFE6012501A0}"/>
    <cellStyle name="60% - Énfasis6 10" xfId="41" xr:uid="{92F1832D-81C2-4EA0-939D-AECDB1E66FC3}"/>
    <cellStyle name="60% - Énfasis6 2" xfId="70" xr:uid="{D597CD3D-5FFE-4E1D-A802-70FC60776D38}"/>
    <cellStyle name="60% - Énfasis6 3" xfId="88" xr:uid="{10D6A7E1-A04B-4386-9DF1-4263B40FE7AE}"/>
    <cellStyle name="60% - Énfasis6 4" xfId="117" xr:uid="{183B58C7-6E05-4F47-A70B-95FF0401236B}"/>
    <cellStyle name="60% - Énfasis6 5" xfId="167" xr:uid="{7AAD1050-6F66-423E-94C1-1051EC68630A}"/>
    <cellStyle name="60% - Énfasis6 6" xfId="256" xr:uid="{F640B380-490A-4938-B4CE-FB78AEEF49F4}"/>
    <cellStyle name="60% - Énfasis6 7" xfId="271" xr:uid="{6A0C700F-5D2C-404F-A7E5-48BC2A59E122}"/>
    <cellStyle name="60% - Énfasis6 8" xfId="444" xr:uid="{023FCDBF-FDE8-40E1-AC1A-A73761B1F996}"/>
    <cellStyle name="60% - Énfasis6 9" xfId="783" xr:uid="{CE2D6B73-70FF-4622-8870-3105AA9728DA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Hipervínculo" xfId="42" builtinId="8"/>
    <cellStyle name="Incorrecto" xfId="7" builtinId="27" customBuiltin="1"/>
    <cellStyle name="Millares [0] 10" xfId="175" xr:uid="{29C17F77-3155-4FEB-BF4D-482D25485907}"/>
    <cellStyle name="Millares [0] 10 2" xfId="361" xr:uid="{FA6FC774-E306-4DEE-8E6E-89493DC64D59}"/>
    <cellStyle name="Millares [0] 10 2 2" xfId="700" xr:uid="{33CBA305-9D0C-47A3-B668-AF41CBA8FC76}"/>
    <cellStyle name="Millares [0] 10 2 2 2" xfId="1371" xr:uid="{BA0DDF00-967B-4366-8B61-ABEE49DC385B}"/>
    <cellStyle name="Millares [0] 10 2 3" xfId="1039" xr:uid="{4E4A7A27-C589-4A7E-BE3F-DE266A239164}"/>
    <cellStyle name="Millares [0] 10 3" xfId="534" xr:uid="{4E600D67-2FB0-4247-B7F7-F1A4C59EB66B}"/>
    <cellStyle name="Millares [0] 10 3 2" xfId="1205" xr:uid="{83A2966F-CD12-41BD-BDE2-97029C313664}"/>
    <cellStyle name="Millares [0] 10 4" xfId="873" xr:uid="{EA9FF0ED-5771-41D6-8AAD-A50B9EA88F1B}"/>
    <cellStyle name="Millares [0] 11" xfId="265" xr:uid="{1D5B26EC-7543-4B88-96DA-4A972C1424A6}"/>
    <cellStyle name="Millares [0] 11 2" xfId="438" xr:uid="{AB067B0B-7CBA-444F-AD9A-ECB41A7EF1F6}"/>
    <cellStyle name="Millares [0] 11 2 2" xfId="777" xr:uid="{3B6F592B-4C24-4B5D-A019-8CF502736CF7}"/>
    <cellStyle name="Millares [0] 11 2 2 2" xfId="1448" xr:uid="{ECE2686D-31C4-480E-9F4E-1E32E1B6832C}"/>
    <cellStyle name="Millares [0] 11 2 3" xfId="1116" xr:uid="{6C1FE029-C99F-48F7-8FFE-76656316B10E}"/>
    <cellStyle name="Millares [0] 11 3" xfId="611" xr:uid="{2DA91F60-60A3-4BE3-A744-650F00A89381}"/>
    <cellStyle name="Millares [0] 11 3 2" xfId="1282" xr:uid="{5289B0D3-1B07-47A1-A3A7-E5057362D37D}"/>
    <cellStyle name="Millares [0] 11 4" xfId="950" xr:uid="{3630880F-368B-4742-8A8B-227656796DFC}"/>
    <cellStyle name="Millares [0] 12" xfId="279" xr:uid="{A9196A91-1215-48B8-A0C9-D94A8915CD3A}"/>
    <cellStyle name="Millares [0] 12 2" xfId="618" xr:uid="{79CE5EB1-2E9D-44CC-8293-E30726C27C5F}"/>
    <cellStyle name="Millares [0] 12 2 2" xfId="1289" xr:uid="{3BB12B8F-0E9E-4ABE-B83A-7BAB9027B1DF}"/>
    <cellStyle name="Millares [0] 12 3" xfId="957" xr:uid="{256601A9-D4F2-4A95-81B5-3A5E4B4B4135}"/>
    <cellStyle name="Millares [0] 13" xfId="452" xr:uid="{7742025E-DC07-4C78-96DB-7A1C3A201D94}"/>
    <cellStyle name="Millares [0] 13 2" xfId="1123" xr:uid="{D2514EC9-9043-4232-BB32-F922F810F0F3}"/>
    <cellStyle name="Millares [0] 14" xfId="791" xr:uid="{F2F45A28-855C-4E1E-8239-C47FECAE7331}"/>
    <cellStyle name="Millares [0] 15" xfId="61" xr:uid="{F0078DC6-9658-44FE-A991-69A23AD06DC8}"/>
    <cellStyle name="Millares [0] 2" xfId="44" xr:uid="{2EFDB2AC-59E8-40E0-AEFA-C8A0B76D0E22}"/>
    <cellStyle name="Millares [0] 2 2" xfId="258" xr:uid="{88293BAB-CF4D-413F-966E-18A3A796CDCF}"/>
    <cellStyle name="Millares [0] 3" xfId="45" xr:uid="{B611818C-CCEE-4DBD-87BE-DF745386095B}"/>
    <cellStyle name="Millares [0] 3 2" xfId="72" xr:uid="{C4EE9104-2DFE-4A1F-9C19-CB341C048A14}"/>
    <cellStyle name="Millares [0] 3 2 2" xfId="101" xr:uid="{D239EF3C-B220-4BB8-A21B-0E023AE766EE}"/>
    <cellStyle name="Millares [0] 3 2 2 2" xfId="149" xr:uid="{2813973F-D102-4C42-9083-54A98289FBC3}"/>
    <cellStyle name="Millares [0] 3 2 2 2 2" xfId="238" xr:uid="{7AD6EE95-0966-4B30-A95E-C42EF76EB04D}"/>
    <cellStyle name="Millares [0] 3 2 2 2 2 2" xfId="424" xr:uid="{C1AAA1CE-575B-4C03-9A5F-CDA21F760B30}"/>
    <cellStyle name="Millares [0] 3 2 2 2 2 2 2" xfId="763" xr:uid="{2D2B6AF9-195B-4F37-AECB-C18074A331B6}"/>
    <cellStyle name="Millares [0] 3 2 2 2 2 2 2 2" xfId="1434" xr:uid="{02A532CD-FC03-4450-88AF-A3CCA5EA97AA}"/>
    <cellStyle name="Millares [0] 3 2 2 2 2 2 3" xfId="1102" xr:uid="{C545B61D-B050-43BE-BD47-788798E180E5}"/>
    <cellStyle name="Millares [0] 3 2 2 2 2 3" xfId="597" xr:uid="{8C6C6F49-F105-4190-8BCD-A2BBE83114A4}"/>
    <cellStyle name="Millares [0] 3 2 2 2 2 3 2" xfId="1268" xr:uid="{3DBA461E-AD30-434C-910D-BDB743AB92BA}"/>
    <cellStyle name="Millares [0] 3 2 2 2 2 4" xfId="936" xr:uid="{AA041266-FBEC-40CB-9613-4FE44FC88A54}"/>
    <cellStyle name="Millares [0] 3 2 2 2 3" xfId="342" xr:uid="{7B904109-2A17-457E-9073-E378FB37E23D}"/>
    <cellStyle name="Millares [0] 3 2 2 2 3 2" xfId="681" xr:uid="{D5DAB5CC-97BB-4D16-BEB9-90241B6A0A19}"/>
    <cellStyle name="Millares [0] 3 2 2 2 3 2 2" xfId="1352" xr:uid="{B2A6F78D-0DEB-4A32-AAE9-8B9E00F003FD}"/>
    <cellStyle name="Millares [0] 3 2 2 2 3 3" xfId="1020" xr:uid="{EE69289D-796A-408B-BCDD-BFA1E5710160}"/>
    <cellStyle name="Millares [0] 3 2 2 2 4" xfId="515" xr:uid="{A2044E3B-5DC4-4209-8712-08E68D6B0D6B}"/>
    <cellStyle name="Millares [0] 3 2 2 2 4 2" xfId="1186" xr:uid="{4EE9618A-86A3-48EC-AD20-1421DAE60D3F}"/>
    <cellStyle name="Millares [0] 3 2 2 2 5" xfId="854" xr:uid="{68B6CD0C-EC4E-4C51-ADF2-7E9DB520E57A}"/>
    <cellStyle name="Millares [0] 3 2 2 3" xfId="198" xr:uid="{A427BB56-D482-4DB4-8B18-CA68FA91E30D}"/>
    <cellStyle name="Millares [0] 3 2 2 3 2" xfId="384" xr:uid="{8C17298B-0CF3-4457-84B8-39A3F1AF13FA}"/>
    <cellStyle name="Millares [0] 3 2 2 3 2 2" xfId="723" xr:uid="{A86E2103-54EB-430B-9D30-15B983D941BD}"/>
    <cellStyle name="Millares [0] 3 2 2 3 2 2 2" xfId="1394" xr:uid="{D3A8FEFF-D4CF-4FBA-BD35-9F921AF42C5B}"/>
    <cellStyle name="Millares [0] 3 2 2 3 2 3" xfId="1062" xr:uid="{270928BD-517C-4F08-9065-AA8116EEE665}"/>
    <cellStyle name="Millares [0] 3 2 2 3 3" xfId="557" xr:uid="{C18F9DFE-7666-4AEA-9442-21E4FFDD111B}"/>
    <cellStyle name="Millares [0] 3 2 2 3 3 2" xfId="1228" xr:uid="{59F46BEB-903F-4C6D-BADF-AE15E0D52B9B}"/>
    <cellStyle name="Millares [0] 3 2 2 3 4" xfId="896" xr:uid="{DC1E0395-43D2-4489-8745-696AA1B86171}"/>
    <cellStyle name="Millares [0] 3 2 2 4" xfId="302" xr:uid="{7E579FBE-4557-4787-AE33-4AFDB4958427}"/>
    <cellStyle name="Millares [0] 3 2 2 4 2" xfId="641" xr:uid="{5A2A318B-646B-4342-95F7-DB4D9AC6D73A}"/>
    <cellStyle name="Millares [0] 3 2 2 4 2 2" xfId="1312" xr:uid="{70FAD5C5-32B6-4D8A-A955-786D271508F7}"/>
    <cellStyle name="Millares [0] 3 2 2 4 3" xfId="980" xr:uid="{4CDBF345-3FAE-426A-BE14-4D26DDD379C3}"/>
    <cellStyle name="Millares [0] 3 2 2 5" xfId="475" xr:uid="{E7749CC9-2F8F-4CC4-BF84-EFB764D153F9}"/>
    <cellStyle name="Millares [0] 3 2 2 5 2" xfId="1146" xr:uid="{46C952E8-18B1-4481-A6EE-6C9F9A368DC9}"/>
    <cellStyle name="Millares [0] 3 2 2 6" xfId="814" xr:uid="{F99F7B2B-BE3B-4E6E-B540-8BAF03E176F5}"/>
    <cellStyle name="Millares [0] 3 2 3" xfId="130" xr:uid="{0DC3BA04-63FD-412F-AFBE-EE39C6671C64}"/>
    <cellStyle name="Millares [0] 3 2 3 2" xfId="219" xr:uid="{271C5476-78EE-49CD-8978-FD1FE5CDC0BC}"/>
    <cellStyle name="Millares [0] 3 2 3 2 2" xfId="405" xr:uid="{3AE083C5-18F3-4FA0-A80A-8AC9EBF89CC2}"/>
    <cellStyle name="Millares [0] 3 2 3 2 2 2" xfId="744" xr:uid="{0C6DB5CA-A8A9-4EE0-ABCD-B13ADCC5314F}"/>
    <cellStyle name="Millares [0] 3 2 3 2 2 2 2" xfId="1415" xr:uid="{497D33B1-DF72-46AD-9CCF-CDFF993C1A07}"/>
    <cellStyle name="Millares [0] 3 2 3 2 2 3" xfId="1083" xr:uid="{47570F3D-1346-4829-8727-789E995EA715}"/>
    <cellStyle name="Millares [0] 3 2 3 2 3" xfId="578" xr:uid="{EAA931DF-0071-4680-A2B2-5312EFF6ACEE}"/>
    <cellStyle name="Millares [0] 3 2 3 2 3 2" xfId="1249" xr:uid="{D4A858AE-9F2B-4C6F-8F26-D492105F080D}"/>
    <cellStyle name="Millares [0] 3 2 3 2 4" xfId="917" xr:uid="{3D40F3A5-5B29-489E-853B-3283DC77F8D8}"/>
    <cellStyle name="Millares [0] 3 2 3 3" xfId="323" xr:uid="{E0D8F990-9BB3-42D6-A7CF-1DFBF4E5F0AE}"/>
    <cellStyle name="Millares [0] 3 2 3 3 2" xfId="662" xr:uid="{3AE78CD1-45F6-4D6D-AB17-04FBB674C255}"/>
    <cellStyle name="Millares [0] 3 2 3 3 2 2" xfId="1333" xr:uid="{E037B5E9-5EAF-4AE8-B19E-C1090B848B00}"/>
    <cellStyle name="Millares [0] 3 2 3 3 3" xfId="1001" xr:uid="{0125DF46-DFD2-4116-BC06-43EA32459353}"/>
    <cellStyle name="Millares [0] 3 2 3 4" xfId="496" xr:uid="{D8D485EC-AD67-4911-B1F5-B0D7B9B6BFFB}"/>
    <cellStyle name="Millares [0] 3 2 3 4 2" xfId="1167" xr:uid="{57C1F253-D783-4B89-A30A-30FE239AC9B5}"/>
    <cellStyle name="Millares [0] 3 2 3 5" xfId="835" xr:uid="{BCBC8061-50AF-4DFB-A222-91CE3ED0AC55}"/>
    <cellStyle name="Millares [0] 3 2 4" xfId="179" xr:uid="{A642F1AB-504C-404D-AF4F-A78E49D372B7}"/>
    <cellStyle name="Millares [0] 3 2 4 2" xfId="365" xr:uid="{3D9E2C5D-C419-4523-999A-028ED694411B}"/>
    <cellStyle name="Millares [0] 3 2 4 2 2" xfId="704" xr:uid="{FCB37971-4FC3-4604-AB00-52747227465E}"/>
    <cellStyle name="Millares [0] 3 2 4 2 2 2" xfId="1375" xr:uid="{43C96984-6CCF-4D7A-8E12-0F3D62F28C82}"/>
    <cellStyle name="Millares [0] 3 2 4 2 3" xfId="1043" xr:uid="{1253D3F4-E04B-4E61-B5CC-9500BDB23519}"/>
    <cellStyle name="Millares [0] 3 2 4 3" xfId="538" xr:uid="{DADBDB44-BA81-433D-8D1C-BBBA4F53B436}"/>
    <cellStyle name="Millares [0] 3 2 4 3 2" xfId="1209" xr:uid="{D3819592-BB31-432E-B657-261617FAFB9A}"/>
    <cellStyle name="Millares [0] 3 2 4 4" xfId="877" xr:uid="{2E7DF931-2084-4E84-A5F5-D37331EFEC4E}"/>
    <cellStyle name="Millares [0] 3 2 5" xfId="283" xr:uid="{0AACD54B-326E-456B-A2AC-BD755045A5B3}"/>
    <cellStyle name="Millares [0] 3 2 5 2" xfId="622" xr:uid="{5F9DBA78-1F10-450F-A659-4FBFABED1337}"/>
    <cellStyle name="Millares [0] 3 2 5 2 2" xfId="1293" xr:uid="{FEB2257F-0ACE-40FD-9668-4BE26DCF52BE}"/>
    <cellStyle name="Millares [0] 3 2 5 3" xfId="961" xr:uid="{734157E1-6F70-4237-BDD9-CF1331AB4B6A}"/>
    <cellStyle name="Millares [0] 3 2 6" xfId="456" xr:uid="{C224C962-F0D7-4700-B99B-0A5700A2ABE0}"/>
    <cellStyle name="Millares [0] 3 2 6 2" xfId="1127" xr:uid="{1FB129AA-74A9-4635-BA36-2FCF675D49C1}"/>
    <cellStyle name="Millares [0] 3 2 7" xfId="795" xr:uid="{CE19288A-EF50-4408-851F-8F624CC98A76}"/>
    <cellStyle name="Millares [0] 3 3" xfId="90" xr:uid="{A9307A86-7EAB-4DA0-BDAE-AE13FF81037C}"/>
    <cellStyle name="Millares [0] 3 3 2" xfId="140" xr:uid="{021BA283-EE1E-4A11-9EC8-5235EB5017EF}"/>
    <cellStyle name="Millares [0] 3 3 2 2" xfId="229" xr:uid="{0FCC90FA-CC36-4EB7-8E30-DB7FF80EBCD4}"/>
    <cellStyle name="Millares [0] 3 3 2 2 2" xfId="415" xr:uid="{EC4D1554-9A11-4C81-B752-041C17CA6DE7}"/>
    <cellStyle name="Millares [0] 3 3 2 2 2 2" xfId="754" xr:uid="{631B6585-1B95-4394-BC5A-3483A1F3E9C0}"/>
    <cellStyle name="Millares [0] 3 3 2 2 2 2 2" xfId="1425" xr:uid="{4EBBBF1E-A965-419B-B8D8-4CD18FD770DE}"/>
    <cellStyle name="Millares [0] 3 3 2 2 2 3" xfId="1093" xr:uid="{2AE99FFD-4543-4671-B767-DC319607972E}"/>
    <cellStyle name="Millares [0] 3 3 2 2 3" xfId="588" xr:uid="{346604AD-A9E8-4F30-BC9C-5EC3AD434103}"/>
    <cellStyle name="Millares [0] 3 3 2 2 3 2" xfId="1259" xr:uid="{581050AD-9F47-4065-BA95-FE3225E0D461}"/>
    <cellStyle name="Millares [0] 3 3 2 2 4" xfId="927" xr:uid="{C78B4B8B-9390-4BB6-90E5-B16833FB08BE}"/>
    <cellStyle name="Millares [0] 3 3 2 3" xfId="333" xr:uid="{3E1ADF58-DFF1-42C9-AD74-A780AAFBF4F9}"/>
    <cellStyle name="Millares [0] 3 3 2 3 2" xfId="672" xr:uid="{7BB318B0-FC80-4814-BF1F-227DEACBAA67}"/>
    <cellStyle name="Millares [0] 3 3 2 3 2 2" xfId="1343" xr:uid="{86D9E83A-515C-498C-A782-C19AB1C135D4}"/>
    <cellStyle name="Millares [0] 3 3 2 3 3" xfId="1011" xr:uid="{6E71194F-5C1D-40CE-8087-AD02B6F7F063}"/>
    <cellStyle name="Millares [0] 3 3 2 4" xfId="506" xr:uid="{B1FC527F-5E7B-4630-8661-76D7A0AAAD39}"/>
    <cellStyle name="Millares [0] 3 3 2 4 2" xfId="1177" xr:uid="{F5D5FC20-A800-458C-B2F3-7F45C1260E86}"/>
    <cellStyle name="Millares [0] 3 3 2 5" xfId="845" xr:uid="{BB91BB73-50C7-4E64-B637-C596E17E6D10}"/>
    <cellStyle name="Millares [0] 3 3 3" xfId="189" xr:uid="{0832349A-5573-4B71-A2E4-0D30AB785B18}"/>
    <cellStyle name="Millares [0] 3 3 3 2" xfId="375" xr:uid="{9F458CAA-BBAF-4793-8C0F-F9EE5136E9BA}"/>
    <cellStyle name="Millares [0] 3 3 3 2 2" xfId="714" xr:uid="{C44DB7D3-8925-4EE0-99DF-7435ADC9E964}"/>
    <cellStyle name="Millares [0] 3 3 3 2 2 2" xfId="1385" xr:uid="{C5C82946-011A-4E29-AFC9-7FBD20CAE6ED}"/>
    <cellStyle name="Millares [0] 3 3 3 2 3" xfId="1053" xr:uid="{5354FC32-CA3E-4AF0-ADCF-7C8283138C86}"/>
    <cellStyle name="Millares [0] 3 3 3 3" xfId="548" xr:uid="{212829C9-2DC9-412D-B163-C6E67E2334E6}"/>
    <cellStyle name="Millares [0] 3 3 3 3 2" xfId="1219" xr:uid="{572C9001-FC02-4C8A-BFB2-6FF8057F5619}"/>
    <cellStyle name="Millares [0] 3 3 3 4" xfId="887" xr:uid="{61930CBD-40D7-4E31-A66E-3DAB9B675604}"/>
    <cellStyle name="Millares [0] 3 3 4" xfId="293" xr:uid="{1D91ABAD-698F-4247-819C-15A04E24A2DB}"/>
    <cellStyle name="Millares [0] 3 3 4 2" xfId="632" xr:uid="{B3C871FF-C185-4A1C-91DB-2D5DB57FC068}"/>
    <cellStyle name="Millares [0] 3 3 4 2 2" xfId="1303" xr:uid="{82BD15A9-5844-4282-B7A8-40E82D9C8E8A}"/>
    <cellStyle name="Millares [0] 3 3 4 3" xfId="971" xr:uid="{C8C623B2-2FF7-4BF9-9CC4-FB25F0AB239A}"/>
    <cellStyle name="Millares [0] 3 3 5" xfId="466" xr:uid="{8ED158E2-924B-46CE-8D9B-F14DA2E9FFC7}"/>
    <cellStyle name="Millares [0] 3 3 5 2" xfId="1137" xr:uid="{DB291621-6535-4567-AADE-54A7DA891180}"/>
    <cellStyle name="Millares [0] 3 3 6" xfId="805" xr:uid="{B1F9F22E-72BD-4111-B2FE-0439EAE8F6D2}"/>
    <cellStyle name="Millares [0] 3 4" xfId="119" xr:uid="{BC4D4382-FBC9-4990-8ECB-8AC25295F696}"/>
    <cellStyle name="Millares [0] 3 4 2" xfId="210" xr:uid="{8B701557-9580-44FE-9A55-091C293FA81C}"/>
    <cellStyle name="Millares [0] 3 4 2 2" xfId="396" xr:uid="{9A7247F0-82EB-422F-A528-5312F8AFE444}"/>
    <cellStyle name="Millares [0] 3 4 2 2 2" xfId="735" xr:uid="{FDA42EAA-0B59-44FA-9363-3255D21E9DD0}"/>
    <cellStyle name="Millares [0] 3 4 2 2 2 2" xfId="1406" xr:uid="{3B3C5920-66B2-4A1A-B6D1-55A50F22C8E7}"/>
    <cellStyle name="Millares [0] 3 4 2 2 3" xfId="1074" xr:uid="{231BD90A-8790-4406-A6B0-E7BC35ACAE86}"/>
    <cellStyle name="Millares [0] 3 4 2 3" xfId="569" xr:uid="{ACB93539-6B6C-4C69-BAA0-1E541670B40B}"/>
    <cellStyle name="Millares [0] 3 4 2 3 2" xfId="1240" xr:uid="{55E18E95-1BC0-4766-86C3-2342AA717980}"/>
    <cellStyle name="Millares [0] 3 4 2 4" xfId="908" xr:uid="{54F5CB99-4460-44AB-AE45-D57108EF8B1E}"/>
    <cellStyle name="Millares [0] 3 4 3" xfId="314" xr:uid="{D132D857-1C38-4561-A5C8-8C0A46FFF6F8}"/>
    <cellStyle name="Millares [0] 3 4 3 2" xfId="653" xr:uid="{76D39457-5041-46A3-8E5B-BAE95DA3D62D}"/>
    <cellStyle name="Millares [0] 3 4 3 2 2" xfId="1324" xr:uid="{8ED82D23-8576-45F3-A963-15A9536D548A}"/>
    <cellStyle name="Millares [0] 3 4 3 3" xfId="992" xr:uid="{81F1BB2A-DDCA-436F-9EF1-610EF2F83475}"/>
    <cellStyle name="Millares [0] 3 4 4" xfId="487" xr:uid="{46459C2A-BE1D-4E55-8DE7-9C9990B5B768}"/>
    <cellStyle name="Millares [0] 3 4 4 2" xfId="1158" xr:uid="{4C5FC41B-1B04-424D-9E1E-04018C44DEA6}"/>
    <cellStyle name="Millares [0] 3 4 5" xfId="826" xr:uid="{B55CA4EB-9D91-4426-8D64-A58AAC2B625E}"/>
    <cellStyle name="Millares [0] 3 5" xfId="169" xr:uid="{C6F66ECD-C632-4ED3-B891-BEDF76C55415}"/>
    <cellStyle name="Millares [0] 3 5 2" xfId="356" xr:uid="{B4923094-F485-4C42-BA19-E4B9E9087CC9}"/>
    <cellStyle name="Millares [0] 3 5 2 2" xfId="695" xr:uid="{3B074FE9-F0D4-4661-B09F-343C372FEBD5}"/>
    <cellStyle name="Millares [0] 3 5 2 2 2" xfId="1366" xr:uid="{D5799BA1-DA86-4278-9C53-28310E198503}"/>
    <cellStyle name="Millares [0] 3 5 2 3" xfId="1034" xr:uid="{382EC967-65AC-4F60-9005-6A5B7927B20C}"/>
    <cellStyle name="Millares [0] 3 5 3" xfId="529" xr:uid="{27D1CC17-EBB1-4A07-8C3E-CF25B1D6DF66}"/>
    <cellStyle name="Millares [0] 3 5 3 2" xfId="1200" xr:uid="{FE9C1AAB-A23F-4AFB-BDC7-04ED1C05B252}"/>
    <cellStyle name="Millares [0] 3 5 4" xfId="868" xr:uid="{24AE2AA2-5B86-4BB7-80A6-B01E16D1F861}"/>
    <cellStyle name="Millares [0] 3 6" xfId="273" xr:uid="{F2417B1E-6C28-47D0-AC30-1ADBACCA799A}"/>
    <cellStyle name="Millares [0] 3 6 2" xfId="613" xr:uid="{49A4EF68-0999-4555-963A-450095F306D7}"/>
    <cellStyle name="Millares [0] 3 6 2 2" xfId="1284" xr:uid="{CC169BC8-B2CF-41EF-B881-DD78696A02CD}"/>
    <cellStyle name="Millares [0] 3 6 3" xfId="952" xr:uid="{64914B5C-0E63-4DF3-936E-ABE4F08F74DA}"/>
    <cellStyle name="Millares [0] 3 7" xfId="446" xr:uid="{6BB83CC0-54C0-464E-AA8E-F896995C0580}"/>
    <cellStyle name="Millares [0] 3 7 2" xfId="1118" xr:uid="{9AA704DD-0D59-40BC-9516-30EC098BB761}"/>
    <cellStyle name="Millares [0] 3 8" xfId="785" xr:uid="{211C4370-454A-44E5-89C8-C7723C9D9A81}"/>
    <cellStyle name="Millares [0] 34" xfId="46" xr:uid="{45738B0D-4652-4313-BA23-29FFB65E7819}"/>
    <cellStyle name="Millares [0] 34 2" xfId="73" xr:uid="{1CE8857F-0A3E-4DE4-8E58-104ABE19A47C}"/>
    <cellStyle name="Millares [0] 34 2 2" xfId="102" xr:uid="{705034E1-BB0A-4042-8F59-111105C9A981}"/>
    <cellStyle name="Millares [0] 34 2 2 2" xfId="150" xr:uid="{0CBF1A02-AA8D-4B1F-813D-0478F69C4763}"/>
    <cellStyle name="Millares [0] 34 2 2 2 2" xfId="239" xr:uid="{2A3FB3E0-7623-43FC-8A5C-5798194016E3}"/>
    <cellStyle name="Millares [0] 34 2 2 2 2 2" xfId="425" xr:uid="{475FB721-F466-45EE-8CCE-FCB222BE3D77}"/>
    <cellStyle name="Millares [0] 34 2 2 2 2 2 2" xfId="764" xr:uid="{5EA7A922-5037-41FB-A320-E4C3B81B58CB}"/>
    <cellStyle name="Millares [0] 34 2 2 2 2 2 2 2" xfId="1435" xr:uid="{5E690649-84BF-44B3-B8A1-0895E50617A0}"/>
    <cellStyle name="Millares [0] 34 2 2 2 2 2 3" xfId="1103" xr:uid="{DB4CBD62-9439-4EF7-8296-BA49B4A20AB7}"/>
    <cellStyle name="Millares [0] 34 2 2 2 2 3" xfId="598" xr:uid="{42ACC995-4648-4FB3-85E4-70FE4A140801}"/>
    <cellStyle name="Millares [0] 34 2 2 2 2 3 2" xfId="1269" xr:uid="{D3E8CE35-3F18-475C-AA9D-98C0F77C0BDC}"/>
    <cellStyle name="Millares [0] 34 2 2 2 2 4" xfId="937" xr:uid="{0F48ABFF-0675-48D5-A536-E0E5E265C143}"/>
    <cellStyle name="Millares [0] 34 2 2 2 3" xfId="343" xr:uid="{02FFC89E-A67D-481A-81D5-61BB1FD112E7}"/>
    <cellStyle name="Millares [0] 34 2 2 2 3 2" xfId="682" xr:uid="{FE4A20FB-DB42-4E30-B2D8-886A4A61CB68}"/>
    <cellStyle name="Millares [0] 34 2 2 2 3 2 2" xfId="1353" xr:uid="{834356E7-2C35-4CAF-B1A3-B03749E3C9F6}"/>
    <cellStyle name="Millares [0] 34 2 2 2 3 3" xfId="1021" xr:uid="{B46A1D94-A5DA-4D9C-A8DD-F1EFC676731D}"/>
    <cellStyle name="Millares [0] 34 2 2 2 4" xfId="516" xr:uid="{CC600DF5-20FA-44F6-961C-44ADEC1F8545}"/>
    <cellStyle name="Millares [0] 34 2 2 2 4 2" xfId="1187" xr:uid="{3C9C7ECC-CF92-4D60-9180-A3C8504141AE}"/>
    <cellStyle name="Millares [0] 34 2 2 2 5" xfId="855" xr:uid="{817242BB-7625-4DED-A151-80B024C354F6}"/>
    <cellStyle name="Millares [0] 34 2 2 3" xfId="199" xr:uid="{B416B848-C7EB-4EDA-994E-04CF21D6C9BD}"/>
    <cellStyle name="Millares [0] 34 2 2 3 2" xfId="385" xr:uid="{37B7E8D7-9640-4DA6-904B-560455FC2963}"/>
    <cellStyle name="Millares [0] 34 2 2 3 2 2" xfId="724" xr:uid="{E66B8675-57E5-40CB-8B27-E4F939A15AB8}"/>
    <cellStyle name="Millares [0] 34 2 2 3 2 2 2" xfId="1395" xr:uid="{C8D829BE-392E-46B0-9438-52B936AAFD83}"/>
    <cellStyle name="Millares [0] 34 2 2 3 2 3" xfId="1063" xr:uid="{7E5A7A38-7496-4E8D-98A4-3880136012FB}"/>
    <cellStyle name="Millares [0] 34 2 2 3 3" xfId="558" xr:uid="{E1F1D35A-9960-4111-9766-AB7B818B0F50}"/>
    <cellStyle name="Millares [0] 34 2 2 3 3 2" xfId="1229" xr:uid="{4A8FC9D9-983A-4A25-9882-3C5C209AF115}"/>
    <cellStyle name="Millares [0] 34 2 2 3 4" xfId="897" xr:uid="{C2949DA4-1F4D-4DE3-8BD2-D3C967810690}"/>
    <cellStyle name="Millares [0] 34 2 2 4" xfId="303" xr:uid="{21EC0447-35F4-42BA-B7E6-7B6FD197A734}"/>
    <cellStyle name="Millares [0] 34 2 2 4 2" xfId="642" xr:uid="{C86C6BCE-DE6E-4976-9EF7-3EF0049C5B68}"/>
    <cellStyle name="Millares [0] 34 2 2 4 2 2" xfId="1313" xr:uid="{18FCAFC4-894E-4060-AFB9-08C1E4E5BB6A}"/>
    <cellStyle name="Millares [0] 34 2 2 4 3" xfId="981" xr:uid="{E1A4FC44-47FC-4613-9942-9E7D9AAA0AA9}"/>
    <cellStyle name="Millares [0] 34 2 2 5" xfId="476" xr:uid="{9F401199-18C7-4DE2-B250-82094ABCE66F}"/>
    <cellStyle name="Millares [0] 34 2 2 5 2" xfId="1147" xr:uid="{0B19BE0F-57DE-43DA-8A5A-78101B78D0E7}"/>
    <cellStyle name="Millares [0] 34 2 2 6" xfId="815" xr:uid="{EC3338E3-C84A-46DF-8F9F-AD13ADE04ED5}"/>
    <cellStyle name="Millares [0] 34 2 3" xfId="131" xr:uid="{FAA0D9FE-2216-42B0-AC2B-18F3108F0253}"/>
    <cellStyle name="Millares [0] 34 2 3 2" xfId="220" xr:uid="{EEF2395C-3BBD-4AB6-9E74-FFF8684F53C9}"/>
    <cellStyle name="Millares [0] 34 2 3 2 2" xfId="406" xr:uid="{16C1F16E-3FE2-4DE4-BD91-FC5B227D3DF0}"/>
    <cellStyle name="Millares [0] 34 2 3 2 2 2" xfId="745" xr:uid="{D601DE54-AFB7-454E-97A4-645EBE4BBB7E}"/>
    <cellStyle name="Millares [0] 34 2 3 2 2 2 2" xfId="1416" xr:uid="{252115B4-F62E-4089-878F-20DAF39BEFC6}"/>
    <cellStyle name="Millares [0] 34 2 3 2 2 3" xfId="1084" xr:uid="{87D26B95-7B9A-4193-A2EB-9A3FC7F15378}"/>
    <cellStyle name="Millares [0] 34 2 3 2 3" xfId="579" xr:uid="{AD7D7419-E35A-4C1E-B362-E58382F9BDD8}"/>
    <cellStyle name="Millares [0] 34 2 3 2 3 2" xfId="1250" xr:uid="{CDB16DC7-161B-46B3-8289-E87C8D75DFC4}"/>
    <cellStyle name="Millares [0] 34 2 3 2 4" xfId="918" xr:uid="{AC7DDCC0-8B1C-40EE-87EE-86B39852671D}"/>
    <cellStyle name="Millares [0] 34 2 3 3" xfId="324" xr:uid="{4A293350-A06E-4B3B-9DE1-59AC9957596B}"/>
    <cellStyle name="Millares [0] 34 2 3 3 2" xfId="663" xr:uid="{F92EE9F5-67E0-4908-9F9C-7C54E3CD08A7}"/>
    <cellStyle name="Millares [0] 34 2 3 3 2 2" xfId="1334" xr:uid="{DF7DAE8E-203B-41C0-A8FB-2A9C32D4F986}"/>
    <cellStyle name="Millares [0] 34 2 3 3 3" xfId="1002" xr:uid="{553E6433-AA56-4431-89BD-62663A015F0A}"/>
    <cellStyle name="Millares [0] 34 2 3 4" xfId="497" xr:uid="{5FB2BD2D-CB2F-4B7B-A3B1-F0773916157F}"/>
    <cellStyle name="Millares [0] 34 2 3 4 2" xfId="1168" xr:uid="{9A31C2AA-F535-4EF8-98CC-C7B5CB58C5FF}"/>
    <cellStyle name="Millares [0] 34 2 3 5" xfId="836" xr:uid="{1875C485-95F6-400A-94F1-7E836756251D}"/>
    <cellStyle name="Millares [0] 34 2 4" xfId="180" xr:uid="{CF15BABB-D602-46CB-821E-6148A37DEFA8}"/>
    <cellStyle name="Millares [0] 34 2 4 2" xfId="366" xr:uid="{E54AC508-F1BD-4C3B-9324-E8CB31EC54D7}"/>
    <cellStyle name="Millares [0] 34 2 4 2 2" xfId="705" xr:uid="{1C711EB1-9C53-47F9-A8FC-46AC6E464041}"/>
    <cellStyle name="Millares [0] 34 2 4 2 2 2" xfId="1376" xr:uid="{09373864-647A-4567-9038-7EB58C0324B8}"/>
    <cellStyle name="Millares [0] 34 2 4 2 3" xfId="1044" xr:uid="{F8701510-08AB-4A77-990B-68DE4757525F}"/>
    <cellStyle name="Millares [0] 34 2 4 3" xfId="539" xr:uid="{F7C20EB7-386B-4A45-BD9C-B4B847A88A0A}"/>
    <cellStyle name="Millares [0] 34 2 4 3 2" xfId="1210" xr:uid="{C94B2DCB-6971-459D-9AE5-F765140EBEDC}"/>
    <cellStyle name="Millares [0] 34 2 4 4" xfId="878" xr:uid="{F965ED7A-E34C-4923-8D50-52DBBEC3556E}"/>
    <cellStyle name="Millares [0] 34 2 5" xfId="284" xr:uid="{CA11BE4D-197A-46C3-A945-733D3A028891}"/>
    <cellStyle name="Millares [0] 34 2 5 2" xfId="623" xr:uid="{C500903C-028D-407B-9AB4-99A2FF6F6C66}"/>
    <cellStyle name="Millares [0] 34 2 5 2 2" xfId="1294" xr:uid="{F1243E1D-7D8B-41CC-BA3E-5C8B43778A90}"/>
    <cellStyle name="Millares [0] 34 2 5 3" xfId="962" xr:uid="{57351518-2C26-4A5B-9BD9-BE8205C3B246}"/>
    <cellStyle name="Millares [0] 34 2 6" xfId="457" xr:uid="{252A0E1C-2450-444B-9B6C-A18A04FC74F7}"/>
    <cellStyle name="Millares [0] 34 2 6 2" xfId="1128" xr:uid="{E43BBAF5-9F3D-4321-AE72-F8F294F09104}"/>
    <cellStyle name="Millares [0] 34 2 7" xfId="796" xr:uid="{5F1B73A6-3D8E-42D5-9C34-3DE8CD3060C5}"/>
    <cellStyle name="Millares [0] 34 3" xfId="91" xr:uid="{CED857D2-9FD8-4AC7-997E-C7A0C74D5BB2}"/>
    <cellStyle name="Millares [0] 34 3 2" xfId="141" xr:uid="{CC0A582F-358F-46EB-90C9-720A146F8215}"/>
    <cellStyle name="Millares [0] 34 3 2 2" xfId="230" xr:uid="{E6660FD0-727D-4B4B-BEFB-B39EE782FC61}"/>
    <cellStyle name="Millares [0] 34 3 2 2 2" xfId="416" xr:uid="{D017C6A8-938A-4706-AA3F-14C2933B34BF}"/>
    <cellStyle name="Millares [0] 34 3 2 2 2 2" xfId="755" xr:uid="{23236CF5-E6E8-4977-98E9-EBF6F66BD83B}"/>
    <cellStyle name="Millares [0] 34 3 2 2 2 2 2" xfId="1426" xr:uid="{F38719D2-107C-4C8B-B6DA-0F9440BCB551}"/>
    <cellStyle name="Millares [0] 34 3 2 2 2 3" xfId="1094" xr:uid="{2FAF1731-30F1-4881-8CC3-576A47912E39}"/>
    <cellStyle name="Millares [0] 34 3 2 2 3" xfId="589" xr:uid="{B831E0A9-3F53-4DDF-B25D-D0E49D537FCB}"/>
    <cellStyle name="Millares [0] 34 3 2 2 3 2" xfId="1260" xr:uid="{6FDDB1BE-1E9A-4DCE-BFEB-CE23EF8FD6AB}"/>
    <cellStyle name="Millares [0] 34 3 2 2 4" xfId="928" xr:uid="{86B3DA10-7948-4DD7-936A-882AEC8E03E3}"/>
    <cellStyle name="Millares [0] 34 3 2 3" xfId="334" xr:uid="{1E244A58-043B-4C23-9267-055E8195C661}"/>
    <cellStyle name="Millares [0] 34 3 2 3 2" xfId="673" xr:uid="{9C944755-9E7F-41BD-BDF6-AE13DC4A8559}"/>
    <cellStyle name="Millares [0] 34 3 2 3 2 2" xfId="1344" xr:uid="{B21F424F-472B-47B1-9A29-45A57C286AD0}"/>
    <cellStyle name="Millares [0] 34 3 2 3 3" xfId="1012" xr:uid="{959E789F-04DB-4EF0-9DD1-684E28311B1C}"/>
    <cellStyle name="Millares [0] 34 3 2 4" xfId="507" xr:uid="{E90DB1E9-EEF4-42B4-9BBC-2C254CF4B1EF}"/>
    <cellStyle name="Millares [0] 34 3 2 4 2" xfId="1178" xr:uid="{8AD00FEE-672B-4D2E-AC08-4B79E5F175D9}"/>
    <cellStyle name="Millares [0] 34 3 2 5" xfId="846" xr:uid="{28C84559-0B8F-4965-8F0C-B602F6623548}"/>
    <cellStyle name="Millares [0] 34 3 3" xfId="190" xr:uid="{69EFBCCE-CE65-4BE3-B986-9C7F6CD8F057}"/>
    <cellStyle name="Millares [0] 34 3 3 2" xfId="376" xr:uid="{95A71325-5460-415F-AEE5-55541B36D70C}"/>
    <cellStyle name="Millares [0] 34 3 3 2 2" xfId="715" xr:uid="{1F556E2B-DA2F-43AF-8B0A-E307D07BD6CA}"/>
    <cellStyle name="Millares [0] 34 3 3 2 2 2" xfId="1386" xr:uid="{BE0AE3C9-61AC-4929-AF57-F97258A73D91}"/>
    <cellStyle name="Millares [0] 34 3 3 2 3" xfId="1054" xr:uid="{BC8C1A28-9B7B-4697-979B-CD970449BC0A}"/>
    <cellStyle name="Millares [0] 34 3 3 3" xfId="549" xr:uid="{F879BFAA-B2C0-4186-A37B-36DE68F637BD}"/>
    <cellStyle name="Millares [0] 34 3 3 3 2" xfId="1220" xr:uid="{579EDF24-7136-4D64-AFD0-3CD0C3FAC7C0}"/>
    <cellStyle name="Millares [0] 34 3 3 4" xfId="888" xr:uid="{34865203-513A-4E02-AE1C-5DCC7C3469AB}"/>
    <cellStyle name="Millares [0] 34 3 4" xfId="294" xr:uid="{347BAE76-B221-45BB-95D8-F70FE212A618}"/>
    <cellStyle name="Millares [0] 34 3 4 2" xfId="633" xr:uid="{C9BFA0F3-AE44-477B-86E6-1A53D26E6594}"/>
    <cellStyle name="Millares [0] 34 3 4 2 2" xfId="1304" xr:uid="{B3B1A79E-33D3-4075-B3A9-E3295AEA8551}"/>
    <cellStyle name="Millares [0] 34 3 4 3" xfId="972" xr:uid="{107FEB8B-1CBC-45C5-AFD7-DA55A26E9F74}"/>
    <cellStyle name="Millares [0] 34 3 5" xfId="467" xr:uid="{159C29D2-1D56-455E-9101-00722CCC4EE3}"/>
    <cellStyle name="Millares [0] 34 3 5 2" xfId="1138" xr:uid="{8AAA3431-3A98-4C7B-86DB-2FDE8FA316C0}"/>
    <cellStyle name="Millares [0] 34 3 6" xfId="806" xr:uid="{3D5E7742-77DC-4E0E-A2D7-3714E7A8172D}"/>
    <cellStyle name="Millares [0] 34 4" xfId="120" xr:uid="{8118CC02-E4C8-4DCB-9DB1-237D801D001C}"/>
    <cellStyle name="Millares [0] 34 4 2" xfId="211" xr:uid="{78BFE80A-97A4-41A7-9E32-A71B85001AD5}"/>
    <cellStyle name="Millares [0] 34 4 2 2" xfId="397" xr:uid="{DEAA4F19-7009-4A4D-9192-064D8761A712}"/>
    <cellStyle name="Millares [0] 34 4 2 2 2" xfId="736" xr:uid="{ECC00E68-844A-4198-A25E-BCC20F0FB75A}"/>
    <cellStyle name="Millares [0] 34 4 2 2 2 2" xfId="1407" xr:uid="{295421FB-21AE-409E-9E47-BA2032A4EC3B}"/>
    <cellStyle name="Millares [0] 34 4 2 2 3" xfId="1075" xr:uid="{33EBFB7C-C71A-4B00-B5C7-8CF3292C7CBC}"/>
    <cellStyle name="Millares [0] 34 4 2 3" xfId="570" xr:uid="{097EFB89-983F-498E-A3EC-8583D0259E91}"/>
    <cellStyle name="Millares [0] 34 4 2 3 2" xfId="1241" xr:uid="{5A22A61F-98D8-4760-8446-F151B03C523F}"/>
    <cellStyle name="Millares [0] 34 4 2 4" xfId="909" xr:uid="{7B84CFDE-75BA-4857-9FE3-BCB471E38244}"/>
    <cellStyle name="Millares [0] 34 4 3" xfId="315" xr:uid="{F3CE93B0-575C-43E8-A419-C91DDB0691E8}"/>
    <cellStyle name="Millares [0] 34 4 3 2" xfId="654" xr:uid="{EC539704-3BC4-41B4-A09C-CD5FB2714723}"/>
    <cellStyle name="Millares [0] 34 4 3 2 2" xfId="1325" xr:uid="{F3E696F2-8234-4636-8C8F-12969891FD68}"/>
    <cellStyle name="Millares [0] 34 4 3 3" xfId="993" xr:uid="{B8D6F161-F8B3-473C-92B0-0EF17AB6F309}"/>
    <cellStyle name="Millares [0] 34 4 4" xfId="488" xr:uid="{10C5BECC-F8E4-4ED3-B8E1-A81ACF2FA123}"/>
    <cellStyle name="Millares [0] 34 4 4 2" xfId="1159" xr:uid="{2C581627-8F0D-4B1A-930C-532E45DB5509}"/>
    <cellStyle name="Millares [0] 34 4 5" xfId="827" xr:uid="{B5149028-A391-487A-970E-D9A2CBFE094E}"/>
    <cellStyle name="Millares [0] 34 5" xfId="170" xr:uid="{8AB9E17A-A697-4B08-B252-881144395F43}"/>
    <cellStyle name="Millares [0] 34 5 2" xfId="357" xr:uid="{E96D336C-61A9-43AC-A191-AD65623DF647}"/>
    <cellStyle name="Millares [0] 34 5 2 2" xfId="696" xr:uid="{8AF3991D-18B7-46F5-86F8-A18B3F5823E8}"/>
    <cellStyle name="Millares [0] 34 5 2 2 2" xfId="1367" xr:uid="{875D141C-DE0B-45CC-8424-804AD33456DC}"/>
    <cellStyle name="Millares [0] 34 5 2 3" xfId="1035" xr:uid="{A42F185F-83EE-4229-AD31-0AFA4800E6BC}"/>
    <cellStyle name="Millares [0] 34 5 3" xfId="530" xr:uid="{7F0ED654-F4B3-45BF-9BAA-4D6501A1FC4D}"/>
    <cellStyle name="Millares [0] 34 5 3 2" xfId="1201" xr:uid="{DB1109BE-E80B-418A-BE4A-74A8F73E50EA}"/>
    <cellStyle name="Millares [0] 34 5 4" xfId="869" xr:uid="{C1673868-EADE-4BAF-B779-1EA53CE31A09}"/>
    <cellStyle name="Millares [0] 34 6" xfId="274" xr:uid="{CB83585F-406D-45B9-BBBC-E04C71AFD69B}"/>
    <cellStyle name="Millares [0] 34 6 2" xfId="614" xr:uid="{FFB14F93-2CC4-460E-9483-48D9280E2067}"/>
    <cellStyle name="Millares [0] 34 6 2 2" xfId="1285" xr:uid="{67E7321E-864C-452D-AFD2-54E0CE68D8D8}"/>
    <cellStyle name="Millares [0] 34 6 3" xfId="953" xr:uid="{FB7DCAEE-E95E-4739-9310-6DE91BE4324C}"/>
    <cellStyle name="Millares [0] 34 7" xfId="447" xr:uid="{3ECA876E-E07C-4B03-BF96-34B12C3B6DD3}"/>
    <cellStyle name="Millares [0] 34 7 2" xfId="1119" xr:uid="{0C79521C-93B9-4EEB-BF42-B730B7E891ED}"/>
    <cellStyle name="Millares [0] 34 8" xfId="786" xr:uid="{0B97D6B0-D9C8-4303-89FB-9F0E2BDD99DF}"/>
    <cellStyle name="Millares [0] 4" xfId="78" xr:uid="{B06FDBB6-C349-4934-A4C0-BBEC851DDFDC}"/>
    <cellStyle name="Millares [0] 4 2" xfId="106" xr:uid="{EAFAACB4-7526-4CB3-A242-BAAC4CB54BF9}"/>
    <cellStyle name="Millares [0] 4 2 2" xfId="154" xr:uid="{33132CB9-6457-437A-8E48-A9F3AC5D9FF7}"/>
    <cellStyle name="Millares [0] 4 2 2 2" xfId="243" xr:uid="{73666A3F-6F1E-4BEE-8925-67A7783152B2}"/>
    <cellStyle name="Millares [0] 4 2 2 2 2" xfId="429" xr:uid="{A8F37DE0-1AB8-43D4-9E06-DD16951F8351}"/>
    <cellStyle name="Millares [0] 4 2 2 2 2 2" xfId="768" xr:uid="{93E7DD51-3E2D-4136-BE2B-7F6AE26F9749}"/>
    <cellStyle name="Millares [0] 4 2 2 2 2 2 2" xfId="1439" xr:uid="{0C8A13FB-DF34-42B3-9D10-5F1610FC6EE8}"/>
    <cellStyle name="Millares [0] 4 2 2 2 2 3" xfId="1107" xr:uid="{A150E78C-F636-4F9C-81A3-5C9631DECDAF}"/>
    <cellStyle name="Millares [0] 4 2 2 2 3" xfId="602" xr:uid="{4A0A6EAD-04D9-4584-9627-AD9D4CFA621B}"/>
    <cellStyle name="Millares [0] 4 2 2 2 3 2" xfId="1273" xr:uid="{BE4E6C1B-1859-4915-BFB2-982E78915A8F}"/>
    <cellStyle name="Millares [0] 4 2 2 2 4" xfId="941" xr:uid="{E32C3A24-BA05-439D-9354-BF365DE63469}"/>
    <cellStyle name="Millares [0] 4 2 2 3" xfId="347" xr:uid="{4FA97950-68A0-4972-AB00-F38B72192A35}"/>
    <cellStyle name="Millares [0] 4 2 2 3 2" xfId="686" xr:uid="{89F72C7B-483A-444D-B605-760D4D93FE6A}"/>
    <cellStyle name="Millares [0] 4 2 2 3 2 2" xfId="1357" xr:uid="{17388C6E-3137-458A-907B-AA011598B2C3}"/>
    <cellStyle name="Millares [0] 4 2 2 3 3" xfId="1025" xr:uid="{915A6034-291D-4156-946A-15991E557A52}"/>
    <cellStyle name="Millares [0] 4 2 2 4" xfId="520" xr:uid="{FC5FF555-6E3D-4D3E-99E6-7C161F7E0B9B}"/>
    <cellStyle name="Millares [0] 4 2 2 4 2" xfId="1191" xr:uid="{1F713252-BE3B-4512-9961-E61D92D2E33A}"/>
    <cellStyle name="Millares [0] 4 2 2 5" xfId="859" xr:uid="{A98187C1-86C1-431D-A580-D116901733B1}"/>
    <cellStyle name="Millares [0] 4 2 3" xfId="203" xr:uid="{5856BBAA-0AE0-4B01-8520-563ECAF25E70}"/>
    <cellStyle name="Millares [0] 4 2 3 2" xfId="389" xr:uid="{993C10D1-65C1-482D-AE60-99C08F19DD7E}"/>
    <cellStyle name="Millares [0] 4 2 3 2 2" xfId="728" xr:uid="{79CD2C83-1B36-402F-8A17-2ADDF3BB7273}"/>
    <cellStyle name="Millares [0] 4 2 3 2 2 2" xfId="1399" xr:uid="{38D5FF27-892A-4CDA-A817-DC35EBAC099B}"/>
    <cellStyle name="Millares [0] 4 2 3 2 3" xfId="1067" xr:uid="{6621EB63-563C-4E62-AB72-B7870DAD2EEC}"/>
    <cellStyle name="Millares [0] 4 2 3 3" xfId="562" xr:uid="{D1A34294-0E24-4FA1-8D84-A44D3ED9A578}"/>
    <cellStyle name="Millares [0] 4 2 3 3 2" xfId="1233" xr:uid="{C1F471E7-65F9-4190-ABE8-77C57EF609DB}"/>
    <cellStyle name="Millares [0] 4 2 3 4" xfId="901" xr:uid="{200E5BFF-65DD-4D6D-A575-637DC2194324}"/>
    <cellStyle name="Millares [0] 4 2 4" xfId="307" xr:uid="{9954685F-996B-483B-8FC1-975C3913CB36}"/>
    <cellStyle name="Millares [0] 4 2 4 2" xfId="646" xr:uid="{3E4AD08F-149A-4D50-A33D-87295375C119}"/>
    <cellStyle name="Millares [0] 4 2 4 2 2" xfId="1317" xr:uid="{F4830E30-034F-4968-8DE0-5CC619FDC06E}"/>
    <cellStyle name="Millares [0] 4 2 4 3" xfId="985" xr:uid="{82163E19-2E89-47D7-9591-86636E548326}"/>
    <cellStyle name="Millares [0] 4 2 5" xfId="480" xr:uid="{1CC33628-F2C3-4FC1-96F3-8C882F4A55F3}"/>
    <cellStyle name="Millares [0] 4 2 5 2" xfId="1151" xr:uid="{BAB8A0DA-0E9B-4618-897B-4EC093B35071}"/>
    <cellStyle name="Millares [0] 4 2 6" xfId="819" xr:uid="{D74AF6F6-087F-4896-AC4C-402ACF683A04}"/>
    <cellStyle name="Millares [0] 4 3" xfId="135" xr:uid="{E59F5491-4A51-4953-9753-20A9CCD19DE9}"/>
    <cellStyle name="Millares [0] 4 3 2" xfId="224" xr:uid="{352918B9-F857-4F4B-A1BB-78F86F54FFCF}"/>
    <cellStyle name="Millares [0] 4 3 2 2" xfId="410" xr:uid="{05436091-BC67-4A14-A9FC-870C5678F612}"/>
    <cellStyle name="Millares [0] 4 3 2 2 2" xfId="749" xr:uid="{0301AF6F-C8D1-4823-B434-61F501F04E34}"/>
    <cellStyle name="Millares [0] 4 3 2 2 2 2" xfId="1420" xr:uid="{A7A86D99-7D88-40F6-A904-9630B48CBBDC}"/>
    <cellStyle name="Millares [0] 4 3 2 2 3" xfId="1088" xr:uid="{767E14DF-E75A-4D0C-9B71-00B83376B3FD}"/>
    <cellStyle name="Millares [0] 4 3 2 3" xfId="583" xr:uid="{661BCF88-A6B7-40C3-88BD-6DC99795912C}"/>
    <cellStyle name="Millares [0] 4 3 2 3 2" xfId="1254" xr:uid="{D25C30FB-FC62-47D0-A819-69D1A84430B2}"/>
    <cellStyle name="Millares [0] 4 3 2 4" xfId="922" xr:uid="{AFFFECF4-4889-4387-A9BC-CD9216D8E3FB}"/>
    <cellStyle name="Millares [0] 4 3 3" xfId="328" xr:uid="{A45F28FD-A736-4C6C-A4DC-D294A7DDA0B5}"/>
    <cellStyle name="Millares [0] 4 3 3 2" xfId="667" xr:uid="{06EB14F0-096B-4EF2-8A03-AA39B44E5B80}"/>
    <cellStyle name="Millares [0] 4 3 3 2 2" xfId="1338" xr:uid="{4A996EAE-54ED-436F-AFE6-53DFB8C1F2C5}"/>
    <cellStyle name="Millares [0] 4 3 3 3" xfId="1006" xr:uid="{DECEFDC0-56FB-42CD-8C7C-5B05E5D6228C}"/>
    <cellStyle name="Millares [0] 4 3 4" xfId="501" xr:uid="{3E486B95-2EE9-4E76-A179-BB011CB82A29}"/>
    <cellStyle name="Millares [0] 4 3 4 2" xfId="1172" xr:uid="{DA60D52E-2FA5-4A7D-83B1-F60CAE1BA5C4}"/>
    <cellStyle name="Millares [0] 4 3 5" xfId="840" xr:uid="{F3D1A1F6-F2F3-47D1-B59E-12DE59FDB1F1}"/>
    <cellStyle name="Millares [0] 4 4" xfId="184" xr:uid="{B0172A4A-8F47-489F-AC08-2F53049C2E59}"/>
    <cellStyle name="Millares [0] 4 4 2" xfId="370" xr:uid="{0391A92A-4600-42D2-A9FD-0241B50A2A4A}"/>
    <cellStyle name="Millares [0] 4 4 2 2" xfId="709" xr:uid="{AF48DCB3-5CE8-4C6B-9520-F870FFF9E7CD}"/>
    <cellStyle name="Millares [0] 4 4 2 2 2" xfId="1380" xr:uid="{6D398396-86E9-493C-A899-9F338F2EE42C}"/>
    <cellStyle name="Millares [0] 4 4 2 3" xfId="1048" xr:uid="{92536639-9454-4114-86D0-AAC4B3B33FBC}"/>
    <cellStyle name="Millares [0] 4 4 3" xfId="543" xr:uid="{19699C98-E558-4CE1-BA68-1A5166446C45}"/>
    <cellStyle name="Millares [0] 4 4 3 2" xfId="1214" xr:uid="{7BEE6243-0F0A-4E03-B1F7-9544DA4B034A}"/>
    <cellStyle name="Millares [0] 4 4 4" xfId="882" xr:uid="{E8EFE756-0B41-4E76-815E-7414E5E4A4A9}"/>
    <cellStyle name="Millares [0] 4 5" xfId="288" xr:uid="{AA256BE9-F108-438C-B1DA-11918EB0B383}"/>
    <cellStyle name="Millares [0] 4 5 2" xfId="627" xr:uid="{56BD241C-3C1F-45F4-ACA3-48EB5EE1AC06}"/>
    <cellStyle name="Millares [0] 4 5 2 2" xfId="1298" xr:uid="{F9FA63A2-CEB7-47DB-9F9D-18DD22B7C377}"/>
    <cellStyle name="Millares [0] 4 5 3" xfId="966" xr:uid="{809FAD2D-C551-4D6C-A6A9-F87F8B895DE2}"/>
    <cellStyle name="Millares [0] 4 6" xfId="461" xr:uid="{8DDCBC86-E4B5-4E1F-A6DF-DE18C786D4B0}"/>
    <cellStyle name="Millares [0] 4 6 2" xfId="1132" xr:uid="{2BC54418-36F7-4F35-84C6-3FDBD9429689}"/>
    <cellStyle name="Millares [0] 4 7" xfId="800" xr:uid="{80509770-93D1-4114-B377-FA5E5213A21C}"/>
    <cellStyle name="Millares [0] 5" xfId="63" xr:uid="{206A4450-3C8A-4E1A-939E-63697B950111}"/>
    <cellStyle name="Millares [0] 5 2" xfId="98" xr:uid="{54316612-8AB2-445D-BB65-0BC3919A94C1}"/>
    <cellStyle name="Millares [0] 5 2 2" xfId="146" xr:uid="{634867B7-BE2C-4837-BBEA-C85344C23B1A}"/>
    <cellStyle name="Millares [0] 5 2 2 2" xfId="235" xr:uid="{E98A9EB9-D134-4673-A1AA-2EAB156E7195}"/>
    <cellStyle name="Millares [0] 5 2 2 2 2" xfId="421" xr:uid="{849F821B-F984-4BD9-B6D3-9A6FF6473398}"/>
    <cellStyle name="Millares [0] 5 2 2 2 2 2" xfId="760" xr:uid="{A1CBC010-64EC-4A34-B2C7-FC65A974512E}"/>
    <cellStyle name="Millares [0] 5 2 2 2 2 2 2" xfId="1431" xr:uid="{269953D0-84A6-456A-A522-FADBA9A4A818}"/>
    <cellStyle name="Millares [0] 5 2 2 2 2 3" xfId="1099" xr:uid="{1D37F7C5-C2F7-406D-8650-DA63A0502FE7}"/>
    <cellStyle name="Millares [0] 5 2 2 2 3" xfId="594" xr:uid="{C32212A8-77E3-40C3-9BEA-C5820FE14688}"/>
    <cellStyle name="Millares [0] 5 2 2 2 3 2" xfId="1265" xr:uid="{DB8068EC-FCC6-4DB2-9245-3468B47C493F}"/>
    <cellStyle name="Millares [0] 5 2 2 2 4" xfId="933" xr:uid="{CFF8AE76-6A31-420D-9415-B0C1C8F19961}"/>
    <cellStyle name="Millares [0] 5 2 2 3" xfId="339" xr:uid="{D194C83B-8C82-43D9-8BA2-F4514B44FADB}"/>
    <cellStyle name="Millares [0] 5 2 2 3 2" xfId="678" xr:uid="{CF94B278-86F9-4F5D-9117-D2BA91A7417F}"/>
    <cellStyle name="Millares [0] 5 2 2 3 2 2" xfId="1349" xr:uid="{CE74F2CC-622B-48A6-925D-07BACA342E70}"/>
    <cellStyle name="Millares [0] 5 2 2 3 3" xfId="1017" xr:uid="{8ACF5BFC-FCF5-4060-98C1-71F2FE2B7D87}"/>
    <cellStyle name="Millares [0] 5 2 2 4" xfId="512" xr:uid="{9551581C-689B-4C59-B66B-E74ED9EA1E27}"/>
    <cellStyle name="Millares [0] 5 2 2 4 2" xfId="1183" xr:uid="{242B9F82-0DAA-4D88-8DF5-19D8D47B03EB}"/>
    <cellStyle name="Millares [0] 5 2 2 5" xfId="851" xr:uid="{CEB6305F-8375-45F2-9180-F271757C1C62}"/>
    <cellStyle name="Millares [0] 5 2 3" xfId="195" xr:uid="{9046252C-288A-442D-98F8-2ADC01E1A684}"/>
    <cellStyle name="Millares [0] 5 2 3 2" xfId="381" xr:uid="{1A26D1CA-ED0B-48A8-9B4A-D074096578D1}"/>
    <cellStyle name="Millares [0] 5 2 3 2 2" xfId="720" xr:uid="{5F501015-34C3-4E05-AE38-085FEE97D535}"/>
    <cellStyle name="Millares [0] 5 2 3 2 2 2" xfId="1391" xr:uid="{7566CFD3-1219-4B60-9252-A36FB577214B}"/>
    <cellStyle name="Millares [0] 5 2 3 2 3" xfId="1059" xr:uid="{3586CAB5-7C6E-496C-8E98-BDBD9724284C}"/>
    <cellStyle name="Millares [0] 5 2 3 3" xfId="554" xr:uid="{EDBB0143-8EA9-409B-A376-741F2AD90DC2}"/>
    <cellStyle name="Millares [0] 5 2 3 3 2" xfId="1225" xr:uid="{03A4148F-7972-45E3-8A5A-AB82D99BF12B}"/>
    <cellStyle name="Millares [0] 5 2 3 4" xfId="893" xr:uid="{80777AA4-2643-4227-A5B4-6A27E78837A8}"/>
    <cellStyle name="Millares [0] 5 2 4" xfId="299" xr:uid="{E19C08F0-6A19-4AAF-9AAA-0F4F4BE5E660}"/>
    <cellStyle name="Millares [0] 5 2 4 2" xfId="638" xr:uid="{0D471094-AE4E-4CD4-BAC5-CB84D0619E58}"/>
    <cellStyle name="Millares [0] 5 2 4 2 2" xfId="1309" xr:uid="{D36B2A4B-B2CE-410B-9333-4F8141F86B42}"/>
    <cellStyle name="Millares [0] 5 2 4 3" xfId="977" xr:uid="{302D7E86-667D-43E2-B8D9-05CC2A6FB194}"/>
    <cellStyle name="Millares [0] 5 2 5" xfId="472" xr:uid="{27F6795B-8B41-4E4E-9521-DDCAF8DC534E}"/>
    <cellStyle name="Millares [0] 5 2 5 2" xfId="1143" xr:uid="{1B2603C9-2B9D-42E7-9816-AB22065197EE}"/>
    <cellStyle name="Millares [0] 5 2 6" xfId="811" xr:uid="{CD88BA8D-988A-4A36-90E2-482D45961296}"/>
    <cellStyle name="Millares [0] 5 3" xfId="127" xr:uid="{6B1D4147-2B37-47C3-9A1E-BD21DEBD29BC}"/>
    <cellStyle name="Millares [0] 5 3 2" xfId="216" xr:uid="{20D9EC1B-8FAE-432B-B318-9FED0B87A61B}"/>
    <cellStyle name="Millares [0] 5 3 2 2" xfId="402" xr:uid="{5D1ABD27-2F61-4869-A8AE-95DB64ACF704}"/>
    <cellStyle name="Millares [0] 5 3 2 2 2" xfId="741" xr:uid="{B2A190BB-2F94-429F-AF99-A0A94799EDBF}"/>
    <cellStyle name="Millares [0] 5 3 2 2 2 2" xfId="1412" xr:uid="{AA325802-FA78-461A-813D-6AB4CF70ED98}"/>
    <cellStyle name="Millares [0] 5 3 2 2 3" xfId="1080" xr:uid="{72546D2E-7FB2-4044-8F29-974E1808ADFD}"/>
    <cellStyle name="Millares [0] 5 3 2 3" xfId="575" xr:uid="{5E27253C-0A56-47AA-8EBC-1A94BDC61792}"/>
    <cellStyle name="Millares [0] 5 3 2 3 2" xfId="1246" xr:uid="{69ED0D86-A1C4-4986-BB32-743F015F1781}"/>
    <cellStyle name="Millares [0] 5 3 2 4" xfId="914" xr:uid="{AC59D3E7-50C8-447B-AEE6-2C0882D609CF}"/>
    <cellStyle name="Millares [0] 5 3 3" xfId="320" xr:uid="{960DFE81-2CEC-4DA0-BDD0-5CEBB54A21D6}"/>
    <cellStyle name="Millares [0] 5 3 3 2" xfId="659" xr:uid="{D91824C4-710E-4477-9665-4AE7E4CEBD25}"/>
    <cellStyle name="Millares [0] 5 3 3 2 2" xfId="1330" xr:uid="{C0E660A3-7419-4F54-959B-52BDDE3D81A4}"/>
    <cellStyle name="Millares [0] 5 3 3 3" xfId="998" xr:uid="{6A171C35-FF38-4C06-83D0-1036D1BDE5F8}"/>
    <cellStyle name="Millares [0] 5 3 4" xfId="493" xr:uid="{CFF388C3-4F78-41C2-930B-305143D21D49}"/>
    <cellStyle name="Millares [0] 5 3 4 2" xfId="1164" xr:uid="{7B33559A-9825-49C6-838E-22A4EE643936}"/>
    <cellStyle name="Millares [0] 5 3 5" xfId="832" xr:uid="{BB3D2097-4649-4F71-9EB2-D80795645335}"/>
    <cellStyle name="Millares [0] 5 4" xfId="176" xr:uid="{1BB82C17-C2D4-4B8D-A726-4156D03E04BE}"/>
    <cellStyle name="Millares [0] 5 4 2" xfId="362" xr:uid="{602C299F-49EF-431A-A6BC-CB30901B7CB6}"/>
    <cellStyle name="Millares [0] 5 4 2 2" xfId="701" xr:uid="{481B85CE-5B2E-4D7E-900F-F3D8B00AAA25}"/>
    <cellStyle name="Millares [0] 5 4 2 2 2" xfId="1372" xr:uid="{06612261-A827-4AC5-8EC7-B0940F27080C}"/>
    <cellStyle name="Millares [0] 5 4 2 3" xfId="1040" xr:uid="{9ADA8F6D-9D6F-4EAE-ABC3-399A644B1F33}"/>
    <cellStyle name="Millares [0] 5 4 3" xfId="535" xr:uid="{8B1CB438-6345-4799-85FE-D7E507AE8B7E}"/>
    <cellStyle name="Millares [0] 5 4 3 2" xfId="1206" xr:uid="{72F1271D-B985-4539-B935-137566AC9730}"/>
    <cellStyle name="Millares [0] 5 4 4" xfId="874" xr:uid="{5000E377-906F-4E50-9852-0F011DF57136}"/>
    <cellStyle name="Millares [0] 5 5" xfId="280" xr:uid="{217D86B6-EF12-48B1-A404-EBDB873093AC}"/>
    <cellStyle name="Millares [0] 5 5 2" xfId="619" xr:uid="{FD20AA8B-B446-4CCF-9A35-4E68701EC783}"/>
    <cellStyle name="Millares [0] 5 5 2 2" xfId="1290" xr:uid="{D1D08E8E-1F6B-4854-8FB6-8121541D90B9}"/>
    <cellStyle name="Millares [0] 5 5 3" xfId="958" xr:uid="{E6D03036-349C-490A-B4D7-9A0E5BD9D7FD}"/>
    <cellStyle name="Millares [0] 5 6" xfId="453" xr:uid="{17A3427C-3A5D-4888-AA00-E5CE6FFC29EE}"/>
    <cellStyle name="Millares [0] 5 6 2" xfId="1124" xr:uid="{4C6CCC83-BB0B-4D77-BBE9-95B0DB5FA9BF}"/>
    <cellStyle name="Millares [0] 5 7" xfId="792" xr:uid="{63A538FB-4DF1-4737-A176-5D3A5FDDF934}"/>
    <cellStyle name="Millares [0] 6" xfId="96" xr:uid="{2B76E536-98DC-4E73-81D0-0B6BC34DE2E6}"/>
    <cellStyle name="Millares [0] 6 2" xfId="145" xr:uid="{1F71884F-6738-4A4D-83D5-34FD239F943D}"/>
    <cellStyle name="Millares [0] 6 2 2" xfId="234" xr:uid="{1C06D2FA-294D-47D0-BA2B-2F2C70DAB5D9}"/>
    <cellStyle name="Millares [0] 6 2 2 2" xfId="420" xr:uid="{5C8027AE-E177-47E4-AED8-A07327AD852D}"/>
    <cellStyle name="Millares [0] 6 2 2 2 2" xfId="759" xr:uid="{D32C6934-3674-4937-9617-42A651D2AAE2}"/>
    <cellStyle name="Millares [0] 6 2 2 2 2 2" xfId="1430" xr:uid="{F36B6B22-121D-4DAA-8DDE-1FD200DA4829}"/>
    <cellStyle name="Millares [0] 6 2 2 2 3" xfId="1098" xr:uid="{CD7F3E02-FB72-4234-8380-D9EE3C1FEBBD}"/>
    <cellStyle name="Millares [0] 6 2 2 3" xfId="593" xr:uid="{44D1991E-3CEA-41FB-9FA8-FCDD75BFD39E}"/>
    <cellStyle name="Millares [0] 6 2 2 3 2" xfId="1264" xr:uid="{A40B0131-1FCF-4B79-99DB-4FD0221786D6}"/>
    <cellStyle name="Millares [0] 6 2 2 4" xfId="932" xr:uid="{F875DA1F-6676-4B23-BD84-A38AF1AFC8C9}"/>
    <cellStyle name="Millares [0] 6 2 3" xfId="338" xr:uid="{D255C3A7-92AB-4DDF-83EC-4187A7FDCBAD}"/>
    <cellStyle name="Millares [0] 6 2 3 2" xfId="677" xr:uid="{635A5D7F-582E-43C9-BCEB-8CE7E41B0E89}"/>
    <cellStyle name="Millares [0] 6 2 3 2 2" xfId="1348" xr:uid="{6DE1BE7B-F2BB-45AC-9F0B-6E206C4713DC}"/>
    <cellStyle name="Millares [0] 6 2 3 3" xfId="1016" xr:uid="{5A22FD66-0D45-429E-95C3-3BC9EB1E7C65}"/>
    <cellStyle name="Millares [0] 6 2 4" xfId="511" xr:uid="{959A6BAC-2E2E-4F82-964D-1B2ACE3AAB21}"/>
    <cellStyle name="Millares [0] 6 2 4 2" xfId="1182" xr:uid="{4E792C9A-C8A0-4FD9-AF33-8265CC573772}"/>
    <cellStyle name="Millares [0] 6 2 5" xfId="850" xr:uid="{94005D7B-EB2C-4D4B-9FE2-EBB865B08792}"/>
    <cellStyle name="Millares [0] 6 3" xfId="194" xr:uid="{DF139E01-B185-4FE1-9DEE-6727B423B3EE}"/>
    <cellStyle name="Millares [0] 6 3 2" xfId="380" xr:uid="{E63727A5-CE3F-407F-AB9F-9EDFB1B9421D}"/>
    <cellStyle name="Millares [0] 6 3 2 2" xfId="719" xr:uid="{F725F57D-9E72-499F-B8E3-A7586573AE41}"/>
    <cellStyle name="Millares [0] 6 3 2 2 2" xfId="1390" xr:uid="{281D8FF9-EB06-4D9C-881F-13CEE6E94FAD}"/>
    <cellStyle name="Millares [0] 6 3 2 3" xfId="1058" xr:uid="{D9EAB1A7-636A-4971-8598-9F9C68FAE43B}"/>
    <cellStyle name="Millares [0] 6 3 3" xfId="553" xr:uid="{AD3544DF-D944-40A6-BDEB-B8D8000E5FC2}"/>
    <cellStyle name="Millares [0] 6 3 3 2" xfId="1224" xr:uid="{9CA4E3A5-FD55-4250-A7DF-7C62F137BAF3}"/>
    <cellStyle name="Millares [0] 6 3 4" xfId="892" xr:uid="{2CBFFED2-8CBC-4811-9709-5A9F1CAC3E29}"/>
    <cellStyle name="Millares [0] 6 4" xfId="298" xr:uid="{BA5D3A39-E343-48FA-A29A-84E5DFA53247}"/>
    <cellStyle name="Millares [0] 6 4 2" xfId="637" xr:uid="{F4FE8D83-6488-42DD-9A66-B2C8AFFC0225}"/>
    <cellStyle name="Millares [0] 6 4 2 2" xfId="1308" xr:uid="{AA94CB00-7A9C-4793-B562-996E447E3A69}"/>
    <cellStyle name="Millares [0] 6 4 3" xfId="976" xr:uid="{6251734B-DB84-4DE3-A4A1-BE0A6951A4A7}"/>
    <cellStyle name="Millares [0] 6 5" xfId="471" xr:uid="{098F5CF3-B6A6-4C46-B845-450166DE4D33}"/>
    <cellStyle name="Millares [0] 6 5 2" xfId="1142" xr:uid="{66FF0A9B-FC94-481C-A66D-AAC3BA5FF1A8}"/>
    <cellStyle name="Millares [0] 6 6" xfId="810" xr:uid="{9816DC29-378C-4D00-AE37-B30619FD266D}"/>
    <cellStyle name="Millares [0] 7" xfId="125" xr:uid="{44F12947-90DB-491A-B7EE-8E2D4FEB8E7A}"/>
    <cellStyle name="Millares [0] 7 2" xfId="215" xr:uid="{429AD689-5987-4D7A-8640-406217BAB002}"/>
    <cellStyle name="Millares [0] 7 2 2" xfId="401" xr:uid="{6525087C-D63B-4A8D-900E-855D7E5E7DBD}"/>
    <cellStyle name="Millares [0] 7 2 2 2" xfId="740" xr:uid="{6D43E627-900C-4464-B588-9344E14F57EE}"/>
    <cellStyle name="Millares [0] 7 2 2 2 2" xfId="1411" xr:uid="{3F01BEF7-91DF-4CDD-914C-31EA452603A6}"/>
    <cellStyle name="Millares [0] 7 2 2 3" xfId="1079" xr:uid="{7863AC6B-F9D3-4338-9CD2-EBEE8C781943}"/>
    <cellStyle name="Millares [0] 7 2 3" xfId="574" xr:uid="{A255B10A-E94B-4335-822C-5FD95830BBC9}"/>
    <cellStyle name="Millares [0] 7 2 3 2" xfId="1245" xr:uid="{4FE96E64-D806-4821-9A1D-32282A35EB6F}"/>
    <cellStyle name="Millares [0] 7 2 4" xfId="913" xr:uid="{78DD0EAD-5E97-4B11-888D-3CE81391B0B4}"/>
    <cellStyle name="Millares [0] 7 3" xfId="319" xr:uid="{AC1F269C-E709-4027-B3D8-3DE69C77C0CC}"/>
    <cellStyle name="Millares [0] 7 3 2" xfId="658" xr:uid="{C0D76A41-C8AF-42A6-9E0B-F027308283EB}"/>
    <cellStyle name="Millares [0] 7 3 2 2" xfId="1329" xr:uid="{D158357F-FBA8-4116-A91C-218AEF87EFD1}"/>
    <cellStyle name="Millares [0] 7 3 3" xfId="997" xr:uid="{9AE0A0FA-46CC-4750-92F2-66EE7842D93D}"/>
    <cellStyle name="Millares [0] 7 4" xfId="492" xr:uid="{D44601A8-904C-46A8-B15A-19F29EAAF3D5}"/>
    <cellStyle name="Millares [0] 7 4 2" xfId="1163" xr:uid="{914A090A-227C-4194-8603-72986CDB1FA5}"/>
    <cellStyle name="Millares [0] 7 5" xfId="831" xr:uid="{56CB4761-5A56-4CA2-9098-1AA5828393BF}"/>
    <cellStyle name="Millares [0] 8" xfId="111" xr:uid="{A849E485-5186-4442-AB71-BF63F2DDC3D7}"/>
    <cellStyle name="Millares [0] 8 2" xfId="208" xr:uid="{3313F1EF-EC0D-4BDA-B06C-B81A46ECAECA}"/>
    <cellStyle name="Millares [0] 8 2 2" xfId="394" xr:uid="{954FD21A-9806-4292-934A-2BFE9B9A1A84}"/>
    <cellStyle name="Millares [0] 8 2 2 2" xfId="733" xr:uid="{AF32E466-A3A6-46B9-B669-8530C350FC59}"/>
    <cellStyle name="Millares [0] 8 2 2 2 2" xfId="1404" xr:uid="{D3299722-BDF8-40E6-8AD7-0D25A6301575}"/>
    <cellStyle name="Millares [0] 8 2 2 3" xfId="1072" xr:uid="{CC33BECD-D0D8-4CDD-B99C-04AA8EBB19AC}"/>
    <cellStyle name="Millares [0] 8 2 3" xfId="567" xr:uid="{96CF527A-E341-48BF-88AF-280734459309}"/>
    <cellStyle name="Millares [0] 8 2 3 2" xfId="1238" xr:uid="{2B38C681-6B74-4738-AECA-AB6360063A09}"/>
    <cellStyle name="Millares [0] 8 2 4" xfId="906" xr:uid="{F100BCEF-F893-4AB5-9368-6BF6DC0C8B64}"/>
    <cellStyle name="Millares [0] 8 3" xfId="312" xr:uid="{FA069E2C-78DF-4CAA-B2D2-15976C4489E7}"/>
    <cellStyle name="Millares [0] 8 3 2" xfId="651" xr:uid="{9D718D7D-5EDF-463F-8401-CBDA70588793}"/>
    <cellStyle name="Millares [0] 8 3 2 2" xfId="1322" xr:uid="{BF27AEC5-11BC-4972-9A63-083BFC0EACBE}"/>
    <cellStyle name="Millares [0] 8 3 3" xfId="990" xr:uid="{6ADA1A3C-56EF-49EF-AB0C-B4A245FDB27D}"/>
    <cellStyle name="Millares [0] 8 4" xfId="485" xr:uid="{AC62981D-C011-43C2-9F9D-F54D3A20F647}"/>
    <cellStyle name="Millares [0] 8 4 2" xfId="1156" xr:uid="{EEC78971-32D9-428F-B481-7913C80822E3}"/>
    <cellStyle name="Millares [0] 8 5" xfId="824" xr:uid="{559962B3-B7B3-42ED-A352-EC9E1BC98F01}"/>
    <cellStyle name="Millares [0] 9" xfId="161" xr:uid="{CD61700B-6BA7-4709-8F9A-D137EBAACA4D}"/>
    <cellStyle name="Millares [0] 9 2" xfId="250" xr:uid="{63A3DACD-76EB-4986-A1FB-E17255E31A94}"/>
    <cellStyle name="Millares [0] 9 2 2" xfId="436" xr:uid="{B576AECC-099F-44F1-AD59-44BC14EEED19}"/>
    <cellStyle name="Millares [0] 9 2 2 2" xfId="775" xr:uid="{3C976389-4D0C-49A6-BC6E-E62BF860279E}"/>
    <cellStyle name="Millares [0] 9 2 2 2 2" xfId="1446" xr:uid="{27B606A7-2C39-4B73-9B6C-3D56F7C7B59E}"/>
    <cellStyle name="Millares [0] 9 2 2 3" xfId="1114" xr:uid="{46C58EA2-2764-424A-99DE-F913E3928D38}"/>
    <cellStyle name="Millares [0] 9 2 3" xfId="609" xr:uid="{BA039D9F-5FDD-4B48-928B-819F797FF73D}"/>
    <cellStyle name="Millares [0] 9 2 3 2" xfId="1280" xr:uid="{7B5FF451-6EDD-4557-8075-EFC9C5F7FBA4}"/>
    <cellStyle name="Millares [0] 9 2 4" xfId="948" xr:uid="{3D762249-7580-4146-82BF-3FE94644CDA8}"/>
    <cellStyle name="Millares [0] 9 3" xfId="354" xr:uid="{98C14730-E9EA-46F7-8BB5-5080642061DA}"/>
    <cellStyle name="Millares [0] 9 3 2" xfId="693" xr:uid="{8376586A-1F51-4877-A8A4-ED01D0961718}"/>
    <cellStyle name="Millares [0] 9 3 2 2" xfId="1364" xr:uid="{A8CDC38E-38A3-4BE1-9DFE-CB7426325BEC}"/>
    <cellStyle name="Millares [0] 9 3 3" xfId="1032" xr:uid="{75319BEC-F6C5-4AD7-B64A-FFF06C351131}"/>
    <cellStyle name="Millares [0] 9 4" xfId="527" xr:uid="{7BB3FCF5-49CA-453D-AEDD-7DAE1B53FC6C}"/>
    <cellStyle name="Millares [0] 9 4 2" xfId="1198" xr:uid="{6D919DB2-137B-4F38-95C3-DA449671321B}"/>
    <cellStyle name="Millares [0] 9 5" xfId="866" xr:uid="{7544C4BB-A3BD-490C-AD6E-BA783C47598B}"/>
    <cellStyle name="Millares 10" xfId="118" xr:uid="{13D66C89-7F53-46B6-A7FB-F79C651772AC}"/>
    <cellStyle name="Millares 10 2" xfId="209" xr:uid="{03BACDB5-4621-4623-BC9E-42FD0688B3C9}"/>
    <cellStyle name="Millares 10 2 2" xfId="395" xr:uid="{B24D691E-5771-4CDA-8704-D0F1C1C6AFB0}"/>
    <cellStyle name="Millares 10 2 2 2" xfId="734" xr:uid="{4D6740F5-DB45-4094-890F-31B19D24C38B}"/>
    <cellStyle name="Millares 10 2 2 2 2" xfId="1405" xr:uid="{197E93B9-F85F-46CF-8304-DBDA674648BF}"/>
    <cellStyle name="Millares 10 2 2 3" xfId="1073" xr:uid="{5F342AFC-7309-4059-8010-B0FE1FC71275}"/>
    <cellStyle name="Millares 10 2 3" xfId="568" xr:uid="{5F86DDC3-02AD-42F2-84ED-7764D70AF621}"/>
    <cellStyle name="Millares 10 2 3 2" xfId="1239" xr:uid="{D1A7DCC1-B854-4041-BAFD-3B615086968C}"/>
    <cellStyle name="Millares 10 2 4" xfId="907" xr:uid="{2F04B6EB-A935-451C-BC0C-193D07EBEC10}"/>
    <cellStyle name="Millares 10 3" xfId="313" xr:uid="{E7741236-C521-45FC-A324-FC1883975F51}"/>
    <cellStyle name="Millares 10 3 2" xfId="652" xr:uid="{98AC2F37-970E-4DD4-BD6F-396BDCFB5B9E}"/>
    <cellStyle name="Millares 10 3 2 2" xfId="1323" xr:uid="{1FBE403B-E312-4AF3-B21C-6FF09F5D1E77}"/>
    <cellStyle name="Millares 10 3 3" xfId="991" xr:uid="{058BF4AF-EEB6-4CE3-B8B0-49995A74868D}"/>
    <cellStyle name="Millares 10 4" xfId="486" xr:uid="{051792C2-054B-4B4A-BD38-C915BF902CF1}"/>
    <cellStyle name="Millares 10 4 2" xfId="1157" xr:uid="{B9452F4D-1733-462D-AE28-7C900EDCF942}"/>
    <cellStyle name="Millares 10 5" xfId="825" xr:uid="{FB74D642-8146-488B-AFB3-4783D2B26B01}"/>
    <cellStyle name="Millares 100 2" xfId="57" xr:uid="{096E2EE1-02C3-47D8-92CC-4913086F39DD}"/>
    <cellStyle name="Millares 100 2 2" xfId="262" xr:uid="{7E7BBE0C-5F45-4A88-BC3A-A7E2CAEA437C}"/>
    <cellStyle name="Millares 11" xfId="159" xr:uid="{09E02A07-D229-4B89-8100-928F00A0920E}"/>
    <cellStyle name="Millares 11 2" xfId="248" xr:uid="{00C655F4-1F45-4732-9A4A-928972034DFA}"/>
    <cellStyle name="Millares 11 2 2" xfId="434" xr:uid="{F4F858CD-B65A-412A-A50E-E2051F2D2784}"/>
    <cellStyle name="Millares 11 2 2 2" xfId="773" xr:uid="{FA40743B-0D91-4D21-BB15-F2030DC24B48}"/>
    <cellStyle name="Millares 11 2 2 2 2" xfId="1444" xr:uid="{20B07A7A-FDC4-40EE-8E86-F5C001F9B48E}"/>
    <cellStyle name="Millares 11 2 2 3" xfId="1112" xr:uid="{34D18B06-DBCA-4EE2-BB4B-B4F008FB2ACA}"/>
    <cellStyle name="Millares 11 2 3" xfId="607" xr:uid="{6110975D-8CA4-41B7-AA3F-7D03205D7140}"/>
    <cellStyle name="Millares 11 2 3 2" xfId="1278" xr:uid="{8736A2A9-DE90-48EA-A681-0D1378336767}"/>
    <cellStyle name="Millares 11 2 4" xfId="946" xr:uid="{68CE3D0B-DBC4-40D7-84BE-0BD39A7889DF}"/>
    <cellStyle name="Millares 11 3" xfId="352" xr:uid="{FAE01893-0164-4202-8900-52584824498F}"/>
    <cellStyle name="Millares 11 3 2" xfId="691" xr:uid="{07FB5CF8-6586-4506-A9E6-996801D33DB4}"/>
    <cellStyle name="Millares 11 3 2 2" xfId="1362" xr:uid="{D948C8B2-FD70-49DF-8FAB-3757722FD859}"/>
    <cellStyle name="Millares 11 3 3" xfId="1030" xr:uid="{3D75F63A-06FC-4F9F-972D-53D9B6054FDD}"/>
    <cellStyle name="Millares 11 4" xfId="525" xr:uid="{F2346FFD-7C74-4070-B025-6BDC428562E5}"/>
    <cellStyle name="Millares 11 4 2" xfId="1196" xr:uid="{38012F0A-AF38-4C27-B0D0-DC4CCC9814D3}"/>
    <cellStyle name="Millares 11 5" xfId="864" xr:uid="{86FC40FC-B056-461B-8DE5-3C49AF2046E9}"/>
    <cellStyle name="Millares 12" xfId="160" xr:uid="{29BA391B-68A6-4FC5-ADE6-46A20A70A9B4}"/>
    <cellStyle name="Millares 12 2" xfId="249" xr:uid="{1913FBF8-DBFF-49FA-9832-8171842CAC85}"/>
    <cellStyle name="Millares 12 2 2" xfId="435" xr:uid="{5C0E094F-195E-4693-A6E5-9E9A712934AA}"/>
    <cellStyle name="Millares 12 2 2 2" xfId="774" xr:uid="{1D07D18B-99D8-45A3-AFBA-AEEC402FF1A7}"/>
    <cellStyle name="Millares 12 2 2 2 2" xfId="1445" xr:uid="{16792A0C-F42D-42A5-AC44-A02F954E8789}"/>
    <cellStyle name="Millares 12 2 2 3" xfId="1113" xr:uid="{CCA4D009-CE82-4C45-B49B-F8870D178FE9}"/>
    <cellStyle name="Millares 12 2 3" xfId="608" xr:uid="{247FFCB5-5193-46FD-A103-80056BF2FCF7}"/>
    <cellStyle name="Millares 12 2 3 2" xfId="1279" xr:uid="{A77133BF-9591-4F3D-A1E2-F0A67854515D}"/>
    <cellStyle name="Millares 12 2 4" xfId="947" xr:uid="{3FCB5F04-FAFD-47C3-A552-C3AF54E1D2AE}"/>
    <cellStyle name="Millares 12 3" xfId="353" xr:uid="{E5147E34-FA36-405C-9B6E-8D6F7EA18362}"/>
    <cellStyle name="Millares 12 3 2" xfId="692" xr:uid="{95EB6AD3-F573-4096-8B8A-B37071CA52B2}"/>
    <cellStyle name="Millares 12 3 2 2" xfId="1363" xr:uid="{F4B377F2-4D5B-4D22-8709-D7BD96979024}"/>
    <cellStyle name="Millares 12 3 3" xfId="1031" xr:uid="{4B0F8849-D968-44BE-8B78-B20E9FFAC977}"/>
    <cellStyle name="Millares 12 4" xfId="526" xr:uid="{0B98E0C1-ADE8-4DF6-8595-24F30DA82FA8}"/>
    <cellStyle name="Millares 12 4 2" xfId="1197" xr:uid="{808B76EC-51C0-43C4-A7D6-CBF69ADB2DA9}"/>
    <cellStyle name="Millares 12 5" xfId="865" xr:uid="{3F8C47B5-1BF9-4853-9638-D844E4638CC2}"/>
    <cellStyle name="Millares 13" xfId="168" xr:uid="{525F008D-39CA-4E32-8959-9A9034365020}"/>
    <cellStyle name="Millares 13 2" xfId="355" xr:uid="{A60ECC14-DBCA-43CE-811B-5225D9ACAFD9}"/>
    <cellStyle name="Millares 13 2 2" xfId="694" xr:uid="{AC17887A-BDFF-480B-9AC2-F8C878E3DF4F}"/>
    <cellStyle name="Millares 13 2 2 2" xfId="1365" xr:uid="{5DB34864-A97A-4C84-B25E-80B97C6FC0FD}"/>
    <cellStyle name="Millares 13 2 3" xfId="1033" xr:uid="{39EF3366-8C28-438E-B538-F47A4BAC52D4}"/>
    <cellStyle name="Millares 13 3" xfId="528" xr:uid="{85201449-32E2-45EE-A149-51E067F6C089}"/>
    <cellStyle name="Millares 13 3 2" xfId="1199" xr:uid="{55BD776C-EC61-453F-8309-984DC9C51A98}"/>
    <cellStyle name="Millares 13 4" xfId="867" xr:uid="{AD688023-2FA6-46C4-80E8-DB66EA43A3E4}"/>
    <cellStyle name="Millares 14" xfId="257" xr:uid="{DDD6BED8-28A2-4330-AAC4-1808E2D86045}"/>
    <cellStyle name="Millares 14 2" xfId="437" xr:uid="{EA5B2158-E512-4C67-ACC6-7BDB2EBF73EA}"/>
    <cellStyle name="Millares 14 2 2" xfId="776" xr:uid="{22DC7151-79CB-4D0B-BC9A-B1049219388A}"/>
    <cellStyle name="Millares 14 2 2 2" xfId="1447" xr:uid="{ADED5CA2-1070-4764-966F-4792DC015576}"/>
    <cellStyle name="Millares 14 2 3" xfId="1115" xr:uid="{CCC14AA3-CFAF-4784-8147-D3C1E780B891}"/>
    <cellStyle name="Millares 14 3" xfId="610" xr:uid="{1128D38A-1DE7-4194-978B-BE9C7C4DAB9C}"/>
    <cellStyle name="Millares 14 3 2" xfId="1281" xr:uid="{28E6DD55-6402-466F-BA83-0604158957DA}"/>
    <cellStyle name="Millares 14 4" xfId="949" xr:uid="{8E90D7F2-0510-4CCB-AD00-3835F4AA6F8E}"/>
    <cellStyle name="Millares 15" xfId="272" xr:uid="{5E0D34F4-477D-4ADF-80D1-3661DAB6F3CB}"/>
    <cellStyle name="Millares 15 2" xfId="612" xr:uid="{5039FCBC-3C6A-437B-BCA0-92D39153D85E}"/>
    <cellStyle name="Millares 15 2 2" xfId="1283" xr:uid="{8879D69B-433B-4244-AB7E-20946215B448}"/>
    <cellStyle name="Millares 15 3" xfId="951" xr:uid="{74437B82-D961-4993-9967-7B584FEFA2A9}"/>
    <cellStyle name="Millares 16" xfId="445" xr:uid="{FC598B23-FF28-45E4-85B0-A334659A2292}"/>
    <cellStyle name="Millares 16 2" xfId="1117" xr:uid="{5AA718B4-6DD2-4266-A4AA-5E05D9A123F4}"/>
    <cellStyle name="Millares 17" xfId="784" xr:uid="{56548EBA-23D6-4C60-8730-58B93B5FCB36}"/>
    <cellStyle name="Millares 18" xfId="59" xr:uid="{65F341F3-B1F9-4BA7-9DC5-1E43232A5CDB}"/>
    <cellStyle name="Millares 19" xfId="43" xr:uid="{1473F8B2-D71E-46A6-984D-7FE9F0B300CF}"/>
    <cellStyle name="Millares 2" xfId="47" xr:uid="{2E7A1066-8D6D-4B49-A003-8358A2369D2F}"/>
    <cellStyle name="Millares 2 2" xfId="74" xr:uid="{6076606B-B7BB-45C3-8C6F-CA747A6D55F7}"/>
    <cellStyle name="Millares 2 2 2" xfId="103" xr:uid="{9D2481CD-2BD5-41CE-9C9D-2956B7B92524}"/>
    <cellStyle name="Millares 2 2 2 2" xfId="151" xr:uid="{EE94EBA8-1151-4BE7-8861-8136380526B9}"/>
    <cellStyle name="Millares 2 2 2 2 2" xfId="240" xr:uid="{95754A13-366A-4B7A-AECB-FAB3E11D11C5}"/>
    <cellStyle name="Millares 2 2 2 2 2 2" xfId="426" xr:uid="{83A41B6F-12CC-45DD-A4F9-9529DDD40AB3}"/>
    <cellStyle name="Millares 2 2 2 2 2 2 2" xfId="765" xr:uid="{51752DFA-3BFC-4BCB-BE7B-E3A4DFA73175}"/>
    <cellStyle name="Millares 2 2 2 2 2 2 2 2" xfId="1436" xr:uid="{6200E2E2-1BB4-4C5D-9931-3FAC3D3AAB0A}"/>
    <cellStyle name="Millares 2 2 2 2 2 2 3" xfId="1104" xr:uid="{525CD1DB-5DFF-4245-9CB9-01648354DF74}"/>
    <cellStyle name="Millares 2 2 2 2 2 3" xfId="599" xr:uid="{7BD63E88-3A07-4387-A1A0-5378BDEDEE22}"/>
    <cellStyle name="Millares 2 2 2 2 2 3 2" xfId="1270" xr:uid="{4B990BAA-8B04-43CA-96B3-41E6945C0916}"/>
    <cellStyle name="Millares 2 2 2 2 2 4" xfId="938" xr:uid="{34087BF7-B738-41AB-9987-9372BEBA977B}"/>
    <cellStyle name="Millares 2 2 2 2 3" xfId="344" xr:uid="{3A8B543F-E9C6-460E-AC11-111BF21020E2}"/>
    <cellStyle name="Millares 2 2 2 2 3 2" xfId="683" xr:uid="{AFB4746F-C07B-4759-A63A-0812BE92627D}"/>
    <cellStyle name="Millares 2 2 2 2 3 2 2" xfId="1354" xr:uid="{E8368CFF-3654-4C48-9DB6-B6C802726B6A}"/>
    <cellStyle name="Millares 2 2 2 2 3 3" xfId="1022" xr:uid="{78FC9D45-500E-4301-8269-C6CCE6D84DA9}"/>
    <cellStyle name="Millares 2 2 2 2 4" xfId="517" xr:uid="{228467E1-B4FA-474C-B6DA-358B0C35632B}"/>
    <cellStyle name="Millares 2 2 2 2 4 2" xfId="1188" xr:uid="{5AF67AF5-E2F8-4BA5-83D6-E713DA4D0F02}"/>
    <cellStyle name="Millares 2 2 2 2 5" xfId="856" xr:uid="{EA44E6B8-3239-447D-919F-96268D3590D0}"/>
    <cellStyle name="Millares 2 2 2 3" xfId="200" xr:uid="{8D45AF57-E86D-49E1-8A5B-A24D06BF7D3A}"/>
    <cellStyle name="Millares 2 2 2 3 2" xfId="386" xr:uid="{3203D63D-6CB2-424E-BA87-867FD15FB1DB}"/>
    <cellStyle name="Millares 2 2 2 3 2 2" xfId="725" xr:uid="{47622237-A83A-4EF4-A734-5DA158C7E65C}"/>
    <cellStyle name="Millares 2 2 2 3 2 2 2" xfId="1396" xr:uid="{683E6BE0-E15C-4017-95BA-915155E8E92D}"/>
    <cellStyle name="Millares 2 2 2 3 2 3" xfId="1064" xr:uid="{33278A75-8837-49A7-9EDA-EFAAECD34BFB}"/>
    <cellStyle name="Millares 2 2 2 3 3" xfId="559" xr:uid="{BE24F337-B411-4764-85DA-B72761FBCE3C}"/>
    <cellStyle name="Millares 2 2 2 3 3 2" xfId="1230" xr:uid="{926B6D81-CEE8-4CA0-B927-19DFC1A6BF97}"/>
    <cellStyle name="Millares 2 2 2 3 4" xfId="898" xr:uid="{F7076CCE-BB1E-46AA-AED4-103B9DC07E7F}"/>
    <cellStyle name="Millares 2 2 2 4" xfId="304" xr:uid="{04D50970-49BB-48A4-90DE-7DCDAEDDCEE2}"/>
    <cellStyle name="Millares 2 2 2 4 2" xfId="643" xr:uid="{96C4FF0A-BFED-476F-942E-1E724DF515C1}"/>
    <cellStyle name="Millares 2 2 2 4 2 2" xfId="1314" xr:uid="{40984182-E91B-483F-AA4F-3BBB6898B64A}"/>
    <cellStyle name="Millares 2 2 2 4 3" xfId="982" xr:uid="{B60D3AC4-19B4-4359-B0C4-DC260973E7FD}"/>
    <cellStyle name="Millares 2 2 2 5" xfId="477" xr:uid="{AC1CAFDA-58E8-437C-B4F7-5270235A9A01}"/>
    <cellStyle name="Millares 2 2 2 5 2" xfId="1148" xr:uid="{AFBC6196-1B64-4E75-972F-7C1D0CADD149}"/>
    <cellStyle name="Millares 2 2 2 6" xfId="816" xr:uid="{A955D20D-4D54-446F-80C3-D20AFB7D8F1D}"/>
    <cellStyle name="Millares 2 2 3" xfId="132" xr:uid="{D80BAB78-5F44-4D76-8742-A67EC3580B0B}"/>
    <cellStyle name="Millares 2 2 3 2" xfId="221" xr:uid="{23592DB8-7BBE-4E52-B727-B6DB4B15EF63}"/>
    <cellStyle name="Millares 2 2 3 2 2" xfId="407" xr:uid="{F3F09856-D1CB-406A-AB73-1F94A1F84214}"/>
    <cellStyle name="Millares 2 2 3 2 2 2" xfId="746" xr:uid="{28986EE3-2553-4C6A-B03F-ED85B43D2C8A}"/>
    <cellStyle name="Millares 2 2 3 2 2 2 2" xfId="1417" xr:uid="{2EB7A47F-3FC4-4874-8F2B-771880A5DA09}"/>
    <cellStyle name="Millares 2 2 3 2 2 3" xfId="1085" xr:uid="{812E5AF8-6329-4742-A812-A9F2B8C003C9}"/>
    <cellStyle name="Millares 2 2 3 2 3" xfId="580" xr:uid="{239AF465-EEF8-453D-B644-4BDED1241DF9}"/>
    <cellStyle name="Millares 2 2 3 2 3 2" xfId="1251" xr:uid="{217F414E-43B7-402F-A695-CFE4501E2E2F}"/>
    <cellStyle name="Millares 2 2 3 2 4" xfId="919" xr:uid="{1363E6A8-2D25-4EA6-843C-FD50B50FC9E4}"/>
    <cellStyle name="Millares 2 2 3 3" xfId="325" xr:uid="{D4239605-ECAA-4E4D-B3EF-7558C085CDBC}"/>
    <cellStyle name="Millares 2 2 3 3 2" xfId="664" xr:uid="{B7354BF2-81FF-49FD-83A8-4A9D19E24D65}"/>
    <cellStyle name="Millares 2 2 3 3 2 2" xfId="1335" xr:uid="{438CCAC9-E045-4B45-9D04-B4B2DA23E4EB}"/>
    <cellStyle name="Millares 2 2 3 3 3" xfId="1003" xr:uid="{75951332-CBEF-46CF-8E7B-D688FF2DEEAE}"/>
    <cellStyle name="Millares 2 2 3 4" xfId="498" xr:uid="{6BB5273B-9DB9-481F-B29F-0C6F8D26E35D}"/>
    <cellStyle name="Millares 2 2 3 4 2" xfId="1169" xr:uid="{71FF19E1-5793-4CF0-9DC8-06BFA712C0F7}"/>
    <cellStyle name="Millares 2 2 3 5" xfId="837" xr:uid="{5A68750A-D037-4809-BE6B-0E8600603685}"/>
    <cellStyle name="Millares 2 2 4" xfId="181" xr:uid="{F92C147A-0DD4-4C4F-8BEF-CEC19373BCC0}"/>
    <cellStyle name="Millares 2 2 4 2" xfId="367" xr:uid="{A24C5FDF-0553-47AE-87B6-22A1F265F38F}"/>
    <cellStyle name="Millares 2 2 4 2 2" xfId="706" xr:uid="{BB508A45-E578-4087-9D6A-97AA17CC3CC6}"/>
    <cellStyle name="Millares 2 2 4 2 2 2" xfId="1377" xr:uid="{7799E7BF-5EBF-4BEF-889C-01860FA3E03E}"/>
    <cellStyle name="Millares 2 2 4 2 3" xfId="1045" xr:uid="{453F1D8A-B1DF-4BA8-A6E7-27479B4974F4}"/>
    <cellStyle name="Millares 2 2 4 3" xfId="540" xr:uid="{8D24AB70-ED47-473A-8FB6-2E04B0B57B99}"/>
    <cellStyle name="Millares 2 2 4 3 2" xfId="1211" xr:uid="{50DEA106-5CA7-4115-A5FD-DD1C909859DD}"/>
    <cellStyle name="Millares 2 2 4 4" xfId="879" xr:uid="{1B48A774-C9F5-4398-8284-925458A3E522}"/>
    <cellStyle name="Millares 2 2 5" xfId="285" xr:uid="{DF640584-2695-49CC-90DF-CCE3E513231C}"/>
    <cellStyle name="Millares 2 2 5 2" xfId="624" xr:uid="{7ACB3CAF-DB8D-4E7A-AA1B-4CC5FAEB496A}"/>
    <cellStyle name="Millares 2 2 5 2 2" xfId="1295" xr:uid="{21375761-6997-4C72-B341-443A8D983C15}"/>
    <cellStyle name="Millares 2 2 5 3" xfId="963" xr:uid="{D8D30ABE-C1F1-4D4E-AAF0-A9E48AFC0B13}"/>
    <cellStyle name="Millares 2 2 6" xfId="458" xr:uid="{7F4DF8F0-9273-4773-84A0-3BC0E4578AEE}"/>
    <cellStyle name="Millares 2 2 6 2" xfId="1129" xr:uid="{0BA33FD3-37E1-4B9A-B95C-C8E4ABF005C4}"/>
    <cellStyle name="Millares 2 2 7" xfId="797" xr:uid="{E08AA632-8D9A-4878-BFA1-0502DB8FB228}"/>
    <cellStyle name="Millares 2 3" xfId="92" xr:uid="{5ABB6467-4FED-4F3C-B93B-D7FFC80146E3}"/>
    <cellStyle name="Millares 2 3 2" xfId="142" xr:uid="{99461FD7-6187-4814-89FA-74F9CBB5C3B5}"/>
    <cellStyle name="Millares 2 3 2 2" xfId="231" xr:uid="{AB1CEB65-9865-47EA-806D-F785F31F09AB}"/>
    <cellStyle name="Millares 2 3 2 2 2" xfId="417" xr:uid="{E2D91420-5C6A-46E5-B541-B47A794A3EA9}"/>
    <cellStyle name="Millares 2 3 2 2 2 2" xfId="756" xr:uid="{5C70ECC7-82E9-4879-BC38-5EF21F78D526}"/>
    <cellStyle name="Millares 2 3 2 2 2 2 2" xfId="1427" xr:uid="{950FD665-4A26-46CC-8A9C-CA337D4F24E2}"/>
    <cellStyle name="Millares 2 3 2 2 2 3" xfId="1095" xr:uid="{037EBA5E-6BAC-4ECD-9CD3-9278329B10AF}"/>
    <cellStyle name="Millares 2 3 2 2 3" xfId="590" xr:uid="{6FDD7EBD-251D-4CF1-889E-44A21CBD4C39}"/>
    <cellStyle name="Millares 2 3 2 2 3 2" xfId="1261" xr:uid="{E7902A52-0FFC-474C-BC35-EA3D0DC58CC5}"/>
    <cellStyle name="Millares 2 3 2 2 4" xfId="929" xr:uid="{DBEDE450-9C82-45BF-A314-95E1392BBFD6}"/>
    <cellStyle name="Millares 2 3 2 3" xfId="335" xr:uid="{F7527CD7-7A00-40B7-9D4B-F687EEB09A28}"/>
    <cellStyle name="Millares 2 3 2 3 2" xfId="674" xr:uid="{15A5FF23-02BD-4FC8-9F91-84FEAF0D473E}"/>
    <cellStyle name="Millares 2 3 2 3 2 2" xfId="1345" xr:uid="{D72735BF-27E2-4827-9975-E0FF3E7BDF4C}"/>
    <cellStyle name="Millares 2 3 2 3 3" xfId="1013" xr:uid="{891CB96E-B6A0-4B07-9920-29A388140DE2}"/>
    <cellStyle name="Millares 2 3 2 4" xfId="508" xr:uid="{ABA2E6BC-8163-485A-9CFA-A883885F869A}"/>
    <cellStyle name="Millares 2 3 2 4 2" xfId="1179" xr:uid="{6C0A40BF-8E7F-4BD7-BC15-ACFA70B33A5E}"/>
    <cellStyle name="Millares 2 3 2 5" xfId="847" xr:uid="{6F60501B-BE66-4EB1-BCC7-E009FCCD0596}"/>
    <cellStyle name="Millares 2 3 3" xfId="191" xr:uid="{CC4F1BD5-1D18-4BB3-8D6A-0D8122C80BBF}"/>
    <cellStyle name="Millares 2 3 3 2" xfId="377" xr:uid="{E99F3A6E-C672-46DE-9A88-71DF7286ACC8}"/>
    <cellStyle name="Millares 2 3 3 2 2" xfId="716" xr:uid="{1F67F171-E864-42FF-8A3B-E38F58468C6F}"/>
    <cellStyle name="Millares 2 3 3 2 2 2" xfId="1387" xr:uid="{D5231D5B-F824-48C7-AB83-A9746885DF8C}"/>
    <cellStyle name="Millares 2 3 3 2 3" xfId="1055" xr:uid="{16668AD5-66AF-4A11-B11A-C21FAB0FCBC3}"/>
    <cellStyle name="Millares 2 3 3 3" xfId="550" xr:uid="{2909D0BD-DC7A-469A-BAFA-769FE638F40F}"/>
    <cellStyle name="Millares 2 3 3 3 2" xfId="1221" xr:uid="{924EB2C6-7CC6-4D18-BF77-27B4CFC2CBE7}"/>
    <cellStyle name="Millares 2 3 3 4" xfId="889" xr:uid="{CE8FA90B-0C36-4735-81A5-237CB3D6DAE7}"/>
    <cellStyle name="Millares 2 3 4" xfId="295" xr:uid="{EF2A7D88-732F-404D-B440-990B3BE89EFC}"/>
    <cellStyle name="Millares 2 3 4 2" xfId="634" xr:uid="{107106F7-604D-4D4C-BAD1-73F41743EE85}"/>
    <cellStyle name="Millares 2 3 4 2 2" xfId="1305" xr:uid="{9A3D9520-D1AD-4D92-8E5A-CAE71B81D826}"/>
    <cellStyle name="Millares 2 3 4 3" xfId="973" xr:uid="{7CD594D4-A97B-43B7-B7E5-5FFE76183EAC}"/>
    <cellStyle name="Millares 2 3 5" xfId="468" xr:uid="{A7959735-683C-4BBA-8054-2B0B74047375}"/>
    <cellStyle name="Millares 2 3 5 2" xfId="1139" xr:uid="{BDC845AC-8C10-4EA0-A630-3386F8AB86D1}"/>
    <cellStyle name="Millares 2 3 6" xfId="807" xr:uid="{473FC18A-ED3D-4E34-AC9C-811FCD4F3E64}"/>
    <cellStyle name="Millares 2 4" xfId="121" xr:uid="{7EAD9512-1BB9-4482-870D-6F5FCC98F86F}"/>
    <cellStyle name="Millares 2 4 2" xfId="212" xr:uid="{9D7361E1-BE4A-46E5-B057-9381A4DD571F}"/>
    <cellStyle name="Millares 2 4 2 2" xfId="398" xr:uid="{F09DB756-96F9-49B8-911E-90A8DC13A9B9}"/>
    <cellStyle name="Millares 2 4 2 2 2" xfId="737" xr:uid="{A3E1678D-85D0-47BA-A390-9499C748545D}"/>
    <cellStyle name="Millares 2 4 2 2 2 2" xfId="1408" xr:uid="{0783E951-54E0-4C92-8676-5E82DD51CC97}"/>
    <cellStyle name="Millares 2 4 2 2 3" xfId="1076" xr:uid="{C0E82477-2BB7-44C9-9D6F-049DB7589137}"/>
    <cellStyle name="Millares 2 4 2 3" xfId="571" xr:uid="{003B80DC-C777-418F-8C26-F5BCD8709AFF}"/>
    <cellStyle name="Millares 2 4 2 3 2" xfId="1242" xr:uid="{6C3D145F-D9A4-41DD-8274-747AC377B7C6}"/>
    <cellStyle name="Millares 2 4 2 4" xfId="910" xr:uid="{0D7AD8AD-F351-474B-BE5D-69701DEFB150}"/>
    <cellStyle name="Millares 2 4 3" xfId="316" xr:uid="{9669A25E-3FA0-4CAD-9C44-C77075506EBD}"/>
    <cellStyle name="Millares 2 4 3 2" xfId="655" xr:uid="{E83F0093-EB3F-471E-8AB5-9E063087F33B}"/>
    <cellStyle name="Millares 2 4 3 2 2" xfId="1326" xr:uid="{780AF4AE-F40D-4CCD-B43E-2DAB05C31D26}"/>
    <cellStyle name="Millares 2 4 3 3" xfId="994" xr:uid="{265EBFA9-580A-48CA-B65B-010E6D4B72E8}"/>
    <cellStyle name="Millares 2 4 4" xfId="489" xr:uid="{A448A21A-C608-47CE-8D7C-C7E4906D93C7}"/>
    <cellStyle name="Millares 2 4 4 2" xfId="1160" xr:uid="{2728A476-E975-4FBC-BE0E-D74E9D444F41}"/>
    <cellStyle name="Millares 2 4 5" xfId="828" xr:uid="{92C3219C-CCE2-47BE-B573-5C24D4224F6F}"/>
    <cellStyle name="Millares 2 5" xfId="171" xr:uid="{F1FEC78F-3022-4975-A1E0-D15D0EE62667}"/>
    <cellStyle name="Millares 2 5 2" xfId="358" xr:uid="{D1B0BAAA-F562-4EF2-9F2D-460BB3A5B2F8}"/>
    <cellStyle name="Millares 2 5 2 2" xfId="697" xr:uid="{8B682737-0500-402E-80AE-B4A631E37C19}"/>
    <cellStyle name="Millares 2 5 2 2 2" xfId="1368" xr:uid="{F81E7CD6-62AE-4C88-ABC6-7AB951EE90DF}"/>
    <cellStyle name="Millares 2 5 2 3" xfId="1036" xr:uid="{C149E089-E7CD-4228-9AD8-B05192582AE5}"/>
    <cellStyle name="Millares 2 5 3" xfId="531" xr:uid="{1C636EE7-3A12-44A2-B0D8-B0270576AF56}"/>
    <cellStyle name="Millares 2 5 3 2" xfId="1202" xr:uid="{FBAF1A33-EDDA-41B8-8E8B-9652307FD035}"/>
    <cellStyle name="Millares 2 5 4" xfId="870" xr:uid="{8E883EF0-800B-4BE9-8561-5CBAD97BCCC2}"/>
    <cellStyle name="Millares 2 6" xfId="259" xr:uid="{899719ED-F477-4E98-BE53-8492422DB009}"/>
    <cellStyle name="Millares 2 7" xfId="275" xr:uid="{9ED71FCB-A68E-40BD-A137-D639ABD031A4}"/>
    <cellStyle name="Millares 2 7 2" xfId="615" xr:uid="{9A525B27-CCEB-47BA-8091-E49FFD4B94A8}"/>
    <cellStyle name="Millares 2 7 2 2" xfId="1286" xr:uid="{98D7C9AA-F1DB-4390-ADE3-B2346047056A}"/>
    <cellStyle name="Millares 2 7 3" xfId="954" xr:uid="{9B12C037-3AA2-4E0D-83E2-681F715CA787}"/>
    <cellStyle name="Millares 2 8" xfId="448" xr:uid="{52E3C0E3-8C68-44B5-9C8F-12B57468027E}"/>
    <cellStyle name="Millares 2 8 2" xfId="1120" xr:uid="{B5558143-6F25-4648-A805-285A41EFA194}"/>
    <cellStyle name="Millares 2 9" xfId="787" xr:uid="{0CF70D23-730C-45A2-8FF9-29E3292E5C03}"/>
    <cellStyle name="Millares 3" xfId="71" xr:uid="{546B0F59-8521-457F-A698-A16A38D3F476}"/>
    <cellStyle name="Millares 3 2" xfId="100" xr:uid="{D1993D96-AC2F-4225-B290-AA4DD2F0E76F}"/>
    <cellStyle name="Millares 3 2 2" xfId="60" xr:uid="{91B7A52E-9ACB-4EDE-B49D-31D81CDD412C}"/>
    <cellStyle name="Millares 3 2 2 2" xfId="264" xr:uid="{B0268715-CF6D-45F9-AF97-B8FE1618E246}"/>
    <cellStyle name="Millares 3 2 3" xfId="148" xr:uid="{43E14D39-B3B7-466E-8099-724553B926DC}"/>
    <cellStyle name="Millares 3 2 3 2" xfId="237" xr:uid="{D38D771B-8A38-4F05-BC58-E8C5062A5951}"/>
    <cellStyle name="Millares 3 2 3 2 2" xfId="423" xr:uid="{B61A7684-98C8-474A-819D-3E09F964501A}"/>
    <cellStyle name="Millares 3 2 3 2 2 2" xfId="762" xr:uid="{A309EBA5-497D-433D-883A-BBA3549040A5}"/>
    <cellStyle name="Millares 3 2 3 2 2 2 2" xfId="1433" xr:uid="{E921E3DB-4684-4728-AECF-B7B102B5D045}"/>
    <cellStyle name="Millares 3 2 3 2 2 3" xfId="1101" xr:uid="{0FF1147D-AC96-467B-B8E2-EFB975DCB6B5}"/>
    <cellStyle name="Millares 3 2 3 2 3" xfId="596" xr:uid="{56EECE87-3A6D-4483-8932-09260D746BB5}"/>
    <cellStyle name="Millares 3 2 3 2 3 2" xfId="1267" xr:uid="{27E19400-1C78-461B-9C82-00E2AA17B3D2}"/>
    <cellStyle name="Millares 3 2 3 2 4" xfId="935" xr:uid="{46A165E2-1FA1-4EA4-9C07-09046CE47D7D}"/>
    <cellStyle name="Millares 3 2 3 3" xfId="341" xr:uid="{BC4635C8-CDE4-42C6-B4CC-48F763E09DF3}"/>
    <cellStyle name="Millares 3 2 3 3 2" xfId="680" xr:uid="{46DE1325-D8EA-4523-A1C2-54B1FF600791}"/>
    <cellStyle name="Millares 3 2 3 3 2 2" xfId="1351" xr:uid="{B9062987-01C9-45BE-A014-FB45A5265B1A}"/>
    <cellStyle name="Millares 3 2 3 3 3" xfId="1019" xr:uid="{C6E5046D-5C9F-4142-A492-8DC13E9ECC7E}"/>
    <cellStyle name="Millares 3 2 3 4" xfId="514" xr:uid="{0602C246-C80F-46A8-8FAD-06062346BE6A}"/>
    <cellStyle name="Millares 3 2 3 4 2" xfId="1185" xr:uid="{F5CCF183-2EA7-485E-89C4-E97B15595101}"/>
    <cellStyle name="Millares 3 2 3 5" xfId="853" xr:uid="{A2BA2133-8DD2-4291-B0C3-417851900FA3}"/>
    <cellStyle name="Millares 3 2 4" xfId="197" xr:uid="{DB6CFB7E-3897-4359-A5B2-C030E95D1A68}"/>
    <cellStyle name="Millares 3 2 4 2" xfId="383" xr:uid="{C8D8042A-76BD-4EC6-8FD9-B4BE60617023}"/>
    <cellStyle name="Millares 3 2 4 2 2" xfId="722" xr:uid="{B43D867F-1748-468C-96E9-F96D17452F69}"/>
    <cellStyle name="Millares 3 2 4 2 2 2" xfId="1393" xr:uid="{B2DCF998-4A64-4C84-ABF9-0BF5B318BBBD}"/>
    <cellStyle name="Millares 3 2 4 2 3" xfId="1061" xr:uid="{C5C7A8DF-9FCC-45BC-9CFC-E855A816FC62}"/>
    <cellStyle name="Millares 3 2 4 3" xfId="556" xr:uid="{7C5617E7-4AD8-49FB-841B-B77BFFBB9841}"/>
    <cellStyle name="Millares 3 2 4 3 2" xfId="1227" xr:uid="{D07B645A-8774-4519-BCAD-310FD47A8E3D}"/>
    <cellStyle name="Millares 3 2 4 4" xfId="895" xr:uid="{2647DE13-4694-4127-ACB2-EAA6DDA3AEA1}"/>
    <cellStyle name="Millares 3 2 5" xfId="301" xr:uid="{0CD2E8E6-5696-40B6-979B-C562D52482BE}"/>
    <cellStyle name="Millares 3 2 5 2" xfId="640" xr:uid="{8B62DDCF-0A88-4F8F-8F3D-2B272F1A0725}"/>
    <cellStyle name="Millares 3 2 5 2 2" xfId="1311" xr:uid="{9335205E-5C42-438F-96F9-F2C59BDAB1D9}"/>
    <cellStyle name="Millares 3 2 5 3" xfId="979" xr:uid="{0424D15E-C732-46B4-B8F3-772B280E292F}"/>
    <cellStyle name="Millares 3 2 6" xfId="474" xr:uid="{B61F1BEB-0276-4B05-B987-2D17894DE3F0}"/>
    <cellStyle name="Millares 3 2 6 2" xfId="1145" xr:uid="{C1DA7AF6-C2FC-400E-A4D6-A8BE884DEDAF}"/>
    <cellStyle name="Millares 3 2 7" xfId="813" xr:uid="{87C55370-F47F-4DAE-A8E5-7F3C20CEC3CC}"/>
    <cellStyle name="Millares 3 3" xfId="129" xr:uid="{4B433918-96F5-480A-8072-EE9F90545C5D}"/>
    <cellStyle name="Millares 3 3 2" xfId="218" xr:uid="{342C7757-B7E0-46E4-A98F-51944BB55693}"/>
    <cellStyle name="Millares 3 3 2 2" xfId="404" xr:uid="{C19242E2-ACC0-4B96-ADF8-8BE544E88824}"/>
    <cellStyle name="Millares 3 3 2 2 2" xfId="743" xr:uid="{64855BB8-CF09-4FA2-BE84-A074FC1641EF}"/>
    <cellStyle name="Millares 3 3 2 2 2 2" xfId="1414" xr:uid="{176F923A-93A9-4D6B-A145-9E5708054F0E}"/>
    <cellStyle name="Millares 3 3 2 2 3" xfId="1082" xr:uid="{400369D2-9696-4A26-BA75-8EA0494A30E6}"/>
    <cellStyle name="Millares 3 3 2 3" xfId="577" xr:uid="{58233D8A-F28E-4E77-82D9-A7C00C5F7799}"/>
    <cellStyle name="Millares 3 3 2 3 2" xfId="1248" xr:uid="{8390C1F5-9E30-458F-83D8-51E50E7FA802}"/>
    <cellStyle name="Millares 3 3 2 4" xfId="916" xr:uid="{F37929FA-B5D9-4378-B957-6999C29861E8}"/>
    <cellStyle name="Millares 3 3 3" xfId="322" xr:uid="{93EA487B-494F-4CD1-AD7B-1F856076290F}"/>
    <cellStyle name="Millares 3 3 3 2" xfId="661" xr:uid="{F2498115-5948-4388-9DD8-FEF75459682D}"/>
    <cellStyle name="Millares 3 3 3 2 2" xfId="1332" xr:uid="{99EBD836-CCE1-4294-BDC5-8873E1DA49CE}"/>
    <cellStyle name="Millares 3 3 3 3" xfId="1000" xr:uid="{27EE300A-5C6C-465C-BE6E-15611AE97C48}"/>
    <cellStyle name="Millares 3 3 4" xfId="495" xr:uid="{6B9EFD15-532C-48ED-BE90-5852BFC3ABF7}"/>
    <cellStyle name="Millares 3 3 4 2" xfId="1166" xr:uid="{41382896-6FD1-43EE-A7E7-BA34A1495902}"/>
    <cellStyle name="Millares 3 3 5" xfId="834" xr:uid="{7A73F112-DD36-4BD1-AED1-2126FE91C9E1}"/>
    <cellStyle name="Millares 3 4" xfId="178" xr:uid="{DC45D8B3-D8D3-4114-9D15-C9BCC083C5F5}"/>
    <cellStyle name="Millares 3 4 2" xfId="364" xr:uid="{2FF1E5F8-4B45-4797-A852-4B28B42E03D8}"/>
    <cellStyle name="Millares 3 4 2 2" xfId="703" xr:uid="{EB309859-B73D-4D57-AAE3-32DFB58422B0}"/>
    <cellStyle name="Millares 3 4 2 2 2" xfId="1374" xr:uid="{42ACF88B-3BEE-41AC-9A4A-64073984D537}"/>
    <cellStyle name="Millares 3 4 2 3" xfId="1042" xr:uid="{C97F2D83-7A5D-4268-B390-6B3BB3095224}"/>
    <cellStyle name="Millares 3 4 3" xfId="537" xr:uid="{2AA090ED-CCC4-41BB-AD95-013FB71F132B}"/>
    <cellStyle name="Millares 3 4 3 2" xfId="1208" xr:uid="{52F9C7E8-DCF6-4720-85EA-8F9F8F1C3AD4}"/>
    <cellStyle name="Millares 3 4 4" xfId="876" xr:uid="{62ABE869-975F-4AE4-8F87-27696DE97412}"/>
    <cellStyle name="Millares 3 5" xfId="282" xr:uid="{526176ED-BBD1-4FA3-B0DC-6A9211CC71E2}"/>
    <cellStyle name="Millares 3 5 2" xfId="621" xr:uid="{B54E3118-8A63-4CFA-98F7-30B2DCC65DFC}"/>
    <cellStyle name="Millares 3 5 2 2" xfId="1292" xr:uid="{CDCB7883-AFAC-4BD4-8679-9F5B8199704C}"/>
    <cellStyle name="Millares 3 5 3" xfId="960" xr:uid="{B5763F21-007A-43A4-9BE5-B9F3A92AE547}"/>
    <cellStyle name="Millares 3 6" xfId="455" xr:uid="{92D09988-84F5-47ED-9F7A-6B19C2AD0A06}"/>
    <cellStyle name="Millares 3 6 2" xfId="1126" xr:uid="{8ABE0F04-2B7A-43E9-BB3C-B0D6E8EF345F}"/>
    <cellStyle name="Millares 3 7" xfId="794" xr:uid="{9E8D9AB2-DE9E-4716-A8F6-1984C07113B0}"/>
    <cellStyle name="Millares 30 2 2" xfId="58" xr:uid="{3ACDBD85-4807-4C00-921D-498796A9D59C}"/>
    <cellStyle name="Millares 30 2 2 2" xfId="77" xr:uid="{43772FF6-3701-4D27-9AD4-68E955B7386B}"/>
    <cellStyle name="Millares 30 2 2 2 2" xfId="105" xr:uid="{E3E8E352-EFD7-4923-A847-676C61D20D17}"/>
    <cellStyle name="Millares 30 2 2 2 2 2" xfId="153" xr:uid="{0678C2F4-86F6-4B99-BF2A-8428820C32AD}"/>
    <cellStyle name="Millares 30 2 2 2 2 2 2" xfId="242" xr:uid="{4875760E-3FC8-4196-A739-56A5F3CAB399}"/>
    <cellStyle name="Millares 30 2 2 2 2 2 2 2" xfId="428" xr:uid="{EA1065D9-979A-4278-8515-6950A0058F29}"/>
    <cellStyle name="Millares 30 2 2 2 2 2 2 2 2" xfId="767" xr:uid="{DD0F4E19-4D7D-4291-B8B5-827294FAD146}"/>
    <cellStyle name="Millares 30 2 2 2 2 2 2 2 2 2" xfId="1438" xr:uid="{819AF48A-3DE9-49E7-B509-5A9ED7F1C5BC}"/>
    <cellStyle name="Millares 30 2 2 2 2 2 2 2 3" xfId="1106" xr:uid="{85E71164-E04C-4989-8774-FD3F63069F83}"/>
    <cellStyle name="Millares 30 2 2 2 2 2 2 3" xfId="601" xr:uid="{D41046F2-407B-4B11-99F9-7567320D6952}"/>
    <cellStyle name="Millares 30 2 2 2 2 2 2 3 2" xfId="1272" xr:uid="{5E7C6D98-C611-4A72-9EF4-DCEC5E7E623E}"/>
    <cellStyle name="Millares 30 2 2 2 2 2 2 4" xfId="940" xr:uid="{F9A4AADD-EF09-4412-BEDB-629A7AB1D200}"/>
    <cellStyle name="Millares 30 2 2 2 2 2 3" xfId="346" xr:uid="{31A4C8DC-B2FA-428A-BABD-94155D83AF5C}"/>
    <cellStyle name="Millares 30 2 2 2 2 2 3 2" xfId="685" xr:uid="{138B6CDF-6BFD-4A96-84C6-35AC3EE7F699}"/>
    <cellStyle name="Millares 30 2 2 2 2 2 3 2 2" xfId="1356" xr:uid="{929E42C9-D147-4A96-A3E1-5E78B4842FAF}"/>
    <cellStyle name="Millares 30 2 2 2 2 2 3 3" xfId="1024" xr:uid="{C7A47699-EA0B-4997-8870-A414D755D2BC}"/>
    <cellStyle name="Millares 30 2 2 2 2 2 4" xfId="519" xr:uid="{94A3DEF4-8305-40A4-A474-FEE7A75A99C9}"/>
    <cellStyle name="Millares 30 2 2 2 2 2 4 2" xfId="1190" xr:uid="{CB57CE4D-FD42-4A4A-AE98-B9D1D1C375E1}"/>
    <cellStyle name="Millares 30 2 2 2 2 2 5" xfId="858" xr:uid="{C3378991-A793-4CB6-8C9A-76E6EB14FAC2}"/>
    <cellStyle name="Millares 30 2 2 2 2 3" xfId="202" xr:uid="{4163EDC0-FE1E-47CA-AFD0-E959C1AE9794}"/>
    <cellStyle name="Millares 30 2 2 2 2 3 2" xfId="388" xr:uid="{567812ED-F366-4022-A5B8-05EE05264A04}"/>
    <cellStyle name="Millares 30 2 2 2 2 3 2 2" xfId="727" xr:uid="{BC01C8FA-09DB-4E9F-8685-FA9E81CDECCA}"/>
    <cellStyle name="Millares 30 2 2 2 2 3 2 2 2" xfId="1398" xr:uid="{BD10B591-D4E5-4E9A-9A46-431C028A55E9}"/>
    <cellStyle name="Millares 30 2 2 2 2 3 2 3" xfId="1066" xr:uid="{5D62D3D8-698B-4E56-87E2-0B6B424F7806}"/>
    <cellStyle name="Millares 30 2 2 2 2 3 3" xfId="561" xr:uid="{7C8C0861-6AB1-4AC9-B872-121D56A79259}"/>
    <cellStyle name="Millares 30 2 2 2 2 3 3 2" xfId="1232" xr:uid="{3105A749-D45F-4CE6-9899-E6B36A80D242}"/>
    <cellStyle name="Millares 30 2 2 2 2 3 4" xfId="900" xr:uid="{E4F77E64-5D81-4BFD-A035-6A523FFD159E}"/>
    <cellStyle name="Millares 30 2 2 2 2 4" xfId="306" xr:uid="{692B4704-2E46-4B34-94BC-1A1008BAEFB0}"/>
    <cellStyle name="Millares 30 2 2 2 2 4 2" xfId="645" xr:uid="{65FE8922-B872-42A3-856B-955E77D16356}"/>
    <cellStyle name="Millares 30 2 2 2 2 4 2 2" xfId="1316" xr:uid="{E0B7C6A9-D567-4341-A800-A86F285FCB76}"/>
    <cellStyle name="Millares 30 2 2 2 2 4 3" xfId="984" xr:uid="{DBB37BAD-B221-4F96-8CDE-7F13C8AE85A2}"/>
    <cellStyle name="Millares 30 2 2 2 2 5" xfId="479" xr:uid="{1589C1EA-5CF5-4050-A9A3-82E346AB8B45}"/>
    <cellStyle name="Millares 30 2 2 2 2 5 2" xfId="1150" xr:uid="{99544373-E656-449E-BA10-10ED24F20272}"/>
    <cellStyle name="Millares 30 2 2 2 2 6" xfId="818" xr:uid="{60A2CD1D-DD5E-433F-88C2-6742B6BEDEDA}"/>
    <cellStyle name="Millares 30 2 2 2 3" xfId="134" xr:uid="{14F67725-26D8-49C1-8DF9-B7C7F0443844}"/>
    <cellStyle name="Millares 30 2 2 2 3 2" xfId="223" xr:uid="{DA444809-F8CA-4BC1-B0FC-7212EDABC1E9}"/>
    <cellStyle name="Millares 30 2 2 2 3 2 2" xfId="409" xr:uid="{C2668683-C3D9-42A3-8D16-DBC11A396AA2}"/>
    <cellStyle name="Millares 30 2 2 2 3 2 2 2" xfId="748" xr:uid="{78889EB6-B109-45DD-8A44-FE41260369E7}"/>
    <cellStyle name="Millares 30 2 2 2 3 2 2 2 2" xfId="1419" xr:uid="{380F4CA1-2BC4-499D-9D87-7C093205A7E0}"/>
    <cellStyle name="Millares 30 2 2 2 3 2 2 3" xfId="1087" xr:uid="{5669FCDE-2600-4456-84C2-D75CD945D443}"/>
    <cellStyle name="Millares 30 2 2 2 3 2 3" xfId="582" xr:uid="{E1A620DD-3279-4296-8221-FB396C95FC56}"/>
    <cellStyle name="Millares 30 2 2 2 3 2 3 2" xfId="1253" xr:uid="{B3713CDD-ECE9-40BB-B15B-631EE51C6CE5}"/>
    <cellStyle name="Millares 30 2 2 2 3 2 4" xfId="921" xr:uid="{DBEADED3-D01E-484C-B68B-B0261B37B7F2}"/>
    <cellStyle name="Millares 30 2 2 2 3 3" xfId="327" xr:uid="{D890E621-B919-4642-BC69-FCBBFB39B691}"/>
    <cellStyle name="Millares 30 2 2 2 3 3 2" xfId="666" xr:uid="{C25FC092-15B8-4C4B-BD69-558BF49A663A}"/>
    <cellStyle name="Millares 30 2 2 2 3 3 2 2" xfId="1337" xr:uid="{B437F76E-AABC-40BB-9DA6-FB49AC79B142}"/>
    <cellStyle name="Millares 30 2 2 2 3 3 3" xfId="1005" xr:uid="{5BCC8A28-45E1-4593-8098-E8A9082C780E}"/>
    <cellStyle name="Millares 30 2 2 2 3 4" xfId="500" xr:uid="{4EBA7DE7-197E-4808-9A7B-7164754A378D}"/>
    <cellStyle name="Millares 30 2 2 2 3 4 2" xfId="1171" xr:uid="{2CE31293-6F9F-4124-834B-B4BA63073346}"/>
    <cellStyle name="Millares 30 2 2 2 3 5" xfId="839" xr:uid="{BA7E925F-7B2E-4895-8235-92C932312988}"/>
    <cellStyle name="Millares 30 2 2 2 4" xfId="183" xr:uid="{995DCE86-7519-4C0A-B576-FD349967A859}"/>
    <cellStyle name="Millares 30 2 2 2 4 2" xfId="369" xr:uid="{8DF6E02C-B5BF-4B8B-B3F5-086FF9135F27}"/>
    <cellStyle name="Millares 30 2 2 2 4 2 2" xfId="708" xr:uid="{DC58E6C3-7ED4-4C17-B566-188240C74F11}"/>
    <cellStyle name="Millares 30 2 2 2 4 2 2 2" xfId="1379" xr:uid="{6D8314B9-05C5-4DA7-8E58-212502F3C944}"/>
    <cellStyle name="Millares 30 2 2 2 4 2 3" xfId="1047" xr:uid="{7B7BFBFE-FC00-489E-861D-9AA1E4CF203A}"/>
    <cellStyle name="Millares 30 2 2 2 4 3" xfId="542" xr:uid="{9C15F19D-7565-4B77-BD12-EE79A09EA12E}"/>
    <cellStyle name="Millares 30 2 2 2 4 3 2" xfId="1213" xr:uid="{977AFFBF-771E-4C84-95EB-8A1C32C45192}"/>
    <cellStyle name="Millares 30 2 2 2 4 4" xfId="881" xr:uid="{D2F9B4E0-FA7C-4ABE-8815-A990942CB2FF}"/>
    <cellStyle name="Millares 30 2 2 2 5" xfId="287" xr:uid="{612F9850-A65C-4EE9-A6AA-6A8E94EF4719}"/>
    <cellStyle name="Millares 30 2 2 2 5 2" xfId="626" xr:uid="{0385ED9A-681A-4B2A-8189-D951FA92E29E}"/>
    <cellStyle name="Millares 30 2 2 2 5 2 2" xfId="1297" xr:uid="{8100D542-9FD1-426B-907D-7F1E9C773B02}"/>
    <cellStyle name="Millares 30 2 2 2 5 3" xfId="965" xr:uid="{C187B0FF-BCBC-45FE-BF9E-9AEF702BD863}"/>
    <cellStyle name="Millares 30 2 2 2 6" xfId="460" xr:uid="{73A9DD10-80FD-4CD5-BA01-67E3F12FBAFD}"/>
    <cellStyle name="Millares 30 2 2 2 6 2" xfId="1131" xr:uid="{0A064D92-ED52-411C-864C-EF18CC96B45E}"/>
    <cellStyle name="Millares 30 2 2 2 7" xfId="799" xr:uid="{D129CE5E-1FF5-4460-974B-1FC458C46E8B}"/>
    <cellStyle name="Millares 30 2 2 3" xfId="95" xr:uid="{EA59DDB7-3C49-456B-865A-E0773A28D13B}"/>
    <cellStyle name="Millares 30 2 2 3 2" xfId="144" xr:uid="{3250D469-35C7-4EAC-9159-77D27AB86000}"/>
    <cellStyle name="Millares 30 2 2 3 2 2" xfId="233" xr:uid="{5435542C-3FE5-4D7D-9EBD-9295BB5CBA82}"/>
    <cellStyle name="Millares 30 2 2 3 2 2 2" xfId="419" xr:uid="{1EB28906-61A1-4B97-A88F-C37BEF1B6AE6}"/>
    <cellStyle name="Millares 30 2 2 3 2 2 2 2" xfId="758" xr:uid="{EE374464-C382-4216-A393-5B0BAE4D30AF}"/>
    <cellStyle name="Millares 30 2 2 3 2 2 2 2 2" xfId="1429" xr:uid="{5F14ABDD-E8DB-4EE6-BEC1-64079771E491}"/>
    <cellStyle name="Millares 30 2 2 3 2 2 2 3" xfId="1097" xr:uid="{2EBF0448-4105-40E7-B99D-DF75FD962D19}"/>
    <cellStyle name="Millares 30 2 2 3 2 2 3" xfId="592" xr:uid="{87CEE241-4273-47AE-A173-8D34AC3FE3E4}"/>
    <cellStyle name="Millares 30 2 2 3 2 2 3 2" xfId="1263" xr:uid="{0F61286E-C1FE-4A9C-8237-8B7A1DAAE417}"/>
    <cellStyle name="Millares 30 2 2 3 2 2 4" xfId="931" xr:uid="{3652AB27-5EF8-416E-BB76-6D2B9D9BC3E3}"/>
    <cellStyle name="Millares 30 2 2 3 2 3" xfId="337" xr:uid="{CC8C8A1C-4261-4D20-9DEA-483C6C4118C3}"/>
    <cellStyle name="Millares 30 2 2 3 2 3 2" xfId="676" xr:uid="{1E63D6B6-EBB4-4FE6-81DC-489F1C904FE1}"/>
    <cellStyle name="Millares 30 2 2 3 2 3 2 2" xfId="1347" xr:uid="{616F3842-8957-4D25-9666-76FF0059C56B}"/>
    <cellStyle name="Millares 30 2 2 3 2 3 3" xfId="1015" xr:uid="{1D76F140-CE82-452E-A3DD-E72778034133}"/>
    <cellStyle name="Millares 30 2 2 3 2 4" xfId="510" xr:uid="{D3C071ED-DDC6-4AB5-8075-2190B5CE52C3}"/>
    <cellStyle name="Millares 30 2 2 3 2 4 2" xfId="1181" xr:uid="{803085AA-3D07-45BB-9241-5F2452DC4278}"/>
    <cellStyle name="Millares 30 2 2 3 2 5" xfId="849" xr:uid="{89B2B700-0D4C-4366-BDF7-D54A04493DC5}"/>
    <cellStyle name="Millares 30 2 2 3 3" xfId="193" xr:uid="{324F83D7-784E-4968-880B-26BF72658C6F}"/>
    <cellStyle name="Millares 30 2 2 3 3 2" xfId="379" xr:uid="{D667CABA-1BF4-48F8-BB9F-86A5CE246AF9}"/>
    <cellStyle name="Millares 30 2 2 3 3 2 2" xfId="718" xr:uid="{835129FD-F3C2-4189-970B-9BA0E81A3238}"/>
    <cellStyle name="Millares 30 2 2 3 3 2 2 2" xfId="1389" xr:uid="{F95B73E1-7C20-4F8E-B3E7-E0C73D402DBC}"/>
    <cellStyle name="Millares 30 2 2 3 3 2 3" xfId="1057" xr:uid="{DCCC8DF7-5DC4-4803-902E-CC02F407C55E}"/>
    <cellStyle name="Millares 30 2 2 3 3 3" xfId="552" xr:uid="{BB89E597-83E4-4B98-98F7-55D19C87DA11}"/>
    <cellStyle name="Millares 30 2 2 3 3 3 2" xfId="1223" xr:uid="{F5842405-A2BE-4AD7-A4F9-ACC9F6301B23}"/>
    <cellStyle name="Millares 30 2 2 3 3 4" xfId="891" xr:uid="{E7275348-8970-45EF-9DAB-22B1C8D271EB}"/>
    <cellStyle name="Millares 30 2 2 3 4" xfId="297" xr:uid="{F5AFF8D8-B06A-47CF-B506-FDB613EC6C5D}"/>
    <cellStyle name="Millares 30 2 2 3 4 2" xfId="636" xr:uid="{C7A30492-298F-42AC-A8E1-CC8854847DB1}"/>
    <cellStyle name="Millares 30 2 2 3 4 2 2" xfId="1307" xr:uid="{E766C76E-C0FA-4836-92C8-5DF9CB3BBAB5}"/>
    <cellStyle name="Millares 30 2 2 3 4 3" xfId="975" xr:uid="{F7C1BA49-A273-4A08-913A-BAB4EEF740B1}"/>
    <cellStyle name="Millares 30 2 2 3 5" xfId="470" xr:uid="{D5C2277A-3E4E-4ACF-8C1A-96059876E2A2}"/>
    <cellStyle name="Millares 30 2 2 3 5 2" xfId="1141" xr:uid="{1B8AEF6E-3A47-4202-A54A-FB217F451350}"/>
    <cellStyle name="Millares 30 2 2 3 6" xfId="809" xr:uid="{DC34E7B2-58AF-4B46-9642-AAA71DF9F092}"/>
    <cellStyle name="Millares 30 2 2 4" xfId="124" xr:uid="{6C997A71-5EE3-4309-A4E9-787F964C7D30}"/>
    <cellStyle name="Millares 30 2 2 4 2" xfId="214" xr:uid="{8F5F173C-D09A-489B-89F4-F794A241077B}"/>
    <cellStyle name="Millares 30 2 2 4 2 2" xfId="400" xr:uid="{99883550-B639-431F-B774-81B956C65FDB}"/>
    <cellStyle name="Millares 30 2 2 4 2 2 2" xfId="739" xr:uid="{FDD52102-3F71-4E0F-A838-C2DF2A952F59}"/>
    <cellStyle name="Millares 30 2 2 4 2 2 2 2" xfId="1410" xr:uid="{9DEEB6A9-3656-44F0-BF18-38182E628679}"/>
    <cellStyle name="Millares 30 2 2 4 2 2 3" xfId="1078" xr:uid="{6000EB84-BDF6-45CE-8C41-833BE50E8149}"/>
    <cellStyle name="Millares 30 2 2 4 2 3" xfId="573" xr:uid="{7B257DB4-E260-4322-BB1A-68C4968BA2B9}"/>
    <cellStyle name="Millares 30 2 2 4 2 3 2" xfId="1244" xr:uid="{A2D49025-D475-4E87-9ABB-572F11447BB7}"/>
    <cellStyle name="Millares 30 2 2 4 2 4" xfId="912" xr:uid="{D1C05D42-D49E-4072-B2B5-887CEEBEF5FE}"/>
    <cellStyle name="Millares 30 2 2 4 3" xfId="318" xr:uid="{F94F0506-5EEB-47CA-9C27-5F94F542025C}"/>
    <cellStyle name="Millares 30 2 2 4 3 2" xfId="657" xr:uid="{0AE20F74-AEF3-447F-A399-1BA92FC82C04}"/>
    <cellStyle name="Millares 30 2 2 4 3 2 2" xfId="1328" xr:uid="{DF6AC5A6-CF38-4394-9D0A-DDBB72B50E10}"/>
    <cellStyle name="Millares 30 2 2 4 3 3" xfId="996" xr:uid="{75B84117-AE11-4BD4-8679-262B775AF48D}"/>
    <cellStyle name="Millares 30 2 2 4 4" xfId="491" xr:uid="{26C9FC12-A171-42BB-AFB4-0FC8D010707C}"/>
    <cellStyle name="Millares 30 2 2 4 4 2" xfId="1162" xr:uid="{F201444B-5852-4089-AFDC-1FDF88C1B8A2}"/>
    <cellStyle name="Millares 30 2 2 4 5" xfId="830" xr:uid="{EC944374-F935-47CD-AF7B-DB3F1AFCFA13}"/>
    <cellStyle name="Millares 30 2 2 5" xfId="174" xr:uid="{17D556E2-A8CE-4257-A643-745B932B9BFE}"/>
    <cellStyle name="Millares 30 2 2 5 2" xfId="360" xr:uid="{86EC8889-C478-43FA-81AB-DC617A2AB822}"/>
    <cellStyle name="Millares 30 2 2 5 2 2" xfId="699" xr:uid="{2F3BB5FD-6D45-4AEF-91C6-3AD30A32DD33}"/>
    <cellStyle name="Millares 30 2 2 5 2 2 2" xfId="1370" xr:uid="{2DA68417-0936-40D6-A83B-41CDBBFC18D9}"/>
    <cellStyle name="Millares 30 2 2 5 2 3" xfId="1038" xr:uid="{CEB770FF-2CD6-4298-A653-C5F518609EA2}"/>
    <cellStyle name="Millares 30 2 2 5 3" xfId="533" xr:uid="{3B89CB9A-449F-4C5D-A51B-B03B47011EEA}"/>
    <cellStyle name="Millares 30 2 2 5 3 2" xfId="1204" xr:uid="{7710B985-B9C2-40CE-BEC6-761C77656D2E}"/>
    <cellStyle name="Millares 30 2 2 5 4" xfId="872" xr:uid="{90897D84-4601-492A-8979-B0F3F005F64E}"/>
    <cellStyle name="Millares 30 2 2 6" xfId="263" xr:uid="{CD767724-0D7E-4717-8EAF-19BE2FA89277}"/>
    <cellStyle name="Millares 30 2 2 7" xfId="278" xr:uid="{72B4975A-CB23-4E16-B299-C07299948CD1}"/>
    <cellStyle name="Millares 30 2 2 7 2" xfId="617" xr:uid="{022FF131-A17B-437A-A3CE-5159821CA51A}"/>
    <cellStyle name="Millares 30 2 2 7 2 2" xfId="1288" xr:uid="{42F0F120-BE49-4230-A28C-A0ED4C4AE901}"/>
    <cellStyle name="Millares 30 2 2 7 3" xfId="956" xr:uid="{E5E4632D-017F-4A18-ADFF-453050E59A6E}"/>
    <cellStyle name="Millares 30 2 2 8" xfId="451" xr:uid="{CDF5C82E-137B-4B33-9067-A33862177B2E}"/>
    <cellStyle name="Millares 30 2 2 8 2" xfId="1122" xr:uid="{9276B885-E123-43BD-939C-4B51BD3B4808}"/>
    <cellStyle name="Millares 30 2 2 9" xfId="790" xr:uid="{537E1FB4-3C29-4F66-9C5B-4C09E73984FC}"/>
    <cellStyle name="Millares 4" xfId="80" xr:uid="{EA4C3C6E-E964-4FF3-8D49-40DC7CD4DB45}"/>
    <cellStyle name="Millares 4 2" xfId="107" xr:uid="{BF928001-6ED5-4AB8-985B-2D1AB6B0A9AA}"/>
    <cellStyle name="Millares 4 2 2" xfId="155" xr:uid="{0D82152C-943D-4FDE-8B68-2106AD8FF8DC}"/>
    <cellStyle name="Millares 4 2 2 2" xfId="244" xr:uid="{0D89499A-26A6-4962-A8BB-9D9A912195B9}"/>
    <cellStyle name="Millares 4 2 2 2 2" xfId="430" xr:uid="{601484F6-CA16-4B7B-AE08-D2F4921C35AA}"/>
    <cellStyle name="Millares 4 2 2 2 2 2" xfId="769" xr:uid="{66C02D9E-3177-4972-88E0-0EF8426A959D}"/>
    <cellStyle name="Millares 4 2 2 2 2 2 2" xfId="1440" xr:uid="{83C3F528-8808-4CCB-9D93-AFEDEE60FABC}"/>
    <cellStyle name="Millares 4 2 2 2 2 3" xfId="1108" xr:uid="{EEA9B098-598B-48D2-8B90-8CD1B34F023C}"/>
    <cellStyle name="Millares 4 2 2 2 3" xfId="603" xr:uid="{951605F9-1C99-4BDB-A577-EE4400E3AA70}"/>
    <cellStyle name="Millares 4 2 2 2 3 2" xfId="1274" xr:uid="{2CAB92C1-9B75-4321-A9F2-06231A2DEBF6}"/>
    <cellStyle name="Millares 4 2 2 2 4" xfId="942" xr:uid="{1EAAE954-CBCA-421F-85AD-4C39F92EDAC6}"/>
    <cellStyle name="Millares 4 2 2 3" xfId="348" xr:uid="{034BCAD2-7FE3-455F-87D1-33D49126CEA0}"/>
    <cellStyle name="Millares 4 2 2 3 2" xfId="687" xr:uid="{1C38A4B7-87B9-4969-A8A3-7EFB89324E56}"/>
    <cellStyle name="Millares 4 2 2 3 2 2" xfId="1358" xr:uid="{9B837CA6-7F7D-4DA8-8420-814AB6C699B4}"/>
    <cellStyle name="Millares 4 2 2 3 3" xfId="1026" xr:uid="{F9703E0F-BB68-4D04-BDDE-5FAA3E316630}"/>
    <cellStyle name="Millares 4 2 2 4" xfId="521" xr:uid="{8AC97AD4-3DCD-464D-9EF7-2EA06AF4DE33}"/>
    <cellStyle name="Millares 4 2 2 4 2" xfId="1192" xr:uid="{A22965AC-08BB-468D-A84E-CA7C8ED827B2}"/>
    <cellStyle name="Millares 4 2 2 5" xfId="860" xr:uid="{18D51F73-0E6F-4478-9F13-E6678E577DB4}"/>
    <cellStyle name="Millares 4 2 3" xfId="204" xr:uid="{DDF996A6-B19D-4187-95F4-5CA9BF757115}"/>
    <cellStyle name="Millares 4 2 3 2" xfId="390" xr:uid="{FC395245-9A0E-4B9B-894B-EE25B2612FE1}"/>
    <cellStyle name="Millares 4 2 3 2 2" xfId="729" xr:uid="{CC988C0C-988F-404B-8E46-6D975489026F}"/>
    <cellStyle name="Millares 4 2 3 2 2 2" xfId="1400" xr:uid="{95E2ACF6-F7EB-4305-8570-4F7A344426F0}"/>
    <cellStyle name="Millares 4 2 3 2 3" xfId="1068" xr:uid="{1A98B23F-1095-450A-9183-34DE10D137CB}"/>
    <cellStyle name="Millares 4 2 3 3" xfId="563" xr:uid="{0E16CF14-523D-4F95-8494-982F0FE62CCD}"/>
    <cellStyle name="Millares 4 2 3 3 2" xfId="1234" xr:uid="{6E0E94A4-6528-414E-9756-E6422D9F52CA}"/>
    <cellStyle name="Millares 4 2 3 4" xfId="902" xr:uid="{F85E82AF-AE40-42B2-A9CC-B64BF2B75EDF}"/>
    <cellStyle name="Millares 4 2 4" xfId="308" xr:uid="{D9CDCD7E-F488-42F9-B765-8AE55826E2B5}"/>
    <cellStyle name="Millares 4 2 4 2" xfId="647" xr:uid="{19F195C0-F3A7-47C4-9C6B-EDAB9C7F258A}"/>
    <cellStyle name="Millares 4 2 4 2 2" xfId="1318" xr:uid="{EE2088A8-45F3-4E13-BD8A-450940365E34}"/>
    <cellStyle name="Millares 4 2 4 3" xfId="986" xr:uid="{C1F4962C-2C23-49A5-8F48-898B43A33A90}"/>
    <cellStyle name="Millares 4 2 5" xfId="481" xr:uid="{D62C4A74-AAC9-405C-B6DB-463B1758F797}"/>
    <cellStyle name="Millares 4 2 5 2" xfId="1152" xr:uid="{802243B3-9479-4EDD-98DF-B26DDDDC0E3C}"/>
    <cellStyle name="Millares 4 2 6" xfId="820" xr:uid="{B2CC980A-B48B-45C0-8D27-7B93ED915D3D}"/>
    <cellStyle name="Millares 4 3" xfId="136" xr:uid="{3BF504C3-D032-4EAD-A9B0-3A117E9AA4E4}"/>
    <cellStyle name="Millares 4 3 2" xfId="225" xr:uid="{657E2325-0138-410F-A018-300252BFE13F}"/>
    <cellStyle name="Millares 4 3 2 2" xfId="411" xr:uid="{51888DC9-ED9B-4915-8EA2-643D5A285210}"/>
    <cellStyle name="Millares 4 3 2 2 2" xfId="750" xr:uid="{DE2A6AEE-5C2B-431A-A116-9FD5014C2480}"/>
    <cellStyle name="Millares 4 3 2 2 2 2" xfId="1421" xr:uid="{F809C9F2-43A2-4C5F-BC02-5263406337C2}"/>
    <cellStyle name="Millares 4 3 2 2 3" xfId="1089" xr:uid="{57801C56-A90B-4969-BF9F-A87BC4DA4BC8}"/>
    <cellStyle name="Millares 4 3 2 3" xfId="584" xr:uid="{69F7796E-CC90-410A-BA09-5F19DDF2AA27}"/>
    <cellStyle name="Millares 4 3 2 3 2" xfId="1255" xr:uid="{BDA23629-CD24-4766-ADF4-E623C77FFCD0}"/>
    <cellStyle name="Millares 4 3 2 4" xfId="923" xr:uid="{73649A7B-E0C2-4187-88FD-027F9B87F7E9}"/>
    <cellStyle name="Millares 4 3 3" xfId="329" xr:uid="{BABAA926-F1B1-4C26-96F3-72897E7CDBFF}"/>
    <cellStyle name="Millares 4 3 3 2" xfId="668" xr:uid="{1487F9F3-0804-41EA-A9E0-D03718017F30}"/>
    <cellStyle name="Millares 4 3 3 2 2" xfId="1339" xr:uid="{07575704-2973-479B-BF67-09D1A94B76A1}"/>
    <cellStyle name="Millares 4 3 3 3" xfId="1007" xr:uid="{8BAD033D-B0B9-4951-B1FE-1CB89D6CB666}"/>
    <cellStyle name="Millares 4 3 4" xfId="502" xr:uid="{E92DBD75-3122-48B2-A78E-F745994954E7}"/>
    <cellStyle name="Millares 4 3 4 2" xfId="1173" xr:uid="{7F8EEC9D-430B-420C-B768-7B291E64855E}"/>
    <cellStyle name="Millares 4 3 5" xfId="841" xr:uid="{EB9E81DF-9ABD-42B9-9F2E-974B001B3C4B}"/>
    <cellStyle name="Millares 4 4" xfId="185" xr:uid="{2D3D5616-7453-4A38-B3D2-BB2524FE4647}"/>
    <cellStyle name="Millares 4 4 2" xfId="371" xr:uid="{CE9E5033-7797-486E-BA3F-F49D663E36AD}"/>
    <cellStyle name="Millares 4 4 2 2" xfId="710" xr:uid="{3B019CCD-0322-4C9C-B367-6DFCCBCE147A}"/>
    <cellStyle name="Millares 4 4 2 2 2" xfId="1381" xr:uid="{A570A83B-1B11-4EFF-99E6-D3BB8E54A08D}"/>
    <cellStyle name="Millares 4 4 2 3" xfId="1049" xr:uid="{8FD64AEE-B6D5-4A30-82D2-CE5F40775337}"/>
    <cellStyle name="Millares 4 4 3" xfId="544" xr:uid="{3FE185A6-548B-490F-9748-380DD31B1FC9}"/>
    <cellStyle name="Millares 4 4 3 2" xfId="1215" xr:uid="{B39B5B5B-B0B8-483B-A5BA-E44319888983}"/>
    <cellStyle name="Millares 4 4 4" xfId="883" xr:uid="{4FE4F531-2F96-4446-91F8-28480CA29ACE}"/>
    <cellStyle name="Millares 4 5" xfId="289" xr:uid="{ADE889F9-F404-4576-AFA3-D7654439AAE5}"/>
    <cellStyle name="Millares 4 5 2" xfId="628" xr:uid="{A42C29FD-AFEA-41E6-BF1A-B3864E618A5D}"/>
    <cellStyle name="Millares 4 5 2 2" xfId="1299" xr:uid="{E849A473-DBE0-462F-B6C8-840A66C4FF4F}"/>
    <cellStyle name="Millares 4 5 3" xfId="967" xr:uid="{F69E3E3E-44BA-4DDD-9250-3988240217F7}"/>
    <cellStyle name="Millares 4 6" xfId="462" xr:uid="{FF586F3A-3DE9-4B47-950D-085DF482D79E}"/>
    <cellStyle name="Millares 4 6 2" xfId="1133" xr:uid="{E15461A1-4183-4664-90BA-7FD447F7B27D}"/>
    <cellStyle name="Millares 4 7" xfId="801" xr:uid="{AC7C495D-7E5A-45CE-B667-D422E814440A}"/>
    <cellStyle name="Millares 5" xfId="64" xr:uid="{82ACAB17-0CB9-4DA3-9DA1-92F2B7EE83D2}"/>
    <cellStyle name="Millares 5 2" xfId="99" xr:uid="{5A8CDA5B-A714-4395-A9BC-A59E659D3C22}"/>
    <cellStyle name="Millares 5 2 2" xfId="147" xr:uid="{E78E0AF2-BE57-4494-A145-C354D5255742}"/>
    <cellStyle name="Millares 5 2 2 2" xfId="236" xr:uid="{0D1C6E84-80CA-4ED7-960D-534E9498AB4C}"/>
    <cellStyle name="Millares 5 2 2 2 2" xfId="422" xr:uid="{AEE252F7-2EDE-4C9E-AB70-2D5DF57F1EA7}"/>
    <cellStyle name="Millares 5 2 2 2 2 2" xfId="761" xr:uid="{623267E8-10A7-4637-94D7-05EF2B8FFABE}"/>
    <cellStyle name="Millares 5 2 2 2 2 2 2" xfId="1432" xr:uid="{89E56A21-76E7-4335-8991-35ABEFA04875}"/>
    <cellStyle name="Millares 5 2 2 2 2 3" xfId="1100" xr:uid="{05D9A229-0F2B-4FB2-B189-309452E5E193}"/>
    <cellStyle name="Millares 5 2 2 2 3" xfId="595" xr:uid="{98163AD3-CA44-48B6-9DE0-8E04D0B95CF8}"/>
    <cellStyle name="Millares 5 2 2 2 3 2" xfId="1266" xr:uid="{FEF25CEC-0EF8-4393-A7FA-59B08ECC1C5E}"/>
    <cellStyle name="Millares 5 2 2 2 4" xfId="934" xr:uid="{A832108A-F871-4F8E-BB1B-92BF72052228}"/>
    <cellStyle name="Millares 5 2 2 3" xfId="340" xr:uid="{23D36194-8CAC-42C2-B17F-DE5ED87B78F2}"/>
    <cellStyle name="Millares 5 2 2 3 2" xfId="679" xr:uid="{D1C24157-CD87-4C6B-825E-5E0BE3E8940D}"/>
    <cellStyle name="Millares 5 2 2 3 2 2" xfId="1350" xr:uid="{686D4349-DA04-4D10-95C9-9932DB133D28}"/>
    <cellStyle name="Millares 5 2 2 3 3" xfId="1018" xr:uid="{C4401949-3BC4-4919-BA70-0CE55042A640}"/>
    <cellStyle name="Millares 5 2 2 4" xfId="513" xr:uid="{9ADB36FA-702A-4D06-BA7C-AD5F41E9A973}"/>
    <cellStyle name="Millares 5 2 2 4 2" xfId="1184" xr:uid="{17D0ED8E-1D17-466C-85A9-DD58F5DB2BDA}"/>
    <cellStyle name="Millares 5 2 2 5" xfId="852" xr:uid="{A4EC5DC6-17E5-4CA4-AD06-2A464581E49B}"/>
    <cellStyle name="Millares 5 2 3" xfId="196" xr:uid="{A635512F-0F5B-4E26-873A-B01D2F65598F}"/>
    <cellStyle name="Millares 5 2 3 2" xfId="382" xr:uid="{7511947B-D627-4392-8663-26A962C74C91}"/>
    <cellStyle name="Millares 5 2 3 2 2" xfId="721" xr:uid="{CF0CD5F4-77A6-4DFC-A417-4047D9BEC75C}"/>
    <cellStyle name="Millares 5 2 3 2 2 2" xfId="1392" xr:uid="{C8068EFD-E1E6-401C-AD3A-925F02FBC357}"/>
    <cellStyle name="Millares 5 2 3 2 3" xfId="1060" xr:uid="{D56E9AE0-FF6C-4B8E-9A8B-F2C2F9C6338E}"/>
    <cellStyle name="Millares 5 2 3 3" xfId="555" xr:uid="{36B14894-3038-4103-852C-2939C9B6D6BD}"/>
    <cellStyle name="Millares 5 2 3 3 2" xfId="1226" xr:uid="{6F50CDB6-9235-4700-B7B0-5981B01354F3}"/>
    <cellStyle name="Millares 5 2 3 4" xfId="894" xr:uid="{AF397B1B-68E1-44D7-BC15-071A69536DDF}"/>
    <cellStyle name="Millares 5 2 4" xfId="300" xr:uid="{7E4C51F6-0600-42CD-8205-D050BF2ADE70}"/>
    <cellStyle name="Millares 5 2 4 2" xfId="639" xr:uid="{6FD63216-AE61-4A5C-B145-7E928AB54DE6}"/>
    <cellStyle name="Millares 5 2 4 2 2" xfId="1310" xr:uid="{244E41F9-75B6-411F-AA23-42B48580C954}"/>
    <cellStyle name="Millares 5 2 4 3" xfId="978" xr:uid="{5A144CE3-AAFC-4B8C-A3BB-CC3EDA47FDED}"/>
    <cellStyle name="Millares 5 2 5" xfId="473" xr:uid="{ECA33A54-B10E-4500-A87B-0C1935741398}"/>
    <cellStyle name="Millares 5 2 5 2" xfId="1144" xr:uid="{4E85378C-DC8C-40EE-A1EE-4B546FA2C546}"/>
    <cellStyle name="Millares 5 2 6" xfId="812" xr:uid="{D0751CEC-CFBD-4DFB-850F-A63909EC00B9}"/>
    <cellStyle name="Millares 5 3" xfId="128" xr:uid="{605C10E9-8354-472E-853E-81D98C792E31}"/>
    <cellStyle name="Millares 5 3 2" xfId="217" xr:uid="{D79B797F-76B9-4211-A61D-30E7310E5D00}"/>
    <cellStyle name="Millares 5 3 2 2" xfId="403" xr:uid="{4405ECC2-B019-4860-8D82-48A342F4F676}"/>
    <cellStyle name="Millares 5 3 2 2 2" xfId="742" xr:uid="{589CD89F-6142-4345-905E-12DB9E65AD67}"/>
    <cellStyle name="Millares 5 3 2 2 2 2" xfId="1413" xr:uid="{5F98791A-7102-474B-865B-1759D4556C52}"/>
    <cellStyle name="Millares 5 3 2 2 3" xfId="1081" xr:uid="{5C18820C-3F7F-4ABB-A6CD-CE967C3ABC57}"/>
    <cellStyle name="Millares 5 3 2 3" xfId="576" xr:uid="{4A3E1138-DD5A-4AB8-9CCB-604C86E27B33}"/>
    <cellStyle name="Millares 5 3 2 3 2" xfId="1247" xr:uid="{3DB6B704-B823-4A5C-80DC-945CA2FB2F51}"/>
    <cellStyle name="Millares 5 3 2 4" xfId="915" xr:uid="{4A82227E-A502-47D6-8C25-AA0CD2E850BE}"/>
    <cellStyle name="Millares 5 3 3" xfId="321" xr:uid="{CFB39B39-B869-4717-9D03-1B8C75FF5E5F}"/>
    <cellStyle name="Millares 5 3 3 2" xfId="660" xr:uid="{6963B475-49E0-43F4-AB97-EFE627BAFF21}"/>
    <cellStyle name="Millares 5 3 3 2 2" xfId="1331" xr:uid="{A688C016-0C57-46C7-A637-276BE16B49A7}"/>
    <cellStyle name="Millares 5 3 3 3" xfId="999" xr:uid="{4A3ADCF9-4F54-4C5D-93ED-EA84DD785126}"/>
    <cellStyle name="Millares 5 3 4" xfId="494" xr:uid="{3220FAA0-DA65-49BA-A726-B80D86AA683E}"/>
    <cellStyle name="Millares 5 3 4 2" xfId="1165" xr:uid="{7926CB20-18B7-4B73-8EF5-57093BAF1CDA}"/>
    <cellStyle name="Millares 5 3 5" xfId="833" xr:uid="{6D717724-AD69-4695-8BBD-D7A30546BF38}"/>
    <cellStyle name="Millares 5 4" xfId="177" xr:uid="{67DA6BCC-7E7E-4DEC-9F7A-440A44A8C486}"/>
    <cellStyle name="Millares 5 4 2" xfId="363" xr:uid="{F505C3BD-6C3F-4EE3-A64A-6150780E4640}"/>
    <cellStyle name="Millares 5 4 2 2" xfId="702" xr:uid="{363D430F-840C-4F0C-A611-86C3A9FD6530}"/>
    <cellStyle name="Millares 5 4 2 2 2" xfId="1373" xr:uid="{E2E8BAA6-FF95-4136-8AB7-68E4A400AE26}"/>
    <cellStyle name="Millares 5 4 2 3" xfId="1041" xr:uid="{37445323-1DCF-4B27-A3CA-97A9B36B6705}"/>
    <cellStyle name="Millares 5 4 3" xfId="536" xr:uid="{5B916011-23AC-40D6-AEDF-A993733BB2CB}"/>
    <cellStyle name="Millares 5 4 3 2" xfId="1207" xr:uid="{C9114E45-58FC-4FC6-BE8B-FFCB3C5D41E5}"/>
    <cellStyle name="Millares 5 4 4" xfId="875" xr:uid="{DFA7F6B2-42F6-46E5-98BE-19DCE4DAC4F5}"/>
    <cellStyle name="Millares 5 5" xfId="281" xr:uid="{5B3A120B-42D7-489A-B226-6F314E95A797}"/>
    <cellStyle name="Millares 5 5 2" xfId="620" xr:uid="{1ED48450-BA1C-4973-9F38-86B0DD361FEA}"/>
    <cellStyle name="Millares 5 5 2 2" xfId="1291" xr:uid="{3D5346BC-F4EB-474B-A3DF-1D70E9A46774}"/>
    <cellStyle name="Millares 5 5 3" xfId="959" xr:uid="{2C352AF8-A285-48DB-972E-5B4C685B2A84}"/>
    <cellStyle name="Millares 5 6" xfId="454" xr:uid="{CD4ED402-E665-49ED-89B9-6325F376AA05}"/>
    <cellStyle name="Millares 5 6 2" xfId="1125" xr:uid="{48042012-9E2B-498B-A868-0CF969BAC9ED}"/>
    <cellStyle name="Millares 5 7" xfId="793" xr:uid="{70FC35E4-EEC4-48E7-BBCC-2AA4C5C9F7E0}"/>
    <cellStyle name="Millares 6" xfId="81" xr:uid="{AA0D75E3-7E14-44C0-B389-B076538360BF}"/>
    <cellStyle name="Millares 6 2" xfId="108" xr:uid="{52D29081-4448-4BD0-9961-F22EEB00ADF7}"/>
    <cellStyle name="Millares 6 2 2" xfId="156" xr:uid="{7108DD14-FA8F-40FA-AE28-930F660DADA2}"/>
    <cellStyle name="Millares 6 2 2 2" xfId="245" xr:uid="{F5713FCF-3A50-4786-9067-61A6F02EA6D6}"/>
    <cellStyle name="Millares 6 2 2 2 2" xfId="431" xr:uid="{4187FBC0-AA48-4A07-8607-2EC662C8AED4}"/>
    <cellStyle name="Millares 6 2 2 2 2 2" xfId="770" xr:uid="{8D3E835E-4E53-406F-9DEA-FD0C20E790E5}"/>
    <cellStyle name="Millares 6 2 2 2 2 2 2" xfId="1441" xr:uid="{C6C56F39-F58A-4419-88E6-1F4D4DC18006}"/>
    <cellStyle name="Millares 6 2 2 2 2 3" xfId="1109" xr:uid="{C0C84CD0-8C33-4251-A107-50E6D358876D}"/>
    <cellStyle name="Millares 6 2 2 2 3" xfId="604" xr:uid="{6F88B739-768F-4C9B-BCF5-53E99BDEC0F8}"/>
    <cellStyle name="Millares 6 2 2 2 3 2" xfId="1275" xr:uid="{F3BB22B2-4F65-41CE-B233-41E43D6E46F6}"/>
    <cellStyle name="Millares 6 2 2 2 4" xfId="943" xr:uid="{DC31C4CD-A7EB-4A6C-8CCD-A38BA0C3E2D0}"/>
    <cellStyle name="Millares 6 2 2 3" xfId="349" xr:uid="{36530F2A-E92E-4888-9516-DAB635745DE8}"/>
    <cellStyle name="Millares 6 2 2 3 2" xfId="688" xr:uid="{7861A83C-C108-4803-B4CB-34D93C7A29E1}"/>
    <cellStyle name="Millares 6 2 2 3 2 2" xfId="1359" xr:uid="{653881D8-59DF-4A03-BBDE-A8ACC369D603}"/>
    <cellStyle name="Millares 6 2 2 3 3" xfId="1027" xr:uid="{CCD6B1D4-1677-4BCA-9F49-10C13F5C2B3A}"/>
    <cellStyle name="Millares 6 2 2 4" xfId="522" xr:uid="{8F50E4AD-0161-47E0-8078-351E383D0D0B}"/>
    <cellStyle name="Millares 6 2 2 4 2" xfId="1193" xr:uid="{AE6C7AF5-2C7B-4A97-AB8B-781BE377A3E1}"/>
    <cellStyle name="Millares 6 2 2 5" xfId="861" xr:uid="{22AEE35E-CDB1-41A8-80FA-FC1A70834587}"/>
    <cellStyle name="Millares 6 2 3" xfId="205" xr:uid="{0404575E-DF94-4BE2-A7CE-09A708EA84DA}"/>
    <cellStyle name="Millares 6 2 3 2" xfId="391" xr:uid="{2D9F1532-51BD-46D5-8DC8-8AD68110924C}"/>
    <cellStyle name="Millares 6 2 3 2 2" xfId="730" xr:uid="{7955FBD2-BA52-43BA-8402-8B6E335711E2}"/>
    <cellStyle name="Millares 6 2 3 2 2 2" xfId="1401" xr:uid="{20F00872-5918-4A86-B300-54956849CDF5}"/>
    <cellStyle name="Millares 6 2 3 2 3" xfId="1069" xr:uid="{70F9BBCF-C46D-44C9-BE27-29C0553F7BE7}"/>
    <cellStyle name="Millares 6 2 3 3" xfId="564" xr:uid="{3363F03A-A4FC-4DE4-8B74-1091117F18C7}"/>
    <cellStyle name="Millares 6 2 3 3 2" xfId="1235" xr:uid="{B63FB9B6-4CBB-4DCC-88A2-4DDBAE69ABEE}"/>
    <cellStyle name="Millares 6 2 3 4" xfId="903" xr:uid="{01824893-6A8E-421A-8DE6-4792E9BDBB06}"/>
    <cellStyle name="Millares 6 2 4" xfId="309" xr:uid="{53FA60F4-3410-469F-AA5D-EEE3E5D1E046}"/>
    <cellStyle name="Millares 6 2 4 2" xfId="648" xr:uid="{56313D27-1A17-4086-ABCA-B0EFBC432170}"/>
    <cellStyle name="Millares 6 2 4 2 2" xfId="1319" xr:uid="{7B037931-B384-4D60-986F-DB304A89A637}"/>
    <cellStyle name="Millares 6 2 4 3" xfId="987" xr:uid="{9476D450-AEA6-4113-9802-96BE432DDFC9}"/>
    <cellStyle name="Millares 6 2 5" xfId="482" xr:uid="{100D0451-C114-44D2-AF8A-745F9FCDFEDF}"/>
    <cellStyle name="Millares 6 2 5 2" xfId="1153" xr:uid="{4DC3252C-F426-42BA-BE55-C4448FE20249}"/>
    <cellStyle name="Millares 6 2 6" xfId="821" xr:uid="{A26EF0E3-97AA-4EF7-B2BF-607BBCC057C5}"/>
    <cellStyle name="Millares 6 3" xfId="137" xr:uid="{642C2409-6E7B-4611-B6B0-3A6F00B2E286}"/>
    <cellStyle name="Millares 6 3 2" xfId="226" xr:uid="{9498D5EE-0F8D-4CA9-BB37-9D3171924CB9}"/>
    <cellStyle name="Millares 6 3 2 2" xfId="412" xr:uid="{D1F14E00-6E1C-4771-985E-504DB3B8A18E}"/>
    <cellStyle name="Millares 6 3 2 2 2" xfId="751" xr:uid="{88500113-4969-4CCD-9691-630A08DCF8CF}"/>
    <cellStyle name="Millares 6 3 2 2 2 2" xfId="1422" xr:uid="{28115BA7-4873-413E-82D3-80496183FFBF}"/>
    <cellStyle name="Millares 6 3 2 2 3" xfId="1090" xr:uid="{15459458-EDF1-4E4D-8DD1-3C8A786F19D9}"/>
    <cellStyle name="Millares 6 3 2 3" xfId="585" xr:uid="{9BF85CC6-4BAB-4140-8DF3-59CB47411EE2}"/>
    <cellStyle name="Millares 6 3 2 3 2" xfId="1256" xr:uid="{49EB2A2C-97F5-43C8-BA72-739709F764CE}"/>
    <cellStyle name="Millares 6 3 2 4" xfId="924" xr:uid="{11681637-BB5B-4658-AE00-02433FD5BAF1}"/>
    <cellStyle name="Millares 6 3 3" xfId="330" xr:uid="{806725EE-02E3-4FD9-8ED2-CDD7EB443428}"/>
    <cellStyle name="Millares 6 3 3 2" xfId="669" xr:uid="{1E9BA542-B97B-4D83-9715-C2CFE80D88E0}"/>
    <cellStyle name="Millares 6 3 3 2 2" xfId="1340" xr:uid="{0A3686CC-C520-46A3-91E5-5989B455ED3B}"/>
    <cellStyle name="Millares 6 3 3 3" xfId="1008" xr:uid="{0F3D53F0-6A5C-4F05-B79F-F477ECD3D352}"/>
    <cellStyle name="Millares 6 3 4" xfId="503" xr:uid="{FCDF1BCE-06E7-4CC7-96DA-E5E693D9619C}"/>
    <cellStyle name="Millares 6 3 4 2" xfId="1174" xr:uid="{36EF6ED1-47A5-40E0-9470-5F242E945932}"/>
    <cellStyle name="Millares 6 3 5" xfId="842" xr:uid="{C0EEC012-34ED-41D1-B82C-9D7E792AFD09}"/>
    <cellStyle name="Millares 6 4" xfId="186" xr:uid="{84D965F0-45D9-475C-AEE5-555A4CE482AE}"/>
    <cellStyle name="Millares 6 4 2" xfId="372" xr:uid="{C218EAE7-E8BB-4660-84E5-050FF8C64663}"/>
    <cellStyle name="Millares 6 4 2 2" xfId="711" xr:uid="{97A9402D-F574-4484-BE47-993848A53BA9}"/>
    <cellStyle name="Millares 6 4 2 2 2" xfId="1382" xr:uid="{5134B985-545A-4CB5-8652-B5D632828549}"/>
    <cellStyle name="Millares 6 4 2 3" xfId="1050" xr:uid="{9D51D388-269A-4968-A26A-43E57FCDFC30}"/>
    <cellStyle name="Millares 6 4 3" xfId="545" xr:uid="{B7465756-81E5-45D9-ABDB-0F272FE98E60}"/>
    <cellStyle name="Millares 6 4 3 2" xfId="1216" xr:uid="{17D9FE9E-4F33-46C5-90E2-AC9B2D154ACB}"/>
    <cellStyle name="Millares 6 4 4" xfId="884" xr:uid="{888F514A-B80C-49C4-A350-56666462D011}"/>
    <cellStyle name="Millares 6 5" xfId="290" xr:uid="{C2C631B0-AA31-48C0-9E36-F5A9EA12A6CE}"/>
    <cellStyle name="Millares 6 5 2" xfId="629" xr:uid="{47631252-5F1B-4F8B-A5BC-18E08961F149}"/>
    <cellStyle name="Millares 6 5 2 2" xfId="1300" xr:uid="{53BF7727-8ADA-416B-B90E-D4DB93F925E6}"/>
    <cellStyle name="Millares 6 5 3" xfId="968" xr:uid="{5F85D868-BA77-4E2E-BFD2-4910186B7169}"/>
    <cellStyle name="Millares 6 6" xfId="463" xr:uid="{D0FBEAA1-C843-4E76-A264-0A35F3B18F4C}"/>
    <cellStyle name="Millares 6 6 2" xfId="1134" xr:uid="{8019A028-A563-4DCB-BE57-B57DDFD1C99F}"/>
    <cellStyle name="Millares 6 7" xfId="802" xr:uid="{80D51C36-E183-44A7-8D4C-44234F0B6C63}"/>
    <cellStyle name="Millares 7" xfId="82" xr:uid="{CBF204FC-2041-407A-BB5D-9B0C1C185D4F}"/>
    <cellStyle name="Millares 7 2" xfId="109" xr:uid="{41D72B4A-15DE-42EE-97EC-2D70FD4CABE4}"/>
    <cellStyle name="Millares 7 2 2" xfId="157" xr:uid="{E982A3AE-BBAD-442E-BBCA-3C262B0E6E6B}"/>
    <cellStyle name="Millares 7 2 2 2" xfId="246" xr:uid="{28AB6D4A-C862-4792-83DC-6716E9545FA8}"/>
    <cellStyle name="Millares 7 2 2 2 2" xfId="432" xr:uid="{9029BB2F-9F3C-4868-BD34-33199E10B67D}"/>
    <cellStyle name="Millares 7 2 2 2 2 2" xfId="771" xr:uid="{0A2D6CB4-C3C6-4C55-9017-AE08A4A2E16B}"/>
    <cellStyle name="Millares 7 2 2 2 2 2 2" xfId="1442" xr:uid="{66849662-856B-42C6-A566-C2EA2ADAB52D}"/>
    <cellStyle name="Millares 7 2 2 2 2 3" xfId="1110" xr:uid="{8BAD1773-048A-4BCF-8747-D60463136275}"/>
    <cellStyle name="Millares 7 2 2 2 3" xfId="605" xr:uid="{06D8E92E-7E03-45EA-987D-23504B9CDC08}"/>
    <cellStyle name="Millares 7 2 2 2 3 2" xfId="1276" xr:uid="{ABD0C17F-CBE8-490F-9F3C-97A539C823D2}"/>
    <cellStyle name="Millares 7 2 2 2 4" xfId="944" xr:uid="{7B32E3CF-E65E-438F-ADB3-30BFA414F684}"/>
    <cellStyle name="Millares 7 2 2 3" xfId="350" xr:uid="{C8831B6B-8E9B-47D5-A68C-2E95675B3D35}"/>
    <cellStyle name="Millares 7 2 2 3 2" xfId="689" xr:uid="{C89EAC53-1980-4D1A-B7B5-801551237CA1}"/>
    <cellStyle name="Millares 7 2 2 3 2 2" xfId="1360" xr:uid="{5BE06508-F015-4F72-AE86-B92AFF76A62C}"/>
    <cellStyle name="Millares 7 2 2 3 3" xfId="1028" xr:uid="{09FE6F09-61FF-4F81-9A8F-25A7C93EFC81}"/>
    <cellStyle name="Millares 7 2 2 4" xfId="523" xr:uid="{06ED727E-53F9-447B-9806-861C18C8A922}"/>
    <cellStyle name="Millares 7 2 2 4 2" xfId="1194" xr:uid="{03673898-792B-4018-B551-795AAE517520}"/>
    <cellStyle name="Millares 7 2 2 5" xfId="862" xr:uid="{1991D969-7687-4D38-BD66-BD61E9325A2A}"/>
    <cellStyle name="Millares 7 2 3" xfId="206" xr:uid="{23FDA126-89AA-4B7D-807D-4F34204077EF}"/>
    <cellStyle name="Millares 7 2 3 2" xfId="392" xr:uid="{574966C4-5CA8-45A8-8574-CDCD7B81D923}"/>
    <cellStyle name="Millares 7 2 3 2 2" xfId="731" xr:uid="{339201F9-77E9-46BB-8C91-E8F427B2A85B}"/>
    <cellStyle name="Millares 7 2 3 2 2 2" xfId="1402" xr:uid="{848328DF-D409-4439-8650-885DFC1C6053}"/>
    <cellStyle name="Millares 7 2 3 2 3" xfId="1070" xr:uid="{16B1728E-8482-47E8-8507-2306DC290C50}"/>
    <cellStyle name="Millares 7 2 3 3" xfId="565" xr:uid="{AC87048B-2114-4C80-9EFF-2E1FD143FDF5}"/>
    <cellStyle name="Millares 7 2 3 3 2" xfId="1236" xr:uid="{07A61D92-FCFC-4376-BD21-FF9AB9445AA7}"/>
    <cellStyle name="Millares 7 2 3 4" xfId="904" xr:uid="{A10D7D7D-B297-43F0-B7A8-0E86A948F777}"/>
    <cellStyle name="Millares 7 2 4" xfId="310" xr:uid="{49E0A41B-B8C5-4A3D-9371-89A1748A24BD}"/>
    <cellStyle name="Millares 7 2 4 2" xfId="649" xr:uid="{1C1F9594-A5E8-46C2-9C05-F7C058045834}"/>
    <cellStyle name="Millares 7 2 4 2 2" xfId="1320" xr:uid="{0C922BE5-740A-427B-9292-0FA688C34B01}"/>
    <cellStyle name="Millares 7 2 4 3" xfId="988" xr:uid="{4C6DD720-6E19-4739-97F1-D0A0C729F3CC}"/>
    <cellStyle name="Millares 7 2 5" xfId="483" xr:uid="{B6A8007C-7D2C-4F5D-A997-B84B49A01F69}"/>
    <cellStyle name="Millares 7 2 5 2" xfId="1154" xr:uid="{DB0F298B-A9B0-4686-BC7D-36686BEDE91E}"/>
    <cellStyle name="Millares 7 2 6" xfId="822" xr:uid="{79F55F80-AB5B-4E6C-9474-3E391354FF2C}"/>
    <cellStyle name="Millares 7 3" xfId="138" xr:uid="{E8B24A44-BC4B-4696-9E13-ACA13EF28FBC}"/>
    <cellStyle name="Millares 7 3 2" xfId="227" xr:uid="{02EB7BF2-55EC-42AA-96ED-647609CA5259}"/>
    <cellStyle name="Millares 7 3 2 2" xfId="413" xr:uid="{CBB27FF6-A4E9-4B32-BCAA-7FB77945496F}"/>
    <cellStyle name="Millares 7 3 2 2 2" xfId="752" xr:uid="{E7FF2023-FFAF-47E9-8E21-30D8A1B767FD}"/>
    <cellStyle name="Millares 7 3 2 2 2 2" xfId="1423" xr:uid="{B505FA6E-834C-44FE-9C1B-FDA0674441EF}"/>
    <cellStyle name="Millares 7 3 2 2 3" xfId="1091" xr:uid="{A60CC3B2-DBED-440C-95D0-8A74A036B926}"/>
    <cellStyle name="Millares 7 3 2 3" xfId="586" xr:uid="{3FF42204-BDCF-4675-933A-7FF9DC29069F}"/>
    <cellStyle name="Millares 7 3 2 3 2" xfId="1257" xr:uid="{D22DD5A4-AF85-4F1C-B8D0-40A5A431139D}"/>
    <cellStyle name="Millares 7 3 2 4" xfId="925" xr:uid="{C61F3D0B-49CE-4736-9F67-945023462FDA}"/>
    <cellStyle name="Millares 7 3 3" xfId="331" xr:uid="{B45AEDAB-116A-44D2-B727-A6846C3FDD9D}"/>
    <cellStyle name="Millares 7 3 3 2" xfId="670" xr:uid="{23B8EB36-A74C-49C6-A579-E87C96D6464D}"/>
    <cellStyle name="Millares 7 3 3 2 2" xfId="1341" xr:uid="{B0519EE2-089A-4E38-BCCD-E57E6061ED5A}"/>
    <cellStyle name="Millares 7 3 3 3" xfId="1009" xr:uid="{E986F41A-056A-4338-A6D6-131DDC515F11}"/>
    <cellStyle name="Millares 7 3 4" xfId="504" xr:uid="{9D24ED9F-7611-44CF-90CA-EA0FFEE4410B}"/>
    <cellStyle name="Millares 7 3 4 2" xfId="1175" xr:uid="{57E5D8F6-FB19-46CC-BB6A-267D15CE4D14}"/>
    <cellStyle name="Millares 7 3 5" xfId="843" xr:uid="{A29E902F-975F-4D07-92D2-4488D35E8BE7}"/>
    <cellStyle name="Millares 7 4" xfId="187" xr:uid="{FCE547E3-F2BF-4E6A-A498-C66954BBC921}"/>
    <cellStyle name="Millares 7 4 2" xfId="373" xr:uid="{F8BC3404-9FED-46D3-B868-022282473159}"/>
    <cellStyle name="Millares 7 4 2 2" xfId="712" xr:uid="{3E43C2AA-6FE6-425E-A153-EA9B3F56AA45}"/>
    <cellStyle name="Millares 7 4 2 2 2" xfId="1383" xr:uid="{2010C844-7B06-4EDA-85C5-CA8C95DD8E12}"/>
    <cellStyle name="Millares 7 4 2 3" xfId="1051" xr:uid="{B0978529-C42F-4040-8991-43D559158B81}"/>
    <cellStyle name="Millares 7 4 3" xfId="546" xr:uid="{00621D7D-4DFA-457F-A481-D765659379B0}"/>
    <cellStyle name="Millares 7 4 3 2" xfId="1217" xr:uid="{1ABD0292-9088-4620-AC34-74D3B0BC952B}"/>
    <cellStyle name="Millares 7 4 4" xfId="885" xr:uid="{52D95B9C-1013-437D-A547-6D220EA06A17}"/>
    <cellStyle name="Millares 7 5" xfId="291" xr:uid="{053C8740-2391-471E-83BF-7F7EA6F5B728}"/>
    <cellStyle name="Millares 7 5 2" xfId="630" xr:uid="{35D9FED3-DFF3-4383-A192-B6A864C25CC8}"/>
    <cellStyle name="Millares 7 5 2 2" xfId="1301" xr:uid="{55E3EAB6-F1DA-4D75-95B9-F8A743850AB9}"/>
    <cellStyle name="Millares 7 5 3" xfId="969" xr:uid="{5E6FB983-DE8E-4A24-B2B1-081C574341E7}"/>
    <cellStyle name="Millares 7 6" xfId="464" xr:uid="{BE0A3268-81A3-4D9B-8EDD-1540F47BADBC}"/>
    <cellStyle name="Millares 7 6 2" xfId="1135" xr:uid="{72C8A19C-2485-4285-83A9-D5B0369CF53E}"/>
    <cellStyle name="Millares 7 7" xfId="803" xr:uid="{DBDCAA54-48E6-4842-9935-B79CB85283F1}"/>
    <cellStyle name="Millares 79" xfId="48" xr:uid="{48DC607A-9539-46F5-9362-328540F43696}"/>
    <cellStyle name="Millares 79 2" xfId="75" xr:uid="{0DFEED77-3297-4DC0-9DCF-E0F2161D6A1C}"/>
    <cellStyle name="Millares 79 2 2" xfId="104" xr:uid="{A97A24E1-962E-4A07-BF21-11F2293ECC9B}"/>
    <cellStyle name="Millares 79 2 2 2" xfId="152" xr:uid="{FBFC8AFF-14EB-4CE8-88AC-4CA047FB0D3B}"/>
    <cellStyle name="Millares 79 2 2 2 2" xfId="241" xr:uid="{2E2F845E-4C7C-4955-ABC4-CD951FF8E8BF}"/>
    <cellStyle name="Millares 79 2 2 2 2 2" xfId="427" xr:uid="{60A994B1-C941-46C8-856E-C85202927086}"/>
    <cellStyle name="Millares 79 2 2 2 2 2 2" xfId="766" xr:uid="{C2313B34-D8B0-4867-8B33-3DAF3C606239}"/>
    <cellStyle name="Millares 79 2 2 2 2 2 2 2" xfId="1437" xr:uid="{56CF37C0-C56F-40F1-BD6C-AE6421FCA4BA}"/>
    <cellStyle name="Millares 79 2 2 2 2 2 3" xfId="1105" xr:uid="{97BFA5E1-F637-47EC-9C63-BE57EA2DD324}"/>
    <cellStyle name="Millares 79 2 2 2 2 3" xfId="600" xr:uid="{7356F890-E136-48AB-BEE9-027AD80DBB20}"/>
    <cellStyle name="Millares 79 2 2 2 2 3 2" xfId="1271" xr:uid="{55FD1931-A713-4D06-9D77-851204D704E0}"/>
    <cellStyle name="Millares 79 2 2 2 2 4" xfId="939" xr:uid="{8839BD44-1223-496C-9D99-C41D80F973FD}"/>
    <cellStyle name="Millares 79 2 2 2 3" xfId="345" xr:uid="{6385DD8C-5F4E-45A8-B82A-2E8FCCAAE925}"/>
    <cellStyle name="Millares 79 2 2 2 3 2" xfId="684" xr:uid="{F8894152-7956-4D8D-BD67-9CD0DB6FB5C5}"/>
    <cellStyle name="Millares 79 2 2 2 3 2 2" xfId="1355" xr:uid="{1BD9521C-7C04-4E53-8F6E-38720230072B}"/>
    <cellStyle name="Millares 79 2 2 2 3 3" xfId="1023" xr:uid="{2173BE2E-6110-4444-B273-2AAFF5E64FE5}"/>
    <cellStyle name="Millares 79 2 2 2 4" xfId="518" xr:uid="{6A96317F-0FBE-4923-BC6C-228A3794DF9F}"/>
    <cellStyle name="Millares 79 2 2 2 4 2" xfId="1189" xr:uid="{D5893D43-360A-4D62-96C2-AA1B339FA6E7}"/>
    <cellStyle name="Millares 79 2 2 2 5" xfId="857" xr:uid="{7760C940-9201-490B-9BC1-D40B4D46B83C}"/>
    <cellStyle name="Millares 79 2 2 3" xfId="201" xr:uid="{CD55C09A-9C3F-413B-A0FA-0DAD914FB05D}"/>
    <cellStyle name="Millares 79 2 2 3 2" xfId="387" xr:uid="{BCDDFD0F-DCC5-4A6C-9B83-6BE11863C34B}"/>
    <cellStyle name="Millares 79 2 2 3 2 2" xfId="726" xr:uid="{18146916-8732-49BB-BB5A-C962D22DFE05}"/>
    <cellStyle name="Millares 79 2 2 3 2 2 2" xfId="1397" xr:uid="{97267572-4E5C-40DA-B453-4A4DCDAE6AD4}"/>
    <cellStyle name="Millares 79 2 2 3 2 3" xfId="1065" xr:uid="{80086BDF-08CA-4F82-A1C0-D6C9048568F4}"/>
    <cellStyle name="Millares 79 2 2 3 3" xfId="560" xr:uid="{E9664C1F-3573-4196-A72D-4AE898C07A1B}"/>
    <cellStyle name="Millares 79 2 2 3 3 2" xfId="1231" xr:uid="{C36FC102-7D97-4189-9C86-3FC1BD486B0D}"/>
    <cellStyle name="Millares 79 2 2 3 4" xfId="899" xr:uid="{0666F4A6-EA4F-4362-9C57-139FA1369B4D}"/>
    <cellStyle name="Millares 79 2 2 4" xfId="305" xr:uid="{476E7992-218C-4991-8B60-E24E961280F5}"/>
    <cellStyle name="Millares 79 2 2 4 2" xfId="644" xr:uid="{DD8DFF6C-76A5-495D-84E7-3C1919FCB945}"/>
    <cellStyle name="Millares 79 2 2 4 2 2" xfId="1315" xr:uid="{D9F60F6F-D470-4E2C-B618-A8C73B0FD72B}"/>
    <cellStyle name="Millares 79 2 2 4 3" xfId="983" xr:uid="{C1AEBEF1-EB86-4501-8DE7-CC9A231BB36E}"/>
    <cellStyle name="Millares 79 2 2 5" xfId="478" xr:uid="{0533C97E-1F61-418D-9C50-BC006DE8CC9F}"/>
    <cellStyle name="Millares 79 2 2 5 2" xfId="1149" xr:uid="{17EB636E-15B6-4D43-AE0B-FE43F106D32C}"/>
    <cellStyle name="Millares 79 2 2 6" xfId="817" xr:uid="{4C296955-70B7-4EC0-A3A1-280E99A400B5}"/>
    <cellStyle name="Millares 79 2 3" xfId="133" xr:uid="{A6DE80F6-610E-408B-8CCB-3D7862882413}"/>
    <cellStyle name="Millares 79 2 3 2" xfId="222" xr:uid="{34095AF6-1960-4D80-ACC4-618CECA94C59}"/>
    <cellStyle name="Millares 79 2 3 2 2" xfId="408" xr:uid="{18C9B34B-D40C-421E-805C-D5BE1E142A6C}"/>
    <cellStyle name="Millares 79 2 3 2 2 2" xfId="747" xr:uid="{A2D2BDEF-1AC5-40C9-8E02-508FF5E54372}"/>
    <cellStyle name="Millares 79 2 3 2 2 2 2" xfId="1418" xr:uid="{1F06E6EE-08A2-43E4-B819-CAE168CBB20F}"/>
    <cellStyle name="Millares 79 2 3 2 2 3" xfId="1086" xr:uid="{A8EA3EBF-C629-4FE9-8C82-E89A7AF1CDC2}"/>
    <cellStyle name="Millares 79 2 3 2 3" xfId="581" xr:uid="{70F51908-5B3A-44B9-A4DB-6093439AC801}"/>
    <cellStyle name="Millares 79 2 3 2 3 2" xfId="1252" xr:uid="{CF05789C-DEEC-4EE8-91A5-5D122DF006DA}"/>
    <cellStyle name="Millares 79 2 3 2 4" xfId="920" xr:uid="{CDA3F65E-091D-4527-80A9-F7FECD95F90A}"/>
    <cellStyle name="Millares 79 2 3 3" xfId="326" xr:uid="{AE4817D7-F8E4-4D3B-AC93-CAB313507D0C}"/>
    <cellStyle name="Millares 79 2 3 3 2" xfId="665" xr:uid="{13E07258-D19F-4572-9095-7FCE98E8D062}"/>
    <cellStyle name="Millares 79 2 3 3 2 2" xfId="1336" xr:uid="{BDF597D6-D65F-4E3A-98EF-BBBC68F9DB3B}"/>
    <cellStyle name="Millares 79 2 3 3 3" xfId="1004" xr:uid="{01B27296-A3B6-4672-ABA2-21CB79C111E8}"/>
    <cellStyle name="Millares 79 2 3 4" xfId="499" xr:uid="{D997195A-6F86-4C45-8DFC-C884978FEA96}"/>
    <cellStyle name="Millares 79 2 3 4 2" xfId="1170" xr:uid="{9211AE2C-2691-4578-BBEB-D1C4DF522F61}"/>
    <cellStyle name="Millares 79 2 3 5" xfId="838" xr:uid="{578DEEF5-FEDC-47B9-ADAF-77009C84AEBB}"/>
    <cellStyle name="Millares 79 2 4" xfId="182" xr:uid="{5A8EC9FF-07EA-4A75-82F2-370B3AABB8AF}"/>
    <cellStyle name="Millares 79 2 4 2" xfId="368" xr:uid="{70AE807A-4A6C-4D65-B9D8-BD8CAB484A07}"/>
    <cellStyle name="Millares 79 2 4 2 2" xfId="707" xr:uid="{4057DEA5-C087-4F75-80DF-9FB710F265BF}"/>
    <cellStyle name="Millares 79 2 4 2 2 2" xfId="1378" xr:uid="{80A7B32F-D13E-46CA-AF43-197C66764093}"/>
    <cellStyle name="Millares 79 2 4 2 3" xfId="1046" xr:uid="{5465705E-D244-4289-B7A7-649EDC42FC8F}"/>
    <cellStyle name="Millares 79 2 4 3" xfId="541" xr:uid="{413AAE9D-3A0D-4815-A685-7BBDBD7D6002}"/>
    <cellStyle name="Millares 79 2 4 3 2" xfId="1212" xr:uid="{D02AC212-2191-4272-A20C-FCAF1F0AE5E9}"/>
    <cellStyle name="Millares 79 2 4 4" xfId="880" xr:uid="{90E3EC43-B84F-4939-A1AB-7B5BA1BB38F7}"/>
    <cellStyle name="Millares 79 2 5" xfId="286" xr:uid="{AAC57BE5-5747-4514-88D1-2BD556FC2CDE}"/>
    <cellStyle name="Millares 79 2 5 2" xfId="625" xr:uid="{8340A02F-5BA8-4CED-AF86-D10D4F1D69DC}"/>
    <cellStyle name="Millares 79 2 5 2 2" xfId="1296" xr:uid="{5710D46B-5464-43D9-BC21-C32CFEA871DB}"/>
    <cellStyle name="Millares 79 2 5 3" xfId="964" xr:uid="{BD2D1A71-6C87-4D15-9656-76CCD11DFB23}"/>
    <cellStyle name="Millares 79 2 6" xfId="459" xr:uid="{7339B068-396D-4407-8E78-3D2C78045D1B}"/>
    <cellStyle name="Millares 79 2 6 2" xfId="1130" xr:uid="{DA551373-1313-41E3-B04A-F283B9C104A4}"/>
    <cellStyle name="Millares 79 2 7" xfId="798" xr:uid="{B08F990F-6CD0-4ECC-A30F-7F51984613C3}"/>
    <cellStyle name="Millares 79 3" xfId="93" xr:uid="{E3A0B9DA-64DC-40FF-9290-80E4706C61D0}"/>
    <cellStyle name="Millares 79 3 2" xfId="143" xr:uid="{774544CB-161D-4F68-ADE2-A25A9B39AD77}"/>
    <cellStyle name="Millares 79 3 2 2" xfId="232" xr:uid="{AED1FE6A-B765-41B6-90AA-D92E2BABE217}"/>
    <cellStyle name="Millares 79 3 2 2 2" xfId="418" xr:uid="{FC6E1545-F163-4CA2-BCE2-9453C7F4E4FD}"/>
    <cellStyle name="Millares 79 3 2 2 2 2" xfId="757" xr:uid="{F14F4EC3-AEAB-49C6-AE3A-CC0C76CBD464}"/>
    <cellStyle name="Millares 79 3 2 2 2 2 2" xfId="1428" xr:uid="{0B1D1257-E97D-442B-A405-C496A2E35732}"/>
    <cellStyle name="Millares 79 3 2 2 2 3" xfId="1096" xr:uid="{364A4E17-F8AB-4D5F-93D7-885C950D088E}"/>
    <cellStyle name="Millares 79 3 2 2 3" xfId="591" xr:uid="{99915048-09E9-4804-BD73-B2B5AD19636B}"/>
    <cellStyle name="Millares 79 3 2 2 3 2" xfId="1262" xr:uid="{B0EE0695-4A60-4CA3-A131-1BFAE8CF4762}"/>
    <cellStyle name="Millares 79 3 2 2 4" xfId="930" xr:uid="{2A58A0D0-5C6B-422B-81A7-FAC64CA74F59}"/>
    <cellStyle name="Millares 79 3 2 3" xfId="336" xr:uid="{C2A72B78-8690-4418-A449-7EDC632B2A23}"/>
    <cellStyle name="Millares 79 3 2 3 2" xfId="675" xr:uid="{4FCF42CE-DD1F-45E7-8FE9-6D994F4D4915}"/>
    <cellStyle name="Millares 79 3 2 3 2 2" xfId="1346" xr:uid="{5AD38DDB-8682-44D3-82AC-81A556AB1DFB}"/>
    <cellStyle name="Millares 79 3 2 3 3" xfId="1014" xr:uid="{FED010F7-E2F1-42FF-A4EC-8463A4C7F419}"/>
    <cellStyle name="Millares 79 3 2 4" xfId="509" xr:uid="{82441BFE-0CA8-4667-9753-D634ECE51656}"/>
    <cellStyle name="Millares 79 3 2 4 2" xfId="1180" xr:uid="{88640492-7269-4658-BB9C-4607D7919A64}"/>
    <cellStyle name="Millares 79 3 2 5" xfId="848" xr:uid="{23925A4E-BCFB-4D92-9ECC-CA57F5DB9F14}"/>
    <cellStyle name="Millares 79 3 3" xfId="192" xr:uid="{BD16A020-F9EA-4CA9-B204-1F554B9FC89B}"/>
    <cellStyle name="Millares 79 3 3 2" xfId="378" xr:uid="{68E8D1BA-C7E0-46CD-8ED9-7CB84688B629}"/>
    <cellStyle name="Millares 79 3 3 2 2" xfId="717" xr:uid="{2010BB71-CF53-4A17-B543-9027E97CCCA2}"/>
    <cellStyle name="Millares 79 3 3 2 2 2" xfId="1388" xr:uid="{4E3C4E3A-83C8-40D5-9092-F5101584A4B7}"/>
    <cellStyle name="Millares 79 3 3 2 3" xfId="1056" xr:uid="{8AA8F01B-61ED-408E-A912-CBF2ECDDA3C9}"/>
    <cellStyle name="Millares 79 3 3 3" xfId="551" xr:uid="{11055AA5-8528-43B9-B7F9-87C99B9E5FBF}"/>
    <cellStyle name="Millares 79 3 3 3 2" xfId="1222" xr:uid="{412BED6B-920D-48C0-A73E-A5EDB295DCAA}"/>
    <cellStyle name="Millares 79 3 3 4" xfId="890" xr:uid="{418F22A4-279D-404C-8A63-C17882331980}"/>
    <cellStyle name="Millares 79 3 4" xfId="296" xr:uid="{4737F144-9FA1-45D1-9642-C819A26D4509}"/>
    <cellStyle name="Millares 79 3 4 2" xfId="635" xr:uid="{BCAFB844-49CE-48AB-A075-033990F57E2E}"/>
    <cellStyle name="Millares 79 3 4 2 2" xfId="1306" xr:uid="{DD778893-203D-4A03-84D0-5A491E5525FE}"/>
    <cellStyle name="Millares 79 3 4 3" xfId="974" xr:uid="{A4CA3608-1EA0-4FC4-8709-5F7B9DEA8F3E}"/>
    <cellStyle name="Millares 79 3 5" xfId="469" xr:uid="{420F3513-5558-4CF8-BA37-9733E127AD61}"/>
    <cellStyle name="Millares 79 3 5 2" xfId="1140" xr:uid="{D03B5517-C1EA-4300-923F-B41EAB10F8A9}"/>
    <cellStyle name="Millares 79 3 6" xfId="808" xr:uid="{C654AEAE-DBA5-4167-84FA-1F3633E717C0}"/>
    <cellStyle name="Millares 79 4" xfId="122" xr:uid="{E9007086-3EC7-481F-9B3E-87E0570F063F}"/>
    <cellStyle name="Millares 79 4 2" xfId="213" xr:uid="{F8A11EAC-CC0F-4DA4-82EE-640DE5DAF49A}"/>
    <cellStyle name="Millares 79 4 2 2" xfId="399" xr:uid="{CEA8B870-B954-4E7E-A4A9-A9C09AB43847}"/>
    <cellStyle name="Millares 79 4 2 2 2" xfId="738" xr:uid="{28465775-C64B-4ECA-81CA-D9D657CFE100}"/>
    <cellStyle name="Millares 79 4 2 2 2 2" xfId="1409" xr:uid="{3777F8E9-505B-4533-8293-2A27F52B1972}"/>
    <cellStyle name="Millares 79 4 2 2 3" xfId="1077" xr:uid="{16AF33CB-833E-43A3-98BF-98209C643309}"/>
    <cellStyle name="Millares 79 4 2 3" xfId="572" xr:uid="{DC8651F2-6002-44AB-ABD7-8081CB0A1B49}"/>
    <cellStyle name="Millares 79 4 2 3 2" xfId="1243" xr:uid="{441AA483-A585-43E5-88CE-D619BBE70D57}"/>
    <cellStyle name="Millares 79 4 2 4" xfId="911" xr:uid="{A65A6866-D924-45F6-8D8C-05CD3F815989}"/>
    <cellStyle name="Millares 79 4 3" xfId="317" xr:uid="{6EBD7257-7FBA-4E3C-9E85-C9BA349E7147}"/>
    <cellStyle name="Millares 79 4 3 2" xfId="656" xr:uid="{5B093576-3D7C-4704-A30E-8B71AB1A2D55}"/>
    <cellStyle name="Millares 79 4 3 2 2" xfId="1327" xr:uid="{BDA19A7C-DE42-4014-A68A-101AAC9EFF4D}"/>
    <cellStyle name="Millares 79 4 3 3" xfId="995" xr:uid="{EC42B556-98BA-4D07-B630-25B2CF0F86FB}"/>
    <cellStyle name="Millares 79 4 4" xfId="490" xr:uid="{51BE0C1C-A73A-40DD-9D6B-219E54F1BF1F}"/>
    <cellStyle name="Millares 79 4 4 2" xfId="1161" xr:uid="{142D637D-6CFC-4E04-90F8-53318077929A}"/>
    <cellStyle name="Millares 79 4 5" xfId="829" xr:uid="{B6C33F8C-26FA-4D2E-927A-042DAE50A9CA}"/>
    <cellStyle name="Millares 79 5" xfId="172" xr:uid="{826010F6-1B86-48BE-BCD7-ACB0FC47E428}"/>
    <cellStyle name="Millares 79 5 2" xfId="359" xr:uid="{5014FD4B-2585-461B-B2A4-AAE5320A69F1}"/>
    <cellStyle name="Millares 79 5 2 2" xfId="698" xr:uid="{B562788C-E9D4-4A22-8717-1DB7B3604B34}"/>
    <cellStyle name="Millares 79 5 2 2 2" xfId="1369" xr:uid="{0C2A4EA7-D07E-4FAF-BC48-B85FAB5E80C8}"/>
    <cellStyle name="Millares 79 5 2 3" xfId="1037" xr:uid="{E8189744-ECCC-49BC-9F2F-81A20CD575A6}"/>
    <cellStyle name="Millares 79 5 3" xfId="532" xr:uid="{F84D00A5-D747-467D-AAC1-A7EAEB77886B}"/>
    <cellStyle name="Millares 79 5 3 2" xfId="1203" xr:uid="{2A4AAE3C-CE0D-4629-B916-E4208A1BA3F6}"/>
    <cellStyle name="Millares 79 5 4" xfId="871" xr:uid="{28CA5B06-E50D-45B3-8E5E-A71491481365}"/>
    <cellStyle name="Millares 79 6" xfId="260" xr:uid="{BD9558AE-8FAB-4163-BDAB-C369773019CC}"/>
    <cellStyle name="Millares 79 7" xfId="276" xr:uid="{ACB35449-8D7D-4085-9264-C6FA44E7ADC3}"/>
    <cellStyle name="Millares 79 7 2" xfId="616" xr:uid="{C446F026-79AB-4580-9F1B-914BCF287F6B}"/>
    <cellStyle name="Millares 79 7 2 2" xfId="1287" xr:uid="{0DC58A11-599F-4256-B240-E2AC50E6F997}"/>
    <cellStyle name="Millares 79 7 3" xfId="955" xr:uid="{60D17DDF-C681-41D8-B62A-1B3805525605}"/>
    <cellStyle name="Millares 79 8" xfId="449" xr:uid="{8E950285-53FA-4475-BE8A-C7B757A280E6}"/>
    <cellStyle name="Millares 79 8 2" xfId="1121" xr:uid="{7A044404-872C-4667-A806-9D7F498B3166}"/>
    <cellStyle name="Millares 79 9" xfId="788" xr:uid="{E0ECA6D5-66BC-4090-82A6-1069B409AD90}"/>
    <cellStyle name="Millares 8" xfId="89" xr:uid="{D809FEF8-CC55-4329-B378-16194878513D}"/>
    <cellStyle name="Millares 8 2" xfId="139" xr:uid="{72579FC5-CA83-405F-8EB8-4E7C3EF8195F}"/>
    <cellStyle name="Millares 8 2 2" xfId="228" xr:uid="{BE1142C6-8ECF-442F-990E-40C7B4E0A858}"/>
    <cellStyle name="Millares 8 2 2 2" xfId="414" xr:uid="{C99BF0B2-8862-49CB-BE8F-AE480A15C539}"/>
    <cellStyle name="Millares 8 2 2 2 2" xfId="753" xr:uid="{E0887958-AA14-4867-9D71-AC2AF8F9066B}"/>
    <cellStyle name="Millares 8 2 2 2 2 2" xfId="1424" xr:uid="{86BE45A0-93C2-43E5-9E55-D93CCEFE9310}"/>
    <cellStyle name="Millares 8 2 2 2 3" xfId="1092" xr:uid="{C791BC51-63D8-4B72-AFA3-7CFCFE360606}"/>
    <cellStyle name="Millares 8 2 2 3" xfId="587" xr:uid="{A43ADD8F-81E9-4475-86A0-2482AD96F3A8}"/>
    <cellStyle name="Millares 8 2 2 3 2" xfId="1258" xr:uid="{D59C59DC-7D3A-4842-8CDB-DC54117C79EC}"/>
    <cellStyle name="Millares 8 2 2 4" xfId="926" xr:uid="{05D98438-B30B-41EF-B126-DE52C604AEBC}"/>
    <cellStyle name="Millares 8 2 3" xfId="332" xr:uid="{000BCA42-B863-428C-BEEA-7AEC31624D1E}"/>
    <cellStyle name="Millares 8 2 3 2" xfId="671" xr:uid="{0D99A23E-7050-4C2C-9185-4F555A5EB30A}"/>
    <cellStyle name="Millares 8 2 3 2 2" xfId="1342" xr:uid="{3A9F018C-0EEF-408F-B54C-6219E1FB092A}"/>
    <cellStyle name="Millares 8 2 3 3" xfId="1010" xr:uid="{DEADC03A-9776-41E6-B8DD-234DCE04F026}"/>
    <cellStyle name="Millares 8 2 4" xfId="505" xr:uid="{1094DC11-1103-4610-98C4-BED5B5B698B6}"/>
    <cellStyle name="Millares 8 2 4 2" xfId="1176" xr:uid="{F1E3EC39-5B16-4BB8-B41C-0528276DF271}"/>
    <cellStyle name="Millares 8 2 5" xfId="844" xr:uid="{4C8E7167-A812-4B3A-B2B2-87F88DC062F8}"/>
    <cellStyle name="Millares 8 3" xfId="188" xr:uid="{359F977C-B3F9-4447-9C7C-5D2F6F927943}"/>
    <cellStyle name="Millares 8 3 2" xfId="374" xr:uid="{E632C922-7BF7-4655-9F8C-30DA671D4D33}"/>
    <cellStyle name="Millares 8 3 2 2" xfId="713" xr:uid="{BF4F0B7B-2D77-43AA-A5A1-F11F2B0DF09C}"/>
    <cellStyle name="Millares 8 3 2 2 2" xfId="1384" xr:uid="{5A026238-20A9-4088-A16F-97AD5604117A}"/>
    <cellStyle name="Millares 8 3 2 3" xfId="1052" xr:uid="{0E8D74A0-3503-4469-8152-1D0071BBDFB7}"/>
    <cellStyle name="Millares 8 3 3" xfId="547" xr:uid="{AB5C30BF-3806-4186-B0A3-904D2E223386}"/>
    <cellStyle name="Millares 8 3 3 2" xfId="1218" xr:uid="{B40BA440-8D63-430C-9F2D-FD7431457584}"/>
    <cellStyle name="Millares 8 3 4" xfId="886" xr:uid="{73DDF3D7-BB19-4661-A0F3-5941E9B02FF4}"/>
    <cellStyle name="Millares 8 4" xfId="292" xr:uid="{3A424F16-19FD-4BA4-B6EA-69214C1E041E}"/>
    <cellStyle name="Millares 8 4 2" xfId="631" xr:uid="{EE83FE08-FDE0-4C60-B51B-9A723352A418}"/>
    <cellStyle name="Millares 8 4 2 2" xfId="1302" xr:uid="{23B64887-838C-412A-872A-811A452BB776}"/>
    <cellStyle name="Millares 8 4 3" xfId="970" xr:uid="{7EE6A348-C764-42B1-B573-61D572CBBAAA}"/>
    <cellStyle name="Millares 8 5" xfId="465" xr:uid="{1C475982-CAE5-4E61-9ADB-895C5B5F95D3}"/>
    <cellStyle name="Millares 8 5 2" xfId="1136" xr:uid="{4A7A74FE-B86E-4086-90CC-9DCF1DB17B3E}"/>
    <cellStyle name="Millares 8 6" xfId="804" xr:uid="{9B4F062D-1025-4578-B969-6130715FEE31}"/>
    <cellStyle name="Millares 9" xfId="110" xr:uid="{7284EB9D-3C08-4496-913F-BB13DA3683F0}"/>
    <cellStyle name="Millares 9 2" xfId="158" xr:uid="{505746FE-C961-4B96-87FD-56ACAE26F3CD}"/>
    <cellStyle name="Millares 9 2 2" xfId="247" xr:uid="{FC8D8364-99A9-441A-BBC2-9BCA83092737}"/>
    <cellStyle name="Millares 9 2 2 2" xfId="433" xr:uid="{2B557FD6-0068-4A77-B5A8-0F88506FA1B4}"/>
    <cellStyle name="Millares 9 2 2 2 2" xfId="772" xr:uid="{102E28BC-B0BA-45AE-BA65-3710390B4AC2}"/>
    <cellStyle name="Millares 9 2 2 2 2 2" xfId="1443" xr:uid="{2D6CC335-D19E-4A18-BD92-76151EFC66CB}"/>
    <cellStyle name="Millares 9 2 2 2 3" xfId="1111" xr:uid="{6E0B51E8-FBFC-49C7-9BE8-88E1DF4271A5}"/>
    <cellStyle name="Millares 9 2 2 3" xfId="606" xr:uid="{7AFF4DD0-01AB-4841-B15C-379D5033BFAB}"/>
    <cellStyle name="Millares 9 2 2 3 2" xfId="1277" xr:uid="{CBD80534-3460-4DF6-8403-DBE6C9AE6105}"/>
    <cellStyle name="Millares 9 2 2 4" xfId="945" xr:uid="{3031AD71-816E-4DB1-91A9-60E6E607B8AD}"/>
    <cellStyle name="Millares 9 2 3" xfId="351" xr:uid="{D9EF8893-C8D2-490E-8A6D-F21C35C52B96}"/>
    <cellStyle name="Millares 9 2 3 2" xfId="690" xr:uid="{C1BB97BD-064E-44F3-9D22-A569C50573A5}"/>
    <cellStyle name="Millares 9 2 3 2 2" xfId="1361" xr:uid="{FF99F36D-0B17-44EC-AA8F-EBBD82F3D7D3}"/>
    <cellStyle name="Millares 9 2 3 3" xfId="1029" xr:uid="{9119BF5A-11AA-4CD2-9B28-D8A22B2D0598}"/>
    <cellStyle name="Millares 9 2 4" xfId="524" xr:uid="{6E9BED71-8DBB-49F6-8637-87AD2D25FB84}"/>
    <cellStyle name="Millares 9 2 4 2" xfId="1195" xr:uid="{DB06D9F1-AC11-4580-BCC5-B5CB5742FC09}"/>
    <cellStyle name="Millares 9 2 5" xfId="863" xr:uid="{B0D2BAF4-459D-4AFC-9CAC-2F1A9F064DE2}"/>
    <cellStyle name="Millares 9 3" xfId="207" xr:uid="{B1A10913-559B-48B7-93E8-4822897A3F47}"/>
    <cellStyle name="Millares 9 3 2" xfId="393" xr:uid="{E4094EB1-6ED7-4C01-8137-F15D0A6F919C}"/>
    <cellStyle name="Millares 9 3 2 2" xfId="732" xr:uid="{FBB113EB-6464-4CC5-86B1-B619C9B6DC44}"/>
    <cellStyle name="Millares 9 3 2 2 2" xfId="1403" xr:uid="{2F3080EE-8ABF-4600-A01C-D3C9181E76DF}"/>
    <cellStyle name="Millares 9 3 2 3" xfId="1071" xr:uid="{96475F2B-2211-4E64-83EE-FF6B6D0191E5}"/>
    <cellStyle name="Millares 9 3 3" xfId="566" xr:uid="{0DC8FDFC-31D5-4ABF-ACF4-FBBABE9ADA09}"/>
    <cellStyle name="Millares 9 3 3 2" xfId="1237" xr:uid="{C08ECC7E-84A4-4F6B-871E-34E9ED023705}"/>
    <cellStyle name="Millares 9 3 4" xfId="905" xr:uid="{C86A3AAE-41A8-40C9-B7EE-125E460406AF}"/>
    <cellStyle name="Millares 9 4" xfId="311" xr:uid="{BF056280-E3EA-4DCC-A233-9F412C8D835B}"/>
    <cellStyle name="Millares 9 4 2" xfId="650" xr:uid="{254D4A1A-3018-4DD8-BB19-762E00844D78}"/>
    <cellStyle name="Millares 9 4 2 2" xfId="1321" xr:uid="{F2B62F9D-3612-44FD-B920-DE346CE9C839}"/>
    <cellStyle name="Millares 9 4 3" xfId="989" xr:uid="{511CB12F-3213-4B15-8063-71DFDB916BD4}"/>
    <cellStyle name="Millares 9 5" xfId="484" xr:uid="{AF5E9A86-B4D6-4E82-8438-5842C61ACA18}"/>
    <cellStyle name="Millares 9 5 2" xfId="1155" xr:uid="{8E0D3E0E-9C36-49F1-884E-8EEFE94D9456}"/>
    <cellStyle name="Millares 9 6" xfId="823" xr:uid="{F0EC6BA6-01BF-48B3-A6E4-BCD69A0C41A4}"/>
    <cellStyle name="Neutral 10" xfId="49" xr:uid="{90F51FF0-C163-4905-B1C4-EDE27686C8FF}"/>
    <cellStyle name="Neutral 2" xfId="76" xr:uid="{BD8A4C5E-4FCE-4915-AAD2-1121E12463B0}"/>
    <cellStyle name="Neutral 3" xfId="94" xr:uid="{162941BF-D416-4DCE-BA28-55C6EAB5EC17}"/>
    <cellStyle name="Neutral 4" xfId="123" xr:uid="{6740D15F-E1C6-4579-9B40-023D2B39442E}"/>
    <cellStyle name="Neutral 5" xfId="173" xr:uid="{CBC51456-748E-49D2-8B5F-54A58A12BB80}"/>
    <cellStyle name="Neutral 6" xfId="261" xr:uid="{EBF9F31E-153B-44CC-9127-B6FE05BE2D94}"/>
    <cellStyle name="Neutral 7" xfId="277" xr:uid="{7802E264-A906-4419-9F5E-304034EA65D8}"/>
    <cellStyle name="Neutral 8" xfId="450" xr:uid="{A74E5339-D178-466A-AFC6-9C82E672BF3F}"/>
    <cellStyle name="Neutral 9" xfId="789" xr:uid="{1A3BBDE7-30E0-475A-A6F0-C104803AC1B1}"/>
    <cellStyle name="Normal" xfId="0" builtinId="0"/>
    <cellStyle name="Normal 15" xfId="50" xr:uid="{07A0C89B-FA53-4390-8E0A-CABAD155A608}"/>
    <cellStyle name="Normal 2" xfId="51" xr:uid="{1162CF3A-28CF-48BD-95BB-C19DCBD9A01E}"/>
    <cellStyle name="Normal 2 10" xfId="52" xr:uid="{0CDFC925-B6BD-44E7-A709-5C49EFE69BFD}"/>
    <cellStyle name="Normal 3" xfId="53" xr:uid="{34CEBD1B-FCF6-49CD-B253-D9955FCA58E4}"/>
    <cellStyle name="Normal 3 57" xfId="62" xr:uid="{102536C3-9797-4E88-B947-1F04A97E14C2}"/>
    <cellStyle name="Normal 4" xfId="54" xr:uid="{22EDFBC2-A2AD-4A30-B40A-57B3BB590B28}"/>
    <cellStyle name="Normal 4 10" xfId="55" xr:uid="{D0522735-B260-4B1C-98FE-AD9C52EB801C}"/>
    <cellStyle name="Normal 5" xfId="56" xr:uid="{FC63858A-889E-455D-BBA3-C38177975E1A}"/>
    <cellStyle name="Notas" xfId="14" builtinId="10" customBuiltin="1"/>
    <cellStyle name="Porcentaje 2" xfId="79" xr:uid="{A6C4D854-AB72-442B-9780-4C6BB905E416}"/>
    <cellStyle name="Porcentaje 3" xfId="97" xr:uid="{73454818-01E6-4CB4-AD0B-0E5AFE80256B}"/>
    <cellStyle name="Porcentaje 4" xfId="126" xr:uid="{F1139F67-2293-4303-8005-2BF233CFD8AD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BD0B-2ACA-4717-839F-805CD7B0D7A6}">
  <dimension ref="A1:L119"/>
  <sheetViews>
    <sheetView tabSelected="1" workbookViewId="0">
      <selection activeCell="F8" sqref="F8"/>
    </sheetView>
  </sheetViews>
  <sheetFormatPr baseColWidth="10" defaultRowHeight="14"/>
  <cols>
    <col min="1" max="1" width="11.19921875" style="3"/>
    <col min="2" max="3" width="11.19921875" style="5"/>
    <col min="4" max="4" width="11.19921875" style="3"/>
    <col min="5" max="6" width="13.3984375" style="5" bestFit="1" customWidth="1"/>
    <col min="7" max="10" width="12.3984375" style="5" bestFit="1" customWidth="1"/>
    <col min="11" max="12" width="10.8984375" style="5" bestFit="1" customWidth="1"/>
  </cols>
  <sheetData>
    <row r="1" spans="1:12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>
      <c r="A2" s="3" t="b">
        <f>EXACT(C2,B2)</f>
        <v>1</v>
      </c>
      <c r="B2" s="5" t="str">
        <f>+Hoja2!A1</f>
        <v>1.1.01.101</v>
      </c>
      <c r="C2" s="5" t="s">
        <v>11</v>
      </c>
      <c r="D2" s="3" t="s">
        <v>12</v>
      </c>
      <c r="E2" s="6">
        <v>216337650</v>
      </c>
      <c r="F2" s="6">
        <v>142232595</v>
      </c>
      <c r="G2" s="6">
        <v>74105055</v>
      </c>
      <c r="H2" s="5">
        <v>0</v>
      </c>
      <c r="I2" s="6">
        <v>74105055</v>
      </c>
      <c r="J2" s="5">
        <v>0</v>
      </c>
      <c r="K2" s="5">
        <v>0</v>
      </c>
      <c r="L2" s="5">
        <v>0</v>
      </c>
    </row>
    <row r="3" spans="1:12">
      <c r="A3" s="10" t="b">
        <f t="shared" ref="A3:A65" si="0">EXACT(C3,B3)</f>
        <v>1</v>
      </c>
      <c r="B3" s="5" t="str">
        <f>+Hoja2!A2</f>
        <v>1.1.01.203</v>
      </c>
      <c r="C3" s="5" t="s">
        <v>13</v>
      </c>
      <c r="D3" s="3" t="s">
        <v>14</v>
      </c>
      <c r="E3" s="6">
        <v>99910</v>
      </c>
      <c r="F3" s="6">
        <v>58308</v>
      </c>
      <c r="G3" s="6">
        <v>41602</v>
      </c>
      <c r="H3" s="5">
        <v>0</v>
      </c>
      <c r="I3" s="6">
        <v>41602</v>
      </c>
      <c r="J3" s="5">
        <v>0</v>
      </c>
      <c r="K3" s="5">
        <v>0</v>
      </c>
      <c r="L3" s="5">
        <v>0</v>
      </c>
    </row>
    <row r="4" spans="1:12">
      <c r="A4" s="10" t="b">
        <f t="shared" si="0"/>
        <v>1</v>
      </c>
      <c r="B4" s="5" t="str">
        <f>+Hoja2!A3</f>
        <v>1.1.01.204</v>
      </c>
      <c r="C4" s="5" t="s">
        <v>15</v>
      </c>
      <c r="D4" s="3" t="s">
        <v>16</v>
      </c>
      <c r="E4" s="6">
        <v>85990</v>
      </c>
      <c r="F4" s="5">
        <v>0</v>
      </c>
      <c r="G4" s="6">
        <v>85990</v>
      </c>
      <c r="H4" s="5">
        <v>0</v>
      </c>
      <c r="I4" s="6">
        <v>85990</v>
      </c>
      <c r="J4" s="5">
        <v>0</v>
      </c>
      <c r="K4" s="5">
        <v>0</v>
      </c>
      <c r="L4" s="5">
        <v>0</v>
      </c>
    </row>
    <row r="5" spans="1:12">
      <c r="A5" s="10" t="b">
        <f t="shared" si="0"/>
        <v>1</v>
      </c>
      <c r="B5" s="5" t="str">
        <f>+Hoja2!A4</f>
        <v>1.1.01.205</v>
      </c>
      <c r="C5" s="5" t="s">
        <v>17</v>
      </c>
      <c r="D5" s="3" t="s">
        <v>18</v>
      </c>
      <c r="E5" s="6">
        <v>154990</v>
      </c>
      <c r="F5" s="6">
        <v>152308</v>
      </c>
      <c r="G5" s="6">
        <v>2682</v>
      </c>
      <c r="H5" s="5">
        <v>0</v>
      </c>
      <c r="I5" s="6">
        <v>2682</v>
      </c>
      <c r="J5" s="5">
        <v>0</v>
      </c>
      <c r="K5" s="5">
        <v>0</v>
      </c>
      <c r="L5" s="5">
        <v>0</v>
      </c>
    </row>
    <row r="6" spans="1:12">
      <c r="A6" s="10" t="b">
        <f t="shared" si="0"/>
        <v>1</v>
      </c>
      <c r="B6" s="5" t="str">
        <f>+Hoja2!A5</f>
        <v>1.1.01.206</v>
      </c>
      <c r="C6" s="5" t="s">
        <v>19</v>
      </c>
      <c r="D6" s="3" t="s">
        <v>20</v>
      </c>
      <c r="E6" s="6">
        <v>100000</v>
      </c>
      <c r="F6" s="6">
        <v>108130</v>
      </c>
      <c r="G6" s="5">
        <v>0</v>
      </c>
      <c r="H6" s="6">
        <v>8130</v>
      </c>
      <c r="I6" s="5">
        <v>0</v>
      </c>
      <c r="J6" s="6">
        <v>8130</v>
      </c>
      <c r="K6" s="5">
        <v>0</v>
      </c>
      <c r="L6" s="5">
        <v>0</v>
      </c>
    </row>
    <row r="7" spans="1:12">
      <c r="A7" s="10" t="b">
        <f t="shared" si="0"/>
        <v>1</v>
      </c>
      <c r="B7" s="5" t="str">
        <f>+Hoja2!A6</f>
        <v>1.1.01.207</v>
      </c>
      <c r="C7" s="5" t="s">
        <v>21</v>
      </c>
      <c r="D7" s="3" t="s">
        <v>22</v>
      </c>
      <c r="E7" s="6">
        <v>337628</v>
      </c>
      <c r="F7" s="6">
        <v>254628</v>
      </c>
      <c r="G7" s="6">
        <v>83000</v>
      </c>
      <c r="H7" s="5">
        <v>0</v>
      </c>
      <c r="I7" s="6">
        <v>83000</v>
      </c>
      <c r="J7" s="5">
        <v>0</v>
      </c>
      <c r="K7" s="5">
        <v>0</v>
      </c>
      <c r="L7" s="5">
        <v>0</v>
      </c>
    </row>
    <row r="8" spans="1:12">
      <c r="A8" s="10" t="b">
        <f t="shared" si="0"/>
        <v>1</v>
      </c>
      <c r="B8" s="5" t="str">
        <f>+Hoja2!A7</f>
        <v>1.1.01.208</v>
      </c>
      <c r="C8" s="5" t="s">
        <v>23</v>
      </c>
      <c r="D8" s="3" t="s">
        <v>24</v>
      </c>
      <c r="E8" s="6">
        <v>131290</v>
      </c>
      <c r="F8" s="6">
        <v>91720</v>
      </c>
      <c r="G8" s="6">
        <v>39570</v>
      </c>
      <c r="H8" s="5">
        <v>0</v>
      </c>
      <c r="I8" s="6">
        <v>39570</v>
      </c>
      <c r="J8" s="5">
        <v>0</v>
      </c>
      <c r="K8" s="5">
        <v>0</v>
      </c>
      <c r="L8" s="5">
        <v>0</v>
      </c>
    </row>
    <row r="9" spans="1:12">
      <c r="A9" s="10" t="b">
        <f t="shared" si="0"/>
        <v>1</v>
      </c>
      <c r="B9" s="5" t="str">
        <f>+Hoja2!A8</f>
        <v>1.1.01.209</v>
      </c>
      <c r="C9" s="5" t="s">
        <v>25</v>
      </c>
      <c r="D9" s="3" t="s">
        <v>26</v>
      </c>
      <c r="E9" s="6">
        <v>103980</v>
      </c>
      <c r="F9" s="6">
        <v>46490</v>
      </c>
      <c r="G9" s="6">
        <v>57490</v>
      </c>
      <c r="H9" s="5">
        <v>0</v>
      </c>
      <c r="I9" s="6">
        <v>57490</v>
      </c>
      <c r="J9" s="5">
        <v>0</v>
      </c>
      <c r="K9" s="5">
        <v>0</v>
      </c>
      <c r="L9" s="5">
        <v>0</v>
      </c>
    </row>
    <row r="10" spans="1:12">
      <c r="A10" s="10" t="b">
        <f t="shared" si="0"/>
        <v>1</v>
      </c>
      <c r="B10" s="5" t="str">
        <f>+Hoja2!A9</f>
        <v>1.1.01.210</v>
      </c>
      <c r="C10" s="5" t="s">
        <v>27</v>
      </c>
      <c r="D10" s="3" t="s">
        <v>28</v>
      </c>
      <c r="E10" s="6">
        <v>103994</v>
      </c>
      <c r="F10" s="6">
        <v>90688</v>
      </c>
      <c r="G10" s="6">
        <v>13306</v>
      </c>
      <c r="H10" s="5">
        <v>0</v>
      </c>
      <c r="I10" s="6">
        <v>13306</v>
      </c>
      <c r="J10" s="5">
        <v>0</v>
      </c>
      <c r="K10" s="5">
        <v>0</v>
      </c>
      <c r="L10" s="5">
        <v>0</v>
      </c>
    </row>
    <row r="11" spans="1:12">
      <c r="A11" s="10" t="b">
        <f t="shared" si="0"/>
        <v>1</v>
      </c>
      <c r="B11" s="5" t="str">
        <f>+Hoja2!A10</f>
        <v>1.1.01.211</v>
      </c>
      <c r="C11" s="5" t="s">
        <v>29</v>
      </c>
      <c r="D11" s="3" t="s">
        <v>30</v>
      </c>
      <c r="E11" s="6">
        <v>128075</v>
      </c>
      <c r="F11" s="6">
        <v>80955</v>
      </c>
      <c r="G11" s="6">
        <v>47120</v>
      </c>
      <c r="H11" s="5">
        <v>0</v>
      </c>
      <c r="I11" s="6">
        <v>47120</v>
      </c>
      <c r="J11" s="5">
        <v>0</v>
      </c>
      <c r="K11" s="5">
        <v>0</v>
      </c>
      <c r="L11" s="5">
        <v>0</v>
      </c>
    </row>
    <row r="12" spans="1:12">
      <c r="A12" s="10" t="b">
        <f t="shared" si="0"/>
        <v>1</v>
      </c>
      <c r="B12" s="5" t="str">
        <f>+Hoja2!A11</f>
        <v>1.1.01.212</v>
      </c>
      <c r="C12" s="5" t="s">
        <v>31</v>
      </c>
      <c r="D12" s="3" t="s">
        <v>32</v>
      </c>
      <c r="E12" s="6">
        <v>135671</v>
      </c>
      <c r="F12" s="6">
        <v>75671</v>
      </c>
      <c r="G12" s="6">
        <v>60000</v>
      </c>
      <c r="H12" s="5">
        <v>0</v>
      </c>
      <c r="I12" s="6">
        <v>60000</v>
      </c>
      <c r="J12" s="5">
        <v>0</v>
      </c>
      <c r="K12" s="5">
        <v>0</v>
      </c>
      <c r="L12" s="5">
        <v>0</v>
      </c>
    </row>
    <row r="13" spans="1:12">
      <c r="A13" s="10" t="b">
        <f t="shared" si="0"/>
        <v>1</v>
      </c>
      <c r="B13" s="5" t="str">
        <f>+Hoja2!A12</f>
        <v>1.1.01.301</v>
      </c>
      <c r="C13" s="5" t="s">
        <v>33</v>
      </c>
      <c r="D13" s="3" t="s">
        <v>34</v>
      </c>
      <c r="E13" s="6">
        <v>822199777</v>
      </c>
      <c r="F13" s="6">
        <v>381616850</v>
      </c>
      <c r="G13" s="6">
        <v>440582927</v>
      </c>
      <c r="H13" s="5">
        <v>0</v>
      </c>
      <c r="I13" s="6">
        <v>440582927</v>
      </c>
      <c r="J13" s="5">
        <v>0</v>
      </c>
      <c r="K13" s="5">
        <v>0</v>
      </c>
      <c r="L13" s="5">
        <v>0</v>
      </c>
    </row>
    <row r="14" spans="1:12">
      <c r="A14" s="10" t="b">
        <f t="shared" si="0"/>
        <v>1</v>
      </c>
      <c r="B14" s="5" t="str">
        <f>+Hoja2!A13</f>
        <v>1.1.01.302</v>
      </c>
      <c r="C14" s="5" t="s">
        <v>35</v>
      </c>
      <c r="D14" s="3" t="s">
        <v>36</v>
      </c>
      <c r="E14" s="6">
        <v>1302586021</v>
      </c>
      <c r="F14" s="6">
        <v>930624208</v>
      </c>
      <c r="G14" s="6">
        <v>371961813</v>
      </c>
      <c r="H14" s="5">
        <v>0</v>
      </c>
      <c r="I14" s="6">
        <v>371961813</v>
      </c>
      <c r="J14" s="5">
        <v>0</v>
      </c>
      <c r="K14" s="5">
        <v>0</v>
      </c>
      <c r="L14" s="5">
        <v>0</v>
      </c>
    </row>
    <row r="15" spans="1:12">
      <c r="A15" s="10" t="b">
        <f t="shared" si="0"/>
        <v>1</v>
      </c>
      <c r="B15" s="5" t="str">
        <f>+Hoja2!A14</f>
        <v>1.1.02.106</v>
      </c>
      <c r="C15" s="5" t="s">
        <v>37</v>
      </c>
      <c r="D15" s="3" t="s">
        <v>38</v>
      </c>
      <c r="E15" s="6">
        <v>4941276</v>
      </c>
      <c r="F15" s="5">
        <v>0</v>
      </c>
      <c r="G15" s="6">
        <v>4941276</v>
      </c>
      <c r="H15" s="5">
        <v>0</v>
      </c>
      <c r="I15" s="6">
        <v>4941276</v>
      </c>
      <c r="J15" s="5">
        <v>0</v>
      </c>
      <c r="K15" s="5">
        <v>0</v>
      </c>
      <c r="L15" s="5">
        <v>0</v>
      </c>
    </row>
    <row r="16" spans="1:12">
      <c r="A16" s="10" t="b">
        <f t="shared" si="0"/>
        <v>1</v>
      </c>
      <c r="B16" s="5" t="str">
        <f>+Hoja2!A15</f>
        <v>1.1.03.201</v>
      </c>
      <c r="C16" s="5" t="s">
        <v>39</v>
      </c>
      <c r="D16" s="3" t="s">
        <v>40</v>
      </c>
      <c r="E16" s="6">
        <v>40348532</v>
      </c>
      <c r="F16" s="6">
        <v>5398716</v>
      </c>
      <c r="G16" s="6">
        <v>34949816</v>
      </c>
      <c r="H16" s="5">
        <v>0</v>
      </c>
      <c r="I16" s="6">
        <v>34949816</v>
      </c>
      <c r="J16" s="5">
        <v>0</v>
      </c>
      <c r="K16" s="5">
        <v>0</v>
      </c>
      <c r="L16" s="5">
        <v>0</v>
      </c>
    </row>
    <row r="17" spans="1:12">
      <c r="A17" s="10" t="b">
        <f t="shared" si="0"/>
        <v>1</v>
      </c>
      <c r="B17" s="5" t="str">
        <f>+Hoja2!A16</f>
        <v>1.1.04.102</v>
      </c>
      <c r="C17" s="5" t="s">
        <v>41</v>
      </c>
      <c r="D17" s="3" t="s">
        <v>42</v>
      </c>
      <c r="E17" s="6">
        <v>312645466</v>
      </c>
      <c r="F17" s="6">
        <v>315803955</v>
      </c>
      <c r="G17" s="5">
        <v>0</v>
      </c>
      <c r="H17" s="6">
        <v>3158489</v>
      </c>
      <c r="I17" s="5">
        <v>0</v>
      </c>
      <c r="J17" s="6">
        <v>3158489</v>
      </c>
      <c r="K17" s="5">
        <v>0</v>
      </c>
      <c r="L17" s="5">
        <v>0</v>
      </c>
    </row>
    <row r="18" spans="1:12">
      <c r="A18" s="10" t="b">
        <f t="shared" si="0"/>
        <v>1</v>
      </c>
      <c r="B18" s="5" t="str">
        <f>+Hoja2!A17</f>
        <v>1.1.04.104</v>
      </c>
      <c r="C18" s="5" t="s">
        <v>43</v>
      </c>
      <c r="D18" s="3" t="s">
        <v>44</v>
      </c>
      <c r="E18" s="6">
        <v>4201583</v>
      </c>
      <c r="F18" s="6">
        <v>3267232</v>
      </c>
      <c r="G18" s="6">
        <v>934351</v>
      </c>
      <c r="H18" s="5">
        <v>0</v>
      </c>
      <c r="I18" s="6">
        <v>934351</v>
      </c>
      <c r="J18" s="5">
        <v>0</v>
      </c>
      <c r="K18" s="5">
        <v>0</v>
      </c>
      <c r="L18" s="5">
        <v>0</v>
      </c>
    </row>
    <row r="19" spans="1:12">
      <c r="A19" s="10" t="b">
        <f t="shared" si="0"/>
        <v>1</v>
      </c>
      <c r="B19" s="5" t="str">
        <f>+Hoja2!A18</f>
        <v>1.1.04.105</v>
      </c>
      <c r="C19" s="5" t="s">
        <v>45</v>
      </c>
      <c r="D19" s="3" t="s">
        <v>46</v>
      </c>
      <c r="E19" s="6">
        <v>436527998</v>
      </c>
      <c r="F19" s="6">
        <v>381954503</v>
      </c>
      <c r="G19" s="6">
        <v>54573495</v>
      </c>
      <c r="H19" s="5">
        <v>0</v>
      </c>
      <c r="I19" s="6">
        <v>54573495</v>
      </c>
      <c r="J19" s="5">
        <v>0</v>
      </c>
      <c r="K19" s="5">
        <v>0</v>
      </c>
      <c r="L19" s="5">
        <v>0</v>
      </c>
    </row>
    <row r="20" spans="1:12">
      <c r="A20" s="10" t="b">
        <f t="shared" si="0"/>
        <v>1</v>
      </c>
      <c r="B20" s="5" t="str">
        <f>+Hoja2!A19</f>
        <v>1.1.04.106</v>
      </c>
      <c r="C20" s="5" t="s">
        <v>47</v>
      </c>
      <c r="D20" s="3" t="s">
        <v>48</v>
      </c>
      <c r="E20" s="6">
        <v>442414883</v>
      </c>
      <c r="F20" s="6">
        <v>370577979</v>
      </c>
      <c r="G20" s="6">
        <v>71836904</v>
      </c>
      <c r="H20" s="5">
        <v>0</v>
      </c>
      <c r="I20" s="6">
        <v>71836904</v>
      </c>
      <c r="J20" s="5">
        <v>0</v>
      </c>
      <c r="K20" s="5">
        <v>0</v>
      </c>
      <c r="L20" s="5">
        <v>0</v>
      </c>
    </row>
    <row r="21" spans="1:12">
      <c r="A21" s="10" t="b">
        <f t="shared" si="0"/>
        <v>1</v>
      </c>
      <c r="B21" s="5" t="str">
        <f>+Hoja2!A20</f>
        <v>1.1.04.108</v>
      </c>
      <c r="C21" s="5" t="s">
        <v>49</v>
      </c>
      <c r="D21" s="3" t="s">
        <v>50</v>
      </c>
      <c r="E21" s="6">
        <v>525390</v>
      </c>
      <c r="F21" s="6">
        <v>44990</v>
      </c>
      <c r="G21" s="6">
        <v>480400</v>
      </c>
      <c r="H21" s="5">
        <v>0</v>
      </c>
      <c r="I21" s="6">
        <v>480400</v>
      </c>
      <c r="J21" s="5">
        <v>0</v>
      </c>
      <c r="K21" s="5">
        <v>0</v>
      </c>
      <c r="L21" s="5">
        <v>0</v>
      </c>
    </row>
    <row r="22" spans="1:12">
      <c r="A22" s="10" t="b">
        <f t="shared" si="0"/>
        <v>1</v>
      </c>
      <c r="B22" s="5" t="str">
        <f>+Hoja2!A21</f>
        <v>1.1.04.109</v>
      </c>
      <c r="C22" s="5" t="s">
        <v>51</v>
      </c>
      <c r="D22" s="3" t="s">
        <v>52</v>
      </c>
      <c r="E22" s="6">
        <v>1174287901</v>
      </c>
      <c r="F22" s="6">
        <v>972428242</v>
      </c>
      <c r="G22" s="6">
        <v>201859659</v>
      </c>
      <c r="H22" s="5">
        <v>0</v>
      </c>
      <c r="I22" s="6">
        <v>201859659</v>
      </c>
      <c r="J22" s="5">
        <v>0</v>
      </c>
      <c r="K22" s="5">
        <v>0</v>
      </c>
      <c r="L22" s="5">
        <v>0</v>
      </c>
    </row>
    <row r="23" spans="1:12">
      <c r="A23" s="10" t="b">
        <f t="shared" si="0"/>
        <v>1</v>
      </c>
      <c r="B23" s="5" t="str">
        <f>+Hoja2!A22</f>
        <v>1.1.04.112</v>
      </c>
      <c r="C23" s="5" t="s">
        <v>53</v>
      </c>
      <c r="D23" s="3" t="s">
        <v>54</v>
      </c>
      <c r="E23" s="6">
        <v>31526988</v>
      </c>
      <c r="F23" s="6">
        <v>21762676</v>
      </c>
      <c r="G23" s="6">
        <v>9764312</v>
      </c>
      <c r="H23" s="5">
        <v>0</v>
      </c>
      <c r="I23" s="6">
        <v>9764312</v>
      </c>
      <c r="J23" s="5">
        <v>0</v>
      </c>
      <c r="K23" s="5">
        <v>0</v>
      </c>
      <c r="L23" s="5">
        <v>0</v>
      </c>
    </row>
    <row r="24" spans="1:12">
      <c r="A24" s="10" t="b">
        <f t="shared" si="0"/>
        <v>1</v>
      </c>
      <c r="B24" s="5" t="str">
        <f>+Hoja2!A23</f>
        <v>1.1.04.113</v>
      </c>
      <c r="C24" s="5" t="s">
        <v>55</v>
      </c>
      <c r="D24" s="3" t="s">
        <v>56</v>
      </c>
      <c r="E24" s="6">
        <v>26081492</v>
      </c>
      <c r="F24" s="6">
        <v>24549633</v>
      </c>
      <c r="G24" s="6">
        <v>1531859</v>
      </c>
      <c r="H24" s="5">
        <v>0</v>
      </c>
      <c r="I24" s="6">
        <v>1531859</v>
      </c>
      <c r="J24" s="5">
        <v>0</v>
      </c>
      <c r="K24" s="5">
        <v>0</v>
      </c>
      <c r="L24" s="5">
        <v>0</v>
      </c>
    </row>
    <row r="25" spans="1:12">
      <c r="A25" s="10" t="b">
        <f t="shared" si="0"/>
        <v>1</v>
      </c>
      <c r="B25" s="5" t="str">
        <f>+Hoja2!A24</f>
        <v>1.1.04.200</v>
      </c>
      <c r="C25" s="5" t="s">
        <v>57</v>
      </c>
      <c r="D25" s="3" t="s">
        <v>58</v>
      </c>
      <c r="E25" s="6">
        <v>6734121</v>
      </c>
      <c r="F25" s="5">
        <v>0</v>
      </c>
      <c r="G25" s="6">
        <v>6734121</v>
      </c>
      <c r="H25" s="5">
        <v>0</v>
      </c>
      <c r="I25" s="6">
        <v>6734121</v>
      </c>
      <c r="J25" s="5">
        <v>0</v>
      </c>
      <c r="K25" s="5">
        <v>0</v>
      </c>
      <c r="L25" s="5">
        <v>0</v>
      </c>
    </row>
    <row r="26" spans="1:12">
      <c r="A26" s="10" t="b">
        <f t="shared" si="0"/>
        <v>1</v>
      </c>
      <c r="B26" s="5" t="str">
        <f>+Hoja2!A25</f>
        <v>1.1.05.403</v>
      </c>
      <c r="C26" s="5" t="s">
        <v>59</v>
      </c>
      <c r="D26" s="3" t="s">
        <v>60</v>
      </c>
      <c r="E26" s="6">
        <v>36676834</v>
      </c>
      <c r="F26" s="6">
        <v>5880839</v>
      </c>
      <c r="G26" s="6">
        <v>30795995</v>
      </c>
      <c r="H26" s="5">
        <v>0</v>
      </c>
      <c r="I26" s="6">
        <v>30795995</v>
      </c>
      <c r="J26" s="5">
        <v>0</v>
      </c>
      <c r="K26" s="5">
        <v>0</v>
      </c>
      <c r="L26" s="5">
        <v>0</v>
      </c>
    </row>
    <row r="27" spans="1:12">
      <c r="A27" s="10" t="b">
        <f t="shared" si="0"/>
        <v>1</v>
      </c>
      <c r="B27" s="5" t="str">
        <f>+Hoja2!A26</f>
        <v>1.1.05.405</v>
      </c>
      <c r="C27" s="5" t="s">
        <v>61</v>
      </c>
      <c r="D27" s="3" t="s">
        <v>62</v>
      </c>
      <c r="E27" s="6">
        <v>91705591</v>
      </c>
      <c r="F27" s="6">
        <v>90820948</v>
      </c>
      <c r="G27" s="6">
        <v>884643</v>
      </c>
      <c r="H27" s="5">
        <v>0</v>
      </c>
      <c r="I27" s="6">
        <v>884643</v>
      </c>
      <c r="J27" s="5">
        <v>0</v>
      </c>
      <c r="K27" s="5">
        <v>0</v>
      </c>
      <c r="L27" s="5">
        <v>0</v>
      </c>
    </row>
    <row r="28" spans="1:12">
      <c r="A28" s="10" t="b">
        <f t="shared" si="0"/>
        <v>1</v>
      </c>
      <c r="B28" s="5" t="str">
        <f>+Hoja2!A27</f>
        <v>1.1.06.401</v>
      </c>
      <c r="C28" s="5" t="s">
        <v>63</v>
      </c>
      <c r="D28" s="3" t="s">
        <v>64</v>
      </c>
      <c r="E28" s="6">
        <v>1748739874</v>
      </c>
      <c r="F28" s="6">
        <v>140247755</v>
      </c>
      <c r="G28" s="6">
        <v>1608492119</v>
      </c>
      <c r="H28" s="5">
        <v>0</v>
      </c>
      <c r="I28" s="6">
        <v>1608492119</v>
      </c>
      <c r="J28" s="5">
        <v>0</v>
      </c>
      <c r="K28" s="5">
        <v>0</v>
      </c>
      <c r="L28" s="5">
        <v>0</v>
      </c>
    </row>
    <row r="29" spans="1:12">
      <c r="A29" s="10" t="b">
        <f t="shared" si="0"/>
        <v>1</v>
      </c>
      <c r="B29" s="5" t="str">
        <f>+Hoja2!A28</f>
        <v>1.1.06.801</v>
      </c>
      <c r="C29" s="5" t="s">
        <v>65</v>
      </c>
      <c r="D29" s="3" t="s">
        <v>66</v>
      </c>
      <c r="E29" s="6">
        <v>10845119</v>
      </c>
      <c r="F29" s="6">
        <v>10845119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>
      <c r="A30" s="10" t="b">
        <f t="shared" si="0"/>
        <v>1</v>
      </c>
      <c r="B30" s="5" t="str">
        <f>+Hoja2!A29</f>
        <v>1.1.06.802</v>
      </c>
      <c r="C30" s="5" t="s">
        <v>67</v>
      </c>
      <c r="D30" s="3" t="s">
        <v>68</v>
      </c>
      <c r="E30" s="6">
        <v>534894224</v>
      </c>
      <c r="F30" s="6">
        <v>319226794</v>
      </c>
      <c r="G30" s="6">
        <v>215667430</v>
      </c>
      <c r="H30" s="5">
        <v>0</v>
      </c>
      <c r="I30" s="6">
        <v>215667430</v>
      </c>
      <c r="J30" s="5">
        <v>0</v>
      </c>
      <c r="K30" s="5">
        <v>0</v>
      </c>
      <c r="L30" s="5">
        <v>0</v>
      </c>
    </row>
    <row r="31" spans="1:12">
      <c r="A31" s="10" t="b">
        <f t="shared" si="0"/>
        <v>1</v>
      </c>
      <c r="B31" s="5" t="str">
        <f>+Hoja2!A30</f>
        <v>1.1.09.101</v>
      </c>
      <c r="C31" s="5" t="s">
        <v>69</v>
      </c>
      <c r="D31" s="3" t="s">
        <v>70</v>
      </c>
      <c r="E31" s="6">
        <v>127018590</v>
      </c>
      <c r="F31" s="6">
        <v>127018590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>
      <c r="A32" s="10" t="b">
        <f t="shared" si="0"/>
        <v>1</v>
      </c>
      <c r="B32" s="5" t="str">
        <f>+Hoja2!A31</f>
        <v>1.1.09.103</v>
      </c>
      <c r="C32" s="5" t="s">
        <v>71</v>
      </c>
      <c r="D32" s="3" t="s">
        <v>72</v>
      </c>
      <c r="E32" s="6">
        <v>423005179</v>
      </c>
      <c r="F32" s="6">
        <v>65664239</v>
      </c>
      <c r="G32" s="6">
        <v>357340940</v>
      </c>
      <c r="H32" s="5">
        <v>0</v>
      </c>
      <c r="I32" s="6">
        <v>357340940</v>
      </c>
      <c r="J32" s="5">
        <v>0</v>
      </c>
      <c r="K32" s="5">
        <v>0</v>
      </c>
      <c r="L32" s="5">
        <v>0</v>
      </c>
    </row>
    <row r="33" spans="1:12">
      <c r="A33" s="10" t="b">
        <f t="shared" si="0"/>
        <v>1</v>
      </c>
      <c r="B33" s="5" t="str">
        <f>+Hoja2!A32</f>
        <v>1.2.02.101</v>
      </c>
      <c r="C33" s="5" t="s">
        <v>73</v>
      </c>
      <c r="D33" s="3" t="s">
        <v>74</v>
      </c>
      <c r="E33" s="6">
        <v>83146237</v>
      </c>
      <c r="F33" s="6">
        <v>25817865</v>
      </c>
      <c r="G33" s="6">
        <v>57328372</v>
      </c>
      <c r="H33" s="5">
        <v>0</v>
      </c>
      <c r="I33" s="6">
        <v>57328372</v>
      </c>
      <c r="J33" s="5">
        <v>0</v>
      </c>
      <c r="K33" s="5">
        <v>0</v>
      </c>
      <c r="L33" s="5">
        <v>0</v>
      </c>
    </row>
    <row r="34" spans="1:12">
      <c r="A34" s="10" t="b">
        <f t="shared" si="0"/>
        <v>1</v>
      </c>
      <c r="B34" s="5" t="str">
        <f>+Hoja2!A33</f>
        <v>1.2.02.401</v>
      </c>
      <c r="C34" s="5" t="s">
        <v>75</v>
      </c>
      <c r="D34" s="3" t="s">
        <v>76</v>
      </c>
      <c r="E34" s="6">
        <v>656828984</v>
      </c>
      <c r="F34" s="5">
        <v>0</v>
      </c>
      <c r="G34" s="6">
        <v>656828984</v>
      </c>
      <c r="H34" s="5">
        <v>0</v>
      </c>
      <c r="I34" s="6">
        <v>656828984</v>
      </c>
      <c r="J34" s="5">
        <v>0</v>
      </c>
      <c r="K34" s="5">
        <v>0</v>
      </c>
      <c r="L34" s="5">
        <v>0</v>
      </c>
    </row>
    <row r="35" spans="1:12">
      <c r="A35" s="10" t="b">
        <f t="shared" si="0"/>
        <v>1</v>
      </c>
      <c r="B35" s="5" t="str">
        <f>+Hoja2!A34</f>
        <v>1.2.02.402</v>
      </c>
      <c r="C35" s="5" t="s">
        <v>77</v>
      </c>
      <c r="D35" s="3" t="s">
        <v>78</v>
      </c>
      <c r="E35" s="6">
        <v>109578639</v>
      </c>
      <c r="F35" s="5">
        <v>0</v>
      </c>
      <c r="G35" s="6">
        <v>109578639</v>
      </c>
      <c r="H35" s="5">
        <v>0</v>
      </c>
      <c r="I35" s="6">
        <v>109578639</v>
      </c>
      <c r="J35" s="5">
        <v>0</v>
      </c>
      <c r="K35" s="5">
        <v>0</v>
      </c>
      <c r="L35" s="5">
        <v>0</v>
      </c>
    </row>
    <row r="36" spans="1:12">
      <c r="A36" s="10" t="b">
        <f t="shared" si="0"/>
        <v>1</v>
      </c>
      <c r="B36" s="5" t="str">
        <f>+Hoja2!A35</f>
        <v>1.2.02.405</v>
      </c>
      <c r="C36" s="5" t="s">
        <v>79</v>
      </c>
      <c r="D36" s="3" t="s">
        <v>80</v>
      </c>
      <c r="E36" s="6">
        <v>27748636</v>
      </c>
      <c r="F36" s="5">
        <v>0</v>
      </c>
      <c r="G36" s="6">
        <v>27748636</v>
      </c>
      <c r="H36" s="5">
        <v>0</v>
      </c>
      <c r="I36" s="6">
        <v>27748636</v>
      </c>
      <c r="J36" s="5">
        <v>0</v>
      </c>
      <c r="K36" s="5">
        <v>0</v>
      </c>
      <c r="L36" s="5">
        <v>0</v>
      </c>
    </row>
    <row r="37" spans="1:12">
      <c r="A37" s="10" t="b">
        <f t="shared" si="0"/>
        <v>1</v>
      </c>
      <c r="B37" s="5" t="str">
        <f>+Hoja2!A36</f>
        <v>1.2.02.904</v>
      </c>
      <c r="C37" s="5" t="s">
        <v>81</v>
      </c>
      <c r="D37" s="3" t="s">
        <v>82</v>
      </c>
      <c r="E37" s="5">
        <v>0</v>
      </c>
      <c r="F37" s="6">
        <v>210830802</v>
      </c>
      <c r="G37" s="5">
        <v>0</v>
      </c>
      <c r="H37" s="6">
        <v>210830802</v>
      </c>
      <c r="I37" s="5">
        <v>0</v>
      </c>
      <c r="J37" s="6">
        <v>210830802</v>
      </c>
      <c r="K37" s="5">
        <v>0</v>
      </c>
      <c r="L37" s="5">
        <v>0</v>
      </c>
    </row>
    <row r="38" spans="1:12">
      <c r="A38" s="10" t="b">
        <f t="shared" si="0"/>
        <v>1</v>
      </c>
      <c r="B38" s="5" t="str">
        <f>+Hoja2!A37</f>
        <v>1.2.02.905</v>
      </c>
      <c r="C38" s="5" t="s">
        <v>83</v>
      </c>
      <c r="D38" s="3" t="s">
        <v>84</v>
      </c>
      <c r="E38" s="5">
        <v>0</v>
      </c>
      <c r="F38" s="6">
        <v>36686284</v>
      </c>
      <c r="G38" s="5">
        <v>0</v>
      </c>
      <c r="H38" s="6">
        <v>36686284</v>
      </c>
      <c r="I38" s="5">
        <v>0</v>
      </c>
      <c r="J38" s="6">
        <v>36686284</v>
      </c>
      <c r="K38" s="5">
        <v>0</v>
      </c>
      <c r="L38" s="5">
        <v>0</v>
      </c>
    </row>
    <row r="39" spans="1:12">
      <c r="A39" s="10" t="b">
        <f t="shared" si="0"/>
        <v>1</v>
      </c>
      <c r="B39" s="5" t="str">
        <f>+Hoja2!A38</f>
        <v>2.1.01.203</v>
      </c>
      <c r="C39" s="5" t="s">
        <v>85</v>
      </c>
      <c r="D39" s="3" t="s">
        <v>86</v>
      </c>
      <c r="E39" s="6">
        <v>7125750</v>
      </c>
      <c r="F39" s="6">
        <v>153794472</v>
      </c>
      <c r="G39" s="5">
        <v>0</v>
      </c>
      <c r="H39" s="6">
        <v>146668722</v>
      </c>
      <c r="I39" s="5">
        <v>0</v>
      </c>
      <c r="J39" s="6">
        <v>146668722</v>
      </c>
      <c r="K39" s="5">
        <v>0</v>
      </c>
      <c r="L39" s="5">
        <v>0</v>
      </c>
    </row>
    <row r="40" spans="1:12">
      <c r="A40" s="10" t="b">
        <f t="shared" si="0"/>
        <v>1</v>
      </c>
      <c r="B40" s="5" t="str">
        <f>+Hoja2!A39</f>
        <v>2.1.01.204</v>
      </c>
      <c r="C40" s="5" t="s">
        <v>87</v>
      </c>
      <c r="D40" s="3" t="s">
        <v>88</v>
      </c>
      <c r="E40" s="6">
        <v>513807</v>
      </c>
      <c r="F40" s="6">
        <v>5382695</v>
      </c>
      <c r="G40" s="5">
        <v>0</v>
      </c>
      <c r="H40" s="6">
        <v>4868888</v>
      </c>
      <c r="I40" s="5">
        <v>0</v>
      </c>
      <c r="J40" s="6">
        <v>4868888</v>
      </c>
      <c r="K40" s="5">
        <v>0</v>
      </c>
      <c r="L40" s="5">
        <v>0</v>
      </c>
    </row>
    <row r="41" spans="1:12">
      <c r="A41" s="10" t="b">
        <f t="shared" si="0"/>
        <v>1</v>
      </c>
      <c r="B41" s="5" t="str">
        <f>+Hoja2!A40</f>
        <v>2.1.01.601</v>
      </c>
      <c r="C41" s="5" t="s">
        <v>89</v>
      </c>
      <c r="D41" s="3" t="s">
        <v>90</v>
      </c>
      <c r="E41" s="6">
        <v>4654339</v>
      </c>
      <c r="F41" s="6">
        <v>4083503</v>
      </c>
      <c r="G41" s="6">
        <v>570836</v>
      </c>
      <c r="H41" s="5">
        <v>0</v>
      </c>
      <c r="I41" s="6">
        <v>570836</v>
      </c>
      <c r="J41" s="5">
        <v>0</v>
      </c>
      <c r="K41" s="5">
        <v>0</v>
      </c>
      <c r="L41" s="5">
        <v>0</v>
      </c>
    </row>
    <row r="42" spans="1:12">
      <c r="A42" s="10" t="b">
        <f t="shared" si="0"/>
        <v>1</v>
      </c>
      <c r="B42" s="5" t="str">
        <f>+Hoja2!A41</f>
        <v>2.1.02.102</v>
      </c>
      <c r="C42" s="5" t="s">
        <v>91</v>
      </c>
      <c r="D42" s="3" t="s">
        <v>92</v>
      </c>
      <c r="E42" s="6">
        <v>965676666</v>
      </c>
      <c r="F42" s="6">
        <v>2200581245</v>
      </c>
      <c r="G42" s="5">
        <v>0</v>
      </c>
      <c r="H42" s="6">
        <v>1234904579</v>
      </c>
      <c r="I42" s="5">
        <v>0</v>
      </c>
      <c r="J42" s="6">
        <v>1234904579</v>
      </c>
      <c r="K42" s="5">
        <v>0</v>
      </c>
      <c r="L42" s="5">
        <v>0</v>
      </c>
    </row>
    <row r="43" spans="1:12">
      <c r="A43" s="10" t="b">
        <f t="shared" si="0"/>
        <v>1</v>
      </c>
      <c r="B43" s="5" t="str">
        <f>+Hoja2!A42</f>
        <v>2.1.02.103</v>
      </c>
      <c r="C43" s="5" t="s">
        <v>93</v>
      </c>
      <c r="D43" s="3" t="s">
        <v>94</v>
      </c>
      <c r="E43" s="6">
        <v>272939080</v>
      </c>
      <c r="F43" s="6">
        <v>289265126</v>
      </c>
      <c r="G43" s="5">
        <v>0</v>
      </c>
      <c r="H43" s="6">
        <v>16326046</v>
      </c>
      <c r="I43" s="5">
        <v>0</v>
      </c>
      <c r="J43" s="6">
        <v>16326046</v>
      </c>
      <c r="K43" s="5">
        <v>0</v>
      </c>
      <c r="L43" s="5">
        <v>0</v>
      </c>
    </row>
    <row r="44" spans="1:12">
      <c r="A44" s="10" t="b">
        <f t="shared" si="0"/>
        <v>1</v>
      </c>
      <c r="B44" s="5" t="str">
        <f>+Hoja2!A43</f>
        <v>2.1.02.401</v>
      </c>
      <c r="C44" s="5" t="s">
        <v>95</v>
      </c>
      <c r="D44" s="3" t="s">
        <v>96</v>
      </c>
      <c r="E44" s="6">
        <v>466593</v>
      </c>
      <c r="F44" s="6">
        <v>2014886</v>
      </c>
      <c r="G44" s="5">
        <v>0</v>
      </c>
      <c r="H44" s="6">
        <v>1548293</v>
      </c>
      <c r="I44" s="5">
        <v>0</v>
      </c>
      <c r="J44" s="6">
        <v>1548293</v>
      </c>
      <c r="K44" s="5">
        <v>0</v>
      </c>
      <c r="L44" s="5">
        <v>0</v>
      </c>
    </row>
    <row r="45" spans="1:12">
      <c r="A45" s="10" t="b">
        <f t="shared" si="0"/>
        <v>1</v>
      </c>
      <c r="B45" s="5" t="str">
        <f>+Hoja2!A44</f>
        <v>2.1.02.503</v>
      </c>
      <c r="C45" s="5" t="s">
        <v>97</v>
      </c>
      <c r="D45" s="3" t="s">
        <v>98</v>
      </c>
      <c r="E45" s="6">
        <v>20106416</v>
      </c>
      <c r="F45" s="6">
        <v>30063451</v>
      </c>
      <c r="G45" s="5">
        <v>0</v>
      </c>
      <c r="H45" s="6">
        <v>9957035</v>
      </c>
      <c r="I45" s="5">
        <v>0</v>
      </c>
      <c r="J45" s="6">
        <v>9957035</v>
      </c>
      <c r="K45" s="5">
        <v>0</v>
      </c>
      <c r="L45" s="5">
        <v>0</v>
      </c>
    </row>
    <row r="46" spans="1:12">
      <c r="A46" s="10" t="b">
        <f t="shared" si="0"/>
        <v>1</v>
      </c>
      <c r="B46" s="5" t="str">
        <f>+Hoja2!A45</f>
        <v>2.1.02.604</v>
      </c>
      <c r="C46" s="5" t="s">
        <v>99</v>
      </c>
      <c r="D46" s="3" t="s">
        <v>100</v>
      </c>
      <c r="E46" s="6">
        <v>1098646</v>
      </c>
      <c r="F46" s="6">
        <v>1361766</v>
      </c>
      <c r="G46" s="5">
        <v>0</v>
      </c>
      <c r="H46" s="6">
        <v>263120</v>
      </c>
      <c r="I46" s="5">
        <v>0</v>
      </c>
      <c r="J46" s="6">
        <v>263120</v>
      </c>
      <c r="K46" s="5">
        <v>0</v>
      </c>
      <c r="L46" s="5">
        <v>0</v>
      </c>
    </row>
    <row r="47" spans="1:12">
      <c r="A47" s="10" t="b">
        <f t="shared" si="0"/>
        <v>1</v>
      </c>
      <c r="B47" s="5" t="str">
        <f>+Hoja2!A46</f>
        <v>2.1.02.605</v>
      </c>
      <c r="C47" s="5" t="s">
        <v>101</v>
      </c>
      <c r="D47" s="3" t="s">
        <v>102</v>
      </c>
      <c r="E47" s="6">
        <v>54462728</v>
      </c>
      <c r="F47" s="6">
        <v>134174766</v>
      </c>
      <c r="G47" s="5">
        <v>0</v>
      </c>
      <c r="H47" s="6">
        <v>79712038</v>
      </c>
      <c r="I47" s="5">
        <v>0</v>
      </c>
      <c r="J47" s="6">
        <v>79712038</v>
      </c>
      <c r="K47" s="5">
        <v>0</v>
      </c>
      <c r="L47" s="5">
        <v>0</v>
      </c>
    </row>
    <row r="48" spans="1:12">
      <c r="A48" s="10" t="b">
        <f t="shared" si="0"/>
        <v>1</v>
      </c>
      <c r="B48" s="5" t="str">
        <f>+Hoja2!A47</f>
        <v>2.1.05.101</v>
      </c>
      <c r="C48" s="5" t="s">
        <v>103</v>
      </c>
      <c r="D48" s="3" t="s">
        <v>104</v>
      </c>
      <c r="E48" s="6">
        <v>2373539</v>
      </c>
      <c r="F48" s="6">
        <v>2373539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>
      <c r="A49" s="10" t="b">
        <f t="shared" si="0"/>
        <v>1</v>
      </c>
      <c r="B49" s="5" t="str">
        <f>+Hoja2!A48</f>
        <v>2.1.05.102</v>
      </c>
      <c r="C49" s="5" t="s">
        <v>105</v>
      </c>
      <c r="D49" s="3" t="s">
        <v>106</v>
      </c>
      <c r="E49" s="6">
        <v>230070</v>
      </c>
      <c r="F49" s="6">
        <v>230070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>
      <c r="A50" s="10" t="b">
        <f t="shared" si="0"/>
        <v>1</v>
      </c>
      <c r="B50" s="5" t="str">
        <f>+Hoja2!A49</f>
        <v>2.1.05.103</v>
      </c>
      <c r="C50" s="5" t="s">
        <v>107</v>
      </c>
      <c r="D50" s="3" t="s">
        <v>108</v>
      </c>
      <c r="E50" s="6">
        <v>145138628</v>
      </c>
      <c r="F50" s="6">
        <v>145138628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>
      <c r="A51" s="10" t="b">
        <f t="shared" si="0"/>
        <v>1</v>
      </c>
      <c r="B51" s="5" t="str">
        <f>+Hoja2!A50</f>
        <v>2.1.05.106</v>
      </c>
      <c r="C51" s="5" t="s">
        <v>109</v>
      </c>
      <c r="D51" s="3" t="s">
        <v>110</v>
      </c>
      <c r="E51" s="6">
        <v>3289310</v>
      </c>
      <c r="F51" s="6">
        <v>4248262</v>
      </c>
      <c r="G51" s="5">
        <v>0</v>
      </c>
      <c r="H51" s="6">
        <v>958952</v>
      </c>
      <c r="I51" s="5">
        <v>0</v>
      </c>
      <c r="J51" s="6">
        <v>958952</v>
      </c>
      <c r="K51" s="5">
        <v>0</v>
      </c>
      <c r="L51" s="5">
        <v>0</v>
      </c>
    </row>
    <row r="52" spans="1:12">
      <c r="A52" s="10" t="b">
        <f t="shared" si="0"/>
        <v>1</v>
      </c>
      <c r="B52" s="5" t="str">
        <f>+Hoja2!A51</f>
        <v>2.1.06.103</v>
      </c>
      <c r="C52" s="5" t="s">
        <v>111</v>
      </c>
      <c r="D52" s="3" t="s">
        <v>112</v>
      </c>
      <c r="E52" s="6">
        <v>62073342</v>
      </c>
      <c r="F52" s="6">
        <v>76200159</v>
      </c>
      <c r="G52" s="5">
        <v>0</v>
      </c>
      <c r="H52" s="6">
        <v>14126817</v>
      </c>
      <c r="I52" s="5">
        <v>0</v>
      </c>
      <c r="J52" s="6">
        <v>14126817</v>
      </c>
      <c r="K52" s="5">
        <v>0</v>
      </c>
      <c r="L52" s="5">
        <v>0</v>
      </c>
    </row>
    <row r="53" spans="1:12">
      <c r="A53" s="10" t="b">
        <f t="shared" si="0"/>
        <v>1</v>
      </c>
      <c r="B53" s="5" t="str">
        <f>+Hoja2!A52</f>
        <v>2.3.01.101</v>
      </c>
      <c r="C53" s="5" t="s">
        <v>113</v>
      </c>
      <c r="D53" s="3" t="s">
        <v>114</v>
      </c>
      <c r="E53" s="5">
        <v>0</v>
      </c>
      <c r="F53" s="6">
        <v>5770668867</v>
      </c>
      <c r="G53" s="5">
        <v>0</v>
      </c>
      <c r="H53" s="6">
        <v>5770668867</v>
      </c>
      <c r="I53" s="5">
        <v>0</v>
      </c>
      <c r="J53" s="6">
        <v>5770668867</v>
      </c>
      <c r="K53" s="5">
        <v>0</v>
      </c>
      <c r="L53" s="5">
        <v>0</v>
      </c>
    </row>
    <row r="54" spans="1:12">
      <c r="A54" s="10" t="b">
        <f t="shared" si="0"/>
        <v>1</v>
      </c>
      <c r="B54" s="5" t="str">
        <f>+Hoja2!A53</f>
        <v>2.3.02.101</v>
      </c>
      <c r="C54" s="5" t="s">
        <v>115</v>
      </c>
      <c r="D54" s="3" t="s">
        <v>116</v>
      </c>
      <c r="E54" s="6">
        <v>3142106839</v>
      </c>
      <c r="F54" s="5">
        <v>0</v>
      </c>
      <c r="G54" s="6">
        <v>3142106839</v>
      </c>
      <c r="H54" s="5">
        <v>0</v>
      </c>
      <c r="I54" s="6">
        <v>3142106839</v>
      </c>
      <c r="J54" s="5">
        <v>0</v>
      </c>
      <c r="K54" s="5">
        <v>0</v>
      </c>
      <c r="L54" s="5">
        <v>0</v>
      </c>
    </row>
    <row r="55" spans="1:12">
      <c r="A55" s="10" t="b">
        <f t="shared" si="0"/>
        <v>1</v>
      </c>
      <c r="B55" s="5" t="str">
        <f>+Hoja2!A54</f>
        <v>3.1.01.103</v>
      </c>
      <c r="C55" s="5" t="s">
        <v>223</v>
      </c>
      <c r="D55" s="3" t="s">
        <v>224</v>
      </c>
      <c r="E55" s="6">
        <v>14544984</v>
      </c>
      <c r="F55" s="6">
        <v>261159276</v>
      </c>
      <c r="G55" s="5">
        <v>0</v>
      </c>
      <c r="H55" s="6">
        <v>246614292</v>
      </c>
      <c r="I55" s="5">
        <v>0</v>
      </c>
      <c r="J55" s="5">
        <v>0</v>
      </c>
      <c r="K55" s="5">
        <v>0</v>
      </c>
      <c r="L55" s="6">
        <v>246614292</v>
      </c>
    </row>
    <row r="56" spans="1:12">
      <c r="A56" s="10" t="b">
        <f t="shared" si="0"/>
        <v>1</v>
      </c>
      <c r="B56" s="5" t="str">
        <f>+Hoja2!A55</f>
        <v>3.1.01.300</v>
      </c>
      <c r="C56" s="5" t="s">
        <v>225</v>
      </c>
      <c r="D56" s="3" t="s">
        <v>226</v>
      </c>
      <c r="E56" s="5">
        <v>0</v>
      </c>
      <c r="F56" s="6">
        <v>3751074</v>
      </c>
      <c r="G56" s="5">
        <v>0</v>
      </c>
      <c r="H56" s="6">
        <v>3751074</v>
      </c>
      <c r="I56" s="5">
        <v>0</v>
      </c>
      <c r="J56" s="5">
        <v>0</v>
      </c>
      <c r="K56" s="5">
        <v>0</v>
      </c>
      <c r="L56" s="6">
        <v>3751074</v>
      </c>
    </row>
    <row r="57" spans="1:12">
      <c r="A57" s="10" t="b">
        <f t="shared" si="0"/>
        <v>1</v>
      </c>
      <c r="B57" s="5" t="str">
        <f>+Hoja2!A56</f>
        <v>3.1.02.101</v>
      </c>
      <c r="C57" s="5" t="s">
        <v>117</v>
      </c>
      <c r="D57" s="3" t="s">
        <v>118</v>
      </c>
      <c r="E57" s="6">
        <v>140247843</v>
      </c>
      <c r="F57" s="6">
        <v>5408771</v>
      </c>
      <c r="G57" s="6">
        <v>134839072</v>
      </c>
      <c r="H57" s="5">
        <v>0</v>
      </c>
      <c r="I57" s="5">
        <v>0</v>
      </c>
      <c r="J57" s="5">
        <v>0</v>
      </c>
      <c r="K57" s="6">
        <v>134839072</v>
      </c>
      <c r="L57" s="5">
        <v>0</v>
      </c>
    </row>
    <row r="58" spans="1:12">
      <c r="A58" s="10" t="b">
        <f t="shared" si="0"/>
        <v>1</v>
      </c>
      <c r="B58" s="5" t="str">
        <f>+Hoja2!A57</f>
        <v>3.1.02.102</v>
      </c>
      <c r="C58" s="5" t="s">
        <v>119</v>
      </c>
      <c r="D58" s="3" t="s">
        <v>120</v>
      </c>
      <c r="E58" s="6">
        <v>4308135</v>
      </c>
      <c r="F58" s="6">
        <v>2467680</v>
      </c>
      <c r="G58" s="6">
        <v>1840455</v>
      </c>
      <c r="H58" s="5">
        <v>0</v>
      </c>
      <c r="I58" s="5">
        <v>0</v>
      </c>
      <c r="J58" s="5">
        <v>0</v>
      </c>
      <c r="K58" s="6">
        <v>1840455</v>
      </c>
      <c r="L58" s="5">
        <v>0</v>
      </c>
    </row>
    <row r="59" spans="1:12">
      <c r="A59" s="10" t="b">
        <f t="shared" si="0"/>
        <v>1</v>
      </c>
      <c r="B59" s="5" t="str">
        <f>+Hoja2!A58</f>
        <v>3.1.02.104</v>
      </c>
      <c r="C59" s="5" t="s">
        <v>121</v>
      </c>
      <c r="D59" s="3" t="s">
        <v>122</v>
      </c>
      <c r="E59" s="6">
        <v>3006169</v>
      </c>
      <c r="F59" s="6">
        <v>306345</v>
      </c>
      <c r="G59" s="6">
        <v>2699824</v>
      </c>
      <c r="H59" s="5">
        <v>0</v>
      </c>
      <c r="I59" s="5">
        <v>0</v>
      </c>
      <c r="J59" s="5">
        <v>0</v>
      </c>
      <c r="K59" s="6">
        <v>2699824</v>
      </c>
      <c r="L59" s="5">
        <v>0</v>
      </c>
    </row>
    <row r="60" spans="1:12">
      <c r="A60" s="10" t="b">
        <f t="shared" si="0"/>
        <v>1</v>
      </c>
      <c r="B60" s="5" t="str">
        <f>+Hoja2!A59</f>
        <v>3.1.02.105</v>
      </c>
      <c r="C60" s="5" t="s">
        <v>123</v>
      </c>
      <c r="D60" s="3" t="s">
        <v>124</v>
      </c>
      <c r="E60" s="6">
        <v>9636092</v>
      </c>
      <c r="F60" s="6">
        <v>8836045</v>
      </c>
      <c r="G60" s="6">
        <v>800047</v>
      </c>
      <c r="H60" s="5">
        <v>0</v>
      </c>
      <c r="I60" s="5">
        <v>0</v>
      </c>
      <c r="J60" s="5">
        <v>0</v>
      </c>
      <c r="K60" s="6">
        <v>800047</v>
      </c>
      <c r="L60" s="5">
        <v>0</v>
      </c>
    </row>
    <row r="61" spans="1:12">
      <c r="A61" s="10" t="b">
        <f t="shared" si="0"/>
        <v>1</v>
      </c>
      <c r="B61" s="5" t="str">
        <f>+Hoja2!A60</f>
        <v>3.1.02.108</v>
      </c>
      <c r="C61" s="5" t="s">
        <v>125</v>
      </c>
      <c r="D61" s="3" t="s">
        <v>126</v>
      </c>
      <c r="E61" s="6">
        <v>1984340</v>
      </c>
      <c r="F61" s="6">
        <v>8318</v>
      </c>
      <c r="G61" s="6">
        <v>1976022</v>
      </c>
      <c r="H61" s="5">
        <v>0</v>
      </c>
      <c r="I61" s="5">
        <v>0</v>
      </c>
      <c r="J61" s="5">
        <v>0</v>
      </c>
      <c r="K61" s="6">
        <v>1976022</v>
      </c>
      <c r="L61" s="5">
        <v>0</v>
      </c>
    </row>
    <row r="62" spans="1:12">
      <c r="A62" s="10" t="b">
        <f t="shared" si="0"/>
        <v>1</v>
      </c>
      <c r="B62" s="5" t="str">
        <f>+Hoja2!A61</f>
        <v>3.1.02.109</v>
      </c>
      <c r="C62" s="5" t="s">
        <v>127</v>
      </c>
      <c r="D62" s="3" t="s">
        <v>128</v>
      </c>
      <c r="E62" s="6">
        <v>44990</v>
      </c>
      <c r="F62" s="5">
        <v>0</v>
      </c>
      <c r="G62" s="6">
        <v>44990</v>
      </c>
      <c r="H62" s="5">
        <v>0</v>
      </c>
      <c r="I62" s="5">
        <v>0</v>
      </c>
      <c r="J62" s="5">
        <v>0</v>
      </c>
      <c r="K62" s="6">
        <v>44990</v>
      </c>
      <c r="L62" s="5">
        <v>0</v>
      </c>
    </row>
    <row r="63" spans="1:12">
      <c r="A63" s="10" t="b">
        <f t="shared" si="0"/>
        <v>1</v>
      </c>
      <c r="B63" s="5" t="str">
        <f>+Hoja2!A62</f>
        <v>3.1.02.110</v>
      </c>
      <c r="C63" s="5" t="s">
        <v>129</v>
      </c>
      <c r="D63" s="3" t="s">
        <v>130</v>
      </c>
      <c r="E63" s="6">
        <v>46507</v>
      </c>
      <c r="F63" s="5">
        <v>0</v>
      </c>
      <c r="G63" s="6">
        <v>46507</v>
      </c>
      <c r="H63" s="5">
        <v>0</v>
      </c>
      <c r="I63" s="5">
        <v>0</v>
      </c>
      <c r="J63" s="5">
        <v>0</v>
      </c>
      <c r="K63" s="6">
        <v>46507</v>
      </c>
      <c r="L63" s="5">
        <v>0</v>
      </c>
    </row>
    <row r="64" spans="1:12">
      <c r="A64" s="10" t="b">
        <f t="shared" si="0"/>
        <v>1</v>
      </c>
      <c r="B64" s="5" t="str">
        <f>+Hoja2!A63</f>
        <v>3.1.05.101</v>
      </c>
      <c r="C64" s="5" t="s">
        <v>131</v>
      </c>
      <c r="D64" s="3" t="s">
        <v>132</v>
      </c>
      <c r="E64" s="6">
        <v>62966456</v>
      </c>
      <c r="F64" s="6">
        <v>17849305</v>
      </c>
      <c r="G64" s="6">
        <v>45117151</v>
      </c>
      <c r="H64" s="5">
        <v>0</v>
      </c>
      <c r="I64" s="5">
        <v>0</v>
      </c>
      <c r="J64" s="5">
        <v>0</v>
      </c>
      <c r="K64" s="6">
        <v>45117151</v>
      </c>
      <c r="L64" s="5">
        <v>0</v>
      </c>
    </row>
    <row r="65" spans="1:12">
      <c r="A65" s="10" t="b">
        <f t="shared" si="0"/>
        <v>1</v>
      </c>
      <c r="B65" s="5" t="str">
        <f>+Hoja2!A64</f>
        <v>3.1.05.102</v>
      </c>
      <c r="C65" s="5" t="s">
        <v>133</v>
      </c>
      <c r="D65" s="3" t="s">
        <v>134</v>
      </c>
      <c r="E65" s="6">
        <v>3506290</v>
      </c>
      <c r="F65" s="6">
        <v>1775800</v>
      </c>
      <c r="G65" s="6">
        <v>1730490</v>
      </c>
      <c r="H65" s="5">
        <v>0</v>
      </c>
      <c r="I65" s="5">
        <v>0</v>
      </c>
      <c r="J65" s="5">
        <v>0</v>
      </c>
      <c r="K65" s="6">
        <v>1730490</v>
      </c>
      <c r="L65" s="5">
        <v>0</v>
      </c>
    </row>
    <row r="66" spans="1:12">
      <c r="A66" s="10" t="b">
        <f t="shared" ref="A66:A109" si="1">EXACT(C66,B66)</f>
        <v>1</v>
      </c>
      <c r="B66" s="5" t="str">
        <f>+Hoja2!A65</f>
        <v>3.1.05.103</v>
      </c>
      <c r="C66" s="5" t="s">
        <v>135</v>
      </c>
      <c r="D66" s="3" t="s">
        <v>136</v>
      </c>
      <c r="E66" s="6">
        <v>2100346</v>
      </c>
      <c r="F66" s="6">
        <v>445263</v>
      </c>
      <c r="G66" s="6">
        <v>1655083</v>
      </c>
      <c r="H66" s="5">
        <v>0</v>
      </c>
      <c r="I66" s="5">
        <v>0</v>
      </c>
      <c r="J66" s="5">
        <v>0</v>
      </c>
      <c r="K66" s="6">
        <v>1655083</v>
      </c>
      <c r="L66" s="5">
        <v>0</v>
      </c>
    </row>
    <row r="67" spans="1:12">
      <c r="A67" s="10" t="b">
        <f t="shared" si="1"/>
        <v>1</v>
      </c>
      <c r="B67" s="5" t="str">
        <f>+Hoja2!A66</f>
        <v>3.1.05.104</v>
      </c>
      <c r="C67" s="5" t="s">
        <v>137</v>
      </c>
      <c r="D67" s="3" t="s">
        <v>138</v>
      </c>
      <c r="E67" s="6">
        <v>12533440</v>
      </c>
      <c r="F67" s="6">
        <v>1949288</v>
      </c>
      <c r="G67" s="6">
        <v>10584152</v>
      </c>
      <c r="H67" s="5">
        <v>0</v>
      </c>
      <c r="I67" s="5">
        <v>0</v>
      </c>
      <c r="J67" s="5">
        <v>0</v>
      </c>
      <c r="K67" s="6">
        <v>10584152</v>
      </c>
      <c r="L67" s="5">
        <v>0</v>
      </c>
    </row>
    <row r="68" spans="1:12">
      <c r="A68" s="10" t="b">
        <f t="shared" si="1"/>
        <v>1</v>
      </c>
      <c r="B68" s="5" t="str">
        <f>+Hoja2!A67</f>
        <v>3.1.05.107</v>
      </c>
      <c r="C68" s="5" t="s">
        <v>139</v>
      </c>
      <c r="D68" s="3" t="s">
        <v>140</v>
      </c>
      <c r="E68" s="6">
        <v>4000</v>
      </c>
      <c r="F68" s="5">
        <v>0</v>
      </c>
      <c r="G68" s="6">
        <v>4000</v>
      </c>
      <c r="H68" s="5">
        <v>0</v>
      </c>
      <c r="I68" s="5">
        <v>0</v>
      </c>
      <c r="J68" s="5">
        <v>0</v>
      </c>
      <c r="K68" s="6">
        <v>4000</v>
      </c>
      <c r="L68" s="5">
        <v>0</v>
      </c>
    </row>
    <row r="69" spans="1:12">
      <c r="A69" s="10" t="b">
        <f t="shared" si="1"/>
        <v>1</v>
      </c>
      <c r="B69" s="5" t="str">
        <f>+Hoja2!A68</f>
        <v>3.1.05.110</v>
      </c>
      <c r="C69" s="5" t="s">
        <v>141</v>
      </c>
      <c r="D69" s="3" t="s">
        <v>142</v>
      </c>
      <c r="E69" s="6">
        <v>756003</v>
      </c>
      <c r="F69" s="6">
        <v>155849</v>
      </c>
      <c r="G69" s="6">
        <v>600154</v>
      </c>
      <c r="H69" s="5">
        <v>0</v>
      </c>
      <c r="I69" s="5">
        <v>0</v>
      </c>
      <c r="J69" s="5">
        <v>0</v>
      </c>
      <c r="K69" s="6">
        <v>600154</v>
      </c>
      <c r="L69" s="5">
        <v>0</v>
      </c>
    </row>
    <row r="70" spans="1:12">
      <c r="A70" s="10" t="b">
        <f t="shared" si="1"/>
        <v>1</v>
      </c>
      <c r="B70" s="5" t="str">
        <f>+Hoja2!A69</f>
        <v>3.1.05.111</v>
      </c>
      <c r="C70" s="5" t="s">
        <v>143</v>
      </c>
      <c r="D70" s="3" t="s">
        <v>144</v>
      </c>
      <c r="E70" s="6">
        <v>1270552</v>
      </c>
      <c r="F70" s="6">
        <v>258071</v>
      </c>
      <c r="G70" s="6">
        <v>1012481</v>
      </c>
      <c r="H70" s="5">
        <v>0</v>
      </c>
      <c r="I70" s="5">
        <v>0</v>
      </c>
      <c r="J70" s="5">
        <v>0</v>
      </c>
      <c r="K70" s="6">
        <v>1012481</v>
      </c>
      <c r="L70" s="5">
        <v>0</v>
      </c>
    </row>
    <row r="71" spans="1:12">
      <c r="A71" s="10" t="b">
        <f t="shared" si="1"/>
        <v>1</v>
      </c>
      <c r="B71" s="5" t="str">
        <f>+Hoja2!A70</f>
        <v>3.1.05.112</v>
      </c>
      <c r="C71" s="5" t="s">
        <v>145</v>
      </c>
      <c r="D71" s="3" t="s">
        <v>146</v>
      </c>
      <c r="E71" s="6">
        <v>81254</v>
      </c>
      <c r="F71" s="6">
        <v>16759</v>
      </c>
      <c r="G71" s="6">
        <v>64495</v>
      </c>
      <c r="H71" s="5">
        <v>0</v>
      </c>
      <c r="I71" s="5">
        <v>0</v>
      </c>
      <c r="J71" s="5">
        <v>0</v>
      </c>
      <c r="K71" s="6">
        <v>64495</v>
      </c>
      <c r="L71" s="5">
        <v>0</v>
      </c>
    </row>
    <row r="72" spans="1:12">
      <c r="A72" s="10" t="b">
        <f t="shared" si="1"/>
        <v>1</v>
      </c>
      <c r="B72" s="5" t="str">
        <f>+Hoja2!A71</f>
        <v>3.1.05.113</v>
      </c>
      <c r="C72" s="5" t="s">
        <v>147</v>
      </c>
      <c r="D72" s="3" t="s">
        <v>148</v>
      </c>
      <c r="E72" s="6">
        <v>742542</v>
      </c>
      <c r="F72" s="6">
        <v>150824</v>
      </c>
      <c r="G72" s="6">
        <v>591718</v>
      </c>
      <c r="H72" s="5">
        <v>0</v>
      </c>
      <c r="I72" s="5">
        <v>0</v>
      </c>
      <c r="J72" s="5">
        <v>0</v>
      </c>
      <c r="K72" s="6">
        <v>591718</v>
      </c>
      <c r="L72" s="5">
        <v>0</v>
      </c>
    </row>
    <row r="73" spans="1:12">
      <c r="A73" s="10" t="b">
        <f t="shared" si="1"/>
        <v>1</v>
      </c>
      <c r="B73" s="5" t="str">
        <f>+Hoja2!A72</f>
        <v>3.1.05.117</v>
      </c>
      <c r="C73" s="5" t="s">
        <v>149</v>
      </c>
      <c r="D73" s="3" t="s">
        <v>150</v>
      </c>
      <c r="E73" s="6">
        <v>756324</v>
      </c>
      <c r="F73" s="5">
        <v>0</v>
      </c>
      <c r="G73" s="6">
        <v>756324</v>
      </c>
      <c r="H73" s="5">
        <v>0</v>
      </c>
      <c r="I73" s="5">
        <v>0</v>
      </c>
      <c r="J73" s="5">
        <v>0</v>
      </c>
      <c r="K73" s="6">
        <v>756324</v>
      </c>
      <c r="L73" s="5">
        <v>0</v>
      </c>
    </row>
    <row r="74" spans="1:12">
      <c r="A74" s="10" t="b">
        <f t="shared" si="1"/>
        <v>1</v>
      </c>
      <c r="B74" s="5" t="str">
        <f>+Hoja2!A73</f>
        <v>3.1.05.121</v>
      </c>
      <c r="C74" s="5" t="s">
        <v>151</v>
      </c>
      <c r="D74" s="3" t="s">
        <v>152</v>
      </c>
      <c r="E74" s="6">
        <v>1447552</v>
      </c>
      <c r="F74" s="5">
        <v>0</v>
      </c>
      <c r="G74" s="6">
        <v>1447552</v>
      </c>
      <c r="H74" s="5">
        <v>0</v>
      </c>
      <c r="I74" s="5">
        <v>0</v>
      </c>
      <c r="J74" s="5">
        <v>0</v>
      </c>
      <c r="K74" s="6">
        <v>1447552</v>
      </c>
      <c r="L74" s="5">
        <v>0</v>
      </c>
    </row>
    <row r="75" spans="1:12">
      <c r="A75" s="10" t="b">
        <f t="shared" si="1"/>
        <v>1</v>
      </c>
      <c r="B75" s="5" t="str">
        <f>+Hoja2!A74</f>
        <v>3.1.05.122</v>
      </c>
      <c r="C75" s="5" t="s">
        <v>153</v>
      </c>
      <c r="D75" s="3" t="s">
        <v>154</v>
      </c>
      <c r="E75" s="6">
        <v>6445321</v>
      </c>
      <c r="F75" s="5">
        <v>0</v>
      </c>
      <c r="G75" s="6">
        <v>6445321</v>
      </c>
      <c r="H75" s="5">
        <v>0</v>
      </c>
      <c r="I75" s="5">
        <v>0</v>
      </c>
      <c r="J75" s="5">
        <v>0</v>
      </c>
      <c r="K75" s="6">
        <v>6445321</v>
      </c>
      <c r="L75" s="5">
        <v>0</v>
      </c>
    </row>
    <row r="76" spans="1:12">
      <c r="A76" s="10" t="b">
        <f t="shared" si="1"/>
        <v>1</v>
      </c>
      <c r="B76" s="5" t="str">
        <f>+Hoja2!A75</f>
        <v>3.1.06.108</v>
      </c>
      <c r="C76" s="5" t="s">
        <v>155</v>
      </c>
      <c r="D76" s="3" t="s">
        <v>156</v>
      </c>
      <c r="E76" s="6">
        <v>3136500</v>
      </c>
      <c r="F76" s="6">
        <v>810000</v>
      </c>
      <c r="G76" s="6">
        <v>2326500</v>
      </c>
      <c r="H76" s="5">
        <v>0</v>
      </c>
      <c r="I76" s="5">
        <v>0</v>
      </c>
      <c r="J76" s="5">
        <v>0</v>
      </c>
      <c r="K76" s="6">
        <v>2326500</v>
      </c>
      <c r="L76" s="5">
        <v>0</v>
      </c>
    </row>
    <row r="77" spans="1:12">
      <c r="A77" s="10" t="b">
        <f t="shared" si="1"/>
        <v>1</v>
      </c>
      <c r="B77" s="5" t="str">
        <f>+Hoja2!A76</f>
        <v>3.1.06.109</v>
      </c>
      <c r="C77" s="5" t="s">
        <v>157</v>
      </c>
      <c r="D77" s="3" t="s">
        <v>158</v>
      </c>
      <c r="E77" s="6">
        <v>3136500</v>
      </c>
      <c r="F77" s="6">
        <v>810000</v>
      </c>
      <c r="G77" s="6">
        <v>2326500</v>
      </c>
      <c r="H77" s="5">
        <v>0</v>
      </c>
      <c r="I77" s="5">
        <v>0</v>
      </c>
      <c r="J77" s="5">
        <v>0</v>
      </c>
      <c r="K77" s="6">
        <v>2326500</v>
      </c>
      <c r="L77" s="5">
        <v>0</v>
      </c>
    </row>
    <row r="78" spans="1:12">
      <c r="A78" s="10" t="b">
        <f t="shared" si="1"/>
        <v>1</v>
      </c>
      <c r="B78" s="5" t="str">
        <f>+Hoja2!A77</f>
        <v>3.1.06.116</v>
      </c>
      <c r="C78" s="5" t="s">
        <v>159</v>
      </c>
      <c r="D78" s="3" t="s">
        <v>160</v>
      </c>
      <c r="E78" s="6">
        <v>257471</v>
      </c>
      <c r="F78" s="6">
        <v>1395860</v>
      </c>
      <c r="G78" s="5">
        <v>0</v>
      </c>
      <c r="H78" s="6">
        <v>1138389</v>
      </c>
      <c r="I78" s="5">
        <v>0</v>
      </c>
      <c r="J78" s="5">
        <v>0</v>
      </c>
      <c r="K78" s="5">
        <v>0</v>
      </c>
      <c r="L78" s="6">
        <v>1138389</v>
      </c>
    </row>
    <row r="79" spans="1:12">
      <c r="A79" s="10" t="b">
        <f t="shared" si="1"/>
        <v>1</v>
      </c>
      <c r="B79" s="5" t="str">
        <f>+Hoja2!A78</f>
        <v>3.1.06.201</v>
      </c>
      <c r="C79" s="5" t="s">
        <v>161</v>
      </c>
      <c r="D79" s="3" t="s">
        <v>162</v>
      </c>
      <c r="E79" s="6">
        <v>505000</v>
      </c>
      <c r="F79" s="5">
        <v>0</v>
      </c>
      <c r="G79" s="6">
        <v>505000</v>
      </c>
      <c r="H79" s="5">
        <v>0</v>
      </c>
      <c r="I79" s="5">
        <v>0</v>
      </c>
      <c r="J79" s="5">
        <v>0</v>
      </c>
      <c r="K79" s="6">
        <v>505000</v>
      </c>
      <c r="L79" s="5">
        <v>0</v>
      </c>
    </row>
    <row r="80" spans="1:12">
      <c r="A80" s="10" t="b">
        <f t="shared" si="1"/>
        <v>1</v>
      </c>
      <c r="B80" s="5" t="str">
        <f>+Hoja2!A79</f>
        <v>3.1.06.206</v>
      </c>
      <c r="C80" s="5" t="s">
        <v>163</v>
      </c>
      <c r="D80" s="3" t="s">
        <v>164</v>
      </c>
      <c r="E80" s="6">
        <v>6995194</v>
      </c>
      <c r="F80" s="6">
        <v>3893716</v>
      </c>
      <c r="G80" s="6">
        <v>3101478</v>
      </c>
      <c r="H80" s="5">
        <v>0</v>
      </c>
      <c r="I80" s="5">
        <v>0</v>
      </c>
      <c r="J80" s="5">
        <v>0</v>
      </c>
      <c r="K80" s="6">
        <v>3101478</v>
      </c>
      <c r="L80" s="5">
        <v>0</v>
      </c>
    </row>
    <row r="81" spans="1:12">
      <c r="A81" s="10" t="b">
        <f t="shared" si="1"/>
        <v>1</v>
      </c>
      <c r="B81" s="5" t="str">
        <f>+Hoja2!A80</f>
        <v>3.1.06.209</v>
      </c>
      <c r="C81" s="5" t="s">
        <v>165</v>
      </c>
      <c r="D81" s="3" t="s">
        <v>166</v>
      </c>
      <c r="E81" s="6">
        <v>179571</v>
      </c>
      <c r="F81" s="6">
        <v>179571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</row>
    <row r="82" spans="1:12">
      <c r="A82" s="10" t="b">
        <f t="shared" si="1"/>
        <v>1</v>
      </c>
      <c r="B82" s="5" t="str">
        <f>+Hoja2!A81</f>
        <v>3.1.06.301</v>
      </c>
      <c r="C82" s="5" t="s">
        <v>167</v>
      </c>
      <c r="D82" s="3" t="s">
        <v>168</v>
      </c>
      <c r="E82" s="6">
        <v>77626062</v>
      </c>
      <c r="F82" s="6">
        <v>5128166</v>
      </c>
      <c r="G82" s="6">
        <v>72497896</v>
      </c>
      <c r="H82" s="5">
        <v>0</v>
      </c>
      <c r="I82" s="5">
        <v>0</v>
      </c>
      <c r="J82" s="5">
        <v>0</v>
      </c>
      <c r="K82" s="6">
        <v>72497896</v>
      </c>
      <c r="L82" s="5">
        <v>0</v>
      </c>
    </row>
    <row r="83" spans="1:12">
      <c r="A83" s="10" t="b">
        <f t="shared" si="1"/>
        <v>1</v>
      </c>
      <c r="B83" s="5" t="str">
        <f>+Hoja2!A82</f>
        <v>3.1.06.302</v>
      </c>
      <c r="C83" s="5" t="s">
        <v>169</v>
      </c>
      <c r="D83" s="3" t="s">
        <v>170</v>
      </c>
      <c r="E83" s="6">
        <v>3126087</v>
      </c>
      <c r="F83" s="5">
        <v>0</v>
      </c>
      <c r="G83" s="6">
        <v>3126087</v>
      </c>
      <c r="H83" s="5">
        <v>0</v>
      </c>
      <c r="I83" s="5">
        <v>0</v>
      </c>
      <c r="J83" s="5">
        <v>0</v>
      </c>
      <c r="K83" s="6">
        <v>3126087</v>
      </c>
      <c r="L83" s="5">
        <v>0</v>
      </c>
    </row>
    <row r="84" spans="1:12">
      <c r="A84" s="10" t="b">
        <f t="shared" si="1"/>
        <v>1</v>
      </c>
      <c r="B84" s="5" t="str">
        <f>+Hoja2!A83</f>
        <v>3.1.06.305</v>
      </c>
      <c r="C84" s="5" t="s">
        <v>171</v>
      </c>
      <c r="D84" s="3" t="s">
        <v>172</v>
      </c>
      <c r="E84" s="6">
        <v>894169</v>
      </c>
      <c r="F84" s="6">
        <v>263120</v>
      </c>
      <c r="G84" s="6">
        <v>631049</v>
      </c>
      <c r="H84" s="5">
        <v>0</v>
      </c>
      <c r="I84" s="5">
        <v>0</v>
      </c>
      <c r="J84" s="5">
        <v>0</v>
      </c>
      <c r="K84" s="6">
        <v>631049</v>
      </c>
      <c r="L84" s="5">
        <v>0</v>
      </c>
    </row>
    <row r="85" spans="1:12">
      <c r="A85" s="10" t="b">
        <f t="shared" si="1"/>
        <v>1</v>
      </c>
      <c r="B85" s="5" t="str">
        <f>+Hoja2!A84</f>
        <v>3.1.06.401</v>
      </c>
      <c r="C85" s="5" t="s">
        <v>173</v>
      </c>
      <c r="D85" s="3" t="s">
        <v>174</v>
      </c>
      <c r="E85" s="6">
        <v>826138</v>
      </c>
      <c r="F85" s="6">
        <v>648423</v>
      </c>
      <c r="G85" s="6">
        <v>177715</v>
      </c>
      <c r="H85" s="5">
        <v>0</v>
      </c>
      <c r="I85" s="5">
        <v>0</v>
      </c>
      <c r="J85" s="5">
        <v>0</v>
      </c>
      <c r="K85" s="6">
        <v>177715</v>
      </c>
      <c r="L85" s="5">
        <v>0</v>
      </c>
    </row>
    <row r="86" spans="1:12">
      <c r="A86" s="10" t="b">
        <f t="shared" si="1"/>
        <v>1</v>
      </c>
      <c r="B86" s="5" t="str">
        <f>+Hoja2!A85</f>
        <v>3.1.06.406</v>
      </c>
      <c r="C86" s="5" t="s">
        <v>175</v>
      </c>
      <c r="D86" s="3" t="s">
        <v>176</v>
      </c>
      <c r="E86" s="6">
        <v>131229</v>
      </c>
      <c r="F86" s="5">
        <v>0</v>
      </c>
      <c r="G86" s="6">
        <v>131229</v>
      </c>
      <c r="H86" s="5">
        <v>0</v>
      </c>
      <c r="I86" s="5">
        <v>0</v>
      </c>
      <c r="J86" s="5">
        <v>0</v>
      </c>
      <c r="K86" s="6">
        <v>131229</v>
      </c>
      <c r="L86" s="5">
        <v>0</v>
      </c>
    </row>
    <row r="87" spans="1:12">
      <c r="A87" s="10" t="b">
        <f t="shared" si="1"/>
        <v>1</v>
      </c>
      <c r="B87" s="5" t="str">
        <f>+Hoja2!A86</f>
        <v>3.1.06.501</v>
      </c>
      <c r="C87" s="5" t="s">
        <v>177</v>
      </c>
      <c r="D87" s="3" t="s">
        <v>178</v>
      </c>
      <c r="E87" s="6">
        <v>839257</v>
      </c>
      <c r="F87" s="5">
        <v>0</v>
      </c>
      <c r="G87" s="6">
        <v>839257</v>
      </c>
      <c r="H87" s="5">
        <v>0</v>
      </c>
      <c r="I87" s="5">
        <v>0</v>
      </c>
      <c r="J87" s="5">
        <v>0</v>
      </c>
      <c r="K87" s="6">
        <v>839257</v>
      </c>
      <c r="L87" s="5">
        <v>0</v>
      </c>
    </row>
    <row r="88" spans="1:12">
      <c r="A88" s="10" t="b">
        <f t="shared" si="1"/>
        <v>1</v>
      </c>
      <c r="B88" s="5" t="str">
        <f>+Hoja2!A87</f>
        <v>3.1.06.504</v>
      </c>
      <c r="C88" s="5" t="s">
        <v>179</v>
      </c>
      <c r="D88" s="3" t="s">
        <v>180</v>
      </c>
      <c r="E88" s="6">
        <v>1065119</v>
      </c>
      <c r="F88" s="5">
        <v>0</v>
      </c>
      <c r="G88" s="6">
        <v>1065119</v>
      </c>
      <c r="H88" s="5">
        <v>0</v>
      </c>
      <c r="I88" s="5">
        <v>0</v>
      </c>
      <c r="J88" s="5">
        <v>0</v>
      </c>
      <c r="K88" s="6">
        <v>1065119</v>
      </c>
      <c r="L88" s="5">
        <v>0</v>
      </c>
    </row>
    <row r="89" spans="1:12">
      <c r="A89" s="10" t="b">
        <f t="shared" si="1"/>
        <v>1</v>
      </c>
      <c r="B89" s="5" t="str">
        <f>+Hoja2!A88</f>
        <v>3.1.06.505</v>
      </c>
      <c r="C89" s="5" t="s">
        <v>181</v>
      </c>
      <c r="D89" s="3" t="s">
        <v>182</v>
      </c>
      <c r="E89" s="6">
        <v>420710</v>
      </c>
      <c r="F89" s="5">
        <v>0</v>
      </c>
      <c r="G89" s="6">
        <v>420710</v>
      </c>
      <c r="H89" s="5">
        <v>0</v>
      </c>
      <c r="I89" s="5">
        <v>0</v>
      </c>
      <c r="J89" s="5">
        <v>0</v>
      </c>
      <c r="K89" s="6">
        <v>420710</v>
      </c>
      <c r="L89" s="5">
        <v>0</v>
      </c>
    </row>
    <row r="90" spans="1:12">
      <c r="A90" s="10" t="b">
        <f t="shared" si="1"/>
        <v>1</v>
      </c>
      <c r="B90" s="5" t="str">
        <f>+Hoja2!A89</f>
        <v>3.1.06.506</v>
      </c>
      <c r="C90" s="5" t="s">
        <v>183</v>
      </c>
      <c r="D90" s="3" t="s">
        <v>184</v>
      </c>
      <c r="E90" s="6">
        <v>663414</v>
      </c>
      <c r="F90" s="5">
        <v>0</v>
      </c>
      <c r="G90" s="6">
        <v>663414</v>
      </c>
      <c r="H90" s="5">
        <v>0</v>
      </c>
      <c r="I90" s="5">
        <v>0</v>
      </c>
      <c r="J90" s="5">
        <v>0</v>
      </c>
      <c r="K90" s="6">
        <v>663414</v>
      </c>
      <c r="L90" s="5">
        <v>0</v>
      </c>
    </row>
    <row r="91" spans="1:12">
      <c r="A91" s="10" t="b">
        <f t="shared" si="1"/>
        <v>1</v>
      </c>
      <c r="B91" s="5" t="str">
        <f>+Hoja2!A90</f>
        <v>3.1.06.507</v>
      </c>
      <c r="C91" s="5" t="s">
        <v>185</v>
      </c>
      <c r="D91" s="3" t="s">
        <v>186</v>
      </c>
      <c r="E91" s="6">
        <v>61186</v>
      </c>
      <c r="F91" s="6">
        <v>61187</v>
      </c>
      <c r="G91" s="5">
        <v>0</v>
      </c>
      <c r="H91" s="5">
        <v>1</v>
      </c>
      <c r="I91" s="5">
        <v>0</v>
      </c>
      <c r="J91" s="5">
        <v>0</v>
      </c>
      <c r="K91" s="5">
        <v>0</v>
      </c>
      <c r="L91" s="5">
        <v>1</v>
      </c>
    </row>
    <row r="92" spans="1:12">
      <c r="A92" s="10" t="b">
        <f t="shared" si="1"/>
        <v>1</v>
      </c>
      <c r="B92" s="5" t="str">
        <f>+Hoja2!A91</f>
        <v>3.1.06.601</v>
      </c>
      <c r="C92" s="5" t="s">
        <v>187</v>
      </c>
      <c r="D92" s="3" t="s">
        <v>188</v>
      </c>
      <c r="E92" s="6">
        <v>7893808</v>
      </c>
      <c r="F92" s="6">
        <v>6788199</v>
      </c>
      <c r="G92" s="6">
        <v>1105609</v>
      </c>
      <c r="H92" s="5">
        <v>0</v>
      </c>
      <c r="I92" s="5">
        <v>0</v>
      </c>
      <c r="J92" s="5">
        <v>0</v>
      </c>
      <c r="K92" s="6">
        <v>1105609</v>
      </c>
      <c r="L92" s="5">
        <v>0</v>
      </c>
    </row>
    <row r="93" spans="1:12">
      <c r="A93" s="10" t="b">
        <f t="shared" si="1"/>
        <v>1</v>
      </c>
      <c r="B93" s="5" t="str">
        <f>+Hoja2!A92</f>
        <v>3.1.06.602</v>
      </c>
      <c r="C93" s="5" t="s">
        <v>189</v>
      </c>
      <c r="D93" s="3" t="s">
        <v>190</v>
      </c>
      <c r="E93" s="6">
        <v>642168</v>
      </c>
      <c r="F93" s="5">
        <v>0</v>
      </c>
      <c r="G93" s="6">
        <v>642168</v>
      </c>
      <c r="H93" s="5">
        <v>0</v>
      </c>
      <c r="I93" s="5">
        <v>0</v>
      </c>
      <c r="J93" s="5">
        <v>0</v>
      </c>
      <c r="K93" s="6">
        <v>642168</v>
      </c>
      <c r="L93" s="5">
        <v>0</v>
      </c>
    </row>
    <row r="94" spans="1:12">
      <c r="A94" s="10" t="b">
        <f t="shared" si="1"/>
        <v>1</v>
      </c>
      <c r="B94" s="5" t="str">
        <f>+Hoja2!A93</f>
        <v>3.1.06.803</v>
      </c>
      <c r="C94" s="5" t="s">
        <v>191</v>
      </c>
      <c r="D94" s="3" t="s">
        <v>192</v>
      </c>
      <c r="E94" s="6">
        <v>371590</v>
      </c>
      <c r="F94" s="5">
        <v>0</v>
      </c>
      <c r="G94" s="6">
        <v>371590</v>
      </c>
      <c r="H94" s="5">
        <v>0</v>
      </c>
      <c r="I94" s="5">
        <v>0</v>
      </c>
      <c r="J94" s="5">
        <v>0</v>
      </c>
      <c r="K94" s="6">
        <v>371590</v>
      </c>
      <c r="L94" s="5">
        <v>0</v>
      </c>
    </row>
    <row r="95" spans="1:12">
      <c r="A95" s="10" t="b">
        <f t="shared" si="1"/>
        <v>1</v>
      </c>
      <c r="B95" s="5" t="str">
        <f>+Hoja2!A94</f>
        <v>3.1.06.806</v>
      </c>
      <c r="C95" s="5" t="s">
        <v>193</v>
      </c>
      <c r="D95" s="3" t="s">
        <v>194</v>
      </c>
      <c r="E95" s="6">
        <v>502259</v>
      </c>
      <c r="F95" s="5">
        <v>0</v>
      </c>
      <c r="G95" s="6">
        <v>502259</v>
      </c>
      <c r="H95" s="5">
        <v>0</v>
      </c>
      <c r="I95" s="5">
        <v>0</v>
      </c>
      <c r="J95" s="5">
        <v>0</v>
      </c>
      <c r="K95" s="6">
        <v>502259</v>
      </c>
      <c r="L95" s="5">
        <v>0</v>
      </c>
    </row>
    <row r="96" spans="1:12">
      <c r="A96" s="10" t="b">
        <f t="shared" si="1"/>
        <v>1</v>
      </c>
      <c r="B96" s="5" t="str">
        <f>+Hoja2!A95</f>
        <v>3.1.06.812</v>
      </c>
      <c r="C96" s="5" t="s">
        <v>195</v>
      </c>
      <c r="D96" s="3" t="s">
        <v>196</v>
      </c>
      <c r="E96" s="6">
        <v>2925416</v>
      </c>
      <c r="F96" s="6">
        <v>71660</v>
      </c>
      <c r="G96" s="6">
        <v>2853756</v>
      </c>
      <c r="H96" s="5">
        <v>0</v>
      </c>
      <c r="I96" s="5">
        <v>0</v>
      </c>
      <c r="J96" s="5">
        <v>0</v>
      </c>
      <c r="K96" s="6">
        <v>2853756</v>
      </c>
      <c r="L96" s="5">
        <v>0</v>
      </c>
    </row>
    <row r="97" spans="1:12">
      <c r="A97" s="10" t="b">
        <f t="shared" si="1"/>
        <v>1</v>
      </c>
      <c r="B97" s="5" t="str">
        <f>+Hoja2!A96</f>
        <v>3.1.06.813</v>
      </c>
      <c r="C97" s="5" t="s">
        <v>197</v>
      </c>
      <c r="D97" s="3" t="s">
        <v>198</v>
      </c>
      <c r="E97" s="6">
        <v>597458</v>
      </c>
      <c r="F97" s="5">
        <v>0</v>
      </c>
      <c r="G97" s="6">
        <v>597458</v>
      </c>
      <c r="H97" s="5">
        <v>0</v>
      </c>
      <c r="I97" s="5">
        <v>0</v>
      </c>
      <c r="J97" s="5">
        <v>0</v>
      </c>
      <c r="K97" s="6">
        <v>597458</v>
      </c>
      <c r="L97" s="5">
        <v>0</v>
      </c>
    </row>
    <row r="98" spans="1:12">
      <c r="A98" s="10" t="b">
        <f t="shared" si="1"/>
        <v>1</v>
      </c>
      <c r="B98" s="5" t="str">
        <f>+Hoja2!A97</f>
        <v>3.1.06.817</v>
      </c>
      <c r="C98" s="5" t="s">
        <v>199</v>
      </c>
      <c r="D98" s="3" t="s">
        <v>200</v>
      </c>
      <c r="E98" s="6">
        <v>868786</v>
      </c>
      <c r="F98" s="5">
        <v>0</v>
      </c>
      <c r="G98" s="6">
        <v>868786</v>
      </c>
      <c r="H98" s="5">
        <v>0</v>
      </c>
      <c r="I98" s="5">
        <v>0</v>
      </c>
      <c r="J98" s="5">
        <v>0</v>
      </c>
      <c r="K98" s="6">
        <v>868786</v>
      </c>
      <c r="L98" s="5">
        <v>0</v>
      </c>
    </row>
    <row r="99" spans="1:12">
      <c r="A99" s="10" t="b">
        <f t="shared" si="1"/>
        <v>1</v>
      </c>
      <c r="B99" s="5" t="str">
        <f>+Hoja2!A98</f>
        <v>3.1.06.818</v>
      </c>
      <c r="C99" s="5" t="s">
        <v>201</v>
      </c>
      <c r="D99" s="3" t="s">
        <v>202</v>
      </c>
      <c r="E99" s="6">
        <v>3506825</v>
      </c>
      <c r="F99" s="6">
        <v>587504</v>
      </c>
      <c r="G99" s="6">
        <v>2919321</v>
      </c>
      <c r="H99" s="5">
        <v>0</v>
      </c>
      <c r="I99" s="5">
        <v>0</v>
      </c>
      <c r="J99" s="5">
        <v>0</v>
      </c>
      <c r="K99" s="6">
        <v>2919321</v>
      </c>
      <c r="L99" s="5">
        <v>0</v>
      </c>
    </row>
    <row r="100" spans="1:12">
      <c r="A100" s="10" t="b">
        <f t="shared" si="1"/>
        <v>1</v>
      </c>
      <c r="B100" s="5" t="str">
        <f>+Hoja2!A99</f>
        <v>3.1.06.831</v>
      </c>
      <c r="C100" s="5" t="s">
        <v>203</v>
      </c>
      <c r="D100" s="3" t="s">
        <v>204</v>
      </c>
      <c r="E100" s="6">
        <v>268190</v>
      </c>
      <c r="F100" s="5">
        <v>0</v>
      </c>
      <c r="G100" s="6">
        <v>268190</v>
      </c>
      <c r="H100" s="5">
        <v>0</v>
      </c>
      <c r="I100" s="5">
        <v>0</v>
      </c>
      <c r="J100" s="5">
        <v>0</v>
      </c>
      <c r="K100" s="6">
        <v>268190</v>
      </c>
      <c r="L100" s="5">
        <v>0</v>
      </c>
    </row>
    <row r="101" spans="1:12">
      <c r="A101" s="10" t="b">
        <f t="shared" si="1"/>
        <v>1</v>
      </c>
      <c r="B101" s="5" t="str">
        <f>+Hoja2!A100</f>
        <v>3.1.06.837</v>
      </c>
      <c r="C101" s="5" t="s">
        <v>205</v>
      </c>
      <c r="D101" s="3" t="s">
        <v>206</v>
      </c>
      <c r="E101" s="6">
        <v>2094675</v>
      </c>
      <c r="F101" s="6">
        <v>1506417</v>
      </c>
      <c r="G101" s="6">
        <v>588258</v>
      </c>
      <c r="H101" s="5">
        <v>0</v>
      </c>
      <c r="I101" s="5">
        <v>0</v>
      </c>
      <c r="J101" s="5">
        <v>0</v>
      </c>
      <c r="K101" s="6">
        <v>588258</v>
      </c>
      <c r="L101" s="5">
        <v>0</v>
      </c>
    </row>
    <row r="102" spans="1:12">
      <c r="A102" s="10" t="b">
        <f t="shared" si="1"/>
        <v>1</v>
      </c>
      <c r="B102" s="5" t="str">
        <f>+Hoja2!A101</f>
        <v>3.1.07.822</v>
      </c>
      <c r="C102" s="5" t="s">
        <v>207</v>
      </c>
      <c r="D102" s="3" t="s">
        <v>208</v>
      </c>
      <c r="E102" s="6">
        <v>2114357</v>
      </c>
      <c r="F102" s="6">
        <v>27489</v>
      </c>
      <c r="G102" s="6">
        <v>2086868</v>
      </c>
      <c r="H102" s="5">
        <v>0</v>
      </c>
      <c r="I102" s="5">
        <v>0</v>
      </c>
      <c r="J102" s="5">
        <v>0</v>
      </c>
      <c r="K102" s="6">
        <v>2086868</v>
      </c>
      <c r="L102" s="5">
        <v>0</v>
      </c>
    </row>
    <row r="103" spans="1:12">
      <c r="A103" s="10" t="b">
        <f t="shared" si="1"/>
        <v>1</v>
      </c>
      <c r="B103" s="5" t="str">
        <f>+Hoja2!A102</f>
        <v>3.1.07.833</v>
      </c>
      <c r="C103" s="5" t="s">
        <v>209</v>
      </c>
      <c r="D103" s="3" t="s">
        <v>210</v>
      </c>
      <c r="E103" s="6">
        <v>1894972</v>
      </c>
      <c r="F103" s="6">
        <v>63900</v>
      </c>
      <c r="G103" s="6">
        <v>1831072</v>
      </c>
      <c r="H103" s="5">
        <v>0</v>
      </c>
      <c r="I103" s="5">
        <v>0</v>
      </c>
      <c r="J103" s="5">
        <v>0</v>
      </c>
      <c r="K103" s="6">
        <v>1831072</v>
      </c>
      <c r="L103" s="5">
        <v>0</v>
      </c>
    </row>
    <row r="104" spans="1:12">
      <c r="A104" s="10" t="b">
        <f t="shared" si="1"/>
        <v>1</v>
      </c>
      <c r="B104" s="5" t="str">
        <f>+Hoja2!A103</f>
        <v>3.1.08.701</v>
      </c>
      <c r="C104" s="5" t="s">
        <v>211</v>
      </c>
      <c r="D104" s="3" t="s">
        <v>212</v>
      </c>
      <c r="E104" s="6">
        <v>8846337</v>
      </c>
      <c r="F104" s="5">
        <v>0</v>
      </c>
      <c r="G104" s="6">
        <v>8846337</v>
      </c>
      <c r="H104" s="5">
        <v>0</v>
      </c>
      <c r="I104" s="5">
        <v>0</v>
      </c>
      <c r="J104" s="5">
        <v>0</v>
      </c>
      <c r="K104" s="6">
        <v>8846337</v>
      </c>
      <c r="L104" s="5">
        <v>0</v>
      </c>
    </row>
    <row r="105" spans="1:12">
      <c r="A105" s="10" t="b">
        <f t="shared" si="1"/>
        <v>1</v>
      </c>
      <c r="B105" s="5" t="str">
        <f>+Hoja2!A104</f>
        <v>3.2.08.105</v>
      </c>
      <c r="C105" s="5" t="s">
        <v>213</v>
      </c>
      <c r="D105" s="3" t="s">
        <v>214</v>
      </c>
      <c r="E105" s="6">
        <v>19305</v>
      </c>
      <c r="F105" s="5">
        <v>0</v>
      </c>
      <c r="G105" s="6">
        <v>19305</v>
      </c>
      <c r="H105" s="5">
        <v>0</v>
      </c>
      <c r="I105" s="5">
        <v>0</v>
      </c>
      <c r="J105" s="5">
        <v>0</v>
      </c>
      <c r="K105" s="6">
        <v>19305</v>
      </c>
      <c r="L105" s="5">
        <v>0</v>
      </c>
    </row>
    <row r="106" spans="1:12">
      <c r="A106" s="10" t="b">
        <f t="shared" si="1"/>
        <v>1</v>
      </c>
      <c r="B106" s="5" t="str">
        <f>+Hoja2!A105</f>
        <v>3.2.08.116</v>
      </c>
      <c r="C106" s="5" t="s">
        <v>215</v>
      </c>
      <c r="D106" s="3" t="s">
        <v>216</v>
      </c>
      <c r="E106" s="5">
        <v>0</v>
      </c>
      <c r="F106" s="6">
        <v>5791</v>
      </c>
      <c r="G106" s="5">
        <v>0</v>
      </c>
      <c r="H106" s="6">
        <v>5791</v>
      </c>
      <c r="I106" s="5">
        <v>0</v>
      </c>
      <c r="J106" s="5">
        <v>0</v>
      </c>
      <c r="K106" s="5">
        <v>0</v>
      </c>
      <c r="L106" s="6">
        <v>5791</v>
      </c>
    </row>
    <row r="107" spans="1:12">
      <c r="A107" s="10" t="b">
        <f t="shared" si="1"/>
        <v>1</v>
      </c>
      <c r="B107" s="5" t="str">
        <f>+Hoja2!A106</f>
        <v>3.2.11.158</v>
      </c>
      <c r="C107" s="5" t="s">
        <v>217</v>
      </c>
      <c r="D107" s="3" t="s">
        <v>218</v>
      </c>
      <c r="E107" s="6">
        <v>60116244</v>
      </c>
      <c r="F107" s="6">
        <v>84142416</v>
      </c>
      <c r="G107" s="5">
        <v>0</v>
      </c>
      <c r="H107" s="6">
        <v>24026172</v>
      </c>
      <c r="I107" s="5">
        <v>0</v>
      </c>
      <c r="J107" s="5">
        <v>0</v>
      </c>
      <c r="K107" s="5">
        <v>0</v>
      </c>
      <c r="L107" s="6">
        <v>24026172</v>
      </c>
    </row>
    <row r="108" spans="1:12">
      <c r="A108" s="10" t="b">
        <f t="shared" si="1"/>
        <v>1</v>
      </c>
      <c r="B108" s="5" t="str">
        <f>+Hoja2!A107</f>
        <v>3.2.13.101</v>
      </c>
      <c r="C108" s="5" t="s">
        <v>219</v>
      </c>
      <c r="D108" s="3" t="s">
        <v>220</v>
      </c>
      <c r="E108" s="6">
        <v>1746970</v>
      </c>
      <c r="F108" s="6">
        <v>1123173</v>
      </c>
      <c r="G108" s="6">
        <v>623797</v>
      </c>
      <c r="H108" s="5">
        <v>0</v>
      </c>
      <c r="I108" s="5">
        <v>0</v>
      </c>
      <c r="J108" s="5">
        <v>0</v>
      </c>
      <c r="K108" s="6">
        <v>623797</v>
      </c>
      <c r="L108" s="5">
        <v>0</v>
      </c>
    </row>
    <row r="109" spans="1:12">
      <c r="A109" s="10" t="b">
        <f t="shared" si="1"/>
        <v>1</v>
      </c>
      <c r="B109" s="5" t="str">
        <f>+Hoja2!A108</f>
        <v>3.2.13.109</v>
      </c>
      <c r="C109" s="5" t="s">
        <v>221</v>
      </c>
      <c r="D109" s="3" t="s">
        <v>222</v>
      </c>
      <c r="E109" s="5">
        <v>34</v>
      </c>
      <c r="F109" s="5">
        <v>0</v>
      </c>
      <c r="G109" s="5">
        <v>34</v>
      </c>
      <c r="H109" s="5">
        <v>0</v>
      </c>
      <c r="I109" s="5">
        <v>0</v>
      </c>
      <c r="J109" s="5">
        <v>0</v>
      </c>
      <c r="K109" s="5">
        <v>34</v>
      </c>
      <c r="L109" s="5">
        <v>0</v>
      </c>
    </row>
    <row r="110" spans="1:12">
      <c r="A110" s="3" t="e">
        <v>#N/A</v>
      </c>
      <c r="B110" s="5">
        <f>+Hoja2!A109</f>
        <v>0</v>
      </c>
      <c r="C110" s="5" t="e">
        <v>#N/A</v>
      </c>
      <c r="D110" s="3" t="e">
        <v>#N/A</v>
      </c>
      <c r="E110" s="5" t="e">
        <v>#N/A</v>
      </c>
      <c r="F110" s="5" t="e">
        <v>#N/A</v>
      </c>
      <c r="G110" s="5" t="e">
        <v>#N/A</v>
      </c>
      <c r="H110" s="5" t="e">
        <v>#N/A</v>
      </c>
      <c r="I110" s="5" t="e">
        <v>#N/A</v>
      </c>
      <c r="J110" s="5" t="e">
        <v>#N/A</v>
      </c>
      <c r="K110" s="5" t="e">
        <v>#N/A</v>
      </c>
      <c r="L110" s="5" t="e">
        <v>#N/A</v>
      </c>
    </row>
    <row r="112" spans="1:12">
      <c r="B112" s="5" t="s">
        <v>227</v>
      </c>
      <c r="D112" s="3" t="s">
        <v>228</v>
      </c>
      <c r="E112" s="6">
        <v>13815932914</v>
      </c>
      <c r="F112" s="5">
        <v>0</v>
      </c>
      <c r="G112" s="6">
        <v>7806222781</v>
      </c>
      <c r="H112" s="5">
        <v>0</v>
      </c>
      <c r="I112" s="6">
        <v>7482030181</v>
      </c>
      <c r="J112" s="5">
        <v>0</v>
      </c>
      <c r="K112" s="6">
        <v>324192600</v>
      </c>
      <c r="L112" s="5">
        <v>0</v>
      </c>
    </row>
    <row r="113" spans="2:12">
      <c r="B113" s="5" t="s">
        <v>227</v>
      </c>
      <c r="E113" s="5">
        <v>0</v>
      </c>
      <c r="F113" s="6">
        <v>13815932914</v>
      </c>
      <c r="G113" s="5">
        <v>0</v>
      </c>
      <c r="H113" s="6">
        <v>7806222781</v>
      </c>
      <c r="I113" s="5">
        <v>0</v>
      </c>
      <c r="J113" s="6">
        <v>7530687062</v>
      </c>
      <c r="K113" s="5">
        <v>0</v>
      </c>
      <c r="L113" s="6">
        <v>275535719</v>
      </c>
    </row>
    <row r="115" spans="2:12">
      <c r="B115" s="5" t="s">
        <v>227</v>
      </c>
      <c r="D115" s="3" t="s">
        <v>229</v>
      </c>
      <c r="E115" s="5">
        <v>0</v>
      </c>
      <c r="F115" s="5">
        <v>0</v>
      </c>
      <c r="G115" s="5">
        <v>0</v>
      </c>
      <c r="H115" s="5">
        <v>0</v>
      </c>
      <c r="I115" s="6">
        <v>48656881</v>
      </c>
      <c r="J115" s="5">
        <v>0</v>
      </c>
      <c r="K115" s="5">
        <v>0</v>
      </c>
      <c r="L115" s="5">
        <v>0</v>
      </c>
    </row>
    <row r="116" spans="2:12">
      <c r="B116" s="5" t="s">
        <v>227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6">
        <v>48656881</v>
      </c>
    </row>
    <row r="118" spans="2:12">
      <c r="B118" s="5" t="s">
        <v>227</v>
      </c>
      <c r="D118" s="3" t="s">
        <v>230</v>
      </c>
      <c r="E118" s="6">
        <v>13815932914</v>
      </c>
      <c r="F118" s="5">
        <v>0</v>
      </c>
      <c r="G118" s="6">
        <v>7806222781</v>
      </c>
      <c r="H118" s="5">
        <v>0</v>
      </c>
      <c r="I118" s="6">
        <v>7530687062</v>
      </c>
      <c r="J118" s="5">
        <v>0</v>
      </c>
      <c r="K118" s="6">
        <v>324192600</v>
      </c>
      <c r="L118" s="5">
        <v>0</v>
      </c>
    </row>
    <row r="119" spans="2:12">
      <c r="B119" s="5" t="s">
        <v>227</v>
      </c>
      <c r="E119" s="5">
        <v>0</v>
      </c>
      <c r="F119" s="6">
        <v>13815932914</v>
      </c>
      <c r="G119" s="5">
        <v>0</v>
      </c>
      <c r="H119" s="6">
        <v>7806222781</v>
      </c>
      <c r="I119" s="5">
        <v>0</v>
      </c>
      <c r="J119" s="6">
        <v>7530687062</v>
      </c>
      <c r="K119" s="5">
        <v>0</v>
      </c>
      <c r="L119" s="6">
        <v>324192600</v>
      </c>
    </row>
  </sheetData>
  <sortState xmlns:xlrd2="http://schemas.microsoft.com/office/spreadsheetml/2017/richdata2" ref="A2:L30001">
    <sortCondition ref="C2:C30001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0B06-A2E4-44AB-882C-E9310F639DF2}">
  <dimension ref="A1:A108"/>
  <sheetViews>
    <sheetView workbookViewId="0">
      <selection sqref="A1:A108"/>
    </sheetView>
  </sheetViews>
  <sheetFormatPr baseColWidth="10" defaultRowHeight="14"/>
  <sheetData>
    <row r="1" spans="1:1">
      <c r="A1" s="8" t="s">
        <v>11</v>
      </c>
    </row>
    <row r="2" spans="1:1">
      <c r="A2" s="8" t="s">
        <v>13</v>
      </c>
    </row>
    <row r="3" spans="1:1">
      <c r="A3" s="8" t="s">
        <v>15</v>
      </c>
    </row>
    <row r="4" spans="1:1">
      <c r="A4" s="8" t="s">
        <v>17</v>
      </c>
    </row>
    <row r="5" spans="1:1">
      <c r="A5" s="8" t="s">
        <v>19</v>
      </c>
    </row>
    <row r="6" spans="1:1">
      <c r="A6" s="8" t="s">
        <v>21</v>
      </c>
    </row>
    <row r="7" spans="1:1">
      <c r="A7" s="8" t="s">
        <v>23</v>
      </c>
    </row>
    <row r="8" spans="1:1">
      <c r="A8" s="8" t="s">
        <v>25</v>
      </c>
    </row>
    <row r="9" spans="1:1">
      <c r="A9" s="8" t="s">
        <v>27</v>
      </c>
    </row>
    <row r="10" spans="1:1">
      <c r="A10" s="8" t="s">
        <v>29</v>
      </c>
    </row>
    <row r="11" spans="1:1">
      <c r="A11" s="8" t="s">
        <v>31</v>
      </c>
    </row>
    <row r="12" spans="1:1">
      <c r="A12" s="8" t="s">
        <v>33</v>
      </c>
    </row>
    <row r="13" spans="1:1">
      <c r="A13" s="8" t="s">
        <v>35</v>
      </c>
    </row>
    <row r="14" spans="1:1">
      <c r="A14" s="8" t="s">
        <v>37</v>
      </c>
    </row>
    <row r="15" spans="1:1">
      <c r="A15" s="8" t="s">
        <v>39</v>
      </c>
    </row>
    <row r="16" spans="1:1">
      <c r="A16" s="8" t="s">
        <v>41</v>
      </c>
    </row>
    <row r="17" spans="1:1">
      <c r="A17" s="8" t="s">
        <v>43</v>
      </c>
    </row>
    <row r="18" spans="1:1">
      <c r="A18" s="8" t="s">
        <v>45</v>
      </c>
    </row>
    <row r="19" spans="1:1">
      <c r="A19" s="8" t="s">
        <v>47</v>
      </c>
    </row>
    <row r="20" spans="1:1">
      <c r="A20" s="8" t="s">
        <v>49</v>
      </c>
    </row>
    <row r="21" spans="1:1">
      <c r="A21" s="8" t="s">
        <v>51</v>
      </c>
    </row>
    <row r="22" spans="1:1">
      <c r="A22" s="8" t="s">
        <v>53</v>
      </c>
    </row>
    <row r="23" spans="1:1">
      <c r="A23" s="8" t="s">
        <v>55</v>
      </c>
    </row>
    <row r="24" spans="1:1">
      <c r="A24" s="8" t="s">
        <v>57</v>
      </c>
    </row>
    <row r="25" spans="1:1">
      <c r="A25" s="8" t="s">
        <v>59</v>
      </c>
    </row>
    <row r="26" spans="1:1">
      <c r="A26" s="8" t="s">
        <v>61</v>
      </c>
    </row>
    <row r="27" spans="1:1">
      <c r="A27" s="8" t="s">
        <v>63</v>
      </c>
    </row>
    <row r="28" spans="1:1">
      <c r="A28" s="8" t="s">
        <v>65</v>
      </c>
    </row>
    <row r="29" spans="1:1">
      <c r="A29" s="8" t="s">
        <v>67</v>
      </c>
    </row>
    <row r="30" spans="1:1">
      <c r="A30" s="8" t="s">
        <v>69</v>
      </c>
    </row>
    <row r="31" spans="1:1">
      <c r="A31" s="8" t="s">
        <v>71</v>
      </c>
    </row>
    <row r="32" spans="1:1">
      <c r="A32" s="8" t="s">
        <v>73</v>
      </c>
    </row>
    <row r="33" spans="1:1">
      <c r="A33" s="8" t="s">
        <v>75</v>
      </c>
    </row>
    <row r="34" spans="1:1">
      <c r="A34" s="8" t="s">
        <v>77</v>
      </c>
    </row>
    <row r="35" spans="1:1">
      <c r="A35" s="8" t="s">
        <v>79</v>
      </c>
    </row>
    <row r="36" spans="1:1">
      <c r="A36" s="8" t="s">
        <v>81</v>
      </c>
    </row>
    <row r="37" spans="1:1">
      <c r="A37" s="8" t="s">
        <v>83</v>
      </c>
    </row>
    <row r="38" spans="1:1">
      <c r="A38" s="8" t="s">
        <v>85</v>
      </c>
    </row>
    <row r="39" spans="1:1">
      <c r="A39" s="8" t="s">
        <v>87</v>
      </c>
    </row>
    <row r="40" spans="1:1">
      <c r="A40" s="8" t="s">
        <v>89</v>
      </c>
    </row>
    <row r="41" spans="1:1">
      <c r="A41" s="8" t="s">
        <v>91</v>
      </c>
    </row>
    <row r="42" spans="1:1">
      <c r="A42" s="8" t="s">
        <v>93</v>
      </c>
    </row>
    <row r="43" spans="1:1">
      <c r="A43" s="8" t="s">
        <v>95</v>
      </c>
    </row>
    <row r="44" spans="1:1">
      <c r="A44" s="8" t="s">
        <v>97</v>
      </c>
    </row>
    <row r="45" spans="1:1">
      <c r="A45" s="8" t="s">
        <v>99</v>
      </c>
    </row>
    <row r="46" spans="1:1">
      <c r="A46" s="8" t="s">
        <v>101</v>
      </c>
    </row>
    <row r="47" spans="1:1">
      <c r="A47" s="8" t="s">
        <v>103</v>
      </c>
    </row>
    <row r="48" spans="1:1">
      <c r="A48" s="8" t="s">
        <v>105</v>
      </c>
    </row>
    <row r="49" spans="1:1">
      <c r="A49" s="8" t="s">
        <v>107</v>
      </c>
    </row>
    <row r="50" spans="1:1">
      <c r="A50" s="8" t="s">
        <v>109</v>
      </c>
    </row>
    <row r="51" spans="1:1">
      <c r="A51" s="8" t="s">
        <v>111</v>
      </c>
    </row>
    <row r="52" spans="1:1">
      <c r="A52" s="8" t="s">
        <v>113</v>
      </c>
    </row>
    <row r="53" spans="1:1">
      <c r="A53" s="8" t="s">
        <v>115</v>
      </c>
    </row>
    <row r="54" spans="1:1">
      <c r="A54" s="7" t="s">
        <v>223</v>
      </c>
    </row>
    <row r="55" spans="1:1">
      <c r="A55" s="7" t="s">
        <v>225</v>
      </c>
    </row>
    <row r="56" spans="1:1">
      <c r="A56" s="7" t="s">
        <v>117</v>
      </c>
    </row>
    <row r="57" spans="1:1">
      <c r="A57" s="7" t="s">
        <v>119</v>
      </c>
    </row>
    <row r="58" spans="1:1">
      <c r="A58" s="7" t="s">
        <v>121</v>
      </c>
    </row>
    <row r="59" spans="1:1">
      <c r="A59" s="7" t="s">
        <v>123</v>
      </c>
    </row>
    <row r="60" spans="1:1">
      <c r="A60" s="7" t="s">
        <v>125</v>
      </c>
    </row>
    <row r="61" spans="1:1">
      <c r="A61" s="7" t="s">
        <v>127</v>
      </c>
    </row>
    <row r="62" spans="1:1">
      <c r="A62" s="7" t="s">
        <v>129</v>
      </c>
    </row>
    <row r="63" spans="1:1">
      <c r="A63" s="7" t="s">
        <v>131</v>
      </c>
    </row>
    <row r="64" spans="1:1">
      <c r="A64" s="7" t="s">
        <v>133</v>
      </c>
    </row>
    <row r="65" spans="1:1">
      <c r="A65" s="7" t="s">
        <v>135</v>
      </c>
    </row>
    <row r="66" spans="1:1">
      <c r="A66" s="7" t="s">
        <v>137</v>
      </c>
    </row>
    <row r="67" spans="1:1">
      <c r="A67" s="7" t="s">
        <v>139</v>
      </c>
    </row>
    <row r="68" spans="1:1">
      <c r="A68" s="7" t="s">
        <v>141</v>
      </c>
    </row>
    <row r="69" spans="1:1">
      <c r="A69" s="7" t="s">
        <v>143</v>
      </c>
    </row>
    <row r="70" spans="1:1">
      <c r="A70" s="7" t="s">
        <v>145</v>
      </c>
    </row>
    <row r="71" spans="1:1">
      <c r="A71" s="7" t="s">
        <v>147</v>
      </c>
    </row>
    <row r="72" spans="1:1">
      <c r="A72" s="7" t="s">
        <v>149</v>
      </c>
    </row>
    <row r="73" spans="1:1">
      <c r="A73" s="7" t="s">
        <v>151</v>
      </c>
    </row>
    <row r="74" spans="1:1">
      <c r="A74" s="7" t="s">
        <v>153</v>
      </c>
    </row>
    <row r="75" spans="1:1">
      <c r="A75" s="7" t="s">
        <v>155</v>
      </c>
    </row>
    <row r="76" spans="1:1">
      <c r="A76" s="7" t="s">
        <v>157</v>
      </c>
    </row>
    <row r="77" spans="1:1">
      <c r="A77" s="9" t="s">
        <v>159</v>
      </c>
    </row>
    <row r="78" spans="1:1">
      <c r="A78" s="7" t="s">
        <v>161</v>
      </c>
    </row>
    <row r="79" spans="1:1">
      <c r="A79" s="7" t="s">
        <v>163</v>
      </c>
    </row>
    <row r="80" spans="1:1">
      <c r="A80" s="7" t="s">
        <v>165</v>
      </c>
    </row>
    <row r="81" spans="1:1">
      <c r="A81" s="7" t="s">
        <v>167</v>
      </c>
    </row>
    <row r="82" spans="1:1">
      <c r="A82" s="7" t="s">
        <v>169</v>
      </c>
    </row>
    <row r="83" spans="1:1">
      <c r="A83" s="7" t="s">
        <v>171</v>
      </c>
    </row>
    <row r="84" spans="1:1">
      <c r="A84" s="7" t="s">
        <v>173</v>
      </c>
    </row>
    <row r="85" spans="1:1">
      <c r="A85" s="7" t="s">
        <v>175</v>
      </c>
    </row>
    <row r="86" spans="1:1">
      <c r="A86" s="7" t="s">
        <v>177</v>
      </c>
    </row>
    <row r="87" spans="1:1">
      <c r="A87" s="7" t="s">
        <v>179</v>
      </c>
    </row>
    <row r="88" spans="1:1">
      <c r="A88" s="7" t="s">
        <v>181</v>
      </c>
    </row>
    <row r="89" spans="1:1">
      <c r="A89" s="7" t="s">
        <v>183</v>
      </c>
    </row>
    <row r="90" spans="1:1">
      <c r="A90" s="7" t="s">
        <v>185</v>
      </c>
    </row>
    <row r="91" spans="1:1">
      <c r="A91" s="7" t="s">
        <v>187</v>
      </c>
    </row>
    <row r="92" spans="1:1">
      <c r="A92" s="7" t="s">
        <v>189</v>
      </c>
    </row>
    <row r="93" spans="1:1">
      <c r="A93" s="7" t="s">
        <v>191</v>
      </c>
    </row>
    <row r="94" spans="1:1">
      <c r="A94" s="7" t="s">
        <v>193</v>
      </c>
    </row>
    <row r="95" spans="1:1">
      <c r="A95" s="7" t="s">
        <v>195</v>
      </c>
    </row>
    <row r="96" spans="1:1">
      <c r="A96" s="7" t="s">
        <v>197</v>
      </c>
    </row>
    <row r="97" spans="1:1">
      <c r="A97" s="7" t="s">
        <v>199</v>
      </c>
    </row>
    <row r="98" spans="1:1">
      <c r="A98" s="7" t="s">
        <v>201</v>
      </c>
    </row>
    <row r="99" spans="1:1">
      <c r="A99" s="7" t="s">
        <v>203</v>
      </c>
    </row>
    <row r="100" spans="1:1">
      <c r="A100" s="7" t="s">
        <v>205</v>
      </c>
    </row>
    <row r="101" spans="1:1">
      <c r="A101" s="7" t="s">
        <v>207</v>
      </c>
    </row>
    <row r="102" spans="1:1">
      <c r="A102" s="9" t="s">
        <v>209</v>
      </c>
    </row>
    <row r="103" spans="1:1">
      <c r="A103" s="7" t="s">
        <v>211</v>
      </c>
    </row>
    <row r="104" spans="1:1">
      <c r="A104" s="7" t="s">
        <v>213</v>
      </c>
    </row>
    <row r="105" spans="1:1">
      <c r="A105" s="7" t="s">
        <v>215</v>
      </c>
    </row>
    <row r="106" spans="1:1">
      <c r="A106" s="7" t="s">
        <v>217</v>
      </c>
    </row>
    <row r="107" spans="1:1">
      <c r="A107" s="7" t="s">
        <v>219</v>
      </c>
    </row>
    <row r="108" spans="1:1">
      <c r="A108" s="7" t="s">
        <v>221</v>
      </c>
    </row>
  </sheetData>
  <hyperlinks>
    <hyperlink ref="A1" location="'Cajas y Bancos'!A1" display="1.1.01.101" xr:uid="{C0B6F68F-B002-48BC-B45E-2A297545D49F}"/>
    <hyperlink ref="A2" location="'Cajas y Bancos'!A1" display="1.1.01.203" xr:uid="{27DEC780-332B-4CC8-85CE-C0D9427C3D7D}"/>
    <hyperlink ref="A3" location="'Cajas y Bancos'!A1" display="1.1.01.204" xr:uid="{FAF47476-B0E8-46CC-A5EE-595FCA4E8714}"/>
    <hyperlink ref="A4" location="'Cajas y Bancos'!A1" display="1.1.01.205" xr:uid="{E8C2DD7D-D27F-4788-B755-8A2531333115}"/>
    <hyperlink ref="A5" location="'Cajas y Bancos'!A1" display="1.1.01.206" xr:uid="{EF25AA04-869F-4EFE-B64C-2CDD5E3AAA62}"/>
    <hyperlink ref="A6" location="'Cajas y Bancos'!A1" display="1.1.01.207" xr:uid="{EE6502A2-430E-4329-9CA0-747FF7F01F17}"/>
    <hyperlink ref="A7" location="'Cajas y Bancos'!A1" display="1.1.01.208" xr:uid="{1CCB1843-A079-4B3F-964E-CF5CB13E314C}"/>
    <hyperlink ref="A11" location="'Cajas y Bancos'!A1" display="1.1.01.209" xr:uid="{9E318BE0-0210-4D2A-9E2B-9F0CA9EC9432}"/>
    <hyperlink ref="A12" location="'Cajas y Bancos'!A1" display="1.1.01.301" xr:uid="{257EF075-AE42-427A-9535-194983F3DB20}"/>
    <hyperlink ref="A13" location="'Cajas y Bancos'!A1" display="1.1.01.302" xr:uid="{1D1A5CD1-29C2-43C5-9A21-835E6ECF3FE5}"/>
    <hyperlink ref="A14" location="'Cajas y Bancos'!A1" display="1.1.02.106" xr:uid="{807DA19E-72F5-4DFD-A863-B0CBC011CA5A}"/>
    <hyperlink ref="A15" location="'Derechos de arrendamiento'!A1" display="1.1.03.201" xr:uid="{070AAADB-962C-4B87-A28C-52134DE116E9}"/>
    <hyperlink ref="A16" location="Clientes!A1" display="1.1.04.102" xr:uid="{D7C021CF-F698-45EC-9E8B-A1C45870C7FE}"/>
    <hyperlink ref="A17" location="'Pagos Anticipados'!A1" display="1.1.04.104" xr:uid="{FB2146CA-A3C3-43A5-A4D8-978A0FFE1C80}"/>
    <hyperlink ref="A18" location="'Deudores Diversos'!A1" display="1.1.04.105" xr:uid="{A2450BB9-CEE6-419E-AD29-F7727082159C}"/>
    <hyperlink ref="A19" location="'Deudores Diversos'!A1" display="1.1.04.106" xr:uid="{4973DE54-ED15-4DF3-85C8-FEA74004D421}"/>
    <hyperlink ref="A21" location="'Deudores Diversos'!A1" display="1.1.04.109" xr:uid="{93664D92-AA52-4568-B662-2B7E4A98314D}"/>
    <hyperlink ref="A24" location="'Deudores Diversos'!A1" display="1.1.04.200" xr:uid="{FF1C5F76-0819-4ADA-9AE5-72B72AA2CE70}"/>
    <hyperlink ref="A25" location="'Pagos Anticipados'!A1" display="1.1.05.403" xr:uid="{B38C1C75-DE03-4215-BAB1-431A07261B70}"/>
    <hyperlink ref="A26" location="'Pagos Anticipados'!A1" display="1.1.05.405" xr:uid="{66991AAB-ECE6-4F49-AC50-8FCD575FFA35}"/>
    <hyperlink ref="A27" location="Inventarios!A1" display="1.1.06.401" xr:uid="{F4EABD4C-5248-40B7-9F30-D2412EF6B454}"/>
    <hyperlink ref="A28" location="Inventarios!A1" display="1.1.06.801" xr:uid="{E7BDA6CA-79FD-4FF5-A6F9-B4B5DC506797}"/>
    <hyperlink ref="A29" location="Inventarios!A1" display="1.1.06.802" xr:uid="{B013E647-942E-435A-B91E-BAA86E876FA6}"/>
    <hyperlink ref="A30" location="'Impuestos a favor'!A1" display="1.1.09.101" xr:uid="{8FB9B359-1ABC-4E50-94DC-8B86DE4F4C64}"/>
    <hyperlink ref="A31" location="'Impuestos a favor'!A1" display="1.1.09.103" xr:uid="{CB4D1D73-B128-4215-99E6-F4FE5C1B9C06}"/>
    <hyperlink ref="A32" location="'Derechos de arrendamiento'!A1" display="1.2.02.101" xr:uid="{32F22431-919A-458D-A9FB-C10A1AB8F06A}"/>
    <hyperlink ref="A33" location="'Activo fijo'!A1" display="1.2.02.401" xr:uid="{94E4FDCD-6B55-47B4-B898-8406EAE4D351}"/>
    <hyperlink ref="A34" location="'Activo fijo'!A1" display="1.2.02.402" xr:uid="{87BD121C-2DBB-4512-B735-634B540B28F7}"/>
    <hyperlink ref="A36" location="'Activo fijo'!A1" display="1.2.02.904" xr:uid="{D2D827E8-F6DA-4628-93D4-6A91C06B6790}"/>
    <hyperlink ref="A37" location="'Activo fijo'!A1" display="1.2.02.905" xr:uid="{AEF767D2-87BE-47E4-B021-3D3C11B71A70}"/>
    <hyperlink ref="A38" location="'Acreedores diversos (prestamo)'!A1" display="2.1.01.203" xr:uid="{4697E371-DB05-4B70-8FC7-56CF59B950E5}"/>
    <hyperlink ref="A40" location="'Acreedores Diversos'!A1" display="2.1.01.601" xr:uid="{AD67180F-71D2-4FF8-BED7-85C1D43333AF}"/>
    <hyperlink ref="A41" location="'Cuentas por pagar EERR'!A1" display="2.1.02.102" xr:uid="{478350FE-4E50-47C4-B655-78012B7902F9}"/>
    <hyperlink ref="A42" location="Proveedores!A1" display="2.1.02.103" xr:uid="{59590D6E-7541-4BEC-8449-A887068F5476}"/>
    <hyperlink ref="A43" location="Proveedores!A1" display="2.1.02.401" xr:uid="{E8D48828-7756-4734-94A6-5EFB38280877}"/>
    <hyperlink ref="A44" location="'Impuestos nómina'!A1" display="2.1.02.503" xr:uid="{27E59FFE-360D-49AE-9722-125C91A811E2}"/>
    <hyperlink ref="A45" location="Proveedores!A1" display="2.1.02.604" xr:uid="{6595DE74-2FA1-4E38-AAB9-DFDB97B18F60}"/>
    <hyperlink ref="A46" location="'Otros Pasivos'!A1" display="2.1.02.605" xr:uid="{28F2AC0F-CB87-4D20-A9E1-C8F3C28D5548}"/>
    <hyperlink ref="A47" location="'IVA por pagar del mes'!A1" display="2.1.05.101" xr:uid="{2C583B59-888B-4004-9E28-C443AC4D2450}"/>
    <hyperlink ref="A48" location="'IVA por pagar del mes'!A1" display="2.1.05.102" xr:uid="{2808734C-ABB9-4237-B6FC-5A260178BB7E}"/>
    <hyperlink ref="A49" location="'IVA por pagar del mes'!A1" display="2.1.05.103" xr:uid="{59626565-7A76-4BC9-987B-98825C79DFE2}"/>
    <hyperlink ref="A50" location="'IVA por pagar del mes'!A1" display="2.1.05.106" xr:uid="{474CD37F-F375-4C1C-9C5C-34FADE35266A}"/>
    <hyperlink ref="A51" location="'Otros Pasivos'!A1" display="2.1.06.103" xr:uid="{1D6AD34A-F4DC-4EBD-AE2F-7AB7A92967B6}"/>
    <hyperlink ref="A52" location="Patrimonio!A1" display="2.3.01.101" xr:uid="{D1EFE023-3721-4A94-8659-942F5C7B1982}"/>
    <hyperlink ref="A53" location="Patrimonio!A1" display="2.3.02.101" xr:uid="{EB6F99FE-3271-4A11-9579-A00428FAF5DE}"/>
    <hyperlink ref="A8" location="'Cajas y Bancos'!A1" display="1.1.01.209" xr:uid="{9D4C46F0-FA40-47A5-90C6-C8CA4A1D65D3}"/>
    <hyperlink ref="A9" location="'Cajas y Bancos'!A1" display="1.1.01.209" xr:uid="{BC669CA4-8D3B-4C1D-8330-DCA9EF392D06}"/>
    <hyperlink ref="A35" location="'Activo fijo'!A1" display="1.2.02.404" xr:uid="{89D114AC-90CC-4F20-88DC-A7A8D7D2B307}"/>
    <hyperlink ref="A10" location="'Cajas y Bancos'!A1" display="1.1.01.209" xr:uid="{26ADDEC5-FBE1-4861-B7D3-20456E93DE5E}"/>
    <hyperlink ref="A39" location="'Acreedores Diversos'!A1" display="2.1.01.601" xr:uid="{BCFEEA75-D0DE-4D8E-B2B4-A5FBAF205F2C}"/>
  </hyperlink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B3B2-4669-4485-A533-9E481C61685A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CAA9DF-4B22-4E3D-82D1-A761571D1703}"/>
</file>

<file path=customXml/itemProps2.xml><?xml version="1.0" encoding="utf-8"?>
<ds:datastoreItem xmlns:ds="http://schemas.openxmlformats.org/officeDocument/2006/customXml" ds:itemID="{EBCEEB95-0A3E-4AC0-B0DC-CBDB2E14AFE7}"/>
</file>

<file path=customXml/itemProps3.xml><?xml version="1.0" encoding="utf-8"?>
<ds:datastoreItem xmlns:ds="http://schemas.openxmlformats.org/officeDocument/2006/customXml" ds:itemID="{3A2E331B-C9A9-48A0-AF33-1F94D947C73E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2026-02-17T15:53:04Z</dcterms:created>
  <dcterms:modified xsi:type="dcterms:W3CDTF">2026-02-17T15:55:54Z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