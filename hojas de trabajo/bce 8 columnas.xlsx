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BC0D9FBA-D39C-412C-B655-D29697D96581}" xr6:coauthVersionLast="47" xr6:coauthVersionMax="47" xr10:uidLastSave="{00000000-0000-0000-0000-000000000000}"/>
  <bookViews>
    <workbookView xWindow="20525" yWindow="-107" windowWidth="20848" windowHeight="11100" xr2:uid="{B0E99123-B403-40EB-8E5D-79A1B16C748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3" i="1"/>
  <c r="B24" i="1"/>
  <c r="B25" i="1"/>
  <c r="B26" i="1"/>
  <c r="B27" i="1"/>
  <c r="A27" i="1" s="1"/>
  <c r="B28" i="1"/>
  <c r="A28" i="1" s="1"/>
  <c r="B29" i="1"/>
  <c r="A29" i="1" s="1"/>
  <c r="B30" i="1"/>
  <c r="A30" i="1" s="1"/>
  <c r="B31" i="1"/>
  <c r="A31" i="1" s="1"/>
  <c r="B32" i="1"/>
  <c r="A32" i="1" s="1"/>
  <c r="B33" i="1"/>
  <c r="B34" i="1"/>
  <c r="B35" i="1"/>
  <c r="B36" i="1"/>
  <c r="B37" i="1"/>
  <c r="B38" i="1"/>
  <c r="B39" i="1"/>
  <c r="B40" i="1"/>
  <c r="B41" i="1"/>
  <c r="A41" i="1" s="1"/>
  <c r="B42" i="1"/>
  <c r="A42" i="1" s="1"/>
  <c r="B43" i="1"/>
  <c r="A43" i="1" s="1"/>
  <c r="B44" i="1"/>
  <c r="A44" i="1" s="1"/>
  <c r="B45" i="1"/>
  <c r="A45" i="1" s="1"/>
  <c r="B46" i="1"/>
  <c r="B47" i="1"/>
  <c r="B48" i="1"/>
  <c r="B49" i="1"/>
  <c r="B50" i="1"/>
  <c r="B51" i="1"/>
  <c r="B52" i="1"/>
  <c r="B53" i="1"/>
  <c r="B54" i="1"/>
  <c r="A54" i="1" s="1"/>
  <c r="B55" i="1"/>
  <c r="A55" i="1" s="1"/>
  <c r="B56" i="1"/>
  <c r="A56" i="1" s="1"/>
  <c r="B57" i="1"/>
  <c r="A57" i="1" s="1"/>
  <c r="B58" i="1"/>
  <c r="B59" i="1"/>
  <c r="B60" i="1"/>
  <c r="B61" i="1"/>
  <c r="B62" i="1"/>
  <c r="B63" i="1"/>
  <c r="B64" i="1"/>
  <c r="B65" i="1"/>
  <c r="B66" i="1"/>
  <c r="B67" i="1"/>
  <c r="B68" i="1"/>
  <c r="A68" i="1" s="1"/>
  <c r="B69" i="1"/>
  <c r="B70" i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A78" i="1" s="1"/>
  <c r="B79" i="1"/>
  <c r="A79" i="1" s="1"/>
  <c r="B80" i="1"/>
  <c r="A80" i="1" s="1"/>
  <c r="B81" i="1"/>
  <c r="B82" i="1"/>
  <c r="B83" i="1"/>
  <c r="B84" i="1"/>
  <c r="B85" i="1"/>
  <c r="A85" i="1" s="1"/>
  <c r="B86" i="1"/>
  <c r="A86" i="1" s="1"/>
  <c r="B87" i="1"/>
  <c r="A87" i="1" s="1"/>
  <c r="B88" i="1"/>
  <c r="A88" i="1" s="1"/>
  <c r="B89" i="1"/>
  <c r="A89" i="1" s="1"/>
  <c r="B90" i="1"/>
  <c r="A90" i="1" s="1"/>
  <c r="B91" i="1"/>
  <c r="A91" i="1" s="1"/>
  <c r="B92" i="1"/>
  <c r="A92" i="1" s="1"/>
  <c r="B93" i="1"/>
  <c r="B94" i="1"/>
  <c r="B95" i="1"/>
  <c r="B96" i="1"/>
  <c r="B97" i="1"/>
  <c r="B98" i="1"/>
  <c r="B99" i="1"/>
  <c r="A99" i="1" s="1"/>
  <c r="B100" i="1"/>
  <c r="A100" i="1" s="1"/>
  <c r="B101" i="1"/>
  <c r="A101" i="1" s="1"/>
  <c r="B102" i="1"/>
  <c r="A102" i="1" s="1"/>
  <c r="B103" i="1"/>
  <c r="A103" i="1" s="1"/>
  <c r="B104" i="1"/>
  <c r="A104" i="1" s="1"/>
  <c r="B105" i="1"/>
  <c r="A105" i="1" s="1"/>
  <c r="B106" i="1"/>
  <c r="B107" i="1"/>
  <c r="B108" i="1"/>
  <c r="B109" i="1"/>
  <c r="A3" i="1"/>
  <c r="A4" i="1"/>
  <c r="A5" i="1"/>
  <c r="A8" i="1"/>
  <c r="A9" i="1"/>
  <c r="A10" i="1"/>
  <c r="A11" i="1"/>
  <c r="A12" i="1"/>
  <c r="A13" i="1"/>
  <c r="A14" i="1"/>
  <c r="A15" i="1"/>
  <c r="A16" i="1"/>
  <c r="A17" i="1"/>
  <c r="A20" i="1"/>
  <c r="A21" i="1"/>
  <c r="A22" i="1"/>
  <c r="A23" i="1"/>
  <c r="A24" i="1"/>
  <c r="A25" i="1"/>
  <c r="A26" i="1"/>
  <c r="A33" i="1"/>
  <c r="A34" i="1"/>
  <c r="A35" i="1"/>
  <c r="A36" i="1"/>
  <c r="A37" i="1"/>
  <c r="A38" i="1"/>
  <c r="A39" i="1"/>
  <c r="A40" i="1"/>
  <c r="A46" i="1"/>
  <c r="A47" i="1"/>
  <c r="A48" i="1"/>
  <c r="A49" i="1"/>
  <c r="A50" i="1"/>
  <c r="A51" i="1"/>
  <c r="A52" i="1"/>
  <c r="A53" i="1"/>
  <c r="A58" i="1"/>
  <c r="A59" i="1"/>
  <c r="A60" i="1"/>
  <c r="A61" i="1"/>
  <c r="A62" i="1"/>
  <c r="A63" i="1"/>
  <c r="A64" i="1"/>
  <c r="A65" i="1"/>
  <c r="A69" i="1"/>
  <c r="A70" i="1"/>
  <c r="A81" i="1"/>
  <c r="A82" i="1"/>
  <c r="A83" i="1"/>
  <c r="A84" i="1"/>
  <c r="A93" i="1"/>
  <c r="A94" i="1"/>
  <c r="A95" i="1"/>
  <c r="A96" i="1"/>
  <c r="A97" i="1"/>
  <c r="A98" i="1"/>
  <c r="A106" i="1"/>
  <c r="A107" i="1"/>
  <c r="A108" i="1"/>
  <c r="A109" i="1"/>
  <c r="B3" i="1"/>
  <c r="B4" i="1"/>
  <c r="B5" i="1"/>
  <c r="B6" i="1"/>
  <c r="A6" i="1" s="1"/>
  <c r="B7" i="1"/>
  <c r="A7" i="1" s="1"/>
  <c r="B8" i="1"/>
  <c r="B9" i="1"/>
  <c r="B10" i="1"/>
  <c r="B11" i="1"/>
  <c r="B12" i="1"/>
  <c r="B13" i="1"/>
  <c r="B14" i="1"/>
  <c r="B15" i="1"/>
  <c r="B16" i="1"/>
  <c r="B17" i="1"/>
  <c r="B18" i="1"/>
  <c r="A18" i="1" s="1"/>
  <c r="B19" i="1"/>
  <c r="A19" i="1" s="1"/>
  <c r="B20" i="1"/>
  <c r="A66" i="1"/>
  <c r="A67" i="1"/>
  <c r="B2" i="1"/>
  <c r="A2" i="1" s="1"/>
</calcChain>
</file>

<file path=xl/sharedStrings.xml><?xml version="1.0" encoding="utf-8"?>
<sst xmlns="http://schemas.openxmlformats.org/spreadsheetml/2006/main" count="345" uniqueCount="231">
  <si>
    <t>Item</t>
  </si>
  <si>
    <t>Cuenta</t>
  </si>
  <si>
    <t>Nombre Cuenta.</t>
  </si>
  <si>
    <t>Debitos</t>
  </si>
  <si>
    <t>Creditos</t>
  </si>
  <si>
    <t>Sal. Deudor</t>
  </si>
  <si>
    <t>Sal. Acreedor</t>
  </si>
  <si>
    <t>Activos</t>
  </si>
  <si>
    <t>Pasivos</t>
  </si>
  <si>
    <t>Pérdidas</t>
  </si>
  <si>
    <t>Ganancias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</si>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</sst>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6" fillId="34" borderId="10" xfId="0" applyFont="1" applyFill="1" applyBorder="1" applyAlignment="1">
      <alignment horizontal="right"/>
    </xf>
    <xf numFmtId="0" fontId="23" fillId="34" borderId="10" xfId="42" applyFill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0" fillId="0" borderId="0" xfId="0" applyAlignment="1">
      <alignment horizontal="left"/>
    </xf>
  </cellXfs>
  <cellStyles count="1449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AF76D4C4-B60C-4C39-BFB4-FEB29390B442}"/>
    <cellStyle name="60% - Énfasis1 10" xfId="36" xr:uid="{6900FD4A-8BA5-4A5A-A965-B8A3EA985014}"/>
    <cellStyle name="60% - Énfasis1 2" xfId="65" xr:uid="{2BEF0A27-7A11-4497-95BE-539EBA48F710}"/>
    <cellStyle name="60% - Énfasis1 3" xfId="83" xr:uid="{34E6CC0F-721A-4DC8-82E4-FAC7166C51E0}"/>
    <cellStyle name="60% - Énfasis1 4" xfId="112" xr:uid="{C3A2A018-6E4A-4711-AA3A-0B9CA8F6447B}"/>
    <cellStyle name="60% - Énfasis1 5" xfId="162" xr:uid="{0915B7BC-CDB1-458C-80BB-59A79E0EF68F}"/>
    <cellStyle name="60% - Énfasis1 6" xfId="251" xr:uid="{24822C2D-6C47-4776-8C16-B295FED8859E}"/>
    <cellStyle name="60% - Énfasis1 7" xfId="266" xr:uid="{DB310FB1-414F-4F5C-8211-2DC61EF5F946}"/>
    <cellStyle name="60% - Énfasis1 8" xfId="439" xr:uid="{E006A870-D374-4E4C-A561-01E8AFA5DF46}"/>
    <cellStyle name="60% - Énfasis1 9" xfId="778" xr:uid="{B20B5E40-D365-4D18-A66D-E463EE4E9D27}"/>
    <cellStyle name="60% - Énfasis2 10" xfId="37" xr:uid="{4FBAAF37-B0F6-4515-B113-EA6810EAF931}"/>
    <cellStyle name="60% - Énfasis2 2" xfId="66" xr:uid="{B6C14247-F485-4F1A-AB92-6BC839247AFC}"/>
    <cellStyle name="60% - Énfasis2 3" xfId="84" xr:uid="{2BCD005C-A72C-4456-8CE3-56F01754FAF4}"/>
    <cellStyle name="60% - Énfasis2 4" xfId="113" xr:uid="{0296AB4D-328E-46F9-BE98-093F5A6CFE8C}"/>
    <cellStyle name="60% - Énfasis2 5" xfId="163" xr:uid="{E51CAFE7-4D2A-4406-A6B7-C139F8F9E236}"/>
    <cellStyle name="60% - Énfasis2 6" xfId="252" xr:uid="{C4F8E75E-6BF8-4821-AAEF-9F1BD0533AFC}"/>
    <cellStyle name="60% - Énfasis2 7" xfId="267" xr:uid="{8B98C838-D7EB-4CB5-8BE9-8A9BD5EF6397}"/>
    <cellStyle name="60% - Énfasis2 8" xfId="440" xr:uid="{BCFE9A02-939C-47C0-876D-9490B4615D41}"/>
    <cellStyle name="60% - Énfasis2 9" xfId="779" xr:uid="{FBD4FAD0-8E22-4A95-9C93-953909B9255E}"/>
    <cellStyle name="60% - Énfasis3 10" xfId="38" xr:uid="{B28F9523-CEA7-4B49-8F04-6D5A0ED0C3B6}"/>
    <cellStyle name="60% - Énfasis3 2" xfId="67" xr:uid="{142F5406-C5DD-4042-96F4-584835102F9E}"/>
    <cellStyle name="60% - Énfasis3 3" xfId="85" xr:uid="{AB0E8170-E292-4B01-B550-C54665B75193}"/>
    <cellStyle name="60% - Énfasis3 4" xfId="114" xr:uid="{A42A464B-8373-471F-AAFC-F779FD8C87BB}"/>
    <cellStyle name="60% - Énfasis3 5" xfId="164" xr:uid="{FE21A972-D838-4064-AB09-C4BB28B575A5}"/>
    <cellStyle name="60% - Énfasis3 6" xfId="253" xr:uid="{096374E1-BFB8-4787-BF9A-8E418E3483B1}"/>
    <cellStyle name="60% - Énfasis3 7" xfId="268" xr:uid="{FF408709-199A-4C0E-927B-D9EEDE5644E3}"/>
    <cellStyle name="60% - Énfasis3 8" xfId="441" xr:uid="{21D3E539-D831-49AC-BAAC-75D42A2ECB9B}"/>
    <cellStyle name="60% - Énfasis3 9" xfId="780" xr:uid="{E89C4D94-4F86-4BB1-A0A4-D0E949B8E717}"/>
    <cellStyle name="60% - Énfasis4 10" xfId="39" xr:uid="{95ADFB32-6921-498E-929A-40C357002E9C}"/>
    <cellStyle name="60% - Énfasis4 2" xfId="68" xr:uid="{2730E2BE-5AD2-4123-8432-2CE6A2BD5376}"/>
    <cellStyle name="60% - Énfasis4 3" xfId="86" xr:uid="{8B0A4938-9195-487B-845B-70EFBA4098A7}"/>
    <cellStyle name="60% - Énfasis4 4" xfId="115" xr:uid="{44C999D7-2A1A-49EF-8779-37D3173ECA42}"/>
    <cellStyle name="60% - Énfasis4 5" xfId="165" xr:uid="{84B56AA6-14AC-4DD4-89B7-9115ACA1B844}"/>
    <cellStyle name="60% - Énfasis4 6" xfId="254" xr:uid="{DC5BD0FE-67DF-41A6-B166-275733D778AA}"/>
    <cellStyle name="60% - Énfasis4 7" xfId="269" xr:uid="{26032876-B6ED-4AA2-A4AB-449E662E4A9D}"/>
    <cellStyle name="60% - Énfasis4 8" xfId="442" xr:uid="{81314386-BC2A-4DAF-9EDD-CF067C139FDF}"/>
    <cellStyle name="60% - Énfasis4 9" xfId="781" xr:uid="{38A59CB8-C6C0-49A1-947D-1021343B6AD2}"/>
    <cellStyle name="60% - Énfasis5 10" xfId="40" xr:uid="{0BCFEE45-0DC8-43B1-B80A-084A134FC6E3}"/>
    <cellStyle name="60% - Énfasis5 2" xfId="69" xr:uid="{BF8CF3B5-C0FC-407C-920A-7218FAD39905}"/>
    <cellStyle name="60% - Énfasis5 3" xfId="87" xr:uid="{44D8DE08-86BB-44F6-8FED-EAE1FAE0CC98}"/>
    <cellStyle name="60% - Énfasis5 4" xfId="116" xr:uid="{9D6C1A5D-AACB-4479-8BB4-298849E24FEF}"/>
    <cellStyle name="60% - Énfasis5 5" xfId="166" xr:uid="{F34D2DAA-A0BA-4364-97DD-685F9BF841D3}"/>
    <cellStyle name="60% - Énfasis5 6" xfId="255" xr:uid="{643AC9BD-0AAC-479E-8D57-FDBC6C6E60B9}"/>
    <cellStyle name="60% - Énfasis5 7" xfId="270" xr:uid="{591327C5-19A6-4D9A-AA59-7944FC3A239D}"/>
    <cellStyle name="60% - Énfasis5 8" xfId="443" xr:uid="{30F49274-9D94-4FA0-9169-6A87161B9016}"/>
    <cellStyle name="60% - Énfasis5 9" xfId="782" xr:uid="{DBC755F3-7840-45C4-B07C-065CED1AA5C5}"/>
    <cellStyle name="60% - Énfasis6 10" xfId="41" xr:uid="{FF572E1F-40F7-45AA-8AB8-F72162C05956}"/>
    <cellStyle name="60% - Énfasis6 2" xfId="70" xr:uid="{CCD9453C-A05B-46D7-A78E-DF983226A8A1}"/>
    <cellStyle name="60% - Énfasis6 3" xfId="88" xr:uid="{27376769-CB0B-4C79-B66B-E71AFC0D8CEE}"/>
    <cellStyle name="60% - Énfasis6 4" xfId="117" xr:uid="{404D6EF5-6881-47C6-8BEB-B30F07C33BC6}"/>
    <cellStyle name="60% - Énfasis6 5" xfId="167" xr:uid="{76ED1B1F-A5A7-451E-9A7F-E151CA5B0919}"/>
    <cellStyle name="60% - Énfasis6 6" xfId="256" xr:uid="{8B6BEA14-198C-4676-AD0A-1DDB910992F5}"/>
    <cellStyle name="60% - Énfasis6 7" xfId="271" xr:uid="{79EBFD1A-1231-4B92-87C0-DDECF5593E37}"/>
    <cellStyle name="60% - Énfasis6 8" xfId="444" xr:uid="{DD7A9617-A76B-46B3-B206-CF7073F2A775}"/>
    <cellStyle name="60% - Énfasis6 9" xfId="783" xr:uid="{A2F570D7-7003-4D2A-9434-034579199E91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Hipervínculo" xfId="42" builtinId="8"/>
    <cellStyle name="Incorrecto" xfId="7" builtinId="27" customBuiltin="1"/>
    <cellStyle name="Millares [0] 10" xfId="175" xr:uid="{C76B102A-7AFB-40AD-B95F-AC3DBCD80D02}"/>
    <cellStyle name="Millares [0] 10 2" xfId="361" xr:uid="{EA541C3B-2CC4-4E94-B130-57E9488DA6AA}"/>
    <cellStyle name="Millares [0] 10 2 2" xfId="700" xr:uid="{3A27997F-E505-4B8E-BA5B-3153EE80C710}"/>
    <cellStyle name="Millares [0] 10 2 2 2" xfId="1371" xr:uid="{8C8A29CB-010F-4E93-A716-34E51CB99261}"/>
    <cellStyle name="Millares [0] 10 2 3" xfId="1039" xr:uid="{AD23AD01-530C-42A5-9E6F-E308965402FD}"/>
    <cellStyle name="Millares [0] 10 3" xfId="534" xr:uid="{AF7D73B0-AA7A-44AD-8D8A-17369C7A05A3}"/>
    <cellStyle name="Millares [0] 10 3 2" xfId="1205" xr:uid="{F47B44D2-8FE3-4DCE-AECC-8F47C077D106}"/>
    <cellStyle name="Millares [0] 10 4" xfId="873" xr:uid="{76CEB5E9-9230-4DBE-ACBB-2B664EEE929C}"/>
    <cellStyle name="Millares [0] 11" xfId="265" xr:uid="{4F502B41-31AC-4DA8-9A93-D5A49EA804B8}"/>
    <cellStyle name="Millares [0] 11 2" xfId="438" xr:uid="{AD8BF223-9A6C-4556-8306-081341733C5D}"/>
    <cellStyle name="Millares [0] 11 2 2" xfId="777" xr:uid="{84864B55-A61B-456E-90EE-46A63A6B34E8}"/>
    <cellStyle name="Millares [0] 11 2 2 2" xfId="1448" xr:uid="{AFA6246F-424A-4EE7-8507-6DCBEF280BEA}"/>
    <cellStyle name="Millares [0] 11 2 3" xfId="1116" xr:uid="{E8E161DB-A00E-4F4E-9FF4-C5B77275F866}"/>
    <cellStyle name="Millares [0] 11 3" xfId="611" xr:uid="{F120CF54-025E-40C2-87EF-CCC2A482FD6D}"/>
    <cellStyle name="Millares [0] 11 3 2" xfId="1282" xr:uid="{93C63D7F-20E9-4F7A-8905-87543D8E7A29}"/>
    <cellStyle name="Millares [0] 11 4" xfId="950" xr:uid="{7DD08E52-A42C-4BF2-BC86-377FEBBE35D4}"/>
    <cellStyle name="Millares [0] 12" xfId="279" xr:uid="{E8D8E881-9843-486A-8755-CA3898EE81D0}"/>
    <cellStyle name="Millares [0] 12 2" xfId="618" xr:uid="{4181F009-0707-4AE0-84C9-68CE639558CE}"/>
    <cellStyle name="Millares [0] 12 2 2" xfId="1289" xr:uid="{AEBBA64B-340C-408A-B816-5A5CA3308DCA}"/>
    <cellStyle name="Millares [0] 12 3" xfId="957" xr:uid="{12E95C8F-BDBF-4A9A-B2BA-ABF38BEA1111}"/>
    <cellStyle name="Millares [0] 13" xfId="452" xr:uid="{C74D998F-8FA2-47D0-8E04-8FD68DD03B6F}"/>
    <cellStyle name="Millares [0] 13 2" xfId="1123" xr:uid="{4782A26C-A2A7-4254-8E8D-C6B4164B3B8A}"/>
    <cellStyle name="Millares [0] 14" xfId="791" xr:uid="{AC667B16-7CDE-4BEC-B107-2A1B0E419CDF}"/>
    <cellStyle name="Millares [0] 15" xfId="61" xr:uid="{756B5039-235A-4CEB-9A68-B5FBEDCC1016}"/>
    <cellStyle name="Millares [0] 2" xfId="44" xr:uid="{96907F23-E7EF-4809-BBE5-EF6B180C6A1F}"/>
    <cellStyle name="Millares [0] 2 2" xfId="258" xr:uid="{5FAE9428-EEC0-4FF4-BFA9-DB3E259F4C24}"/>
    <cellStyle name="Millares [0] 3" xfId="45" xr:uid="{7F892008-72E9-43D0-9B65-98EBCCDD863C}"/>
    <cellStyle name="Millares [0] 3 2" xfId="72" xr:uid="{7A6E76A8-2759-45DF-BFAE-6D37D982DC5C}"/>
    <cellStyle name="Millares [0] 3 2 2" xfId="101" xr:uid="{E4F25862-5172-4249-8293-BDADEDA96AC5}"/>
    <cellStyle name="Millares [0] 3 2 2 2" xfId="149" xr:uid="{76C99E66-63A7-47DF-A22E-58559D57B649}"/>
    <cellStyle name="Millares [0] 3 2 2 2 2" xfId="238" xr:uid="{31C0166B-8B1C-48DB-8DAD-93B6C732C95B}"/>
    <cellStyle name="Millares [0] 3 2 2 2 2 2" xfId="424" xr:uid="{427652EC-7A1C-4D15-85DB-FF233B674986}"/>
    <cellStyle name="Millares [0] 3 2 2 2 2 2 2" xfId="763" xr:uid="{6FA9E361-9A3E-423F-99CC-4ECDCB0EA730}"/>
    <cellStyle name="Millares [0] 3 2 2 2 2 2 2 2" xfId="1434" xr:uid="{0EAB07CD-230A-4892-B1AD-B31B91CE4F4F}"/>
    <cellStyle name="Millares [0] 3 2 2 2 2 2 3" xfId="1102" xr:uid="{54753309-765A-4CA2-AFAD-94B4CD80FE85}"/>
    <cellStyle name="Millares [0] 3 2 2 2 2 3" xfId="597" xr:uid="{8BCFBFA3-EF59-4D0C-88DB-CDA1BEC136D9}"/>
    <cellStyle name="Millares [0] 3 2 2 2 2 3 2" xfId="1268" xr:uid="{977D8013-A014-4A41-A281-D273B8CA1447}"/>
    <cellStyle name="Millares [0] 3 2 2 2 2 4" xfId="936" xr:uid="{CC2F3034-FDA0-439D-B6AE-6965BCD5C42F}"/>
    <cellStyle name="Millares [0] 3 2 2 2 3" xfId="342" xr:uid="{44B5CC4A-9750-4950-A24E-012210A94D8B}"/>
    <cellStyle name="Millares [0] 3 2 2 2 3 2" xfId="681" xr:uid="{1CE3C0CF-F02B-4B23-ABC0-6A86041A75F7}"/>
    <cellStyle name="Millares [0] 3 2 2 2 3 2 2" xfId="1352" xr:uid="{B1EC151F-5ED6-453F-BC03-28F6BA6529C0}"/>
    <cellStyle name="Millares [0] 3 2 2 2 3 3" xfId="1020" xr:uid="{3119AD74-5EFC-43E3-8F7E-43574CD4B8D7}"/>
    <cellStyle name="Millares [0] 3 2 2 2 4" xfId="515" xr:uid="{2A07D44C-D86E-4BD6-9813-CA5C75E8E8D5}"/>
    <cellStyle name="Millares [0] 3 2 2 2 4 2" xfId="1186" xr:uid="{10FE1F3D-FD3A-4A0A-AB63-BABFE57CAA51}"/>
    <cellStyle name="Millares [0] 3 2 2 2 5" xfId="854" xr:uid="{6985FC91-2F8B-49EB-9D7C-091F6A877778}"/>
    <cellStyle name="Millares [0] 3 2 2 3" xfId="198" xr:uid="{4CFA7849-101C-4B0C-9E6A-B38DAC2B899E}"/>
    <cellStyle name="Millares [0] 3 2 2 3 2" xfId="384" xr:uid="{44B10123-C8D1-412B-8C2B-B5D932185CB6}"/>
    <cellStyle name="Millares [0] 3 2 2 3 2 2" xfId="723" xr:uid="{A3D3069E-161D-466C-A6BF-8BF86B1D6CD3}"/>
    <cellStyle name="Millares [0] 3 2 2 3 2 2 2" xfId="1394" xr:uid="{39EC34B5-BD9F-4A1D-9985-571782E917B8}"/>
    <cellStyle name="Millares [0] 3 2 2 3 2 3" xfId="1062" xr:uid="{137799DE-1390-40C7-8FD2-0F6FD872EE85}"/>
    <cellStyle name="Millares [0] 3 2 2 3 3" xfId="557" xr:uid="{6BD6446F-7925-40DF-8F17-2A0304F4E29C}"/>
    <cellStyle name="Millares [0] 3 2 2 3 3 2" xfId="1228" xr:uid="{C7035E29-FED1-49EB-A8BE-6A930BC1F39B}"/>
    <cellStyle name="Millares [0] 3 2 2 3 4" xfId="896" xr:uid="{FFFD2C62-76CD-4D7A-B3C1-079A869950BE}"/>
    <cellStyle name="Millares [0] 3 2 2 4" xfId="302" xr:uid="{F10C29C3-C1A0-4E9F-B518-1ADE31E85882}"/>
    <cellStyle name="Millares [0] 3 2 2 4 2" xfId="641" xr:uid="{8066B462-5395-4BAF-8A65-CA6A74FD0199}"/>
    <cellStyle name="Millares [0] 3 2 2 4 2 2" xfId="1312" xr:uid="{B7C0B899-3949-4145-85AB-98F482500F8A}"/>
    <cellStyle name="Millares [0] 3 2 2 4 3" xfId="980" xr:uid="{0602417A-2332-40CF-A9CD-ED337607CC2A}"/>
    <cellStyle name="Millares [0] 3 2 2 5" xfId="475" xr:uid="{DCF5AD11-92E6-41B7-9252-5D1DBBF91783}"/>
    <cellStyle name="Millares [0] 3 2 2 5 2" xfId="1146" xr:uid="{392773BA-C4A2-4111-97A9-F84170D64DBB}"/>
    <cellStyle name="Millares [0] 3 2 2 6" xfId="814" xr:uid="{BCCA60CD-8F6D-4412-B70A-EC579A7136D0}"/>
    <cellStyle name="Millares [0] 3 2 3" xfId="130" xr:uid="{9D43112B-7476-4FCC-9FEE-81C0511B71B1}"/>
    <cellStyle name="Millares [0] 3 2 3 2" xfId="219" xr:uid="{135DE838-B296-4434-AF75-7BFA98B2BC9A}"/>
    <cellStyle name="Millares [0] 3 2 3 2 2" xfId="405" xr:uid="{7EC9FE2E-1EDA-4D7D-8216-4D630595BE93}"/>
    <cellStyle name="Millares [0] 3 2 3 2 2 2" xfId="744" xr:uid="{E0766CB5-E667-4E84-98DA-192B696EDF3F}"/>
    <cellStyle name="Millares [0] 3 2 3 2 2 2 2" xfId="1415" xr:uid="{95A5CE3E-D38F-43FF-A084-51CDA3A9B554}"/>
    <cellStyle name="Millares [0] 3 2 3 2 2 3" xfId="1083" xr:uid="{C9EDE77F-37A8-4F29-A438-7C3663D0F20D}"/>
    <cellStyle name="Millares [0] 3 2 3 2 3" xfId="578" xr:uid="{6ABF03B3-A7AD-44ED-9BDD-FF2170DB1B21}"/>
    <cellStyle name="Millares [0] 3 2 3 2 3 2" xfId="1249" xr:uid="{832DD004-A784-4D30-97EE-025727D9F564}"/>
    <cellStyle name="Millares [0] 3 2 3 2 4" xfId="917" xr:uid="{12EF628D-F051-475D-B379-3E56493ABB87}"/>
    <cellStyle name="Millares [0] 3 2 3 3" xfId="323" xr:uid="{3A2DFFEC-8877-40A1-B610-30F000C743F9}"/>
    <cellStyle name="Millares [0] 3 2 3 3 2" xfId="662" xr:uid="{AF57F3B9-6106-4070-91B5-CDF1A0CA7953}"/>
    <cellStyle name="Millares [0] 3 2 3 3 2 2" xfId="1333" xr:uid="{115B336D-4858-455E-9F11-C749338B1B48}"/>
    <cellStyle name="Millares [0] 3 2 3 3 3" xfId="1001" xr:uid="{B9626A4B-10CB-4949-BA76-B20DD72AFAFD}"/>
    <cellStyle name="Millares [0] 3 2 3 4" xfId="496" xr:uid="{EA495FF4-C491-4F79-A012-08FD8DA890BA}"/>
    <cellStyle name="Millares [0] 3 2 3 4 2" xfId="1167" xr:uid="{7D48F970-8B08-4119-99D0-9C63A9838A38}"/>
    <cellStyle name="Millares [0] 3 2 3 5" xfId="835" xr:uid="{CCB003BA-EA4D-4976-95B9-9257C84FEE89}"/>
    <cellStyle name="Millares [0] 3 2 4" xfId="179" xr:uid="{D15FEE65-2107-4B03-8DCA-8B91AA497D5E}"/>
    <cellStyle name="Millares [0] 3 2 4 2" xfId="365" xr:uid="{683AB874-F10A-434C-981C-596162C0622F}"/>
    <cellStyle name="Millares [0] 3 2 4 2 2" xfId="704" xr:uid="{640728B0-D7F5-4982-BAD9-A0736A23463A}"/>
    <cellStyle name="Millares [0] 3 2 4 2 2 2" xfId="1375" xr:uid="{9DFCACA3-8BFE-4FC1-B200-28F9E9516AFD}"/>
    <cellStyle name="Millares [0] 3 2 4 2 3" xfId="1043" xr:uid="{A81831AD-8FB1-4A4F-8B5F-FFF5898DA726}"/>
    <cellStyle name="Millares [0] 3 2 4 3" xfId="538" xr:uid="{01DDC881-2171-4D84-AA1F-7249A9892F94}"/>
    <cellStyle name="Millares [0] 3 2 4 3 2" xfId="1209" xr:uid="{DCA9C7C6-34FB-4E88-BF7D-AC59510E3D13}"/>
    <cellStyle name="Millares [0] 3 2 4 4" xfId="877" xr:uid="{E6D7EFED-096F-4F06-841C-7BCD5D0630EA}"/>
    <cellStyle name="Millares [0] 3 2 5" xfId="283" xr:uid="{30D1565B-A8B9-4714-A858-80E57894F962}"/>
    <cellStyle name="Millares [0] 3 2 5 2" xfId="622" xr:uid="{ADB930A8-E979-473A-A98C-4ECD19BDDCFD}"/>
    <cellStyle name="Millares [0] 3 2 5 2 2" xfId="1293" xr:uid="{F005F21F-B18E-4CC3-9E06-EAAAB116DF3F}"/>
    <cellStyle name="Millares [0] 3 2 5 3" xfId="961" xr:uid="{E898A9A7-0DD1-4FAC-BC31-3131944941F3}"/>
    <cellStyle name="Millares [0] 3 2 6" xfId="456" xr:uid="{67B718AA-6DB6-4C8B-833C-8FCAEF97E67C}"/>
    <cellStyle name="Millares [0] 3 2 6 2" xfId="1127" xr:uid="{E410079C-D2C0-4592-9F04-A92A9FA036D7}"/>
    <cellStyle name="Millares [0] 3 2 7" xfId="795" xr:uid="{BAB63684-D96B-4EC5-B280-59DE0B78B622}"/>
    <cellStyle name="Millares [0] 3 3" xfId="90" xr:uid="{2F525775-5D70-4C69-81E6-1BD7EACEFFA4}"/>
    <cellStyle name="Millares [0] 3 3 2" xfId="140" xr:uid="{4EA85CBA-2792-45BB-B726-1113C81A953C}"/>
    <cellStyle name="Millares [0] 3 3 2 2" xfId="229" xr:uid="{5515DBCC-792C-4AAE-A20E-9AAAB8A1C55E}"/>
    <cellStyle name="Millares [0] 3 3 2 2 2" xfId="415" xr:uid="{7E98A58D-0DA7-4F22-A7C0-AFA942284DAA}"/>
    <cellStyle name="Millares [0] 3 3 2 2 2 2" xfId="754" xr:uid="{3B361877-11A6-4DE3-B3D7-D652C62B6A96}"/>
    <cellStyle name="Millares [0] 3 3 2 2 2 2 2" xfId="1425" xr:uid="{10A4CF3E-5D42-4AA3-8C00-B48C9D0FAE96}"/>
    <cellStyle name="Millares [0] 3 3 2 2 2 3" xfId="1093" xr:uid="{2422AEC7-8BB8-45BD-84FB-1D70C76E9E5F}"/>
    <cellStyle name="Millares [0] 3 3 2 2 3" xfId="588" xr:uid="{3DD24CC3-ABA0-4561-9E06-FF52878061DF}"/>
    <cellStyle name="Millares [0] 3 3 2 2 3 2" xfId="1259" xr:uid="{D73105C2-40D1-4E65-871A-C12C12F673FD}"/>
    <cellStyle name="Millares [0] 3 3 2 2 4" xfId="927" xr:uid="{52228C86-C716-41BF-BBB4-2CC8AFFF3D24}"/>
    <cellStyle name="Millares [0] 3 3 2 3" xfId="333" xr:uid="{D3EDD10F-CBFF-4EF7-90AB-301D7B3DD24B}"/>
    <cellStyle name="Millares [0] 3 3 2 3 2" xfId="672" xr:uid="{5EEACDE3-EC08-450F-82D0-49EBF5AD62C8}"/>
    <cellStyle name="Millares [0] 3 3 2 3 2 2" xfId="1343" xr:uid="{829321D8-59D3-49CD-AE34-350FB4F387F4}"/>
    <cellStyle name="Millares [0] 3 3 2 3 3" xfId="1011" xr:uid="{A8F48058-9377-421B-912A-1336A7C8B30A}"/>
    <cellStyle name="Millares [0] 3 3 2 4" xfId="506" xr:uid="{FFBA6E23-B6E3-4DCD-872F-BCD58E7F95EC}"/>
    <cellStyle name="Millares [0] 3 3 2 4 2" xfId="1177" xr:uid="{6626D368-069D-4879-B1AB-539BBD26032A}"/>
    <cellStyle name="Millares [0] 3 3 2 5" xfId="845" xr:uid="{C788B01E-6992-40A6-905A-3E11D33BB197}"/>
    <cellStyle name="Millares [0] 3 3 3" xfId="189" xr:uid="{9BD2642E-989F-40AB-AEB2-AE2033AA948E}"/>
    <cellStyle name="Millares [0] 3 3 3 2" xfId="375" xr:uid="{175214CE-9DFA-42CC-B498-14B7CBD0929E}"/>
    <cellStyle name="Millares [0] 3 3 3 2 2" xfId="714" xr:uid="{3376A838-A850-43C0-9141-E15CFD219E92}"/>
    <cellStyle name="Millares [0] 3 3 3 2 2 2" xfId="1385" xr:uid="{4FABF6A5-746C-4ADC-8C0A-13CBAE72A43B}"/>
    <cellStyle name="Millares [0] 3 3 3 2 3" xfId="1053" xr:uid="{413843DC-0661-4EEB-89DF-E25B520F165B}"/>
    <cellStyle name="Millares [0] 3 3 3 3" xfId="548" xr:uid="{D1A47A50-186C-448A-853A-A2B51BE5F5E3}"/>
    <cellStyle name="Millares [0] 3 3 3 3 2" xfId="1219" xr:uid="{D9600C25-5614-488F-AEB7-8962393EB2A2}"/>
    <cellStyle name="Millares [0] 3 3 3 4" xfId="887" xr:uid="{7D054320-A84A-42E8-AE11-111DCD0C2865}"/>
    <cellStyle name="Millares [0] 3 3 4" xfId="293" xr:uid="{B34007DA-1A02-4F7A-A5A9-0E7F2817076B}"/>
    <cellStyle name="Millares [0] 3 3 4 2" xfId="632" xr:uid="{DD542177-2BB5-42AC-866E-4DA87654F644}"/>
    <cellStyle name="Millares [0] 3 3 4 2 2" xfId="1303" xr:uid="{8CB86F18-34DD-4C9A-9E1C-BE3660C5B907}"/>
    <cellStyle name="Millares [0] 3 3 4 3" xfId="971" xr:uid="{75FB81A0-CBE8-46ED-8EAD-F4EB9CDB3AE3}"/>
    <cellStyle name="Millares [0] 3 3 5" xfId="466" xr:uid="{968E6A6F-D01C-4D8D-ADFB-EFDF7CC4ED77}"/>
    <cellStyle name="Millares [0] 3 3 5 2" xfId="1137" xr:uid="{979F4E35-0649-4C67-BE5B-3193B734C6D4}"/>
    <cellStyle name="Millares [0] 3 3 6" xfId="805" xr:uid="{71323E4D-00B9-42B5-AF21-62C1F34713C2}"/>
    <cellStyle name="Millares [0] 3 4" xfId="119" xr:uid="{C796E391-7D1E-4558-AEC9-264D07761453}"/>
    <cellStyle name="Millares [0] 3 4 2" xfId="210" xr:uid="{1E4CB17C-2FD4-443F-93B7-284EDEA48FA5}"/>
    <cellStyle name="Millares [0] 3 4 2 2" xfId="396" xr:uid="{F493C122-C66F-451F-AA1D-C9D2C22F5FF6}"/>
    <cellStyle name="Millares [0] 3 4 2 2 2" xfId="735" xr:uid="{2485CB5F-D2D4-4582-A142-EE44ECE6A745}"/>
    <cellStyle name="Millares [0] 3 4 2 2 2 2" xfId="1406" xr:uid="{CDC0B345-5D7C-4D0C-A357-161736EB4636}"/>
    <cellStyle name="Millares [0] 3 4 2 2 3" xfId="1074" xr:uid="{AD1B699B-27EA-4E15-B04E-84F6DFEDC116}"/>
    <cellStyle name="Millares [0] 3 4 2 3" xfId="569" xr:uid="{2F4AF4A0-FD1D-402E-8890-4ED0AC1A5DF7}"/>
    <cellStyle name="Millares [0] 3 4 2 3 2" xfId="1240" xr:uid="{4874CD82-76B0-4313-AA3E-A26DD0EC7AC4}"/>
    <cellStyle name="Millares [0] 3 4 2 4" xfId="908" xr:uid="{B0116771-9AA7-49E4-9FDF-20FBA0830AD1}"/>
    <cellStyle name="Millares [0] 3 4 3" xfId="314" xr:uid="{F1E3196E-AE81-4AD4-ADB8-A69B985FFF61}"/>
    <cellStyle name="Millares [0] 3 4 3 2" xfId="653" xr:uid="{20EC06FD-9C20-4213-81E0-5D4954E419F6}"/>
    <cellStyle name="Millares [0] 3 4 3 2 2" xfId="1324" xr:uid="{DAE146D2-DDDF-4669-A8BF-B02846DFB299}"/>
    <cellStyle name="Millares [0] 3 4 3 3" xfId="992" xr:uid="{2A9C684C-47EA-4297-B386-46D37CC3710C}"/>
    <cellStyle name="Millares [0] 3 4 4" xfId="487" xr:uid="{2656CA01-9F9B-4E11-B2EE-4CFB0A88C156}"/>
    <cellStyle name="Millares [0] 3 4 4 2" xfId="1158" xr:uid="{B53AF1D9-7178-47F2-8234-40A80B22E214}"/>
    <cellStyle name="Millares [0] 3 4 5" xfId="826" xr:uid="{CBB3BFF6-851C-4800-A81C-3F7770E5B7D4}"/>
    <cellStyle name="Millares [0] 3 5" xfId="169" xr:uid="{F40A716C-927C-4107-B9C0-0CCEE7B6A453}"/>
    <cellStyle name="Millares [0] 3 5 2" xfId="356" xr:uid="{34B619B2-E3A6-47C5-98D3-976BA61DC0D8}"/>
    <cellStyle name="Millares [0] 3 5 2 2" xfId="695" xr:uid="{97B4A645-FB05-431A-81B3-1F9C81947E89}"/>
    <cellStyle name="Millares [0] 3 5 2 2 2" xfId="1366" xr:uid="{5BE33925-5C1F-4CBF-8DC7-B357DA91AC59}"/>
    <cellStyle name="Millares [0] 3 5 2 3" xfId="1034" xr:uid="{2C36464C-062F-4B32-8D19-0E9EE3443B86}"/>
    <cellStyle name="Millares [0] 3 5 3" xfId="529" xr:uid="{7D89A87C-E7D2-4E17-9DF7-6BB3FB11A992}"/>
    <cellStyle name="Millares [0] 3 5 3 2" xfId="1200" xr:uid="{73AED0E3-9BD9-41D3-9B6E-92A1ECDFB902}"/>
    <cellStyle name="Millares [0] 3 5 4" xfId="868" xr:uid="{A8233E2F-9574-4921-A898-81706F7EC7D9}"/>
    <cellStyle name="Millares [0] 3 6" xfId="273" xr:uid="{4982B058-0D5F-44E1-A6B4-560A1BE30D3A}"/>
    <cellStyle name="Millares [0] 3 6 2" xfId="613" xr:uid="{6BF49A07-D04E-452A-84F2-A1B437312EB4}"/>
    <cellStyle name="Millares [0] 3 6 2 2" xfId="1284" xr:uid="{AD409DD3-FA35-414C-84A1-82BA516618CA}"/>
    <cellStyle name="Millares [0] 3 6 3" xfId="952" xr:uid="{838E801C-E081-4B64-B471-43AE75426C6E}"/>
    <cellStyle name="Millares [0] 3 7" xfId="446" xr:uid="{9FBDC7E1-1271-4C67-B299-6F62F9FB323C}"/>
    <cellStyle name="Millares [0] 3 7 2" xfId="1118" xr:uid="{04C24EB2-D5F1-4880-B0E5-92AAC8C7B11E}"/>
    <cellStyle name="Millares [0] 3 8" xfId="785" xr:uid="{835CC169-9859-46F5-B41D-D0A4A0792C3E}"/>
    <cellStyle name="Millares [0] 34" xfId="46" xr:uid="{48E452D1-BF3C-4B43-AD64-B8580DD24F52}"/>
    <cellStyle name="Millares [0] 34 2" xfId="73" xr:uid="{D5CEB00A-6F88-4DB4-9651-24C9843E5385}"/>
    <cellStyle name="Millares [0] 34 2 2" xfId="102" xr:uid="{5F41E371-6928-4582-ABED-A93E244742AF}"/>
    <cellStyle name="Millares [0] 34 2 2 2" xfId="150" xr:uid="{108951FE-5F3A-4B58-A481-017F65C7692E}"/>
    <cellStyle name="Millares [0] 34 2 2 2 2" xfId="239" xr:uid="{45805AFC-5CF1-4BAC-AF54-7C1BC11580E4}"/>
    <cellStyle name="Millares [0] 34 2 2 2 2 2" xfId="425" xr:uid="{FC9235DD-FFDC-4990-90F8-5847A862314D}"/>
    <cellStyle name="Millares [0] 34 2 2 2 2 2 2" xfId="764" xr:uid="{5CB03E82-3031-4ED0-ACB1-4EF2D578DEE2}"/>
    <cellStyle name="Millares [0] 34 2 2 2 2 2 2 2" xfId="1435" xr:uid="{31E495D9-85B0-4FCF-9173-49A13B5AC4D6}"/>
    <cellStyle name="Millares [0] 34 2 2 2 2 2 3" xfId="1103" xr:uid="{42B7FCE5-239C-4430-850A-1436DFA4114B}"/>
    <cellStyle name="Millares [0] 34 2 2 2 2 3" xfId="598" xr:uid="{830CF1E9-4E7A-49EF-8330-92554AB4F985}"/>
    <cellStyle name="Millares [0] 34 2 2 2 2 3 2" xfId="1269" xr:uid="{ECCDBC68-13E5-40A0-ACB2-15DDD6361AA9}"/>
    <cellStyle name="Millares [0] 34 2 2 2 2 4" xfId="937" xr:uid="{549507E4-AB22-4511-8CD3-9607B881E6DC}"/>
    <cellStyle name="Millares [0] 34 2 2 2 3" xfId="343" xr:uid="{7FEDB626-25D4-48BB-B2EB-E7D5CA030D48}"/>
    <cellStyle name="Millares [0] 34 2 2 2 3 2" xfId="682" xr:uid="{E86989D3-308C-43D7-B39F-7C9D75772665}"/>
    <cellStyle name="Millares [0] 34 2 2 2 3 2 2" xfId="1353" xr:uid="{CDD53390-BA54-47F5-BE10-65A48B70FD1B}"/>
    <cellStyle name="Millares [0] 34 2 2 2 3 3" xfId="1021" xr:uid="{0EB7C178-17AA-4CC6-8D36-4E1D5ADE05C1}"/>
    <cellStyle name="Millares [0] 34 2 2 2 4" xfId="516" xr:uid="{A7502CD0-1300-4D30-A3BF-5EF9B44391CD}"/>
    <cellStyle name="Millares [0] 34 2 2 2 4 2" xfId="1187" xr:uid="{8B12A7C8-CBD2-4D3A-9ED6-EC74042E1639}"/>
    <cellStyle name="Millares [0] 34 2 2 2 5" xfId="855" xr:uid="{748193A6-9240-467B-A24C-6902CFAA33D5}"/>
    <cellStyle name="Millares [0] 34 2 2 3" xfId="199" xr:uid="{0B753F8F-7AF3-44CE-859E-8481998CCF9C}"/>
    <cellStyle name="Millares [0] 34 2 2 3 2" xfId="385" xr:uid="{F46B4F91-9736-4D6A-91CF-4050A10B3B18}"/>
    <cellStyle name="Millares [0] 34 2 2 3 2 2" xfId="724" xr:uid="{01BF9367-7B35-42C0-83BF-84D45C4F6F5B}"/>
    <cellStyle name="Millares [0] 34 2 2 3 2 2 2" xfId="1395" xr:uid="{D0A8B185-32D1-408E-94C0-0347F90F826E}"/>
    <cellStyle name="Millares [0] 34 2 2 3 2 3" xfId="1063" xr:uid="{63CFF682-5C22-476C-BF3E-B6EEF998B48B}"/>
    <cellStyle name="Millares [0] 34 2 2 3 3" xfId="558" xr:uid="{7BE03D8C-92CA-427A-9ED1-73C330430144}"/>
    <cellStyle name="Millares [0] 34 2 2 3 3 2" xfId="1229" xr:uid="{10CA2D22-0E78-4718-9BBD-20A811DCCDE8}"/>
    <cellStyle name="Millares [0] 34 2 2 3 4" xfId="897" xr:uid="{2E1528E3-CDF7-4DE0-80D1-DAA5AD117AD8}"/>
    <cellStyle name="Millares [0] 34 2 2 4" xfId="303" xr:uid="{0273A0EE-7A00-4FD1-8467-D3038996F206}"/>
    <cellStyle name="Millares [0] 34 2 2 4 2" xfId="642" xr:uid="{518E8A46-2B44-4642-807D-324A45DBE961}"/>
    <cellStyle name="Millares [0] 34 2 2 4 2 2" xfId="1313" xr:uid="{ED05131E-B001-4173-9DFC-6392F8D7069F}"/>
    <cellStyle name="Millares [0] 34 2 2 4 3" xfId="981" xr:uid="{5B978C84-5AAA-40DD-AE90-93FA42E941BC}"/>
    <cellStyle name="Millares [0] 34 2 2 5" xfId="476" xr:uid="{75DE9539-8459-4167-B5D0-8A061B1ECE3E}"/>
    <cellStyle name="Millares [0] 34 2 2 5 2" xfId="1147" xr:uid="{FDEAB17A-2AA9-4EB4-9CA7-78BB798D0C20}"/>
    <cellStyle name="Millares [0] 34 2 2 6" xfId="815" xr:uid="{9C404FAD-09B8-464A-8858-2B6BC90A42CB}"/>
    <cellStyle name="Millares [0] 34 2 3" xfId="131" xr:uid="{64F86FEA-D80B-481F-BFA9-A7D8D1630C95}"/>
    <cellStyle name="Millares [0] 34 2 3 2" xfId="220" xr:uid="{8F8B967C-D6EE-4986-ADF9-5E8D4862C32D}"/>
    <cellStyle name="Millares [0] 34 2 3 2 2" xfId="406" xr:uid="{1327E21B-92AE-48BF-B302-437EA1E500D2}"/>
    <cellStyle name="Millares [0] 34 2 3 2 2 2" xfId="745" xr:uid="{6603E7CE-4CE5-458A-B594-28ADFC3E7932}"/>
    <cellStyle name="Millares [0] 34 2 3 2 2 2 2" xfId="1416" xr:uid="{1A9CA636-621A-4387-87FE-81116017F077}"/>
    <cellStyle name="Millares [0] 34 2 3 2 2 3" xfId="1084" xr:uid="{19CDA7F8-22E2-4299-9C0E-7D996BD47157}"/>
    <cellStyle name="Millares [0] 34 2 3 2 3" xfId="579" xr:uid="{D2DCB48E-A15D-48CF-98FB-107932EF8542}"/>
    <cellStyle name="Millares [0] 34 2 3 2 3 2" xfId="1250" xr:uid="{79DAB9B8-5AF6-4FE1-BEC4-9CD25FE209F7}"/>
    <cellStyle name="Millares [0] 34 2 3 2 4" xfId="918" xr:uid="{B1A3DD26-AA42-44D9-998B-75522C2A5A58}"/>
    <cellStyle name="Millares [0] 34 2 3 3" xfId="324" xr:uid="{5068B1DF-AC10-45A0-B4C9-13C2A07C9220}"/>
    <cellStyle name="Millares [0] 34 2 3 3 2" xfId="663" xr:uid="{29B6933C-CF91-48A1-A4FD-470CB440E32C}"/>
    <cellStyle name="Millares [0] 34 2 3 3 2 2" xfId="1334" xr:uid="{8C9F3B69-265E-4071-87BA-DF28C6E836FD}"/>
    <cellStyle name="Millares [0] 34 2 3 3 3" xfId="1002" xr:uid="{1F184A25-3FB3-4B01-A315-7F9D3368FC82}"/>
    <cellStyle name="Millares [0] 34 2 3 4" xfId="497" xr:uid="{2334DEF8-02A4-4312-A417-60ABED116730}"/>
    <cellStyle name="Millares [0] 34 2 3 4 2" xfId="1168" xr:uid="{FE3E78C3-F9EF-4ED5-BBAA-CFB92531BF61}"/>
    <cellStyle name="Millares [0] 34 2 3 5" xfId="836" xr:uid="{458FDFE0-CD5B-4B90-8B5A-B00478801D28}"/>
    <cellStyle name="Millares [0] 34 2 4" xfId="180" xr:uid="{2F48EBC6-FE99-4F21-B454-2CF95E31E78B}"/>
    <cellStyle name="Millares [0] 34 2 4 2" xfId="366" xr:uid="{B9F5A016-8AE1-4C9B-AE34-3108CD0FEF24}"/>
    <cellStyle name="Millares [0] 34 2 4 2 2" xfId="705" xr:uid="{36DFD525-EDCC-4BC3-BD78-658FB744251B}"/>
    <cellStyle name="Millares [0] 34 2 4 2 2 2" xfId="1376" xr:uid="{E7A2AB7B-4511-4270-84DA-29CA4E032F93}"/>
    <cellStyle name="Millares [0] 34 2 4 2 3" xfId="1044" xr:uid="{ADEB65DE-4BA8-4AB7-97B7-F5D9345B4FC6}"/>
    <cellStyle name="Millares [0] 34 2 4 3" xfId="539" xr:uid="{BCC3826D-C237-4AEE-BBAE-A95154EE33FE}"/>
    <cellStyle name="Millares [0] 34 2 4 3 2" xfId="1210" xr:uid="{E421D42B-6EFA-4EA3-A29C-2E54B1F35331}"/>
    <cellStyle name="Millares [0] 34 2 4 4" xfId="878" xr:uid="{81647A0D-7E5D-4060-AB80-55B592A12562}"/>
    <cellStyle name="Millares [0] 34 2 5" xfId="284" xr:uid="{91391CC8-CCEC-4566-98CE-6FE259B095E6}"/>
    <cellStyle name="Millares [0] 34 2 5 2" xfId="623" xr:uid="{89803A37-8BA1-4339-AB55-27D59EBD8B0B}"/>
    <cellStyle name="Millares [0] 34 2 5 2 2" xfId="1294" xr:uid="{1074C6F0-1F54-4540-8CD9-9BB646ED0887}"/>
    <cellStyle name="Millares [0] 34 2 5 3" xfId="962" xr:uid="{98B21D32-2C05-4E44-8A7D-6C9AE4F313AC}"/>
    <cellStyle name="Millares [0] 34 2 6" xfId="457" xr:uid="{0DFF813F-90FA-462B-9BEB-B4538E595C0F}"/>
    <cellStyle name="Millares [0] 34 2 6 2" xfId="1128" xr:uid="{19B4408E-0CF9-4923-B938-C4702AB2AEC9}"/>
    <cellStyle name="Millares [0] 34 2 7" xfId="796" xr:uid="{D0EAA524-A198-41D0-A92C-630068C97793}"/>
    <cellStyle name="Millares [0] 34 3" xfId="91" xr:uid="{59DE9879-ECF1-408F-9285-9261286B7F4A}"/>
    <cellStyle name="Millares [0] 34 3 2" xfId="141" xr:uid="{065CAE13-AFD2-498F-9C9F-132B1742105D}"/>
    <cellStyle name="Millares [0] 34 3 2 2" xfId="230" xr:uid="{7F4CED01-9480-4662-A9B8-496D07A37ED8}"/>
    <cellStyle name="Millares [0] 34 3 2 2 2" xfId="416" xr:uid="{EAD1097C-7FE5-4591-9946-6FFFFEF24A61}"/>
    <cellStyle name="Millares [0] 34 3 2 2 2 2" xfId="755" xr:uid="{E6FC5118-D9E3-4353-B68C-D1CAA8828EA1}"/>
    <cellStyle name="Millares [0] 34 3 2 2 2 2 2" xfId="1426" xr:uid="{CFCF064E-93A4-430D-87EC-D447AC379EE6}"/>
    <cellStyle name="Millares [0] 34 3 2 2 2 3" xfId="1094" xr:uid="{C4052C7D-CDBC-4B2D-B614-1F1F8E77D2BE}"/>
    <cellStyle name="Millares [0] 34 3 2 2 3" xfId="589" xr:uid="{D4674F28-A335-4570-8EC3-F1B6B14648DD}"/>
    <cellStyle name="Millares [0] 34 3 2 2 3 2" xfId="1260" xr:uid="{6693F02D-3CBD-4037-9B68-342E6E1E1BF6}"/>
    <cellStyle name="Millares [0] 34 3 2 2 4" xfId="928" xr:uid="{E1872D61-01E9-4F2A-8100-2A39BE72E08B}"/>
    <cellStyle name="Millares [0] 34 3 2 3" xfId="334" xr:uid="{3B91604B-E250-4A78-B931-60AAFA9E2CAE}"/>
    <cellStyle name="Millares [0] 34 3 2 3 2" xfId="673" xr:uid="{2FB27BFA-DFE0-4F37-AB1B-45A778504B4B}"/>
    <cellStyle name="Millares [0] 34 3 2 3 2 2" xfId="1344" xr:uid="{57C714A4-8E91-4B9B-81D4-B8509080A961}"/>
    <cellStyle name="Millares [0] 34 3 2 3 3" xfId="1012" xr:uid="{684BFBF2-EA60-42E4-B39A-4085769B2D6C}"/>
    <cellStyle name="Millares [0] 34 3 2 4" xfId="507" xr:uid="{E53D1748-22AD-4919-A819-640AE30B12A4}"/>
    <cellStyle name="Millares [0] 34 3 2 4 2" xfId="1178" xr:uid="{2AAE79A7-C7DE-4447-8FB6-1EACCB56C2D6}"/>
    <cellStyle name="Millares [0] 34 3 2 5" xfId="846" xr:uid="{1899DDF7-3D7A-446C-988F-8B2594088BEF}"/>
    <cellStyle name="Millares [0] 34 3 3" xfId="190" xr:uid="{BA1C0052-F3F0-4CB6-B441-50E273100558}"/>
    <cellStyle name="Millares [0] 34 3 3 2" xfId="376" xr:uid="{034AC595-B24F-4010-88DC-5D27AD2622B9}"/>
    <cellStyle name="Millares [0] 34 3 3 2 2" xfId="715" xr:uid="{447420AE-D790-456A-BD79-9DCA0A463EC2}"/>
    <cellStyle name="Millares [0] 34 3 3 2 2 2" xfId="1386" xr:uid="{637CAF51-C53E-49BB-A869-E4078C6764A8}"/>
    <cellStyle name="Millares [0] 34 3 3 2 3" xfId="1054" xr:uid="{AA301887-5846-4FB9-8BF9-D38DF10E02EC}"/>
    <cellStyle name="Millares [0] 34 3 3 3" xfId="549" xr:uid="{65DB74D0-B1AF-4AF6-B0AC-D6BD151D875E}"/>
    <cellStyle name="Millares [0] 34 3 3 3 2" xfId="1220" xr:uid="{E5AC612F-2F7B-470C-8A8F-086EA1D8B873}"/>
    <cellStyle name="Millares [0] 34 3 3 4" xfId="888" xr:uid="{47AD30FD-E2C5-4DEB-AF4E-11CAD9653ABD}"/>
    <cellStyle name="Millares [0] 34 3 4" xfId="294" xr:uid="{E876698F-FBBD-47D3-9BA2-F0BF9473CB57}"/>
    <cellStyle name="Millares [0] 34 3 4 2" xfId="633" xr:uid="{1685B1ED-EDF6-4CFB-85E5-3AED2237F775}"/>
    <cellStyle name="Millares [0] 34 3 4 2 2" xfId="1304" xr:uid="{B5BEB6F2-900A-49FF-9180-4446365A9A32}"/>
    <cellStyle name="Millares [0] 34 3 4 3" xfId="972" xr:uid="{8E5D2BA3-CD1D-41FD-97E8-3FA0E1A932E9}"/>
    <cellStyle name="Millares [0] 34 3 5" xfId="467" xr:uid="{8A98E66E-FBCD-4C4E-9EF6-73F9CE0F9660}"/>
    <cellStyle name="Millares [0] 34 3 5 2" xfId="1138" xr:uid="{E016A611-AB13-437D-BE0A-79D530287A70}"/>
    <cellStyle name="Millares [0] 34 3 6" xfId="806" xr:uid="{5DBBC47A-9145-49A8-8377-E721A9E0CA8A}"/>
    <cellStyle name="Millares [0] 34 4" xfId="120" xr:uid="{CB4D81E2-E475-489B-BBB3-E5D5A737F5D0}"/>
    <cellStyle name="Millares [0] 34 4 2" xfId="211" xr:uid="{9392AD33-BAD4-42DC-AF69-C1F9E9C3BA1A}"/>
    <cellStyle name="Millares [0] 34 4 2 2" xfId="397" xr:uid="{8833274A-DF5C-4B81-8EB1-EF4EF56114C1}"/>
    <cellStyle name="Millares [0] 34 4 2 2 2" xfId="736" xr:uid="{4031DAF0-3BF9-4433-99EB-CC7AE374524F}"/>
    <cellStyle name="Millares [0] 34 4 2 2 2 2" xfId="1407" xr:uid="{16AA78DB-3BA7-4CCF-9F37-93BB8DD4563B}"/>
    <cellStyle name="Millares [0] 34 4 2 2 3" xfId="1075" xr:uid="{D5B6DEFA-D3F5-4F17-B15D-4774EACC36EF}"/>
    <cellStyle name="Millares [0] 34 4 2 3" xfId="570" xr:uid="{3898A878-30CF-4F34-8E06-42DC478AB388}"/>
    <cellStyle name="Millares [0] 34 4 2 3 2" xfId="1241" xr:uid="{78B624C7-5C78-4B6C-9376-333F8897216D}"/>
    <cellStyle name="Millares [0] 34 4 2 4" xfId="909" xr:uid="{C7AA685B-1E6E-4231-9C2E-FD99260DFE6E}"/>
    <cellStyle name="Millares [0] 34 4 3" xfId="315" xr:uid="{F8B8EA8B-F30A-46E2-8DAC-833816DF3022}"/>
    <cellStyle name="Millares [0] 34 4 3 2" xfId="654" xr:uid="{CB4EB9CB-54D5-47F3-BEE9-C6A42A4D1E37}"/>
    <cellStyle name="Millares [0] 34 4 3 2 2" xfId="1325" xr:uid="{9142CD22-2A80-42A1-9DAA-9A268368C0D1}"/>
    <cellStyle name="Millares [0] 34 4 3 3" xfId="993" xr:uid="{331846CB-1977-4A83-BCE4-0F0D4FC332AC}"/>
    <cellStyle name="Millares [0] 34 4 4" xfId="488" xr:uid="{EE47E291-D404-421E-9EDA-3B7BAF82B199}"/>
    <cellStyle name="Millares [0] 34 4 4 2" xfId="1159" xr:uid="{88E9294E-8B4D-4350-BBE4-164203D79C62}"/>
    <cellStyle name="Millares [0] 34 4 5" xfId="827" xr:uid="{58DC394D-BE3B-4068-99AB-56D80AC861F5}"/>
    <cellStyle name="Millares [0] 34 5" xfId="170" xr:uid="{8D173579-9DA2-4E46-B653-178789756CA9}"/>
    <cellStyle name="Millares [0] 34 5 2" xfId="357" xr:uid="{EB60E2BC-EAFB-46CC-92E3-CD4851AFAA37}"/>
    <cellStyle name="Millares [0] 34 5 2 2" xfId="696" xr:uid="{3208FE0A-544C-42B5-B593-5215095C8D23}"/>
    <cellStyle name="Millares [0] 34 5 2 2 2" xfId="1367" xr:uid="{0B393E8D-4DC4-42A4-ACE2-7255A79496A2}"/>
    <cellStyle name="Millares [0] 34 5 2 3" xfId="1035" xr:uid="{C8F23681-5C2C-4252-979F-41909B2D1627}"/>
    <cellStyle name="Millares [0] 34 5 3" xfId="530" xr:uid="{24FED952-29DE-4AAE-803A-75F10976E292}"/>
    <cellStyle name="Millares [0] 34 5 3 2" xfId="1201" xr:uid="{315C2ADB-D35D-415F-AD97-C3EA1FCD8E7B}"/>
    <cellStyle name="Millares [0] 34 5 4" xfId="869" xr:uid="{4A5436F4-9F62-40FE-A90E-BAE0BB737EE2}"/>
    <cellStyle name="Millares [0] 34 6" xfId="274" xr:uid="{43EA7546-E591-448E-9929-314731229C20}"/>
    <cellStyle name="Millares [0] 34 6 2" xfId="614" xr:uid="{66B9FC67-ABF2-4B33-B1DB-0F15C0AD881E}"/>
    <cellStyle name="Millares [0] 34 6 2 2" xfId="1285" xr:uid="{6D307C11-934E-4B27-A8E8-C9FC8816D0BA}"/>
    <cellStyle name="Millares [0] 34 6 3" xfId="953" xr:uid="{16D6B68D-BF35-4AFC-930F-EC2EA20C7EE7}"/>
    <cellStyle name="Millares [0] 34 7" xfId="447" xr:uid="{E45D2D80-EF82-45AC-8A5C-8AFCECF47DAC}"/>
    <cellStyle name="Millares [0] 34 7 2" xfId="1119" xr:uid="{239028C0-1CD5-4BA1-81DA-7A727D83F8D7}"/>
    <cellStyle name="Millares [0] 34 8" xfId="786" xr:uid="{3E31A2E9-4EF7-4F44-BAB5-6E28FA640296}"/>
    <cellStyle name="Millares [0] 4" xfId="78" xr:uid="{A720CDA2-0B66-4ECC-BC63-91CB417BAB56}"/>
    <cellStyle name="Millares [0] 4 2" xfId="106" xr:uid="{B6D68A45-1E18-4A8D-B684-D9981F76E398}"/>
    <cellStyle name="Millares [0] 4 2 2" xfId="154" xr:uid="{0916A0EB-4B04-4C3D-AF66-9FBAE4359AD7}"/>
    <cellStyle name="Millares [0] 4 2 2 2" xfId="243" xr:uid="{50906A9B-24C9-406C-9306-DBD7989CA329}"/>
    <cellStyle name="Millares [0] 4 2 2 2 2" xfId="429" xr:uid="{174A395E-15E8-40D5-9697-18FFACBB9DC3}"/>
    <cellStyle name="Millares [0] 4 2 2 2 2 2" xfId="768" xr:uid="{71B23CDE-91A9-43E5-AEA5-7671280874F7}"/>
    <cellStyle name="Millares [0] 4 2 2 2 2 2 2" xfId="1439" xr:uid="{BFED24CC-260E-42A3-9CA5-56741A3D1B1C}"/>
    <cellStyle name="Millares [0] 4 2 2 2 2 3" xfId="1107" xr:uid="{F15461F6-7873-4A78-972B-AFC852EE0036}"/>
    <cellStyle name="Millares [0] 4 2 2 2 3" xfId="602" xr:uid="{86112FC3-DE64-4439-BD35-256263D6480E}"/>
    <cellStyle name="Millares [0] 4 2 2 2 3 2" xfId="1273" xr:uid="{29394554-A374-4EFA-BA65-C45251D80246}"/>
    <cellStyle name="Millares [0] 4 2 2 2 4" xfId="941" xr:uid="{CE9B2E35-E1F4-4E8D-A3BC-EBCCEF4E8D12}"/>
    <cellStyle name="Millares [0] 4 2 2 3" xfId="347" xr:uid="{0EE668FE-D5EA-48B3-B98B-C217D45695DB}"/>
    <cellStyle name="Millares [0] 4 2 2 3 2" xfId="686" xr:uid="{6CE0862E-1541-43BD-8D2D-74CA5C30FE14}"/>
    <cellStyle name="Millares [0] 4 2 2 3 2 2" xfId="1357" xr:uid="{DEFAD82F-9856-4A03-83F8-00A097FD16E1}"/>
    <cellStyle name="Millares [0] 4 2 2 3 3" xfId="1025" xr:uid="{4D4DDEF4-64DF-409A-8004-3FB9A9220E80}"/>
    <cellStyle name="Millares [0] 4 2 2 4" xfId="520" xr:uid="{4063E44D-6241-4FA5-876F-F9456A57FC6E}"/>
    <cellStyle name="Millares [0] 4 2 2 4 2" xfId="1191" xr:uid="{E1161BA4-6847-44FF-9FFF-38F49C77BB1D}"/>
    <cellStyle name="Millares [0] 4 2 2 5" xfId="859" xr:uid="{1400231C-BA11-443F-915B-45E3C918C396}"/>
    <cellStyle name="Millares [0] 4 2 3" xfId="203" xr:uid="{AFA746CC-D094-4666-AA14-3E89CED337AE}"/>
    <cellStyle name="Millares [0] 4 2 3 2" xfId="389" xr:uid="{026F0434-CBBC-4B2F-B8DE-D3CEBC136204}"/>
    <cellStyle name="Millares [0] 4 2 3 2 2" xfId="728" xr:uid="{E5BB0638-8D99-4F37-84FF-9C6B0964A7F1}"/>
    <cellStyle name="Millares [0] 4 2 3 2 2 2" xfId="1399" xr:uid="{DDFC9E9F-12EA-48CA-88A7-2DDD60E331F0}"/>
    <cellStyle name="Millares [0] 4 2 3 2 3" xfId="1067" xr:uid="{A53CBF04-0567-448A-889E-65D2B924B8B8}"/>
    <cellStyle name="Millares [0] 4 2 3 3" xfId="562" xr:uid="{30E7B96F-6F8E-4EEC-A603-F96162E8FD77}"/>
    <cellStyle name="Millares [0] 4 2 3 3 2" xfId="1233" xr:uid="{D1FA26B2-37B4-4008-A062-6CF969BEE4E9}"/>
    <cellStyle name="Millares [0] 4 2 3 4" xfId="901" xr:uid="{02B92A9E-18BC-4EF3-B857-07F32FC8A285}"/>
    <cellStyle name="Millares [0] 4 2 4" xfId="307" xr:uid="{10CB08EC-ABC1-48D3-95DE-B7891F601683}"/>
    <cellStyle name="Millares [0] 4 2 4 2" xfId="646" xr:uid="{0961A958-C987-4ED1-AF30-2D1BD0811CE9}"/>
    <cellStyle name="Millares [0] 4 2 4 2 2" xfId="1317" xr:uid="{C252043D-FD94-442C-80C4-2484A3A5E92B}"/>
    <cellStyle name="Millares [0] 4 2 4 3" xfId="985" xr:uid="{24402F6C-0EA9-4DFF-BBCC-EA670B4FF366}"/>
    <cellStyle name="Millares [0] 4 2 5" xfId="480" xr:uid="{3D92CC65-B3A6-421A-A104-9B491AD2938C}"/>
    <cellStyle name="Millares [0] 4 2 5 2" xfId="1151" xr:uid="{62D39D44-7CE9-4E47-806D-0E0B6134A5B5}"/>
    <cellStyle name="Millares [0] 4 2 6" xfId="819" xr:uid="{92034AEA-3264-4CFE-9173-70B4ADD545E8}"/>
    <cellStyle name="Millares [0] 4 3" xfId="135" xr:uid="{1B43129A-9741-474A-9562-503CAABFB96C}"/>
    <cellStyle name="Millares [0] 4 3 2" xfId="224" xr:uid="{8A066F47-FF76-4AB7-9C98-22AB3C406DC2}"/>
    <cellStyle name="Millares [0] 4 3 2 2" xfId="410" xr:uid="{4CE59948-5634-4D33-B418-B0EF0EDA4AD0}"/>
    <cellStyle name="Millares [0] 4 3 2 2 2" xfId="749" xr:uid="{4F41649B-C360-4F6C-B066-1F8A5D712ED8}"/>
    <cellStyle name="Millares [0] 4 3 2 2 2 2" xfId="1420" xr:uid="{4789B822-C440-4D7D-81CE-2B08F238D34C}"/>
    <cellStyle name="Millares [0] 4 3 2 2 3" xfId="1088" xr:uid="{7BEB84DA-48F8-435B-A4FC-0A08761BC857}"/>
    <cellStyle name="Millares [0] 4 3 2 3" xfId="583" xr:uid="{027EB4D7-34C2-44B5-A103-F4D1BF8CA38B}"/>
    <cellStyle name="Millares [0] 4 3 2 3 2" xfId="1254" xr:uid="{8512FB7B-F896-4095-B660-F91864F59012}"/>
    <cellStyle name="Millares [0] 4 3 2 4" xfId="922" xr:uid="{E94857A8-5110-4E9C-BBA3-8C04725C796D}"/>
    <cellStyle name="Millares [0] 4 3 3" xfId="328" xr:uid="{D737A807-04CE-417D-ADC6-EDC575A71EF4}"/>
    <cellStyle name="Millares [0] 4 3 3 2" xfId="667" xr:uid="{9B5B18FC-0EB3-47C3-99D9-BDD9D0CB6FB0}"/>
    <cellStyle name="Millares [0] 4 3 3 2 2" xfId="1338" xr:uid="{98C2D9BE-6146-4F03-8C39-8FE2EF04F0AF}"/>
    <cellStyle name="Millares [0] 4 3 3 3" xfId="1006" xr:uid="{D8435CCA-2C67-4943-A211-4830E7751B8A}"/>
    <cellStyle name="Millares [0] 4 3 4" xfId="501" xr:uid="{AD4D8E2D-94FC-464E-BB91-F320AC668731}"/>
    <cellStyle name="Millares [0] 4 3 4 2" xfId="1172" xr:uid="{32062274-EDCE-41A3-AC92-9F82989DD3A3}"/>
    <cellStyle name="Millares [0] 4 3 5" xfId="840" xr:uid="{35EC8AF5-5024-4C0B-8561-87EDF06F5C4C}"/>
    <cellStyle name="Millares [0] 4 4" xfId="184" xr:uid="{4D4286D1-73B0-4EE0-9399-5F3BE94F5E51}"/>
    <cellStyle name="Millares [0] 4 4 2" xfId="370" xr:uid="{2A1F8368-B4D0-46EF-B479-2699CD1EEAFD}"/>
    <cellStyle name="Millares [0] 4 4 2 2" xfId="709" xr:uid="{6DAA28A8-3C0F-4F25-8110-DC3C02CF00E2}"/>
    <cellStyle name="Millares [0] 4 4 2 2 2" xfId="1380" xr:uid="{4E216172-5DA6-412E-A9AC-8965469C1159}"/>
    <cellStyle name="Millares [0] 4 4 2 3" xfId="1048" xr:uid="{DC210FF0-7554-41C2-87C3-C27A45D97DF3}"/>
    <cellStyle name="Millares [0] 4 4 3" xfId="543" xr:uid="{EAD8BA99-4512-47BF-ACA8-6217885C4920}"/>
    <cellStyle name="Millares [0] 4 4 3 2" xfId="1214" xr:uid="{7C585721-B0AD-4F17-83F3-C8A09207B522}"/>
    <cellStyle name="Millares [0] 4 4 4" xfId="882" xr:uid="{C358E02C-37DA-4472-BCAE-A3C34EF2D246}"/>
    <cellStyle name="Millares [0] 4 5" xfId="288" xr:uid="{2248DD21-9F05-4F7D-BEBA-1725C6B8CECE}"/>
    <cellStyle name="Millares [0] 4 5 2" xfId="627" xr:uid="{3B86AA97-7AEC-4F52-869D-760DAECD53B2}"/>
    <cellStyle name="Millares [0] 4 5 2 2" xfId="1298" xr:uid="{F63220B3-F7C9-483D-BDF8-EDE79CEFD4DE}"/>
    <cellStyle name="Millares [0] 4 5 3" xfId="966" xr:uid="{EE99029B-F7B1-4B92-AF6A-02AB3BEA66D3}"/>
    <cellStyle name="Millares [0] 4 6" xfId="461" xr:uid="{1EAFA914-2C80-415C-BE9A-FE9321761884}"/>
    <cellStyle name="Millares [0] 4 6 2" xfId="1132" xr:uid="{43D2E4D2-D906-4142-A157-9606F0310CB8}"/>
    <cellStyle name="Millares [0] 4 7" xfId="800" xr:uid="{A8919F50-18C8-4848-A511-A51512A193D1}"/>
    <cellStyle name="Millares [0] 5" xfId="63" xr:uid="{57B03862-FE91-4916-BB30-668A9FD5CD23}"/>
    <cellStyle name="Millares [0] 5 2" xfId="98" xr:uid="{40D693BC-AE2B-45D4-A660-4C64851D1A11}"/>
    <cellStyle name="Millares [0] 5 2 2" xfId="146" xr:uid="{98172478-EE30-480F-B16E-F3760A738918}"/>
    <cellStyle name="Millares [0] 5 2 2 2" xfId="235" xr:uid="{39941BAE-207F-4507-BB01-86A1A9771D34}"/>
    <cellStyle name="Millares [0] 5 2 2 2 2" xfId="421" xr:uid="{492556B4-6707-4D7C-B314-89246B35BB08}"/>
    <cellStyle name="Millares [0] 5 2 2 2 2 2" xfId="760" xr:uid="{10C47367-D652-40BC-8E07-C5FF60A19BBF}"/>
    <cellStyle name="Millares [0] 5 2 2 2 2 2 2" xfId="1431" xr:uid="{5594054C-5D30-4948-98C8-6F25E2B59C87}"/>
    <cellStyle name="Millares [0] 5 2 2 2 2 3" xfId="1099" xr:uid="{E683EE19-3605-4E87-880F-AF0916B09180}"/>
    <cellStyle name="Millares [0] 5 2 2 2 3" xfId="594" xr:uid="{69FDBA80-E09F-4D36-8446-8ED87290EB42}"/>
    <cellStyle name="Millares [0] 5 2 2 2 3 2" xfId="1265" xr:uid="{58E6F3C4-D89A-406F-B9C7-E7B9F51F823A}"/>
    <cellStyle name="Millares [0] 5 2 2 2 4" xfId="933" xr:uid="{19EC4EF2-C17E-4CE4-9B3F-7B6F1F02F022}"/>
    <cellStyle name="Millares [0] 5 2 2 3" xfId="339" xr:uid="{0811A9E0-4049-451D-BF81-2AD3DE3B0266}"/>
    <cellStyle name="Millares [0] 5 2 2 3 2" xfId="678" xr:uid="{FF5E2616-AD7E-47DC-BCDC-3F4205DC0B4E}"/>
    <cellStyle name="Millares [0] 5 2 2 3 2 2" xfId="1349" xr:uid="{A137DB5C-0934-445B-9D58-0DC351AF3EE5}"/>
    <cellStyle name="Millares [0] 5 2 2 3 3" xfId="1017" xr:uid="{B7C9A2B0-4650-439A-BA2B-76EA29D43D96}"/>
    <cellStyle name="Millares [0] 5 2 2 4" xfId="512" xr:uid="{63790E47-E228-4717-BA83-33357984D500}"/>
    <cellStyle name="Millares [0] 5 2 2 4 2" xfId="1183" xr:uid="{F5B83691-3E93-4962-A242-A6C0A476CF92}"/>
    <cellStyle name="Millares [0] 5 2 2 5" xfId="851" xr:uid="{8EFDE84B-DAC8-45C1-A578-D3616E4D9EE1}"/>
    <cellStyle name="Millares [0] 5 2 3" xfId="195" xr:uid="{B30AE84F-D774-4021-8B2F-F0FC951D1774}"/>
    <cellStyle name="Millares [0] 5 2 3 2" xfId="381" xr:uid="{8297F762-8F14-4C69-8024-9D017117002D}"/>
    <cellStyle name="Millares [0] 5 2 3 2 2" xfId="720" xr:uid="{65B0B2A8-758C-4944-AA8B-053B583CD768}"/>
    <cellStyle name="Millares [0] 5 2 3 2 2 2" xfId="1391" xr:uid="{9E2D85A9-F779-445B-B498-D415768A790B}"/>
    <cellStyle name="Millares [0] 5 2 3 2 3" xfId="1059" xr:uid="{407443D6-BCF3-48BB-9D08-25E9F79486FE}"/>
    <cellStyle name="Millares [0] 5 2 3 3" xfId="554" xr:uid="{2D4FBEBC-2600-45F5-9BF6-CCC3C1FFFEBD}"/>
    <cellStyle name="Millares [0] 5 2 3 3 2" xfId="1225" xr:uid="{EB72E2B0-C39B-481B-8FC0-E8A7E05BD64D}"/>
    <cellStyle name="Millares [0] 5 2 3 4" xfId="893" xr:uid="{01485204-659D-42D3-B7CA-6B22DBF39C83}"/>
    <cellStyle name="Millares [0] 5 2 4" xfId="299" xr:uid="{763F8FDD-1DDC-458D-8E43-0A26B79AF2F0}"/>
    <cellStyle name="Millares [0] 5 2 4 2" xfId="638" xr:uid="{3981D48D-3678-4B01-8C00-ADDAC8E6816F}"/>
    <cellStyle name="Millares [0] 5 2 4 2 2" xfId="1309" xr:uid="{A3E39A39-05D0-4AF0-90BE-2734B4C352D1}"/>
    <cellStyle name="Millares [0] 5 2 4 3" xfId="977" xr:uid="{C737F397-0FE2-4E56-8DD1-2E07227289D6}"/>
    <cellStyle name="Millares [0] 5 2 5" xfId="472" xr:uid="{85642307-CB7F-45BB-9033-334946FB7316}"/>
    <cellStyle name="Millares [0] 5 2 5 2" xfId="1143" xr:uid="{72DE1550-6CBE-4520-B4E1-5B0CA2E53568}"/>
    <cellStyle name="Millares [0] 5 2 6" xfId="811" xr:uid="{32A6149E-942D-40DA-9B31-338FEB56AC83}"/>
    <cellStyle name="Millares [0] 5 3" xfId="127" xr:uid="{DC43444F-1D07-4471-A91F-D1091ECC6030}"/>
    <cellStyle name="Millares [0] 5 3 2" xfId="216" xr:uid="{88679C89-5267-4D58-BC2C-0547EA4D36BF}"/>
    <cellStyle name="Millares [0] 5 3 2 2" xfId="402" xr:uid="{6813405D-7694-46CB-B3A6-2DB9836ED4D5}"/>
    <cellStyle name="Millares [0] 5 3 2 2 2" xfId="741" xr:uid="{E65DE9AA-51BA-4AD7-9E8D-03599C3532C6}"/>
    <cellStyle name="Millares [0] 5 3 2 2 2 2" xfId="1412" xr:uid="{15A46907-0013-4F5C-B4AC-242559DABD07}"/>
    <cellStyle name="Millares [0] 5 3 2 2 3" xfId="1080" xr:uid="{610ED65D-4FCB-4EFC-BEA6-9F04D85CA80C}"/>
    <cellStyle name="Millares [0] 5 3 2 3" xfId="575" xr:uid="{D2CA5064-DCD2-4D67-9DAD-E52F498165DF}"/>
    <cellStyle name="Millares [0] 5 3 2 3 2" xfId="1246" xr:uid="{ED7BF4AC-C0CB-4A33-AD63-95DB3866CBD4}"/>
    <cellStyle name="Millares [0] 5 3 2 4" xfId="914" xr:uid="{6153ED44-19EF-4B0C-8909-4A8BF683D8E4}"/>
    <cellStyle name="Millares [0] 5 3 3" xfId="320" xr:uid="{270E7841-68B8-40EB-9BE8-BE5579625F22}"/>
    <cellStyle name="Millares [0] 5 3 3 2" xfId="659" xr:uid="{F77C8D3B-69B7-486C-8643-F64063EEE5FF}"/>
    <cellStyle name="Millares [0] 5 3 3 2 2" xfId="1330" xr:uid="{C087D7CB-37D2-4261-A626-EB198C3369CC}"/>
    <cellStyle name="Millares [0] 5 3 3 3" xfId="998" xr:uid="{F51F0133-CDE0-480C-932F-3242069A35E6}"/>
    <cellStyle name="Millares [0] 5 3 4" xfId="493" xr:uid="{60707A28-BB71-43E2-BF22-B5FFBF566613}"/>
    <cellStyle name="Millares [0] 5 3 4 2" xfId="1164" xr:uid="{623D575B-85E4-48B8-A2B3-3FE9744C1A23}"/>
    <cellStyle name="Millares [0] 5 3 5" xfId="832" xr:uid="{921A3ECB-B76D-4C76-8D50-DBA1D1DD2301}"/>
    <cellStyle name="Millares [0] 5 4" xfId="176" xr:uid="{D5D2F630-A3FB-4BCB-8F2A-2427F8FBD46C}"/>
    <cellStyle name="Millares [0] 5 4 2" xfId="362" xr:uid="{6B7B2ECA-E57C-40D1-B84F-AF809E4C306C}"/>
    <cellStyle name="Millares [0] 5 4 2 2" xfId="701" xr:uid="{B17D8DA2-A44F-4A62-97E0-97302D03F561}"/>
    <cellStyle name="Millares [0] 5 4 2 2 2" xfId="1372" xr:uid="{9F187B96-4E05-40C1-9CBC-0DCCBB7165C6}"/>
    <cellStyle name="Millares [0] 5 4 2 3" xfId="1040" xr:uid="{E7F37350-2028-454A-9AFE-DF466563864C}"/>
    <cellStyle name="Millares [0] 5 4 3" xfId="535" xr:uid="{30CC8D2D-7CF4-47CC-BD55-89728CDA1C9A}"/>
    <cellStyle name="Millares [0] 5 4 3 2" xfId="1206" xr:uid="{C7FF76A0-3DD6-4049-AB28-1D0969B21851}"/>
    <cellStyle name="Millares [0] 5 4 4" xfId="874" xr:uid="{6D5455A4-8EAF-4430-BC21-FD04A6499047}"/>
    <cellStyle name="Millares [0] 5 5" xfId="280" xr:uid="{23157C25-FE21-4BB9-8EC0-E1A7D38CF81E}"/>
    <cellStyle name="Millares [0] 5 5 2" xfId="619" xr:uid="{70F87AC9-12FC-4D86-AB0F-754BCC48CE92}"/>
    <cellStyle name="Millares [0] 5 5 2 2" xfId="1290" xr:uid="{93859483-49AF-4AD5-BA95-369D6728CC5C}"/>
    <cellStyle name="Millares [0] 5 5 3" xfId="958" xr:uid="{1F58B3FC-057E-4A7F-8E5A-390F2E87DA35}"/>
    <cellStyle name="Millares [0] 5 6" xfId="453" xr:uid="{95890631-4651-477B-84F2-E54D7395388F}"/>
    <cellStyle name="Millares [0] 5 6 2" xfId="1124" xr:uid="{27D4B595-FA29-4D5B-881D-D21221C5C53E}"/>
    <cellStyle name="Millares [0] 5 7" xfId="792" xr:uid="{C8465AC9-FB43-401B-B675-C3B785916578}"/>
    <cellStyle name="Millares [0] 6" xfId="96" xr:uid="{ADA3BC75-33BC-4D0D-B18C-989E3FFF55B5}"/>
    <cellStyle name="Millares [0] 6 2" xfId="145" xr:uid="{8929D9DA-C635-4120-9682-B50D3A3045E5}"/>
    <cellStyle name="Millares [0] 6 2 2" xfId="234" xr:uid="{2935F42E-FA54-4F5B-A7EA-033618A1CB71}"/>
    <cellStyle name="Millares [0] 6 2 2 2" xfId="420" xr:uid="{BDA2FEC7-1702-426E-89D6-BA09243BDDC5}"/>
    <cellStyle name="Millares [0] 6 2 2 2 2" xfId="759" xr:uid="{95AA8B63-92BD-44AD-8C96-B8E7C69B5863}"/>
    <cellStyle name="Millares [0] 6 2 2 2 2 2" xfId="1430" xr:uid="{43612208-22C6-4EFE-B72C-BB306256E408}"/>
    <cellStyle name="Millares [0] 6 2 2 2 3" xfId="1098" xr:uid="{73E1A955-7CFB-46AC-89BD-20301DAB00B5}"/>
    <cellStyle name="Millares [0] 6 2 2 3" xfId="593" xr:uid="{2C9DBD9D-2958-42B7-975A-313E034E6000}"/>
    <cellStyle name="Millares [0] 6 2 2 3 2" xfId="1264" xr:uid="{829CE889-445E-4E5C-A15C-EA845F4C5052}"/>
    <cellStyle name="Millares [0] 6 2 2 4" xfId="932" xr:uid="{699D920C-CB17-4B86-99E8-B770D0600075}"/>
    <cellStyle name="Millares [0] 6 2 3" xfId="338" xr:uid="{C06CB914-C711-4616-ACFB-FDA3DA533D2A}"/>
    <cellStyle name="Millares [0] 6 2 3 2" xfId="677" xr:uid="{EA394F47-FA72-4FA8-8246-172B1CD0347A}"/>
    <cellStyle name="Millares [0] 6 2 3 2 2" xfId="1348" xr:uid="{6D683E79-2580-4F3E-8977-F7A15E7A61B3}"/>
    <cellStyle name="Millares [0] 6 2 3 3" xfId="1016" xr:uid="{65D98F8D-1281-4416-95BF-07F5D9058161}"/>
    <cellStyle name="Millares [0] 6 2 4" xfId="511" xr:uid="{23B2617A-07A0-4922-851B-781836A0C4D9}"/>
    <cellStyle name="Millares [0] 6 2 4 2" xfId="1182" xr:uid="{C4A31AEA-ECE5-448B-93EF-057250655243}"/>
    <cellStyle name="Millares [0] 6 2 5" xfId="850" xr:uid="{86E32173-4266-47EB-A634-48E7AAD7D01A}"/>
    <cellStyle name="Millares [0] 6 3" xfId="194" xr:uid="{F3E7E205-CC54-46E9-AC35-DAE4C3A2F5A2}"/>
    <cellStyle name="Millares [0] 6 3 2" xfId="380" xr:uid="{73012221-15C3-47C5-AA4D-FF70A0FF27B3}"/>
    <cellStyle name="Millares [0] 6 3 2 2" xfId="719" xr:uid="{6AE8938F-75D0-48A4-AE61-542C97801F68}"/>
    <cellStyle name="Millares [0] 6 3 2 2 2" xfId="1390" xr:uid="{76BB550D-9E0D-40AC-9025-982772064E3E}"/>
    <cellStyle name="Millares [0] 6 3 2 3" xfId="1058" xr:uid="{2A1C1D9C-FC46-4DFA-9006-87E7464243A0}"/>
    <cellStyle name="Millares [0] 6 3 3" xfId="553" xr:uid="{B45DE213-30F0-4496-8A70-6E6CA90053EB}"/>
    <cellStyle name="Millares [0] 6 3 3 2" xfId="1224" xr:uid="{58CB600D-3423-4BA3-AC78-BAD3275014DC}"/>
    <cellStyle name="Millares [0] 6 3 4" xfId="892" xr:uid="{D0678586-2646-4AC3-8706-FAE724D5BFEF}"/>
    <cellStyle name="Millares [0] 6 4" xfId="298" xr:uid="{D18AC94B-441D-49EC-8414-DD34F53A8A89}"/>
    <cellStyle name="Millares [0] 6 4 2" xfId="637" xr:uid="{35E458EC-96A1-466B-9C4A-B42324CF4EFF}"/>
    <cellStyle name="Millares [0] 6 4 2 2" xfId="1308" xr:uid="{61E6D79D-33C7-4B61-AE36-27036CE3B7D5}"/>
    <cellStyle name="Millares [0] 6 4 3" xfId="976" xr:uid="{ED8638BB-98E3-458C-8ED6-B04813024271}"/>
    <cellStyle name="Millares [0] 6 5" xfId="471" xr:uid="{BC4CBB6E-0630-466B-836A-7B5C755B5B59}"/>
    <cellStyle name="Millares [0] 6 5 2" xfId="1142" xr:uid="{2CBCEF56-A2AD-43F3-879C-F890C9671BBA}"/>
    <cellStyle name="Millares [0] 6 6" xfId="810" xr:uid="{295AC857-EA89-4033-943E-1B0ECAAD357E}"/>
    <cellStyle name="Millares [0] 7" xfId="125" xr:uid="{DF242F4E-190E-405E-9FBA-9BA0850A1ED4}"/>
    <cellStyle name="Millares [0] 7 2" xfId="215" xr:uid="{95E8AE9F-41F3-43E0-AAA2-ED995B395C2A}"/>
    <cellStyle name="Millares [0] 7 2 2" xfId="401" xr:uid="{C5FAC729-2CEB-482F-8B9A-43EF2CDF0FFE}"/>
    <cellStyle name="Millares [0] 7 2 2 2" xfId="740" xr:uid="{3BF9298A-9A74-4503-B0BC-BF043A4E5318}"/>
    <cellStyle name="Millares [0] 7 2 2 2 2" xfId="1411" xr:uid="{C33D2939-0B64-4046-BCDF-4AED1B9EFDF1}"/>
    <cellStyle name="Millares [0] 7 2 2 3" xfId="1079" xr:uid="{5C53955F-2D83-400B-8EA5-83434689A871}"/>
    <cellStyle name="Millares [0] 7 2 3" xfId="574" xr:uid="{F62400A9-7630-457C-8064-604565C02164}"/>
    <cellStyle name="Millares [0] 7 2 3 2" xfId="1245" xr:uid="{4F12A309-B21B-4147-9840-339EC14909B8}"/>
    <cellStyle name="Millares [0] 7 2 4" xfId="913" xr:uid="{27EDAD27-8726-4DA8-8B15-5338817C31E8}"/>
    <cellStyle name="Millares [0] 7 3" xfId="319" xr:uid="{E991C70C-6C10-43DA-B15F-FDF8A889F873}"/>
    <cellStyle name="Millares [0] 7 3 2" xfId="658" xr:uid="{285E7975-668A-4D66-9E04-2AF6DD11ADE8}"/>
    <cellStyle name="Millares [0] 7 3 2 2" xfId="1329" xr:uid="{7F2A7223-4EA7-4322-AC66-7FF5CE6B1F0E}"/>
    <cellStyle name="Millares [0] 7 3 3" xfId="997" xr:uid="{56F74736-8883-4B71-97BD-BB38D22035E2}"/>
    <cellStyle name="Millares [0] 7 4" xfId="492" xr:uid="{7C5E0538-53B5-45C2-9185-39943B8A3797}"/>
    <cellStyle name="Millares [0] 7 4 2" xfId="1163" xr:uid="{E9159BDA-8F72-41F3-964A-6FE3DD17D1DD}"/>
    <cellStyle name="Millares [0] 7 5" xfId="831" xr:uid="{634B96BB-9315-4D2B-AB97-F46BD32EC21F}"/>
    <cellStyle name="Millares [0] 8" xfId="111" xr:uid="{C2A96F90-AB04-4C3D-B372-BB91978A7692}"/>
    <cellStyle name="Millares [0] 8 2" xfId="208" xr:uid="{7CDBD7F4-D492-434D-AD43-AEC362998BD1}"/>
    <cellStyle name="Millares [0] 8 2 2" xfId="394" xr:uid="{BC659204-6BEC-49E4-B15C-12D95357DBB3}"/>
    <cellStyle name="Millares [0] 8 2 2 2" xfId="733" xr:uid="{CEA6023C-14E0-46AB-8DC5-826E6C07944B}"/>
    <cellStyle name="Millares [0] 8 2 2 2 2" xfId="1404" xr:uid="{3D3F496D-E775-4C24-A299-9A308DC4E82C}"/>
    <cellStyle name="Millares [0] 8 2 2 3" xfId="1072" xr:uid="{7E9E7D21-2672-438C-BF33-479889A8FC99}"/>
    <cellStyle name="Millares [0] 8 2 3" xfId="567" xr:uid="{BA63F008-904C-43D7-9D9D-DB4F8B3C37FE}"/>
    <cellStyle name="Millares [0] 8 2 3 2" xfId="1238" xr:uid="{57506741-5265-4BF6-8B52-D852B9C7A6AA}"/>
    <cellStyle name="Millares [0] 8 2 4" xfId="906" xr:uid="{715BF59C-ADE1-4405-B911-F949123609E7}"/>
    <cellStyle name="Millares [0] 8 3" xfId="312" xr:uid="{375CE204-6935-4DF0-8057-0003A2645D37}"/>
    <cellStyle name="Millares [0] 8 3 2" xfId="651" xr:uid="{45BEB161-2F24-4271-84FA-3DB795BFB048}"/>
    <cellStyle name="Millares [0] 8 3 2 2" xfId="1322" xr:uid="{9055210C-B833-44F8-AF56-F12A89B864F4}"/>
    <cellStyle name="Millares [0] 8 3 3" xfId="990" xr:uid="{4E5604AD-5C9B-4A79-A40F-B682B4016579}"/>
    <cellStyle name="Millares [0] 8 4" xfId="485" xr:uid="{1D28FC23-8AB8-4A78-BB86-AE61E63FAF21}"/>
    <cellStyle name="Millares [0] 8 4 2" xfId="1156" xr:uid="{C61E174F-0BEE-4EC7-B853-E62F38A8A34F}"/>
    <cellStyle name="Millares [0] 8 5" xfId="824" xr:uid="{3FA768D6-A01B-4FF6-9146-F06249ABA1DC}"/>
    <cellStyle name="Millares [0] 9" xfId="161" xr:uid="{F9ECEDA4-49B4-4192-B1C6-223F103B9850}"/>
    <cellStyle name="Millares [0] 9 2" xfId="250" xr:uid="{8158D6F0-7B27-4260-909D-B9653BB95357}"/>
    <cellStyle name="Millares [0] 9 2 2" xfId="436" xr:uid="{DDA725B2-1067-4521-A9A5-FE24D218C885}"/>
    <cellStyle name="Millares [0] 9 2 2 2" xfId="775" xr:uid="{09A1FDEB-6D9E-4121-8227-10A1896FBC17}"/>
    <cellStyle name="Millares [0] 9 2 2 2 2" xfId="1446" xr:uid="{472EFC33-C31D-4E59-B8CB-ECADC1B8B6FB}"/>
    <cellStyle name="Millares [0] 9 2 2 3" xfId="1114" xr:uid="{5A9202B2-38FF-45AD-B7D2-C4CD95E13CDB}"/>
    <cellStyle name="Millares [0] 9 2 3" xfId="609" xr:uid="{E1E621CC-BA78-4C76-9EAD-E07A77DECD12}"/>
    <cellStyle name="Millares [0] 9 2 3 2" xfId="1280" xr:uid="{837D5F6E-619A-4C73-B079-98DC806AAF4C}"/>
    <cellStyle name="Millares [0] 9 2 4" xfId="948" xr:uid="{9D6C6E82-BB70-4CA2-B8B8-51BAFBFE279A}"/>
    <cellStyle name="Millares [0] 9 3" xfId="354" xr:uid="{299EE206-EA41-4BAF-A652-72328295B7FE}"/>
    <cellStyle name="Millares [0] 9 3 2" xfId="693" xr:uid="{33311732-83DE-446C-A8FE-C4D5103E4CC6}"/>
    <cellStyle name="Millares [0] 9 3 2 2" xfId="1364" xr:uid="{19B2A6D8-6575-42BC-A009-5988F580D1AE}"/>
    <cellStyle name="Millares [0] 9 3 3" xfId="1032" xr:uid="{74696B7F-FCA6-43DF-AA91-0F2ED023A008}"/>
    <cellStyle name="Millares [0] 9 4" xfId="527" xr:uid="{D93E6988-6CD0-4F8D-BCC8-D63DA43D3784}"/>
    <cellStyle name="Millares [0] 9 4 2" xfId="1198" xr:uid="{DF7454D5-6D47-42D9-9C73-FAAE65080A89}"/>
    <cellStyle name="Millares [0] 9 5" xfId="866" xr:uid="{52FD097C-AF14-429B-9A00-B0DB1B42BD78}"/>
    <cellStyle name="Millares 10" xfId="118" xr:uid="{07A27C7F-B6AF-4DC7-A3AC-C26157FADEF8}"/>
    <cellStyle name="Millares 10 2" xfId="209" xr:uid="{CF403787-EB63-4976-95B8-9453A4A97712}"/>
    <cellStyle name="Millares 10 2 2" xfId="395" xr:uid="{E3D52B2F-9B01-4D40-BE85-36591BAC4284}"/>
    <cellStyle name="Millares 10 2 2 2" xfId="734" xr:uid="{92E34EDF-5575-40BA-8452-9A2EF03984AE}"/>
    <cellStyle name="Millares 10 2 2 2 2" xfId="1405" xr:uid="{762B0F17-56AA-4351-9497-0BF72E97CC91}"/>
    <cellStyle name="Millares 10 2 2 3" xfId="1073" xr:uid="{1DFD5031-C9CB-4BC8-A02A-4877871D4D54}"/>
    <cellStyle name="Millares 10 2 3" xfId="568" xr:uid="{4FB265AF-4685-4CE2-9269-C20534110147}"/>
    <cellStyle name="Millares 10 2 3 2" xfId="1239" xr:uid="{1915E2DC-8375-495D-9F3A-754BD8004E70}"/>
    <cellStyle name="Millares 10 2 4" xfId="907" xr:uid="{7935E332-5773-4FC7-A80F-86794D655B6A}"/>
    <cellStyle name="Millares 10 3" xfId="313" xr:uid="{C9E2821F-0BE9-4CAA-97F3-412DFC87AF7D}"/>
    <cellStyle name="Millares 10 3 2" xfId="652" xr:uid="{A2D141EC-A559-427C-AA11-3C1867572464}"/>
    <cellStyle name="Millares 10 3 2 2" xfId="1323" xr:uid="{47C675B0-44B0-4953-B086-9581DCE9656D}"/>
    <cellStyle name="Millares 10 3 3" xfId="991" xr:uid="{32E1DC69-6952-4B8A-A34C-F4D85BF1CBBA}"/>
    <cellStyle name="Millares 10 4" xfId="486" xr:uid="{5208708B-8BF7-460E-89BC-6548A86FAD57}"/>
    <cellStyle name="Millares 10 4 2" xfId="1157" xr:uid="{07A59AD4-CA1D-4C0C-9F7D-7A04CD23B78D}"/>
    <cellStyle name="Millares 10 5" xfId="825" xr:uid="{63E4D51B-557F-4DF8-8AE0-EF1381F13850}"/>
    <cellStyle name="Millares 100 2" xfId="57" xr:uid="{6B15498B-635D-4CDC-992D-AE55AA44ACB2}"/>
    <cellStyle name="Millares 100 2 2" xfId="262" xr:uid="{ABBC1D07-09AA-4C51-AA57-212AD403AEFF}"/>
    <cellStyle name="Millares 11" xfId="159" xr:uid="{8E54E1CF-6327-466B-B401-F2F49208E971}"/>
    <cellStyle name="Millares 11 2" xfId="248" xr:uid="{CEBA5DE9-FE7B-403A-B554-179304A440A0}"/>
    <cellStyle name="Millares 11 2 2" xfId="434" xr:uid="{713F0A9A-8266-4DB6-AF62-20B80F9F4697}"/>
    <cellStyle name="Millares 11 2 2 2" xfId="773" xr:uid="{EE0BA909-6FFB-4E4E-AD51-D1ECF807B7BE}"/>
    <cellStyle name="Millares 11 2 2 2 2" xfId="1444" xr:uid="{37930D97-7254-4A03-86CC-8A08A4A7D925}"/>
    <cellStyle name="Millares 11 2 2 3" xfId="1112" xr:uid="{4AEBAA4C-E3E5-466D-B8CA-93A1E20CAE57}"/>
    <cellStyle name="Millares 11 2 3" xfId="607" xr:uid="{ABE9C9D4-B049-4674-907C-02FD31892CE2}"/>
    <cellStyle name="Millares 11 2 3 2" xfId="1278" xr:uid="{AD2856EA-F6A1-4148-9013-48B55ED62B77}"/>
    <cellStyle name="Millares 11 2 4" xfId="946" xr:uid="{00F3CE01-8FC0-471E-95F5-DF5AA7136BF8}"/>
    <cellStyle name="Millares 11 3" xfId="352" xr:uid="{B4F19538-E137-49FD-8DC6-F860887CE71F}"/>
    <cellStyle name="Millares 11 3 2" xfId="691" xr:uid="{A8A394D0-6F71-472F-8D56-C505CB568900}"/>
    <cellStyle name="Millares 11 3 2 2" xfId="1362" xr:uid="{634DACFF-A8A7-4F3E-850E-4E67E8A8E293}"/>
    <cellStyle name="Millares 11 3 3" xfId="1030" xr:uid="{FCA56D5F-E039-4632-BC5A-136B8DB58B05}"/>
    <cellStyle name="Millares 11 4" xfId="525" xr:uid="{E4CFB6B3-FA90-45BC-8029-07CF97F805BF}"/>
    <cellStyle name="Millares 11 4 2" xfId="1196" xr:uid="{F9D03EC6-DBE7-4BCA-AEE8-89BC11892046}"/>
    <cellStyle name="Millares 11 5" xfId="864" xr:uid="{08038226-303D-4C53-B605-D38FC096A536}"/>
    <cellStyle name="Millares 12" xfId="160" xr:uid="{7316E214-2668-41CF-ADC8-BB2E9F25C8B4}"/>
    <cellStyle name="Millares 12 2" xfId="249" xr:uid="{A87AF92B-00A5-41D2-9BDF-29BAA7A2D468}"/>
    <cellStyle name="Millares 12 2 2" xfId="435" xr:uid="{0A664DAB-E3F0-4409-8668-0A737CA764C9}"/>
    <cellStyle name="Millares 12 2 2 2" xfId="774" xr:uid="{B88CBD9C-2649-4D3E-86FB-5729CCA4347A}"/>
    <cellStyle name="Millares 12 2 2 2 2" xfId="1445" xr:uid="{5E5C264B-10EB-4391-B9DF-ED115262072C}"/>
    <cellStyle name="Millares 12 2 2 3" xfId="1113" xr:uid="{53EA7AE3-EADB-41FC-A52F-9CA4F30D7675}"/>
    <cellStyle name="Millares 12 2 3" xfId="608" xr:uid="{517AD0E6-8C62-4E13-B2CB-35262D9B07FE}"/>
    <cellStyle name="Millares 12 2 3 2" xfId="1279" xr:uid="{A0C38550-2CA2-4D95-A4C4-BAB6A6204B25}"/>
    <cellStyle name="Millares 12 2 4" xfId="947" xr:uid="{451578C4-7BF2-4EE9-995E-4F09EF8667C2}"/>
    <cellStyle name="Millares 12 3" xfId="353" xr:uid="{1619C860-8B14-408B-ADFC-649B8FDD7174}"/>
    <cellStyle name="Millares 12 3 2" xfId="692" xr:uid="{77323A06-C494-4807-8CC4-597B1D59047F}"/>
    <cellStyle name="Millares 12 3 2 2" xfId="1363" xr:uid="{EC464325-809E-4A15-B7CD-7CA45E59A9B0}"/>
    <cellStyle name="Millares 12 3 3" xfId="1031" xr:uid="{6DF7A894-7D96-4054-96DC-4B6065856028}"/>
    <cellStyle name="Millares 12 4" xfId="526" xr:uid="{C634AD43-8F81-4A7E-B731-1108254F7E8E}"/>
    <cellStyle name="Millares 12 4 2" xfId="1197" xr:uid="{A5DF6948-C852-464E-9615-DA88D2C6CCBE}"/>
    <cellStyle name="Millares 12 5" xfId="865" xr:uid="{AE9428B2-6DEA-4C25-94CD-9F8894C2EDAD}"/>
    <cellStyle name="Millares 13" xfId="168" xr:uid="{DA133C39-8B1A-4CD0-B7F2-5E5F9288D1B2}"/>
    <cellStyle name="Millares 13 2" xfId="355" xr:uid="{8FFF7C88-9237-4D43-914D-852B2475E9B2}"/>
    <cellStyle name="Millares 13 2 2" xfId="694" xr:uid="{D584EEF5-D41D-491F-A8C0-3B11013B11DD}"/>
    <cellStyle name="Millares 13 2 2 2" xfId="1365" xr:uid="{77E579C6-8B54-4306-A1E9-A5EAAFAC422B}"/>
    <cellStyle name="Millares 13 2 3" xfId="1033" xr:uid="{5B53003B-B894-4C07-96A7-CEEF3B17DC24}"/>
    <cellStyle name="Millares 13 3" xfId="528" xr:uid="{38FE43E2-30FA-4782-A3B1-02BBE5FB1B40}"/>
    <cellStyle name="Millares 13 3 2" xfId="1199" xr:uid="{4A2EFFA8-369A-4E11-B6F4-B795EC2BD798}"/>
    <cellStyle name="Millares 13 4" xfId="867" xr:uid="{D0AEFA83-9C5C-4E43-A24C-F33F862196BE}"/>
    <cellStyle name="Millares 14" xfId="257" xr:uid="{4739CA6B-49D6-4E7D-88F1-A83E1A33ECDA}"/>
    <cellStyle name="Millares 14 2" xfId="437" xr:uid="{B911A7FC-697C-4F0B-B286-03D12C13E1D8}"/>
    <cellStyle name="Millares 14 2 2" xfId="776" xr:uid="{06AE5C5C-F05C-4201-9F62-78A2D8DBB09E}"/>
    <cellStyle name="Millares 14 2 2 2" xfId="1447" xr:uid="{37BB7068-D211-4B3E-BF82-6073E8D96B8C}"/>
    <cellStyle name="Millares 14 2 3" xfId="1115" xr:uid="{72AF4605-8687-43B7-A2AB-05A16AF83181}"/>
    <cellStyle name="Millares 14 3" xfId="610" xr:uid="{670E5A75-9126-4290-8BA0-85A6F89DDE80}"/>
    <cellStyle name="Millares 14 3 2" xfId="1281" xr:uid="{0DBBE880-8E46-4783-A5C3-F11E6039AF15}"/>
    <cellStyle name="Millares 14 4" xfId="949" xr:uid="{1D33F9C3-03E6-4527-98B8-64D3C6841839}"/>
    <cellStyle name="Millares 15" xfId="272" xr:uid="{3632FCB8-D950-4E05-A899-645CBCBAB825}"/>
    <cellStyle name="Millares 15 2" xfId="612" xr:uid="{EC299981-59D6-4505-8802-657246A8BFD4}"/>
    <cellStyle name="Millares 15 2 2" xfId="1283" xr:uid="{65D4A6C9-09E6-4EF5-A08C-699D3C69455E}"/>
    <cellStyle name="Millares 15 3" xfId="951" xr:uid="{AA441186-7FE8-467D-A2DD-037F1D6D9EC5}"/>
    <cellStyle name="Millares 16" xfId="445" xr:uid="{A033F2D1-0A4C-4315-9A9F-FB530289099B}"/>
    <cellStyle name="Millares 16 2" xfId="1117" xr:uid="{B066CC35-8916-4078-9DCA-4552D27FB1B2}"/>
    <cellStyle name="Millares 17" xfId="784" xr:uid="{98A0F9CF-3657-45E1-A3A2-CCEF07A5843A}"/>
    <cellStyle name="Millares 18" xfId="59" xr:uid="{41796C9B-4096-4999-A9AE-3BDF57EEF5DB}"/>
    <cellStyle name="Millares 19" xfId="43" xr:uid="{4CC8FE26-D543-44AD-9853-B4CE9A0FA35B}"/>
    <cellStyle name="Millares 2" xfId="47" xr:uid="{67608163-1F55-4D53-8771-DDC11475570A}"/>
    <cellStyle name="Millares 2 2" xfId="74" xr:uid="{9963DD3E-4A49-4777-AD2A-8C83F072E7BE}"/>
    <cellStyle name="Millares 2 2 2" xfId="103" xr:uid="{F140423A-D623-4A76-932A-769BB297EF84}"/>
    <cellStyle name="Millares 2 2 2 2" xfId="151" xr:uid="{EEB5B271-EFFF-4F03-A21F-91B8D3357144}"/>
    <cellStyle name="Millares 2 2 2 2 2" xfId="240" xr:uid="{52E852F4-7890-4C57-8994-C62AC483A885}"/>
    <cellStyle name="Millares 2 2 2 2 2 2" xfId="426" xr:uid="{AD9C6828-327B-4DCB-B129-8EEA7844E1F1}"/>
    <cellStyle name="Millares 2 2 2 2 2 2 2" xfId="765" xr:uid="{6169EDD3-25F6-4D55-9ADD-21C5137F6334}"/>
    <cellStyle name="Millares 2 2 2 2 2 2 2 2" xfId="1436" xr:uid="{53C814B5-CAA4-4876-9402-4A82ECDC1F13}"/>
    <cellStyle name="Millares 2 2 2 2 2 2 3" xfId="1104" xr:uid="{E078D53A-5A30-42B9-9378-7BB84471C2B8}"/>
    <cellStyle name="Millares 2 2 2 2 2 3" xfId="599" xr:uid="{63762782-C18A-495A-9972-BE243BFFCBA6}"/>
    <cellStyle name="Millares 2 2 2 2 2 3 2" xfId="1270" xr:uid="{52C48E16-B7DB-47E5-866F-5D84718D5D8B}"/>
    <cellStyle name="Millares 2 2 2 2 2 4" xfId="938" xr:uid="{78E6EFAD-83E7-4BAD-AE8A-FE33D5B0496F}"/>
    <cellStyle name="Millares 2 2 2 2 3" xfId="344" xr:uid="{ECAA5D71-6E87-4BBA-9BCE-2A47FD604065}"/>
    <cellStyle name="Millares 2 2 2 2 3 2" xfId="683" xr:uid="{83E90E12-6563-4ABF-875B-900FB0DE0061}"/>
    <cellStyle name="Millares 2 2 2 2 3 2 2" xfId="1354" xr:uid="{096A99D0-3597-4CDA-AB86-D6B0B19CB1A8}"/>
    <cellStyle name="Millares 2 2 2 2 3 3" xfId="1022" xr:uid="{1B0C90CC-868B-4BCC-B018-B0893E67FAAC}"/>
    <cellStyle name="Millares 2 2 2 2 4" xfId="517" xr:uid="{784BC2A9-317A-4400-A288-B3383CD62078}"/>
    <cellStyle name="Millares 2 2 2 2 4 2" xfId="1188" xr:uid="{E6B149BD-AAA1-46F0-B9A3-89058C244AD5}"/>
    <cellStyle name="Millares 2 2 2 2 5" xfId="856" xr:uid="{C61866BE-FAFD-4D14-8C66-F715F00C8F5A}"/>
    <cellStyle name="Millares 2 2 2 3" xfId="200" xr:uid="{549EED8A-A018-47A1-9EFA-190425D1A08E}"/>
    <cellStyle name="Millares 2 2 2 3 2" xfId="386" xr:uid="{D7C33A8A-2D7F-4214-ACD9-BA10FB1C04D3}"/>
    <cellStyle name="Millares 2 2 2 3 2 2" xfId="725" xr:uid="{D6D96B59-9C5C-4907-A517-470AD13F040F}"/>
    <cellStyle name="Millares 2 2 2 3 2 2 2" xfId="1396" xr:uid="{D78A43C5-9C6C-4D26-868F-04A2130A2D67}"/>
    <cellStyle name="Millares 2 2 2 3 2 3" xfId="1064" xr:uid="{6F7861AE-A49E-4D67-8CFA-2E4DF37FC358}"/>
    <cellStyle name="Millares 2 2 2 3 3" xfId="559" xr:uid="{50E9AF0C-622F-49CB-99FD-BC4CB7EBB039}"/>
    <cellStyle name="Millares 2 2 2 3 3 2" xfId="1230" xr:uid="{B6BD34B4-D0E8-41D9-9A81-BC6F45843026}"/>
    <cellStyle name="Millares 2 2 2 3 4" xfId="898" xr:uid="{DE0E02DB-E177-442F-A68B-7F9DDF0A00D5}"/>
    <cellStyle name="Millares 2 2 2 4" xfId="304" xr:uid="{8FE3DA26-E2CA-4010-842B-19329D2102E2}"/>
    <cellStyle name="Millares 2 2 2 4 2" xfId="643" xr:uid="{9C0CB17B-CA5F-423A-BA50-4F93E482B387}"/>
    <cellStyle name="Millares 2 2 2 4 2 2" xfId="1314" xr:uid="{BDF7C168-DA20-4012-9E77-2830C9625CDB}"/>
    <cellStyle name="Millares 2 2 2 4 3" xfId="982" xr:uid="{7063F1EB-9A4B-400D-B183-19FE3C36D85D}"/>
    <cellStyle name="Millares 2 2 2 5" xfId="477" xr:uid="{6431DA12-B406-449D-A6D7-83F8EE0148DB}"/>
    <cellStyle name="Millares 2 2 2 5 2" xfId="1148" xr:uid="{14F2521F-ECE2-44FA-A983-FDA5CF57D37F}"/>
    <cellStyle name="Millares 2 2 2 6" xfId="816" xr:uid="{3202FD51-9440-4D8D-BB5E-4169AFEA11D7}"/>
    <cellStyle name="Millares 2 2 3" xfId="132" xr:uid="{81BD0282-F8F2-4066-BBEB-BF12429D23AA}"/>
    <cellStyle name="Millares 2 2 3 2" xfId="221" xr:uid="{5B53DAF5-62B2-42AD-B1FE-6D996E0E0038}"/>
    <cellStyle name="Millares 2 2 3 2 2" xfId="407" xr:uid="{97FD2984-E8D5-4F0A-B3FB-E3C1F8CFA149}"/>
    <cellStyle name="Millares 2 2 3 2 2 2" xfId="746" xr:uid="{8390955A-B46A-4C7D-BF3A-8C899852653B}"/>
    <cellStyle name="Millares 2 2 3 2 2 2 2" xfId="1417" xr:uid="{B0DBAA1E-6812-419F-9A54-9B3E287C5990}"/>
    <cellStyle name="Millares 2 2 3 2 2 3" xfId="1085" xr:uid="{050D2F0F-F314-4890-A48E-1514701DAE81}"/>
    <cellStyle name="Millares 2 2 3 2 3" xfId="580" xr:uid="{5399DFC2-3382-4C15-AF6E-5F3BADF1A993}"/>
    <cellStyle name="Millares 2 2 3 2 3 2" xfId="1251" xr:uid="{2A8E44A6-AE30-478B-A368-51807BD12FAA}"/>
    <cellStyle name="Millares 2 2 3 2 4" xfId="919" xr:uid="{4E6E55ED-9F3D-405D-895C-B44AFF3F997F}"/>
    <cellStyle name="Millares 2 2 3 3" xfId="325" xr:uid="{9A117B45-FA06-49C7-98AE-F9B44584E524}"/>
    <cellStyle name="Millares 2 2 3 3 2" xfId="664" xr:uid="{8D4F2952-5B3C-4E5F-9F4C-FB3097A39604}"/>
    <cellStyle name="Millares 2 2 3 3 2 2" xfId="1335" xr:uid="{F6EC7D80-B674-43AA-B5E3-F5A05C9FEC55}"/>
    <cellStyle name="Millares 2 2 3 3 3" xfId="1003" xr:uid="{08B28175-CC86-4933-B93D-2766AC3E2448}"/>
    <cellStyle name="Millares 2 2 3 4" xfId="498" xr:uid="{7C443E17-3187-4E67-87C4-F21992997A94}"/>
    <cellStyle name="Millares 2 2 3 4 2" xfId="1169" xr:uid="{E995EE8D-B380-4F69-A961-928367D9A0EC}"/>
    <cellStyle name="Millares 2 2 3 5" xfId="837" xr:uid="{1CA0B60F-DF3E-472F-820F-E28299F94CA5}"/>
    <cellStyle name="Millares 2 2 4" xfId="181" xr:uid="{BF9C6F6E-E534-4135-AC46-31A6641B5FB8}"/>
    <cellStyle name="Millares 2 2 4 2" xfId="367" xr:uid="{962303BD-FEAF-449A-A32F-1D2B61CBCA87}"/>
    <cellStyle name="Millares 2 2 4 2 2" xfId="706" xr:uid="{D2DFCB5D-3B86-4283-A28B-3B9AF3531438}"/>
    <cellStyle name="Millares 2 2 4 2 2 2" xfId="1377" xr:uid="{185A2A3B-D6A2-461B-8A7A-3C9C69B01454}"/>
    <cellStyle name="Millares 2 2 4 2 3" xfId="1045" xr:uid="{449EA9BC-8190-4FB8-B893-C065D61C2786}"/>
    <cellStyle name="Millares 2 2 4 3" xfId="540" xr:uid="{BCBB29D2-77F8-45A6-B91B-7EFA5DFF1746}"/>
    <cellStyle name="Millares 2 2 4 3 2" xfId="1211" xr:uid="{D0D1D511-450F-4BFE-9E6C-09C725B0C8E3}"/>
    <cellStyle name="Millares 2 2 4 4" xfId="879" xr:uid="{D6C30D44-C78E-4EBD-8F49-AA8DDD7C072F}"/>
    <cellStyle name="Millares 2 2 5" xfId="285" xr:uid="{B5BE350C-3E80-4E6D-BF8F-9F2A0DD2868C}"/>
    <cellStyle name="Millares 2 2 5 2" xfId="624" xr:uid="{3F930376-4EC5-4550-B17C-829F00E26584}"/>
    <cellStyle name="Millares 2 2 5 2 2" xfId="1295" xr:uid="{C034765E-0195-42A4-8D35-7E62B27542E2}"/>
    <cellStyle name="Millares 2 2 5 3" xfId="963" xr:uid="{34DC7D58-1F60-488B-8543-B3D5AB215216}"/>
    <cellStyle name="Millares 2 2 6" xfId="458" xr:uid="{80E7BAAE-1C5E-48AA-86BD-A171F1553890}"/>
    <cellStyle name="Millares 2 2 6 2" xfId="1129" xr:uid="{80E9EDF0-80CC-4CE3-A717-62C91D088A7C}"/>
    <cellStyle name="Millares 2 2 7" xfId="797" xr:uid="{7EC2B1E2-2989-4AB8-AC51-D82E26CE2E19}"/>
    <cellStyle name="Millares 2 3" xfId="92" xr:uid="{2D651F7D-9F63-461B-9889-7FAC03757A47}"/>
    <cellStyle name="Millares 2 3 2" xfId="142" xr:uid="{B2583E84-51CC-4419-B0B5-D27885605970}"/>
    <cellStyle name="Millares 2 3 2 2" xfId="231" xr:uid="{2322FDC6-3DB8-4DAD-A2EB-740E9874F1C8}"/>
    <cellStyle name="Millares 2 3 2 2 2" xfId="417" xr:uid="{D649B429-1358-4D1A-8A6A-61DAEA88B504}"/>
    <cellStyle name="Millares 2 3 2 2 2 2" xfId="756" xr:uid="{CBF523BE-A1B5-42BA-99F4-C3A0FBC88E4D}"/>
    <cellStyle name="Millares 2 3 2 2 2 2 2" xfId="1427" xr:uid="{17BD9A42-7606-4D5C-B494-52A25EDABB4A}"/>
    <cellStyle name="Millares 2 3 2 2 2 3" xfId="1095" xr:uid="{98EB742F-0AC9-4744-B020-3824C4E4D473}"/>
    <cellStyle name="Millares 2 3 2 2 3" xfId="590" xr:uid="{9942C5FD-384F-4FC5-B467-F2A7037473A9}"/>
    <cellStyle name="Millares 2 3 2 2 3 2" xfId="1261" xr:uid="{34305D06-0D84-4C3B-8D1C-A906CB1B404E}"/>
    <cellStyle name="Millares 2 3 2 2 4" xfId="929" xr:uid="{65EE9088-AB4E-4A2F-B4EB-CA10FAA29F1C}"/>
    <cellStyle name="Millares 2 3 2 3" xfId="335" xr:uid="{A5EC9971-B170-4C10-AD9E-78348D707533}"/>
    <cellStyle name="Millares 2 3 2 3 2" xfId="674" xr:uid="{07DA09E9-DA94-485C-80BA-D5E05A1CEF4E}"/>
    <cellStyle name="Millares 2 3 2 3 2 2" xfId="1345" xr:uid="{8FDDB61B-6685-416A-8255-2A03EF77E644}"/>
    <cellStyle name="Millares 2 3 2 3 3" xfId="1013" xr:uid="{361BC553-EFA0-4955-9D65-96F6DBAB9AF1}"/>
    <cellStyle name="Millares 2 3 2 4" xfId="508" xr:uid="{4CCF5BDA-0C40-40A1-8258-6581C71AC083}"/>
    <cellStyle name="Millares 2 3 2 4 2" xfId="1179" xr:uid="{629583BE-EF05-44BA-AC83-20564C5C6E1A}"/>
    <cellStyle name="Millares 2 3 2 5" xfId="847" xr:uid="{8A109E9B-B384-4A36-AC0A-17A62D4B082F}"/>
    <cellStyle name="Millares 2 3 3" xfId="191" xr:uid="{BCA80BB0-3DA8-4FB7-A4EB-6D2C36FA264A}"/>
    <cellStyle name="Millares 2 3 3 2" xfId="377" xr:uid="{A14D0492-294B-4038-9390-719DEE1E8641}"/>
    <cellStyle name="Millares 2 3 3 2 2" xfId="716" xr:uid="{8E8B3B1F-21D3-4EBB-ADD4-30FE536D7088}"/>
    <cellStyle name="Millares 2 3 3 2 2 2" xfId="1387" xr:uid="{207F3340-9350-47C8-A3AE-4841D741D892}"/>
    <cellStyle name="Millares 2 3 3 2 3" xfId="1055" xr:uid="{7AC29CA0-C1E4-4446-B782-F1637B98B243}"/>
    <cellStyle name="Millares 2 3 3 3" xfId="550" xr:uid="{4B846FDE-7710-4DEC-B1EC-17080BA1B8B9}"/>
    <cellStyle name="Millares 2 3 3 3 2" xfId="1221" xr:uid="{B17BFCE8-A5F1-4CAD-B3E8-76587B3E7E08}"/>
    <cellStyle name="Millares 2 3 3 4" xfId="889" xr:uid="{8626305E-4B0B-48B4-8091-1ED494E31645}"/>
    <cellStyle name="Millares 2 3 4" xfId="295" xr:uid="{F8DC7C0B-C786-4FB6-BBC8-251F1C3A3737}"/>
    <cellStyle name="Millares 2 3 4 2" xfId="634" xr:uid="{467EC35D-A6A6-4F02-A78C-8E9AA93CD385}"/>
    <cellStyle name="Millares 2 3 4 2 2" xfId="1305" xr:uid="{16EC4617-73EA-4877-878F-2A6A51FB146D}"/>
    <cellStyle name="Millares 2 3 4 3" xfId="973" xr:uid="{FDF53CE0-44CD-45E7-9A37-00F347D03811}"/>
    <cellStyle name="Millares 2 3 5" xfId="468" xr:uid="{431BDCF3-2976-4B1F-8878-B56860B0A41E}"/>
    <cellStyle name="Millares 2 3 5 2" xfId="1139" xr:uid="{FC329C8C-61F2-4719-994C-5ABB26E9A12C}"/>
    <cellStyle name="Millares 2 3 6" xfId="807" xr:uid="{7ADF0164-4754-4C23-AA3D-76E293969F45}"/>
    <cellStyle name="Millares 2 4" xfId="121" xr:uid="{E921D007-A316-4C48-8DF4-75050D3D8FB8}"/>
    <cellStyle name="Millares 2 4 2" xfId="212" xr:uid="{193A4166-E8C6-426B-9315-A6128498951A}"/>
    <cellStyle name="Millares 2 4 2 2" xfId="398" xr:uid="{5AEEF2A6-01CF-4E98-86D0-3C53E802E561}"/>
    <cellStyle name="Millares 2 4 2 2 2" xfId="737" xr:uid="{7B00620A-84C1-484A-A486-74D51C73FE1C}"/>
    <cellStyle name="Millares 2 4 2 2 2 2" xfId="1408" xr:uid="{9C6FA1A9-C236-4322-858A-186C325BFE23}"/>
    <cellStyle name="Millares 2 4 2 2 3" xfId="1076" xr:uid="{360F9A1B-263F-4CFE-9FA7-FC2C4FB014CC}"/>
    <cellStyle name="Millares 2 4 2 3" xfId="571" xr:uid="{C2FFBA18-0911-4401-A773-F0B00B4EA1CE}"/>
    <cellStyle name="Millares 2 4 2 3 2" xfId="1242" xr:uid="{EAC1BD7D-0900-43AA-A3C9-C66601B3359C}"/>
    <cellStyle name="Millares 2 4 2 4" xfId="910" xr:uid="{22570A25-4D93-462D-800C-DC945AF5909B}"/>
    <cellStyle name="Millares 2 4 3" xfId="316" xr:uid="{7CBBEFAD-D0D3-4257-8D88-0CECC7FC4F77}"/>
    <cellStyle name="Millares 2 4 3 2" xfId="655" xr:uid="{A309638A-69FD-49DD-A0E2-2D479F47F5D5}"/>
    <cellStyle name="Millares 2 4 3 2 2" xfId="1326" xr:uid="{81A8C8E2-D242-451D-AAB3-42DA472DE560}"/>
    <cellStyle name="Millares 2 4 3 3" xfId="994" xr:uid="{21805FDC-12A5-4DD5-91B7-9E9DB7CC3026}"/>
    <cellStyle name="Millares 2 4 4" xfId="489" xr:uid="{4C41957E-BB11-48FD-BA01-B7749248A781}"/>
    <cellStyle name="Millares 2 4 4 2" xfId="1160" xr:uid="{5C8CAB82-B2F6-4229-8EA3-C8F210BDF510}"/>
    <cellStyle name="Millares 2 4 5" xfId="828" xr:uid="{8CE041AB-3899-4CA0-8AF2-9855650FCC2C}"/>
    <cellStyle name="Millares 2 5" xfId="171" xr:uid="{8C7A92E2-4E11-4313-9FC8-124D5BA05A76}"/>
    <cellStyle name="Millares 2 5 2" xfId="358" xr:uid="{7396C57B-7C66-4222-87F9-9CD60CE5BB4D}"/>
    <cellStyle name="Millares 2 5 2 2" xfId="697" xr:uid="{BE95DE69-8F6D-4AAB-8EA1-D60619C2028F}"/>
    <cellStyle name="Millares 2 5 2 2 2" xfId="1368" xr:uid="{99643135-699D-4A2E-A25F-7BB0670EF3FE}"/>
    <cellStyle name="Millares 2 5 2 3" xfId="1036" xr:uid="{7AB9C130-D271-43A1-BEEC-C6E2F7DF2118}"/>
    <cellStyle name="Millares 2 5 3" xfId="531" xr:uid="{3953192E-6704-4298-AE16-85FB5ADCE7CB}"/>
    <cellStyle name="Millares 2 5 3 2" xfId="1202" xr:uid="{86772E78-467A-46C0-98D5-27F87753B398}"/>
    <cellStyle name="Millares 2 5 4" xfId="870" xr:uid="{6DD77AFD-AD5D-4A78-9A5A-0C9E661A1ED6}"/>
    <cellStyle name="Millares 2 6" xfId="259" xr:uid="{02F8778D-55A5-4CD0-9BD7-AA7E709B7A31}"/>
    <cellStyle name="Millares 2 7" xfId="275" xr:uid="{E51C3C5C-7B4F-4828-B01D-9ECE2384E33C}"/>
    <cellStyle name="Millares 2 7 2" xfId="615" xr:uid="{B244B16F-1707-412D-BB80-C8E929668C1C}"/>
    <cellStyle name="Millares 2 7 2 2" xfId="1286" xr:uid="{FDDEC521-D56F-4BE3-B7F9-E3DF2517B347}"/>
    <cellStyle name="Millares 2 7 3" xfId="954" xr:uid="{AACFEC58-D397-4B06-9912-1AB5BC636315}"/>
    <cellStyle name="Millares 2 8" xfId="448" xr:uid="{1D462B58-5B4B-4CCD-8D33-2AE9A3F78339}"/>
    <cellStyle name="Millares 2 8 2" xfId="1120" xr:uid="{BCA9952C-E5C4-4B8D-9DB4-AC23240D194C}"/>
    <cellStyle name="Millares 2 9" xfId="787" xr:uid="{FFA64060-6597-4387-8016-1A39830B26C8}"/>
    <cellStyle name="Millares 3" xfId="71" xr:uid="{B896EB7D-6147-4F96-96EA-0970C9DB2A4A}"/>
    <cellStyle name="Millares 3 2" xfId="100" xr:uid="{D9DB92C7-0CDE-4A0A-A558-4232712E01A0}"/>
    <cellStyle name="Millares 3 2 2" xfId="60" xr:uid="{A208DE70-6BE5-430B-A10C-B0BF90D86715}"/>
    <cellStyle name="Millares 3 2 2 2" xfId="264" xr:uid="{1379980A-3F8A-4F71-8DC2-0C6012F6A795}"/>
    <cellStyle name="Millares 3 2 3" xfId="148" xr:uid="{996E8F91-2280-4A33-BDFE-241B920D4EEA}"/>
    <cellStyle name="Millares 3 2 3 2" xfId="237" xr:uid="{317581BC-2D18-4907-BBA6-C812D7B1222B}"/>
    <cellStyle name="Millares 3 2 3 2 2" xfId="423" xr:uid="{BC88A0E7-6783-4AEF-9BC2-8A15FC547C75}"/>
    <cellStyle name="Millares 3 2 3 2 2 2" xfId="762" xr:uid="{8F6E3AAF-799E-4B74-A435-5A3D7C12AB69}"/>
    <cellStyle name="Millares 3 2 3 2 2 2 2" xfId="1433" xr:uid="{B90C26BB-62F1-4F58-B898-B32559E7C7EC}"/>
    <cellStyle name="Millares 3 2 3 2 2 3" xfId="1101" xr:uid="{BBE626D2-5AF8-4E2C-9FBA-1AA238B011BA}"/>
    <cellStyle name="Millares 3 2 3 2 3" xfId="596" xr:uid="{01C204F3-9B8D-4DA5-92C4-3CF312687C68}"/>
    <cellStyle name="Millares 3 2 3 2 3 2" xfId="1267" xr:uid="{246DDBD9-788A-4E07-8F6D-28AC084FC4AA}"/>
    <cellStyle name="Millares 3 2 3 2 4" xfId="935" xr:uid="{4FCC4B82-FD34-4F0A-BACB-A5398E7741E9}"/>
    <cellStyle name="Millares 3 2 3 3" xfId="341" xr:uid="{7E137102-D194-4DB6-9572-7FE22204C6FE}"/>
    <cellStyle name="Millares 3 2 3 3 2" xfId="680" xr:uid="{6292D13B-0766-46DA-97CD-B18E6FA51B48}"/>
    <cellStyle name="Millares 3 2 3 3 2 2" xfId="1351" xr:uid="{D4F9C8CF-2C04-44BF-BED7-C8DA20FB62EB}"/>
    <cellStyle name="Millares 3 2 3 3 3" xfId="1019" xr:uid="{0D502DF1-EC64-4B65-A71B-B8119A403F34}"/>
    <cellStyle name="Millares 3 2 3 4" xfId="514" xr:uid="{B3906D2C-DBA4-482B-BC43-0E568E14D73A}"/>
    <cellStyle name="Millares 3 2 3 4 2" xfId="1185" xr:uid="{EDF0CC84-9FA1-4C30-B74D-22CB5EE90756}"/>
    <cellStyle name="Millares 3 2 3 5" xfId="853" xr:uid="{ED9B1D6B-813E-4CBA-8090-C6E19C7EBB8B}"/>
    <cellStyle name="Millares 3 2 4" xfId="197" xr:uid="{69B0B586-531E-46D8-89E6-66DE6353B0D9}"/>
    <cellStyle name="Millares 3 2 4 2" xfId="383" xr:uid="{F8844DB8-A09D-410C-9C89-978DFB7FB28D}"/>
    <cellStyle name="Millares 3 2 4 2 2" xfId="722" xr:uid="{C1A2D663-EFA8-497D-AA1C-C3711BA78AFF}"/>
    <cellStyle name="Millares 3 2 4 2 2 2" xfId="1393" xr:uid="{0CD8767B-D59F-4EBD-B35E-C995AE0C799B}"/>
    <cellStyle name="Millares 3 2 4 2 3" xfId="1061" xr:uid="{24FA94F9-132C-4D18-8EA5-6D99172B08C2}"/>
    <cellStyle name="Millares 3 2 4 3" xfId="556" xr:uid="{7DA6C6EE-0CC5-4BF6-A112-95922123B122}"/>
    <cellStyle name="Millares 3 2 4 3 2" xfId="1227" xr:uid="{D851D4AD-C01F-45EF-8671-CED3DD723EA8}"/>
    <cellStyle name="Millares 3 2 4 4" xfId="895" xr:uid="{A24FB2DD-22AE-4DF6-AE50-BD18F54B0D8E}"/>
    <cellStyle name="Millares 3 2 5" xfId="301" xr:uid="{4003D382-4435-43FC-93B9-12DD39F76590}"/>
    <cellStyle name="Millares 3 2 5 2" xfId="640" xr:uid="{573DC5F4-B097-434A-9069-EBD081ECCA9D}"/>
    <cellStyle name="Millares 3 2 5 2 2" xfId="1311" xr:uid="{E1BEC4F6-B1A6-4517-89D7-E0E43A445FCC}"/>
    <cellStyle name="Millares 3 2 5 3" xfId="979" xr:uid="{F11BEC52-8C5B-4CDF-8B4F-12E712AE91D8}"/>
    <cellStyle name="Millares 3 2 6" xfId="474" xr:uid="{12771225-653A-4269-A995-DFDFF14A0D55}"/>
    <cellStyle name="Millares 3 2 6 2" xfId="1145" xr:uid="{4B1B4CA2-5CC6-4235-A53E-91400236C34D}"/>
    <cellStyle name="Millares 3 2 7" xfId="813" xr:uid="{7052EB37-32D0-4AB5-8CF5-6568349BB6E2}"/>
    <cellStyle name="Millares 3 3" xfId="129" xr:uid="{1F71B620-176F-4326-912D-1C5721538EA0}"/>
    <cellStyle name="Millares 3 3 2" xfId="218" xr:uid="{BE00EAC7-3C5C-4B15-8FD7-2FFC4FD30683}"/>
    <cellStyle name="Millares 3 3 2 2" xfId="404" xr:uid="{A7573448-2CEF-4962-AFDB-E697D6497F19}"/>
    <cellStyle name="Millares 3 3 2 2 2" xfId="743" xr:uid="{3316363F-8F27-4521-A253-C081A5CB8A90}"/>
    <cellStyle name="Millares 3 3 2 2 2 2" xfId="1414" xr:uid="{149C60B6-4561-43FF-831E-160D62723700}"/>
    <cellStyle name="Millares 3 3 2 2 3" xfId="1082" xr:uid="{76AD42DA-CA24-40DF-A0AF-0B54827276B0}"/>
    <cellStyle name="Millares 3 3 2 3" xfId="577" xr:uid="{906DD7BC-339F-472C-88FC-963D462416D2}"/>
    <cellStyle name="Millares 3 3 2 3 2" xfId="1248" xr:uid="{1C477FCA-B383-4D48-81A9-032F40BEE189}"/>
    <cellStyle name="Millares 3 3 2 4" xfId="916" xr:uid="{99026B64-9B2B-4E82-A931-D8217A070A82}"/>
    <cellStyle name="Millares 3 3 3" xfId="322" xr:uid="{02CE90A4-750B-4806-A0CB-CCB8C26542EC}"/>
    <cellStyle name="Millares 3 3 3 2" xfId="661" xr:uid="{43595997-6004-4006-A6A4-A45305997A88}"/>
    <cellStyle name="Millares 3 3 3 2 2" xfId="1332" xr:uid="{FE32BE34-318B-40D9-8E24-A56567A274B7}"/>
    <cellStyle name="Millares 3 3 3 3" xfId="1000" xr:uid="{92550ADE-54F3-4C65-8FAC-4BDE1D9FD246}"/>
    <cellStyle name="Millares 3 3 4" xfId="495" xr:uid="{FBA39AA6-F7E4-4C48-85CE-B8A4671D65A1}"/>
    <cellStyle name="Millares 3 3 4 2" xfId="1166" xr:uid="{0112CD94-39DD-42AC-9549-75A2DF5D180F}"/>
    <cellStyle name="Millares 3 3 5" xfId="834" xr:uid="{0F3A5E1D-E460-467A-BB35-BE0E074080D3}"/>
    <cellStyle name="Millares 3 4" xfId="178" xr:uid="{80D6D952-0DC6-4E21-A316-0577C2311D00}"/>
    <cellStyle name="Millares 3 4 2" xfId="364" xr:uid="{E5242302-A375-403F-8B0F-52A83C26F96E}"/>
    <cellStyle name="Millares 3 4 2 2" xfId="703" xr:uid="{F953B977-E56D-42E9-A3EA-C8B391E12C9B}"/>
    <cellStyle name="Millares 3 4 2 2 2" xfId="1374" xr:uid="{DABB11FA-2575-409B-9A60-014AD70F75ED}"/>
    <cellStyle name="Millares 3 4 2 3" xfId="1042" xr:uid="{DC0042D0-795B-442C-8A80-036172451700}"/>
    <cellStyle name="Millares 3 4 3" xfId="537" xr:uid="{4A2E8193-CC2A-4EE9-9FC6-E9B8356AB9D0}"/>
    <cellStyle name="Millares 3 4 3 2" xfId="1208" xr:uid="{FA33E9FE-5EC9-4D85-8CD5-6E0342468A0D}"/>
    <cellStyle name="Millares 3 4 4" xfId="876" xr:uid="{A824E7A8-8763-4F47-B454-017696745879}"/>
    <cellStyle name="Millares 3 5" xfId="282" xr:uid="{A7927416-03B4-4731-93F0-9F6AD3A9C465}"/>
    <cellStyle name="Millares 3 5 2" xfId="621" xr:uid="{92ADFB61-DE3C-44CB-B887-E05EA4EFDFF2}"/>
    <cellStyle name="Millares 3 5 2 2" xfId="1292" xr:uid="{CB70C34D-6442-4F4C-A5A4-783A5970B491}"/>
    <cellStyle name="Millares 3 5 3" xfId="960" xr:uid="{61D5FF3E-487B-4258-AF02-CA3CADEC045B}"/>
    <cellStyle name="Millares 3 6" xfId="455" xr:uid="{B6CD869B-E769-41FB-942B-13EE68D6C1CB}"/>
    <cellStyle name="Millares 3 6 2" xfId="1126" xr:uid="{3275169D-01E5-4D80-9829-82B41BE6A56F}"/>
    <cellStyle name="Millares 3 7" xfId="794" xr:uid="{E9CC1689-5E3F-4B14-BC71-CFA044F1ED86}"/>
    <cellStyle name="Millares 30 2 2" xfId="58" xr:uid="{8C008B5D-674C-4BE8-9B9E-1B1620C50D17}"/>
    <cellStyle name="Millares 30 2 2 2" xfId="77" xr:uid="{4FD4DF00-5D9A-44E6-B095-EC7C2E48E795}"/>
    <cellStyle name="Millares 30 2 2 2 2" xfId="105" xr:uid="{4A25BA45-3061-47CF-A49F-525F3E9B150D}"/>
    <cellStyle name="Millares 30 2 2 2 2 2" xfId="153" xr:uid="{BFFCA972-56A4-46D6-BECD-B672AF1A4A98}"/>
    <cellStyle name="Millares 30 2 2 2 2 2 2" xfId="242" xr:uid="{2623A9D6-4201-4505-8951-EF313B82865C}"/>
    <cellStyle name="Millares 30 2 2 2 2 2 2 2" xfId="428" xr:uid="{CF93970B-464C-4E5D-8FFA-37F80D553033}"/>
    <cellStyle name="Millares 30 2 2 2 2 2 2 2 2" xfId="767" xr:uid="{3D5153C4-A613-4B72-A833-CFE032FC57C0}"/>
    <cellStyle name="Millares 30 2 2 2 2 2 2 2 2 2" xfId="1438" xr:uid="{DEB10B5F-745D-4C46-AB43-2FFA16D1B678}"/>
    <cellStyle name="Millares 30 2 2 2 2 2 2 2 3" xfId="1106" xr:uid="{0099608A-B3F6-4DF4-BC88-B437C80FFC4B}"/>
    <cellStyle name="Millares 30 2 2 2 2 2 2 3" xfId="601" xr:uid="{82A59392-72D1-4434-94C7-5A978D35DB3D}"/>
    <cellStyle name="Millares 30 2 2 2 2 2 2 3 2" xfId="1272" xr:uid="{6BC8D1A7-8C2A-411A-9EF2-2E5E8EF0BF32}"/>
    <cellStyle name="Millares 30 2 2 2 2 2 2 4" xfId="940" xr:uid="{E9132B25-2879-47CB-847F-C667FD8A7C5F}"/>
    <cellStyle name="Millares 30 2 2 2 2 2 3" xfId="346" xr:uid="{ECC78980-ED53-4CA4-AF3F-B0BAE7FEE3C6}"/>
    <cellStyle name="Millares 30 2 2 2 2 2 3 2" xfId="685" xr:uid="{F1A9AB2D-828F-43FD-8251-EA721263AEC3}"/>
    <cellStyle name="Millares 30 2 2 2 2 2 3 2 2" xfId="1356" xr:uid="{7F395082-919E-4558-A429-4F8FC276EAC7}"/>
    <cellStyle name="Millares 30 2 2 2 2 2 3 3" xfId="1024" xr:uid="{80E8796A-DA6E-42BE-BAD0-FFF645699518}"/>
    <cellStyle name="Millares 30 2 2 2 2 2 4" xfId="519" xr:uid="{E0F31BFD-2D6D-40EA-B487-DA61B24EEA28}"/>
    <cellStyle name="Millares 30 2 2 2 2 2 4 2" xfId="1190" xr:uid="{426340D4-186E-414F-9CC8-3DBB977124F7}"/>
    <cellStyle name="Millares 30 2 2 2 2 2 5" xfId="858" xr:uid="{FEAF544B-0FBB-4220-AD85-0A7B33B2186F}"/>
    <cellStyle name="Millares 30 2 2 2 2 3" xfId="202" xr:uid="{47138341-8503-434A-BDE4-0D001DAF4F3C}"/>
    <cellStyle name="Millares 30 2 2 2 2 3 2" xfId="388" xr:uid="{935BE073-3F47-44AF-9C52-6151010909F7}"/>
    <cellStyle name="Millares 30 2 2 2 2 3 2 2" xfId="727" xr:uid="{937D48E1-FBE7-4472-B5F2-83B8B6E1D6F4}"/>
    <cellStyle name="Millares 30 2 2 2 2 3 2 2 2" xfId="1398" xr:uid="{592F9D1C-DC29-4B9C-B2E8-17FA074E6844}"/>
    <cellStyle name="Millares 30 2 2 2 2 3 2 3" xfId="1066" xr:uid="{C3EA738A-0147-47B2-971D-D58A061DF4B2}"/>
    <cellStyle name="Millares 30 2 2 2 2 3 3" xfId="561" xr:uid="{D901139D-B2AF-4D27-A544-C27D87306320}"/>
    <cellStyle name="Millares 30 2 2 2 2 3 3 2" xfId="1232" xr:uid="{F06E7979-3094-448F-84FB-07F230DE9B06}"/>
    <cellStyle name="Millares 30 2 2 2 2 3 4" xfId="900" xr:uid="{E580660F-6233-4400-BD8B-41B228C07860}"/>
    <cellStyle name="Millares 30 2 2 2 2 4" xfId="306" xr:uid="{9EC14D34-03FC-4434-8342-EB53D2CDCC53}"/>
    <cellStyle name="Millares 30 2 2 2 2 4 2" xfId="645" xr:uid="{C22E53EE-569A-429E-9260-666E17593AA4}"/>
    <cellStyle name="Millares 30 2 2 2 2 4 2 2" xfId="1316" xr:uid="{87259325-988B-4803-A785-66B79892D937}"/>
    <cellStyle name="Millares 30 2 2 2 2 4 3" xfId="984" xr:uid="{D30A1631-1162-42E1-B75E-65139A0A293F}"/>
    <cellStyle name="Millares 30 2 2 2 2 5" xfId="479" xr:uid="{760CE049-4F0C-4F3A-A14F-E3A58CF98DFE}"/>
    <cellStyle name="Millares 30 2 2 2 2 5 2" xfId="1150" xr:uid="{701EE316-0F25-4D8D-B974-FD9CA5AFD028}"/>
    <cellStyle name="Millares 30 2 2 2 2 6" xfId="818" xr:uid="{8608A5F7-AE58-4ED6-A15A-9DD624D2D093}"/>
    <cellStyle name="Millares 30 2 2 2 3" xfId="134" xr:uid="{459A7E29-0468-4A3D-89CF-C17714CFDB46}"/>
    <cellStyle name="Millares 30 2 2 2 3 2" xfId="223" xr:uid="{B9542ABD-824F-4391-B185-F7731EF96764}"/>
    <cellStyle name="Millares 30 2 2 2 3 2 2" xfId="409" xr:uid="{68A270E5-16A2-4041-8A11-8307B48A38ED}"/>
    <cellStyle name="Millares 30 2 2 2 3 2 2 2" xfId="748" xr:uid="{6139D8E0-C780-46E7-9A3B-ECFDABF76439}"/>
    <cellStyle name="Millares 30 2 2 2 3 2 2 2 2" xfId="1419" xr:uid="{138BD9EA-7E67-49AC-8E2B-DAAB92596BCC}"/>
    <cellStyle name="Millares 30 2 2 2 3 2 2 3" xfId="1087" xr:uid="{9EAD8D8B-A07B-485E-9025-553FC4E9149C}"/>
    <cellStyle name="Millares 30 2 2 2 3 2 3" xfId="582" xr:uid="{BE57E97D-86FA-4615-9486-DD4D10D576B0}"/>
    <cellStyle name="Millares 30 2 2 2 3 2 3 2" xfId="1253" xr:uid="{AAC1377A-5523-4236-9B3E-7E6B6F8F625C}"/>
    <cellStyle name="Millares 30 2 2 2 3 2 4" xfId="921" xr:uid="{8A484982-4FD4-4768-802B-BB5EB0B4501B}"/>
    <cellStyle name="Millares 30 2 2 2 3 3" xfId="327" xr:uid="{31DE71A4-F5C2-47D1-B63C-6D4EFA07566B}"/>
    <cellStyle name="Millares 30 2 2 2 3 3 2" xfId="666" xr:uid="{6E3000C0-542B-4363-885D-83651E7CCDBD}"/>
    <cellStyle name="Millares 30 2 2 2 3 3 2 2" xfId="1337" xr:uid="{68BC05F7-87D5-46B3-B471-E6566AB07F3E}"/>
    <cellStyle name="Millares 30 2 2 2 3 3 3" xfId="1005" xr:uid="{0C99E579-DADD-4FAE-B861-0ECA0CF94E91}"/>
    <cellStyle name="Millares 30 2 2 2 3 4" xfId="500" xr:uid="{8CBCC358-F4A2-431C-A853-E4065D657ED0}"/>
    <cellStyle name="Millares 30 2 2 2 3 4 2" xfId="1171" xr:uid="{1A660065-E564-4B0C-A5F8-C639DC0B808D}"/>
    <cellStyle name="Millares 30 2 2 2 3 5" xfId="839" xr:uid="{7A515D9D-038A-48EF-8F86-E720F5EF788D}"/>
    <cellStyle name="Millares 30 2 2 2 4" xfId="183" xr:uid="{1C745D81-00A9-4F33-9935-44411C701C36}"/>
    <cellStyle name="Millares 30 2 2 2 4 2" xfId="369" xr:uid="{FAD68B6F-5565-45B8-B8AD-CE5371EF4161}"/>
    <cellStyle name="Millares 30 2 2 2 4 2 2" xfId="708" xr:uid="{D3EA394B-E045-40C0-97C1-DFD70790B01B}"/>
    <cellStyle name="Millares 30 2 2 2 4 2 2 2" xfId="1379" xr:uid="{EE998F11-B8BF-4745-87B6-05E6017313F1}"/>
    <cellStyle name="Millares 30 2 2 2 4 2 3" xfId="1047" xr:uid="{3112E125-0E4B-4E37-AB72-AE948C007DD5}"/>
    <cellStyle name="Millares 30 2 2 2 4 3" xfId="542" xr:uid="{628A3D2D-7985-4B05-9C6A-4FC24D383639}"/>
    <cellStyle name="Millares 30 2 2 2 4 3 2" xfId="1213" xr:uid="{F17B2E6B-F125-48C5-A015-C81753CCBDB0}"/>
    <cellStyle name="Millares 30 2 2 2 4 4" xfId="881" xr:uid="{0CDE69A6-A926-4FDE-A2D0-8FC4FE1B5CE0}"/>
    <cellStyle name="Millares 30 2 2 2 5" xfId="287" xr:uid="{0DDF26BC-49A3-41F9-B2F5-5A50C6CC7E71}"/>
    <cellStyle name="Millares 30 2 2 2 5 2" xfId="626" xr:uid="{5D672FBE-08F4-468D-9377-6E583D47BAFD}"/>
    <cellStyle name="Millares 30 2 2 2 5 2 2" xfId="1297" xr:uid="{0B61D62A-684A-45CD-839E-28788F3925E8}"/>
    <cellStyle name="Millares 30 2 2 2 5 3" xfId="965" xr:uid="{85A56CF7-0F59-4EEA-870A-719ADF4EC1E0}"/>
    <cellStyle name="Millares 30 2 2 2 6" xfId="460" xr:uid="{398CF0BC-7A4C-4E2D-864E-D3C6A3A68287}"/>
    <cellStyle name="Millares 30 2 2 2 6 2" xfId="1131" xr:uid="{79630283-FF75-4429-BB54-A9F9CB7B4B25}"/>
    <cellStyle name="Millares 30 2 2 2 7" xfId="799" xr:uid="{6F44F320-8388-42AD-96AE-741C6BA08609}"/>
    <cellStyle name="Millares 30 2 2 3" xfId="95" xr:uid="{3069136A-E908-4EE8-B5CF-61F383635D08}"/>
    <cellStyle name="Millares 30 2 2 3 2" xfId="144" xr:uid="{FE3D833A-A42E-40D7-9E82-2DDE49AF352D}"/>
    <cellStyle name="Millares 30 2 2 3 2 2" xfId="233" xr:uid="{8617690D-FAD8-40B4-8C4B-9877A46EDEAC}"/>
    <cellStyle name="Millares 30 2 2 3 2 2 2" xfId="419" xr:uid="{DAD74E99-CE3A-4FF7-8502-CD5AA828898C}"/>
    <cellStyle name="Millares 30 2 2 3 2 2 2 2" xfId="758" xr:uid="{57CE17C0-4E4C-44D7-A0D1-525420BB3FFC}"/>
    <cellStyle name="Millares 30 2 2 3 2 2 2 2 2" xfId="1429" xr:uid="{CA825F08-4A47-44AD-AB47-A570A277F7D6}"/>
    <cellStyle name="Millares 30 2 2 3 2 2 2 3" xfId="1097" xr:uid="{B61CE5F1-AF5E-4FA6-9083-F48A1B045FB3}"/>
    <cellStyle name="Millares 30 2 2 3 2 2 3" xfId="592" xr:uid="{96C299F8-455F-417E-8665-3AE7FB8E8321}"/>
    <cellStyle name="Millares 30 2 2 3 2 2 3 2" xfId="1263" xr:uid="{8BD5710C-8FAB-470B-A548-6CA431B0E4DC}"/>
    <cellStyle name="Millares 30 2 2 3 2 2 4" xfId="931" xr:uid="{0B903E96-6411-4693-A477-B71DBE4A98F2}"/>
    <cellStyle name="Millares 30 2 2 3 2 3" xfId="337" xr:uid="{2690B356-08AC-40B1-925B-14DE6E4F307C}"/>
    <cellStyle name="Millares 30 2 2 3 2 3 2" xfId="676" xr:uid="{1F246E9F-872D-48D2-ADC6-BF55FC851917}"/>
    <cellStyle name="Millares 30 2 2 3 2 3 2 2" xfId="1347" xr:uid="{1690BCFD-E583-459C-903F-2F952408B241}"/>
    <cellStyle name="Millares 30 2 2 3 2 3 3" xfId="1015" xr:uid="{91E69F22-8B85-4DC1-BF78-14F36BA07B25}"/>
    <cellStyle name="Millares 30 2 2 3 2 4" xfId="510" xr:uid="{3F72CDE7-FBFF-442D-B182-6F9CFED8C805}"/>
    <cellStyle name="Millares 30 2 2 3 2 4 2" xfId="1181" xr:uid="{5C0040BA-3B4E-4077-A803-726F6DBE91BF}"/>
    <cellStyle name="Millares 30 2 2 3 2 5" xfId="849" xr:uid="{1E5D2358-E6CE-4DA1-9DDD-35ABC5FE4BDD}"/>
    <cellStyle name="Millares 30 2 2 3 3" xfId="193" xr:uid="{27ED6D26-2605-4A53-B813-A55D84476724}"/>
    <cellStyle name="Millares 30 2 2 3 3 2" xfId="379" xr:uid="{7BA88329-4318-431F-A72F-75CA5E5ADB06}"/>
    <cellStyle name="Millares 30 2 2 3 3 2 2" xfId="718" xr:uid="{C68F0276-ABC3-4A86-8E7C-890C54391CDF}"/>
    <cellStyle name="Millares 30 2 2 3 3 2 2 2" xfId="1389" xr:uid="{3CA60C2B-1F9C-4A95-BC3C-A8A493ACBB81}"/>
    <cellStyle name="Millares 30 2 2 3 3 2 3" xfId="1057" xr:uid="{E81C4CD1-432E-4A1F-BBED-96C58789D097}"/>
    <cellStyle name="Millares 30 2 2 3 3 3" xfId="552" xr:uid="{EDFD24DC-45A7-4E05-A3E3-C229F59E6507}"/>
    <cellStyle name="Millares 30 2 2 3 3 3 2" xfId="1223" xr:uid="{F1702E94-3085-4356-92C3-07621E86832E}"/>
    <cellStyle name="Millares 30 2 2 3 3 4" xfId="891" xr:uid="{4A652407-622F-4E9D-A7FE-2A2AD0FDA904}"/>
    <cellStyle name="Millares 30 2 2 3 4" xfId="297" xr:uid="{B6C4976B-49D0-41B7-A5AA-8F6D6289DDDD}"/>
    <cellStyle name="Millares 30 2 2 3 4 2" xfId="636" xr:uid="{1E48B258-B894-4370-9A73-E1CBF21E08D7}"/>
    <cellStyle name="Millares 30 2 2 3 4 2 2" xfId="1307" xr:uid="{0436F38F-F596-4074-9674-2557D3F9B343}"/>
    <cellStyle name="Millares 30 2 2 3 4 3" xfId="975" xr:uid="{1F133DBB-424B-4925-91A9-B5089B1BADB0}"/>
    <cellStyle name="Millares 30 2 2 3 5" xfId="470" xr:uid="{54E602E6-C94B-45A5-B8C9-04801E5933BA}"/>
    <cellStyle name="Millares 30 2 2 3 5 2" xfId="1141" xr:uid="{D42B563B-172B-4C37-B6C8-ECD391FCAD29}"/>
    <cellStyle name="Millares 30 2 2 3 6" xfId="809" xr:uid="{4535EA8C-36AB-4EB3-9D16-4D1D0ED78ED2}"/>
    <cellStyle name="Millares 30 2 2 4" xfId="124" xr:uid="{5F473ED0-9376-4F21-842E-AAE813E5243D}"/>
    <cellStyle name="Millares 30 2 2 4 2" xfId="214" xr:uid="{DB7D09C2-12AD-42F3-BDED-C386504D0A1C}"/>
    <cellStyle name="Millares 30 2 2 4 2 2" xfId="400" xr:uid="{6C0892ED-00A1-42DC-A778-93D4DF170D86}"/>
    <cellStyle name="Millares 30 2 2 4 2 2 2" xfId="739" xr:uid="{AD58A22C-55AF-40C3-A461-E56D1F4B11EB}"/>
    <cellStyle name="Millares 30 2 2 4 2 2 2 2" xfId="1410" xr:uid="{2FDDAC54-35C5-4B97-855B-2655CE83888C}"/>
    <cellStyle name="Millares 30 2 2 4 2 2 3" xfId="1078" xr:uid="{9E152AED-ECBF-4E81-9433-C4475FB37C1A}"/>
    <cellStyle name="Millares 30 2 2 4 2 3" xfId="573" xr:uid="{EF6B7E5C-C1BD-46DA-8266-CBC25F07B2A7}"/>
    <cellStyle name="Millares 30 2 2 4 2 3 2" xfId="1244" xr:uid="{A75DD190-4C9F-4331-8D0D-98B0B56252FC}"/>
    <cellStyle name="Millares 30 2 2 4 2 4" xfId="912" xr:uid="{3AA38EC5-A79C-481A-A531-BF386D76FE1C}"/>
    <cellStyle name="Millares 30 2 2 4 3" xfId="318" xr:uid="{66E67CC3-14B0-4907-8158-B2C432B2C7DD}"/>
    <cellStyle name="Millares 30 2 2 4 3 2" xfId="657" xr:uid="{4235EFD8-68EE-4C3E-95CA-A05DEAB901E3}"/>
    <cellStyle name="Millares 30 2 2 4 3 2 2" xfId="1328" xr:uid="{C9DA9799-D85F-4DB8-943E-7E8F269D15B1}"/>
    <cellStyle name="Millares 30 2 2 4 3 3" xfId="996" xr:uid="{9F63522D-4006-4217-B0DC-D8696A3D9790}"/>
    <cellStyle name="Millares 30 2 2 4 4" xfId="491" xr:uid="{2C6C76AA-B8E1-4168-A16D-1E65F662A3B1}"/>
    <cellStyle name="Millares 30 2 2 4 4 2" xfId="1162" xr:uid="{BDB042CC-160E-4FD7-9938-8B9DCA3C6BA9}"/>
    <cellStyle name="Millares 30 2 2 4 5" xfId="830" xr:uid="{BEB04D02-E3DB-466A-9EA5-5F48819FFE97}"/>
    <cellStyle name="Millares 30 2 2 5" xfId="174" xr:uid="{1FEFF3F4-D0B3-403F-A8FB-B3837F2B9674}"/>
    <cellStyle name="Millares 30 2 2 5 2" xfId="360" xr:uid="{AC8B1801-FD34-4FAE-A672-B73F07448C98}"/>
    <cellStyle name="Millares 30 2 2 5 2 2" xfId="699" xr:uid="{1A68B335-5154-4043-9D9E-F8CC318F57BB}"/>
    <cellStyle name="Millares 30 2 2 5 2 2 2" xfId="1370" xr:uid="{2AE7CCC0-0521-4867-84F2-303C76894A9C}"/>
    <cellStyle name="Millares 30 2 2 5 2 3" xfId="1038" xr:uid="{83E7F837-D6E9-498B-B4B9-D2EB62B84304}"/>
    <cellStyle name="Millares 30 2 2 5 3" xfId="533" xr:uid="{CAC7C5AA-206E-45D4-AF53-EF17EEEF5FA5}"/>
    <cellStyle name="Millares 30 2 2 5 3 2" xfId="1204" xr:uid="{B756E13B-F700-470E-97EA-762F0EF47CF3}"/>
    <cellStyle name="Millares 30 2 2 5 4" xfId="872" xr:uid="{AB6FFF1F-612F-4D30-B602-8C3ACD8DB441}"/>
    <cellStyle name="Millares 30 2 2 6" xfId="263" xr:uid="{9E39923F-2B90-4ED3-B9F4-B2F318EA6335}"/>
    <cellStyle name="Millares 30 2 2 7" xfId="278" xr:uid="{9372850A-297C-4272-80E9-B4F484A8B12B}"/>
    <cellStyle name="Millares 30 2 2 7 2" xfId="617" xr:uid="{FFE7AE14-F094-4EFC-A4DD-880DA20C276B}"/>
    <cellStyle name="Millares 30 2 2 7 2 2" xfId="1288" xr:uid="{11CE2303-A443-45AF-BBA3-C91233817EAA}"/>
    <cellStyle name="Millares 30 2 2 7 3" xfId="956" xr:uid="{DF962619-C100-42F1-B99B-BF10B911435D}"/>
    <cellStyle name="Millares 30 2 2 8" xfId="451" xr:uid="{16CD917F-832B-419B-A579-B554E17A01E4}"/>
    <cellStyle name="Millares 30 2 2 8 2" xfId="1122" xr:uid="{E8D14410-14A5-4897-85A8-4B8E4A1EFC46}"/>
    <cellStyle name="Millares 30 2 2 9" xfId="790" xr:uid="{C3267440-3391-458E-A8F9-0577EECD3F3F}"/>
    <cellStyle name="Millares 4" xfId="80" xr:uid="{A7DDC137-6D6D-45B0-94BC-77980B6966CA}"/>
    <cellStyle name="Millares 4 2" xfId="107" xr:uid="{FC15010D-72C7-4458-8221-AFED328F1567}"/>
    <cellStyle name="Millares 4 2 2" xfId="155" xr:uid="{49094348-114F-485C-8660-6A9374A6A43C}"/>
    <cellStyle name="Millares 4 2 2 2" xfId="244" xr:uid="{3F828B76-284B-4D73-A66D-2E0767B47AB9}"/>
    <cellStyle name="Millares 4 2 2 2 2" xfId="430" xr:uid="{1883ED5C-743A-4EC9-9FC7-1414116672E3}"/>
    <cellStyle name="Millares 4 2 2 2 2 2" xfId="769" xr:uid="{3FE48B4C-80DD-4454-A775-173EDF8209DB}"/>
    <cellStyle name="Millares 4 2 2 2 2 2 2" xfId="1440" xr:uid="{1E03C244-6344-4E8A-93BB-296C18339EDD}"/>
    <cellStyle name="Millares 4 2 2 2 2 3" xfId="1108" xr:uid="{257DCFE3-956A-4E25-A07E-D58CA16DB326}"/>
    <cellStyle name="Millares 4 2 2 2 3" xfId="603" xr:uid="{AD50F297-7036-4700-9F8E-8B8E8747260C}"/>
    <cellStyle name="Millares 4 2 2 2 3 2" xfId="1274" xr:uid="{B3EFB4B7-A496-4BD9-A5BD-3DBC7270DA35}"/>
    <cellStyle name="Millares 4 2 2 2 4" xfId="942" xr:uid="{E0AFCF11-DBEE-4E76-AD87-590B33CEB124}"/>
    <cellStyle name="Millares 4 2 2 3" xfId="348" xr:uid="{3D37BCF1-F054-48A4-A4D8-A3EB92D8097F}"/>
    <cellStyle name="Millares 4 2 2 3 2" xfId="687" xr:uid="{755FD3A1-28B0-49A8-AB95-942D1565AE95}"/>
    <cellStyle name="Millares 4 2 2 3 2 2" xfId="1358" xr:uid="{6501CC1F-9317-4A9F-A2F3-85373F0E205B}"/>
    <cellStyle name="Millares 4 2 2 3 3" xfId="1026" xr:uid="{3A1FAADB-1D4C-430D-B181-EC2463A4CB54}"/>
    <cellStyle name="Millares 4 2 2 4" xfId="521" xr:uid="{A0F7942B-5F54-4A06-979F-3D567E25AA50}"/>
    <cellStyle name="Millares 4 2 2 4 2" xfId="1192" xr:uid="{41C98E36-A9CA-4059-BF69-EB97D9808B13}"/>
    <cellStyle name="Millares 4 2 2 5" xfId="860" xr:uid="{DDD3DFA4-8933-4D56-94FF-C8CAB84B281F}"/>
    <cellStyle name="Millares 4 2 3" xfId="204" xr:uid="{EB1C09F2-3F80-446E-8C17-271DEAF69909}"/>
    <cellStyle name="Millares 4 2 3 2" xfId="390" xr:uid="{FBDFBDE8-5928-4E02-B2DF-3094712F858D}"/>
    <cellStyle name="Millares 4 2 3 2 2" xfId="729" xr:uid="{AFD21301-B357-4BA5-B7AB-2DB1E198D159}"/>
    <cellStyle name="Millares 4 2 3 2 2 2" xfId="1400" xr:uid="{FA8228D9-9C3F-42DF-89FB-C7C1792A6F33}"/>
    <cellStyle name="Millares 4 2 3 2 3" xfId="1068" xr:uid="{1D273548-5202-470C-A27C-CA325D3D352B}"/>
    <cellStyle name="Millares 4 2 3 3" xfId="563" xr:uid="{F2D468B1-D0E2-4F05-B052-16325DF9B42A}"/>
    <cellStyle name="Millares 4 2 3 3 2" xfId="1234" xr:uid="{83B59290-FE24-46AD-A4BF-29AC7EB67CC7}"/>
    <cellStyle name="Millares 4 2 3 4" xfId="902" xr:uid="{355641FC-9AE1-425B-ADBA-EC0303049ADC}"/>
    <cellStyle name="Millares 4 2 4" xfId="308" xr:uid="{223AF819-664A-4662-9779-59A98E89FF08}"/>
    <cellStyle name="Millares 4 2 4 2" xfId="647" xr:uid="{A329E41B-9324-49CC-9866-823127DF075F}"/>
    <cellStyle name="Millares 4 2 4 2 2" xfId="1318" xr:uid="{FCD86C3F-914D-4043-A34F-F292C1AD2EE2}"/>
    <cellStyle name="Millares 4 2 4 3" xfId="986" xr:uid="{99D3EA38-5037-4431-96E4-BA688CF18D38}"/>
    <cellStyle name="Millares 4 2 5" xfId="481" xr:uid="{2AF09917-8BB2-4B04-9704-20581D1BF178}"/>
    <cellStyle name="Millares 4 2 5 2" xfId="1152" xr:uid="{085912EB-4F42-4E2B-9CDD-5C938DC70902}"/>
    <cellStyle name="Millares 4 2 6" xfId="820" xr:uid="{BF112643-9CD4-4FEA-8F7D-C0ED303FFA73}"/>
    <cellStyle name="Millares 4 3" xfId="136" xr:uid="{893C77CA-E030-4D20-97E3-DD7B09E49408}"/>
    <cellStyle name="Millares 4 3 2" xfId="225" xr:uid="{4A497FD3-9051-4013-BE22-9E2D6FBC4B58}"/>
    <cellStyle name="Millares 4 3 2 2" xfId="411" xr:uid="{D7415FA2-E737-4347-A660-9E72E31F76B9}"/>
    <cellStyle name="Millares 4 3 2 2 2" xfId="750" xr:uid="{FEB838DE-1D25-4A90-A935-EC230F7C8567}"/>
    <cellStyle name="Millares 4 3 2 2 2 2" xfId="1421" xr:uid="{551FA73E-B4CD-4BB8-8D62-34B60C5D4B0B}"/>
    <cellStyle name="Millares 4 3 2 2 3" xfId="1089" xr:uid="{B57B0A0A-0FFF-43F3-803F-B9982E2F69C9}"/>
    <cellStyle name="Millares 4 3 2 3" xfId="584" xr:uid="{1F98952E-4149-4155-8D1B-30BB286B5701}"/>
    <cellStyle name="Millares 4 3 2 3 2" xfId="1255" xr:uid="{F67270D6-CF81-4CDF-B5D2-F1769B4564F6}"/>
    <cellStyle name="Millares 4 3 2 4" xfId="923" xr:uid="{C79AB557-7D4A-44DD-86C1-A4BDAF4EB3F3}"/>
    <cellStyle name="Millares 4 3 3" xfId="329" xr:uid="{4A727EA1-C4AB-4910-B1E7-5D1D13F58827}"/>
    <cellStyle name="Millares 4 3 3 2" xfId="668" xr:uid="{6BA4D261-D6EA-4CB4-BA66-C96657D06B52}"/>
    <cellStyle name="Millares 4 3 3 2 2" xfId="1339" xr:uid="{BC433622-9CAA-4FDB-9761-72DC9D44D08C}"/>
    <cellStyle name="Millares 4 3 3 3" xfId="1007" xr:uid="{A50C2ED5-A71D-463C-9720-DD77A1876944}"/>
    <cellStyle name="Millares 4 3 4" xfId="502" xr:uid="{0F32F737-E845-4FD0-B607-89CC75EAB44B}"/>
    <cellStyle name="Millares 4 3 4 2" xfId="1173" xr:uid="{BBB50803-C485-4EE8-AC5F-B9A6E6D4145E}"/>
    <cellStyle name="Millares 4 3 5" xfId="841" xr:uid="{3E8DD34E-1F64-4D68-8582-216597B3E6FE}"/>
    <cellStyle name="Millares 4 4" xfId="185" xr:uid="{8AB2AB22-2639-4703-92BB-A0C9C1E525CA}"/>
    <cellStyle name="Millares 4 4 2" xfId="371" xr:uid="{AF1AD806-213B-4BE6-AD9E-754040695140}"/>
    <cellStyle name="Millares 4 4 2 2" xfId="710" xr:uid="{BA0A1842-016C-48FC-BE76-C279920E933E}"/>
    <cellStyle name="Millares 4 4 2 2 2" xfId="1381" xr:uid="{38D035D9-0D15-4447-BC82-5A3868E24B51}"/>
    <cellStyle name="Millares 4 4 2 3" xfId="1049" xr:uid="{C7A04373-3FE6-4157-85D0-7D604AA543C3}"/>
    <cellStyle name="Millares 4 4 3" xfId="544" xr:uid="{A0180CE0-F60F-4A62-9293-788D2B0B96B2}"/>
    <cellStyle name="Millares 4 4 3 2" xfId="1215" xr:uid="{AB13A678-AA9C-4782-B025-F51B311EAF39}"/>
    <cellStyle name="Millares 4 4 4" xfId="883" xr:uid="{D870D1C5-5779-4488-A7D4-9F87C1FAA700}"/>
    <cellStyle name="Millares 4 5" xfId="289" xr:uid="{18D5B0B8-17FE-41A3-B0B6-09ABE1D32AE7}"/>
    <cellStyle name="Millares 4 5 2" xfId="628" xr:uid="{C56BFC91-C086-4822-919B-D90638EAF3E8}"/>
    <cellStyle name="Millares 4 5 2 2" xfId="1299" xr:uid="{1118145A-9296-4971-8358-2E7F5206DAF1}"/>
    <cellStyle name="Millares 4 5 3" xfId="967" xr:uid="{D69855DE-DB91-469C-9E1B-D480A55C0DE1}"/>
    <cellStyle name="Millares 4 6" xfId="462" xr:uid="{21318663-5723-4233-AB73-9BEF309F70E3}"/>
    <cellStyle name="Millares 4 6 2" xfId="1133" xr:uid="{0E1E80FC-44CE-41CE-B90E-CA5A63A66D9B}"/>
    <cellStyle name="Millares 4 7" xfId="801" xr:uid="{4EA6385F-DB9E-4507-A69A-4FFE7D70386F}"/>
    <cellStyle name="Millares 5" xfId="64" xr:uid="{1CFC4AC2-29A0-44AB-9EC4-825CC27102C6}"/>
    <cellStyle name="Millares 5 2" xfId="99" xr:uid="{E628464A-AE7C-4A2A-97F6-EFFE769EC8D9}"/>
    <cellStyle name="Millares 5 2 2" xfId="147" xr:uid="{2A6DEDEB-8FE2-4A22-9E31-83110B2F1709}"/>
    <cellStyle name="Millares 5 2 2 2" xfId="236" xr:uid="{4BE97734-7C9D-4B64-80A5-D90288C2D375}"/>
    <cellStyle name="Millares 5 2 2 2 2" xfId="422" xr:uid="{4CE820F3-CEE2-48BC-9087-0C44D0D4570B}"/>
    <cellStyle name="Millares 5 2 2 2 2 2" xfId="761" xr:uid="{8CF1FE35-4474-4CCB-B48A-13D8A656CEDF}"/>
    <cellStyle name="Millares 5 2 2 2 2 2 2" xfId="1432" xr:uid="{FF6EA145-A139-4ED6-87A6-1CEFDF4F9A7E}"/>
    <cellStyle name="Millares 5 2 2 2 2 3" xfId="1100" xr:uid="{94DBB09B-F763-45F4-BA05-3214984A141F}"/>
    <cellStyle name="Millares 5 2 2 2 3" xfId="595" xr:uid="{E4DC7385-7A2D-424B-B81B-7127A86EED58}"/>
    <cellStyle name="Millares 5 2 2 2 3 2" xfId="1266" xr:uid="{F9411188-8928-4EF5-9EDB-A55658592372}"/>
    <cellStyle name="Millares 5 2 2 2 4" xfId="934" xr:uid="{8FDFCAC1-D4F9-43C5-91AE-E3878275DA55}"/>
    <cellStyle name="Millares 5 2 2 3" xfId="340" xr:uid="{8828417A-D293-4AE8-BE0E-2D5FC1D89588}"/>
    <cellStyle name="Millares 5 2 2 3 2" xfId="679" xr:uid="{751E55DD-0559-4C4F-BC20-08EBB569900C}"/>
    <cellStyle name="Millares 5 2 2 3 2 2" xfId="1350" xr:uid="{A5858325-9361-4300-BFEE-622E2CD06F84}"/>
    <cellStyle name="Millares 5 2 2 3 3" xfId="1018" xr:uid="{2D74EB04-A7D1-4B5E-8632-64631215029B}"/>
    <cellStyle name="Millares 5 2 2 4" xfId="513" xr:uid="{F11863EF-B5F0-46FE-840E-4EF2EEEAB4B7}"/>
    <cellStyle name="Millares 5 2 2 4 2" xfId="1184" xr:uid="{A9D02698-120F-488D-AD16-A50AD002E2FF}"/>
    <cellStyle name="Millares 5 2 2 5" xfId="852" xr:uid="{CC6A9104-30B8-457D-A9B2-183DC3E4C25B}"/>
    <cellStyle name="Millares 5 2 3" xfId="196" xr:uid="{A415784A-4F69-4EF0-8D9C-62A61B9104BB}"/>
    <cellStyle name="Millares 5 2 3 2" xfId="382" xr:uid="{0C4C7664-26B0-4B62-8AAC-FD0C40992895}"/>
    <cellStyle name="Millares 5 2 3 2 2" xfId="721" xr:uid="{DD349223-DF9E-4EF7-942F-512C14F1D310}"/>
    <cellStyle name="Millares 5 2 3 2 2 2" xfId="1392" xr:uid="{A8F4B066-3AD2-4C18-9158-C15B5961F552}"/>
    <cellStyle name="Millares 5 2 3 2 3" xfId="1060" xr:uid="{EC27EC3B-299A-4883-B82B-E4D0B7C0AC63}"/>
    <cellStyle name="Millares 5 2 3 3" xfId="555" xr:uid="{24A605DB-535F-444F-9E89-F9723192CEE9}"/>
    <cellStyle name="Millares 5 2 3 3 2" xfId="1226" xr:uid="{59F9A223-54DC-4662-9DD7-B176AC119666}"/>
    <cellStyle name="Millares 5 2 3 4" xfId="894" xr:uid="{F8784D2A-F9C4-4EE3-A4E6-85F725843623}"/>
    <cellStyle name="Millares 5 2 4" xfId="300" xr:uid="{F632FDFE-F8F3-44F8-A30A-2402AEEF7DD0}"/>
    <cellStyle name="Millares 5 2 4 2" xfId="639" xr:uid="{E0CBA068-E8D8-4416-80CA-196991C85245}"/>
    <cellStyle name="Millares 5 2 4 2 2" xfId="1310" xr:uid="{EAE33B10-D6B0-4C73-A5F3-38CEDF38C78E}"/>
    <cellStyle name="Millares 5 2 4 3" xfId="978" xr:uid="{09FFA966-5F47-4DA2-9E63-9DE3A01DA2B3}"/>
    <cellStyle name="Millares 5 2 5" xfId="473" xr:uid="{3CA78C51-265B-43FF-8ED5-FD37976786D2}"/>
    <cellStyle name="Millares 5 2 5 2" xfId="1144" xr:uid="{5B8B173A-93C2-46D4-909C-B316BFF0AC82}"/>
    <cellStyle name="Millares 5 2 6" xfId="812" xr:uid="{BD0FC407-49DB-412D-960E-E0D3DBBFFE20}"/>
    <cellStyle name="Millares 5 3" xfId="128" xr:uid="{1B941DA2-4B3D-4585-8307-BB9E8C7EBD27}"/>
    <cellStyle name="Millares 5 3 2" xfId="217" xr:uid="{A77E20A7-6B5A-4FBE-AE4D-54DAD298451E}"/>
    <cellStyle name="Millares 5 3 2 2" xfId="403" xr:uid="{54AB2887-A452-45DF-8FB0-550F2638B1BB}"/>
    <cellStyle name="Millares 5 3 2 2 2" xfId="742" xr:uid="{D6C5E6AC-B775-431A-8D3E-18FE6054DA7E}"/>
    <cellStyle name="Millares 5 3 2 2 2 2" xfId="1413" xr:uid="{D74F51A5-4795-4CED-95D3-F4F6E5EB14A0}"/>
    <cellStyle name="Millares 5 3 2 2 3" xfId="1081" xr:uid="{993DA723-33D9-4C8F-8B6D-0E5AAB210759}"/>
    <cellStyle name="Millares 5 3 2 3" xfId="576" xr:uid="{03DA00CE-DBE1-4671-B16C-766CD5FC9355}"/>
    <cellStyle name="Millares 5 3 2 3 2" xfId="1247" xr:uid="{E01CD762-1019-498E-AC07-33ED9510E0AD}"/>
    <cellStyle name="Millares 5 3 2 4" xfId="915" xr:uid="{4677D1E7-338A-4E3D-90B9-7C9E530A41F7}"/>
    <cellStyle name="Millares 5 3 3" xfId="321" xr:uid="{49EE3B8C-A53A-464A-BD41-663CB52A2FC1}"/>
    <cellStyle name="Millares 5 3 3 2" xfId="660" xr:uid="{FDFA13C1-D5CD-4EF1-98F6-79E8B4673612}"/>
    <cellStyle name="Millares 5 3 3 2 2" xfId="1331" xr:uid="{7BF33950-EE42-4781-979A-6EFCB30174E5}"/>
    <cellStyle name="Millares 5 3 3 3" xfId="999" xr:uid="{2AFBAD3E-635E-441F-B394-7D1319379789}"/>
    <cellStyle name="Millares 5 3 4" xfId="494" xr:uid="{A91E731A-125D-4D5F-A866-D8F69BBC0259}"/>
    <cellStyle name="Millares 5 3 4 2" xfId="1165" xr:uid="{BE689E05-DD19-41BC-8DCF-F72D6F43BF5A}"/>
    <cellStyle name="Millares 5 3 5" xfId="833" xr:uid="{E1C42B50-89A9-4408-A633-E4E45B12D33E}"/>
    <cellStyle name="Millares 5 4" xfId="177" xr:uid="{34CDB5BA-7729-4EDB-8F35-3AC822A75DA9}"/>
    <cellStyle name="Millares 5 4 2" xfId="363" xr:uid="{AAB21BA4-296B-4BC1-8442-B01E37B374D0}"/>
    <cellStyle name="Millares 5 4 2 2" xfId="702" xr:uid="{F7E6A23A-17B0-45DD-909D-357F268ACCAA}"/>
    <cellStyle name="Millares 5 4 2 2 2" xfId="1373" xr:uid="{31F33771-E7AC-4A2D-B93A-D8B962CC0EB6}"/>
    <cellStyle name="Millares 5 4 2 3" xfId="1041" xr:uid="{9DA1674B-C2E0-460C-8C8D-A6376186E9D5}"/>
    <cellStyle name="Millares 5 4 3" xfId="536" xr:uid="{58A206D6-9DA8-424B-9324-01B27A1F0AB7}"/>
    <cellStyle name="Millares 5 4 3 2" xfId="1207" xr:uid="{CADF04CF-EDBC-4C31-8577-04AE28513C96}"/>
    <cellStyle name="Millares 5 4 4" xfId="875" xr:uid="{A6D252F7-3D36-426B-A288-93457CC04774}"/>
    <cellStyle name="Millares 5 5" xfId="281" xr:uid="{60E56930-BDA6-41E4-AB59-098FE202F0CD}"/>
    <cellStyle name="Millares 5 5 2" xfId="620" xr:uid="{E772E4B4-E545-4C53-99A0-88B56722092E}"/>
    <cellStyle name="Millares 5 5 2 2" xfId="1291" xr:uid="{6DB4F756-0A13-4796-B0C4-8D05ACE1957F}"/>
    <cellStyle name="Millares 5 5 3" xfId="959" xr:uid="{E0256493-F7ED-4245-9060-1643B2AA1B4E}"/>
    <cellStyle name="Millares 5 6" xfId="454" xr:uid="{C3004C2D-0BF3-4074-A463-33A8598382B8}"/>
    <cellStyle name="Millares 5 6 2" xfId="1125" xr:uid="{914E14FD-EDED-4730-9B5E-CC972BFD922C}"/>
    <cellStyle name="Millares 5 7" xfId="793" xr:uid="{AC0B9C7D-9CCB-4ED8-B814-AFFCD743BC06}"/>
    <cellStyle name="Millares 6" xfId="81" xr:uid="{7697D842-98B3-403C-A4AA-0E69FAA6DE34}"/>
    <cellStyle name="Millares 6 2" xfId="108" xr:uid="{66197E5D-D538-4D93-B181-E86EDFE74D46}"/>
    <cellStyle name="Millares 6 2 2" xfId="156" xr:uid="{7135BF16-ED9F-4497-AF5B-E89530EF5F86}"/>
    <cellStyle name="Millares 6 2 2 2" xfId="245" xr:uid="{9AB1AB8C-0EB9-4986-BA71-FA5322139531}"/>
    <cellStyle name="Millares 6 2 2 2 2" xfId="431" xr:uid="{88A6EE6F-8271-47DA-AE7E-7CD702146EC0}"/>
    <cellStyle name="Millares 6 2 2 2 2 2" xfId="770" xr:uid="{0118F1E5-4C35-4C94-AE1B-0211722D9E2A}"/>
    <cellStyle name="Millares 6 2 2 2 2 2 2" xfId="1441" xr:uid="{56C65D83-FD21-4F7A-AD77-F9AB95221553}"/>
    <cellStyle name="Millares 6 2 2 2 2 3" xfId="1109" xr:uid="{2DC7E670-18F9-41C3-89A9-EE6A35AE430E}"/>
    <cellStyle name="Millares 6 2 2 2 3" xfId="604" xr:uid="{A663EB10-F314-4E72-855E-EC157E0C0258}"/>
    <cellStyle name="Millares 6 2 2 2 3 2" xfId="1275" xr:uid="{7011668A-806B-448E-AB1E-592B80FBF980}"/>
    <cellStyle name="Millares 6 2 2 2 4" xfId="943" xr:uid="{2538EF45-765C-4D07-AE2E-F5F762173ABC}"/>
    <cellStyle name="Millares 6 2 2 3" xfId="349" xr:uid="{362331BE-8B3C-4D9E-BF9E-67313D215748}"/>
    <cellStyle name="Millares 6 2 2 3 2" xfId="688" xr:uid="{15269AC3-F532-470C-AC62-62C2CF79D780}"/>
    <cellStyle name="Millares 6 2 2 3 2 2" xfId="1359" xr:uid="{95F1F2C3-AB46-4F94-8877-311B01CD0BBA}"/>
    <cellStyle name="Millares 6 2 2 3 3" xfId="1027" xr:uid="{F59E7105-C7B9-4A37-87B8-36153192C032}"/>
    <cellStyle name="Millares 6 2 2 4" xfId="522" xr:uid="{F27F7812-D687-4011-BB4D-A14827587DE5}"/>
    <cellStyle name="Millares 6 2 2 4 2" xfId="1193" xr:uid="{79A38D52-B727-468F-9EAE-E25EB1876E8B}"/>
    <cellStyle name="Millares 6 2 2 5" xfId="861" xr:uid="{AAB4FFD2-A298-4023-9A05-0E31388CB0C3}"/>
    <cellStyle name="Millares 6 2 3" xfId="205" xr:uid="{BE4B1E6E-7DEE-4E78-B98C-437BC8A6CE3A}"/>
    <cellStyle name="Millares 6 2 3 2" xfId="391" xr:uid="{8E29B113-FC46-48EF-8764-E8F47106A1D5}"/>
    <cellStyle name="Millares 6 2 3 2 2" xfId="730" xr:uid="{BAFB9F38-129F-4123-B999-BFCBE4692D2A}"/>
    <cellStyle name="Millares 6 2 3 2 2 2" xfId="1401" xr:uid="{E6EAF436-3CCD-467F-8966-9F4B8B324DE8}"/>
    <cellStyle name="Millares 6 2 3 2 3" xfId="1069" xr:uid="{80C2EADC-BC31-4CA1-8DD3-74AFE5A5FD6C}"/>
    <cellStyle name="Millares 6 2 3 3" xfId="564" xr:uid="{0796068E-E4FD-41C0-B597-DA186398E487}"/>
    <cellStyle name="Millares 6 2 3 3 2" xfId="1235" xr:uid="{1C90DCF2-A102-4969-8D6C-55A57255564B}"/>
    <cellStyle name="Millares 6 2 3 4" xfId="903" xr:uid="{AF91FF3E-4D2C-48BF-9631-A653AC09D6B4}"/>
    <cellStyle name="Millares 6 2 4" xfId="309" xr:uid="{26FDE956-F6BD-4D9F-9748-C837960F338C}"/>
    <cellStyle name="Millares 6 2 4 2" xfId="648" xr:uid="{5CC3EA39-F3D6-4C95-B249-C0B885056514}"/>
    <cellStyle name="Millares 6 2 4 2 2" xfId="1319" xr:uid="{2552477A-DC82-480C-9D73-70BED89EC59B}"/>
    <cellStyle name="Millares 6 2 4 3" xfId="987" xr:uid="{F9F51399-DF24-475E-BAF5-E24435B1FA89}"/>
    <cellStyle name="Millares 6 2 5" xfId="482" xr:uid="{9AE9EF88-09F5-4962-8364-5226CF0830D6}"/>
    <cellStyle name="Millares 6 2 5 2" xfId="1153" xr:uid="{5611454D-D665-40E5-9ED4-8289694B844B}"/>
    <cellStyle name="Millares 6 2 6" xfId="821" xr:uid="{D0582DB6-BD5D-498E-A7DF-6977E95C6EC2}"/>
    <cellStyle name="Millares 6 3" xfId="137" xr:uid="{1418AC83-A9BC-427A-AB4C-4C5D2EF60BB6}"/>
    <cellStyle name="Millares 6 3 2" xfId="226" xr:uid="{1EB7E1AE-076A-41CF-BFD3-70B676302200}"/>
    <cellStyle name="Millares 6 3 2 2" xfId="412" xr:uid="{E2E625B9-9BFA-4632-BFFA-0F8C62B5691A}"/>
    <cellStyle name="Millares 6 3 2 2 2" xfId="751" xr:uid="{BFDB9078-F542-44C0-94FF-6AB76642EE53}"/>
    <cellStyle name="Millares 6 3 2 2 2 2" xfId="1422" xr:uid="{0456C6E7-EE27-4DA6-85E4-40821A1616EF}"/>
    <cellStyle name="Millares 6 3 2 2 3" xfId="1090" xr:uid="{0043F8DF-DC5D-4BF7-9F59-61FA6FBA68C9}"/>
    <cellStyle name="Millares 6 3 2 3" xfId="585" xr:uid="{410A3FD2-321A-42CD-B05C-A7F745D90398}"/>
    <cellStyle name="Millares 6 3 2 3 2" xfId="1256" xr:uid="{31DA44B9-0A98-43B2-86FA-81CBD4006C0D}"/>
    <cellStyle name="Millares 6 3 2 4" xfId="924" xr:uid="{DC0C911D-6671-49B5-84DA-1CCB61C957E4}"/>
    <cellStyle name="Millares 6 3 3" xfId="330" xr:uid="{A9F493DD-C59A-4FA0-BBB8-067A5D2C9547}"/>
    <cellStyle name="Millares 6 3 3 2" xfId="669" xr:uid="{175FE1A0-33AE-40BA-A8A9-1E8E52682C4C}"/>
    <cellStyle name="Millares 6 3 3 2 2" xfId="1340" xr:uid="{C457421D-D810-4821-B7F6-9358FB4EE9D1}"/>
    <cellStyle name="Millares 6 3 3 3" xfId="1008" xr:uid="{C7DC14DA-9044-42A0-949F-CC3C49C60B05}"/>
    <cellStyle name="Millares 6 3 4" xfId="503" xr:uid="{A58E4264-A989-4487-9575-1676DC945B79}"/>
    <cellStyle name="Millares 6 3 4 2" xfId="1174" xr:uid="{DE8384C4-1D91-49DA-AE1E-02E3959B1023}"/>
    <cellStyle name="Millares 6 3 5" xfId="842" xr:uid="{072CBAA6-D4A8-4F9D-9917-64ED85018CFC}"/>
    <cellStyle name="Millares 6 4" xfId="186" xr:uid="{98950B9F-D498-4CBE-86EE-06200475D26F}"/>
    <cellStyle name="Millares 6 4 2" xfId="372" xr:uid="{1146A6F5-2205-441B-A944-65CE54EBE625}"/>
    <cellStyle name="Millares 6 4 2 2" xfId="711" xr:uid="{BB9EF934-3A55-41F4-B39C-2FFB95C74637}"/>
    <cellStyle name="Millares 6 4 2 2 2" xfId="1382" xr:uid="{A4FA6AAB-69B8-473F-AC63-6566BB187220}"/>
    <cellStyle name="Millares 6 4 2 3" xfId="1050" xr:uid="{F39CD9D3-82A7-46DB-B4C0-737726B43D87}"/>
    <cellStyle name="Millares 6 4 3" xfId="545" xr:uid="{D52C8FE9-7897-4E2C-9C12-2CDB100DB485}"/>
    <cellStyle name="Millares 6 4 3 2" xfId="1216" xr:uid="{C318E427-2E6B-4BFD-AEB1-DFD71508C573}"/>
    <cellStyle name="Millares 6 4 4" xfId="884" xr:uid="{FC74E1CE-5D14-4897-9116-30E7EC68BEF9}"/>
    <cellStyle name="Millares 6 5" xfId="290" xr:uid="{86E871D6-8268-4C4A-B6A9-989497CAD225}"/>
    <cellStyle name="Millares 6 5 2" xfId="629" xr:uid="{44A0FBB6-6AE8-4684-BEEB-C85E9FE2C4D9}"/>
    <cellStyle name="Millares 6 5 2 2" xfId="1300" xr:uid="{4DB2E953-2B5D-4922-BE2D-66812929F2F7}"/>
    <cellStyle name="Millares 6 5 3" xfId="968" xr:uid="{42AC88A5-A352-4950-83D4-B31EB64B464C}"/>
    <cellStyle name="Millares 6 6" xfId="463" xr:uid="{35DBA82C-B278-4C38-8112-7BEA32817A90}"/>
    <cellStyle name="Millares 6 6 2" xfId="1134" xr:uid="{701F1574-BE75-4251-950D-A8F48125638F}"/>
    <cellStyle name="Millares 6 7" xfId="802" xr:uid="{B18B244F-548F-442B-8FCC-A8468F524FA7}"/>
    <cellStyle name="Millares 7" xfId="82" xr:uid="{292BE6DB-4F93-4E2F-B530-5CDBEFEFA5C0}"/>
    <cellStyle name="Millares 7 2" xfId="109" xr:uid="{BD509D5D-56FB-4CE9-B6DC-B1333419403D}"/>
    <cellStyle name="Millares 7 2 2" xfId="157" xr:uid="{F8B88929-A547-4F2F-BD80-E2BB0F538A47}"/>
    <cellStyle name="Millares 7 2 2 2" xfId="246" xr:uid="{51D1C09F-CBBC-4A64-89FA-D9353CCA0CC9}"/>
    <cellStyle name="Millares 7 2 2 2 2" xfId="432" xr:uid="{74A49795-2D4F-4775-AF39-47A93E74EA67}"/>
    <cellStyle name="Millares 7 2 2 2 2 2" xfId="771" xr:uid="{EF25DD4A-B728-4053-9E07-34819EEF469A}"/>
    <cellStyle name="Millares 7 2 2 2 2 2 2" xfId="1442" xr:uid="{8CB6D421-BBA7-4D27-897C-CCD1BB3E066F}"/>
    <cellStyle name="Millares 7 2 2 2 2 3" xfId="1110" xr:uid="{4F154DC0-FF54-4BD2-B7D4-E61F7FA3419B}"/>
    <cellStyle name="Millares 7 2 2 2 3" xfId="605" xr:uid="{7D484507-E6C7-4A83-A589-CE4AE93D39AE}"/>
    <cellStyle name="Millares 7 2 2 2 3 2" xfId="1276" xr:uid="{B347CA0D-F36D-40CB-8121-FDA67BF30909}"/>
    <cellStyle name="Millares 7 2 2 2 4" xfId="944" xr:uid="{A9D1ECBD-96E2-4B6B-81F1-D2E127D1E2DC}"/>
    <cellStyle name="Millares 7 2 2 3" xfId="350" xr:uid="{1A22C0DE-2291-468D-88C2-358C41D13FD1}"/>
    <cellStyle name="Millares 7 2 2 3 2" xfId="689" xr:uid="{3AB2A7CD-0C1B-4230-A580-81C6D2FFC43E}"/>
    <cellStyle name="Millares 7 2 2 3 2 2" xfId="1360" xr:uid="{350E039C-F840-4452-B397-62900451514B}"/>
    <cellStyle name="Millares 7 2 2 3 3" xfId="1028" xr:uid="{68DBDD6C-9ECD-4F23-B8F5-C03A6D526011}"/>
    <cellStyle name="Millares 7 2 2 4" xfId="523" xr:uid="{A5F1AC96-9450-4B92-8BC2-F492A2794841}"/>
    <cellStyle name="Millares 7 2 2 4 2" xfId="1194" xr:uid="{81F044DE-0558-4456-BFEE-24DB72B1BDE2}"/>
    <cellStyle name="Millares 7 2 2 5" xfId="862" xr:uid="{2428BED7-BCA3-4A11-8CEF-92F3D64ADAAD}"/>
    <cellStyle name="Millares 7 2 3" xfId="206" xr:uid="{FDC1F02F-54DD-460C-8B0D-5E1E6B3A2819}"/>
    <cellStyle name="Millares 7 2 3 2" xfId="392" xr:uid="{0B113191-D962-44CF-9DB7-43877013E876}"/>
    <cellStyle name="Millares 7 2 3 2 2" xfId="731" xr:uid="{B37B3284-0514-443B-84F8-5A425F9FAA3B}"/>
    <cellStyle name="Millares 7 2 3 2 2 2" xfId="1402" xr:uid="{7D3AA6B9-2123-42C3-A9FE-3239D50D57F0}"/>
    <cellStyle name="Millares 7 2 3 2 3" xfId="1070" xr:uid="{CFA1E62A-712D-4EB9-831D-1DFAAD8D5BB7}"/>
    <cellStyle name="Millares 7 2 3 3" xfId="565" xr:uid="{CC28B28E-35AA-4BB0-8B4F-B534B0B629AB}"/>
    <cellStyle name="Millares 7 2 3 3 2" xfId="1236" xr:uid="{2173E7E5-FD12-4476-B5A9-22F051F49DB6}"/>
    <cellStyle name="Millares 7 2 3 4" xfId="904" xr:uid="{A47088FB-5E84-49D6-AB07-9FF00EB5C709}"/>
    <cellStyle name="Millares 7 2 4" xfId="310" xr:uid="{DC1C1091-F2EE-4A20-8F15-681065243125}"/>
    <cellStyle name="Millares 7 2 4 2" xfId="649" xr:uid="{DB75C721-7A8A-476A-AEBD-D30A52BB354B}"/>
    <cellStyle name="Millares 7 2 4 2 2" xfId="1320" xr:uid="{39654D57-184F-49C2-8472-712DD0148B4A}"/>
    <cellStyle name="Millares 7 2 4 3" xfId="988" xr:uid="{42093A88-9D6F-450C-81B7-039EC155E97C}"/>
    <cellStyle name="Millares 7 2 5" xfId="483" xr:uid="{22BAA71D-FB5E-401C-9974-0543822226D4}"/>
    <cellStyle name="Millares 7 2 5 2" xfId="1154" xr:uid="{9F6E712F-F023-4116-87B5-B104365BE31E}"/>
    <cellStyle name="Millares 7 2 6" xfId="822" xr:uid="{5A856836-7CE0-439B-A7B4-84603F1BF5EF}"/>
    <cellStyle name="Millares 7 3" xfId="138" xr:uid="{C9F00474-0251-4CB2-B2D3-869F145FD1A7}"/>
    <cellStyle name="Millares 7 3 2" xfId="227" xr:uid="{37F89721-9EE4-4233-8C8A-5B523F5FEA48}"/>
    <cellStyle name="Millares 7 3 2 2" xfId="413" xr:uid="{B8D3C1B4-A0D8-4F8D-B6AF-5DE3A7C31156}"/>
    <cellStyle name="Millares 7 3 2 2 2" xfId="752" xr:uid="{FA443D23-766D-42D1-B75F-3459AF76004F}"/>
    <cellStyle name="Millares 7 3 2 2 2 2" xfId="1423" xr:uid="{B93F80E9-5EDC-4B5D-AFA3-8A455D67CD1C}"/>
    <cellStyle name="Millares 7 3 2 2 3" xfId="1091" xr:uid="{A6EF8D7B-C895-4E83-B252-BA9E16C94BCA}"/>
    <cellStyle name="Millares 7 3 2 3" xfId="586" xr:uid="{B03BEA4B-BF20-4D83-B8B2-8BD92C072F6B}"/>
    <cellStyle name="Millares 7 3 2 3 2" xfId="1257" xr:uid="{4FADB297-CF50-4EAE-B46A-7EAE16CE4BE3}"/>
    <cellStyle name="Millares 7 3 2 4" xfId="925" xr:uid="{BED5D0F7-F2FB-4813-B469-FA262C2C43E3}"/>
    <cellStyle name="Millares 7 3 3" xfId="331" xr:uid="{0D47595F-640E-41E4-9078-F0FD526BF2D6}"/>
    <cellStyle name="Millares 7 3 3 2" xfId="670" xr:uid="{FDA6F61E-E272-4124-BBE5-E1C413C05D86}"/>
    <cellStyle name="Millares 7 3 3 2 2" xfId="1341" xr:uid="{569CB529-05C2-460D-93DE-145E2FBF46B2}"/>
    <cellStyle name="Millares 7 3 3 3" xfId="1009" xr:uid="{7F174859-D64B-482C-843A-7F4B253EF2B3}"/>
    <cellStyle name="Millares 7 3 4" xfId="504" xr:uid="{E8216718-259F-4A5F-B01C-74CC68F2EDBC}"/>
    <cellStyle name="Millares 7 3 4 2" xfId="1175" xr:uid="{9C18C49F-AF09-4EF4-B866-059DCF83E62C}"/>
    <cellStyle name="Millares 7 3 5" xfId="843" xr:uid="{8E827C86-AE31-4676-93C7-A9846E514453}"/>
    <cellStyle name="Millares 7 4" xfId="187" xr:uid="{C84CC0DA-2440-40B7-B709-697FAA587F4C}"/>
    <cellStyle name="Millares 7 4 2" xfId="373" xr:uid="{CAD7A730-F23A-4DF5-9B53-8D69CD5E507B}"/>
    <cellStyle name="Millares 7 4 2 2" xfId="712" xr:uid="{3C4D69F7-CC92-4A03-BC31-48B586D519DA}"/>
    <cellStyle name="Millares 7 4 2 2 2" xfId="1383" xr:uid="{06ACB6E2-C642-41C4-A67A-ECE2A983A3B9}"/>
    <cellStyle name="Millares 7 4 2 3" xfId="1051" xr:uid="{C153891D-6B4B-4CD8-AE90-AB5802C3C0F4}"/>
    <cellStyle name="Millares 7 4 3" xfId="546" xr:uid="{D740B33E-662E-46D8-AF85-614F0D1842C1}"/>
    <cellStyle name="Millares 7 4 3 2" xfId="1217" xr:uid="{2222EC46-D3D3-46F3-9B04-877DC54C7D43}"/>
    <cellStyle name="Millares 7 4 4" xfId="885" xr:uid="{E14506D7-C416-4451-8A79-C144C4EC2081}"/>
    <cellStyle name="Millares 7 5" xfId="291" xr:uid="{02135DF5-EFA6-493F-B845-B858DA8B7111}"/>
    <cellStyle name="Millares 7 5 2" xfId="630" xr:uid="{8CD85CD0-3B24-4C37-8DAC-7AF9FE0B565E}"/>
    <cellStyle name="Millares 7 5 2 2" xfId="1301" xr:uid="{925CA005-4270-4925-8B66-FB5EB5FF7584}"/>
    <cellStyle name="Millares 7 5 3" xfId="969" xr:uid="{192835FF-E592-4488-B1D7-7566A91FA77C}"/>
    <cellStyle name="Millares 7 6" xfId="464" xr:uid="{C770F0A5-D46F-4371-97AC-7D70B86C14E1}"/>
    <cellStyle name="Millares 7 6 2" xfId="1135" xr:uid="{05FEA939-AAE1-4913-B9F9-A6A2C287749C}"/>
    <cellStyle name="Millares 7 7" xfId="803" xr:uid="{1F8EA150-8208-420B-889E-089F21115649}"/>
    <cellStyle name="Millares 79" xfId="48" xr:uid="{060E9910-1189-4337-BFC3-64B58A4471C2}"/>
    <cellStyle name="Millares 79 2" xfId="75" xr:uid="{2B232B2E-55FC-4AE5-B14F-B853270D375A}"/>
    <cellStyle name="Millares 79 2 2" xfId="104" xr:uid="{F0D5F7AB-B816-4A69-8499-8353A08506DA}"/>
    <cellStyle name="Millares 79 2 2 2" xfId="152" xr:uid="{CA272C25-2D44-4B6B-8CB9-2FF713B73A68}"/>
    <cellStyle name="Millares 79 2 2 2 2" xfId="241" xr:uid="{ADB7F495-E3AC-458F-ACD0-172962134F9F}"/>
    <cellStyle name="Millares 79 2 2 2 2 2" xfId="427" xr:uid="{2D424758-D866-4F51-87A8-03D1CCEBE605}"/>
    <cellStyle name="Millares 79 2 2 2 2 2 2" xfId="766" xr:uid="{C98EC056-D88E-4A8C-9A84-54E272D33978}"/>
    <cellStyle name="Millares 79 2 2 2 2 2 2 2" xfId="1437" xr:uid="{884764F3-8AF1-4FC3-AA33-77C48E75FE26}"/>
    <cellStyle name="Millares 79 2 2 2 2 2 3" xfId="1105" xr:uid="{8F4B0D5E-E6DA-4745-8206-7B4000B53AC4}"/>
    <cellStyle name="Millares 79 2 2 2 2 3" xfId="600" xr:uid="{3B55CC93-A649-4CDE-A527-697A4D2E2706}"/>
    <cellStyle name="Millares 79 2 2 2 2 3 2" xfId="1271" xr:uid="{AFC959A0-F9BD-4CF2-9AE2-D8984476F3B6}"/>
    <cellStyle name="Millares 79 2 2 2 2 4" xfId="939" xr:uid="{D6E13903-839B-4D86-B48A-4139CA8EE995}"/>
    <cellStyle name="Millares 79 2 2 2 3" xfId="345" xr:uid="{2A55C598-FF16-4F2B-9B13-7B20EDC21646}"/>
    <cellStyle name="Millares 79 2 2 2 3 2" xfId="684" xr:uid="{AC486D34-7DA1-4139-A482-75C64A56F248}"/>
    <cellStyle name="Millares 79 2 2 2 3 2 2" xfId="1355" xr:uid="{709EF47B-84CD-4808-AB76-F9868DC11E7B}"/>
    <cellStyle name="Millares 79 2 2 2 3 3" xfId="1023" xr:uid="{7EF1DDD9-9311-4AC5-8A0C-6A3F736F24CC}"/>
    <cellStyle name="Millares 79 2 2 2 4" xfId="518" xr:uid="{0987A635-1062-4107-A98A-F35909DDAC1C}"/>
    <cellStyle name="Millares 79 2 2 2 4 2" xfId="1189" xr:uid="{AE4FFCA2-1197-4B22-B408-12FFB5EA3E26}"/>
    <cellStyle name="Millares 79 2 2 2 5" xfId="857" xr:uid="{3C387362-677F-400B-8708-105C2C946BC5}"/>
    <cellStyle name="Millares 79 2 2 3" xfId="201" xr:uid="{CE8033BC-8B12-4D5E-8A92-4FE78F397615}"/>
    <cellStyle name="Millares 79 2 2 3 2" xfId="387" xr:uid="{FD55015D-763A-4C89-93AA-6948B4E44BB3}"/>
    <cellStyle name="Millares 79 2 2 3 2 2" xfId="726" xr:uid="{89A9D169-FCA7-46D3-AF50-A5B941EEEA61}"/>
    <cellStyle name="Millares 79 2 2 3 2 2 2" xfId="1397" xr:uid="{13F3DD44-8F95-4266-A4BA-32BF57BD3FF8}"/>
    <cellStyle name="Millares 79 2 2 3 2 3" xfId="1065" xr:uid="{196BC718-9EDB-4C01-A9C1-7A493B0179A0}"/>
    <cellStyle name="Millares 79 2 2 3 3" xfId="560" xr:uid="{C84BD40D-A4B5-4ACF-AF0E-4DB8CC3BDB87}"/>
    <cellStyle name="Millares 79 2 2 3 3 2" xfId="1231" xr:uid="{EB7C00B2-F4CD-4621-AEFE-E02C5D4D897D}"/>
    <cellStyle name="Millares 79 2 2 3 4" xfId="899" xr:uid="{3EEE8B2A-8D5C-4B3A-A748-076AFD302C2B}"/>
    <cellStyle name="Millares 79 2 2 4" xfId="305" xr:uid="{F511E46F-9359-44D7-AA8F-2658DE24E336}"/>
    <cellStyle name="Millares 79 2 2 4 2" xfId="644" xr:uid="{B3AEE4D0-B8F3-4F15-A901-0EC124ED2B84}"/>
    <cellStyle name="Millares 79 2 2 4 2 2" xfId="1315" xr:uid="{A1390CA4-E6FE-44CC-AAB0-975A82BF60EA}"/>
    <cellStyle name="Millares 79 2 2 4 3" xfId="983" xr:uid="{FF646C80-082A-4F50-8685-FBFD109A7ED2}"/>
    <cellStyle name="Millares 79 2 2 5" xfId="478" xr:uid="{F6899236-99C9-4132-941C-F99E3D510575}"/>
    <cellStyle name="Millares 79 2 2 5 2" xfId="1149" xr:uid="{74155B9B-806D-4A6F-A3B4-CE69ACE9302F}"/>
    <cellStyle name="Millares 79 2 2 6" xfId="817" xr:uid="{D204D3AE-51C9-43DD-9E94-D314370A72C3}"/>
    <cellStyle name="Millares 79 2 3" xfId="133" xr:uid="{981F61BE-297D-42DB-9035-4B770B8CC994}"/>
    <cellStyle name="Millares 79 2 3 2" xfId="222" xr:uid="{8CE0D988-7CF1-47A6-B5D0-1FD89FDA351F}"/>
    <cellStyle name="Millares 79 2 3 2 2" xfId="408" xr:uid="{DEDC429D-D5B9-4FA2-A840-645D8BEA01FA}"/>
    <cellStyle name="Millares 79 2 3 2 2 2" xfId="747" xr:uid="{41CB455B-2FA0-4209-A226-924130524438}"/>
    <cellStyle name="Millares 79 2 3 2 2 2 2" xfId="1418" xr:uid="{DD06DB80-8DAE-4BC7-864E-924B51BCDA33}"/>
    <cellStyle name="Millares 79 2 3 2 2 3" xfId="1086" xr:uid="{6D535A83-585A-4355-9D59-999AA136DF1D}"/>
    <cellStyle name="Millares 79 2 3 2 3" xfId="581" xr:uid="{15FBD13D-0DB4-425B-9606-7D8E8B3A4B43}"/>
    <cellStyle name="Millares 79 2 3 2 3 2" xfId="1252" xr:uid="{B8F1C29F-2FD5-4960-8735-51E69D609DD1}"/>
    <cellStyle name="Millares 79 2 3 2 4" xfId="920" xr:uid="{8684760B-DA85-4E60-95FF-980637DD6318}"/>
    <cellStyle name="Millares 79 2 3 3" xfId="326" xr:uid="{9B8FFA7C-1033-47CA-B706-598DA03EBE69}"/>
    <cellStyle name="Millares 79 2 3 3 2" xfId="665" xr:uid="{FC575ACA-D62C-4331-BB2D-E4A7ADD885B1}"/>
    <cellStyle name="Millares 79 2 3 3 2 2" xfId="1336" xr:uid="{2E317B2C-C3CD-4848-AAF8-7A478BD947C0}"/>
    <cellStyle name="Millares 79 2 3 3 3" xfId="1004" xr:uid="{3EFDDA09-39BD-4BB8-8986-1B966190CA11}"/>
    <cellStyle name="Millares 79 2 3 4" xfId="499" xr:uid="{23BC8431-9483-4DF3-B61D-FE365E59EFE4}"/>
    <cellStyle name="Millares 79 2 3 4 2" xfId="1170" xr:uid="{954B562C-2A2A-475D-8A11-B1EEA3C0DC79}"/>
    <cellStyle name="Millares 79 2 3 5" xfId="838" xr:uid="{5F87518E-9C75-453B-B678-35F154B67BC2}"/>
    <cellStyle name="Millares 79 2 4" xfId="182" xr:uid="{E9A74877-46A8-4753-9E3A-D18EE247B184}"/>
    <cellStyle name="Millares 79 2 4 2" xfId="368" xr:uid="{A724937B-3282-4EC2-9D37-798B0C3DF48B}"/>
    <cellStyle name="Millares 79 2 4 2 2" xfId="707" xr:uid="{78EF8D29-AB49-448B-9CCF-1056EA1ABB82}"/>
    <cellStyle name="Millares 79 2 4 2 2 2" xfId="1378" xr:uid="{ECC555ED-1323-486F-A785-5C705B432D4D}"/>
    <cellStyle name="Millares 79 2 4 2 3" xfId="1046" xr:uid="{F7AB0733-AC11-4412-B0E2-67916F082E74}"/>
    <cellStyle name="Millares 79 2 4 3" xfId="541" xr:uid="{812358A4-0690-457D-A565-D020F8FB76D4}"/>
    <cellStyle name="Millares 79 2 4 3 2" xfId="1212" xr:uid="{6EA229C2-D55B-4290-A2FA-74B48D6F6E6B}"/>
    <cellStyle name="Millares 79 2 4 4" xfId="880" xr:uid="{3455B210-751D-46E0-8855-C9F49AD72599}"/>
    <cellStyle name="Millares 79 2 5" xfId="286" xr:uid="{41F9134D-AACD-4363-99EF-A997B1DFA0AE}"/>
    <cellStyle name="Millares 79 2 5 2" xfId="625" xr:uid="{7F1BB174-EA5C-4948-8BF2-4340F28BAC85}"/>
    <cellStyle name="Millares 79 2 5 2 2" xfId="1296" xr:uid="{80E405DB-76C4-41F1-AEF0-DD81F26FCEA8}"/>
    <cellStyle name="Millares 79 2 5 3" xfId="964" xr:uid="{69F36866-E233-478E-8412-754E4B9FC2E0}"/>
    <cellStyle name="Millares 79 2 6" xfId="459" xr:uid="{4374B50D-AF15-4B0B-9878-171FB6D64ACC}"/>
    <cellStyle name="Millares 79 2 6 2" xfId="1130" xr:uid="{80D07D57-316A-469B-83DF-0212C69E7D98}"/>
    <cellStyle name="Millares 79 2 7" xfId="798" xr:uid="{8B107793-9DA7-4D3E-98E4-190EAA747046}"/>
    <cellStyle name="Millares 79 3" xfId="93" xr:uid="{202D2DAF-833E-4C21-960C-F5C5C1F70498}"/>
    <cellStyle name="Millares 79 3 2" xfId="143" xr:uid="{30013E81-3203-461C-8C64-63EBD231E31A}"/>
    <cellStyle name="Millares 79 3 2 2" xfId="232" xr:uid="{0B30B3BB-0966-4EE1-BABC-80870E68D402}"/>
    <cellStyle name="Millares 79 3 2 2 2" xfId="418" xr:uid="{7B1ACF4F-DE75-443A-A9D9-5E4CF7E710D0}"/>
    <cellStyle name="Millares 79 3 2 2 2 2" xfId="757" xr:uid="{13F1A517-78DD-4D4D-A951-384949A64E90}"/>
    <cellStyle name="Millares 79 3 2 2 2 2 2" xfId="1428" xr:uid="{E38571C6-FC34-4A27-9847-070EDB4745C7}"/>
    <cellStyle name="Millares 79 3 2 2 2 3" xfId="1096" xr:uid="{A6F7407F-B297-4A33-A6AA-680DA9D54D80}"/>
    <cellStyle name="Millares 79 3 2 2 3" xfId="591" xr:uid="{59024267-F94A-469B-A4CF-C826C2BFBABD}"/>
    <cellStyle name="Millares 79 3 2 2 3 2" xfId="1262" xr:uid="{6273B336-84F7-4CCA-B331-A88729135963}"/>
    <cellStyle name="Millares 79 3 2 2 4" xfId="930" xr:uid="{910C08BC-6ACA-46EE-9D58-ED6A047A0429}"/>
    <cellStyle name="Millares 79 3 2 3" xfId="336" xr:uid="{2384200D-C36B-49CB-842D-2924D8AEB8D8}"/>
    <cellStyle name="Millares 79 3 2 3 2" xfId="675" xr:uid="{B24A7B9D-28EB-4547-A738-6BF556FBE263}"/>
    <cellStyle name="Millares 79 3 2 3 2 2" xfId="1346" xr:uid="{3DE15453-0B47-4611-B1E6-36233B51C8DF}"/>
    <cellStyle name="Millares 79 3 2 3 3" xfId="1014" xr:uid="{16519651-F4D9-4AA1-B73B-12B93BD5CA7C}"/>
    <cellStyle name="Millares 79 3 2 4" xfId="509" xr:uid="{3872C48E-5900-4B9F-ACD1-0FF16E9894B3}"/>
    <cellStyle name="Millares 79 3 2 4 2" xfId="1180" xr:uid="{C837759E-A460-4F40-BE81-83194378FCDA}"/>
    <cellStyle name="Millares 79 3 2 5" xfId="848" xr:uid="{15218349-5431-470E-A3A2-B7CA0A572078}"/>
    <cellStyle name="Millares 79 3 3" xfId="192" xr:uid="{17A4B0BF-E7D8-439D-BEA5-BAA4212E4E23}"/>
    <cellStyle name="Millares 79 3 3 2" xfId="378" xr:uid="{0408C609-6509-4F99-A474-98C79239403B}"/>
    <cellStyle name="Millares 79 3 3 2 2" xfId="717" xr:uid="{C79584DF-0123-43BE-BF28-690D3FC82779}"/>
    <cellStyle name="Millares 79 3 3 2 2 2" xfId="1388" xr:uid="{87D18C77-B7F2-4472-B519-495463C0490E}"/>
    <cellStyle name="Millares 79 3 3 2 3" xfId="1056" xr:uid="{41CB6A59-9EF6-4D0F-BBBF-72C421990D41}"/>
    <cellStyle name="Millares 79 3 3 3" xfId="551" xr:uid="{9DF0903F-454C-4DE6-AF84-8C9FFFF55DFB}"/>
    <cellStyle name="Millares 79 3 3 3 2" xfId="1222" xr:uid="{6E9EE3D0-561C-4448-B28E-8B67F00CE1A7}"/>
    <cellStyle name="Millares 79 3 3 4" xfId="890" xr:uid="{58140B1B-F379-4341-A5CF-B85E13C90AFC}"/>
    <cellStyle name="Millares 79 3 4" xfId="296" xr:uid="{90C4261F-8831-4D9B-BCFB-98B58DB694FA}"/>
    <cellStyle name="Millares 79 3 4 2" xfId="635" xr:uid="{F7F8D978-CBEE-49D6-A437-8650808187DA}"/>
    <cellStyle name="Millares 79 3 4 2 2" xfId="1306" xr:uid="{B8DD2356-523F-474E-81C6-4B959AACB4CA}"/>
    <cellStyle name="Millares 79 3 4 3" xfId="974" xr:uid="{B754EA5C-8445-4A04-8CFF-FA6538402EED}"/>
    <cellStyle name="Millares 79 3 5" xfId="469" xr:uid="{3DE2B875-F6CC-49DB-B562-695A60E43A4C}"/>
    <cellStyle name="Millares 79 3 5 2" xfId="1140" xr:uid="{E3AE2DF1-B893-479A-A8FC-595BAB2A705F}"/>
    <cellStyle name="Millares 79 3 6" xfId="808" xr:uid="{093A7C3E-DF8A-47EE-8166-E5FD1A28FA94}"/>
    <cellStyle name="Millares 79 4" xfId="122" xr:uid="{A43E9808-5277-4512-AED7-8EE8DB53B6DD}"/>
    <cellStyle name="Millares 79 4 2" xfId="213" xr:uid="{035272AD-B861-430D-94CC-0AFB0231A4E8}"/>
    <cellStyle name="Millares 79 4 2 2" xfId="399" xr:uid="{FD18F08C-C4A8-4F65-8B31-4B19FB44EEFB}"/>
    <cellStyle name="Millares 79 4 2 2 2" xfId="738" xr:uid="{F2A7566B-2936-4571-BDC9-B4D3A242E037}"/>
    <cellStyle name="Millares 79 4 2 2 2 2" xfId="1409" xr:uid="{7EA62F40-FFCA-41AF-BEE8-79EACD24B4C8}"/>
    <cellStyle name="Millares 79 4 2 2 3" xfId="1077" xr:uid="{585E96D4-8EC7-4D7A-A0D0-25172375B9D9}"/>
    <cellStyle name="Millares 79 4 2 3" xfId="572" xr:uid="{06153197-4E30-45BF-B2B5-C72BBBCDAB8D}"/>
    <cellStyle name="Millares 79 4 2 3 2" xfId="1243" xr:uid="{29EB43F9-C866-4DEF-B94B-0EFA18416BC3}"/>
    <cellStyle name="Millares 79 4 2 4" xfId="911" xr:uid="{C2E3E655-BE65-4DD1-88B4-F5481DAE688D}"/>
    <cellStyle name="Millares 79 4 3" xfId="317" xr:uid="{51E8472F-4272-4B4C-A201-BC1035658E54}"/>
    <cellStyle name="Millares 79 4 3 2" xfId="656" xr:uid="{BD85CC66-3C6F-47D2-B540-4A6E70DD22B0}"/>
    <cellStyle name="Millares 79 4 3 2 2" xfId="1327" xr:uid="{68056795-FDDC-4508-BA86-4B19FA9F440C}"/>
    <cellStyle name="Millares 79 4 3 3" xfId="995" xr:uid="{E9F43DA1-28CA-49ED-B7A0-A3A7F29EBE2F}"/>
    <cellStyle name="Millares 79 4 4" xfId="490" xr:uid="{C0ACCEF0-7FD4-4820-9004-251C3344B5BB}"/>
    <cellStyle name="Millares 79 4 4 2" xfId="1161" xr:uid="{9E4325FC-7E48-4938-81FA-4FF0D7606928}"/>
    <cellStyle name="Millares 79 4 5" xfId="829" xr:uid="{52CE6429-0466-4108-BDA5-76D7FD69CC0B}"/>
    <cellStyle name="Millares 79 5" xfId="172" xr:uid="{1E624ECE-C56A-46FB-97D4-8BDBE1F90999}"/>
    <cellStyle name="Millares 79 5 2" xfId="359" xr:uid="{7D978A4D-81E0-4366-B840-3D464C09D24B}"/>
    <cellStyle name="Millares 79 5 2 2" xfId="698" xr:uid="{72DDE06E-782A-4FBB-BB98-D76483DEC44F}"/>
    <cellStyle name="Millares 79 5 2 2 2" xfId="1369" xr:uid="{F122DEF5-FC92-4711-8EAA-AC7C0C06016C}"/>
    <cellStyle name="Millares 79 5 2 3" xfId="1037" xr:uid="{8052B7CA-2266-4896-B837-9AC787B398EB}"/>
    <cellStyle name="Millares 79 5 3" xfId="532" xr:uid="{5D118D49-17CB-4953-82CA-1B0FE5912E8A}"/>
    <cellStyle name="Millares 79 5 3 2" xfId="1203" xr:uid="{D88390A8-A24C-4FC7-8CAE-9BD92A0ED9F3}"/>
    <cellStyle name="Millares 79 5 4" xfId="871" xr:uid="{ECF77586-0D69-427B-B927-9AE08F5F5B38}"/>
    <cellStyle name="Millares 79 6" xfId="260" xr:uid="{1EBE9714-63B1-4D64-8AF6-D9D6A8027D17}"/>
    <cellStyle name="Millares 79 7" xfId="276" xr:uid="{6B40D357-3100-41CC-A327-976A5BE66341}"/>
    <cellStyle name="Millares 79 7 2" xfId="616" xr:uid="{F6C2D2C8-DB9C-4038-B5C7-DC02BC066FD0}"/>
    <cellStyle name="Millares 79 7 2 2" xfId="1287" xr:uid="{CE66FD03-32C8-4665-A58C-CA7869038EB5}"/>
    <cellStyle name="Millares 79 7 3" xfId="955" xr:uid="{6FF5377C-9E0D-4794-9751-102367957674}"/>
    <cellStyle name="Millares 79 8" xfId="449" xr:uid="{A915895C-D64C-4D5D-83A3-01CB5B4FDBEC}"/>
    <cellStyle name="Millares 79 8 2" xfId="1121" xr:uid="{55FB1766-F362-4FB8-80E5-D369D35AB256}"/>
    <cellStyle name="Millares 79 9" xfId="788" xr:uid="{4573DCEC-983E-4FA3-B2AA-8E12003EEDC3}"/>
    <cellStyle name="Millares 8" xfId="89" xr:uid="{401C4246-86F2-45E6-93C2-5DD0023A30D4}"/>
    <cellStyle name="Millares 8 2" xfId="139" xr:uid="{92CD71F3-70C2-4AEA-A6D2-FD9B6B328441}"/>
    <cellStyle name="Millares 8 2 2" xfId="228" xr:uid="{4C27EBDD-1B06-47BA-96D0-995B32DCB9E7}"/>
    <cellStyle name="Millares 8 2 2 2" xfId="414" xr:uid="{4476CA11-FFEC-42D6-969E-0A66A02709FE}"/>
    <cellStyle name="Millares 8 2 2 2 2" xfId="753" xr:uid="{03170E45-E986-42FB-90C8-731CF3FDE8B1}"/>
    <cellStyle name="Millares 8 2 2 2 2 2" xfId="1424" xr:uid="{774CCFE9-FCC7-40DC-B9D9-FC772AE8A7F6}"/>
    <cellStyle name="Millares 8 2 2 2 3" xfId="1092" xr:uid="{D6CD65FF-20BA-4F28-B3E5-8D02BCF40E06}"/>
    <cellStyle name="Millares 8 2 2 3" xfId="587" xr:uid="{3ECC6B05-556F-41F3-8A2F-5C097D4F48D8}"/>
    <cellStyle name="Millares 8 2 2 3 2" xfId="1258" xr:uid="{CCA4B669-F818-4652-B44D-8B30B59575A4}"/>
    <cellStyle name="Millares 8 2 2 4" xfId="926" xr:uid="{9A6060D6-7743-4A7A-B022-1EF0E682EB9D}"/>
    <cellStyle name="Millares 8 2 3" xfId="332" xr:uid="{0762CE21-95F0-48D7-B85B-9C53072218C8}"/>
    <cellStyle name="Millares 8 2 3 2" xfId="671" xr:uid="{51BBD297-C623-4B24-984C-145DD09C3733}"/>
    <cellStyle name="Millares 8 2 3 2 2" xfId="1342" xr:uid="{DE955896-BF1B-4B8B-8D67-04E6D02073B9}"/>
    <cellStyle name="Millares 8 2 3 3" xfId="1010" xr:uid="{76BD308B-24BB-4BAF-A260-F8FD397F7DBB}"/>
    <cellStyle name="Millares 8 2 4" xfId="505" xr:uid="{2E9C6D7F-6CD1-4658-AB6F-2FE734CDE6A4}"/>
    <cellStyle name="Millares 8 2 4 2" xfId="1176" xr:uid="{EEE18C1C-D481-4656-92D7-FD27D9CEB515}"/>
    <cellStyle name="Millares 8 2 5" xfId="844" xr:uid="{71EC926A-01A6-468A-A864-87735A16DA30}"/>
    <cellStyle name="Millares 8 3" xfId="188" xr:uid="{B8711D83-2345-4B93-A63C-BB0B8EE912F6}"/>
    <cellStyle name="Millares 8 3 2" xfId="374" xr:uid="{5E9196CF-FE5E-41A2-9F49-34C0E97489A2}"/>
    <cellStyle name="Millares 8 3 2 2" xfId="713" xr:uid="{AD599E39-7BAF-4F94-905B-F9F7C0CF325D}"/>
    <cellStyle name="Millares 8 3 2 2 2" xfId="1384" xr:uid="{809A0E19-1163-403C-8505-E599C434E39A}"/>
    <cellStyle name="Millares 8 3 2 3" xfId="1052" xr:uid="{9D2C766F-AB37-4AF5-9708-07FF6A7A83A4}"/>
    <cellStyle name="Millares 8 3 3" xfId="547" xr:uid="{31E85033-9582-491D-AFBE-25E0D048E202}"/>
    <cellStyle name="Millares 8 3 3 2" xfId="1218" xr:uid="{8CCDA67F-5416-4F9F-8FA9-406032FB9542}"/>
    <cellStyle name="Millares 8 3 4" xfId="886" xr:uid="{C83AC8E5-5F4D-4B52-9A3C-0D835E3112BE}"/>
    <cellStyle name="Millares 8 4" xfId="292" xr:uid="{631ADEF5-BBAC-45D7-AB00-FC4FB6A72F20}"/>
    <cellStyle name="Millares 8 4 2" xfId="631" xr:uid="{A93D7719-F314-4357-8DA2-A29F2BEE0A2A}"/>
    <cellStyle name="Millares 8 4 2 2" xfId="1302" xr:uid="{DEAEB46B-7EB3-489E-8A55-F78A6A7B29E6}"/>
    <cellStyle name="Millares 8 4 3" xfId="970" xr:uid="{09761927-33A2-4C49-BFF5-87ECEE3132F1}"/>
    <cellStyle name="Millares 8 5" xfId="465" xr:uid="{F4770A4F-94B3-4334-BE3C-4DDDEF60F599}"/>
    <cellStyle name="Millares 8 5 2" xfId="1136" xr:uid="{4D476BB0-F246-4258-ACB0-47910C423D9F}"/>
    <cellStyle name="Millares 8 6" xfId="804" xr:uid="{EB3E2CC3-2499-41E0-839D-506EBEAF4D2D}"/>
    <cellStyle name="Millares 9" xfId="110" xr:uid="{B9DFD87D-2ADE-4E0C-A250-FFEFE191A5B5}"/>
    <cellStyle name="Millares 9 2" xfId="158" xr:uid="{3831D164-3528-4118-BD14-E0A54EF3C8AE}"/>
    <cellStyle name="Millares 9 2 2" xfId="247" xr:uid="{1133F4A1-A46B-4F51-B36C-F255EEABCCDD}"/>
    <cellStyle name="Millares 9 2 2 2" xfId="433" xr:uid="{E8180D3B-A520-4495-9822-23DCCBE42C17}"/>
    <cellStyle name="Millares 9 2 2 2 2" xfId="772" xr:uid="{AD7D7CA6-FA7E-4DE4-9920-885A3D5CC334}"/>
    <cellStyle name="Millares 9 2 2 2 2 2" xfId="1443" xr:uid="{400A4B06-5505-4D83-9934-A0A4B328A028}"/>
    <cellStyle name="Millares 9 2 2 2 3" xfId="1111" xr:uid="{ACB70023-BD41-40D1-80E1-E2CCB13BEC35}"/>
    <cellStyle name="Millares 9 2 2 3" xfId="606" xr:uid="{1B7DFE1E-A499-4CC5-9F02-628509B68BCE}"/>
    <cellStyle name="Millares 9 2 2 3 2" xfId="1277" xr:uid="{D4C3D739-AFC7-44FB-848C-D34C69CD7D19}"/>
    <cellStyle name="Millares 9 2 2 4" xfId="945" xr:uid="{38355E48-894A-4B58-BB95-8B2B12C773D9}"/>
    <cellStyle name="Millares 9 2 3" xfId="351" xr:uid="{15B2695D-4247-4CBA-8EAD-2DDBFCD29E65}"/>
    <cellStyle name="Millares 9 2 3 2" xfId="690" xr:uid="{461D3E19-389B-4EA5-B1CD-A11BC8E99F40}"/>
    <cellStyle name="Millares 9 2 3 2 2" xfId="1361" xr:uid="{09329DEE-935C-4E6D-A92A-2F2EB237E7DD}"/>
    <cellStyle name="Millares 9 2 3 3" xfId="1029" xr:uid="{042369A3-D1DC-467B-8ED9-0E6311F57209}"/>
    <cellStyle name="Millares 9 2 4" xfId="524" xr:uid="{A7154CC7-6675-42BD-8356-F4E69409B35B}"/>
    <cellStyle name="Millares 9 2 4 2" xfId="1195" xr:uid="{F7059B9D-9221-4BD0-A52B-02CA8AA642E7}"/>
    <cellStyle name="Millares 9 2 5" xfId="863" xr:uid="{74275830-8553-4421-9CCB-8D41E7720343}"/>
    <cellStyle name="Millares 9 3" xfId="207" xr:uid="{2CF6C01A-0720-4F41-A385-755A843FAFCE}"/>
    <cellStyle name="Millares 9 3 2" xfId="393" xr:uid="{20EEC096-C01C-41C3-91BA-FCA46CE579C9}"/>
    <cellStyle name="Millares 9 3 2 2" xfId="732" xr:uid="{7C494284-8F70-4296-A4F4-EAE052923B9A}"/>
    <cellStyle name="Millares 9 3 2 2 2" xfId="1403" xr:uid="{44A6DCB2-A5CF-44E9-A073-664948CBD0CD}"/>
    <cellStyle name="Millares 9 3 2 3" xfId="1071" xr:uid="{EE0D9F8B-9122-4888-BF5A-7401CE6505C0}"/>
    <cellStyle name="Millares 9 3 3" xfId="566" xr:uid="{F2B1D143-B805-4FBF-98A2-5A8B83207572}"/>
    <cellStyle name="Millares 9 3 3 2" xfId="1237" xr:uid="{E6C99380-574E-4223-AEA4-DDBA644118C3}"/>
    <cellStyle name="Millares 9 3 4" xfId="905" xr:uid="{534DCD9F-4EEB-4FB0-9252-2754181EC2C0}"/>
    <cellStyle name="Millares 9 4" xfId="311" xr:uid="{29DEB7E6-2DDD-43F8-81B3-FE3DEE242E0E}"/>
    <cellStyle name="Millares 9 4 2" xfId="650" xr:uid="{5DCECED8-D5CB-4C5D-8D79-389E58E59C8B}"/>
    <cellStyle name="Millares 9 4 2 2" xfId="1321" xr:uid="{D8BFCA03-C07D-4C85-A1EC-9CBB2687372F}"/>
    <cellStyle name="Millares 9 4 3" xfId="989" xr:uid="{7AE968AE-0D5A-480C-B129-A2A1EE0D0F7B}"/>
    <cellStyle name="Millares 9 5" xfId="484" xr:uid="{95B5E87E-947E-4204-91CE-E3763FAE08DC}"/>
    <cellStyle name="Millares 9 5 2" xfId="1155" xr:uid="{49521705-A971-45B3-BF7A-F5A02D2B6DBC}"/>
    <cellStyle name="Millares 9 6" xfId="823" xr:uid="{DD989042-A039-4BF7-A46D-22F1F285B010}"/>
    <cellStyle name="Neutral 10" xfId="49" xr:uid="{16C94EF1-3314-47F2-BB40-175FF96D5A1A}"/>
    <cellStyle name="Neutral 2" xfId="76" xr:uid="{389CEEAE-68D5-4D2A-8288-636F04D4929C}"/>
    <cellStyle name="Neutral 3" xfId="94" xr:uid="{492F0E75-2C3B-49D8-8850-EC09DDD01E54}"/>
    <cellStyle name="Neutral 4" xfId="123" xr:uid="{627B4639-E389-4C15-B969-28B40F96D71A}"/>
    <cellStyle name="Neutral 5" xfId="173" xr:uid="{C17B44ED-D118-4EA2-A6A4-CB979F4BFB75}"/>
    <cellStyle name="Neutral 6" xfId="261" xr:uid="{1B6FEB58-DC5F-43C4-81E1-3AB40D767717}"/>
    <cellStyle name="Neutral 7" xfId="277" xr:uid="{8E49EAF6-15D4-4DA6-9AC0-E1D060021381}"/>
    <cellStyle name="Neutral 8" xfId="450" xr:uid="{F66CB9D8-2C99-4C92-BB3C-958DF993146C}"/>
    <cellStyle name="Neutral 9" xfId="789" xr:uid="{9D5451CA-6289-4A19-9757-4144DD95E581}"/>
    <cellStyle name="Normal" xfId="0" builtinId="0"/>
    <cellStyle name="Normal 15" xfId="50" xr:uid="{45926ADF-18B3-4CC8-B106-3E8FEBC1D306}"/>
    <cellStyle name="Normal 2" xfId="51" xr:uid="{92574231-A74D-426F-AEAD-D7C05DE965E5}"/>
    <cellStyle name="Normal 2 10" xfId="52" xr:uid="{A1F85A70-D46F-4481-9119-555897B303A1}"/>
    <cellStyle name="Normal 3" xfId="53" xr:uid="{8DA62AED-DCF2-474F-870C-C8557833E055}"/>
    <cellStyle name="Normal 3 57" xfId="62" xr:uid="{E9D684B5-017F-461A-B166-DF4C2618ABA9}"/>
    <cellStyle name="Normal 4" xfId="54" xr:uid="{D0F03423-2093-40F2-B6CC-4433EE056F12}"/>
    <cellStyle name="Normal 4 10" xfId="55" xr:uid="{9E5DC949-3B9E-44C1-B013-A5794AE1110A}"/>
    <cellStyle name="Normal 5" xfId="56" xr:uid="{EDD46AE9-AB8D-4C99-9AB9-73FEAD8E78A5}"/>
    <cellStyle name="Notas" xfId="14" builtinId="10" customBuiltin="1"/>
    <cellStyle name="Porcentaje 2" xfId="79" xr:uid="{5B2210B0-3FDA-4244-8822-12C66B169EC2}"/>
    <cellStyle name="Porcentaje 3" xfId="97" xr:uid="{83844DF3-3D08-4148-A352-EE4A6F4A3059}"/>
    <cellStyle name="Porcentaje 4" xfId="126" xr:uid="{DB51524C-55B7-4B99-AF49-6906E9078C25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F75E-B6F8-44AA-9DAC-8CB3C4ED64D0}">
  <dimension ref="A1:L30001"/>
  <sheetViews>
    <sheetView tabSelected="1" workbookViewId="0">
      <selection activeCell="L109" sqref="D2:L109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6" width="13.3984375" style="5" bestFit="1" customWidth="1"/>
    <col min="7" max="10" width="12.3984375" style="5" bestFit="1" customWidth="1"/>
    <col min="11" max="12" width="10.8984375" style="5" bestFit="1" customWidth="1"/>
  </cols>
  <sheetData>
    <row r="1" spans="1:12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3" t="b">
        <f>EXACT(C2,B2)</f>
        <v>1</v>
      </c>
      <c r="B2" s="5" t="str">
        <f>+Hoja2!A1</f>
        <v>1.1.01.101</v>
      </c>
      <c r="C2" s="5" t="s">
        <v>11</v>
      </c>
      <c r="D2" s="3" t="s">
        <v>12</v>
      </c>
      <c r="E2" s="6">
        <v>216337650</v>
      </c>
      <c r="F2" s="6">
        <v>142232595</v>
      </c>
      <c r="G2" s="6">
        <v>74105055</v>
      </c>
      <c r="H2" s="5">
        <v>0</v>
      </c>
      <c r="I2" s="6">
        <v>74105055</v>
      </c>
      <c r="J2" s="5">
        <v>0</v>
      </c>
      <c r="K2" s="5">
        <v>0</v>
      </c>
      <c r="L2" s="5">
        <v>0</v>
      </c>
    </row>
    <row r="3" spans="1:12">
      <c r="A3" s="10" t="b">
        <f t="shared" ref="A3:A65" si="0">EXACT(C3,B3)</f>
        <v>1</v>
      </c>
      <c r="B3" s="5" t="str">
        <f>+Hoja2!A2</f>
        <v>1.1.01.203</v>
      </c>
      <c r="C3" s="5" t="s">
        <v>13</v>
      </c>
      <c r="D3" s="3" t="s">
        <v>14</v>
      </c>
      <c r="E3" s="6">
        <v>99910</v>
      </c>
      <c r="F3" s="6">
        <v>58308</v>
      </c>
      <c r="G3" s="6">
        <v>41602</v>
      </c>
      <c r="H3" s="5">
        <v>0</v>
      </c>
      <c r="I3" s="6">
        <v>41602</v>
      </c>
      <c r="J3" s="5">
        <v>0</v>
      </c>
      <c r="K3" s="5">
        <v>0</v>
      </c>
      <c r="L3" s="5">
        <v>0</v>
      </c>
    </row>
    <row r="4" spans="1:12">
      <c r="A4" s="10" t="b">
        <f t="shared" si="0"/>
        <v>1</v>
      </c>
      <c r="B4" s="5" t="str">
        <f>+Hoja2!A3</f>
        <v>1.1.01.204</v>
      </c>
      <c r="C4" s="5" t="s">
        <v>15</v>
      </c>
      <c r="D4" s="3" t="s">
        <v>16</v>
      </c>
      <c r="E4" s="6">
        <v>85990</v>
      </c>
      <c r="F4" s="5">
        <v>0</v>
      </c>
      <c r="G4" s="6">
        <v>85990</v>
      </c>
      <c r="H4" s="5">
        <v>0</v>
      </c>
      <c r="I4" s="6">
        <v>85990</v>
      </c>
      <c r="J4" s="5">
        <v>0</v>
      </c>
      <c r="K4" s="5">
        <v>0</v>
      </c>
      <c r="L4" s="5">
        <v>0</v>
      </c>
    </row>
    <row r="5" spans="1:12">
      <c r="A5" s="10" t="b">
        <f t="shared" si="0"/>
        <v>1</v>
      </c>
      <c r="B5" s="5" t="str">
        <f>+Hoja2!A4</f>
        <v>1.1.01.205</v>
      </c>
      <c r="C5" s="5" t="s">
        <v>17</v>
      </c>
      <c r="D5" s="3" t="s">
        <v>18</v>
      </c>
      <c r="E5" s="6">
        <v>154990</v>
      </c>
      <c r="F5" s="6">
        <v>152308</v>
      </c>
      <c r="G5" s="6">
        <v>2682</v>
      </c>
      <c r="H5" s="5">
        <v>0</v>
      </c>
      <c r="I5" s="6">
        <v>2682</v>
      </c>
      <c r="J5" s="5">
        <v>0</v>
      </c>
      <c r="K5" s="5">
        <v>0</v>
      </c>
      <c r="L5" s="5">
        <v>0</v>
      </c>
    </row>
    <row r="6" spans="1:12">
      <c r="A6" s="10" t="b">
        <f t="shared" si="0"/>
        <v>1</v>
      </c>
      <c r="B6" s="5" t="str">
        <f>+Hoja2!A5</f>
        <v>1.1.01.206</v>
      </c>
      <c r="C6" s="5" t="s">
        <v>19</v>
      </c>
      <c r="D6" s="3" t="s">
        <v>20</v>
      </c>
      <c r="E6" s="6">
        <v>100000</v>
      </c>
      <c r="F6" s="6">
        <v>108130</v>
      </c>
      <c r="G6" s="5">
        <v>0</v>
      </c>
      <c r="H6" s="6">
        <v>8130</v>
      </c>
      <c r="I6" s="5">
        <v>0</v>
      </c>
      <c r="J6" s="6">
        <v>8130</v>
      </c>
      <c r="K6" s="5">
        <v>0</v>
      </c>
      <c r="L6" s="5">
        <v>0</v>
      </c>
    </row>
    <row r="7" spans="1:12">
      <c r="A7" s="10" t="b">
        <f t="shared" si="0"/>
        <v>1</v>
      </c>
      <c r="B7" s="5" t="str">
        <f>+Hoja2!A6</f>
        <v>1.1.01.207</v>
      </c>
      <c r="C7" s="5" t="s">
        <v>21</v>
      </c>
      <c r="D7" s="3" t="s">
        <v>22</v>
      </c>
      <c r="E7" s="6">
        <v>337628</v>
      </c>
      <c r="F7" s="6">
        <v>254628</v>
      </c>
      <c r="G7" s="6">
        <v>83000</v>
      </c>
      <c r="H7" s="5">
        <v>0</v>
      </c>
      <c r="I7" s="6">
        <v>83000</v>
      </c>
      <c r="J7" s="5">
        <v>0</v>
      </c>
      <c r="K7" s="5">
        <v>0</v>
      </c>
      <c r="L7" s="5">
        <v>0</v>
      </c>
    </row>
    <row r="8" spans="1:12">
      <c r="A8" s="10" t="b">
        <f t="shared" si="0"/>
        <v>1</v>
      </c>
      <c r="B8" s="5" t="str">
        <f>+Hoja2!A7</f>
        <v>1.1.01.208</v>
      </c>
      <c r="C8" s="5" t="s">
        <v>23</v>
      </c>
      <c r="D8" s="3" t="s">
        <v>24</v>
      </c>
      <c r="E8" s="6">
        <v>131290</v>
      </c>
      <c r="F8" s="6">
        <v>91720</v>
      </c>
      <c r="G8" s="6">
        <v>39570</v>
      </c>
      <c r="H8" s="5">
        <v>0</v>
      </c>
      <c r="I8" s="6">
        <v>39570</v>
      </c>
      <c r="J8" s="5">
        <v>0</v>
      </c>
      <c r="K8" s="5">
        <v>0</v>
      </c>
      <c r="L8" s="5">
        <v>0</v>
      </c>
    </row>
    <row r="9" spans="1:12">
      <c r="A9" s="10" t="b">
        <f t="shared" si="0"/>
        <v>1</v>
      </c>
      <c r="B9" s="5" t="str">
        <f>+Hoja2!A8</f>
        <v>1.1.01.209</v>
      </c>
      <c r="C9" s="5" t="s">
        <v>25</v>
      </c>
      <c r="D9" s="3" t="s">
        <v>26</v>
      </c>
      <c r="E9" s="6">
        <v>103980</v>
      </c>
      <c r="F9" s="6">
        <v>46490</v>
      </c>
      <c r="G9" s="6">
        <v>57490</v>
      </c>
      <c r="H9" s="5">
        <v>0</v>
      </c>
      <c r="I9" s="6">
        <v>57490</v>
      </c>
      <c r="J9" s="5">
        <v>0</v>
      </c>
      <c r="K9" s="5">
        <v>0</v>
      </c>
      <c r="L9" s="5">
        <v>0</v>
      </c>
    </row>
    <row r="10" spans="1:12">
      <c r="A10" s="10" t="b">
        <f t="shared" si="0"/>
        <v>1</v>
      </c>
      <c r="B10" s="5" t="str">
        <f>+Hoja2!A9</f>
        <v>1.1.01.210</v>
      </c>
      <c r="C10" s="5" t="s">
        <v>27</v>
      </c>
      <c r="D10" s="3" t="s">
        <v>28</v>
      </c>
      <c r="E10" s="6">
        <v>103994</v>
      </c>
      <c r="F10" s="6">
        <v>90688</v>
      </c>
      <c r="G10" s="6">
        <v>13306</v>
      </c>
      <c r="H10" s="5">
        <v>0</v>
      </c>
      <c r="I10" s="6">
        <v>13306</v>
      </c>
      <c r="J10" s="5">
        <v>0</v>
      </c>
      <c r="K10" s="5">
        <v>0</v>
      </c>
      <c r="L10" s="5">
        <v>0</v>
      </c>
    </row>
    <row r="11" spans="1:12">
      <c r="A11" s="10" t="b">
        <f t="shared" si="0"/>
        <v>1</v>
      </c>
      <c r="B11" s="5" t="str">
        <f>+Hoja2!A10</f>
        <v>1.1.01.211</v>
      </c>
      <c r="C11" s="5" t="s">
        <v>29</v>
      </c>
      <c r="D11" s="3" t="s">
        <v>30</v>
      </c>
      <c r="E11" s="6">
        <v>128075</v>
      </c>
      <c r="F11" s="6">
        <v>80955</v>
      </c>
      <c r="G11" s="6">
        <v>47120</v>
      </c>
      <c r="H11" s="5">
        <v>0</v>
      </c>
      <c r="I11" s="6">
        <v>47120</v>
      </c>
      <c r="J11" s="5">
        <v>0</v>
      </c>
      <c r="K11" s="5">
        <v>0</v>
      </c>
      <c r="L11" s="5">
        <v>0</v>
      </c>
    </row>
    <row r="12" spans="1:12">
      <c r="A12" s="10" t="b">
        <f t="shared" si="0"/>
        <v>1</v>
      </c>
      <c r="B12" s="5" t="str">
        <f>+Hoja2!A11</f>
        <v>1.1.01.212</v>
      </c>
      <c r="C12" s="5" t="s">
        <v>31</v>
      </c>
      <c r="D12" s="3" t="s">
        <v>32</v>
      </c>
      <c r="E12" s="6">
        <v>135671</v>
      </c>
      <c r="F12" s="6">
        <v>75671</v>
      </c>
      <c r="G12" s="6">
        <v>60000</v>
      </c>
      <c r="H12" s="5">
        <v>0</v>
      </c>
      <c r="I12" s="6">
        <v>60000</v>
      </c>
      <c r="J12" s="5">
        <v>0</v>
      </c>
      <c r="K12" s="5">
        <v>0</v>
      </c>
      <c r="L12" s="5">
        <v>0</v>
      </c>
    </row>
    <row r="13" spans="1:12">
      <c r="A13" s="10" t="b">
        <f t="shared" si="0"/>
        <v>1</v>
      </c>
      <c r="B13" s="5" t="str">
        <f>+Hoja2!A12</f>
        <v>1.1.01.301</v>
      </c>
      <c r="C13" s="5" t="s">
        <v>33</v>
      </c>
      <c r="D13" s="3" t="s">
        <v>34</v>
      </c>
      <c r="E13" s="6">
        <v>822199777</v>
      </c>
      <c r="F13" s="6">
        <v>381616850</v>
      </c>
      <c r="G13" s="6">
        <v>440582927</v>
      </c>
      <c r="H13" s="5">
        <v>0</v>
      </c>
      <c r="I13" s="6">
        <v>440582927</v>
      </c>
      <c r="J13" s="5">
        <v>0</v>
      </c>
      <c r="K13" s="5">
        <v>0</v>
      </c>
      <c r="L13" s="5">
        <v>0</v>
      </c>
    </row>
    <row r="14" spans="1:12">
      <c r="A14" s="10" t="b">
        <f t="shared" si="0"/>
        <v>1</v>
      </c>
      <c r="B14" s="5" t="str">
        <f>+Hoja2!A13</f>
        <v>1.1.01.302</v>
      </c>
      <c r="C14" s="5" t="s">
        <v>35</v>
      </c>
      <c r="D14" s="3" t="s">
        <v>36</v>
      </c>
      <c r="E14" s="6">
        <v>1302586021</v>
      </c>
      <c r="F14" s="6">
        <v>930624208</v>
      </c>
      <c r="G14" s="6">
        <v>371961813</v>
      </c>
      <c r="H14" s="5">
        <v>0</v>
      </c>
      <c r="I14" s="6">
        <v>371961813</v>
      </c>
      <c r="J14" s="5">
        <v>0</v>
      </c>
      <c r="K14" s="5">
        <v>0</v>
      </c>
      <c r="L14" s="5">
        <v>0</v>
      </c>
    </row>
    <row r="15" spans="1:12">
      <c r="A15" s="10" t="b">
        <f t="shared" si="0"/>
        <v>1</v>
      </c>
      <c r="B15" s="5" t="str">
        <f>+Hoja2!A14</f>
        <v>1.1.02.106</v>
      </c>
      <c r="C15" s="5" t="s">
        <v>37</v>
      </c>
      <c r="D15" s="3" t="s">
        <v>38</v>
      </c>
      <c r="E15" s="6">
        <v>4941276</v>
      </c>
      <c r="F15" s="5">
        <v>0</v>
      </c>
      <c r="G15" s="6">
        <v>4941276</v>
      </c>
      <c r="H15" s="5">
        <v>0</v>
      </c>
      <c r="I15" s="6">
        <v>4941276</v>
      </c>
      <c r="J15" s="5">
        <v>0</v>
      </c>
      <c r="K15" s="5">
        <v>0</v>
      </c>
      <c r="L15" s="5">
        <v>0</v>
      </c>
    </row>
    <row r="16" spans="1:12">
      <c r="A16" s="10" t="b">
        <f t="shared" si="0"/>
        <v>1</v>
      </c>
      <c r="B16" s="5" t="str">
        <f>+Hoja2!A15</f>
        <v>1.1.03.201</v>
      </c>
      <c r="C16" s="5" t="s">
        <v>39</v>
      </c>
      <c r="D16" s="3" t="s">
        <v>40</v>
      </c>
      <c r="E16" s="6">
        <v>40348532</v>
      </c>
      <c r="F16" s="6">
        <v>5398716</v>
      </c>
      <c r="G16" s="6">
        <v>34949816</v>
      </c>
      <c r="H16" s="5">
        <v>0</v>
      </c>
      <c r="I16" s="6">
        <v>34949816</v>
      </c>
      <c r="J16" s="5">
        <v>0</v>
      </c>
      <c r="K16" s="5">
        <v>0</v>
      </c>
      <c r="L16" s="5">
        <v>0</v>
      </c>
    </row>
    <row r="17" spans="1:12">
      <c r="A17" s="10" t="b">
        <f t="shared" si="0"/>
        <v>1</v>
      </c>
      <c r="B17" s="5" t="str">
        <f>+Hoja2!A16</f>
        <v>1.1.04.102</v>
      </c>
      <c r="C17" s="5" t="s">
        <v>41</v>
      </c>
      <c r="D17" s="3" t="s">
        <v>42</v>
      </c>
      <c r="E17" s="6">
        <v>312645466</v>
      </c>
      <c r="F17" s="6">
        <v>315803955</v>
      </c>
      <c r="G17" s="5">
        <v>0</v>
      </c>
      <c r="H17" s="6">
        <v>3158489</v>
      </c>
      <c r="I17" s="5">
        <v>0</v>
      </c>
      <c r="J17" s="6">
        <v>3158489</v>
      </c>
      <c r="K17" s="5">
        <v>0</v>
      </c>
      <c r="L17" s="5">
        <v>0</v>
      </c>
    </row>
    <row r="18" spans="1:12">
      <c r="A18" s="10" t="b">
        <f t="shared" si="0"/>
        <v>1</v>
      </c>
      <c r="B18" s="5" t="str">
        <f>+Hoja2!A17</f>
        <v>1.1.04.104</v>
      </c>
      <c r="C18" s="5" t="s">
        <v>43</v>
      </c>
      <c r="D18" s="3" t="s">
        <v>44</v>
      </c>
      <c r="E18" s="6">
        <v>4201583</v>
      </c>
      <c r="F18" s="6">
        <v>3267232</v>
      </c>
      <c r="G18" s="6">
        <v>934351</v>
      </c>
      <c r="H18" s="5">
        <v>0</v>
      </c>
      <c r="I18" s="6">
        <v>934351</v>
      </c>
      <c r="J18" s="5">
        <v>0</v>
      </c>
      <c r="K18" s="5">
        <v>0</v>
      </c>
      <c r="L18" s="5">
        <v>0</v>
      </c>
    </row>
    <row r="19" spans="1:12">
      <c r="A19" s="10" t="b">
        <f t="shared" si="0"/>
        <v>1</v>
      </c>
      <c r="B19" s="5" t="str">
        <f>+Hoja2!A18</f>
        <v>1.1.04.105</v>
      </c>
      <c r="C19" s="5" t="s">
        <v>45</v>
      </c>
      <c r="D19" s="3" t="s">
        <v>46</v>
      </c>
      <c r="E19" s="6">
        <v>436527998</v>
      </c>
      <c r="F19" s="6">
        <v>381954503</v>
      </c>
      <c r="G19" s="6">
        <v>54573495</v>
      </c>
      <c r="H19" s="5">
        <v>0</v>
      </c>
      <c r="I19" s="6">
        <v>54573495</v>
      </c>
      <c r="J19" s="5">
        <v>0</v>
      </c>
      <c r="K19" s="5">
        <v>0</v>
      </c>
      <c r="L19" s="5">
        <v>0</v>
      </c>
    </row>
    <row r="20" spans="1:12">
      <c r="A20" s="10" t="b">
        <f t="shared" si="0"/>
        <v>1</v>
      </c>
      <c r="B20" s="5" t="str">
        <f>+Hoja2!A19</f>
        <v>1.1.04.106</v>
      </c>
      <c r="C20" s="5" t="s">
        <v>47</v>
      </c>
      <c r="D20" s="3" t="s">
        <v>48</v>
      </c>
      <c r="E20" s="6">
        <v>442414883</v>
      </c>
      <c r="F20" s="6">
        <v>370577979</v>
      </c>
      <c r="G20" s="6">
        <v>71836904</v>
      </c>
      <c r="H20" s="5">
        <v>0</v>
      </c>
      <c r="I20" s="6">
        <v>71836904</v>
      </c>
      <c r="J20" s="5">
        <v>0</v>
      </c>
      <c r="K20" s="5">
        <v>0</v>
      </c>
      <c r="L20" s="5">
        <v>0</v>
      </c>
    </row>
    <row r="21" spans="1:12">
      <c r="A21" s="10" t="b">
        <f t="shared" si="0"/>
        <v>1</v>
      </c>
      <c r="B21" s="5" t="str">
        <f>+Hoja2!A20</f>
        <v>1.1.04.108</v>
      </c>
      <c r="C21" s="5" t="s">
        <v>49</v>
      </c>
      <c r="D21" s="3" t="s">
        <v>50</v>
      </c>
      <c r="E21" s="6">
        <v>525390</v>
      </c>
      <c r="F21" s="6">
        <v>44990</v>
      </c>
      <c r="G21" s="6">
        <v>480400</v>
      </c>
      <c r="H21" s="5">
        <v>0</v>
      </c>
      <c r="I21" s="6">
        <v>480400</v>
      </c>
      <c r="J21" s="5">
        <v>0</v>
      </c>
      <c r="K21" s="5">
        <v>0</v>
      </c>
      <c r="L21" s="5">
        <v>0</v>
      </c>
    </row>
    <row r="22" spans="1:12">
      <c r="A22" s="10" t="b">
        <f t="shared" si="0"/>
        <v>1</v>
      </c>
      <c r="B22" s="5" t="str">
        <f>+Hoja2!A21</f>
        <v>1.1.04.109</v>
      </c>
      <c r="C22" s="5" t="s">
        <v>51</v>
      </c>
      <c r="D22" s="3" t="s">
        <v>52</v>
      </c>
      <c r="E22" s="6">
        <v>1174287901</v>
      </c>
      <c r="F22" s="6">
        <v>972428242</v>
      </c>
      <c r="G22" s="6">
        <v>201859659</v>
      </c>
      <c r="H22" s="5">
        <v>0</v>
      </c>
      <c r="I22" s="6">
        <v>201859659</v>
      </c>
      <c r="J22" s="5">
        <v>0</v>
      </c>
      <c r="K22" s="5">
        <v>0</v>
      </c>
      <c r="L22" s="5">
        <v>0</v>
      </c>
    </row>
    <row r="23" spans="1:12">
      <c r="A23" s="10" t="b">
        <f t="shared" si="0"/>
        <v>1</v>
      </c>
      <c r="B23" s="5" t="str">
        <f>+Hoja2!A22</f>
        <v>1.1.04.112</v>
      </c>
      <c r="C23" s="5" t="s">
        <v>53</v>
      </c>
      <c r="D23" s="3" t="s">
        <v>54</v>
      </c>
      <c r="E23" s="6">
        <v>31526988</v>
      </c>
      <c r="F23" s="6">
        <v>21762676</v>
      </c>
      <c r="G23" s="6">
        <v>9764312</v>
      </c>
      <c r="H23" s="5">
        <v>0</v>
      </c>
      <c r="I23" s="6">
        <v>9764312</v>
      </c>
      <c r="J23" s="5">
        <v>0</v>
      </c>
      <c r="K23" s="5">
        <v>0</v>
      </c>
      <c r="L23" s="5">
        <v>0</v>
      </c>
    </row>
    <row r="24" spans="1:12">
      <c r="A24" s="10" t="b">
        <f t="shared" si="0"/>
        <v>1</v>
      </c>
      <c r="B24" s="5" t="str">
        <f>+Hoja2!A23</f>
        <v>1.1.04.113</v>
      </c>
      <c r="C24" s="5" t="s">
        <v>55</v>
      </c>
      <c r="D24" s="3" t="s">
        <v>56</v>
      </c>
      <c r="E24" s="6">
        <v>26081492</v>
      </c>
      <c r="F24" s="6">
        <v>24549633</v>
      </c>
      <c r="G24" s="6">
        <v>1531859</v>
      </c>
      <c r="H24" s="5">
        <v>0</v>
      </c>
      <c r="I24" s="6">
        <v>1531859</v>
      </c>
      <c r="J24" s="5">
        <v>0</v>
      </c>
      <c r="K24" s="5">
        <v>0</v>
      </c>
      <c r="L24" s="5">
        <v>0</v>
      </c>
    </row>
    <row r="25" spans="1:12">
      <c r="A25" s="10" t="b">
        <f t="shared" si="0"/>
        <v>1</v>
      </c>
      <c r="B25" s="5" t="str">
        <f>+Hoja2!A24</f>
        <v>1.1.04.200</v>
      </c>
      <c r="C25" s="5" t="s">
        <v>57</v>
      </c>
      <c r="D25" s="3" t="s">
        <v>58</v>
      </c>
      <c r="E25" s="6">
        <v>6734121</v>
      </c>
      <c r="F25" s="5">
        <v>0</v>
      </c>
      <c r="G25" s="6">
        <v>6734121</v>
      </c>
      <c r="H25" s="5">
        <v>0</v>
      </c>
      <c r="I25" s="6">
        <v>6734121</v>
      </c>
      <c r="J25" s="5">
        <v>0</v>
      </c>
      <c r="K25" s="5">
        <v>0</v>
      </c>
      <c r="L25" s="5">
        <v>0</v>
      </c>
    </row>
    <row r="26" spans="1:12">
      <c r="A26" s="10" t="b">
        <f t="shared" si="0"/>
        <v>1</v>
      </c>
      <c r="B26" s="5" t="str">
        <f>+Hoja2!A25</f>
        <v>1.1.05.403</v>
      </c>
      <c r="C26" s="5" t="s">
        <v>59</v>
      </c>
      <c r="D26" s="3" t="s">
        <v>60</v>
      </c>
      <c r="E26" s="6">
        <v>37044970</v>
      </c>
      <c r="F26" s="6">
        <v>5630839</v>
      </c>
      <c r="G26" s="6">
        <v>31414131</v>
      </c>
      <c r="H26" s="5">
        <v>0</v>
      </c>
      <c r="I26" s="6">
        <v>31414131</v>
      </c>
      <c r="J26" s="5">
        <v>0</v>
      </c>
      <c r="K26" s="5">
        <v>0</v>
      </c>
      <c r="L26" s="5">
        <v>0</v>
      </c>
    </row>
    <row r="27" spans="1:12">
      <c r="A27" s="10" t="b">
        <f t="shared" si="0"/>
        <v>1</v>
      </c>
      <c r="B27" s="5" t="str">
        <f>+Hoja2!A26</f>
        <v>1.1.05.405</v>
      </c>
      <c r="C27" s="5" t="s">
        <v>61</v>
      </c>
      <c r="D27" s="3" t="s">
        <v>62</v>
      </c>
      <c r="E27" s="6">
        <v>91267215</v>
      </c>
      <c r="F27" s="6">
        <v>66664143</v>
      </c>
      <c r="G27" s="6">
        <v>24603072</v>
      </c>
      <c r="H27" s="5">
        <v>0</v>
      </c>
      <c r="I27" s="6">
        <v>24603072</v>
      </c>
      <c r="J27" s="5">
        <v>0</v>
      </c>
      <c r="K27" s="5">
        <v>0</v>
      </c>
      <c r="L27" s="5">
        <v>0</v>
      </c>
    </row>
    <row r="28" spans="1:12">
      <c r="A28" s="10" t="b">
        <f t="shared" si="0"/>
        <v>1</v>
      </c>
      <c r="B28" s="5" t="str">
        <f>+Hoja2!A27</f>
        <v>1.1.06.401</v>
      </c>
      <c r="C28" s="5" t="s">
        <v>63</v>
      </c>
      <c r="D28" s="3" t="s">
        <v>64</v>
      </c>
      <c r="E28" s="6">
        <v>1748739874</v>
      </c>
      <c r="F28" s="6">
        <v>140247755</v>
      </c>
      <c r="G28" s="6">
        <v>1608492119</v>
      </c>
      <c r="H28" s="5">
        <v>0</v>
      </c>
      <c r="I28" s="6">
        <v>1608492119</v>
      </c>
      <c r="J28" s="5">
        <v>0</v>
      </c>
      <c r="K28" s="5">
        <v>0</v>
      </c>
      <c r="L28" s="5">
        <v>0</v>
      </c>
    </row>
    <row r="29" spans="1:12">
      <c r="A29" s="10" t="b">
        <f t="shared" si="0"/>
        <v>1</v>
      </c>
      <c r="B29" s="5" t="str">
        <f>+Hoja2!A28</f>
        <v>1.1.06.801</v>
      </c>
      <c r="C29" s="5" t="s">
        <v>65</v>
      </c>
      <c r="D29" s="3" t="s">
        <v>66</v>
      </c>
      <c r="E29" s="6">
        <v>10845119</v>
      </c>
      <c r="F29" s="6">
        <v>10845119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>
      <c r="A30" s="10" t="b">
        <f t="shared" si="0"/>
        <v>1</v>
      </c>
      <c r="B30" s="5" t="str">
        <f>+Hoja2!A29</f>
        <v>1.1.06.802</v>
      </c>
      <c r="C30" s="5" t="s">
        <v>67</v>
      </c>
      <c r="D30" s="3" t="s">
        <v>68</v>
      </c>
      <c r="E30" s="6">
        <v>534894224</v>
      </c>
      <c r="F30" s="6">
        <v>323828116</v>
      </c>
      <c r="G30" s="6">
        <v>211066108</v>
      </c>
      <c r="H30" s="5">
        <v>0</v>
      </c>
      <c r="I30" s="6">
        <v>211066108</v>
      </c>
      <c r="J30" s="5">
        <v>0</v>
      </c>
      <c r="K30" s="5">
        <v>0</v>
      </c>
      <c r="L30" s="5">
        <v>0</v>
      </c>
    </row>
    <row r="31" spans="1:12">
      <c r="A31" s="10" t="b">
        <f t="shared" si="0"/>
        <v>1</v>
      </c>
      <c r="B31" s="5" t="str">
        <f>+Hoja2!A30</f>
        <v>1.1.09.101</v>
      </c>
      <c r="C31" s="5" t="s">
        <v>69</v>
      </c>
      <c r="D31" s="3" t="s">
        <v>70</v>
      </c>
      <c r="E31" s="6">
        <v>127018590</v>
      </c>
      <c r="F31" s="6">
        <v>127018590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>
      <c r="A32" s="10" t="b">
        <f t="shared" si="0"/>
        <v>1</v>
      </c>
      <c r="B32" s="5" t="str">
        <f>+Hoja2!A31</f>
        <v>1.1.09.103</v>
      </c>
      <c r="C32" s="5" t="s">
        <v>71</v>
      </c>
      <c r="D32" s="3" t="s">
        <v>72</v>
      </c>
      <c r="E32" s="6">
        <v>422994809</v>
      </c>
      <c r="F32" s="6">
        <v>65664239</v>
      </c>
      <c r="G32" s="6">
        <v>357330570</v>
      </c>
      <c r="H32" s="5">
        <v>0</v>
      </c>
      <c r="I32" s="6">
        <v>357330570</v>
      </c>
      <c r="J32" s="5">
        <v>0</v>
      </c>
      <c r="K32" s="5">
        <v>0</v>
      </c>
      <c r="L32" s="5">
        <v>0</v>
      </c>
    </row>
    <row r="33" spans="1:12">
      <c r="A33" s="10" t="b">
        <f t="shared" si="0"/>
        <v>1</v>
      </c>
      <c r="B33" s="5" t="str">
        <f>+Hoja2!A32</f>
        <v>1.2.02.101</v>
      </c>
      <c r="C33" s="5" t="s">
        <v>73</v>
      </c>
      <c r="D33" s="3" t="s">
        <v>74</v>
      </c>
      <c r="E33" s="6">
        <v>83146237</v>
      </c>
      <c r="F33" s="6">
        <v>25817865</v>
      </c>
      <c r="G33" s="6">
        <v>57328372</v>
      </c>
      <c r="H33" s="5">
        <v>0</v>
      </c>
      <c r="I33" s="6">
        <v>57328372</v>
      </c>
      <c r="J33" s="5">
        <v>0</v>
      </c>
      <c r="K33" s="5">
        <v>0</v>
      </c>
      <c r="L33" s="5">
        <v>0</v>
      </c>
    </row>
    <row r="34" spans="1:12">
      <c r="A34" s="10" t="b">
        <f t="shared" si="0"/>
        <v>1</v>
      </c>
      <c r="B34" s="5" t="str">
        <f>+Hoja2!A33</f>
        <v>1.2.02.401</v>
      </c>
      <c r="C34" s="5" t="s">
        <v>75</v>
      </c>
      <c r="D34" s="3" t="s">
        <v>76</v>
      </c>
      <c r="E34" s="6">
        <v>656828984</v>
      </c>
      <c r="F34" s="5">
        <v>0</v>
      </c>
      <c r="G34" s="6">
        <v>656828984</v>
      </c>
      <c r="H34" s="5">
        <v>0</v>
      </c>
      <c r="I34" s="6">
        <v>656828984</v>
      </c>
      <c r="J34" s="5">
        <v>0</v>
      </c>
      <c r="K34" s="5">
        <v>0</v>
      </c>
      <c r="L34" s="5">
        <v>0</v>
      </c>
    </row>
    <row r="35" spans="1:12">
      <c r="A35" s="10" t="b">
        <f t="shared" si="0"/>
        <v>1</v>
      </c>
      <c r="B35" s="5" t="str">
        <f>+Hoja2!A34</f>
        <v>1.2.02.402</v>
      </c>
      <c r="C35" s="5" t="s">
        <v>77</v>
      </c>
      <c r="D35" s="3" t="s">
        <v>78</v>
      </c>
      <c r="E35" s="6">
        <v>109578639</v>
      </c>
      <c r="F35" s="5">
        <v>0</v>
      </c>
      <c r="G35" s="6">
        <v>109578639</v>
      </c>
      <c r="H35" s="5">
        <v>0</v>
      </c>
      <c r="I35" s="6">
        <v>109578639</v>
      </c>
      <c r="J35" s="5">
        <v>0</v>
      </c>
      <c r="K35" s="5">
        <v>0</v>
      </c>
      <c r="L35" s="5">
        <v>0</v>
      </c>
    </row>
    <row r="36" spans="1:12">
      <c r="A36" s="10" t="b">
        <f t="shared" si="0"/>
        <v>1</v>
      </c>
      <c r="B36" s="5" t="str">
        <f>+Hoja2!A35</f>
        <v>1.2.02.405</v>
      </c>
      <c r="C36" s="5" t="s">
        <v>79</v>
      </c>
      <c r="D36" s="3" t="s">
        <v>80</v>
      </c>
      <c r="E36" s="6">
        <v>27748636</v>
      </c>
      <c r="F36" s="5">
        <v>0</v>
      </c>
      <c r="G36" s="6">
        <v>27748636</v>
      </c>
      <c r="H36" s="5">
        <v>0</v>
      </c>
      <c r="I36" s="6">
        <v>27748636</v>
      </c>
      <c r="J36" s="5">
        <v>0</v>
      </c>
      <c r="K36" s="5">
        <v>0</v>
      </c>
      <c r="L36" s="5">
        <v>0</v>
      </c>
    </row>
    <row r="37" spans="1:12">
      <c r="A37" s="10" t="b">
        <f t="shared" si="0"/>
        <v>1</v>
      </c>
      <c r="B37" s="5" t="str">
        <f>+Hoja2!A36</f>
        <v>1.2.02.904</v>
      </c>
      <c r="C37" s="5" t="s">
        <v>81</v>
      </c>
      <c r="D37" s="3" t="s">
        <v>82</v>
      </c>
      <c r="E37" s="5">
        <v>0</v>
      </c>
      <c r="F37" s="6">
        <v>210830802</v>
      </c>
      <c r="G37" s="5">
        <v>0</v>
      </c>
      <c r="H37" s="6">
        <v>210830802</v>
      </c>
      <c r="I37" s="5">
        <v>0</v>
      </c>
      <c r="J37" s="6">
        <v>210830802</v>
      </c>
      <c r="K37" s="5">
        <v>0</v>
      </c>
      <c r="L37" s="5">
        <v>0</v>
      </c>
    </row>
    <row r="38" spans="1:12">
      <c r="A38" s="10" t="b">
        <f t="shared" si="0"/>
        <v>1</v>
      </c>
      <c r="B38" s="5" t="str">
        <f>+Hoja2!A37</f>
        <v>1.2.02.905</v>
      </c>
      <c r="C38" s="5" t="s">
        <v>83</v>
      </c>
      <c r="D38" s="3" t="s">
        <v>84</v>
      </c>
      <c r="E38" s="5">
        <v>0</v>
      </c>
      <c r="F38" s="6">
        <v>36686284</v>
      </c>
      <c r="G38" s="5">
        <v>0</v>
      </c>
      <c r="H38" s="6">
        <v>36686284</v>
      </c>
      <c r="I38" s="5">
        <v>0</v>
      </c>
      <c r="J38" s="6">
        <v>36686284</v>
      </c>
      <c r="K38" s="5">
        <v>0</v>
      </c>
      <c r="L38" s="5">
        <v>0</v>
      </c>
    </row>
    <row r="39" spans="1:12">
      <c r="A39" s="10" t="b">
        <f t="shared" si="0"/>
        <v>1</v>
      </c>
      <c r="B39" s="5" t="str">
        <f>+Hoja2!A38</f>
        <v>2.1.01.203</v>
      </c>
      <c r="C39" s="5" t="s">
        <v>85</v>
      </c>
      <c r="D39" s="3" t="s">
        <v>86</v>
      </c>
      <c r="E39" s="6">
        <v>7125472</v>
      </c>
      <c r="F39" s="6">
        <v>153794472</v>
      </c>
      <c r="G39" s="5">
        <v>0</v>
      </c>
      <c r="H39" s="6">
        <v>146669000</v>
      </c>
      <c r="I39" s="5">
        <v>0</v>
      </c>
      <c r="J39" s="6">
        <v>146669000</v>
      </c>
      <c r="K39" s="5">
        <v>0</v>
      </c>
      <c r="L39" s="5">
        <v>0</v>
      </c>
    </row>
    <row r="40" spans="1:12">
      <c r="A40" s="10" t="b">
        <f t="shared" si="0"/>
        <v>1</v>
      </c>
      <c r="B40" s="5" t="str">
        <f>+Hoja2!A39</f>
        <v>2.1.01.204</v>
      </c>
      <c r="C40" s="5" t="s">
        <v>87</v>
      </c>
      <c r="D40" s="3" t="s">
        <v>88</v>
      </c>
      <c r="E40" s="6">
        <v>513807</v>
      </c>
      <c r="F40" s="6">
        <v>5382695</v>
      </c>
      <c r="G40" s="5">
        <v>0</v>
      </c>
      <c r="H40" s="6">
        <v>4868888</v>
      </c>
      <c r="I40" s="5">
        <v>0</v>
      </c>
      <c r="J40" s="6">
        <v>4868888</v>
      </c>
      <c r="K40" s="5">
        <v>0</v>
      </c>
      <c r="L40" s="5">
        <v>0</v>
      </c>
    </row>
    <row r="41" spans="1:12">
      <c r="A41" s="10" t="b">
        <f t="shared" si="0"/>
        <v>1</v>
      </c>
      <c r="B41" s="5" t="str">
        <f>+Hoja2!A40</f>
        <v>2.1.01.601</v>
      </c>
      <c r="C41" s="5" t="s">
        <v>89</v>
      </c>
      <c r="D41" s="3" t="s">
        <v>90</v>
      </c>
      <c r="E41" s="6">
        <v>4654339</v>
      </c>
      <c r="F41" s="6">
        <v>4083503</v>
      </c>
      <c r="G41" s="6">
        <v>570836</v>
      </c>
      <c r="H41" s="5">
        <v>0</v>
      </c>
      <c r="I41" s="6">
        <v>570836</v>
      </c>
      <c r="J41" s="5">
        <v>0</v>
      </c>
      <c r="K41" s="5">
        <v>0</v>
      </c>
      <c r="L41" s="5">
        <v>0</v>
      </c>
    </row>
    <row r="42" spans="1:12">
      <c r="A42" s="10" t="b">
        <f t="shared" si="0"/>
        <v>1</v>
      </c>
      <c r="B42" s="5" t="str">
        <f>+Hoja2!A41</f>
        <v>2.1.02.102</v>
      </c>
      <c r="C42" s="5" t="s">
        <v>91</v>
      </c>
      <c r="D42" s="3" t="s">
        <v>92</v>
      </c>
      <c r="E42" s="6">
        <v>965676666</v>
      </c>
      <c r="F42" s="6">
        <v>2200581245</v>
      </c>
      <c r="G42" s="5">
        <v>0</v>
      </c>
      <c r="H42" s="6">
        <v>1234904579</v>
      </c>
      <c r="I42" s="5">
        <v>0</v>
      </c>
      <c r="J42" s="6">
        <v>1234904579</v>
      </c>
      <c r="K42" s="5">
        <v>0</v>
      </c>
      <c r="L42" s="5">
        <v>0</v>
      </c>
    </row>
    <row r="43" spans="1:12">
      <c r="A43" s="10" t="b">
        <f t="shared" si="0"/>
        <v>1</v>
      </c>
      <c r="B43" s="5" t="str">
        <f>+Hoja2!A42</f>
        <v>2.1.02.103</v>
      </c>
      <c r="C43" s="5" t="s">
        <v>93</v>
      </c>
      <c r="D43" s="3" t="s">
        <v>94</v>
      </c>
      <c r="E43" s="6">
        <v>255589332</v>
      </c>
      <c r="F43" s="6">
        <v>289265126</v>
      </c>
      <c r="G43" s="5">
        <v>0</v>
      </c>
      <c r="H43" s="6">
        <v>33675794</v>
      </c>
      <c r="I43" s="5">
        <v>0</v>
      </c>
      <c r="J43" s="6">
        <v>33675794</v>
      </c>
      <c r="K43" s="5">
        <v>0</v>
      </c>
      <c r="L43" s="5">
        <v>0</v>
      </c>
    </row>
    <row r="44" spans="1:12">
      <c r="A44" s="10" t="b">
        <f t="shared" si="0"/>
        <v>1</v>
      </c>
      <c r="B44" s="5" t="str">
        <f>+Hoja2!A43</f>
        <v>2.1.02.401</v>
      </c>
      <c r="C44" s="5" t="s">
        <v>95</v>
      </c>
      <c r="D44" s="3" t="s">
        <v>96</v>
      </c>
      <c r="E44" s="6">
        <v>466593</v>
      </c>
      <c r="F44" s="6">
        <v>2014886</v>
      </c>
      <c r="G44" s="5">
        <v>0</v>
      </c>
      <c r="H44" s="6">
        <v>1548293</v>
      </c>
      <c r="I44" s="5">
        <v>0</v>
      </c>
      <c r="J44" s="6">
        <v>1548293</v>
      </c>
      <c r="K44" s="5">
        <v>0</v>
      </c>
      <c r="L44" s="5">
        <v>0</v>
      </c>
    </row>
    <row r="45" spans="1:12">
      <c r="A45" s="10" t="b">
        <f t="shared" si="0"/>
        <v>1</v>
      </c>
      <c r="B45" s="5" t="str">
        <f>+Hoja2!A44</f>
        <v>2.1.02.503</v>
      </c>
      <c r="C45" s="5" t="s">
        <v>97</v>
      </c>
      <c r="D45" s="3" t="s">
        <v>98</v>
      </c>
      <c r="E45" s="6">
        <v>20106416</v>
      </c>
      <c r="F45" s="6">
        <v>30063451</v>
      </c>
      <c r="G45" s="5">
        <v>0</v>
      </c>
      <c r="H45" s="6">
        <v>9957035</v>
      </c>
      <c r="I45" s="5">
        <v>0</v>
      </c>
      <c r="J45" s="6">
        <v>9957035</v>
      </c>
      <c r="K45" s="5">
        <v>0</v>
      </c>
      <c r="L45" s="5">
        <v>0</v>
      </c>
    </row>
    <row r="46" spans="1:12">
      <c r="A46" s="10" t="b">
        <f t="shared" si="0"/>
        <v>1</v>
      </c>
      <c r="B46" s="5" t="str">
        <f>+Hoja2!A45</f>
        <v>2.1.02.604</v>
      </c>
      <c r="C46" s="5" t="s">
        <v>99</v>
      </c>
      <c r="D46" s="3" t="s">
        <v>100</v>
      </c>
      <c r="E46" s="6">
        <v>848646</v>
      </c>
      <c r="F46" s="6">
        <v>1361766</v>
      </c>
      <c r="G46" s="5">
        <v>0</v>
      </c>
      <c r="H46" s="6">
        <v>513120</v>
      </c>
      <c r="I46" s="5">
        <v>0</v>
      </c>
      <c r="J46" s="6">
        <v>513120</v>
      </c>
      <c r="K46" s="5">
        <v>0</v>
      </c>
      <c r="L46" s="5">
        <v>0</v>
      </c>
    </row>
    <row r="47" spans="1:12">
      <c r="A47" s="10" t="b">
        <f t="shared" si="0"/>
        <v>1</v>
      </c>
      <c r="B47" s="5" t="str">
        <f>+Hoja2!A46</f>
        <v>2.1.02.605</v>
      </c>
      <c r="C47" s="5" t="s">
        <v>101</v>
      </c>
      <c r="D47" s="3" t="s">
        <v>102</v>
      </c>
      <c r="E47" s="6">
        <v>31725918</v>
      </c>
      <c r="F47" s="6">
        <v>134174766</v>
      </c>
      <c r="G47" s="5">
        <v>0</v>
      </c>
      <c r="H47" s="6">
        <v>102448848</v>
      </c>
      <c r="I47" s="5">
        <v>0</v>
      </c>
      <c r="J47" s="6">
        <v>102448848</v>
      </c>
      <c r="K47" s="5">
        <v>0</v>
      </c>
      <c r="L47" s="5">
        <v>0</v>
      </c>
    </row>
    <row r="48" spans="1:12">
      <c r="A48" s="10" t="b">
        <f t="shared" si="0"/>
        <v>1</v>
      </c>
      <c r="B48" s="5" t="str">
        <f>+Hoja2!A47</f>
        <v>2.1.05.101</v>
      </c>
      <c r="C48" s="5" t="s">
        <v>103</v>
      </c>
      <c r="D48" s="3" t="s">
        <v>104</v>
      </c>
      <c r="E48" s="6">
        <v>2373539</v>
      </c>
      <c r="F48" s="6">
        <v>2373539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>
      <c r="A49" s="10" t="b">
        <f t="shared" si="0"/>
        <v>1</v>
      </c>
      <c r="B49" s="5" t="str">
        <f>+Hoja2!A48</f>
        <v>2.1.05.102</v>
      </c>
      <c r="C49" s="5" t="s">
        <v>105</v>
      </c>
      <c r="D49" s="3" t="s">
        <v>106</v>
      </c>
      <c r="E49" s="6">
        <v>230070</v>
      </c>
      <c r="F49" s="6">
        <v>230070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>
      <c r="A50" s="10" t="b">
        <f t="shared" si="0"/>
        <v>1</v>
      </c>
      <c r="B50" s="5" t="str">
        <f>+Hoja2!A49</f>
        <v>2.1.05.103</v>
      </c>
      <c r="C50" s="5" t="s">
        <v>107</v>
      </c>
      <c r="D50" s="3" t="s">
        <v>108</v>
      </c>
      <c r="E50" s="6">
        <v>145138628</v>
      </c>
      <c r="F50" s="6">
        <v>145138628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>
      <c r="A51" s="10" t="b">
        <f t="shared" si="0"/>
        <v>1</v>
      </c>
      <c r="B51" s="5" t="str">
        <f>+Hoja2!A50</f>
        <v>2.1.05.106</v>
      </c>
      <c r="C51" s="5" t="s">
        <v>109</v>
      </c>
      <c r="D51" s="3" t="s">
        <v>110</v>
      </c>
      <c r="E51" s="6">
        <v>3289310</v>
      </c>
      <c r="F51" s="6">
        <v>4248262</v>
      </c>
      <c r="G51" s="5">
        <v>0</v>
      </c>
      <c r="H51" s="6">
        <v>958952</v>
      </c>
      <c r="I51" s="5">
        <v>0</v>
      </c>
      <c r="J51" s="6">
        <v>958952</v>
      </c>
      <c r="K51" s="5">
        <v>0</v>
      </c>
      <c r="L51" s="5">
        <v>0</v>
      </c>
    </row>
    <row r="52" spans="1:12">
      <c r="A52" s="10" t="b">
        <f t="shared" si="0"/>
        <v>1</v>
      </c>
      <c r="B52" s="5" t="str">
        <f>+Hoja2!A51</f>
        <v>2.1.06.103</v>
      </c>
      <c r="C52" s="5" t="s">
        <v>111</v>
      </c>
      <c r="D52" s="3" t="s">
        <v>112</v>
      </c>
      <c r="E52" s="6">
        <v>62073342</v>
      </c>
      <c r="F52" s="6">
        <v>76200159</v>
      </c>
      <c r="G52" s="5">
        <v>0</v>
      </c>
      <c r="H52" s="6">
        <v>14126817</v>
      </c>
      <c r="I52" s="5">
        <v>0</v>
      </c>
      <c r="J52" s="6">
        <v>14126817</v>
      </c>
      <c r="K52" s="5">
        <v>0</v>
      </c>
      <c r="L52" s="5">
        <v>0</v>
      </c>
    </row>
    <row r="53" spans="1:12">
      <c r="A53" s="10" t="b">
        <f t="shared" si="0"/>
        <v>1</v>
      </c>
      <c r="B53" s="5" t="str">
        <f>+Hoja2!A52</f>
        <v>2.3.01.101</v>
      </c>
      <c r="C53" s="5" t="s">
        <v>113</v>
      </c>
      <c r="D53" s="3" t="s">
        <v>114</v>
      </c>
      <c r="E53" s="5">
        <v>0</v>
      </c>
      <c r="F53" s="6">
        <v>5770668867</v>
      </c>
      <c r="G53" s="5">
        <v>0</v>
      </c>
      <c r="H53" s="6">
        <v>5770668867</v>
      </c>
      <c r="I53" s="5">
        <v>0</v>
      </c>
      <c r="J53" s="6">
        <v>5770668867</v>
      </c>
      <c r="K53" s="5">
        <v>0</v>
      </c>
      <c r="L53" s="5">
        <v>0</v>
      </c>
    </row>
    <row r="54" spans="1:12">
      <c r="A54" s="10" t="b">
        <f t="shared" si="0"/>
        <v>1</v>
      </c>
      <c r="B54" s="5" t="str">
        <f>+Hoja2!A53</f>
        <v>2.3.02.101</v>
      </c>
      <c r="C54" s="5" t="s">
        <v>115</v>
      </c>
      <c r="D54" s="3" t="s">
        <v>116</v>
      </c>
      <c r="E54" s="6">
        <v>3142106839</v>
      </c>
      <c r="F54" s="5">
        <v>0</v>
      </c>
      <c r="G54" s="6">
        <v>3142106839</v>
      </c>
      <c r="H54" s="5">
        <v>0</v>
      </c>
      <c r="I54" s="6">
        <v>3142106839</v>
      </c>
      <c r="J54" s="5">
        <v>0</v>
      </c>
      <c r="K54" s="5">
        <v>0</v>
      </c>
      <c r="L54" s="5">
        <v>0</v>
      </c>
    </row>
    <row r="55" spans="1:12">
      <c r="A55" s="10" t="b">
        <f t="shared" si="0"/>
        <v>1</v>
      </c>
      <c r="B55" s="5" t="str">
        <f>+Hoja2!A54</f>
        <v>3.1.02.101</v>
      </c>
      <c r="C55" s="5" t="s">
        <v>117</v>
      </c>
      <c r="D55" s="3" t="s">
        <v>118</v>
      </c>
      <c r="E55" s="6">
        <v>140247843</v>
      </c>
      <c r="F55" s="6">
        <v>5408771</v>
      </c>
      <c r="G55" s="6">
        <v>134839072</v>
      </c>
      <c r="H55" s="5">
        <v>0</v>
      </c>
      <c r="I55" s="5">
        <v>0</v>
      </c>
      <c r="J55" s="5">
        <v>0</v>
      </c>
      <c r="K55" s="6">
        <v>134839072</v>
      </c>
      <c r="L55" s="5">
        <v>0</v>
      </c>
    </row>
    <row r="56" spans="1:12">
      <c r="A56" s="10" t="b">
        <f t="shared" si="0"/>
        <v>1</v>
      </c>
      <c r="B56" s="5" t="str">
        <f>+Hoja2!A55</f>
        <v>3.1.02.102</v>
      </c>
      <c r="C56" s="5" t="s">
        <v>119</v>
      </c>
      <c r="D56" s="3" t="s">
        <v>120</v>
      </c>
      <c r="E56" s="6">
        <v>2172740</v>
      </c>
      <c r="F56" s="6">
        <v>967680</v>
      </c>
      <c r="G56" s="6">
        <v>1205060</v>
      </c>
      <c r="H56" s="5">
        <v>0</v>
      </c>
      <c r="I56" s="5">
        <v>0</v>
      </c>
      <c r="J56" s="5">
        <v>0</v>
      </c>
      <c r="K56" s="6">
        <v>1205060</v>
      </c>
      <c r="L56" s="5">
        <v>0</v>
      </c>
    </row>
    <row r="57" spans="1:12">
      <c r="A57" s="10" t="b">
        <f t="shared" si="0"/>
        <v>1</v>
      </c>
      <c r="B57" s="5" t="str">
        <f>+Hoja2!A56</f>
        <v>3.1.02.104</v>
      </c>
      <c r="C57" s="5" t="s">
        <v>121</v>
      </c>
      <c r="D57" s="3" t="s">
        <v>122</v>
      </c>
      <c r="E57" s="6">
        <v>764295</v>
      </c>
      <c r="F57" s="6">
        <v>306345</v>
      </c>
      <c r="G57" s="6">
        <v>457950</v>
      </c>
      <c r="H57" s="5">
        <v>0</v>
      </c>
      <c r="I57" s="5">
        <v>0</v>
      </c>
      <c r="J57" s="5">
        <v>0</v>
      </c>
      <c r="K57" s="6">
        <v>457950</v>
      </c>
      <c r="L57" s="5">
        <v>0</v>
      </c>
    </row>
    <row r="58" spans="1:12">
      <c r="A58" s="10" t="b">
        <f t="shared" si="0"/>
        <v>1</v>
      </c>
      <c r="B58" s="5" t="str">
        <f>+Hoja2!A57</f>
        <v>3.1.02.105</v>
      </c>
      <c r="C58" s="5" t="s">
        <v>123</v>
      </c>
      <c r="D58" s="3" t="s">
        <v>124</v>
      </c>
      <c r="E58" s="6">
        <v>9636092</v>
      </c>
      <c r="F58" s="6">
        <v>1564567</v>
      </c>
      <c r="G58" s="6">
        <v>8071525</v>
      </c>
      <c r="H58" s="5">
        <v>0</v>
      </c>
      <c r="I58" s="5">
        <v>0</v>
      </c>
      <c r="J58" s="5">
        <v>0</v>
      </c>
      <c r="K58" s="6">
        <v>8071525</v>
      </c>
      <c r="L58" s="5">
        <v>0</v>
      </c>
    </row>
    <row r="59" spans="1:12">
      <c r="A59" s="10" t="b">
        <f t="shared" si="0"/>
        <v>1</v>
      </c>
      <c r="B59" s="5" t="str">
        <f>+Hoja2!A58</f>
        <v>3.1.02.108</v>
      </c>
      <c r="C59" s="5" t="s">
        <v>125</v>
      </c>
      <c r="D59" s="3" t="s">
        <v>126</v>
      </c>
      <c r="E59" s="6">
        <v>1984340</v>
      </c>
      <c r="F59" s="6">
        <v>8318</v>
      </c>
      <c r="G59" s="6">
        <v>1976022</v>
      </c>
      <c r="H59" s="5">
        <v>0</v>
      </c>
      <c r="I59" s="5">
        <v>0</v>
      </c>
      <c r="J59" s="5">
        <v>0</v>
      </c>
      <c r="K59" s="6">
        <v>1976022</v>
      </c>
      <c r="L59" s="5">
        <v>0</v>
      </c>
    </row>
    <row r="60" spans="1:12">
      <c r="A60" s="10" t="b">
        <f t="shared" si="0"/>
        <v>1</v>
      </c>
      <c r="B60" s="5" t="str">
        <f>+Hoja2!A59</f>
        <v>3.1.02.109</v>
      </c>
      <c r="C60" s="5" t="s">
        <v>127</v>
      </c>
      <c r="D60" s="3" t="s">
        <v>128</v>
      </c>
      <c r="E60" s="6">
        <v>44990</v>
      </c>
      <c r="F60" s="5">
        <v>0</v>
      </c>
      <c r="G60" s="6">
        <v>44990</v>
      </c>
      <c r="H60" s="5">
        <v>0</v>
      </c>
      <c r="I60" s="5">
        <v>0</v>
      </c>
      <c r="J60" s="5">
        <v>0</v>
      </c>
      <c r="K60" s="6">
        <v>44990</v>
      </c>
      <c r="L60" s="5">
        <v>0</v>
      </c>
    </row>
    <row r="61" spans="1:12">
      <c r="A61" s="10" t="b">
        <f t="shared" si="0"/>
        <v>1</v>
      </c>
      <c r="B61" s="5" t="str">
        <f>+Hoja2!A60</f>
        <v>3.1.02.110</v>
      </c>
      <c r="C61" s="5" t="s">
        <v>129</v>
      </c>
      <c r="D61" s="3" t="s">
        <v>130</v>
      </c>
      <c r="E61" s="6">
        <v>46507</v>
      </c>
      <c r="F61" s="5">
        <v>0</v>
      </c>
      <c r="G61" s="6">
        <v>46507</v>
      </c>
      <c r="H61" s="5">
        <v>0</v>
      </c>
      <c r="I61" s="5">
        <v>0</v>
      </c>
      <c r="J61" s="5">
        <v>0</v>
      </c>
      <c r="K61" s="6">
        <v>46507</v>
      </c>
      <c r="L61" s="5">
        <v>0</v>
      </c>
    </row>
    <row r="62" spans="1:12">
      <c r="A62" s="10" t="b">
        <f t="shared" si="0"/>
        <v>1</v>
      </c>
      <c r="B62" s="5" t="str">
        <f>+Hoja2!A61</f>
        <v>3.1.05.101</v>
      </c>
      <c r="C62" s="5" t="s">
        <v>131</v>
      </c>
      <c r="D62" s="3" t="s">
        <v>132</v>
      </c>
      <c r="E62" s="6">
        <v>62966456</v>
      </c>
      <c r="F62" s="6">
        <v>17849305</v>
      </c>
      <c r="G62" s="6">
        <v>45117151</v>
      </c>
      <c r="H62" s="5">
        <v>0</v>
      </c>
      <c r="I62" s="5">
        <v>0</v>
      </c>
      <c r="J62" s="5">
        <v>0</v>
      </c>
      <c r="K62" s="6">
        <v>45117151</v>
      </c>
      <c r="L62" s="5">
        <v>0</v>
      </c>
    </row>
    <row r="63" spans="1:12">
      <c r="A63" s="10" t="b">
        <f t="shared" si="0"/>
        <v>1</v>
      </c>
      <c r="B63" s="5" t="str">
        <f>+Hoja2!A62</f>
        <v>3.1.05.102</v>
      </c>
      <c r="C63" s="5" t="s">
        <v>133</v>
      </c>
      <c r="D63" s="3" t="s">
        <v>134</v>
      </c>
      <c r="E63" s="6">
        <v>3506290</v>
      </c>
      <c r="F63" s="5">
        <v>0</v>
      </c>
      <c r="G63" s="6">
        <v>3506290</v>
      </c>
      <c r="H63" s="5">
        <v>0</v>
      </c>
      <c r="I63" s="5">
        <v>0</v>
      </c>
      <c r="J63" s="5">
        <v>0</v>
      </c>
      <c r="K63" s="6">
        <v>3506290</v>
      </c>
      <c r="L63" s="5">
        <v>0</v>
      </c>
    </row>
    <row r="64" spans="1:12">
      <c r="A64" s="10" t="b">
        <f t="shared" si="0"/>
        <v>1</v>
      </c>
      <c r="B64" s="5" t="str">
        <f>+Hoja2!A63</f>
        <v>3.1.05.103</v>
      </c>
      <c r="C64" s="5" t="s">
        <v>135</v>
      </c>
      <c r="D64" s="3" t="s">
        <v>136</v>
      </c>
      <c r="E64" s="6">
        <v>2100346</v>
      </c>
      <c r="F64" s="6">
        <v>445263</v>
      </c>
      <c r="G64" s="6">
        <v>1655083</v>
      </c>
      <c r="H64" s="5">
        <v>0</v>
      </c>
      <c r="I64" s="5">
        <v>0</v>
      </c>
      <c r="J64" s="5">
        <v>0</v>
      </c>
      <c r="K64" s="6">
        <v>1655083</v>
      </c>
      <c r="L64" s="5">
        <v>0</v>
      </c>
    </row>
    <row r="65" spans="1:12">
      <c r="A65" s="10" t="b">
        <f t="shared" si="0"/>
        <v>1</v>
      </c>
      <c r="B65" s="5" t="str">
        <f>+Hoja2!A64</f>
        <v>3.1.05.104</v>
      </c>
      <c r="C65" s="5" t="s">
        <v>137</v>
      </c>
      <c r="D65" s="3" t="s">
        <v>138</v>
      </c>
      <c r="E65" s="6">
        <v>12533440</v>
      </c>
      <c r="F65" s="6">
        <v>1949288</v>
      </c>
      <c r="G65" s="6">
        <v>10584152</v>
      </c>
      <c r="H65" s="5">
        <v>0</v>
      </c>
      <c r="I65" s="5">
        <v>0</v>
      </c>
      <c r="J65" s="5">
        <v>0</v>
      </c>
      <c r="K65" s="6">
        <v>10584152</v>
      </c>
      <c r="L65" s="5">
        <v>0</v>
      </c>
    </row>
    <row r="66" spans="1:12">
      <c r="A66" s="10" t="b">
        <f t="shared" ref="A66:A109" si="1">EXACT(C66,B66)</f>
        <v>1</v>
      </c>
      <c r="B66" s="5" t="str">
        <f>+Hoja2!A65</f>
        <v>3.1.05.107</v>
      </c>
      <c r="C66" s="5" t="s">
        <v>139</v>
      </c>
      <c r="D66" s="3" t="s">
        <v>140</v>
      </c>
      <c r="E66" s="6">
        <v>4000</v>
      </c>
      <c r="F66" s="5">
        <v>0</v>
      </c>
      <c r="G66" s="6">
        <v>4000</v>
      </c>
      <c r="H66" s="5">
        <v>0</v>
      </c>
      <c r="I66" s="5">
        <v>0</v>
      </c>
      <c r="J66" s="5">
        <v>0</v>
      </c>
      <c r="K66" s="6">
        <v>4000</v>
      </c>
      <c r="L66" s="5">
        <v>0</v>
      </c>
    </row>
    <row r="67" spans="1:12">
      <c r="A67" s="10" t="b">
        <f t="shared" si="1"/>
        <v>1</v>
      </c>
      <c r="B67" s="5" t="str">
        <f>+Hoja2!A66</f>
        <v>3.1.05.110</v>
      </c>
      <c r="C67" s="5" t="s">
        <v>141</v>
      </c>
      <c r="D67" s="3" t="s">
        <v>142</v>
      </c>
      <c r="E67" s="6">
        <v>756003</v>
      </c>
      <c r="F67" s="6">
        <v>155849</v>
      </c>
      <c r="G67" s="6">
        <v>600154</v>
      </c>
      <c r="H67" s="5">
        <v>0</v>
      </c>
      <c r="I67" s="5">
        <v>0</v>
      </c>
      <c r="J67" s="5">
        <v>0</v>
      </c>
      <c r="K67" s="6">
        <v>600154</v>
      </c>
      <c r="L67" s="5">
        <v>0</v>
      </c>
    </row>
    <row r="68" spans="1:12">
      <c r="A68" s="10" t="b">
        <f t="shared" si="1"/>
        <v>1</v>
      </c>
      <c r="B68" s="5" t="str">
        <f>+Hoja2!A67</f>
        <v>3.1.05.111</v>
      </c>
      <c r="C68" s="5" t="s">
        <v>143</v>
      </c>
      <c r="D68" s="3" t="s">
        <v>144</v>
      </c>
      <c r="E68" s="6">
        <v>1270552</v>
      </c>
      <c r="F68" s="6">
        <v>258071</v>
      </c>
      <c r="G68" s="6">
        <v>1012481</v>
      </c>
      <c r="H68" s="5">
        <v>0</v>
      </c>
      <c r="I68" s="5">
        <v>0</v>
      </c>
      <c r="J68" s="5">
        <v>0</v>
      </c>
      <c r="K68" s="6">
        <v>1012481</v>
      </c>
      <c r="L68" s="5">
        <v>0</v>
      </c>
    </row>
    <row r="69" spans="1:12">
      <c r="A69" s="10" t="b">
        <f t="shared" si="1"/>
        <v>1</v>
      </c>
      <c r="B69" s="5" t="str">
        <f>+Hoja2!A68</f>
        <v>3.1.05.112</v>
      </c>
      <c r="C69" s="5" t="s">
        <v>145</v>
      </c>
      <c r="D69" s="3" t="s">
        <v>146</v>
      </c>
      <c r="E69" s="6">
        <v>81254</v>
      </c>
      <c r="F69" s="6">
        <v>16759</v>
      </c>
      <c r="G69" s="6">
        <v>64495</v>
      </c>
      <c r="H69" s="5">
        <v>0</v>
      </c>
      <c r="I69" s="5">
        <v>0</v>
      </c>
      <c r="J69" s="5">
        <v>0</v>
      </c>
      <c r="K69" s="6">
        <v>64495</v>
      </c>
      <c r="L69" s="5">
        <v>0</v>
      </c>
    </row>
    <row r="70" spans="1:12">
      <c r="A70" s="10" t="b">
        <f t="shared" si="1"/>
        <v>1</v>
      </c>
      <c r="B70" s="5" t="str">
        <f>+Hoja2!A69</f>
        <v>3.1.05.113</v>
      </c>
      <c r="C70" s="5" t="s">
        <v>147</v>
      </c>
      <c r="D70" s="3" t="s">
        <v>148</v>
      </c>
      <c r="E70" s="6">
        <v>742542</v>
      </c>
      <c r="F70" s="6">
        <v>150824</v>
      </c>
      <c r="G70" s="6">
        <v>591718</v>
      </c>
      <c r="H70" s="5">
        <v>0</v>
      </c>
      <c r="I70" s="5">
        <v>0</v>
      </c>
      <c r="J70" s="5">
        <v>0</v>
      </c>
      <c r="K70" s="6">
        <v>591718</v>
      </c>
      <c r="L70" s="5">
        <v>0</v>
      </c>
    </row>
    <row r="71" spans="1:12">
      <c r="A71" s="10" t="b">
        <f t="shared" si="1"/>
        <v>1</v>
      </c>
      <c r="B71" s="5" t="str">
        <f>+Hoja2!A70</f>
        <v>3.1.05.117</v>
      </c>
      <c r="C71" s="5" t="s">
        <v>149</v>
      </c>
      <c r="D71" s="3" t="s">
        <v>150</v>
      </c>
      <c r="E71" s="6">
        <v>756324</v>
      </c>
      <c r="F71" s="5">
        <v>0</v>
      </c>
      <c r="G71" s="6">
        <v>756324</v>
      </c>
      <c r="H71" s="5">
        <v>0</v>
      </c>
      <c r="I71" s="5">
        <v>0</v>
      </c>
      <c r="J71" s="5">
        <v>0</v>
      </c>
      <c r="K71" s="6">
        <v>756324</v>
      </c>
      <c r="L71" s="5">
        <v>0</v>
      </c>
    </row>
    <row r="72" spans="1:12">
      <c r="A72" s="10" t="b">
        <f t="shared" si="1"/>
        <v>1</v>
      </c>
      <c r="B72" s="5" t="str">
        <f>+Hoja2!A71</f>
        <v>3.1.05.121</v>
      </c>
      <c r="C72" s="5" t="s">
        <v>151</v>
      </c>
      <c r="D72" s="3" t="s">
        <v>152</v>
      </c>
      <c r="E72" s="6">
        <v>1447552</v>
      </c>
      <c r="F72" s="5">
        <v>0</v>
      </c>
      <c r="G72" s="6">
        <v>1447552</v>
      </c>
      <c r="H72" s="5">
        <v>0</v>
      </c>
      <c r="I72" s="5">
        <v>0</v>
      </c>
      <c r="J72" s="5">
        <v>0</v>
      </c>
      <c r="K72" s="6">
        <v>1447552</v>
      </c>
      <c r="L72" s="5">
        <v>0</v>
      </c>
    </row>
    <row r="73" spans="1:12">
      <c r="A73" s="10" t="b">
        <f t="shared" si="1"/>
        <v>1</v>
      </c>
      <c r="B73" s="5" t="str">
        <f>+Hoja2!A72</f>
        <v>3.1.05.122</v>
      </c>
      <c r="C73" s="5" t="s">
        <v>153</v>
      </c>
      <c r="D73" s="3" t="s">
        <v>154</v>
      </c>
      <c r="E73" s="6">
        <v>6445321</v>
      </c>
      <c r="F73" s="5">
        <v>0</v>
      </c>
      <c r="G73" s="6">
        <v>6445321</v>
      </c>
      <c r="H73" s="5">
        <v>0</v>
      </c>
      <c r="I73" s="5">
        <v>0</v>
      </c>
      <c r="J73" s="5">
        <v>0</v>
      </c>
      <c r="K73" s="6">
        <v>6445321</v>
      </c>
      <c r="L73" s="5">
        <v>0</v>
      </c>
    </row>
    <row r="74" spans="1:12">
      <c r="A74" s="10" t="b">
        <f t="shared" si="1"/>
        <v>1</v>
      </c>
      <c r="B74" s="5" t="str">
        <f>+Hoja2!A73</f>
        <v>3.1.06.108</v>
      </c>
      <c r="C74" s="5" t="s">
        <v>155</v>
      </c>
      <c r="D74" s="3" t="s">
        <v>156</v>
      </c>
      <c r="E74" s="6">
        <v>3136500</v>
      </c>
      <c r="F74" s="6">
        <v>810000</v>
      </c>
      <c r="G74" s="6">
        <v>2326500</v>
      </c>
      <c r="H74" s="5">
        <v>0</v>
      </c>
      <c r="I74" s="5">
        <v>0</v>
      </c>
      <c r="J74" s="5">
        <v>0</v>
      </c>
      <c r="K74" s="6">
        <v>2326500</v>
      </c>
      <c r="L74" s="5">
        <v>0</v>
      </c>
    </row>
    <row r="75" spans="1:12">
      <c r="A75" s="10" t="b">
        <f t="shared" si="1"/>
        <v>1</v>
      </c>
      <c r="B75" s="5" t="str">
        <f>+Hoja2!A74</f>
        <v>3.1.06.109</v>
      </c>
      <c r="C75" s="5" t="s">
        <v>157</v>
      </c>
      <c r="D75" s="3" t="s">
        <v>158</v>
      </c>
      <c r="E75" s="6">
        <v>3136500</v>
      </c>
      <c r="F75" s="6">
        <v>810000</v>
      </c>
      <c r="G75" s="6">
        <v>2326500</v>
      </c>
      <c r="H75" s="5">
        <v>0</v>
      </c>
      <c r="I75" s="5">
        <v>0</v>
      </c>
      <c r="J75" s="5">
        <v>0</v>
      </c>
      <c r="K75" s="6">
        <v>2326500</v>
      </c>
      <c r="L75" s="5">
        <v>0</v>
      </c>
    </row>
    <row r="76" spans="1:12">
      <c r="A76" s="10" t="b">
        <f t="shared" si="1"/>
        <v>1</v>
      </c>
      <c r="B76" s="5" t="str">
        <f>+Hoja2!A75</f>
        <v>3.1.06.116</v>
      </c>
      <c r="C76" s="5" t="s">
        <v>159</v>
      </c>
      <c r="D76" s="3" t="s">
        <v>160</v>
      </c>
      <c r="E76" s="6">
        <v>257471</v>
      </c>
      <c r="F76" s="5">
        <v>0</v>
      </c>
      <c r="G76" s="6">
        <v>257471</v>
      </c>
      <c r="H76" s="5">
        <v>0</v>
      </c>
      <c r="I76" s="5">
        <v>0</v>
      </c>
      <c r="J76" s="5">
        <v>0</v>
      </c>
      <c r="K76" s="6">
        <v>257471</v>
      </c>
      <c r="L76" s="5">
        <v>0</v>
      </c>
    </row>
    <row r="77" spans="1:12">
      <c r="A77" s="10" t="b">
        <f t="shared" si="1"/>
        <v>1</v>
      </c>
      <c r="B77" s="5" t="str">
        <f>+Hoja2!A76</f>
        <v>3.1.06.201</v>
      </c>
      <c r="C77" s="5" t="s">
        <v>161</v>
      </c>
      <c r="D77" s="3" t="s">
        <v>162</v>
      </c>
      <c r="E77" s="6">
        <v>505000</v>
      </c>
      <c r="F77" s="5">
        <v>0</v>
      </c>
      <c r="G77" s="6">
        <v>505000</v>
      </c>
      <c r="H77" s="5">
        <v>0</v>
      </c>
      <c r="I77" s="5">
        <v>0</v>
      </c>
      <c r="J77" s="5">
        <v>0</v>
      </c>
      <c r="K77" s="6">
        <v>505000</v>
      </c>
      <c r="L77" s="5">
        <v>0</v>
      </c>
    </row>
    <row r="78" spans="1:12">
      <c r="A78" s="10" t="b">
        <f t="shared" si="1"/>
        <v>1</v>
      </c>
      <c r="B78" s="5" t="str">
        <f>+Hoja2!A77</f>
        <v>3.1.06.206</v>
      </c>
      <c r="C78" s="5" t="s">
        <v>163</v>
      </c>
      <c r="D78" s="3" t="s">
        <v>164</v>
      </c>
      <c r="E78" s="6">
        <v>6995194</v>
      </c>
      <c r="F78" s="6">
        <v>3893716</v>
      </c>
      <c r="G78" s="6">
        <v>3101478</v>
      </c>
      <c r="H78" s="5">
        <v>0</v>
      </c>
      <c r="I78" s="5">
        <v>0</v>
      </c>
      <c r="J78" s="5">
        <v>0</v>
      </c>
      <c r="K78" s="6">
        <v>3101478</v>
      </c>
      <c r="L78" s="5">
        <v>0</v>
      </c>
    </row>
    <row r="79" spans="1:12">
      <c r="A79" s="10" t="b">
        <f t="shared" si="1"/>
        <v>1</v>
      </c>
      <c r="B79" s="5" t="str">
        <f>+Hoja2!A78</f>
        <v>3.1.06.209</v>
      </c>
      <c r="C79" s="5" t="s">
        <v>165</v>
      </c>
      <c r="D79" s="3" t="s">
        <v>166</v>
      </c>
      <c r="E79" s="6">
        <v>179571</v>
      </c>
      <c r="F79" s="5">
        <v>0</v>
      </c>
      <c r="G79" s="6">
        <v>179571</v>
      </c>
      <c r="H79" s="5">
        <v>0</v>
      </c>
      <c r="I79" s="5">
        <v>0</v>
      </c>
      <c r="J79" s="5">
        <v>0</v>
      </c>
      <c r="K79" s="6">
        <v>179571</v>
      </c>
      <c r="L79" s="5">
        <v>0</v>
      </c>
    </row>
    <row r="80" spans="1:12">
      <c r="A80" s="10" t="b">
        <f t="shared" si="1"/>
        <v>1</v>
      </c>
      <c r="B80" s="5" t="str">
        <f>+Hoja2!A79</f>
        <v>3.1.06.301</v>
      </c>
      <c r="C80" s="5" t="s">
        <v>167</v>
      </c>
      <c r="D80" s="3" t="s">
        <v>168</v>
      </c>
      <c r="E80" s="6">
        <v>77626062</v>
      </c>
      <c r="F80" s="5">
        <v>0</v>
      </c>
      <c r="G80" s="6">
        <v>77626062</v>
      </c>
      <c r="H80" s="5">
        <v>0</v>
      </c>
      <c r="I80" s="5">
        <v>0</v>
      </c>
      <c r="J80" s="5">
        <v>0</v>
      </c>
      <c r="K80" s="6">
        <v>77626062</v>
      </c>
      <c r="L80" s="5">
        <v>0</v>
      </c>
    </row>
    <row r="81" spans="1:12">
      <c r="A81" s="10" t="b">
        <f t="shared" si="1"/>
        <v>1</v>
      </c>
      <c r="B81" s="5" t="str">
        <f>+Hoja2!A80</f>
        <v>3.1.06.302</v>
      </c>
      <c r="C81" s="5" t="s">
        <v>169</v>
      </c>
      <c r="D81" s="3" t="s">
        <v>170</v>
      </c>
      <c r="E81" s="6">
        <v>3126087</v>
      </c>
      <c r="F81" s="5">
        <v>0</v>
      </c>
      <c r="G81" s="6">
        <v>3126087</v>
      </c>
      <c r="H81" s="5">
        <v>0</v>
      </c>
      <c r="I81" s="5">
        <v>0</v>
      </c>
      <c r="J81" s="5">
        <v>0</v>
      </c>
      <c r="K81" s="6">
        <v>3126087</v>
      </c>
      <c r="L81" s="5">
        <v>0</v>
      </c>
    </row>
    <row r="82" spans="1:12">
      <c r="A82" s="10" t="b">
        <f t="shared" si="1"/>
        <v>1</v>
      </c>
      <c r="B82" s="5" t="str">
        <f>+Hoja2!A81</f>
        <v>3.1.06.305</v>
      </c>
      <c r="C82" s="5" t="s">
        <v>171</v>
      </c>
      <c r="D82" s="3" t="s">
        <v>172</v>
      </c>
      <c r="E82" s="6">
        <v>894169</v>
      </c>
      <c r="F82" s="6">
        <v>263120</v>
      </c>
      <c r="G82" s="6">
        <v>631049</v>
      </c>
      <c r="H82" s="5">
        <v>0</v>
      </c>
      <c r="I82" s="5">
        <v>0</v>
      </c>
      <c r="J82" s="5">
        <v>0</v>
      </c>
      <c r="K82" s="6">
        <v>631049</v>
      </c>
      <c r="L82" s="5">
        <v>0</v>
      </c>
    </row>
    <row r="83" spans="1:12">
      <c r="A83" s="10" t="b">
        <f t="shared" si="1"/>
        <v>1</v>
      </c>
      <c r="B83" s="5" t="str">
        <f>+Hoja2!A82</f>
        <v>3.1.06.401</v>
      </c>
      <c r="C83" s="5" t="s">
        <v>173</v>
      </c>
      <c r="D83" s="3" t="s">
        <v>174</v>
      </c>
      <c r="E83" s="6">
        <v>826138</v>
      </c>
      <c r="F83" s="5">
        <v>0</v>
      </c>
      <c r="G83" s="6">
        <v>826138</v>
      </c>
      <c r="H83" s="5">
        <v>0</v>
      </c>
      <c r="I83" s="5">
        <v>0</v>
      </c>
      <c r="J83" s="5">
        <v>0</v>
      </c>
      <c r="K83" s="6">
        <v>826138</v>
      </c>
      <c r="L83" s="5">
        <v>0</v>
      </c>
    </row>
    <row r="84" spans="1:12">
      <c r="A84" s="10" t="b">
        <f t="shared" si="1"/>
        <v>1</v>
      </c>
      <c r="B84" s="5" t="str">
        <f>+Hoja2!A83</f>
        <v>3.1.06.406</v>
      </c>
      <c r="C84" s="5" t="s">
        <v>175</v>
      </c>
      <c r="D84" s="3" t="s">
        <v>176</v>
      </c>
      <c r="E84" s="6">
        <v>131229</v>
      </c>
      <c r="F84" s="5">
        <v>0</v>
      </c>
      <c r="G84" s="6">
        <v>131229</v>
      </c>
      <c r="H84" s="5">
        <v>0</v>
      </c>
      <c r="I84" s="5">
        <v>0</v>
      </c>
      <c r="J84" s="5">
        <v>0</v>
      </c>
      <c r="K84" s="6">
        <v>131229</v>
      </c>
      <c r="L84" s="5">
        <v>0</v>
      </c>
    </row>
    <row r="85" spans="1:12">
      <c r="A85" s="10" t="b">
        <f t="shared" si="1"/>
        <v>1</v>
      </c>
      <c r="B85" s="5" t="str">
        <f>+Hoja2!A84</f>
        <v>3.1.06.501</v>
      </c>
      <c r="C85" s="5" t="s">
        <v>177</v>
      </c>
      <c r="D85" s="3" t="s">
        <v>178</v>
      </c>
      <c r="E85" s="6">
        <v>839257</v>
      </c>
      <c r="F85" s="5">
        <v>0</v>
      </c>
      <c r="G85" s="6">
        <v>839257</v>
      </c>
      <c r="H85" s="5">
        <v>0</v>
      </c>
      <c r="I85" s="5">
        <v>0</v>
      </c>
      <c r="J85" s="5">
        <v>0</v>
      </c>
      <c r="K85" s="6">
        <v>839257</v>
      </c>
      <c r="L85" s="5">
        <v>0</v>
      </c>
    </row>
    <row r="86" spans="1:12">
      <c r="A86" s="10" t="b">
        <f t="shared" si="1"/>
        <v>1</v>
      </c>
      <c r="B86" s="5" t="str">
        <f>+Hoja2!A85</f>
        <v>3.1.06.504</v>
      </c>
      <c r="C86" s="5" t="s">
        <v>179</v>
      </c>
      <c r="D86" s="3" t="s">
        <v>180</v>
      </c>
      <c r="E86" s="6">
        <v>1075489</v>
      </c>
      <c r="F86" s="5">
        <v>0</v>
      </c>
      <c r="G86" s="6">
        <v>1075489</v>
      </c>
      <c r="H86" s="5">
        <v>0</v>
      </c>
      <c r="I86" s="5">
        <v>0</v>
      </c>
      <c r="J86" s="5">
        <v>0</v>
      </c>
      <c r="K86" s="6">
        <v>1075489</v>
      </c>
      <c r="L86" s="5">
        <v>0</v>
      </c>
    </row>
    <row r="87" spans="1:12">
      <c r="A87" s="10" t="b">
        <f t="shared" si="1"/>
        <v>1</v>
      </c>
      <c r="B87" s="5" t="str">
        <f>+Hoja2!A86</f>
        <v>3.1.06.505</v>
      </c>
      <c r="C87" s="5" t="s">
        <v>181</v>
      </c>
      <c r="D87" s="3" t="s">
        <v>182</v>
      </c>
      <c r="E87" s="6">
        <v>420710</v>
      </c>
      <c r="F87" s="5">
        <v>0</v>
      </c>
      <c r="G87" s="6">
        <v>420710</v>
      </c>
      <c r="H87" s="5">
        <v>0</v>
      </c>
      <c r="I87" s="5">
        <v>0</v>
      </c>
      <c r="J87" s="5">
        <v>0</v>
      </c>
      <c r="K87" s="6">
        <v>420710</v>
      </c>
      <c r="L87" s="5">
        <v>0</v>
      </c>
    </row>
    <row r="88" spans="1:12">
      <c r="A88" s="10" t="b">
        <f t="shared" si="1"/>
        <v>1</v>
      </c>
      <c r="B88" s="5" t="str">
        <f>+Hoja2!A87</f>
        <v>3.1.06.506</v>
      </c>
      <c r="C88" s="5" t="s">
        <v>183</v>
      </c>
      <c r="D88" s="3" t="s">
        <v>184</v>
      </c>
      <c r="E88" s="6">
        <v>663414</v>
      </c>
      <c r="F88" s="5">
        <v>0</v>
      </c>
      <c r="G88" s="6">
        <v>663414</v>
      </c>
      <c r="H88" s="5">
        <v>0</v>
      </c>
      <c r="I88" s="5">
        <v>0</v>
      </c>
      <c r="J88" s="5">
        <v>0</v>
      </c>
      <c r="K88" s="6">
        <v>663414</v>
      </c>
      <c r="L88" s="5">
        <v>0</v>
      </c>
    </row>
    <row r="89" spans="1:12">
      <c r="A89" s="10" t="b">
        <f t="shared" si="1"/>
        <v>1</v>
      </c>
      <c r="B89" s="5" t="str">
        <f>+Hoja2!A88</f>
        <v>3.1.06.507</v>
      </c>
      <c r="C89" s="5" t="s">
        <v>185</v>
      </c>
      <c r="D89" s="3" t="s">
        <v>186</v>
      </c>
      <c r="E89" s="6">
        <v>61186</v>
      </c>
      <c r="F89" s="5">
        <v>0</v>
      </c>
      <c r="G89" s="6">
        <v>61186</v>
      </c>
      <c r="H89" s="5">
        <v>0</v>
      </c>
      <c r="I89" s="5">
        <v>0</v>
      </c>
      <c r="J89" s="5">
        <v>0</v>
      </c>
      <c r="K89" s="6">
        <v>61186</v>
      </c>
      <c r="L89" s="5">
        <v>0</v>
      </c>
    </row>
    <row r="90" spans="1:12">
      <c r="A90" s="10" t="b">
        <f t="shared" si="1"/>
        <v>1</v>
      </c>
      <c r="B90" s="5" t="str">
        <f>+Hoja2!A89</f>
        <v>3.1.06.601</v>
      </c>
      <c r="C90" s="5" t="s">
        <v>187</v>
      </c>
      <c r="D90" s="3" t="s">
        <v>188</v>
      </c>
      <c r="E90" s="6">
        <v>7893808</v>
      </c>
      <c r="F90" s="5">
        <v>0</v>
      </c>
      <c r="G90" s="6">
        <v>7893808</v>
      </c>
      <c r="H90" s="5">
        <v>0</v>
      </c>
      <c r="I90" s="5">
        <v>0</v>
      </c>
      <c r="J90" s="5">
        <v>0</v>
      </c>
      <c r="K90" s="6">
        <v>7893808</v>
      </c>
      <c r="L90" s="5">
        <v>0</v>
      </c>
    </row>
    <row r="91" spans="1:12">
      <c r="A91" s="10" t="b">
        <f t="shared" si="1"/>
        <v>1</v>
      </c>
      <c r="B91" s="5" t="str">
        <f>+Hoja2!A90</f>
        <v>3.1.06.602</v>
      </c>
      <c r="C91" s="5" t="s">
        <v>189</v>
      </c>
      <c r="D91" s="3" t="s">
        <v>190</v>
      </c>
      <c r="E91" s="6">
        <v>642168</v>
      </c>
      <c r="F91" s="5">
        <v>0</v>
      </c>
      <c r="G91" s="6">
        <v>642168</v>
      </c>
      <c r="H91" s="5">
        <v>0</v>
      </c>
      <c r="I91" s="5">
        <v>0</v>
      </c>
      <c r="J91" s="5">
        <v>0</v>
      </c>
      <c r="K91" s="6">
        <v>642168</v>
      </c>
      <c r="L91" s="5">
        <v>0</v>
      </c>
    </row>
    <row r="92" spans="1:12">
      <c r="A92" s="10" t="b">
        <f t="shared" si="1"/>
        <v>1</v>
      </c>
      <c r="B92" s="5" t="str">
        <f>+Hoja2!A91</f>
        <v>3.1.06.803</v>
      </c>
      <c r="C92" s="5" t="s">
        <v>191</v>
      </c>
      <c r="D92" s="3" t="s">
        <v>192</v>
      </c>
      <c r="E92" s="6">
        <v>371590</v>
      </c>
      <c r="F92" s="5">
        <v>0</v>
      </c>
      <c r="G92" s="6">
        <v>371590</v>
      </c>
      <c r="H92" s="5">
        <v>0</v>
      </c>
      <c r="I92" s="5">
        <v>0</v>
      </c>
      <c r="J92" s="5">
        <v>0</v>
      </c>
      <c r="K92" s="6">
        <v>371590</v>
      </c>
      <c r="L92" s="5">
        <v>0</v>
      </c>
    </row>
    <row r="93" spans="1:12">
      <c r="A93" s="10" t="b">
        <f t="shared" si="1"/>
        <v>1</v>
      </c>
      <c r="B93" s="5" t="str">
        <f>+Hoja2!A92</f>
        <v>3.1.06.806</v>
      </c>
      <c r="C93" s="5" t="s">
        <v>193</v>
      </c>
      <c r="D93" s="3" t="s">
        <v>194</v>
      </c>
      <c r="E93" s="6">
        <v>502259</v>
      </c>
      <c r="F93" s="5">
        <v>0</v>
      </c>
      <c r="G93" s="6">
        <v>502259</v>
      </c>
      <c r="H93" s="5">
        <v>0</v>
      </c>
      <c r="I93" s="5">
        <v>0</v>
      </c>
      <c r="J93" s="5">
        <v>0</v>
      </c>
      <c r="K93" s="6">
        <v>502259</v>
      </c>
      <c r="L93" s="5">
        <v>0</v>
      </c>
    </row>
    <row r="94" spans="1:12">
      <c r="A94" s="10" t="b">
        <f t="shared" si="1"/>
        <v>1</v>
      </c>
      <c r="B94" s="5" t="str">
        <f>+Hoja2!A93</f>
        <v>3.1.06.812</v>
      </c>
      <c r="C94" s="5" t="s">
        <v>195</v>
      </c>
      <c r="D94" s="3" t="s">
        <v>196</v>
      </c>
      <c r="E94" s="6">
        <v>2925416</v>
      </c>
      <c r="F94" s="6">
        <v>71660</v>
      </c>
      <c r="G94" s="6">
        <v>2853756</v>
      </c>
      <c r="H94" s="5">
        <v>0</v>
      </c>
      <c r="I94" s="5">
        <v>0</v>
      </c>
      <c r="J94" s="5">
        <v>0</v>
      </c>
      <c r="K94" s="6">
        <v>2853756</v>
      </c>
      <c r="L94" s="5">
        <v>0</v>
      </c>
    </row>
    <row r="95" spans="1:12">
      <c r="A95" s="10" t="b">
        <f t="shared" si="1"/>
        <v>1</v>
      </c>
      <c r="B95" s="5" t="str">
        <f>+Hoja2!A94</f>
        <v>3.1.06.813</v>
      </c>
      <c r="C95" s="5" t="s">
        <v>197</v>
      </c>
      <c r="D95" s="3" t="s">
        <v>198</v>
      </c>
      <c r="E95" s="6">
        <v>597458</v>
      </c>
      <c r="F95" s="5">
        <v>0</v>
      </c>
      <c r="G95" s="6">
        <v>597458</v>
      </c>
      <c r="H95" s="5">
        <v>0</v>
      </c>
      <c r="I95" s="5">
        <v>0</v>
      </c>
      <c r="J95" s="5">
        <v>0</v>
      </c>
      <c r="K95" s="6">
        <v>597458</v>
      </c>
      <c r="L95" s="5">
        <v>0</v>
      </c>
    </row>
    <row r="96" spans="1:12">
      <c r="A96" s="10" t="b">
        <f t="shared" si="1"/>
        <v>1</v>
      </c>
      <c r="B96" s="5" t="str">
        <f>+Hoja2!A95</f>
        <v>3.1.06.817</v>
      </c>
      <c r="C96" s="5" t="s">
        <v>199</v>
      </c>
      <c r="D96" s="3" t="s">
        <v>200</v>
      </c>
      <c r="E96" s="6">
        <v>868786</v>
      </c>
      <c r="F96" s="5">
        <v>0</v>
      </c>
      <c r="G96" s="6">
        <v>868786</v>
      </c>
      <c r="H96" s="5">
        <v>0</v>
      </c>
      <c r="I96" s="5">
        <v>0</v>
      </c>
      <c r="J96" s="5">
        <v>0</v>
      </c>
      <c r="K96" s="6">
        <v>868786</v>
      </c>
      <c r="L96" s="5">
        <v>0</v>
      </c>
    </row>
    <row r="97" spans="1:12">
      <c r="A97" s="10" t="b">
        <f t="shared" si="1"/>
        <v>1</v>
      </c>
      <c r="B97" s="5" t="str">
        <f>+Hoja2!A96</f>
        <v>3.1.06.818</v>
      </c>
      <c r="C97" s="5" t="s">
        <v>201</v>
      </c>
      <c r="D97" s="3" t="s">
        <v>202</v>
      </c>
      <c r="E97" s="6">
        <v>3506825</v>
      </c>
      <c r="F97" s="6">
        <v>357504</v>
      </c>
      <c r="G97" s="6">
        <v>3149321</v>
      </c>
      <c r="H97" s="5">
        <v>0</v>
      </c>
      <c r="I97" s="5">
        <v>0</v>
      </c>
      <c r="J97" s="5">
        <v>0</v>
      </c>
      <c r="K97" s="6">
        <v>3149321</v>
      </c>
      <c r="L97" s="5">
        <v>0</v>
      </c>
    </row>
    <row r="98" spans="1:12">
      <c r="A98" s="10" t="b">
        <f t="shared" si="1"/>
        <v>1</v>
      </c>
      <c r="B98" s="5" t="str">
        <f>+Hoja2!A97</f>
        <v>3.1.06.831</v>
      </c>
      <c r="C98" s="5" t="s">
        <v>203</v>
      </c>
      <c r="D98" s="3" t="s">
        <v>204</v>
      </c>
      <c r="E98" s="6">
        <v>268190</v>
      </c>
      <c r="F98" s="5">
        <v>0</v>
      </c>
      <c r="G98" s="6">
        <v>268190</v>
      </c>
      <c r="H98" s="5">
        <v>0</v>
      </c>
      <c r="I98" s="5">
        <v>0</v>
      </c>
      <c r="J98" s="5">
        <v>0</v>
      </c>
      <c r="K98" s="6">
        <v>268190</v>
      </c>
      <c r="L98" s="5">
        <v>0</v>
      </c>
    </row>
    <row r="99" spans="1:12">
      <c r="A99" s="10" t="b">
        <f t="shared" si="1"/>
        <v>1</v>
      </c>
      <c r="B99" s="5" t="str">
        <f>+Hoja2!A98</f>
        <v>3.1.06.837</v>
      </c>
      <c r="C99" s="5" t="s">
        <v>205</v>
      </c>
      <c r="D99" s="3" t="s">
        <v>206</v>
      </c>
      <c r="E99" s="6">
        <v>2094675</v>
      </c>
      <c r="F99" s="6">
        <v>1506417</v>
      </c>
      <c r="G99" s="6">
        <v>588258</v>
      </c>
      <c r="H99" s="5">
        <v>0</v>
      </c>
      <c r="I99" s="5">
        <v>0</v>
      </c>
      <c r="J99" s="5">
        <v>0</v>
      </c>
      <c r="K99" s="6">
        <v>588258</v>
      </c>
      <c r="L99" s="5">
        <v>0</v>
      </c>
    </row>
    <row r="100" spans="1:12">
      <c r="A100" s="10" t="b">
        <f t="shared" si="1"/>
        <v>1</v>
      </c>
      <c r="B100" s="5" t="str">
        <f>+Hoja2!A99</f>
        <v>3.1.07.822</v>
      </c>
      <c r="C100" s="5" t="s">
        <v>207</v>
      </c>
      <c r="D100" s="3" t="s">
        <v>208</v>
      </c>
      <c r="E100" s="6">
        <v>2114357</v>
      </c>
      <c r="F100" s="6">
        <v>27489</v>
      </c>
      <c r="G100" s="6">
        <v>2086868</v>
      </c>
      <c r="H100" s="5">
        <v>0</v>
      </c>
      <c r="I100" s="5">
        <v>0</v>
      </c>
      <c r="J100" s="5">
        <v>0</v>
      </c>
      <c r="K100" s="6">
        <v>2086868</v>
      </c>
      <c r="L100" s="5">
        <v>0</v>
      </c>
    </row>
    <row r="101" spans="1:12">
      <c r="A101" s="10" t="b">
        <f t="shared" si="1"/>
        <v>1</v>
      </c>
      <c r="B101" s="5" t="str">
        <f>+Hoja2!A100</f>
        <v>3.1.07.833</v>
      </c>
      <c r="C101" s="5" t="s">
        <v>209</v>
      </c>
      <c r="D101" s="3" t="s">
        <v>210</v>
      </c>
      <c r="E101" s="6">
        <v>1894972</v>
      </c>
      <c r="F101" s="6">
        <v>63900</v>
      </c>
      <c r="G101" s="6">
        <v>1831072</v>
      </c>
      <c r="H101" s="5">
        <v>0</v>
      </c>
      <c r="I101" s="5">
        <v>0</v>
      </c>
      <c r="J101" s="5">
        <v>0</v>
      </c>
      <c r="K101" s="6">
        <v>1831072</v>
      </c>
      <c r="L101" s="5">
        <v>0</v>
      </c>
    </row>
    <row r="102" spans="1:12">
      <c r="A102" s="10" t="b">
        <f t="shared" si="1"/>
        <v>1</v>
      </c>
      <c r="B102" s="5" t="str">
        <f>+Hoja2!A101</f>
        <v>3.1.08.701</v>
      </c>
      <c r="C102" s="5" t="s">
        <v>211</v>
      </c>
      <c r="D102" s="3" t="s">
        <v>212</v>
      </c>
      <c r="E102" s="6">
        <v>8846337</v>
      </c>
      <c r="F102" s="5">
        <v>0</v>
      </c>
      <c r="G102" s="6">
        <v>8846337</v>
      </c>
      <c r="H102" s="5">
        <v>0</v>
      </c>
      <c r="I102" s="5">
        <v>0</v>
      </c>
      <c r="J102" s="5">
        <v>0</v>
      </c>
      <c r="K102" s="6">
        <v>8846337</v>
      </c>
      <c r="L102" s="5">
        <v>0</v>
      </c>
    </row>
    <row r="103" spans="1:12">
      <c r="A103" s="10" t="b">
        <f t="shared" si="1"/>
        <v>1</v>
      </c>
      <c r="B103" s="5" t="str">
        <f>+Hoja2!A102</f>
        <v>3.2.08.105</v>
      </c>
      <c r="C103" s="5" t="s">
        <v>213</v>
      </c>
      <c r="D103" s="3" t="s">
        <v>214</v>
      </c>
      <c r="E103" s="6">
        <v>19305</v>
      </c>
      <c r="F103" s="5">
        <v>0</v>
      </c>
      <c r="G103" s="6">
        <v>19305</v>
      </c>
      <c r="H103" s="5">
        <v>0</v>
      </c>
      <c r="I103" s="5">
        <v>0</v>
      </c>
      <c r="J103" s="5">
        <v>0</v>
      </c>
      <c r="K103" s="6">
        <v>19305</v>
      </c>
      <c r="L103" s="5">
        <v>0</v>
      </c>
    </row>
    <row r="104" spans="1:12">
      <c r="A104" s="10" t="b">
        <f t="shared" si="1"/>
        <v>1</v>
      </c>
      <c r="B104" s="5" t="str">
        <f>+Hoja2!A103</f>
        <v>3.2.08.116</v>
      </c>
      <c r="C104" s="5" t="s">
        <v>215</v>
      </c>
      <c r="D104" s="3" t="s">
        <v>216</v>
      </c>
      <c r="E104" s="5">
        <v>0</v>
      </c>
      <c r="F104" s="6">
        <v>5791</v>
      </c>
      <c r="G104" s="5">
        <v>0</v>
      </c>
      <c r="H104" s="6">
        <v>5791</v>
      </c>
      <c r="I104" s="5">
        <v>0</v>
      </c>
      <c r="J104" s="5">
        <v>0</v>
      </c>
      <c r="K104" s="5">
        <v>0</v>
      </c>
      <c r="L104" s="6">
        <v>5791</v>
      </c>
    </row>
    <row r="105" spans="1:12">
      <c r="A105" s="10" t="b">
        <f t="shared" si="1"/>
        <v>1</v>
      </c>
      <c r="B105" s="5" t="str">
        <f>+Hoja2!A104</f>
        <v>3.2.11.158</v>
      </c>
      <c r="C105" s="5" t="s">
        <v>217</v>
      </c>
      <c r="D105" s="3" t="s">
        <v>218</v>
      </c>
      <c r="E105" s="6">
        <v>60116244</v>
      </c>
      <c r="F105" s="6">
        <v>84142138</v>
      </c>
      <c r="G105" s="5">
        <v>0</v>
      </c>
      <c r="H105" s="6">
        <v>24025894</v>
      </c>
      <c r="I105" s="5">
        <v>0</v>
      </c>
      <c r="J105" s="5">
        <v>0</v>
      </c>
      <c r="K105" s="5">
        <v>0</v>
      </c>
      <c r="L105" s="6">
        <v>24025894</v>
      </c>
    </row>
    <row r="106" spans="1:12">
      <c r="A106" s="10" t="b">
        <f t="shared" si="1"/>
        <v>1</v>
      </c>
      <c r="B106" s="5" t="str">
        <f>+Hoja2!A105</f>
        <v>3.2.13.101</v>
      </c>
      <c r="C106" s="5" t="s">
        <v>219</v>
      </c>
      <c r="D106" s="3" t="s">
        <v>220</v>
      </c>
      <c r="E106" s="6">
        <v>1746970</v>
      </c>
      <c r="F106" s="6">
        <v>1123173</v>
      </c>
      <c r="G106" s="6">
        <v>623797</v>
      </c>
      <c r="H106" s="5">
        <v>0</v>
      </c>
      <c r="I106" s="5">
        <v>0</v>
      </c>
      <c r="J106" s="5">
        <v>0</v>
      </c>
      <c r="K106" s="6">
        <v>623797</v>
      </c>
      <c r="L106" s="5">
        <v>0</v>
      </c>
    </row>
    <row r="107" spans="1:12">
      <c r="A107" s="10" t="b">
        <f t="shared" si="1"/>
        <v>1</v>
      </c>
      <c r="B107" s="5" t="str">
        <f>+Hoja2!A106</f>
        <v>3.2.13.109</v>
      </c>
      <c r="C107" s="5" t="s">
        <v>221</v>
      </c>
      <c r="D107" s="3" t="s">
        <v>222</v>
      </c>
      <c r="E107" s="5">
        <v>1</v>
      </c>
      <c r="F107" s="5">
        <v>67</v>
      </c>
      <c r="G107" s="5">
        <v>0</v>
      </c>
      <c r="H107" s="5">
        <v>66</v>
      </c>
      <c r="I107" s="5">
        <v>0</v>
      </c>
      <c r="J107" s="5">
        <v>0</v>
      </c>
      <c r="K107" s="5">
        <v>0</v>
      </c>
      <c r="L107" s="5">
        <v>66</v>
      </c>
    </row>
    <row r="108" spans="1:12">
      <c r="A108" s="10" t="b">
        <f t="shared" si="1"/>
        <v>1</v>
      </c>
      <c r="B108" s="5" t="str">
        <f>+Hoja2!A107</f>
        <v>3.1.01.103</v>
      </c>
      <c r="C108" s="5" t="s">
        <v>223</v>
      </c>
      <c r="D108" s="3" t="s">
        <v>224</v>
      </c>
      <c r="E108" s="6">
        <v>14544984</v>
      </c>
      <c r="F108" s="6">
        <v>261159276</v>
      </c>
      <c r="G108" s="5">
        <v>0</v>
      </c>
      <c r="H108" s="6">
        <v>246614292</v>
      </c>
      <c r="I108" s="5">
        <v>0</v>
      </c>
      <c r="J108" s="5">
        <v>0</v>
      </c>
      <c r="K108" s="5">
        <v>0</v>
      </c>
      <c r="L108" s="6">
        <v>246614292</v>
      </c>
    </row>
    <row r="109" spans="1:12">
      <c r="A109" s="10" t="b">
        <f t="shared" si="1"/>
        <v>1</v>
      </c>
      <c r="B109" s="5" t="str">
        <f>+Hoja2!A108</f>
        <v>3.1.01.300</v>
      </c>
      <c r="C109" s="5" t="s">
        <v>225</v>
      </c>
      <c r="D109" s="3" t="s">
        <v>226</v>
      </c>
      <c r="E109" s="5">
        <v>0</v>
      </c>
      <c r="F109" s="6">
        <v>3751074</v>
      </c>
      <c r="G109" s="5">
        <v>0</v>
      </c>
      <c r="H109" s="6">
        <v>3751074</v>
      </c>
      <c r="I109" s="5">
        <v>0</v>
      </c>
      <c r="J109" s="5">
        <v>0</v>
      </c>
      <c r="K109" s="5">
        <v>0</v>
      </c>
      <c r="L109" s="6">
        <v>3751074</v>
      </c>
    </row>
    <row r="111" spans="1:12">
      <c r="B111" s="5" t="s">
        <v>227</v>
      </c>
      <c r="D111" s="3" t="s">
        <v>228</v>
      </c>
      <c r="E111" s="6">
        <v>13771148536</v>
      </c>
      <c r="F111" s="5">
        <v>0</v>
      </c>
      <c r="G111" s="6">
        <v>7845421015</v>
      </c>
      <c r="H111" s="5">
        <v>0</v>
      </c>
      <c r="I111" s="6">
        <v>7501755054</v>
      </c>
      <c r="J111" s="5">
        <v>0</v>
      </c>
      <c r="K111" s="6">
        <v>343665961</v>
      </c>
      <c r="L111" s="5">
        <v>0</v>
      </c>
    </row>
    <row r="112" spans="1:12">
      <c r="B112" s="5" t="s">
        <v>227</v>
      </c>
      <c r="E112" s="5">
        <v>0</v>
      </c>
      <c r="F112" s="6">
        <v>13771148536</v>
      </c>
      <c r="G112" s="5">
        <v>0</v>
      </c>
      <c r="H112" s="6">
        <v>7845421015</v>
      </c>
      <c r="I112" s="5">
        <v>0</v>
      </c>
      <c r="J112" s="6">
        <v>7571023898</v>
      </c>
      <c r="K112" s="5">
        <v>0</v>
      </c>
      <c r="L112" s="6">
        <v>274397117</v>
      </c>
    </row>
    <row r="114" spans="2:12">
      <c r="B114" s="5" t="s">
        <v>227</v>
      </c>
      <c r="D114" s="3" t="s">
        <v>229</v>
      </c>
      <c r="E114" s="5">
        <v>0</v>
      </c>
      <c r="F114" s="5">
        <v>0</v>
      </c>
      <c r="G114" s="5">
        <v>0</v>
      </c>
      <c r="H114" s="5">
        <v>0</v>
      </c>
      <c r="I114" s="6">
        <v>69268844</v>
      </c>
      <c r="J114" s="5">
        <v>0</v>
      </c>
      <c r="K114" s="5">
        <v>0</v>
      </c>
      <c r="L114" s="5">
        <v>0</v>
      </c>
    </row>
    <row r="115" spans="2:12">
      <c r="B115" s="5" t="s">
        <v>227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6">
        <v>69268844</v>
      </c>
    </row>
    <row r="117" spans="2:12">
      <c r="B117" s="5" t="s">
        <v>227</v>
      </c>
      <c r="D117" s="3" t="s">
        <v>230</v>
      </c>
      <c r="E117" s="6">
        <v>13771148536</v>
      </c>
      <c r="F117" s="5">
        <v>0</v>
      </c>
      <c r="G117" s="6">
        <v>7845421015</v>
      </c>
      <c r="H117" s="5">
        <v>0</v>
      </c>
      <c r="I117" s="6">
        <v>7571023898</v>
      </c>
      <c r="J117" s="5">
        <v>0</v>
      </c>
      <c r="K117" s="6">
        <v>343665961</v>
      </c>
      <c r="L117" s="5">
        <v>0</v>
      </c>
    </row>
    <row r="118" spans="2:12">
      <c r="B118" s="5" t="s">
        <v>227</v>
      </c>
      <c r="E118" s="5">
        <v>0</v>
      </c>
      <c r="F118" s="6">
        <v>13771148536</v>
      </c>
      <c r="G118" s="5">
        <v>0</v>
      </c>
      <c r="H118" s="6">
        <v>7845421015</v>
      </c>
      <c r="I118" s="5">
        <v>0</v>
      </c>
      <c r="J118" s="6">
        <v>7571023898</v>
      </c>
      <c r="K118" s="5">
        <v>0</v>
      </c>
      <c r="L118" s="6">
        <v>343665961</v>
      </c>
    </row>
    <row r="30001" spans="1:12">
      <c r="A30001" s="3" t="e">
        <v>#N/A</v>
      </c>
      <c r="B30001" s="5" t="e">
        <v>#N/A</v>
      </c>
      <c r="C30001" s="5" t="e">
        <v>#N/A</v>
      </c>
      <c r="D30001" s="3" t="e">
        <v>#N/A</v>
      </c>
      <c r="E30001" s="5" t="e">
        <v>#N/A</v>
      </c>
      <c r="F30001" s="5" t="e">
        <v>#N/A</v>
      </c>
      <c r="G30001" s="5" t="e">
        <v>#N/A</v>
      </c>
      <c r="H30001" s="5" t="e">
        <v>#N/A</v>
      </c>
      <c r="I30001" s="5" t="e">
        <v>#N/A</v>
      </c>
      <c r="J30001" s="5" t="e">
        <v>#N/A</v>
      </c>
      <c r="K30001" s="5" t="e">
        <v>#N/A</v>
      </c>
      <c r="L30001" s="5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D278-F2E3-4ABD-8AE9-874E75DC3AF6}">
  <dimension ref="A1:A108"/>
  <sheetViews>
    <sheetView workbookViewId="0">
      <selection sqref="A1:A108"/>
    </sheetView>
  </sheetViews>
  <sheetFormatPr baseColWidth="10" defaultRowHeight="14"/>
  <sheetData>
    <row r="1" spans="1:1">
      <c r="A1" s="8" t="s">
        <v>11</v>
      </c>
    </row>
    <row r="2" spans="1:1">
      <c r="A2" s="8" t="s">
        <v>13</v>
      </c>
    </row>
    <row r="3" spans="1:1">
      <c r="A3" s="8" t="s">
        <v>15</v>
      </c>
    </row>
    <row r="4" spans="1:1">
      <c r="A4" s="8" t="s">
        <v>17</v>
      </c>
    </row>
    <row r="5" spans="1:1">
      <c r="A5" s="8" t="s">
        <v>19</v>
      </c>
    </row>
    <row r="6" spans="1:1">
      <c r="A6" s="8" t="s">
        <v>21</v>
      </c>
    </row>
    <row r="7" spans="1:1">
      <c r="A7" s="8" t="s">
        <v>23</v>
      </c>
    </row>
    <row r="8" spans="1:1">
      <c r="A8" s="8" t="s">
        <v>25</v>
      </c>
    </row>
    <row r="9" spans="1:1">
      <c r="A9" s="8" t="s">
        <v>27</v>
      </c>
    </row>
    <row r="10" spans="1:1">
      <c r="A10" s="8" t="s">
        <v>29</v>
      </c>
    </row>
    <row r="11" spans="1:1">
      <c r="A11" s="8" t="s">
        <v>31</v>
      </c>
    </row>
    <row r="12" spans="1:1">
      <c r="A12" s="8" t="s">
        <v>33</v>
      </c>
    </row>
    <row r="13" spans="1:1">
      <c r="A13" s="8" t="s">
        <v>35</v>
      </c>
    </row>
    <row r="14" spans="1:1">
      <c r="A14" s="8" t="s">
        <v>37</v>
      </c>
    </row>
    <row r="15" spans="1:1">
      <c r="A15" s="8" t="s">
        <v>39</v>
      </c>
    </row>
    <row r="16" spans="1:1">
      <c r="A16" s="8" t="s">
        <v>41</v>
      </c>
    </row>
    <row r="17" spans="1:1">
      <c r="A17" s="8" t="s">
        <v>43</v>
      </c>
    </row>
    <row r="18" spans="1:1">
      <c r="A18" s="8" t="s">
        <v>45</v>
      </c>
    </row>
    <row r="19" spans="1:1">
      <c r="A19" s="8" t="s">
        <v>47</v>
      </c>
    </row>
    <row r="20" spans="1:1">
      <c r="A20" s="8" t="s">
        <v>49</v>
      </c>
    </row>
    <row r="21" spans="1:1">
      <c r="A21" s="8" t="s">
        <v>51</v>
      </c>
    </row>
    <row r="22" spans="1:1">
      <c r="A22" s="8" t="s">
        <v>53</v>
      </c>
    </row>
    <row r="23" spans="1:1">
      <c r="A23" s="8" t="s">
        <v>55</v>
      </c>
    </row>
    <row r="24" spans="1:1">
      <c r="A24" s="8" t="s">
        <v>57</v>
      </c>
    </row>
    <row r="25" spans="1:1">
      <c r="A25" s="8" t="s">
        <v>59</v>
      </c>
    </row>
    <row r="26" spans="1:1">
      <c r="A26" s="8" t="s">
        <v>61</v>
      </c>
    </row>
    <row r="27" spans="1:1">
      <c r="A27" s="8" t="s">
        <v>63</v>
      </c>
    </row>
    <row r="28" spans="1:1">
      <c r="A28" s="8" t="s">
        <v>65</v>
      </c>
    </row>
    <row r="29" spans="1:1">
      <c r="A29" s="8" t="s">
        <v>67</v>
      </c>
    </row>
    <row r="30" spans="1:1">
      <c r="A30" s="8" t="s">
        <v>69</v>
      </c>
    </row>
    <row r="31" spans="1:1">
      <c r="A31" s="8" t="s">
        <v>71</v>
      </c>
    </row>
    <row r="32" spans="1:1">
      <c r="A32" s="8" t="s">
        <v>73</v>
      </c>
    </row>
    <row r="33" spans="1:1">
      <c r="A33" s="8" t="s">
        <v>75</v>
      </c>
    </row>
    <row r="34" spans="1:1">
      <c r="A34" s="8" t="s">
        <v>77</v>
      </c>
    </row>
    <row r="35" spans="1:1">
      <c r="A35" s="8" t="s">
        <v>79</v>
      </c>
    </row>
    <row r="36" spans="1:1">
      <c r="A36" s="8" t="s">
        <v>81</v>
      </c>
    </row>
    <row r="37" spans="1:1">
      <c r="A37" s="8" t="s">
        <v>83</v>
      </c>
    </row>
    <row r="38" spans="1:1">
      <c r="A38" s="8" t="s">
        <v>85</v>
      </c>
    </row>
    <row r="39" spans="1:1">
      <c r="A39" s="8" t="s">
        <v>87</v>
      </c>
    </row>
    <row r="40" spans="1:1">
      <c r="A40" s="8" t="s">
        <v>89</v>
      </c>
    </row>
    <row r="41" spans="1:1">
      <c r="A41" s="8" t="s">
        <v>91</v>
      </c>
    </row>
    <row r="42" spans="1:1">
      <c r="A42" s="8" t="s">
        <v>93</v>
      </c>
    </row>
    <row r="43" spans="1:1">
      <c r="A43" s="8" t="s">
        <v>95</v>
      </c>
    </row>
    <row r="44" spans="1:1">
      <c r="A44" s="8" t="s">
        <v>97</v>
      </c>
    </row>
    <row r="45" spans="1:1">
      <c r="A45" s="8" t="s">
        <v>99</v>
      </c>
    </row>
    <row r="46" spans="1:1">
      <c r="A46" s="8" t="s">
        <v>101</v>
      </c>
    </row>
    <row r="47" spans="1:1">
      <c r="A47" s="8" t="s">
        <v>103</v>
      </c>
    </row>
    <row r="48" spans="1:1">
      <c r="A48" s="8" t="s">
        <v>105</v>
      </c>
    </row>
    <row r="49" spans="1:1">
      <c r="A49" s="8" t="s">
        <v>107</v>
      </c>
    </row>
    <row r="50" spans="1:1">
      <c r="A50" s="8" t="s">
        <v>109</v>
      </c>
    </row>
    <row r="51" spans="1:1">
      <c r="A51" s="8" t="s">
        <v>111</v>
      </c>
    </row>
    <row r="52" spans="1:1">
      <c r="A52" s="8" t="s">
        <v>113</v>
      </c>
    </row>
    <row r="53" spans="1:1">
      <c r="A53" s="8" t="s">
        <v>115</v>
      </c>
    </row>
    <row r="54" spans="1:1">
      <c r="A54" s="7" t="s">
        <v>117</v>
      </c>
    </row>
    <row r="55" spans="1:1">
      <c r="A55" s="7" t="s">
        <v>119</v>
      </c>
    </row>
    <row r="56" spans="1:1">
      <c r="A56" s="7" t="s">
        <v>121</v>
      </c>
    </row>
    <row r="57" spans="1:1">
      <c r="A57" s="7" t="s">
        <v>123</v>
      </c>
    </row>
    <row r="58" spans="1:1">
      <c r="A58" s="7" t="s">
        <v>125</v>
      </c>
    </row>
    <row r="59" spans="1:1">
      <c r="A59" s="7" t="s">
        <v>127</v>
      </c>
    </row>
    <row r="60" spans="1:1">
      <c r="A60" s="7" t="s">
        <v>129</v>
      </c>
    </row>
    <row r="61" spans="1:1">
      <c r="A61" s="7" t="s">
        <v>131</v>
      </c>
    </row>
    <row r="62" spans="1:1">
      <c r="A62" s="7" t="s">
        <v>133</v>
      </c>
    </row>
    <row r="63" spans="1:1">
      <c r="A63" s="7" t="s">
        <v>135</v>
      </c>
    </row>
    <row r="64" spans="1:1">
      <c r="A64" s="7" t="s">
        <v>137</v>
      </c>
    </row>
    <row r="65" spans="1:1">
      <c r="A65" s="7" t="s">
        <v>139</v>
      </c>
    </row>
    <row r="66" spans="1:1">
      <c r="A66" s="7" t="s">
        <v>141</v>
      </c>
    </row>
    <row r="67" spans="1:1">
      <c r="A67" s="7" t="s">
        <v>143</v>
      </c>
    </row>
    <row r="68" spans="1:1">
      <c r="A68" s="7" t="s">
        <v>145</v>
      </c>
    </row>
    <row r="69" spans="1:1">
      <c r="A69" s="7" t="s">
        <v>147</v>
      </c>
    </row>
    <row r="70" spans="1:1">
      <c r="A70" s="7" t="s">
        <v>149</v>
      </c>
    </row>
    <row r="71" spans="1:1">
      <c r="A71" s="7" t="s">
        <v>151</v>
      </c>
    </row>
    <row r="72" spans="1:1">
      <c r="A72" s="7" t="s">
        <v>153</v>
      </c>
    </row>
    <row r="73" spans="1:1">
      <c r="A73" s="7" t="s">
        <v>155</v>
      </c>
    </row>
    <row r="74" spans="1:1">
      <c r="A74" s="7" t="s">
        <v>157</v>
      </c>
    </row>
    <row r="75" spans="1:1">
      <c r="A75" s="9" t="s">
        <v>159</v>
      </c>
    </row>
    <row r="76" spans="1:1">
      <c r="A76" s="7" t="s">
        <v>161</v>
      </c>
    </row>
    <row r="77" spans="1:1">
      <c r="A77" s="7" t="s">
        <v>163</v>
      </c>
    </row>
    <row r="78" spans="1:1">
      <c r="A78" s="7" t="s">
        <v>165</v>
      </c>
    </row>
    <row r="79" spans="1:1">
      <c r="A79" s="7" t="s">
        <v>167</v>
      </c>
    </row>
    <row r="80" spans="1:1">
      <c r="A80" s="7" t="s">
        <v>169</v>
      </c>
    </row>
    <row r="81" spans="1:1">
      <c r="A81" s="7" t="s">
        <v>171</v>
      </c>
    </row>
    <row r="82" spans="1:1">
      <c r="A82" s="7" t="s">
        <v>173</v>
      </c>
    </row>
    <row r="83" spans="1:1">
      <c r="A83" s="7" t="s">
        <v>175</v>
      </c>
    </row>
    <row r="84" spans="1:1">
      <c r="A84" s="7" t="s">
        <v>177</v>
      </c>
    </row>
    <row r="85" spans="1:1">
      <c r="A85" s="7" t="s">
        <v>179</v>
      </c>
    </row>
    <row r="86" spans="1:1">
      <c r="A86" s="7" t="s">
        <v>181</v>
      </c>
    </row>
    <row r="87" spans="1:1">
      <c r="A87" s="7" t="s">
        <v>183</v>
      </c>
    </row>
    <row r="88" spans="1:1">
      <c r="A88" s="7" t="s">
        <v>185</v>
      </c>
    </row>
    <row r="89" spans="1:1">
      <c r="A89" s="7" t="s">
        <v>187</v>
      </c>
    </row>
    <row r="90" spans="1:1">
      <c r="A90" s="7" t="s">
        <v>189</v>
      </c>
    </row>
    <row r="91" spans="1:1">
      <c r="A91" s="7" t="s">
        <v>191</v>
      </c>
    </row>
    <row r="92" spans="1:1">
      <c r="A92" s="7" t="s">
        <v>193</v>
      </c>
    </row>
    <row r="93" spans="1:1">
      <c r="A93" s="7" t="s">
        <v>195</v>
      </c>
    </row>
    <row r="94" spans="1:1">
      <c r="A94" s="7" t="s">
        <v>197</v>
      </c>
    </row>
    <row r="95" spans="1:1">
      <c r="A95" s="7" t="s">
        <v>199</v>
      </c>
    </row>
    <row r="96" spans="1:1">
      <c r="A96" s="7" t="s">
        <v>201</v>
      </c>
    </row>
    <row r="97" spans="1:1">
      <c r="A97" s="7" t="s">
        <v>203</v>
      </c>
    </row>
    <row r="98" spans="1:1">
      <c r="A98" s="7" t="s">
        <v>205</v>
      </c>
    </row>
    <row r="99" spans="1:1">
      <c r="A99" s="7" t="s">
        <v>207</v>
      </c>
    </row>
    <row r="100" spans="1:1">
      <c r="A100" s="9" t="s">
        <v>209</v>
      </c>
    </row>
    <row r="101" spans="1:1">
      <c r="A101" s="7" t="s">
        <v>211</v>
      </c>
    </row>
    <row r="102" spans="1:1">
      <c r="A102" s="7" t="s">
        <v>213</v>
      </c>
    </row>
    <row r="103" spans="1:1">
      <c r="A103" s="7" t="s">
        <v>215</v>
      </c>
    </row>
    <row r="104" spans="1:1">
      <c r="A104" s="7" t="s">
        <v>217</v>
      </c>
    </row>
    <row r="105" spans="1:1">
      <c r="A105" s="7" t="s">
        <v>219</v>
      </c>
    </row>
    <row r="106" spans="1:1">
      <c r="A106" s="7" t="s">
        <v>221</v>
      </c>
    </row>
    <row r="107" spans="1:1">
      <c r="A107" s="7" t="s">
        <v>223</v>
      </c>
    </row>
    <row r="108" spans="1:1">
      <c r="A108" s="7" t="s">
        <v>225</v>
      </c>
    </row>
  </sheetData>
  <hyperlinks>
    <hyperlink ref="A1" location="'Cajas y Bancos'!A1" display="1.1.01.101" xr:uid="{C0B6F68F-B002-48BC-B45E-2A297545D49F}"/>
    <hyperlink ref="A2" location="'Cajas y Bancos'!A1" display="1.1.01.203" xr:uid="{27DEC780-332B-4CC8-85CE-C0D9427C3D7D}"/>
    <hyperlink ref="A3" location="'Cajas y Bancos'!A1" display="1.1.01.204" xr:uid="{FAF47476-B0E8-46CC-A5EE-595FCA4E8714}"/>
    <hyperlink ref="A4" location="'Cajas y Bancos'!A1" display="1.1.01.205" xr:uid="{E8C2DD7D-D27F-4788-B755-8A2531333115}"/>
    <hyperlink ref="A5" location="'Cajas y Bancos'!A1" display="1.1.01.206" xr:uid="{EF25AA04-869F-4EFE-B64C-2CDD5E3AAA62}"/>
    <hyperlink ref="A6" location="'Cajas y Bancos'!A1" display="1.1.01.207" xr:uid="{EE6502A2-430E-4329-9CA0-747FF7F01F17}"/>
    <hyperlink ref="A7" location="'Cajas y Bancos'!A1" display="1.1.01.208" xr:uid="{1CCB1843-A079-4B3F-964E-CF5CB13E314C}"/>
    <hyperlink ref="A11" location="'Cajas y Bancos'!A1" display="1.1.01.209" xr:uid="{9E318BE0-0210-4D2A-9E2B-9F0CA9EC9432}"/>
    <hyperlink ref="A12" location="'Cajas y Bancos'!A1" display="1.1.01.301" xr:uid="{257EF075-AE42-427A-9535-194983F3DB20}"/>
    <hyperlink ref="A13" location="'Cajas y Bancos'!A1" display="1.1.01.302" xr:uid="{1D1A5CD1-29C2-43C5-9A21-835E6ECF3FE5}"/>
    <hyperlink ref="A14" location="'Cajas y Bancos'!A1" display="1.1.02.106" xr:uid="{807DA19E-72F5-4DFD-A863-B0CBC011CA5A}"/>
    <hyperlink ref="A15" location="'Derechos de arrendamiento'!A1" display="1.1.03.201" xr:uid="{070AAADB-962C-4B87-A28C-52134DE116E9}"/>
    <hyperlink ref="A16" location="Clientes!A1" display="1.1.04.102" xr:uid="{D7C021CF-F698-45EC-9E8B-A1C45870C7FE}"/>
    <hyperlink ref="A17" location="'Pagos Anticipados'!A1" display="1.1.04.104" xr:uid="{FB2146CA-A3C3-43A5-A4D8-978A0FFE1C80}"/>
    <hyperlink ref="A18" location="'Deudores Diversos'!A1" display="1.1.04.105" xr:uid="{A2450BB9-CEE6-419E-AD29-F7727082159C}"/>
    <hyperlink ref="A19" location="'Deudores Diversos'!A1" display="1.1.04.106" xr:uid="{4973DE54-ED15-4DF3-85C8-FEA74004D421}"/>
    <hyperlink ref="A21" location="'Deudores Diversos'!A1" display="1.1.04.109" xr:uid="{93664D92-AA52-4568-B662-2B7E4A98314D}"/>
    <hyperlink ref="A24" location="'Deudores Diversos'!A1" display="1.1.04.200" xr:uid="{FF1C5F76-0819-4ADA-9AE5-72B72AA2CE70}"/>
    <hyperlink ref="A25" location="'Pagos Anticipados'!A1" display="1.1.05.403" xr:uid="{B38C1C75-DE03-4215-BAB1-431A07261B70}"/>
    <hyperlink ref="A26" location="'Pagos Anticipados'!A1" display="1.1.05.405" xr:uid="{66991AAB-ECE6-4F49-AC50-8FCD575FFA35}"/>
    <hyperlink ref="A27" location="Inventarios!A1" display="1.1.06.401" xr:uid="{F4EABD4C-5248-40B7-9F30-D2412EF6B454}"/>
    <hyperlink ref="A28" location="Inventarios!A1" display="1.1.06.801" xr:uid="{E7BDA6CA-79FD-4FF5-A6F9-B4B5DC506797}"/>
    <hyperlink ref="A29" location="Inventarios!A1" display="1.1.06.802" xr:uid="{B013E647-942E-435A-B91E-BAA86E876FA6}"/>
    <hyperlink ref="A30" location="'Impuestos a favor'!A1" display="1.1.09.101" xr:uid="{8FB9B359-1ABC-4E50-94DC-8B86DE4F4C64}"/>
    <hyperlink ref="A31" location="'Impuestos a favor'!A1" display="1.1.09.103" xr:uid="{CB4D1D73-B128-4215-99E6-F4FE5C1B9C06}"/>
    <hyperlink ref="A32" location="'Derechos de arrendamiento'!A1" display="1.2.02.101" xr:uid="{32F22431-919A-458D-A9FB-C10A1AB8F06A}"/>
    <hyperlink ref="A33" location="'Activo fijo'!A1" display="1.2.02.401" xr:uid="{94E4FDCD-6B55-47B4-B898-8406EAE4D351}"/>
    <hyperlink ref="A34" location="'Activo fijo'!A1" display="1.2.02.402" xr:uid="{87BD121C-2DBB-4512-B735-634B540B28F7}"/>
    <hyperlink ref="A36" location="'Activo fijo'!A1" display="1.2.02.904" xr:uid="{D2D827E8-F6DA-4628-93D4-6A91C06B6790}"/>
    <hyperlink ref="A37" location="'Activo fijo'!A1" display="1.2.02.905" xr:uid="{AEF767D2-87BE-47E4-B021-3D3C11B71A70}"/>
    <hyperlink ref="A38" location="'Acreedores diversos (prestamo)'!A1" display="2.1.01.203" xr:uid="{4697E371-DB05-4B70-8FC7-56CF59B950E5}"/>
    <hyperlink ref="A40" location="'Acreedores Diversos'!A1" display="2.1.01.601" xr:uid="{AD67180F-71D2-4FF8-BED7-85C1D43333AF}"/>
    <hyperlink ref="A41" location="'Cuentas por pagar EERR'!A1" display="2.1.02.102" xr:uid="{478350FE-4E50-47C4-B655-78012B7902F9}"/>
    <hyperlink ref="A42" location="Proveedores!A1" display="2.1.02.103" xr:uid="{59590D6E-7541-4BEC-8449-A887068F5476}"/>
    <hyperlink ref="A43" location="Proveedores!A1" display="2.1.02.401" xr:uid="{E8D48828-7756-4734-94A6-5EFB38280877}"/>
    <hyperlink ref="A44" location="'Impuestos nómina'!A1" display="2.1.02.503" xr:uid="{27E59FFE-360D-49AE-9722-125C91A811E2}"/>
    <hyperlink ref="A45" location="Proveedores!A1" display="2.1.02.604" xr:uid="{6595DE74-2FA1-4E38-AAB9-DFDB97B18F60}"/>
    <hyperlink ref="A46" location="'Otros Pasivos'!A1" display="2.1.02.605" xr:uid="{28F2AC0F-CB87-4D20-A9E1-C8F3C28D5548}"/>
    <hyperlink ref="A47" location="'IVA por pagar del mes'!A1" display="2.1.05.101" xr:uid="{2C583B59-888B-4004-9E28-C443AC4D2450}"/>
    <hyperlink ref="A48" location="'IVA por pagar del mes'!A1" display="2.1.05.102" xr:uid="{2808734C-ABB9-4237-B6FC-5A260178BB7E}"/>
    <hyperlink ref="A49" location="'IVA por pagar del mes'!A1" display="2.1.05.103" xr:uid="{59626565-7A76-4BC9-987B-98825C79DFE2}"/>
    <hyperlink ref="A50" location="'IVA por pagar del mes'!A1" display="2.1.05.106" xr:uid="{474CD37F-F375-4C1C-9C5C-34FADE35266A}"/>
    <hyperlink ref="A51" location="'Otros Pasivos'!A1" display="2.1.06.103" xr:uid="{1D6AD34A-F4DC-4EBD-AE2F-7AB7A92967B6}"/>
    <hyperlink ref="A52" location="Patrimonio!A1" display="2.3.01.101" xr:uid="{D1EFE023-3721-4A94-8659-942F5C7B1982}"/>
    <hyperlink ref="A53" location="Patrimonio!A1" display="2.3.02.101" xr:uid="{EB6F99FE-3271-4A11-9579-A00428FAF5DE}"/>
    <hyperlink ref="A8" location="'Cajas y Bancos'!A1" display="1.1.01.209" xr:uid="{9D4C46F0-FA40-47A5-90C6-C8CA4A1D65D3}"/>
    <hyperlink ref="A9" location="'Cajas y Bancos'!A1" display="1.1.01.209" xr:uid="{BC669CA4-8D3B-4C1D-8330-DCA9EF392D06}"/>
    <hyperlink ref="A35" location="'Activo fijo'!A1" display="1.2.02.404" xr:uid="{89D114AC-90CC-4F20-88DC-A7A8D7D2B307}"/>
    <hyperlink ref="A10" location="'Cajas y Bancos'!A1" display="1.1.01.209" xr:uid="{26ADDEC5-FBE1-4861-B7D3-20456E93DE5E}"/>
    <hyperlink ref="A39" location="'Acreedores Diversos'!A1" display="2.1.01.601" xr:uid="{BCFEEA75-D0DE-4D8E-B2B4-A5FBAF205F2C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4311-5EC8-431A-BE21-39177456398C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7967C7-0144-43EF-A2A0-355EF3777205}"/>
</file>

<file path=customXml/itemProps2.xml><?xml version="1.0" encoding="utf-8"?>
<ds:datastoreItem xmlns:ds="http://schemas.openxmlformats.org/officeDocument/2006/customXml" ds:itemID="{2D21AE26-8083-4FAB-891D-5B9D65585159}"/>
</file>

<file path=customXml/itemProps3.xml><?xml version="1.0" encoding="utf-8"?>
<ds:datastoreItem xmlns:ds="http://schemas.openxmlformats.org/officeDocument/2006/customXml" ds:itemID="{25706E07-755E-4516-830A-898ECA2E3D26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2026-02-16T23:59:24Z</dcterms:created>
  <dcterms:modified xsi:type="dcterms:W3CDTF">2026-02-17T00:06:53Z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