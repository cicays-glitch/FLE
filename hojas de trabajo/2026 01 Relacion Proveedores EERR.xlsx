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65" documentId="8_{A836857F-A2E8-47DA-9905-6D90F0638534}" xr6:coauthVersionLast="47" xr6:coauthVersionMax="47" xr10:uidLastSave="{3A522308-4F0F-4490-9682-F76765AB5C63}"/>
  <bookViews>
    <workbookView xWindow="20547" yWindow="6039" windowWidth="20643" windowHeight="4997" xr2:uid="{AC09710A-678A-4A74-9F63-B77351BBEB60}"/>
  </bookViews>
  <sheets>
    <sheet name="DETALLE" sheetId="1" r:id="rId1"/>
    <sheet name="EERR" sheetId="8" r:id="rId2"/>
  </sheets>
  <definedNames>
    <definedName name="_xlnm._FilterDatabase" localSheetId="1" hidden="1">EERR!$A$1:$E$29908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3" i="1" l="1"/>
  <c r="BZ32" i="1"/>
  <c r="O28" i="1"/>
  <c r="F9" i="1"/>
  <c r="AD9" i="1"/>
  <c r="F7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4" i="1"/>
  <c r="F53" i="1" l="1"/>
  <c r="F39" i="1"/>
  <c r="G39" i="1" s="1"/>
  <c r="I57" i="8"/>
  <c r="I58" i="8"/>
  <c r="I59" i="8"/>
  <c r="I60" i="8"/>
  <c r="I61" i="8"/>
  <c r="I62" i="8"/>
  <c r="I63" i="8"/>
  <c r="I54" i="8"/>
  <c r="I55" i="8"/>
  <c r="I56" i="8"/>
  <c r="I46" i="8"/>
  <c r="I47" i="8"/>
  <c r="I48" i="8"/>
  <c r="I49" i="8"/>
  <c r="I50" i="8"/>
  <c r="I51" i="8"/>
  <c r="I52" i="8"/>
  <c r="I53" i="8"/>
  <c r="I42" i="8"/>
  <c r="I43" i="8"/>
  <c r="I44" i="8"/>
  <c r="I45" i="8"/>
  <c r="I37" i="8"/>
  <c r="I38" i="8"/>
  <c r="I39" i="8"/>
  <c r="I40" i="8"/>
  <c r="I41" i="8"/>
  <c r="I33" i="8"/>
  <c r="I34" i="8"/>
  <c r="I35" i="8"/>
  <c r="I36" i="8"/>
  <c r="I28" i="8"/>
  <c r="I29" i="8"/>
  <c r="I30" i="8"/>
  <c r="I31" i="8"/>
  <c r="I32" i="8"/>
  <c r="I19" i="8"/>
  <c r="I20" i="8"/>
  <c r="I21" i="8"/>
  <c r="I22" i="8"/>
  <c r="I23" i="8"/>
  <c r="I24" i="8"/>
  <c r="I25" i="8"/>
  <c r="I26" i="8"/>
  <c r="I27" i="8"/>
  <c r="I14" i="8"/>
  <c r="I15" i="8"/>
  <c r="I16" i="8"/>
  <c r="I17" i="8"/>
  <c r="I18" i="8"/>
  <c r="I7" i="8"/>
  <c r="I8" i="8"/>
  <c r="I9" i="8"/>
  <c r="I10" i="8"/>
  <c r="I11" i="8"/>
  <c r="I12" i="8"/>
  <c r="I13" i="8"/>
  <c r="I6" i="8"/>
  <c r="I3" i="8"/>
  <c r="I4" i="8"/>
  <c r="I5" i="8"/>
  <c r="I2" i="8"/>
  <c r="F32" i="1"/>
  <c r="F51" i="1"/>
  <c r="G51" i="1" s="1"/>
  <c r="F8" i="1"/>
  <c r="F10" i="1"/>
  <c r="F28" i="1"/>
  <c r="F29" i="1"/>
  <c r="F30" i="1"/>
  <c r="F31" i="1"/>
  <c r="F33" i="1"/>
  <c r="F34" i="1"/>
  <c r="F35" i="1"/>
  <c r="F36" i="1"/>
  <c r="F37" i="1"/>
  <c r="F38" i="1"/>
  <c r="G38" i="1" s="1"/>
  <c r="F40" i="1"/>
  <c r="G40" i="1" s="1"/>
  <c r="F41" i="1"/>
  <c r="F42" i="1"/>
  <c r="F43" i="1"/>
  <c r="F44" i="1"/>
  <c r="F45" i="1"/>
  <c r="F46" i="1"/>
  <c r="F47" i="1"/>
  <c r="F48" i="1"/>
  <c r="G48" i="1" s="1"/>
  <c r="F49" i="1"/>
  <c r="F50" i="1"/>
  <c r="F52" i="1"/>
  <c r="F54" i="1"/>
  <c r="F55" i="1"/>
  <c r="F56" i="1"/>
  <c r="F57" i="1"/>
  <c r="G49" i="1" l="1"/>
  <c r="G42" i="1" l="1"/>
  <c r="G43" i="1"/>
  <c r="G44" i="1"/>
  <c r="G45" i="1"/>
  <c r="G46" i="1"/>
  <c r="G47" i="1"/>
  <c r="G50" i="1"/>
  <c r="G52" i="1"/>
  <c r="G53" i="1"/>
  <c r="G54" i="1"/>
  <c r="G55" i="1"/>
  <c r="G56" i="1"/>
  <c r="G57" i="1"/>
  <c r="G41" i="1"/>
  <c r="G33" i="1"/>
  <c r="G36" i="1"/>
  <c r="G29" i="1"/>
  <c r="G30" i="1"/>
  <c r="G31" i="1"/>
  <c r="G32" i="1"/>
  <c r="G34" i="1"/>
  <c r="G35" i="1"/>
  <c r="G37" i="1"/>
  <c r="G28" i="1"/>
  <c r="G7" i="1" l="1"/>
  <c r="G8" i="1"/>
  <c r="G9" i="1"/>
  <c r="G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AP9" authorId="0" shapeId="0" xr:uid="{1E3378C0-4677-4E15-8B9A-B46DCAD921FA}">
      <text>
        <r>
          <rPr>
            <b/>
            <sz val="9"/>
            <color indexed="81"/>
            <rFont val="Tahoma"/>
            <charset val="1"/>
          </rPr>
          <t>Carolina Cabrera:</t>
        </r>
        <r>
          <rPr>
            <sz val="9"/>
            <color indexed="81"/>
            <rFont val="Tahoma"/>
            <charset val="1"/>
          </rPr>
          <t xml:space="preserve">
nota de redito f424422
</t>
        </r>
      </text>
    </comment>
    <comment ref="AS9" authorId="0" shapeId="0" xr:uid="{2C5A73E5-5394-449C-B4F1-3A14C0521BDC}">
      <text>
        <r>
          <rPr>
            <b/>
            <sz val="9"/>
            <color indexed="81"/>
            <rFont val="Tahoma"/>
            <charset val="1"/>
          </rPr>
          <t>Carolina Cabrera:</t>
        </r>
        <r>
          <rPr>
            <sz val="9"/>
            <color indexed="81"/>
            <rFont val="Tahoma"/>
            <charset val="1"/>
          </rPr>
          <t xml:space="preserve">
reverso porque factura se ingreso como gasto y debia rebajr provision</t>
        </r>
      </text>
    </comment>
  </commentList>
</comments>
</file>

<file path=xl/sharedStrings.xml><?xml version="1.0" encoding="utf-8"?>
<sst xmlns="http://schemas.openxmlformats.org/spreadsheetml/2006/main" count="731" uniqueCount="241">
  <si>
    <t>CUENTA</t>
  </si>
  <si>
    <t>DESCRIPCION</t>
  </si>
  <si>
    <t>Totales</t>
  </si>
  <si>
    <t>3.1.01.101</t>
  </si>
  <si>
    <t>VENTAS CON BOLETA</t>
  </si>
  <si>
    <t>3.1.01.102</t>
  </si>
  <si>
    <t>VENTAS CON FACTURA</t>
  </si>
  <si>
    <t>3.1.01.103</t>
  </si>
  <si>
    <t>VENTAS CON BOLETA (RPA)</t>
  </si>
  <si>
    <t>DESCUENTOS GIFTCARD</t>
  </si>
  <si>
    <t>3.1.01.300</t>
  </si>
  <si>
    <t>OTROS INGRESOS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</si>
  <si>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</si>
  <si>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</si>
  <si>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</si>
  <si>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</si>
  <si>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</si>
  <si>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</si>
  <si>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</si>
  <si>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</si>
  <si>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</si>
  <si>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</si>
  <si>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</si>
  <si>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</si>
  <si>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</si>
  <si>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</si>
  <si>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</si>
  <si>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</si>
  <si>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</si>
  <si>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</si>
  <si>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</si>
  <si>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</si>
  <si>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</si>
  <si>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</si>
  <si>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</si>
  <si>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</si>
  <si>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</si>
  <si>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</si>
  <si>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</si>
  <si>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</si>
  <si>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</si>
  <si>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</si>
  <si>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</si>
  <si>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</si>
  <si>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</si>
  <si>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</si>
  <si>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</si>
  <si>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</si>
  <si>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</si>
  <si>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</si>
  <si>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</si>
  <si>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</si>
  <si>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</si>
  <si>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</si>
  <si>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</si>
  <si>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</si>
  <si>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</si>
  <si>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</si>
  <si>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</si>
  <si>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</si>
  <si>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</si>
  <si>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</si>
  <si>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</si>
  <si>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</si>
  <si>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</si>
  <si>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</si>
  <si>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</si>
  <si>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</si>
  <si>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</si>
  <si>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</si>
  <si>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</si>
  <si>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</si>
  <si>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</si>
  <si>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</si>
  <si>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</si>
  <si>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</si>
  <si>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</si>
  <si>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</si>
  <si>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</si>
  <si>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</si>
  <si>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</si>
  <si>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</si>
  <si>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</si>
  <si>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</si>
  <si>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</si>
  <si>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</si>
  <si>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</si>
  <si>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</si>
  <si>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</si>
  <si>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</si>
  <si>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</si>
  <si>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</si>
  <si>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</si>
  <si>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</si>
  <si>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</si>
  <si>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</si>
  <si>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</si>
  <si>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</si>
  <si>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</si>
  <si>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</si>
  <si>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</si>
  <si>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</si>
  <si>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</si>
  <si>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</si>
  <si>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</si>
  <si>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</si>
  <si>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</si>
  <si>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</si>
  <si>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</si>
  <si>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</si>
  <si>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</si>
  <si>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</si>
  <si>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</si>
  <si>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3.1.07.822</t>
  </si>
  <si>
    <t>GASTOS DE PUBLICIDAD Y MARKETING</t>
  </si>
  <si>
    <t>3.1.07.833</t>
  </si>
  <si>
    <t xml:space="preserve">SUMINISTROS VISUAL </t>
  </si>
  <si>
    <t>3.2.13.101</t>
  </si>
  <si>
    <t>CORRECCION MONETARIA ACTIVOS</t>
  </si>
  <si>
    <t>Proveedor</t>
  </si>
  <si>
    <t>monto</t>
  </si>
  <si>
    <t>cto cto</t>
  </si>
  <si>
    <t>Comercial Eccsa S.A.</t>
  </si>
  <si>
    <t>Falabella.com SpA</t>
  </si>
  <si>
    <t>MercadoLibre Chile Ltda.</t>
  </si>
  <si>
    <t>SOCIEDAD OPERADORA DE TARJETAS DE PAGO SANTANDER GETNET CHILE S.A.</t>
  </si>
  <si>
    <t>ENVIAME LATAM SPA</t>
  </si>
  <si>
    <t>Migratoria Servicios InformÃ¡ticos Limitada</t>
  </si>
  <si>
    <t>RSM CHILE ACCOUNTING TAX AND CONSULTING SERVICES LIMITADA</t>
  </si>
  <si>
    <t>Cencosud_Shopping_S.A.</t>
  </si>
  <si>
    <t>ADM_C.C._CENCOSUD_SPA.</t>
  </si>
  <si>
    <t>Comercializadora_Costanera_Center_SPA</t>
  </si>
  <si>
    <t>PLAZA MAULE S.A.</t>
  </si>
  <si>
    <t>Banco de Chile</t>
  </si>
  <si>
    <t>Plaza Oeste SpA</t>
  </si>
  <si>
    <t>Plaza del TrÃ©bol SpA</t>
  </si>
  <si>
    <t>BODEGAS SAN FRANCISCO LIMITADA</t>
  </si>
  <si>
    <t>Telefonica Chile S.A</t>
  </si>
  <si>
    <t>TELEFONICA</t>
  </si>
  <si>
    <t>Entel PCS Telecomunicaciones S.A.</t>
  </si>
  <si>
    <t>DIVIDIR 14</t>
  </si>
  <si>
    <t>VERISURE CHILE SPA</t>
  </si>
  <si>
    <t>PROVEEDORES INTEGRALES PRISA S A</t>
  </si>
  <si>
    <t>Santander - Chile</t>
  </si>
  <si>
    <t>TRANSBANK</t>
  </si>
  <si>
    <t>Jach Technology SpA</t>
  </si>
  <si>
    <t>3.1.06.805</t>
  </si>
  <si>
    <t>GASTOS LEGALES Y NOTARIALES DIRECTOS</t>
  </si>
  <si>
    <t>TODAS LAS TIENDAS</t>
  </si>
  <si>
    <t>GTD MANQUEHUE S.A.</t>
  </si>
  <si>
    <t>VS CARGO SPA</t>
  </si>
  <si>
    <t>HELLO CONTENT SPA</t>
  </si>
  <si>
    <t>ARTE IMPRESO LIMITADA</t>
  </si>
  <si>
    <t>Item</t>
  </si>
  <si>
    <t>Cuenta</t>
  </si>
  <si>
    <t>Descripción</t>
  </si>
  <si>
    <t>3.1.05.112</t>
  </si>
  <si>
    <t>CAPITALIZACION INDIVIDUAL AFP</t>
  </si>
  <si>
    <t>3.1.05.113</t>
  </si>
  <si>
    <t>EXPECTATIVA DE VIDA</t>
  </si>
  <si>
    <t>3.1.06.813</t>
  </si>
  <si>
    <t>COMISIONES GETNET</t>
  </si>
  <si>
    <t>3.2.08.105</t>
  </si>
  <si>
    <t>AMORTIZACIÓN PATENTE CUOT</t>
  </si>
  <si>
    <t>AMORTIZACIÓN SEGURO CUOTA</t>
  </si>
  <si>
    <t>AMORTIZACIÓN BOLSA IMPRES</t>
  </si>
  <si>
    <t xml:space="preserve">INTERESES POR PRESTAMO </t>
  </si>
  <si>
    <t>TRANSBANK S.A.</t>
  </si>
  <si>
    <t>FINTOC SPA</t>
  </si>
  <si>
    <t>DIVIDIR 10</t>
  </si>
  <si>
    <t>ANGELO LUIS MEDINA TORRES</t>
  </si>
  <si>
    <t>JUAN ANTONIO MELO SAAVEDRA</t>
  </si>
  <si>
    <t>ANA PAULA MARTINS DA SILVA</t>
  </si>
  <si>
    <t>JUAN JESUS ARRIAGADA GONZALEZ</t>
  </si>
  <si>
    <t>FERNANDO ANTONIO OLGUEA CARREN</t>
  </si>
  <si>
    <t>DESPACHALO  SPA</t>
  </si>
  <si>
    <t>WOM S.A.</t>
  </si>
  <si>
    <t>DIVIDIR 11</t>
  </si>
  <si>
    <t>Manantial S.A</t>
  </si>
  <si>
    <t>DIVIDIR 12</t>
  </si>
  <si>
    <t>PAMELA FRANCISCA BARRA QUINTANA</t>
  </si>
  <si>
    <t>MARIA ISABEL SANTANA MOLINA</t>
  </si>
  <si>
    <t>LA VITRINERIA DISENO LIMITADA</t>
  </si>
  <si>
    <t>JORGE ORLANDO VENEGAS GOMEZ</t>
  </si>
  <si>
    <t>3.1.01.105</t>
  </si>
  <si>
    <t>3.1.06.504</t>
  </si>
  <si>
    <t>IVA IRRECUPERABLE</t>
  </si>
  <si>
    <t>AP LOGISTICS SPA</t>
  </si>
  <si>
    <t>COMERCIAL ECCSA S.A.</t>
  </si>
  <si>
    <t>INVERSIONES IMPERIO SPA</t>
  </si>
  <si>
    <t>SMARTCTL SPA</t>
  </si>
  <si>
    <t>SERVICIOS DE MANTENCIÃ“N LABBÃ‰ SPA</t>
  </si>
  <si>
    <t>RVR CLIMATIZACION LIMITADA</t>
  </si>
  <si>
    <t>Transbank S.A</t>
  </si>
  <si>
    <t>ASOCIACION GREMIAL DEL RETAIL COMERCIAL A.G.</t>
  </si>
  <si>
    <t>Getty Images Chile SPA</t>
  </si>
  <si>
    <t>SOFIA ALEJANDRA JORQUERA ESPIN</t>
  </si>
  <si>
    <t>JANICE DESIREE CACERES BARRIA</t>
  </si>
  <si>
    <t>PROVISION CENCOSUD RETAIL</t>
  </si>
  <si>
    <t>DOC.HON.NRO.122008</t>
  </si>
  <si>
    <t>PROVISION ME CONECTO SPA</t>
  </si>
  <si>
    <t>AMORTIZACIÓN VMN COSTANER</t>
  </si>
  <si>
    <t>AMORTIZACIÓN VMN FLORIDA</t>
  </si>
  <si>
    <t>AMORTIZACIÓN VMN CONCEPCI</t>
  </si>
  <si>
    <t>GGCC ESTADO</t>
  </si>
  <si>
    <t>FONDO F ESTADO ENE26</t>
  </si>
  <si>
    <t>FONDO F TALCA ENE26</t>
  </si>
  <si>
    <t>FONDO F TREBOL ENE26</t>
  </si>
  <si>
    <t>FONDO F FLORIDA ENE26</t>
  </si>
  <si>
    <t>FONDO F EGAÑA ENE26</t>
  </si>
  <si>
    <t>FONDO F COSTANERA ENE26</t>
  </si>
  <si>
    <t>FONDO F OESTE ENE26</t>
  </si>
  <si>
    <t>FXR CEDIS ENE26</t>
  </si>
  <si>
    <t>FONDO F ARANA ENE26</t>
  </si>
  <si>
    <t>FXR ANDREA ENE26</t>
  </si>
  <si>
    <t>PROVISION RENTOKIL INITIA</t>
  </si>
  <si>
    <t>PROVISION LATAMFIT CHILE</t>
  </si>
  <si>
    <t>RECLASIF. LATAM FIT AL CI</t>
  </si>
  <si>
    <t>IVA NO ECUPERABLES NOTAS</t>
  </si>
  <si>
    <t>MULTAS PUB ATRASADA</t>
  </si>
  <si>
    <t>TDC ENERO</t>
  </si>
  <si>
    <t>PROVISION TRANSBANK S.A</t>
  </si>
  <si>
    <t>FXR RAUL ENE26</t>
  </si>
  <si>
    <t>PROVISION VTEX CHILE SPA</t>
  </si>
  <si>
    <t>PROVISION GASTOS ENERO EN</t>
  </si>
  <si>
    <t>CARGA ARCHIVO EXTERNO</t>
  </si>
  <si>
    <t>N/C NRO. 186</t>
  </si>
  <si>
    <t>FAC. NRO.20550</t>
  </si>
  <si>
    <t>FAC. NRO.3631</t>
  </si>
  <si>
    <t>PROVISION JACH TECHNOLOGY</t>
  </si>
  <si>
    <t>REVERSO JACH TECHNOLOGY</t>
  </si>
  <si>
    <t>PAGO GETTY IMAGES PRO TDC</t>
  </si>
  <si>
    <t>FXR VISUAL (1)ENE26</t>
  </si>
  <si>
    <t>FXR VISUAL ENE26</t>
  </si>
  <si>
    <t>ENVIAME</t>
  </si>
  <si>
    <t>DESPACHALO</t>
  </si>
  <si>
    <t>REVERSO PROV DIC</t>
  </si>
  <si>
    <t>170-195-150-200-210-185</t>
  </si>
  <si>
    <t>CENCOSUD</t>
  </si>
  <si>
    <t>PLAZA MAULE</t>
  </si>
  <si>
    <t>MULTIVENDE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</si>
</sst>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-* #,##0\ _€_-;\-* #,##0\ _€_-;_-* &quot;-&quot;??\ _€_-;_-@_-"/>
    <numFmt numFmtId="168" formatCode="dd/mm/yyyy;@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Book Antiqua"/>
      <family val="1"/>
    </font>
    <font>
      <b/>
      <sz val="10"/>
      <color theme="1"/>
      <name val="Aptos Narrow"/>
      <family val="2"/>
      <scheme val="minor"/>
    </font>
    <font>
      <sz val="10"/>
      <color theme="1"/>
      <name val="Book Antiqu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0" fillId="0" borderId="0"/>
    <xf numFmtId="0" fontId="19" fillId="0" borderId="0" applyNumberFormat="0" applyFill="0" applyBorder="0">
      <alignment vertical="center"/>
    </xf>
    <xf numFmtId="0" fontId="21" fillId="0" borderId="0"/>
    <xf numFmtId="0" fontId="1" fillId="0" borderId="0"/>
    <xf numFmtId="0" fontId="19" fillId="0" borderId="0" applyNumberFormat="0" applyFill="0" applyBorder="0">
      <alignment vertical="center"/>
    </xf>
    <xf numFmtId="0" fontId="25" fillId="0" borderId="0"/>
    <xf numFmtId="165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4" borderId="0" applyNumberFormat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9" fontId="22" fillId="34" borderId="10" xfId="1" applyFont="1" applyFill="1" applyBorder="1"/>
    <xf numFmtId="167" fontId="23" fillId="0" borderId="10" xfId="47" applyNumberFormat="1" applyFont="1" applyFill="1" applyBorder="1" applyAlignment="1">
      <alignment horizontal="center" wrapText="1"/>
    </xf>
    <xf numFmtId="0" fontId="22" fillId="34" borderId="10" xfId="0" applyFont="1" applyFill="1" applyBorder="1"/>
    <xf numFmtId="0" fontId="26" fillId="35" borderId="16" xfId="0" applyFont="1" applyFill="1" applyBorder="1"/>
    <xf numFmtId="0" fontId="26" fillId="35" borderId="14" xfId="0" applyFont="1" applyFill="1" applyBorder="1"/>
    <xf numFmtId="41" fontId="26" fillId="35" borderId="13" xfId="61" applyFont="1" applyFill="1" applyBorder="1"/>
    <xf numFmtId="0" fontId="15" fillId="0" borderId="17" xfId="0" applyFont="1" applyBorder="1"/>
    <xf numFmtId="0" fontId="15" fillId="0" borderId="18" xfId="0" applyFont="1" applyBorder="1"/>
    <xf numFmtId="0" fontId="15" fillId="0" borderId="19" xfId="0" applyFont="1" applyBorder="1"/>
    <xf numFmtId="0" fontId="0" fillId="36" borderId="20" xfId="0" applyFill="1" applyBorder="1"/>
    <xf numFmtId="0" fontId="0" fillId="36" borderId="0" xfId="0" applyFill="1"/>
    <xf numFmtId="0" fontId="0" fillId="36" borderId="21" xfId="0" applyFill="1" applyBorder="1"/>
    <xf numFmtId="0" fontId="0" fillId="0" borderId="21" xfId="0" applyBorder="1"/>
    <xf numFmtId="0" fontId="0" fillId="36" borderId="22" xfId="0" applyFill="1" applyBorder="1"/>
    <xf numFmtId="0" fontId="0" fillId="36" borderId="23" xfId="0" applyFill="1" applyBorder="1"/>
    <xf numFmtId="0" fontId="0" fillId="36" borderId="24" xfId="0" applyFill="1" applyBorder="1"/>
    <xf numFmtId="168" fontId="23" fillId="0" borderId="0" xfId="47" applyNumberFormat="1" applyFont="1" applyFill="1" applyBorder="1" applyAlignment="1">
      <alignment horizontal="center" vertical="center" wrapText="1"/>
    </xf>
    <xf numFmtId="167" fontId="23" fillId="0" borderId="17" xfId="47" applyNumberFormat="1" applyFont="1" applyFill="1" applyBorder="1" applyAlignment="1">
      <alignment horizontal="center" wrapText="1"/>
    </xf>
    <xf numFmtId="41" fontId="22" fillId="34" borderId="20" xfId="61" applyFont="1" applyFill="1" applyBorder="1"/>
    <xf numFmtId="41" fontId="22" fillId="34" borderId="0" xfId="61" applyFont="1" applyFill="1" applyBorder="1"/>
    <xf numFmtId="41" fontId="26" fillId="35" borderId="0" xfId="61" applyFont="1" applyFill="1" applyBorder="1"/>
    <xf numFmtId="0" fontId="0" fillId="0" borderId="20" xfId="0" applyBorder="1"/>
    <xf numFmtId="41" fontId="22" fillId="0" borderId="10" xfId="61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2" fillId="0" borderId="10" xfId="0" applyFont="1" applyBorder="1"/>
    <xf numFmtId="41" fontId="22" fillId="37" borderId="10" xfId="61" applyFont="1" applyFill="1" applyBorder="1"/>
    <xf numFmtId="3" fontId="0" fillId="0" borderId="0" xfId="0" applyNumberFormat="1"/>
    <xf numFmtId="41" fontId="22" fillId="37" borderId="20" xfId="61" applyFont="1" applyFill="1" applyBorder="1"/>
    <xf numFmtId="41" fontId="22" fillId="37" borderId="0" xfId="61" applyFont="1" applyFill="1" applyBorder="1"/>
    <xf numFmtId="0" fontId="28" fillId="34" borderId="10" xfId="0" applyFont="1" applyFill="1" applyBorder="1"/>
    <xf numFmtId="0" fontId="0" fillId="34" borderId="20" xfId="0" applyFill="1" applyBorder="1"/>
    <xf numFmtId="0" fontId="0" fillId="34" borderId="0" xfId="0" applyFill="1"/>
    <xf numFmtId="0" fontId="0" fillId="34" borderId="21" xfId="0" applyFill="1" applyBorder="1"/>
    <xf numFmtId="167" fontId="23" fillId="0" borderId="11" xfId="47" applyNumberFormat="1" applyFont="1" applyFill="1" applyBorder="1" applyAlignment="1">
      <alignment horizontal="center" vertical="center" wrapText="1"/>
    </xf>
    <xf numFmtId="167" fontId="23" fillId="0" borderId="15" xfId="47" applyNumberFormat="1" applyFont="1" applyFill="1" applyBorder="1" applyAlignment="1">
      <alignment horizontal="center" vertical="center" wrapText="1"/>
    </xf>
    <xf numFmtId="167" fontId="23" fillId="0" borderId="12" xfId="47" applyNumberFormat="1" applyFont="1" applyFill="1" applyBorder="1" applyAlignment="1">
      <alignment horizontal="center" vertical="center" wrapText="1"/>
    </xf>
    <xf numFmtId="168" fontId="23" fillId="0" borderId="11" xfId="47" applyNumberFormat="1" applyFont="1" applyFill="1" applyBorder="1" applyAlignment="1">
      <alignment horizontal="center" vertical="center" wrapText="1"/>
    </xf>
    <xf numFmtId="168" fontId="23" fillId="0" borderId="12" xfId="47" applyNumberFormat="1" applyFont="1" applyFill="1" applyBorder="1" applyAlignment="1">
      <alignment horizontal="center" vertical="center" wrapText="1"/>
    </xf>
  </cellXfs>
  <cellStyles count="439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akcent 1" xfId="36" xr:uid="{DF77C510-306B-47A0-BC52-4900E511D3C7}"/>
    <cellStyle name="60% - Énfasis1 2" xfId="65" xr:uid="{87282C55-8D6C-4DCE-9AEE-58C3D6176EC5}"/>
    <cellStyle name="60% - Énfasis1 3" xfId="83" xr:uid="{A2B69B36-9EDB-46B9-83B1-E00494DDE240}"/>
    <cellStyle name="60% - Énfasis1 4" xfId="112" xr:uid="{A0DF033D-7459-4C93-B9FD-AB430F84BB73}"/>
    <cellStyle name="60% - Énfasis1 5" xfId="162" xr:uid="{2DB35FFC-2CB0-4202-B1CB-9DED65ECF305}"/>
    <cellStyle name="60% - Énfasis1 6" xfId="251" xr:uid="{DA3D90A0-05F3-40B3-8FDB-C27AA484662A}"/>
    <cellStyle name="60% - Énfasis1 7" xfId="266" xr:uid="{A2D2D188-74AF-4249-BF0B-49D80F245D6B}"/>
    <cellStyle name="60% - Énfasis1 8" xfId="37" xr:uid="{A6420D39-C5BD-46CB-A50C-034C97FEA043}"/>
    <cellStyle name="60% - Énfasis2 2" xfId="66" xr:uid="{8C01822D-A365-476A-AF9B-35F380A1A0C2}"/>
    <cellStyle name="60% - Énfasis2 3" xfId="84" xr:uid="{DBFB90C2-4A83-490A-A8F7-20FDC51BEAC8}"/>
    <cellStyle name="60% - Énfasis2 4" xfId="113" xr:uid="{E53E71CD-EB5B-4288-9B9A-FD0AD5D18B73}"/>
    <cellStyle name="60% - Énfasis2 5" xfId="163" xr:uid="{FA9080C3-6DBE-47AD-A603-3E028AE96891}"/>
    <cellStyle name="60% - Énfasis2 6" xfId="252" xr:uid="{22C2DADB-8367-4FD5-AC9F-31C405BE1F14}"/>
    <cellStyle name="60% - Énfasis2 7" xfId="267" xr:uid="{C95C1E28-BCDB-4967-9802-4E7F45E39986}"/>
    <cellStyle name="60% - Énfasis2 8" xfId="38" xr:uid="{FFA5D40E-7156-4846-8457-08EA7D3ECF02}"/>
    <cellStyle name="60% - Énfasis3 2" xfId="67" xr:uid="{0F3F02CA-9DD8-40F5-A2A6-4D2844F4359D}"/>
    <cellStyle name="60% - Énfasis3 3" xfId="85" xr:uid="{C27BBD88-6A17-4BCB-9720-979C53E4A6D3}"/>
    <cellStyle name="60% - Énfasis3 4" xfId="114" xr:uid="{AA1F007A-BCA6-4BC1-B708-575D25DF54C8}"/>
    <cellStyle name="60% - Énfasis3 5" xfId="164" xr:uid="{38594455-B347-4163-95B1-5E33F8792E72}"/>
    <cellStyle name="60% - Énfasis3 6" xfId="253" xr:uid="{649886CD-F0B4-402B-B33B-ABECF750932E}"/>
    <cellStyle name="60% - Énfasis3 7" xfId="268" xr:uid="{23B4DB44-AC5B-435F-979A-B9A0AF39B212}"/>
    <cellStyle name="60% - Énfasis3 8" xfId="39" xr:uid="{F4A189DA-137F-4233-804B-BAD5D59598BF}"/>
    <cellStyle name="60% - Énfasis4 2" xfId="68" xr:uid="{B085C428-8CAB-403A-8D96-B77E44A2F65F}"/>
    <cellStyle name="60% - Énfasis4 3" xfId="86" xr:uid="{13E6FB0C-23F2-431C-9C6A-A91A99D39E7B}"/>
    <cellStyle name="60% - Énfasis4 4" xfId="115" xr:uid="{FABD8C27-186D-463D-866A-D11DBDA4838E}"/>
    <cellStyle name="60% - Énfasis4 5" xfId="165" xr:uid="{2DF63431-592E-4974-8FC8-42D02FAB79EB}"/>
    <cellStyle name="60% - Énfasis4 6" xfId="254" xr:uid="{204D5282-E39F-435A-A337-76518026642C}"/>
    <cellStyle name="60% - Énfasis4 7" xfId="269" xr:uid="{AF608303-755B-4244-9DF3-A9DBAC831173}"/>
    <cellStyle name="60% - Énfasis4 8" xfId="40" xr:uid="{2EDAD99C-EF80-4372-9184-3C03A3B9C3D7}"/>
    <cellStyle name="60% - Énfasis5 2" xfId="69" xr:uid="{9AA5F3DE-BD02-4601-802A-3DEC369F6DF1}"/>
    <cellStyle name="60% - Énfasis5 3" xfId="87" xr:uid="{A9573716-7219-4A3B-BFB7-D3B33EC51019}"/>
    <cellStyle name="60% - Énfasis5 4" xfId="116" xr:uid="{8D35F1AF-84C0-4CDE-9273-B222587A10B6}"/>
    <cellStyle name="60% - Énfasis5 5" xfId="166" xr:uid="{7B382E1D-0C9E-4776-9D7B-C52777164148}"/>
    <cellStyle name="60% - Énfasis5 6" xfId="255" xr:uid="{410151D6-6377-459D-AB67-50A88E784679}"/>
    <cellStyle name="60% - Énfasis5 7" xfId="270" xr:uid="{FF178252-5B32-40E4-9B6E-81B54FA3F35A}"/>
    <cellStyle name="60% - Énfasis5 8" xfId="41" xr:uid="{BAB6BFB0-C7FD-413C-B534-D977F3671E44}"/>
    <cellStyle name="60% - Énfasis6 2" xfId="70" xr:uid="{37CD63D8-9506-4998-89C8-9F93BA3799AE}"/>
    <cellStyle name="60% - Énfasis6 3" xfId="88" xr:uid="{7A883A92-1ED5-45D2-8018-FD09AB957044}"/>
    <cellStyle name="60% - Énfasis6 4" xfId="117" xr:uid="{09EA98A9-BAC1-4F47-93BD-AC2C0588DD70}"/>
    <cellStyle name="60% - Énfasis6 5" xfId="167" xr:uid="{2DD02EDF-513A-4015-8735-FD5BCE37839F}"/>
    <cellStyle name="60% - Énfasis6 6" xfId="256" xr:uid="{7E2AFA67-C75D-4162-BFF2-91A986BAE71C}"/>
    <cellStyle name="60% - Énfasis6 7" xfId="271" xr:uid="{7458AB8A-76C5-4423-8198-1AC5BA735ECB}"/>
    <cellStyle name="60% - Énfasis6 8" xfId="42" xr:uid="{B566D2E1-EB9C-4CCB-8D33-AA744D7BCE5E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Millares [0] 10" xfId="175" xr:uid="{D3283CA1-71F9-4290-8265-EF64EB9CFB4D}"/>
    <cellStyle name="Millares [0] 10 2" xfId="361" xr:uid="{9E7D6788-E0F1-4842-A84B-7C9BB5ABD9F0}"/>
    <cellStyle name="Millares [0] 11" xfId="265" xr:uid="{9DE05974-37E6-401B-B2FE-BBAA59ED2486}"/>
    <cellStyle name="Millares [0] 11 2" xfId="438" xr:uid="{B1E0F87D-D022-4B6A-B476-B73C86ABC44A}"/>
    <cellStyle name="Millares [0] 12" xfId="279" xr:uid="{91374221-099F-46F4-B703-D70BD1BFBA7F}"/>
    <cellStyle name="Millares [0] 13" xfId="61" xr:uid="{34ED463C-6D6E-4EED-98AF-A723E51B668C}"/>
    <cellStyle name="Millares [0] 2" xfId="44" xr:uid="{C16B24FA-266B-41DF-A3FB-E21850F7A60B}"/>
    <cellStyle name="Millares [0] 2 2" xfId="258" xr:uid="{1736B5E4-66FA-41AB-A842-AB88E67D80D8}"/>
    <cellStyle name="Millares [0] 3" xfId="45" xr:uid="{61847087-1AC0-47A2-A3A0-09EA1359D33F}"/>
    <cellStyle name="Millares [0] 3 2" xfId="72" xr:uid="{A67EA4D3-3A6F-4A67-BC06-2FA1BA06D5C4}"/>
    <cellStyle name="Millares [0] 3 2 2" xfId="101" xr:uid="{9F6AF0CD-4598-413E-B4AF-BE602CB8F1DC}"/>
    <cellStyle name="Millares [0] 3 2 2 2" xfId="149" xr:uid="{6F5C5D1A-55AF-444D-860F-D523D9E2FA97}"/>
    <cellStyle name="Millares [0] 3 2 2 2 2" xfId="238" xr:uid="{F5E2614D-DFFC-4DF3-ADEF-8D82C78C8B8F}"/>
    <cellStyle name="Millares [0] 3 2 2 2 2 2" xfId="424" xr:uid="{F6801F08-8711-4554-8410-C3F573BB3A5D}"/>
    <cellStyle name="Millares [0] 3 2 2 2 3" xfId="342" xr:uid="{5A6869EE-8770-42E1-A1A3-600ED4D487BB}"/>
    <cellStyle name="Millares [0] 3 2 2 3" xfId="198" xr:uid="{D6EF2AD5-819B-4EDE-87A4-48E77E92A6B4}"/>
    <cellStyle name="Millares [0] 3 2 2 3 2" xfId="384" xr:uid="{1349E116-7776-4A84-BAC8-00B8A2A78F57}"/>
    <cellStyle name="Millares [0] 3 2 2 4" xfId="302" xr:uid="{A9AE334F-4409-4B49-9428-D54EC50BB4AC}"/>
    <cellStyle name="Millares [0] 3 2 3" xfId="130" xr:uid="{9D95394D-0FFB-4F7A-9301-EA8FDEE8AC10}"/>
    <cellStyle name="Millares [0] 3 2 3 2" xfId="219" xr:uid="{E78066F3-818E-4CBD-AC96-D135FECECFF0}"/>
    <cellStyle name="Millares [0] 3 2 3 2 2" xfId="405" xr:uid="{D8F28F87-997C-4153-A720-DC0B0E641534}"/>
    <cellStyle name="Millares [0] 3 2 3 3" xfId="323" xr:uid="{A6F082C6-1012-439B-8A5E-99F1D120B0BD}"/>
    <cellStyle name="Millares [0] 3 2 4" xfId="179" xr:uid="{8BEEB5D2-CFD9-406C-81BC-9F639F41E7F4}"/>
    <cellStyle name="Millares [0] 3 2 4 2" xfId="365" xr:uid="{A25D973C-BE15-4DE3-AEA8-0A01D0168B9D}"/>
    <cellStyle name="Millares [0] 3 2 5" xfId="283" xr:uid="{23547A41-50FF-4864-A13B-01F0B71477B3}"/>
    <cellStyle name="Millares [0] 3 3" xfId="90" xr:uid="{466ED9F6-9CA2-4F04-87A0-1727251ECCB0}"/>
    <cellStyle name="Millares [0] 3 3 2" xfId="140" xr:uid="{FB83FD32-D874-40D5-A49B-2723F910BA72}"/>
    <cellStyle name="Millares [0] 3 3 2 2" xfId="229" xr:uid="{DDF2D793-DF57-432D-BEAE-D6C501FA96C2}"/>
    <cellStyle name="Millares [0] 3 3 2 2 2" xfId="415" xr:uid="{3EDF99C8-7DAC-405A-89DC-7CD6BA9EA58B}"/>
    <cellStyle name="Millares [0] 3 3 2 3" xfId="333" xr:uid="{54A152B2-FA13-417A-902E-A93A638D97DC}"/>
    <cellStyle name="Millares [0] 3 3 3" xfId="189" xr:uid="{E5E2D9A5-14C0-4371-A37E-C08815C763DD}"/>
    <cellStyle name="Millares [0] 3 3 3 2" xfId="375" xr:uid="{344EAF77-86AE-487C-A722-7FFEA3850DD7}"/>
    <cellStyle name="Millares [0] 3 3 4" xfId="293" xr:uid="{05721000-D2ED-4B29-8C1C-AEEEA01D1FBC}"/>
    <cellStyle name="Millares [0] 3 4" xfId="119" xr:uid="{390C8145-98B5-44C5-8EB1-2454BBFC1620}"/>
    <cellStyle name="Millares [0] 3 4 2" xfId="210" xr:uid="{E540D9C6-C3D6-452C-AD1F-8B233D1C180D}"/>
    <cellStyle name="Millares [0] 3 4 2 2" xfId="396" xr:uid="{3BD86A01-44F3-42B5-ADD1-19F004975D16}"/>
    <cellStyle name="Millares [0] 3 4 3" xfId="314" xr:uid="{2430EAF7-F73E-4A92-9EC6-5DBD5EC92695}"/>
    <cellStyle name="Millares [0] 3 5" xfId="169" xr:uid="{118C9678-9DD3-44A4-81BB-6B77225B5B2F}"/>
    <cellStyle name="Millares [0] 3 5 2" xfId="356" xr:uid="{F24C0DCA-6BD1-4A14-94D9-DF2F399ABB5D}"/>
    <cellStyle name="Millares [0] 3 6" xfId="273" xr:uid="{317A6657-6E6B-4A7D-BCD7-4B7F1414DF74}"/>
    <cellStyle name="Millares [0] 34" xfId="46" xr:uid="{254CBAC9-299A-43CC-A467-44D80BD591A2}"/>
    <cellStyle name="Millares [0] 34 2" xfId="73" xr:uid="{7224F983-0BE8-45C5-8CC6-09E483650977}"/>
    <cellStyle name="Millares [0] 34 2 2" xfId="102" xr:uid="{AE460640-EDE2-4EAB-AEE0-5346A5752478}"/>
    <cellStyle name="Millares [0] 34 2 2 2" xfId="150" xr:uid="{607BD757-8509-442D-94FC-A359983597F3}"/>
    <cellStyle name="Millares [0] 34 2 2 2 2" xfId="239" xr:uid="{22D7817F-DB8E-48DB-812A-0E6D67B09323}"/>
    <cellStyle name="Millares [0] 34 2 2 2 2 2" xfId="425" xr:uid="{4EA20EC6-046E-4ADC-9F50-7918A43A4384}"/>
    <cellStyle name="Millares [0] 34 2 2 2 3" xfId="343" xr:uid="{D16FDEF0-360E-4D7D-A21F-EA5B362704A4}"/>
    <cellStyle name="Millares [0] 34 2 2 3" xfId="199" xr:uid="{990C6A1D-6511-47A4-94A5-9B9B41034406}"/>
    <cellStyle name="Millares [0] 34 2 2 3 2" xfId="385" xr:uid="{170CB4CC-B056-4DDC-BD55-0E19D2BB7338}"/>
    <cellStyle name="Millares [0] 34 2 2 4" xfId="303" xr:uid="{86B6D70C-4090-4816-938F-5DF88B0C664A}"/>
    <cellStyle name="Millares [0] 34 2 3" xfId="131" xr:uid="{B530D4D8-3B4E-47DD-9B63-E2A4BBCEDB8D}"/>
    <cellStyle name="Millares [0] 34 2 3 2" xfId="220" xr:uid="{9CB13092-49D9-4619-944A-80E92016481D}"/>
    <cellStyle name="Millares [0] 34 2 3 2 2" xfId="406" xr:uid="{7F91238C-C0A9-412B-A650-DB009ED094BD}"/>
    <cellStyle name="Millares [0] 34 2 3 3" xfId="324" xr:uid="{1511263E-9E08-4E97-B884-AB1D6B723D38}"/>
    <cellStyle name="Millares [0] 34 2 4" xfId="180" xr:uid="{59DFF1F6-89DB-4630-AF22-BC98377E6A6F}"/>
    <cellStyle name="Millares [0] 34 2 4 2" xfId="366" xr:uid="{78C6DFB9-58BB-48FE-9BAD-FD5DB317280F}"/>
    <cellStyle name="Millares [0] 34 2 5" xfId="284" xr:uid="{615E03B1-B193-4735-8DAA-78E9AB8C4F2D}"/>
    <cellStyle name="Millares [0] 34 3" xfId="91" xr:uid="{F228B4E4-A322-4222-B43F-1EB20CFE8834}"/>
    <cellStyle name="Millares [0] 34 3 2" xfId="141" xr:uid="{5BDA680C-4480-49D6-9DA5-AAE1624B9696}"/>
    <cellStyle name="Millares [0] 34 3 2 2" xfId="230" xr:uid="{80DFF3C4-4741-4408-8B83-8714C9FE590F}"/>
    <cellStyle name="Millares [0] 34 3 2 2 2" xfId="416" xr:uid="{3596F3BF-BD8E-43FC-B6B8-AFA0164B095A}"/>
    <cellStyle name="Millares [0] 34 3 2 3" xfId="334" xr:uid="{E5281029-F585-4D60-BBCF-98A6D697EABB}"/>
    <cellStyle name="Millares [0] 34 3 3" xfId="190" xr:uid="{8081498B-A5E5-40C4-9E09-636D8F0D3CDB}"/>
    <cellStyle name="Millares [0] 34 3 3 2" xfId="376" xr:uid="{DB346574-49C1-40AE-8408-93EA7E3A3EB1}"/>
    <cellStyle name="Millares [0] 34 3 4" xfId="294" xr:uid="{243596BF-5C54-44D9-9745-1E462F064695}"/>
    <cellStyle name="Millares [0] 34 4" xfId="120" xr:uid="{CE3A3DD4-8B66-417E-A107-9B1DE5257A56}"/>
    <cellStyle name="Millares [0] 34 4 2" xfId="211" xr:uid="{F5D8BCA3-CDAA-4640-810E-87027D81CA67}"/>
    <cellStyle name="Millares [0] 34 4 2 2" xfId="397" xr:uid="{398AB253-AB29-4950-99B7-338E9FFBE9CF}"/>
    <cellStyle name="Millares [0] 34 4 3" xfId="315" xr:uid="{E41EABC9-63A6-448B-84C3-1C6196245F21}"/>
    <cellStyle name="Millares [0] 34 5" xfId="170" xr:uid="{EDC76787-76B6-4E62-AA0F-A5DD5C91C32D}"/>
    <cellStyle name="Millares [0] 34 5 2" xfId="357" xr:uid="{1E0D8628-25D7-4F71-88C9-02AB3A833AC8}"/>
    <cellStyle name="Millares [0] 34 6" xfId="274" xr:uid="{1CB2CA48-8376-44BD-9682-783C0C048BB9}"/>
    <cellStyle name="Millares [0] 4" xfId="78" xr:uid="{21508BAD-6226-4541-8ED6-96F0BB9CBDF9}"/>
    <cellStyle name="Millares [0] 4 2" xfId="106" xr:uid="{B5964881-5CFC-4641-9B52-697E3FAA541A}"/>
    <cellStyle name="Millares [0] 4 2 2" xfId="154" xr:uid="{FF358891-B500-4038-BA26-A70680034721}"/>
    <cellStyle name="Millares [0] 4 2 2 2" xfId="243" xr:uid="{9C7986DC-9EB6-4F5F-8975-2E91755863C8}"/>
    <cellStyle name="Millares [0] 4 2 2 2 2" xfId="429" xr:uid="{6D95FAEC-A71A-4DE0-9717-EA78F9257B4F}"/>
    <cellStyle name="Millares [0] 4 2 2 3" xfId="347" xr:uid="{3B70FC43-4C0F-438C-84F7-1DB07028F5FF}"/>
    <cellStyle name="Millares [0] 4 2 3" xfId="203" xr:uid="{55C6008E-54D8-4655-B0CC-88A8C4ED05E9}"/>
    <cellStyle name="Millares [0] 4 2 3 2" xfId="389" xr:uid="{0F17B7F0-D1BB-4DF0-81B0-DEACBAFC4489}"/>
    <cellStyle name="Millares [0] 4 2 4" xfId="307" xr:uid="{FAD025B8-247B-40AC-8E23-98E625C266AC}"/>
    <cellStyle name="Millares [0] 4 3" xfId="135" xr:uid="{9FD5C28C-FD80-4843-BA65-1A13DDDD5333}"/>
    <cellStyle name="Millares [0] 4 3 2" xfId="224" xr:uid="{29DE9832-E2C0-4372-AC60-92BC5B365C23}"/>
    <cellStyle name="Millares [0] 4 3 2 2" xfId="410" xr:uid="{05184DB1-84A0-4BD9-8A5F-C1C7F57D88A7}"/>
    <cellStyle name="Millares [0] 4 3 3" xfId="328" xr:uid="{79542F11-F0F1-42C0-B2C1-99C380A3CFAF}"/>
    <cellStyle name="Millares [0] 4 4" xfId="184" xr:uid="{FC03160C-DD98-4269-9B0E-53A4D6A9F6A0}"/>
    <cellStyle name="Millares [0] 4 4 2" xfId="370" xr:uid="{35C85485-563F-4363-8732-996CF93FE108}"/>
    <cellStyle name="Millares [0] 4 5" xfId="288" xr:uid="{01E77BD0-E654-46D5-8526-CDBDF088F28F}"/>
    <cellStyle name="Millares [0] 5" xfId="63" xr:uid="{F9BEAC04-0A3C-4395-B94C-C7DFD15CEF51}"/>
    <cellStyle name="Millares [0] 5 2" xfId="98" xr:uid="{DFE527DE-3FB5-4221-A793-9E21E9EDAA33}"/>
    <cellStyle name="Millares [0] 5 2 2" xfId="146" xr:uid="{01CD052A-407B-48BD-B5E1-FA0412830331}"/>
    <cellStyle name="Millares [0] 5 2 2 2" xfId="235" xr:uid="{DDC45D1D-DBF3-4AEA-9E74-06AC0FF30949}"/>
    <cellStyle name="Millares [0] 5 2 2 2 2" xfId="421" xr:uid="{9D9256CC-C168-4F2C-8CFE-09F39493450E}"/>
    <cellStyle name="Millares [0] 5 2 2 3" xfId="339" xr:uid="{E606827D-E9A3-4128-B6A6-93B95B1DC2A9}"/>
    <cellStyle name="Millares [0] 5 2 3" xfId="195" xr:uid="{81A72464-3EB7-42E2-B197-920C6E00F864}"/>
    <cellStyle name="Millares [0] 5 2 3 2" xfId="381" xr:uid="{E292F255-1C83-44E8-9E25-F530A7C85F85}"/>
    <cellStyle name="Millares [0] 5 2 4" xfId="299" xr:uid="{7465C28B-5D3F-44E6-B4BB-A9E147467A84}"/>
    <cellStyle name="Millares [0] 5 3" xfId="127" xr:uid="{0AC828D4-2640-4201-BF37-33D968BA8D4F}"/>
    <cellStyle name="Millares [0] 5 3 2" xfId="216" xr:uid="{3E94041D-B2C4-41B7-B5DB-93A657EABA86}"/>
    <cellStyle name="Millares [0] 5 3 2 2" xfId="402" xr:uid="{6B125424-C2B9-41F5-8307-9E7E77A71B43}"/>
    <cellStyle name="Millares [0] 5 3 3" xfId="320" xr:uid="{C2402AAF-7630-4C2A-9858-EE64B4DAAD36}"/>
    <cellStyle name="Millares [0] 5 4" xfId="176" xr:uid="{FDEEC763-0696-4402-912D-8C165BE60CB5}"/>
    <cellStyle name="Millares [0] 5 4 2" xfId="362" xr:uid="{50A645AC-06AB-41AF-A4F9-E1795BAB17EE}"/>
    <cellStyle name="Millares [0] 5 5" xfId="280" xr:uid="{D924E8E3-C80E-49CC-89CB-23EAE63BF5F0}"/>
    <cellStyle name="Millares [0] 6" xfId="96" xr:uid="{2132CA7B-02D7-4350-8550-2A3FA9D0D434}"/>
    <cellStyle name="Millares [0] 6 2" xfId="145" xr:uid="{66245954-3C23-46A5-AA68-4C972A7B2668}"/>
    <cellStyle name="Millares [0] 6 2 2" xfId="234" xr:uid="{D5EEF9A0-9B9F-4522-9E1B-DA6A0606560B}"/>
    <cellStyle name="Millares [0] 6 2 2 2" xfId="420" xr:uid="{6083B960-649A-4BA2-AC61-CEE3C36F02D9}"/>
    <cellStyle name="Millares [0] 6 2 3" xfId="338" xr:uid="{891EA89C-0D76-4A9C-8B70-1870A3CAEC6F}"/>
    <cellStyle name="Millares [0] 6 3" xfId="194" xr:uid="{FA9A7AFB-1E3F-4A18-9CB3-34E94A55F4A4}"/>
    <cellStyle name="Millares [0] 6 3 2" xfId="380" xr:uid="{EDBFD447-97F4-4052-8BE6-78B10FEDA9FE}"/>
    <cellStyle name="Millares [0] 6 4" xfId="298" xr:uid="{D83BC179-9C11-4A95-BE54-D85B57CB3884}"/>
    <cellStyle name="Millares [0] 7" xfId="125" xr:uid="{9CBF76DA-D809-4DC5-85B9-C4066E953D8E}"/>
    <cellStyle name="Millares [0] 7 2" xfId="215" xr:uid="{60F00321-4136-4288-88BF-D16284025E3F}"/>
    <cellStyle name="Millares [0] 7 2 2" xfId="401" xr:uid="{EB5A77D4-5754-4F21-8D51-888C9F627793}"/>
    <cellStyle name="Millares [0] 7 3" xfId="319" xr:uid="{BD263653-8F72-4D2D-942C-A8087DA4B9AF}"/>
    <cellStyle name="Millares [0] 8" xfId="111" xr:uid="{98B1E7FF-735D-46E7-9D2E-F58CEDF4D022}"/>
    <cellStyle name="Millares [0] 8 2" xfId="208" xr:uid="{E1D8758F-303A-4DAF-B2FC-71BB24538258}"/>
    <cellStyle name="Millares [0] 8 2 2" xfId="394" xr:uid="{AF753E86-B5E4-4A58-92BF-9D94958355DF}"/>
    <cellStyle name="Millares [0] 8 3" xfId="312" xr:uid="{41E60113-DF02-435D-B523-5A9311C5FC46}"/>
    <cellStyle name="Millares [0] 9" xfId="161" xr:uid="{4B6B7262-B7CC-40CD-8C79-584FD52FA71A}"/>
    <cellStyle name="Millares [0] 9 2" xfId="250" xr:uid="{3E875233-600C-47A0-B3B6-910C80ACFD33}"/>
    <cellStyle name="Millares [0] 9 2 2" xfId="436" xr:uid="{674808C4-627F-4282-9D4E-BAFAEB085984}"/>
    <cellStyle name="Millares [0] 9 3" xfId="354" xr:uid="{D17977AD-F393-4B40-9A2E-3BE456766DD3}"/>
    <cellStyle name="Millares 10" xfId="118" xr:uid="{00B33D68-87D4-4D80-8441-56D680AD6081}"/>
    <cellStyle name="Millares 10 2" xfId="209" xr:uid="{7DD81FF6-0C8C-4C2B-9696-6DFC659FA70A}"/>
    <cellStyle name="Millares 10 2 2" xfId="395" xr:uid="{4DF4544B-3999-4DC9-B303-223B3B20712D}"/>
    <cellStyle name="Millares 10 3" xfId="313" xr:uid="{33D6B6A7-B79F-46C1-B26D-135F11697A60}"/>
    <cellStyle name="Millares 100 2" xfId="57" xr:uid="{B8853949-DFD2-47E9-8A7C-C637FAE4E830}"/>
    <cellStyle name="Millares 100 2 2" xfId="262" xr:uid="{699FEA96-5D81-4B3E-9835-C023C22D2376}"/>
    <cellStyle name="Millares 11" xfId="159" xr:uid="{55C5307C-89BE-4037-BC49-08648BDF17E3}"/>
    <cellStyle name="Millares 11 2" xfId="248" xr:uid="{4EB67282-7E9E-47BA-B1E9-95AF378F7F8B}"/>
    <cellStyle name="Millares 11 2 2" xfId="434" xr:uid="{B02139F8-8E9F-499D-B7B8-DBD4C40EF74B}"/>
    <cellStyle name="Millares 11 3" xfId="352" xr:uid="{3F1251F7-35C6-4356-9FB5-A1561DA2CC52}"/>
    <cellStyle name="Millares 12" xfId="160" xr:uid="{A3E33C83-CFAE-4A99-B92C-A079513016C5}"/>
    <cellStyle name="Millares 12 2" xfId="249" xr:uid="{45474022-BE16-4575-A659-482381C8C0EF}"/>
    <cellStyle name="Millares 12 2 2" xfId="435" xr:uid="{8DD8AAD9-5E24-47FF-80CF-05DED7ADF172}"/>
    <cellStyle name="Millares 12 3" xfId="353" xr:uid="{ED2252E7-1339-4AB8-A69D-DE693DFC874E}"/>
    <cellStyle name="Millares 13" xfId="168" xr:uid="{4956D4D4-4B79-4B74-B1C3-BB607492F083}"/>
    <cellStyle name="Millares 13 2" xfId="355" xr:uid="{1365DA90-C3C0-4B12-9715-39D6E50EF49C}"/>
    <cellStyle name="Millares 14" xfId="257" xr:uid="{D6E1A84E-FE82-48DF-9A50-BB90403B827C}"/>
    <cellStyle name="Millares 14 2" xfId="437" xr:uid="{F4BF9400-5E3A-42F5-92F7-D21B438AFF1B}"/>
    <cellStyle name="Millares 15" xfId="272" xr:uid="{4AE3DBC3-8737-4723-B0ED-B32F88D79553}"/>
    <cellStyle name="Millares 16" xfId="43" xr:uid="{3EDBC7E3-3563-42E5-9373-ED8C136B8FF0}"/>
    <cellStyle name="Millares 18" xfId="59" xr:uid="{48A82991-1687-47E3-9737-31D367D7C210}"/>
    <cellStyle name="Millares 2" xfId="47" xr:uid="{4FB2C2A3-C514-4173-BA98-6BC44FE41D1D}"/>
    <cellStyle name="Millares 2 2" xfId="74" xr:uid="{87599F7E-B542-4F1B-A706-4D5D52B3B86E}"/>
    <cellStyle name="Millares 2 2 2" xfId="103" xr:uid="{DFFDFAE6-986A-4F2B-A4B0-55264E821D97}"/>
    <cellStyle name="Millares 2 2 2 2" xfId="151" xr:uid="{2EE9B724-A0B0-44B7-B98E-E57898890E14}"/>
    <cellStyle name="Millares 2 2 2 2 2" xfId="240" xr:uid="{237BFDA7-76DB-43EA-80A6-2ED35664DA35}"/>
    <cellStyle name="Millares 2 2 2 2 2 2" xfId="426" xr:uid="{BAC32BA9-FFAD-4A1B-9B19-50619D358653}"/>
    <cellStyle name="Millares 2 2 2 2 3" xfId="344" xr:uid="{8F1569A6-A5B5-47BC-9E1F-51165F209E4D}"/>
    <cellStyle name="Millares 2 2 2 3" xfId="200" xr:uid="{019B6BC3-C2E4-4700-BD1D-E74AA28DCA56}"/>
    <cellStyle name="Millares 2 2 2 3 2" xfId="386" xr:uid="{0137FF4D-1C2C-4839-9BC5-0D0B3952B562}"/>
    <cellStyle name="Millares 2 2 2 4" xfId="304" xr:uid="{60A4AE7C-A14C-49DB-9EE9-02E2E9507CFF}"/>
    <cellStyle name="Millares 2 2 3" xfId="132" xr:uid="{F5DD9F17-57C7-434E-9282-8AFEE9C4F913}"/>
    <cellStyle name="Millares 2 2 3 2" xfId="221" xr:uid="{0AE29C19-D61E-4F20-845D-0803C3A09667}"/>
    <cellStyle name="Millares 2 2 3 2 2" xfId="407" xr:uid="{E631B663-A6F1-40AE-B362-A61052B569DF}"/>
    <cellStyle name="Millares 2 2 3 3" xfId="325" xr:uid="{FF9DC333-5C7C-48AC-A8C4-56BCB9D03F56}"/>
    <cellStyle name="Millares 2 2 4" xfId="181" xr:uid="{BAD2B697-D553-4454-8C1B-068316E8A665}"/>
    <cellStyle name="Millares 2 2 4 2" xfId="367" xr:uid="{8713BC4C-8E25-407E-AA15-7E9225CBFE12}"/>
    <cellStyle name="Millares 2 2 5" xfId="285" xr:uid="{359DF7D4-8556-4209-873E-9CE69B70B5A2}"/>
    <cellStyle name="Millares 2 3" xfId="92" xr:uid="{DE7E839F-6230-4B3B-B3DD-C8E635253E0A}"/>
    <cellStyle name="Millares 2 3 2" xfId="142" xr:uid="{4BAA283F-1E60-440F-A64D-237A59DA1A8C}"/>
    <cellStyle name="Millares 2 3 2 2" xfId="231" xr:uid="{74D54C36-A6D2-4AF5-B94B-9FDC2CD8F3CA}"/>
    <cellStyle name="Millares 2 3 2 2 2" xfId="417" xr:uid="{9E2B76B0-37DE-4B72-8780-74B06DA21BAB}"/>
    <cellStyle name="Millares 2 3 2 3" xfId="335" xr:uid="{D3FB583D-349B-40AF-B66F-C2221DAC5B0F}"/>
    <cellStyle name="Millares 2 3 3" xfId="191" xr:uid="{0EC3F970-C108-485C-95A0-96D905C8EE48}"/>
    <cellStyle name="Millares 2 3 3 2" xfId="377" xr:uid="{8B9AEA6A-9E5C-4FE6-B279-66305D061483}"/>
    <cellStyle name="Millares 2 3 4" xfId="295" xr:uid="{FAAC4C55-A66D-430C-90A2-0F0843DF3D26}"/>
    <cellStyle name="Millares 2 4" xfId="121" xr:uid="{DFC29CB7-A79F-40F3-9780-6B74148E6FF3}"/>
    <cellStyle name="Millares 2 4 2" xfId="212" xr:uid="{F1C5DC5D-F066-4678-A1DB-7407900EEABB}"/>
    <cellStyle name="Millares 2 4 2 2" xfId="398" xr:uid="{38A3FB9D-5201-4A89-A63C-890E9FF55F16}"/>
    <cellStyle name="Millares 2 4 3" xfId="316" xr:uid="{EF68580F-4A26-4D24-B54E-937D76C7FF8E}"/>
    <cellStyle name="Millares 2 5" xfId="171" xr:uid="{D77EC93A-D4B9-4D8E-94CE-24D44856353E}"/>
    <cellStyle name="Millares 2 5 2" xfId="358" xr:uid="{837C836F-7120-4990-8262-F17B6604801B}"/>
    <cellStyle name="Millares 2 6" xfId="259" xr:uid="{3969C348-70D8-4966-8B78-F5CB7E097F2E}"/>
    <cellStyle name="Millares 2 7" xfId="275" xr:uid="{143C3797-7B25-4817-8E25-28D81B807D60}"/>
    <cellStyle name="Millares 3" xfId="71" xr:uid="{AA7A7949-FE99-4176-A30A-22ED79743A4D}"/>
    <cellStyle name="Millares 3 2" xfId="100" xr:uid="{56690694-E588-4030-8C0E-2A2747FD2B07}"/>
    <cellStyle name="Millares 3 2 2" xfId="60" xr:uid="{2FC356D0-D245-4A89-8847-90726354D328}"/>
    <cellStyle name="Millares 3 2 2 2" xfId="264" xr:uid="{D7F9BFD0-E053-4C1C-A034-3798D3E645EB}"/>
    <cellStyle name="Millares 3 2 3" xfId="148" xr:uid="{9138FFB2-75D7-4E1B-AA9C-E1B8CC9B3820}"/>
    <cellStyle name="Millares 3 2 3 2" xfId="237" xr:uid="{F1F50AA8-EB6C-4D39-9D06-6C3D93D61137}"/>
    <cellStyle name="Millares 3 2 3 2 2" xfId="423" xr:uid="{6D2369E0-F0E8-4787-9A31-E0C0E66CF8DC}"/>
    <cellStyle name="Millares 3 2 3 3" xfId="341" xr:uid="{39F0F5C3-F515-4BB2-BC95-4F350878D376}"/>
    <cellStyle name="Millares 3 2 4" xfId="197" xr:uid="{B4E98BB2-6A28-4A83-9C4A-952BBAEFB124}"/>
    <cellStyle name="Millares 3 2 4 2" xfId="383" xr:uid="{5842D6D5-1E8B-4D4B-97B2-4C2BFB798C5D}"/>
    <cellStyle name="Millares 3 2 5" xfId="301" xr:uid="{06E6EB75-9753-4DFF-AE34-2D810EDAE92A}"/>
    <cellStyle name="Millares 3 3" xfId="129" xr:uid="{5F883CA1-2AE2-4B68-8040-6024E3EA058F}"/>
    <cellStyle name="Millares 3 3 2" xfId="218" xr:uid="{B80CF685-9DB1-47B9-ABC9-8E338E2A143D}"/>
    <cellStyle name="Millares 3 3 2 2" xfId="404" xr:uid="{C70AD254-D8D5-40DB-B69A-4CE5A7CDAC7D}"/>
    <cellStyle name="Millares 3 3 3" xfId="322" xr:uid="{E72192A2-9E6A-40F5-B162-A00AE00EEF15}"/>
    <cellStyle name="Millares 3 4" xfId="178" xr:uid="{C3EE13E2-BF1C-4EBF-8E87-BFE3A209627E}"/>
    <cellStyle name="Millares 3 4 2" xfId="364" xr:uid="{E62D3C20-273E-4515-9C2A-2216329C9006}"/>
    <cellStyle name="Millares 3 5" xfId="282" xr:uid="{24C577DF-D734-4315-AC66-600996CE04D3}"/>
    <cellStyle name="Millares 30 2 2" xfId="58" xr:uid="{AF336DF1-392F-4DE0-9494-904DDFCCF2B7}"/>
    <cellStyle name="Millares 30 2 2 2" xfId="77" xr:uid="{067DFC6F-D107-41B1-9A96-B2B701AD65F9}"/>
    <cellStyle name="Millares 30 2 2 2 2" xfId="105" xr:uid="{57385DB8-EA66-468E-9853-51C018B088EE}"/>
    <cellStyle name="Millares 30 2 2 2 2 2" xfId="153" xr:uid="{A6D77D94-64CE-4A55-A059-AE97BB7AD6A7}"/>
    <cellStyle name="Millares 30 2 2 2 2 2 2" xfId="242" xr:uid="{7419B6B9-5066-46C9-A181-88E8157E97B0}"/>
    <cellStyle name="Millares 30 2 2 2 2 2 2 2" xfId="428" xr:uid="{E24072C8-0882-412E-B9DA-6A8A885A4278}"/>
    <cellStyle name="Millares 30 2 2 2 2 2 3" xfId="346" xr:uid="{83D85EB3-8696-4C07-8668-0B8241CA4E45}"/>
    <cellStyle name="Millares 30 2 2 2 2 3" xfId="202" xr:uid="{AAF8C99B-FE2F-42BB-A050-E2752FB577DD}"/>
    <cellStyle name="Millares 30 2 2 2 2 3 2" xfId="388" xr:uid="{D95DE43A-4E18-41F3-AFE0-AD1FE2049CFE}"/>
    <cellStyle name="Millares 30 2 2 2 2 4" xfId="306" xr:uid="{98151C00-8960-46B9-A711-301D6BCFE171}"/>
    <cellStyle name="Millares 30 2 2 2 3" xfId="134" xr:uid="{F53A6B51-EC8A-4694-B449-92F5FB2860E4}"/>
    <cellStyle name="Millares 30 2 2 2 3 2" xfId="223" xr:uid="{47F0844E-6CE4-43C6-B160-87C87E9FB01F}"/>
    <cellStyle name="Millares 30 2 2 2 3 2 2" xfId="409" xr:uid="{26D0A520-485E-46A8-99ED-EDC8C35B19D2}"/>
    <cellStyle name="Millares 30 2 2 2 3 3" xfId="327" xr:uid="{6575AD6B-9532-4310-80FC-E24429CAC54C}"/>
    <cellStyle name="Millares 30 2 2 2 4" xfId="183" xr:uid="{74C1EF69-CDDD-4DAE-B8E3-2D1D6E7A551D}"/>
    <cellStyle name="Millares 30 2 2 2 4 2" xfId="369" xr:uid="{10DF2A85-60DB-478A-8321-33C65289F7AF}"/>
    <cellStyle name="Millares 30 2 2 2 5" xfId="287" xr:uid="{22674433-612A-4587-8F80-82206A294437}"/>
    <cellStyle name="Millares 30 2 2 3" xfId="95" xr:uid="{7400915B-3221-4D93-850A-845C5ED160E9}"/>
    <cellStyle name="Millares 30 2 2 3 2" xfId="144" xr:uid="{2FA06BCC-7CA3-4003-ADF2-92ED9BFD8FA5}"/>
    <cellStyle name="Millares 30 2 2 3 2 2" xfId="233" xr:uid="{DD5DD0EE-EFF6-46DB-972F-3D1AB28C3C0A}"/>
    <cellStyle name="Millares 30 2 2 3 2 2 2" xfId="419" xr:uid="{2CC9D082-A4C6-441A-A635-9BB82A7EE681}"/>
    <cellStyle name="Millares 30 2 2 3 2 3" xfId="337" xr:uid="{FB297233-E1DF-4FB9-BC84-2D2DE55B3892}"/>
    <cellStyle name="Millares 30 2 2 3 3" xfId="193" xr:uid="{901E402E-7EA0-4FBB-80A9-968FB7D25964}"/>
    <cellStyle name="Millares 30 2 2 3 3 2" xfId="379" xr:uid="{DFD49BE0-9E56-417F-9B28-82DD976F2896}"/>
    <cellStyle name="Millares 30 2 2 3 4" xfId="297" xr:uid="{56535153-02BC-47BC-80D9-C8DDD0E58263}"/>
    <cellStyle name="Millares 30 2 2 4" xfId="124" xr:uid="{1AF3C08C-050C-4C76-A3BB-C6AF2B8A7461}"/>
    <cellStyle name="Millares 30 2 2 4 2" xfId="214" xr:uid="{95128E8A-55E3-4420-84FA-AE1F5417C441}"/>
    <cellStyle name="Millares 30 2 2 4 2 2" xfId="400" xr:uid="{37444D61-1029-45FE-925C-22F281DBC191}"/>
    <cellStyle name="Millares 30 2 2 4 3" xfId="318" xr:uid="{3C37C016-A089-440C-AE82-C6660C29AE09}"/>
    <cellStyle name="Millares 30 2 2 5" xfId="174" xr:uid="{D5F6B4C9-69A9-4FD0-8AAD-189B47225069}"/>
    <cellStyle name="Millares 30 2 2 5 2" xfId="360" xr:uid="{5CE62008-5593-47CB-8012-9471B1939674}"/>
    <cellStyle name="Millares 30 2 2 6" xfId="263" xr:uid="{6A4F161A-276E-457D-8C3D-AA741A51FD3F}"/>
    <cellStyle name="Millares 30 2 2 7" xfId="278" xr:uid="{5C233037-CDC3-43CE-BE88-3F0B860F8389}"/>
    <cellStyle name="Millares 4" xfId="80" xr:uid="{946A417D-6AC4-4A36-A744-F2DBF4E0A549}"/>
    <cellStyle name="Millares 4 2" xfId="107" xr:uid="{44056903-6D87-4A57-8EA3-81FAA3EB018F}"/>
    <cellStyle name="Millares 4 2 2" xfId="155" xr:uid="{9DAA71E2-69EE-44EE-BD36-1912597E2A9B}"/>
    <cellStyle name="Millares 4 2 2 2" xfId="244" xr:uid="{55331BCD-BE59-456E-A09F-A3B6A6011E77}"/>
    <cellStyle name="Millares 4 2 2 2 2" xfId="430" xr:uid="{0E5C4717-01FD-43DA-811C-753C713AF093}"/>
    <cellStyle name="Millares 4 2 2 3" xfId="348" xr:uid="{7EF90130-9330-4398-B1B6-341BD7530455}"/>
    <cellStyle name="Millares 4 2 3" xfId="204" xr:uid="{40EDEC60-CD22-4E94-8A24-DBF2AF3690C9}"/>
    <cellStyle name="Millares 4 2 3 2" xfId="390" xr:uid="{4AC1AABC-8A8E-4728-A241-44D9E0A60091}"/>
    <cellStyle name="Millares 4 2 4" xfId="308" xr:uid="{9E2BF1CB-C225-4829-A785-62267D97CA15}"/>
    <cellStyle name="Millares 4 3" xfId="136" xr:uid="{C6E128E5-4CE4-40E2-8B38-3B677394AD05}"/>
    <cellStyle name="Millares 4 3 2" xfId="225" xr:uid="{84476644-9A6A-48F7-B340-418503F25B00}"/>
    <cellStyle name="Millares 4 3 2 2" xfId="411" xr:uid="{987DDE28-CA61-4EB2-977C-25A7EBFB7C15}"/>
    <cellStyle name="Millares 4 3 3" xfId="329" xr:uid="{C418624E-AA10-495F-A833-382F5D7EE066}"/>
    <cellStyle name="Millares 4 4" xfId="185" xr:uid="{1DFE9698-9145-4BE9-9CB2-43FA9F287267}"/>
    <cellStyle name="Millares 4 4 2" xfId="371" xr:uid="{551DDC93-8EBA-4ACD-B6FC-ACA1F8E9EEDD}"/>
    <cellStyle name="Millares 4 5" xfId="289" xr:uid="{58E5F5B8-77B0-440D-BE1E-191386D37620}"/>
    <cellStyle name="Millares 5" xfId="64" xr:uid="{4C1CBC64-5DDB-4616-91BC-81E472D72F4C}"/>
    <cellStyle name="Millares 5 2" xfId="99" xr:uid="{F4E314F1-759C-422C-A5CF-57A663DFFE0D}"/>
    <cellStyle name="Millares 5 2 2" xfId="147" xr:uid="{DDE0E3B1-C17A-4012-98EB-AE5654390454}"/>
    <cellStyle name="Millares 5 2 2 2" xfId="236" xr:uid="{F88AB4CD-4F1F-49A6-8DA3-DAD6CAFC941F}"/>
    <cellStyle name="Millares 5 2 2 2 2" xfId="422" xr:uid="{D39828E6-759F-406B-BD82-2B36A4DFA9BA}"/>
    <cellStyle name="Millares 5 2 2 3" xfId="340" xr:uid="{C0A7AABD-21E1-4B30-86D2-AE028BF17FF2}"/>
    <cellStyle name="Millares 5 2 3" xfId="196" xr:uid="{9D9B78E6-4C5B-44A6-8DC8-1E1E66A13A42}"/>
    <cellStyle name="Millares 5 2 3 2" xfId="382" xr:uid="{BFD2DAD9-BCC9-4450-B4F3-225CB93837C1}"/>
    <cellStyle name="Millares 5 2 4" xfId="300" xr:uid="{2A70DC06-E583-40FF-AD4F-5D61C6F255FA}"/>
    <cellStyle name="Millares 5 3" xfId="128" xr:uid="{C5D6B74F-0841-4E80-B702-5C874BE44388}"/>
    <cellStyle name="Millares 5 3 2" xfId="217" xr:uid="{996FC981-644B-440A-B13A-624F58FAEC8E}"/>
    <cellStyle name="Millares 5 3 2 2" xfId="403" xr:uid="{654E47EF-6FE3-431D-8C17-132FE24902BF}"/>
    <cellStyle name="Millares 5 3 3" xfId="321" xr:uid="{92B77EB7-3B8E-461E-B37B-526A13A8F8A2}"/>
    <cellStyle name="Millares 5 4" xfId="177" xr:uid="{ACE6E44D-8F38-450C-B899-52BD6822E2CF}"/>
    <cellStyle name="Millares 5 4 2" xfId="363" xr:uid="{C53E4AAC-C03A-4BB7-96D1-45119C163AF7}"/>
    <cellStyle name="Millares 5 5" xfId="281" xr:uid="{8BB8094F-33C3-48DE-8FD5-2E67C93D1D19}"/>
    <cellStyle name="Millares 6" xfId="81" xr:uid="{DBE9CE6C-317D-4D8A-BEEE-68D2C868F077}"/>
    <cellStyle name="Millares 6 2" xfId="108" xr:uid="{5F835659-D135-4AD0-A3CF-4EB94BD09ED2}"/>
    <cellStyle name="Millares 6 2 2" xfId="156" xr:uid="{6AB58C23-4955-41D3-85DC-20926CD16C22}"/>
    <cellStyle name="Millares 6 2 2 2" xfId="245" xr:uid="{5F7F4F90-1544-4938-B75F-FC40EF45B699}"/>
    <cellStyle name="Millares 6 2 2 2 2" xfId="431" xr:uid="{947BADE6-6E4D-4BBB-9819-D928A8215AEB}"/>
    <cellStyle name="Millares 6 2 2 3" xfId="349" xr:uid="{26DBB5FB-2A6A-4AC8-B813-0685CCA19A48}"/>
    <cellStyle name="Millares 6 2 3" xfId="205" xr:uid="{191C682B-1993-4CEB-A751-6702A6D51E6E}"/>
    <cellStyle name="Millares 6 2 3 2" xfId="391" xr:uid="{F22B57D4-16D4-431B-BDC3-E3B570BDE093}"/>
    <cellStyle name="Millares 6 2 4" xfId="309" xr:uid="{ED4BC773-8ADA-4A7D-95DB-BBBD8AF56549}"/>
    <cellStyle name="Millares 6 3" xfId="137" xr:uid="{5AB939CF-62C4-41B5-BAC1-0BCDA486D2F2}"/>
    <cellStyle name="Millares 6 3 2" xfId="226" xr:uid="{FA303380-A144-434B-94E0-3FA38BC1CEFE}"/>
    <cellStyle name="Millares 6 3 2 2" xfId="412" xr:uid="{6A9C1A0C-6BCB-46BF-95CC-ED813DBAC374}"/>
    <cellStyle name="Millares 6 3 3" xfId="330" xr:uid="{79E730B0-F96E-435A-B93B-B01CB709ECAF}"/>
    <cellStyle name="Millares 6 4" xfId="186" xr:uid="{70907644-4AF1-4611-A642-AFA8488D225B}"/>
    <cellStyle name="Millares 6 4 2" xfId="372" xr:uid="{9D7AE0CF-5B22-4D6E-A17E-EB36247597DC}"/>
    <cellStyle name="Millares 6 5" xfId="290" xr:uid="{5E6CA252-EDEB-4D5C-9A9F-E12BF90C4725}"/>
    <cellStyle name="Millares 7" xfId="82" xr:uid="{24440625-481B-4AD8-BAF7-EB336E17E6BD}"/>
    <cellStyle name="Millares 7 2" xfId="109" xr:uid="{4606E317-19F8-4D11-BED8-9991DE2226D6}"/>
    <cellStyle name="Millares 7 2 2" xfId="157" xr:uid="{CB852D87-5259-49DD-AC58-A6316A5A60BA}"/>
    <cellStyle name="Millares 7 2 2 2" xfId="246" xr:uid="{39253266-30A7-4B6D-9753-ABD7DF0A9E1B}"/>
    <cellStyle name="Millares 7 2 2 2 2" xfId="432" xr:uid="{6BA6FB59-A32B-4C57-9BBF-AE24677484DB}"/>
    <cellStyle name="Millares 7 2 2 3" xfId="350" xr:uid="{B009ED7A-D39E-42CD-A12F-E0767615D8FE}"/>
    <cellStyle name="Millares 7 2 3" xfId="206" xr:uid="{F4C8F614-01A8-470D-8D3D-6D0A7A6DFB60}"/>
    <cellStyle name="Millares 7 2 3 2" xfId="392" xr:uid="{4E1D0A90-47CD-4D29-8CB7-AC21CB17CA66}"/>
    <cellStyle name="Millares 7 2 4" xfId="310" xr:uid="{3CF3D3FF-5C54-4ACC-B42C-356577C86A9B}"/>
    <cellStyle name="Millares 7 3" xfId="138" xr:uid="{AE5487E7-9986-40E8-9EC3-B8330A3CC21B}"/>
    <cellStyle name="Millares 7 3 2" xfId="227" xr:uid="{013935D5-A5EB-48AD-A3E4-5F670E89DAC9}"/>
    <cellStyle name="Millares 7 3 2 2" xfId="413" xr:uid="{E490BFFC-B71B-42B1-AA78-DC24A2CDCB4F}"/>
    <cellStyle name="Millares 7 3 3" xfId="331" xr:uid="{D7810595-A9F5-46D2-BB9E-23696A8FFA74}"/>
    <cellStyle name="Millares 7 4" xfId="187" xr:uid="{F47E534F-40EC-45F3-B92F-A0737FC7E4E4}"/>
    <cellStyle name="Millares 7 4 2" xfId="373" xr:uid="{86B3BAE8-48B4-4144-88FF-71C05BB7111F}"/>
    <cellStyle name="Millares 7 5" xfId="291" xr:uid="{3B79D9A6-463E-4E31-821D-AEEE1DF204E5}"/>
    <cellStyle name="Millares 79" xfId="48" xr:uid="{06154DD9-0B0A-4528-A572-274B7BAEBD52}"/>
    <cellStyle name="Millares 79 2" xfId="75" xr:uid="{6FF62E84-2ACC-4E83-858F-A99A6E547EC2}"/>
    <cellStyle name="Millares 79 2 2" xfId="104" xr:uid="{C1BA4B53-7AEF-46DB-9F3C-1E1498A79F2F}"/>
    <cellStyle name="Millares 79 2 2 2" xfId="152" xr:uid="{49C00AAF-285A-4436-9271-92F9EA6A901F}"/>
    <cellStyle name="Millares 79 2 2 2 2" xfId="241" xr:uid="{B046D418-83C9-443C-A397-F72044AA64B6}"/>
    <cellStyle name="Millares 79 2 2 2 2 2" xfId="427" xr:uid="{342E261A-D87E-4FFB-8E15-F0535D97C7AC}"/>
    <cellStyle name="Millares 79 2 2 2 3" xfId="345" xr:uid="{CFB30582-4C7D-4A10-89F9-908E9032727C}"/>
    <cellStyle name="Millares 79 2 2 3" xfId="201" xr:uid="{6F9B4B0A-7DA1-41F6-8F7B-97D631F2842C}"/>
    <cellStyle name="Millares 79 2 2 3 2" xfId="387" xr:uid="{7FA92138-CDF7-4999-AF80-7B4A7B3E09FD}"/>
    <cellStyle name="Millares 79 2 2 4" xfId="305" xr:uid="{80121F71-CDB7-4CA4-9078-BD3475647D38}"/>
    <cellStyle name="Millares 79 2 3" xfId="133" xr:uid="{288459C7-5B17-4D27-9DD5-D6B978872F2F}"/>
    <cellStyle name="Millares 79 2 3 2" xfId="222" xr:uid="{02894DA1-2572-4F9A-A463-200B145B1AED}"/>
    <cellStyle name="Millares 79 2 3 2 2" xfId="408" xr:uid="{84DC98BA-0FBD-4D9B-A727-F0BA66D14641}"/>
    <cellStyle name="Millares 79 2 3 3" xfId="326" xr:uid="{9DCBCE57-DAEF-4668-9AC5-4E29F40C2A65}"/>
    <cellStyle name="Millares 79 2 4" xfId="182" xr:uid="{47F7DCB0-6B44-43A7-8ECD-7F5EF9F7819E}"/>
    <cellStyle name="Millares 79 2 4 2" xfId="368" xr:uid="{CA8CF0A5-61AD-4B8F-BEAA-72FD0060491C}"/>
    <cellStyle name="Millares 79 2 5" xfId="286" xr:uid="{C53926F7-C2A0-4343-8DBD-8B84C5D66AA4}"/>
    <cellStyle name="Millares 79 3" xfId="93" xr:uid="{097EDAE1-0D8F-4987-AE7D-6F8BB34638CD}"/>
    <cellStyle name="Millares 79 3 2" xfId="143" xr:uid="{AAF3FA80-0B36-4171-AC1C-15BBA1123463}"/>
    <cellStyle name="Millares 79 3 2 2" xfId="232" xr:uid="{8920EE3D-E045-46A7-9C7A-27D151386513}"/>
    <cellStyle name="Millares 79 3 2 2 2" xfId="418" xr:uid="{1971ED79-311A-48A9-B790-4D3DAB370EFC}"/>
    <cellStyle name="Millares 79 3 2 3" xfId="336" xr:uid="{3DDA8FA7-FA95-4BF8-AFB3-5A978DF0BCFC}"/>
    <cellStyle name="Millares 79 3 3" xfId="192" xr:uid="{AB3D6C31-644F-4CE0-8C45-32ED9C5209D7}"/>
    <cellStyle name="Millares 79 3 3 2" xfId="378" xr:uid="{4234802B-4E82-419B-94DC-66C576CEF382}"/>
    <cellStyle name="Millares 79 3 4" xfId="296" xr:uid="{6394D658-363D-43C9-A6E0-99412EFB0C0E}"/>
    <cellStyle name="Millares 79 4" xfId="122" xr:uid="{4D7B5698-61A6-4402-8CB7-58E1175364BC}"/>
    <cellStyle name="Millares 79 4 2" xfId="213" xr:uid="{FE0B2AB4-C99D-46AB-B489-0C10BDF64FCE}"/>
    <cellStyle name="Millares 79 4 2 2" xfId="399" xr:uid="{D3944542-5963-4CEF-897D-BE766284AD59}"/>
    <cellStyle name="Millares 79 4 3" xfId="317" xr:uid="{58ACCF91-C8D8-4229-A505-7796E2FB9FCC}"/>
    <cellStyle name="Millares 79 5" xfId="172" xr:uid="{D3244B06-E7B1-42CC-858C-9D125356F120}"/>
    <cellStyle name="Millares 79 5 2" xfId="359" xr:uid="{B4B51DF8-4C30-4CF4-8861-FD87F08525A6}"/>
    <cellStyle name="Millares 79 6" xfId="260" xr:uid="{58BC9E4D-4CBB-410F-B9C5-D5D333CAD1FC}"/>
    <cellStyle name="Millares 79 7" xfId="276" xr:uid="{12FEEDE1-2143-4BB0-9CF0-674978D0EE7A}"/>
    <cellStyle name="Millares 8" xfId="89" xr:uid="{284DA04F-F570-497B-95CE-EF9C437A24B1}"/>
    <cellStyle name="Millares 8 2" xfId="139" xr:uid="{5A6E610B-6C42-4A74-A6DF-EB9F65AA97FA}"/>
    <cellStyle name="Millares 8 2 2" xfId="228" xr:uid="{A73231C3-064E-4C61-937F-4740DD616E65}"/>
    <cellStyle name="Millares 8 2 2 2" xfId="414" xr:uid="{9E68E963-8BA2-4A8C-8D1B-BBD57794C429}"/>
    <cellStyle name="Millares 8 2 3" xfId="332" xr:uid="{752F1346-7F77-42B2-90B1-0FB0B7D1E854}"/>
    <cellStyle name="Millares 8 3" xfId="188" xr:uid="{357ACE43-D4AE-4ED3-B68E-A7FCEF509641}"/>
    <cellStyle name="Millares 8 3 2" xfId="374" xr:uid="{F40193DA-9F90-414A-9C78-8011D95C0BDA}"/>
    <cellStyle name="Millares 8 4" xfId="292" xr:uid="{9118BBA2-A1A1-4472-AF96-9F5DAB38FE44}"/>
    <cellStyle name="Millares 9" xfId="110" xr:uid="{B8C0B772-1A71-42FD-86A3-9650CE8CBDE0}"/>
    <cellStyle name="Millares 9 2" xfId="158" xr:uid="{74E361D2-E5F3-4C7C-9B00-75CBD3461901}"/>
    <cellStyle name="Millares 9 2 2" xfId="247" xr:uid="{1A180AFB-7AAF-4EC6-9FB4-D3FF7C448A52}"/>
    <cellStyle name="Millares 9 2 2 2" xfId="433" xr:uid="{EC00CCB8-01B2-4AF8-BDB1-0B60CC307470}"/>
    <cellStyle name="Millares 9 2 3" xfId="351" xr:uid="{AFDAEA08-E495-473F-94BD-279B3145AADE}"/>
    <cellStyle name="Millares 9 3" xfId="207" xr:uid="{49F84D61-F62E-443D-B27E-827087032BD5}"/>
    <cellStyle name="Millares 9 3 2" xfId="393" xr:uid="{816351E7-BF70-48D6-B413-60223A969C17}"/>
    <cellStyle name="Millares 9 4" xfId="311" xr:uid="{D4849AE1-13CD-430A-8D47-1A3DABAB1595}"/>
    <cellStyle name="Neutral 2" xfId="76" xr:uid="{CC4D2681-495D-4093-9665-F5642EE2C997}"/>
    <cellStyle name="Neutral 3" xfId="94" xr:uid="{EC0B38B3-F2CF-4918-8F1B-D74012EE281E}"/>
    <cellStyle name="Neutral 4" xfId="123" xr:uid="{FDBD4FDF-8637-4B66-ABD8-BF8F4BE87332}"/>
    <cellStyle name="Neutral 5" xfId="173" xr:uid="{57F59255-2F83-4604-A05D-DB394009849E}"/>
    <cellStyle name="Neutral 6" xfId="261" xr:uid="{CB0C4454-8E8C-422A-92A2-63171A8FA4FB}"/>
    <cellStyle name="Neutral 7" xfId="277" xr:uid="{A88DB509-B2BE-4296-8E30-E3165BD2D822}"/>
    <cellStyle name="Neutral 8" xfId="49" xr:uid="{5EB5C6F7-AFDA-4060-9816-7E99FD7B783D}"/>
    <cellStyle name="Normal" xfId="0" builtinId="0"/>
    <cellStyle name="Normal 15" xfId="50" xr:uid="{B3E678F4-7BA8-4869-B2F0-88E0BA0976A0}"/>
    <cellStyle name="Normal 2" xfId="51" xr:uid="{B9379134-7FD6-476F-92A6-5A30FC49256B}"/>
    <cellStyle name="Normal 2 10" xfId="52" xr:uid="{3A220C7D-B704-4BAE-B88F-4BDBDCF4504A}"/>
    <cellStyle name="Normal 3" xfId="53" xr:uid="{473A84C8-B804-4A0F-9FDD-8A681D34179E}"/>
    <cellStyle name="Normal 3 57" xfId="62" xr:uid="{961705D4-E9CD-4FB4-B73A-0CAEBB0E17FC}"/>
    <cellStyle name="Normal 4" xfId="54" xr:uid="{1CEBE610-04E2-462B-A73C-DF965277ADDF}"/>
    <cellStyle name="Normal 4 10" xfId="55" xr:uid="{0D6700B3-5631-409B-A1D5-19AF401F271C}"/>
    <cellStyle name="Normal 5" xfId="56" xr:uid="{6EAD911B-2FE6-47E6-BA50-0B337F0E32C4}"/>
    <cellStyle name="Notas" xfId="15" builtinId="10" customBuiltin="1"/>
    <cellStyle name="Porcentaje" xfId="1" builtinId="5"/>
    <cellStyle name="Porcentaje 2" xfId="79" xr:uid="{C86CF153-1389-41A5-81B5-5D4E116C9404}"/>
    <cellStyle name="Porcentaje 3" xfId="97" xr:uid="{34ABC28B-A141-4EDE-ACEB-A4F1EDB6E2E7}"/>
    <cellStyle name="Porcentaje 4" xfId="126" xr:uid="{A3626654-64C9-4746-A8B2-D172E4243907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1CA4-9EA4-46D9-B067-DB1D63E299EE}">
  <sheetPr>
    <tabColor rgb="FF002060"/>
  </sheetPr>
  <dimension ref="A1:CY70"/>
  <sheetViews>
    <sheetView tabSelected="1" topLeftCell="C1" workbookViewId="0">
      <pane xSplit="3" ySplit="3" topLeftCell="AN8" activePane="bottomRight" state="frozen"/>
      <selection activeCell="C1" sqref="C1"/>
      <selection pane="topRight" activeCell="F1" sqref="F1"/>
      <selection pane="bottomLeft" activeCell="C4" sqref="C4"/>
      <selection pane="bottomRight" activeCell="AR13" sqref="AR13"/>
    </sheetView>
  </sheetViews>
  <sheetFormatPr baseColWidth="10" defaultRowHeight="14"/>
  <cols>
    <col min="1" max="2" width="0" hidden="1" customWidth="1"/>
    <col min="4" max="4" width="47.796875" bestFit="1" customWidth="1"/>
    <col min="5" max="5" width="14.19921875" bestFit="1" customWidth="1"/>
    <col min="6" max="7" width="13.69921875" customWidth="1"/>
  </cols>
  <sheetData>
    <row r="1" spans="1:103">
      <c r="C1" s="38" t="s">
        <v>0</v>
      </c>
      <c r="D1" s="38" t="s">
        <v>1</v>
      </c>
      <c r="E1" s="41" t="s">
        <v>2</v>
      </c>
      <c r="F1" s="17"/>
      <c r="G1" s="17"/>
    </row>
    <row r="2" spans="1:103">
      <c r="C2" s="39" t="s">
        <v>3</v>
      </c>
      <c r="D2" s="39" t="s">
        <v>4</v>
      </c>
      <c r="E2" s="42">
        <v>0</v>
      </c>
      <c r="F2" s="17"/>
      <c r="G2" s="17"/>
    </row>
    <row r="3" spans="1:103">
      <c r="C3" s="40" t="s">
        <v>5</v>
      </c>
      <c r="D3" s="40" t="s">
        <v>6</v>
      </c>
      <c r="E3" s="2">
        <v>0</v>
      </c>
      <c r="F3" s="18"/>
      <c r="G3" s="18"/>
      <c r="H3" s="7" t="s">
        <v>119</v>
      </c>
      <c r="I3" s="8" t="s">
        <v>120</v>
      </c>
      <c r="J3" s="9" t="s">
        <v>121</v>
      </c>
      <c r="K3" s="8" t="s">
        <v>119</v>
      </c>
      <c r="L3" s="8" t="s">
        <v>120</v>
      </c>
      <c r="M3" s="9" t="s">
        <v>121</v>
      </c>
      <c r="N3" s="8" t="s">
        <v>119</v>
      </c>
      <c r="O3" s="8" t="s">
        <v>120</v>
      </c>
      <c r="P3" s="9" t="s">
        <v>121</v>
      </c>
      <c r="Q3" s="8" t="s">
        <v>119</v>
      </c>
      <c r="R3" s="8" t="s">
        <v>120</v>
      </c>
      <c r="S3" s="9" t="s">
        <v>121</v>
      </c>
      <c r="T3" s="8" t="s">
        <v>119</v>
      </c>
      <c r="U3" s="8" t="s">
        <v>120</v>
      </c>
      <c r="V3" s="9" t="s">
        <v>121</v>
      </c>
      <c r="W3" s="8" t="s">
        <v>119</v>
      </c>
      <c r="X3" s="8" t="s">
        <v>120</v>
      </c>
      <c r="Y3" s="9" t="s">
        <v>121</v>
      </c>
      <c r="Z3" s="8" t="s">
        <v>119</v>
      </c>
      <c r="AA3" s="8" t="s">
        <v>120</v>
      </c>
      <c r="AB3" s="9" t="s">
        <v>121</v>
      </c>
      <c r="AC3" s="8" t="s">
        <v>119</v>
      </c>
      <c r="AD3" s="8" t="s">
        <v>120</v>
      </c>
      <c r="AE3" s="9" t="s">
        <v>121</v>
      </c>
      <c r="AF3" s="8" t="s">
        <v>119</v>
      </c>
      <c r="AG3" s="8" t="s">
        <v>120</v>
      </c>
      <c r="AH3" s="9" t="s">
        <v>121</v>
      </c>
      <c r="AI3" s="8" t="s">
        <v>119</v>
      </c>
      <c r="AJ3" s="8" t="s">
        <v>120</v>
      </c>
      <c r="AK3" s="9" t="s">
        <v>121</v>
      </c>
      <c r="AL3" s="8" t="s">
        <v>119</v>
      </c>
      <c r="AM3" s="8" t="s">
        <v>120</v>
      </c>
      <c r="AN3" s="9" t="s">
        <v>121</v>
      </c>
      <c r="AO3" s="8" t="s">
        <v>119</v>
      </c>
      <c r="AP3" s="8" t="s">
        <v>120</v>
      </c>
      <c r="AQ3" s="9" t="s">
        <v>121</v>
      </c>
      <c r="AR3" s="8" t="s">
        <v>119</v>
      </c>
      <c r="AS3" s="8" t="s">
        <v>120</v>
      </c>
      <c r="AT3" s="9" t="s">
        <v>121</v>
      </c>
      <c r="AU3" s="8" t="s">
        <v>119</v>
      </c>
      <c r="AV3" s="8" t="s">
        <v>120</v>
      </c>
      <c r="AW3" s="9" t="s">
        <v>121</v>
      </c>
      <c r="AX3" s="8" t="s">
        <v>119</v>
      </c>
      <c r="AY3" s="8" t="s">
        <v>120</v>
      </c>
      <c r="AZ3" s="9" t="s">
        <v>121</v>
      </c>
      <c r="BA3" s="8" t="s">
        <v>119</v>
      </c>
      <c r="BB3" s="8" t="s">
        <v>120</v>
      </c>
      <c r="BC3" s="9" t="s">
        <v>121</v>
      </c>
      <c r="BD3" s="8" t="s">
        <v>119</v>
      </c>
      <c r="BE3" s="8" t="s">
        <v>120</v>
      </c>
      <c r="BF3" s="9" t="s">
        <v>121</v>
      </c>
      <c r="BG3" s="8" t="s">
        <v>119</v>
      </c>
      <c r="BH3" s="8" t="s">
        <v>120</v>
      </c>
      <c r="BI3" s="9" t="s">
        <v>121</v>
      </c>
      <c r="BJ3" s="8" t="s">
        <v>119</v>
      </c>
      <c r="BK3" s="8" t="s">
        <v>120</v>
      </c>
      <c r="BL3" s="9" t="s">
        <v>121</v>
      </c>
      <c r="BM3" s="8" t="s">
        <v>119</v>
      </c>
      <c r="BN3" s="8" t="s">
        <v>120</v>
      </c>
      <c r="BO3" s="9" t="s">
        <v>121</v>
      </c>
      <c r="BP3" s="8" t="s">
        <v>119</v>
      </c>
      <c r="BQ3" s="8" t="s">
        <v>120</v>
      </c>
      <c r="BR3" s="9" t="s">
        <v>121</v>
      </c>
      <c r="BS3" s="8" t="s">
        <v>119</v>
      </c>
      <c r="BT3" s="8" t="s">
        <v>120</v>
      </c>
      <c r="BU3" s="9" t="s">
        <v>121</v>
      </c>
      <c r="BV3" s="8" t="s">
        <v>119</v>
      </c>
      <c r="BW3" s="8" t="s">
        <v>120</v>
      </c>
      <c r="BX3" s="9" t="s">
        <v>121</v>
      </c>
      <c r="BY3" s="8" t="s">
        <v>119</v>
      </c>
      <c r="BZ3" s="8" t="s">
        <v>120</v>
      </c>
      <c r="CA3" s="9" t="s">
        <v>121</v>
      </c>
      <c r="CB3" s="8" t="s">
        <v>119</v>
      </c>
      <c r="CC3" s="8" t="s">
        <v>120</v>
      </c>
      <c r="CD3" s="9" t="s">
        <v>121</v>
      </c>
      <c r="CE3" s="8" t="s">
        <v>119</v>
      </c>
      <c r="CF3" s="8" t="s">
        <v>120</v>
      </c>
      <c r="CG3" s="9" t="s">
        <v>121</v>
      </c>
      <c r="CH3" s="8" t="s">
        <v>119</v>
      </c>
      <c r="CI3" s="8" t="s">
        <v>120</v>
      </c>
      <c r="CJ3" s="9" t="s">
        <v>121</v>
      </c>
      <c r="CK3" s="8" t="s">
        <v>119</v>
      </c>
      <c r="CL3" s="8" t="s">
        <v>120</v>
      </c>
      <c r="CM3" s="9" t="s">
        <v>121</v>
      </c>
      <c r="CN3" s="8" t="s">
        <v>119</v>
      </c>
      <c r="CO3" s="8" t="s">
        <v>120</v>
      </c>
      <c r="CP3" s="9" t="s">
        <v>121</v>
      </c>
      <c r="CQ3" s="8" t="s">
        <v>119</v>
      </c>
      <c r="CR3" s="8" t="s">
        <v>120</v>
      </c>
      <c r="CS3" s="9" t="s">
        <v>121</v>
      </c>
      <c r="CT3" s="8" t="s">
        <v>119</v>
      </c>
      <c r="CU3" s="8" t="s">
        <v>120</v>
      </c>
      <c r="CV3" s="9" t="s">
        <v>121</v>
      </c>
      <c r="CW3" s="8" t="s">
        <v>119</v>
      </c>
      <c r="CX3" s="8" t="s">
        <v>120</v>
      </c>
      <c r="CY3" s="9" t="s">
        <v>121</v>
      </c>
    </row>
    <row r="4" spans="1:103">
      <c r="A4" t="b">
        <f>EXACT(B4,C4)</f>
        <v>1</v>
      </c>
      <c r="B4" t="str">
        <f>+EERR!A2</f>
        <v>3.1.01.103</v>
      </c>
      <c r="C4" s="3" t="s">
        <v>7</v>
      </c>
      <c r="D4" s="3" t="s">
        <v>8</v>
      </c>
      <c r="E4" s="23">
        <v>246614292</v>
      </c>
      <c r="F4" s="19"/>
      <c r="G4" s="19"/>
      <c r="H4" s="10"/>
      <c r="I4" s="11"/>
      <c r="J4" s="12"/>
      <c r="K4" s="14"/>
      <c r="L4" s="15"/>
      <c r="M4" s="16"/>
      <c r="N4" s="14"/>
      <c r="O4" s="15"/>
      <c r="P4" s="16"/>
      <c r="Q4" s="14"/>
      <c r="R4" s="15"/>
      <c r="S4" s="16"/>
      <c r="T4" s="14"/>
      <c r="U4" s="15"/>
      <c r="V4" s="16"/>
      <c r="W4" s="14"/>
      <c r="X4" s="15"/>
      <c r="Y4" s="16"/>
      <c r="Z4" s="14"/>
      <c r="AA4" s="15"/>
      <c r="AB4" s="16"/>
      <c r="AC4" s="14"/>
      <c r="AD4" s="15"/>
      <c r="AE4" s="16"/>
      <c r="AF4" s="14"/>
      <c r="AG4" s="15"/>
      <c r="AH4" s="16"/>
      <c r="AI4" s="14"/>
      <c r="AJ4" s="15"/>
      <c r="AK4" s="16"/>
      <c r="AL4" s="14"/>
      <c r="AM4" s="15"/>
      <c r="AN4" s="16"/>
      <c r="AO4" s="14"/>
      <c r="AP4" s="15"/>
      <c r="AQ4" s="16"/>
      <c r="AR4" s="14"/>
      <c r="AS4" s="15"/>
      <c r="AT4" s="16"/>
      <c r="AU4" s="14"/>
      <c r="AV4" s="15"/>
      <c r="AW4" s="16"/>
      <c r="AX4" s="14"/>
      <c r="AY4" s="15"/>
      <c r="AZ4" s="16"/>
      <c r="BA4" s="14"/>
      <c r="BB4" s="15"/>
      <c r="BC4" s="16"/>
      <c r="BD4" s="14"/>
      <c r="BE4" s="15"/>
      <c r="BF4" s="16"/>
      <c r="BG4" s="14"/>
      <c r="BH4" s="15"/>
      <c r="BI4" s="16"/>
      <c r="BJ4" s="14"/>
      <c r="BK4" s="15"/>
      <c r="BL4" s="16"/>
      <c r="BM4" s="14"/>
      <c r="BN4" s="15"/>
      <c r="BO4" s="16"/>
      <c r="BP4" s="14"/>
      <c r="BQ4" s="15"/>
      <c r="BR4" s="16"/>
      <c r="BS4" s="14"/>
      <c r="BT4" s="15"/>
      <c r="BU4" s="16"/>
      <c r="BV4" s="14"/>
      <c r="BW4" s="15"/>
      <c r="BX4" s="16"/>
      <c r="BY4" s="14"/>
      <c r="BZ4" s="15"/>
      <c r="CA4" s="16"/>
      <c r="CB4" s="14"/>
      <c r="CC4" s="15"/>
      <c r="CD4" s="16"/>
      <c r="CE4" s="14"/>
      <c r="CF4" s="15"/>
      <c r="CG4" s="16"/>
      <c r="CH4" s="10"/>
      <c r="CI4" s="11"/>
      <c r="CJ4" s="12"/>
      <c r="CK4" s="10"/>
      <c r="CL4" s="11"/>
      <c r="CM4" s="12"/>
      <c r="CN4" s="10"/>
      <c r="CO4" s="11"/>
      <c r="CP4" s="12"/>
      <c r="CQ4" s="10"/>
      <c r="CR4" s="11"/>
      <c r="CS4" s="12"/>
      <c r="CT4" s="10"/>
      <c r="CU4" s="11"/>
      <c r="CV4" s="12"/>
      <c r="CW4" s="10"/>
      <c r="CX4" s="11"/>
      <c r="CY4" s="12"/>
    </row>
    <row r="5" spans="1:103">
      <c r="A5" t="b">
        <f t="shared" ref="A5:A65" si="0">EXACT(B5,C5)</f>
        <v>1</v>
      </c>
      <c r="B5" t="str">
        <f>+EERR!A3</f>
        <v>3.1.01.300</v>
      </c>
      <c r="C5" s="3" t="s">
        <v>10</v>
      </c>
      <c r="D5" s="3" t="s">
        <v>11</v>
      </c>
      <c r="E5" s="23">
        <v>3751074</v>
      </c>
      <c r="F5" s="19"/>
      <c r="G5" s="19"/>
      <c r="H5" s="10"/>
      <c r="I5" s="11"/>
      <c r="J5" s="12"/>
      <c r="K5" s="10"/>
      <c r="L5" s="11"/>
      <c r="M5" s="12"/>
      <c r="N5" s="10"/>
      <c r="O5" s="11"/>
      <c r="P5" s="12"/>
      <c r="Q5" s="10"/>
      <c r="R5" s="11"/>
      <c r="S5" s="12"/>
      <c r="T5" s="10"/>
      <c r="U5" s="11"/>
      <c r="V5" s="12"/>
      <c r="W5" s="10"/>
      <c r="X5" s="11"/>
      <c r="Y5" s="12"/>
      <c r="Z5" s="10"/>
      <c r="AA5" s="11"/>
      <c r="AB5" s="12"/>
      <c r="AC5" s="10"/>
      <c r="AD5" s="11"/>
      <c r="AE5" s="12"/>
      <c r="AF5" s="10"/>
      <c r="AG5" s="11"/>
      <c r="AH5" s="12"/>
      <c r="AI5" s="10"/>
      <c r="AJ5" s="11"/>
      <c r="AK5" s="12"/>
      <c r="AL5" s="10"/>
      <c r="AM5" s="11"/>
      <c r="AN5" s="12"/>
      <c r="AO5" s="10"/>
      <c r="AP5" s="11"/>
      <c r="AQ5" s="12"/>
      <c r="AR5" s="10"/>
      <c r="AS5" s="11"/>
      <c r="AT5" s="12"/>
      <c r="AU5" s="10"/>
      <c r="AV5" s="11"/>
      <c r="AW5" s="12"/>
      <c r="AX5" s="10"/>
      <c r="AY5" s="11"/>
      <c r="AZ5" s="12"/>
      <c r="BA5" s="10"/>
      <c r="BB5" s="11"/>
      <c r="BC5" s="12"/>
      <c r="BD5" s="10"/>
      <c r="BE5" s="11"/>
      <c r="BF5" s="12"/>
      <c r="BG5" s="10"/>
      <c r="BH5" s="11"/>
      <c r="BI5" s="12"/>
      <c r="BJ5" s="10"/>
      <c r="BK5" s="11"/>
      <c r="BL5" s="12"/>
      <c r="BM5" s="10"/>
      <c r="BN5" s="11"/>
      <c r="BO5" s="12"/>
      <c r="BP5" s="10"/>
      <c r="BQ5" s="11"/>
      <c r="BR5" s="12"/>
      <c r="BS5" s="10"/>
      <c r="BT5" s="11"/>
      <c r="BU5" s="12"/>
      <c r="BV5" s="10"/>
      <c r="BW5" s="11"/>
      <c r="BX5" s="12"/>
      <c r="BY5" s="10"/>
      <c r="BZ5" s="11"/>
      <c r="CA5" s="12"/>
      <c r="CB5" s="10"/>
      <c r="CC5" s="11"/>
      <c r="CD5" s="12"/>
      <c r="CE5" s="10"/>
      <c r="CF5" s="11"/>
      <c r="CG5" s="12"/>
      <c r="CH5" s="10"/>
      <c r="CI5" s="11"/>
      <c r="CJ5" s="12"/>
      <c r="CK5" s="10"/>
      <c r="CL5" s="11"/>
      <c r="CM5" s="12"/>
      <c r="CN5" s="10"/>
      <c r="CO5" s="11"/>
      <c r="CP5" s="12"/>
      <c r="CQ5" s="10"/>
      <c r="CR5" s="11"/>
      <c r="CS5" s="12"/>
      <c r="CT5" s="10"/>
      <c r="CU5" s="11"/>
      <c r="CV5" s="12"/>
      <c r="CW5" s="10"/>
      <c r="CX5" s="11"/>
      <c r="CY5" s="12"/>
    </row>
    <row r="6" spans="1:103">
      <c r="A6" t="b">
        <f t="shared" si="0"/>
        <v>1</v>
      </c>
      <c r="B6" t="str">
        <f>+EERR!A4</f>
        <v>3.1.02.101</v>
      </c>
      <c r="C6" s="3" t="s">
        <v>12</v>
      </c>
      <c r="D6" s="3" t="s">
        <v>13</v>
      </c>
      <c r="E6" s="23">
        <v>-134839072</v>
      </c>
      <c r="F6" s="19"/>
      <c r="G6" s="19"/>
      <c r="H6" s="10"/>
      <c r="I6" s="11"/>
      <c r="J6" s="12"/>
      <c r="K6" s="10"/>
      <c r="L6" s="11"/>
      <c r="M6" s="12"/>
      <c r="N6" s="10"/>
      <c r="O6" s="11"/>
      <c r="P6" s="12"/>
      <c r="Q6" s="10"/>
      <c r="R6" s="11"/>
      <c r="S6" s="12"/>
      <c r="T6" s="10"/>
      <c r="U6" s="11"/>
      <c r="V6" s="12"/>
      <c r="W6" s="10"/>
      <c r="X6" s="11"/>
      <c r="Y6" s="12"/>
      <c r="Z6" s="10"/>
      <c r="AA6" s="11"/>
      <c r="AB6" s="12"/>
      <c r="AC6" s="10"/>
      <c r="AD6" s="11"/>
      <c r="AE6" s="12"/>
      <c r="AF6" s="10"/>
      <c r="AG6" s="11"/>
      <c r="AH6" s="12"/>
      <c r="AI6" s="10"/>
      <c r="AJ6" s="11"/>
      <c r="AK6" s="12"/>
      <c r="AL6" s="10"/>
      <c r="AM6" s="11"/>
      <c r="AN6" s="12"/>
      <c r="AO6" s="10"/>
      <c r="AP6" s="11"/>
      <c r="AQ6" s="12"/>
      <c r="AR6" s="10"/>
      <c r="AS6" s="11"/>
      <c r="AT6" s="12"/>
      <c r="AU6" s="10"/>
      <c r="AV6" s="11"/>
      <c r="AW6" s="12"/>
      <c r="AX6" s="10"/>
      <c r="AY6" s="11"/>
      <c r="AZ6" s="12"/>
      <c r="BA6" s="10"/>
      <c r="BB6" s="11"/>
      <c r="BC6" s="12"/>
      <c r="BD6" s="10"/>
      <c r="BE6" s="11"/>
      <c r="BF6" s="12"/>
      <c r="BG6" s="10"/>
      <c r="BH6" s="11"/>
      <c r="BI6" s="12"/>
      <c r="BJ6" s="10"/>
      <c r="BK6" s="11"/>
      <c r="BL6" s="12"/>
      <c r="BM6" s="10"/>
      <c r="BN6" s="11"/>
      <c r="BO6" s="12"/>
      <c r="BP6" s="10"/>
      <c r="BQ6" s="11"/>
      <c r="BR6" s="12"/>
      <c r="BS6" s="10"/>
      <c r="BT6" s="11"/>
      <c r="BU6" s="12"/>
      <c r="BV6" s="10"/>
      <c r="BW6" s="11"/>
      <c r="BX6" s="12"/>
      <c r="BY6" s="10"/>
      <c r="BZ6" s="11"/>
      <c r="CA6" s="12"/>
      <c r="CB6" s="10"/>
      <c r="CC6" s="11"/>
      <c r="CD6" s="12"/>
      <c r="CE6" s="10"/>
      <c r="CF6" s="11"/>
      <c r="CG6" s="12"/>
      <c r="CH6" s="10"/>
      <c r="CI6" s="11"/>
      <c r="CJ6" s="12"/>
      <c r="CK6" s="10"/>
      <c r="CL6" s="11"/>
      <c r="CM6" s="12"/>
      <c r="CN6" s="10"/>
      <c r="CO6" s="11"/>
      <c r="CP6" s="12"/>
      <c r="CQ6" s="10"/>
      <c r="CR6" s="11"/>
      <c r="CS6" s="12"/>
      <c r="CT6" s="10"/>
      <c r="CU6" s="11"/>
      <c r="CV6" s="12"/>
      <c r="CW6" s="10"/>
      <c r="CX6" s="11"/>
      <c r="CY6" s="12"/>
    </row>
    <row r="7" spans="1:103">
      <c r="A7" t="b">
        <f t="shared" si="0"/>
        <v>1</v>
      </c>
      <c r="B7" t="str">
        <f>+EERR!A5</f>
        <v>3.1.02.102</v>
      </c>
      <c r="C7" s="3" t="s">
        <v>105</v>
      </c>
      <c r="D7" s="3" t="s">
        <v>106</v>
      </c>
      <c r="E7" s="30">
        <v>-1840455</v>
      </c>
      <c r="F7" s="32">
        <f>+I7+L7+O7+R7+U7+X7+AA7+AD7+AG7+AJ7+AM7+AP7+AS7+AV7+AY7+BB7+BE7+BH7+BK7+BN7+BQ7+BT7+BW7+BZ7+CC7+CF7+CI7+CL7+CO7+CR7+CU7</f>
        <v>1840455</v>
      </c>
      <c r="G7" s="33">
        <f>+E7+F7</f>
        <v>0</v>
      </c>
      <c r="H7" s="22" t="s">
        <v>187</v>
      </c>
      <c r="I7">
        <v>179300</v>
      </c>
      <c r="J7" s="13">
        <v>300</v>
      </c>
      <c r="K7" t="s">
        <v>150</v>
      </c>
      <c r="L7">
        <v>967680</v>
      </c>
      <c r="M7" s="13">
        <v>1</v>
      </c>
      <c r="N7" t="s">
        <v>150</v>
      </c>
      <c r="O7">
        <v>725760</v>
      </c>
      <c r="P7" s="13" t="s">
        <v>169</v>
      </c>
      <c r="Q7" t="s">
        <v>150</v>
      </c>
      <c r="R7">
        <v>300000</v>
      </c>
      <c r="S7" s="13" t="s">
        <v>169</v>
      </c>
      <c r="T7" t="s">
        <v>150</v>
      </c>
      <c r="U7">
        <v>-967680</v>
      </c>
      <c r="V7" s="13">
        <v>1</v>
      </c>
      <c r="W7" t="s">
        <v>150</v>
      </c>
      <c r="X7">
        <v>-1500000</v>
      </c>
      <c r="Y7" s="13" t="s">
        <v>169</v>
      </c>
      <c r="Z7" s="22" t="s">
        <v>187</v>
      </c>
      <c r="AA7" s="31">
        <v>2135395</v>
      </c>
      <c r="AB7" s="13">
        <v>300</v>
      </c>
      <c r="AC7" s="10"/>
      <c r="AD7" s="11"/>
      <c r="AE7" s="12"/>
      <c r="AF7" s="10"/>
      <c r="AG7" s="11"/>
      <c r="AH7" s="12"/>
      <c r="AI7" s="10"/>
      <c r="AJ7" s="11"/>
      <c r="AK7" s="12"/>
      <c r="AL7" s="10"/>
      <c r="AM7" s="11"/>
      <c r="AN7" s="12"/>
      <c r="AO7" s="10"/>
      <c r="AP7" s="11"/>
      <c r="AQ7" s="12"/>
      <c r="AR7" s="10"/>
      <c r="AS7" s="11"/>
      <c r="AT7" s="12"/>
      <c r="AU7" s="10"/>
      <c r="AV7" s="11"/>
      <c r="AW7" s="12"/>
      <c r="AX7" s="10"/>
      <c r="AY7" s="11"/>
      <c r="AZ7" s="12"/>
      <c r="BA7" s="10"/>
      <c r="BB7" s="11"/>
      <c r="BC7" s="12"/>
      <c r="BD7" s="10"/>
      <c r="BE7" s="11"/>
      <c r="BF7" s="12"/>
      <c r="BG7" s="10"/>
      <c r="BH7" s="11"/>
      <c r="BI7" s="12"/>
      <c r="BJ7" s="10"/>
      <c r="BK7" s="11"/>
      <c r="BL7" s="12"/>
      <c r="BM7" s="10"/>
      <c r="BN7" s="11"/>
      <c r="BO7" s="12"/>
      <c r="BP7" s="10"/>
      <c r="BQ7" s="11"/>
      <c r="BR7" s="12"/>
      <c r="BS7" s="10"/>
      <c r="BT7" s="11"/>
      <c r="BU7" s="12"/>
      <c r="BV7" s="10"/>
      <c r="BW7" s="11"/>
      <c r="BX7" s="12"/>
      <c r="BY7" s="10"/>
      <c r="BZ7" s="11"/>
      <c r="CA7" s="12"/>
      <c r="CB7" s="10"/>
      <c r="CC7" s="11"/>
      <c r="CD7" s="12"/>
      <c r="CE7" s="10"/>
      <c r="CF7" s="11"/>
      <c r="CG7" s="12"/>
      <c r="CH7" s="10"/>
      <c r="CI7" s="11"/>
      <c r="CJ7" s="12"/>
      <c r="CK7" s="10"/>
      <c r="CL7" s="11"/>
      <c r="CM7" s="12"/>
      <c r="CN7" s="10"/>
      <c r="CO7" s="11"/>
      <c r="CP7" s="12"/>
      <c r="CQ7" s="10"/>
      <c r="CR7" s="11"/>
      <c r="CS7" s="12"/>
      <c r="CT7" s="10"/>
      <c r="CU7" s="11"/>
      <c r="CV7" s="12"/>
      <c r="CW7" s="10"/>
      <c r="CX7" s="11"/>
      <c r="CY7" s="12"/>
    </row>
    <row r="8" spans="1:103">
      <c r="A8" t="b">
        <f t="shared" si="0"/>
        <v>1</v>
      </c>
      <c r="B8" t="str">
        <f>+EERR!A6</f>
        <v>3.1.02.104</v>
      </c>
      <c r="C8" s="3" t="s">
        <v>14</v>
      </c>
      <c r="D8" s="3" t="s">
        <v>15</v>
      </c>
      <c r="E8" s="30">
        <v>-2699824</v>
      </c>
      <c r="F8" s="32">
        <f>+I8+L8+O8+R8+U8+X8+AA8+AD8+AG8+AJ8+AM8+AP8+AS8+AV8+AY8+BB8+BE8+BH8+BK8+BN8+BQ8+BT8+BW8+BZ8+CC8+CF8+CI8+CL8+CO8+CR8+CU8</f>
        <v>2699824</v>
      </c>
      <c r="G8" s="33">
        <f t="shared" ref="G8:G9" si="1">+E8+F8</f>
        <v>0</v>
      </c>
      <c r="H8" s="22" t="s">
        <v>122</v>
      </c>
      <c r="I8">
        <v>22708</v>
      </c>
      <c r="J8" s="13">
        <v>404</v>
      </c>
      <c r="K8" t="s">
        <v>122</v>
      </c>
      <c r="L8">
        <v>135671</v>
      </c>
      <c r="M8" s="13">
        <v>404</v>
      </c>
      <c r="N8" t="s">
        <v>122</v>
      </c>
      <c r="O8">
        <v>64694</v>
      </c>
      <c r="P8" s="13">
        <v>404</v>
      </c>
      <c r="Q8" t="s">
        <v>124</v>
      </c>
      <c r="R8">
        <v>1801</v>
      </c>
      <c r="S8" s="13">
        <v>402</v>
      </c>
      <c r="T8" t="s">
        <v>124</v>
      </c>
      <c r="U8">
        <v>-288630</v>
      </c>
      <c r="V8" s="13">
        <v>402</v>
      </c>
      <c r="W8" t="s">
        <v>124</v>
      </c>
      <c r="X8">
        <v>-17715</v>
      </c>
      <c r="Y8" s="13">
        <v>402</v>
      </c>
      <c r="Z8" t="s">
        <v>198</v>
      </c>
      <c r="AA8" s="31">
        <v>539421</v>
      </c>
      <c r="AB8" s="13">
        <v>400</v>
      </c>
      <c r="AC8" t="s">
        <v>123</v>
      </c>
      <c r="AD8">
        <v>2241874</v>
      </c>
      <c r="AE8" s="13">
        <v>405</v>
      </c>
      <c r="AF8" s="10"/>
      <c r="AG8" s="11"/>
      <c r="AH8" s="12"/>
      <c r="AI8" s="10"/>
      <c r="AJ8" s="11"/>
      <c r="AK8" s="12"/>
      <c r="AL8" s="10"/>
      <c r="AM8" s="11"/>
      <c r="AN8" s="12"/>
      <c r="AO8" s="10"/>
      <c r="AP8" s="11"/>
      <c r="AQ8" s="12"/>
      <c r="AR8" s="10"/>
      <c r="AS8" s="11"/>
      <c r="AT8" s="12"/>
      <c r="AU8" s="10"/>
      <c r="AV8" s="11"/>
      <c r="AW8" s="12"/>
      <c r="AX8" s="10"/>
      <c r="AY8" s="11"/>
      <c r="AZ8" s="12"/>
      <c r="BA8" s="10"/>
      <c r="BB8" s="11"/>
      <c r="BC8" s="12"/>
      <c r="BD8" s="10"/>
      <c r="BE8" s="11"/>
      <c r="BF8" s="12"/>
      <c r="BG8" s="10"/>
      <c r="BH8" s="11"/>
      <c r="BI8" s="12"/>
      <c r="BJ8" s="10"/>
      <c r="BK8" s="11"/>
      <c r="BL8" s="12"/>
      <c r="BM8" s="10"/>
      <c r="BN8" s="11"/>
      <c r="BO8" s="12"/>
      <c r="BP8" s="10"/>
      <c r="BQ8" s="11"/>
      <c r="BR8" s="12"/>
      <c r="BS8" s="10"/>
      <c r="BT8" s="11"/>
      <c r="BU8" s="12"/>
      <c r="BV8" s="10"/>
      <c r="BW8" s="11"/>
      <c r="BX8" s="12"/>
      <c r="BY8" s="10"/>
      <c r="BZ8" s="11"/>
      <c r="CA8" s="12"/>
      <c r="CB8" s="10"/>
      <c r="CC8" s="11"/>
      <c r="CD8" s="12"/>
      <c r="CE8" s="10"/>
      <c r="CF8" s="11"/>
      <c r="CG8" s="12"/>
      <c r="CH8" s="10"/>
      <c r="CI8" s="11"/>
      <c r="CJ8" s="12"/>
      <c r="CK8" s="10"/>
      <c r="CL8" s="11"/>
      <c r="CM8" s="12"/>
      <c r="CN8" s="10"/>
      <c r="CO8" s="11"/>
      <c r="CP8" s="12"/>
      <c r="CQ8" s="10"/>
      <c r="CR8" s="11"/>
      <c r="CS8" s="12"/>
      <c r="CT8" s="10"/>
      <c r="CU8" s="11"/>
      <c r="CV8" s="12"/>
      <c r="CW8" s="10"/>
      <c r="CX8" s="11"/>
      <c r="CY8" s="12"/>
    </row>
    <row r="9" spans="1:103">
      <c r="A9" t="b">
        <f t="shared" si="0"/>
        <v>1</v>
      </c>
      <c r="B9" t="str">
        <f>+EERR!A7</f>
        <v>3.1.02.105</v>
      </c>
      <c r="C9" s="3" t="s">
        <v>107</v>
      </c>
      <c r="D9" s="3" t="s">
        <v>108</v>
      </c>
      <c r="E9" s="30">
        <v>-800047</v>
      </c>
      <c r="F9" s="32">
        <f>+I9+L9+O9+R9+U9+X9+AA9+AD9+AG9+AJ9+AM9+AP9+AS9+AV9+AY9+BB9+BE9+BH9+BK9+BN9+BQ9+BT9+BW9+BZ9+CC9+CF9+CI9+CL9+CO9+CR9+CU9</f>
        <v>800047</v>
      </c>
      <c r="G9" s="33">
        <f t="shared" si="1"/>
        <v>0</v>
      </c>
      <c r="H9" s="22" t="s">
        <v>122</v>
      </c>
      <c r="I9">
        <v>21909</v>
      </c>
      <c r="J9" s="13">
        <v>404</v>
      </c>
      <c r="K9" t="s">
        <v>122</v>
      </c>
      <c r="L9">
        <v>14252</v>
      </c>
      <c r="M9" s="13">
        <v>404</v>
      </c>
      <c r="N9" t="s">
        <v>122</v>
      </c>
      <c r="O9">
        <v>14606</v>
      </c>
      <c r="P9" s="13">
        <v>404</v>
      </c>
      <c r="Q9" t="s">
        <v>175</v>
      </c>
      <c r="R9">
        <v>345000</v>
      </c>
      <c r="S9" s="13">
        <v>100</v>
      </c>
      <c r="T9" t="s">
        <v>126</v>
      </c>
      <c r="U9">
        <v>4684604</v>
      </c>
      <c r="V9" s="13">
        <v>100</v>
      </c>
      <c r="W9" t="s">
        <v>122</v>
      </c>
      <c r="X9">
        <v>25143</v>
      </c>
      <c r="Y9" s="13">
        <v>404</v>
      </c>
      <c r="Z9" t="s">
        <v>122</v>
      </c>
      <c r="AA9">
        <v>30160</v>
      </c>
      <c r="AB9" s="13">
        <v>404</v>
      </c>
      <c r="AC9" t="s">
        <v>123</v>
      </c>
      <c r="AD9">
        <f>4426624-2241874</f>
        <v>2184750</v>
      </c>
      <c r="AE9" s="13">
        <v>405</v>
      </c>
      <c r="AF9" t="s">
        <v>122</v>
      </c>
      <c r="AG9">
        <v>32954</v>
      </c>
      <c r="AH9" s="13">
        <v>404</v>
      </c>
      <c r="AI9" t="s">
        <v>122</v>
      </c>
      <c r="AJ9">
        <v>36723</v>
      </c>
      <c r="AK9" s="13">
        <v>404</v>
      </c>
      <c r="AL9" t="s">
        <v>123</v>
      </c>
      <c r="AM9">
        <v>4117</v>
      </c>
      <c r="AN9" s="13">
        <v>405</v>
      </c>
      <c r="AO9" t="s">
        <v>123</v>
      </c>
      <c r="AP9">
        <v>-1564567</v>
      </c>
      <c r="AQ9" s="13">
        <v>405</v>
      </c>
      <c r="AR9" s="35" t="s">
        <v>234</v>
      </c>
      <c r="AS9" s="36">
        <v>-4684604</v>
      </c>
      <c r="AT9" s="37">
        <v>100</v>
      </c>
      <c r="AU9" s="35" t="s">
        <v>235</v>
      </c>
      <c r="AV9" s="36">
        <v>-345000</v>
      </c>
      <c r="AW9" s="37">
        <v>100</v>
      </c>
      <c r="AX9" s="10"/>
      <c r="AY9" s="11"/>
      <c r="AZ9" s="12"/>
      <c r="BA9" s="10"/>
      <c r="BB9" s="11"/>
      <c r="BC9" s="12"/>
      <c r="BD9" s="10"/>
      <c r="BE9" s="11"/>
      <c r="BF9" s="12"/>
      <c r="BG9" s="10"/>
      <c r="BH9" s="11"/>
      <c r="BI9" s="12"/>
      <c r="BJ9" s="10"/>
      <c r="BK9" s="11"/>
      <c r="BL9" s="12"/>
      <c r="BM9" s="10"/>
      <c r="BN9" s="11"/>
      <c r="BO9" s="12"/>
      <c r="BP9" s="10"/>
      <c r="BQ9" s="11"/>
      <c r="BR9" s="12"/>
      <c r="BS9" s="10"/>
      <c r="BT9" s="11"/>
      <c r="BU9" s="12"/>
      <c r="BV9" s="10"/>
      <c r="BW9" s="11"/>
      <c r="BX9" s="12"/>
      <c r="BY9" s="10"/>
      <c r="BZ9" s="11"/>
      <c r="CA9" s="12"/>
      <c r="CB9" s="10"/>
      <c r="CC9" s="11"/>
      <c r="CD9" s="12"/>
      <c r="CE9" s="10"/>
      <c r="CF9" s="11"/>
      <c r="CG9" s="12"/>
      <c r="CH9" s="10"/>
      <c r="CI9" s="11"/>
      <c r="CJ9" s="12"/>
      <c r="CK9" s="10"/>
      <c r="CL9" s="11"/>
      <c r="CM9" s="12"/>
      <c r="CN9" s="10"/>
      <c r="CO9" s="11"/>
      <c r="CP9" s="12"/>
      <c r="CQ9" s="10"/>
      <c r="CR9" s="11"/>
      <c r="CS9" s="12"/>
      <c r="CT9" s="10"/>
      <c r="CU9" s="11"/>
      <c r="CV9" s="12"/>
      <c r="CW9" s="10"/>
      <c r="CX9" s="11"/>
      <c r="CY9" s="12"/>
    </row>
    <row r="10" spans="1:103">
      <c r="A10" t="b">
        <f t="shared" si="0"/>
        <v>1</v>
      </c>
      <c r="B10" t="str">
        <f>+EERR!A8</f>
        <v>3.1.02.108</v>
      </c>
      <c r="C10" s="3" t="s">
        <v>16</v>
      </c>
      <c r="D10" s="3" t="s">
        <v>17</v>
      </c>
      <c r="E10" s="30">
        <v>-1976022</v>
      </c>
      <c r="F10" s="32">
        <f t="shared" ref="F10:F56" si="2">+I10+L10+O10+R10+U10+X10+AA10+AD10+AG10+AJ10+AM10+AP10+AS10+AV10+AY10+BB10+BE10+BH10+BK10+BN10+BQ10+BT10+BW10+BZ10+CC10+CF10+CI10+CL10+CO10+CR10+CU10</f>
        <v>1976022</v>
      </c>
      <c r="G10" s="33">
        <f>+E10+F10</f>
        <v>0</v>
      </c>
      <c r="H10" s="22" t="s">
        <v>168</v>
      </c>
      <c r="I10">
        <v>15497</v>
      </c>
      <c r="J10" s="13">
        <v>400</v>
      </c>
      <c r="K10" s="22" t="s">
        <v>122</v>
      </c>
      <c r="L10">
        <v>6301</v>
      </c>
      <c r="M10" s="13">
        <v>404</v>
      </c>
      <c r="N10" s="22" t="s">
        <v>122</v>
      </c>
      <c r="O10">
        <v>86318</v>
      </c>
      <c r="P10" s="13">
        <v>404</v>
      </c>
      <c r="Q10" s="22" t="s">
        <v>122</v>
      </c>
      <c r="R10">
        <v>21129</v>
      </c>
      <c r="S10" s="13">
        <v>404</v>
      </c>
      <c r="T10" t="s">
        <v>124</v>
      </c>
      <c r="U10">
        <v>1855095</v>
      </c>
      <c r="V10" s="13">
        <v>402</v>
      </c>
      <c r="W10" t="s">
        <v>124</v>
      </c>
      <c r="X10">
        <v>-8318</v>
      </c>
      <c r="Y10" s="13">
        <v>402</v>
      </c>
      <c r="AB10" s="13"/>
      <c r="AC10" s="10"/>
      <c r="AD10" s="11"/>
      <c r="AE10" s="12"/>
      <c r="AF10" s="10"/>
      <c r="AG10" s="11"/>
      <c r="AH10" s="12"/>
      <c r="AI10" s="10"/>
      <c r="AJ10" s="11"/>
      <c r="AK10" s="12"/>
      <c r="AL10" s="10"/>
      <c r="AM10" s="11"/>
      <c r="AN10" s="12"/>
      <c r="AO10" s="10"/>
      <c r="AP10" s="11"/>
      <c r="AQ10" s="12"/>
      <c r="AR10" s="10"/>
      <c r="AS10" s="11"/>
      <c r="AT10" s="12"/>
      <c r="AU10" s="10"/>
      <c r="AV10" s="11"/>
      <c r="AW10" s="12"/>
      <c r="AX10" s="10"/>
      <c r="AY10" s="11"/>
      <c r="AZ10" s="12"/>
      <c r="BA10" s="10"/>
      <c r="BB10" s="11"/>
      <c r="BC10" s="12"/>
      <c r="BD10" s="10"/>
      <c r="BE10" s="11"/>
      <c r="BF10" s="12"/>
      <c r="BG10" s="10"/>
      <c r="BH10" s="11"/>
      <c r="BI10" s="12"/>
      <c r="BJ10" s="10"/>
      <c r="BK10" s="11"/>
      <c r="BL10" s="12"/>
      <c r="BM10" s="10"/>
      <c r="BN10" s="11"/>
      <c r="BO10" s="12"/>
      <c r="BP10" s="10"/>
      <c r="BQ10" s="11"/>
      <c r="BR10" s="12"/>
      <c r="BS10" s="10"/>
      <c r="BT10" s="11"/>
      <c r="BU10" s="12"/>
      <c r="BV10" s="10"/>
      <c r="BW10" s="11"/>
      <c r="BX10" s="12"/>
      <c r="BY10" s="10"/>
      <c r="BZ10" s="11"/>
      <c r="CA10" s="12"/>
      <c r="CB10" s="10"/>
      <c r="CC10" s="11"/>
      <c r="CD10" s="12"/>
      <c r="CE10" s="10"/>
      <c r="CF10" s="11"/>
      <c r="CG10" s="12"/>
      <c r="CH10" s="10"/>
      <c r="CI10" s="11"/>
      <c r="CJ10" s="12"/>
      <c r="CK10" s="10"/>
      <c r="CL10" s="11"/>
      <c r="CM10" s="12"/>
      <c r="CN10" s="10"/>
      <c r="CO10" s="11"/>
      <c r="CP10" s="12"/>
      <c r="CQ10" s="10"/>
      <c r="CR10" s="11"/>
      <c r="CS10" s="12"/>
      <c r="CT10" s="10"/>
      <c r="CU10" s="11"/>
      <c r="CV10" s="12"/>
      <c r="CW10" s="10"/>
      <c r="CX10" s="11"/>
      <c r="CY10" s="12"/>
    </row>
    <row r="11" spans="1:103">
      <c r="A11" t="b">
        <f t="shared" si="0"/>
        <v>1</v>
      </c>
      <c r="B11" t="str">
        <f>+EERR!A9</f>
        <v>3.1.02.109</v>
      </c>
      <c r="C11" s="3" t="s">
        <v>18</v>
      </c>
      <c r="D11" s="3" t="s">
        <v>9</v>
      </c>
      <c r="E11" s="23">
        <v>-44990</v>
      </c>
      <c r="F11" s="19"/>
      <c r="G11" s="20"/>
      <c r="H11" s="10"/>
      <c r="I11" s="11"/>
      <c r="J11" s="12"/>
      <c r="K11" s="10"/>
      <c r="L11" s="11"/>
      <c r="M11" s="12"/>
      <c r="N11" s="10"/>
      <c r="O11" s="11"/>
      <c r="P11" s="12"/>
      <c r="Q11" s="10"/>
      <c r="R11" s="11"/>
      <c r="S11" s="12"/>
      <c r="T11" s="10"/>
      <c r="U11" s="11"/>
      <c r="V11" s="12"/>
      <c r="W11" s="10"/>
      <c r="X11" s="11"/>
      <c r="Y11" s="12"/>
      <c r="Z11" s="10"/>
      <c r="AA11" s="11"/>
      <c r="AB11" s="12"/>
      <c r="AC11" s="10"/>
      <c r="AD11" s="11"/>
      <c r="AE11" s="12"/>
      <c r="AF11" s="10"/>
      <c r="AG11" s="11"/>
      <c r="AH11" s="12"/>
      <c r="AI11" s="10"/>
      <c r="AJ11" s="11"/>
      <c r="AK11" s="12"/>
      <c r="AL11" s="10"/>
      <c r="AM11" s="11"/>
      <c r="AN11" s="12"/>
      <c r="AO11" s="10"/>
      <c r="AP11" s="11"/>
      <c r="AQ11" s="12"/>
      <c r="AR11" s="10"/>
      <c r="AS11" s="11"/>
      <c r="AT11" s="12"/>
      <c r="AU11" s="10"/>
      <c r="AV11" s="11"/>
      <c r="AW11" s="12"/>
      <c r="AX11" s="10"/>
      <c r="AY11" s="11"/>
      <c r="AZ11" s="12"/>
      <c r="BA11" s="10"/>
      <c r="BB11" s="11"/>
      <c r="BC11" s="12"/>
      <c r="BD11" s="10"/>
      <c r="BE11" s="11"/>
      <c r="BF11" s="12"/>
      <c r="BG11" s="10"/>
      <c r="BH11" s="11"/>
      <c r="BI11" s="12"/>
      <c r="BJ11" s="10"/>
      <c r="BK11" s="11"/>
      <c r="BL11" s="12"/>
      <c r="BM11" s="10"/>
      <c r="BN11" s="11"/>
      <c r="BO11" s="12"/>
      <c r="BP11" s="10"/>
      <c r="BQ11" s="11"/>
      <c r="BR11" s="12"/>
      <c r="BS11" s="10"/>
      <c r="BT11" s="11"/>
      <c r="BU11" s="12"/>
      <c r="BV11" s="10"/>
      <c r="BW11" s="11"/>
      <c r="BX11" s="12"/>
      <c r="BY11" s="10"/>
      <c r="BZ11" s="11"/>
      <c r="CA11" s="12"/>
      <c r="CB11" s="10"/>
      <c r="CC11" s="11"/>
      <c r="CD11" s="12"/>
      <c r="CE11" s="10"/>
      <c r="CF11" s="11"/>
      <c r="CG11" s="12"/>
      <c r="CH11" s="10"/>
      <c r="CI11" s="11"/>
      <c r="CJ11" s="12"/>
      <c r="CK11" s="10"/>
      <c r="CL11" s="11"/>
      <c r="CM11" s="12"/>
      <c r="CN11" s="10"/>
      <c r="CO11" s="11"/>
      <c r="CP11" s="12"/>
      <c r="CQ11" s="10"/>
      <c r="CR11" s="11"/>
      <c r="CS11" s="12"/>
      <c r="CT11" s="10"/>
      <c r="CU11" s="11"/>
      <c r="CV11" s="12"/>
      <c r="CW11" s="10"/>
      <c r="CX11" s="11"/>
      <c r="CY11" s="12"/>
    </row>
    <row r="12" spans="1:103">
      <c r="A12" t="b">
        <f t="shared" si="0"/>
        <v>1</v>
      </c>
      <c r="B12" t="str">
        <f>+EERR!A10</f>
        <v>3.1.02.110</v>
      </c>
      <c r="C12" s="3" t="s">
        <v>19</v>
      </c>
      <c r="D12" s="3" t="s">
        <v>20</v>
      </c>
      <c r="E12" s="23">
        <v>-46507</v>
      </c>
      <c r="F12" s="19"/>
      <c r="G12" s="20"/>
      <c r="H12" s="10"/>
      <c r="I12" s="11"/>
      <c r="J12" s="12"/>
      <c r="K12" s="10"/>
      <c r="L12" s="11"/>
      <c r="M12" s="12"/>
      <c r="N12" s="10"/>
      <c r="O12" s="11"/>
      <c r="P12" s="12"/>
      <c r="Q12" s="10"/>
      <c r="R12" s="11"/>
      <c r="S12" s="12"/>
      <c r="T12" s="10"/>
      <c r="U12" s="11"/>
      <c r="V12" s="12"/>
      <c r="W12" s="10"/>
      <c r="X12" s="11"/>
      <c r="Y12" s="12"/>
      <c r="Z12" s="10"/>
      <c r="AA12" s="11"/>
      <c r="AB12" s="12"/>
      <c r="AC12" s="10"/>
      <c r="AD12" s="11"/>
      <c r="AE12" s="12"/>
      <c r="AF12" s="10"/>
      <c r="AG12" s="11"/>
      <c r="AH12" s="12"/>
      <c r="AI12" s="10"/>
      <c r="AJ12" s="11"/>
      <c r="AK12" s="12"/>
      <c r="AL12" s="10"/>
      <c r="AM12" s="11"/>
      <c r="AN12" s="12"/>
      <c r="AO12" s="10"/>
      <c r="AP12" s="11"/>
      <c r="AQ12" s="12"/>
      <c r="AR12" s="10"/>
      <c r="AS12" s="11"/>
      <c r="AT12" s="12"/>
      <c r="AU12" s="10"/>
      <c r="AV12" s="11"/>
      <c r="AW12" s="12"/>
      <c r="AX12" s="10"/>
      <c r="AY12" s="11"/>
      <c r="AZ12" s="12"/>
      <c r="BA12" s="10"/>
      <c r="BB12" s="11"/>
      <c r="BC12" s="12"/>
      <c r="BD12" s="10"/>
      <c r="BE12" s="11"/>
      <c r="BF12" s="12"/>
      <c r="BG12" s="10"/>
      <c r="BH12" s="11"/>
      <c r="BI12" s="12"/>
      <c r="BJ12" s="10"/>
      <c r="BK12" s="11"/>
      <c r="BL12" s="12"/>
      <c r="BM12" s="10"/>
      <c r="BN12" s="11"/>
      <c r="BO12" s="12"/>
      <c r="BP12" s="10"/>
      <c r="BQ12" s="11"/>
      <c r="BR12" s="12"/>
      <c r="BS12" s="10"/>
      <c r="BT12" s="11"/>
      <c r="BU12" s="12"/>
      <c r="BV12" s="10"/>
      <c r="BW12" s="11"/>
      <c r="BX12" s="12"/>
      <c r="BY12" s="10"/>
      <c r="BZ12" s="11"/>
      <c r="CA12" s="12"/>
      <c r="CB12" s="10"/>
      <c r="CC12" s="11"/>
      <c r="CD12" s="12"/>
      <c r="CE12" s="10"/>
      <c r="CF12" s="11"/>
      <c r="CG12" s="12"/>
      <c r="CH12" s="10"/>
      <c r="CI12" s="11"/>
      <c r="CJ12" s="12"/>
      <c r="CK12" s="10"/>
      <c r="CL12" s="11"/>
      <c r="CM12" s="12"/>
      <c r="CN12" s="10"/>
      <c r="CO12" s="11"/>
      <c r="CP12" s="12"/>
      <c r="CQ12" s="10"/>
      <c r="CR12" s="11"/>
      <c r="CS12" s="12"/>
      <c r="CT12" s="10"/>
      <c r="CU12" s="11"/>
      <c r="CV12" s="12"/>
      <c r="CW12" s="10"/>
      <c r="CX12" s="11"/>
      <c r="CY12" s="12"/>
    </row>
    <row r="13" spans="1:103">
      <c r="A13" t="b">
        <f t="shared" si="0"/>
        <v>1</v>
      </c>
      <c r="B13" t="str">
        <f>+EERR!A11</f>
        <v>3.1.05.101</v>
      </c>
      <c r="C13" s="3" t="s">
        <v>21</v>
      </c>
      <c r="D13" s="3" t="s">
        <v>22</v>
      </c>
      <c r="E13" s="23">
        <v>-45117151</v>
      </c>
      <c r="F13" s="19"/>
      <c r="G13" s="20"/>
      <c r="H13" s="10"/>
      <c r="I13" s="11"/>
      <c r="J13" s="12"/>
      <c r="K13" s="10"/>
      <c r="L13" s="11"/>
      <c r="M13" s="12"/>
      <c r="N13" s="10"/>
      <c r="O13" s="11"/>
      <c r="P13" s="12"/>
      <c r="Q13" s="10"/>
      <c r="R13" s="11"/>
      <c r="S13" s="12"/>
      <c r="T13" s="10"/>
      <c r="U13" s="11"/>
      <c r="V13" s="12"/>
      <c r="W13" s="10"/>
      <c r="X13" s="11"/>
      <c r="Y13" s="12"/>
      <c r="Z13" s="10"/>
      <c r="AA13" s="11"/>
      <c r="AB13" s="12"/>
      <c r="AC13" s="10"/>
      <c r="AD13" s="11"/>
      <c r="AE13" s="12"/>
      <c r="AF13" s="10"/>
      <c r="AG13" s="11"/>
      <c r="AH13" s="12"/>
      <c r="AI13" s="10"/>
      <c r="AJ13" s="11"/>
      <c r="AK13" s="12"/>
      <c r="AL13" s="10"/>
      <c r="AM13" s="11"/>
      <c r="AN13" s="12"/>
      <c r="AO13" s="10"/>
      <c r="AP13" s="11"/>
      <c r="AQ13" s="12"/>
      <c r="AR13" s="10"/>
      <c r="AS13" s="11"/>
      <c r="AT13" s="12"/>
      <c r="AU13" s="10"/>
      <c r="AV13" s="11"/>
      <c r="AW13" s="12"/>
      <c r="AX13" s="10"/>
      <c r="AY13" s="11"/>
      <c r="AZ13" s="12"/>
      <c r="BA13" s="10"/>
      <c r="BB13" s="11"/>
      <c r="BC13" s="12"/>
      <c r="BD13" s="10"/>
      <c r="BE13" s="11"/>
      <c r="BF13" s="12"/>
      <c r="BG13" s="10"/>
      <c r="BH13" s="11"/>
      <c r="BI13" s="12"/>
      <c r="BJ13" s="10"/>
      <c r="BK13" s="11"/>
      <c r="BL13" s="12"/>
      <c r="BM13" s="10"/>
      <c r="BN13" s="11"/>
      <c r="BO13" s="12"/>
      <c r="BP13" s="10"/>
      <c r="BQ13" s="11"/>
      <c r="BR13" s="12"/>
      <c r="BS13" s="10"/>
      <c r="BT13" s="11"/>
      <c r="BU13" s="12"/>
      <c r="BV13" s="10"/>
      <c r="BW13" s="11"/>
      <c r="BX13" s="12"/>
      <c r="BY13" s="10"/>
      <c r="BZ13" s="11"/>
      <c r="CA13" s="12"/>
      <c r="CB13" s="10"/>
      <c r="CC13" s="11"/>
      <c r="CD13" s="12"/>
      <c r="CE13" s="10"/>
      <c r="CF13" s="11"/>
      <c r="CG13" s="12"/>
      <c r="CH13" s="10"/>
      <c r="CI13" s="11"/>
      <c r="CJ13" s="12"/>
      <c r="CK13" s="10"/>
      <c r="CL13" s="11"/>
      <c r="CM13" s="12"/>
      <c r="CN13" s="10"/>
      <c r="CO13" s="11"/>
      <c r="CP13" s="12"/>
      <c r="CQ13" s="10"/>
      <c r="CR13" s="11"/>
      <c r="CS13" s="12"/>
      <c r="CT13" s="10"/>
      <c r="CU13" s="11"/>
      <c r="CV13" s="12"/>
      <c r="CW13" s="10"/>
      <c r="CX13" s="11"/>
      <c r="CY13" s="12"/>
    </row>
    <row r="14" spans="1:103">
      <c r="A14" t="b">
        <f t="shared" si="0"/>
        <v>1</v>
      </c>
      <c r="B14" t="str">
        <f>+EERR!A12</f>
        <v>3.1.05.102</v>
      </c>
      <c r="C14" s="3" t="s">
        <v>23</v>
      </c>
      <c r="D14" s="3" t="s">
        <v>24</v>
      </c>
      <c r="E14" s="23">
        <v>-1730490</v>
      </c>
      <c r="F14" s="19"/>
      <c r="G14" s="20"/>
      <c r="H14" s="10"/>
      <c r="I14" s="11"/>
      <c r="J14" s="12"/>
      <c r="K14" s="10"/>
      <c r="L14" s="11"/>
      <c r="M14" s="12"/>
      <c r="N14" s="10"/>
      <c r="O14" s="11"/>
      <c r="P14" s="12"/>
      <c r="Q14" s="10"/>
      <c r="R14" s="11"/>
      <c r="S14" s="12"/>
      <c r="T14" s="10"/>
      <c r="U14" s="11"/>
      <c r="V14" s="12"/>
      <c r="W14" s="10"/>
      <c r="X14" s="11"/>
      <c r="Y14" s="12"/>
      <c r="Z14" s="10"/>
      <c r="AA14" s="11"/>
      <c r="AB14" s="12"/>
      <c r="AC14" s="10"/>
      <c r="AD14" s="11"/>
      <c r="AE14" s="12"/>
      <c r="AF14" s="10"/>
      <c r="AG14" s="11"/>
      <c r="AH14" s="12"/>
      <c r="AI14" s="10"/>
      <c r="AJ14" s="11"/>
      <c r="AK14" s="12"/>
      <c r="AL14" s="10"/>
      <c r="AM14" s="11"/>
      <c r="AN14" s="12"/>
      <c r="AO14" s="10"/>
      <c r="AP14" s="11"/>
      <c r="AQ14" s="12"/>
      <c r="AR14" s="10"/>
      <c r="AS14" s="11"/>
      <c r="AT14" s="12"/>
      <c r="AU14" s="10"/>
      <c r="AV14" s="11"/>
      <c r="AW14" s="12"/>
      <c r="AX14" s="10"/>
      <c r="AY14" s="11"/>
      <c r="AZ14" s="12"/>
      <c r="BA14" s="10"/>
      <c r="BB14" s="11"/>
      <c r="BC14" s="12"/>
      <c r="BD14" s="10"/>
      <c r="BE14" s="11"/>
      <c r="BF14" s="12"/>
      <c r="BG14" s="10"/>
      <c r="BH14" s="11"/>
      <c r="BI14" s="12"/>
      <c r="BJ14" s="10"/>
      <c r="BK14" s="11"/>
      <c r="BL14" s="12"/>
      <c r="BM14" s="10"/>
      <c r="BN14" s="11"/>
      <c r="BO14" s="12"/>
      <c r="BP14" s="10"/>
      <c r="BQ14" s="11"/>
      <c r="BR14" s="12"/>
      <c r="BS14" s="10"/>
      <c r="BT14" s="11"/>
      <c r="BU14" s="12"/>
      <c r="BV14" s="10"/>
      <c r="BW14" s="11"/>
      <c r="BX14" s="12"/>
      <c r="BY14" s="10"/>
      <c r="BZ14" s="11"/>
      <c r="CA14" s="12"/>
      <c r="CB14" s="10"/>
      <c r="CC14" s="11"/>
      <c r="CD14" s="12"/>
      <c r="CE14" s="10"/>
      <c r="CF14" s="11"/>
      <c r="CG14" s="12"/>
      <c r="CH14" s="10"/>
      <c r="CI14" s="11"/>
      <c r="CJ14" s="12"/>
      <c r="CK14" s="10"/>
      <c r="CL14" s="11"/>
      <c r="CM14" s="12"/>
      <c r="CN14" s="10"/>
      <c r="CO14" s="11"/>
      <c r="CP14" s="12"/>
      <c r="CQ14" s="10"/>
      <c r="CR14" s="11"/>
      <c r="CS14" s="12"/>
      <c r="CT14" s="10"/>
      <c r="CU14" s="11"/>
      <c r="CV14" s="12"/>
      <c r="CW14" s="10"/>
      <c r="CX14" s="11"/>
      <c r="CY14" s="12"/>
    </row>
    <row r="15" spans="1:103">
      <c r="A15" t="b">
        <f t="shared" si="0"/>
        <v>1</v>
      </c>
      <c r="B15" t="str">
        <f>+EERR!A13</f>
        <v>3.1.05.103</v>
      </c>
      <c r="C15" s="3" t="s">
        <v>25</v>
      </c>
      <c r="D15" s="3" t="s">
        <v>26</v>
      </c>
      <c r="E15" s="23">
        <v>-1655083</v>
      </c>
      <c r="F15" s="19"/>
      <c r="G15" s="20"/>
      <c r="H15" s="10"/>
      <c r="I15" s="11"/>
      <c r="J15" s="12"/>
      <c r="K15" s="10"/>
      <c r="L15" s="11"/>
      <c r="M15" s="12"/>
      <c r="N15" s="10"/>
      <c r="O15" s="11"/>
      <c r="P15" s="12"/>
      <c r="Q15" s="10"/>
      <c r="R15" s="11"/>
      <c r="S15" s="12"/>
      <c r="T15" s="10"/>
      <c r="U15" s="11"/>
      <c r="V15" s="12"/>
      <c r="W15" s="10"/>
      <c r="X15" s="11"/>
      <c r="Y15" s="12"/>
      <c r="Z15" s="10"/>
      <c r="AA15" s="11"/>
      <c r="AB15" s="12"/>
      <c r="AC15" s="10"/>
      <c r="AD15" s="11"/>
      <c r="AE15" s="12"/>
      <c r="AF15" s="10"/>
      <c r="AG15" s="11"/>
      <c r="AH15" s="12"/>
      <c r="AI15" s="10"/>
      <c r="AJ15" s="11"/>
      <c r="AK15" s="12"/>
      <c r="AL15" s="10"/>
      <c r="AM15" s="11"/>
      <c r="AN15" s="12"/>
      <c r="AO15" s="10"/>
      <c r="AP15" s="11"/>
      <c r="AQ15" s="12"/>
      <c r="AR15" s="10"/>
      <c r="AS15" s="11"/>
      <c r="AT15" s="12"/>
      <c r="AU15" s="10"/>
      <c r="AV15" s="11"/>
      <c r="AW15" s="12"/>
      <c r="AX15" s="10"/>
      <c r="AY15" s="11"/>
      <c r="AZ15" s="12"/>
      <c r="BA15" s="10"/>
      <c r="BB15" s="11"/>
      <c r="BC15" s="12"/>
      <c r="BD15" s="10"/>
      <c r="BE15" s="11"/>
      <c r="BF15" s="12"/>
      <c r="BG15" s="10"/>
      <c r="BH15" s="11"/>
      <c r="BI15" s="12"/>
      <c r="BJ15" s="10"/>
      <c r="BK15" s="11"/>
      <c r="BL15" s="12"/>
      <c r="BM15" s="10"/>
      <c r="BN15" s="11"/>
      <c r="BO15" s="12"/>
      <c r="BP15" s="10"/>
      <c r="BQ15" s="11"/>
      <c r="BR15" s="12"/>
      <c r="BS15" s="10"/>
      <c r="BT15" s="11"/>
      <c r="BU15" s="12"/>
      <c r="BV15" s="10"/>
      <c r="BW15" s="11"/>
      <c r="BX15" s="12"/>
      <c r="BY15" s="10"/>
      <c r="BZ15" s="11"/>
      <c r="CA15" s="12"/>
      <c r="CB15" s="10"/>
      <c r="CC15" s="11"/>
      <c r="CD15" s="12"/>
      <c r="CE15" s="10"/>
      <c r="CF15" s="11"/>
      <c r="CG15" s="12"/>
      <c r="CH15" s="10"/>
      <c r="CI15" s="11"/>
      <c r="CJ15" s="12"/>
      <c r="CK15" s="10"/>
      <c r="CL15" s="11"/>
      <c r="CM15" s="12"/>
      <c r="CN15" s="10"/>
      <c r="CO15" s="11"/>
      <c r="CP15" s="12"/>
      <c r="CQ15" s="10"/>
      <c r="CR15" s="11"/>
      <c r="CS15" s="12"/>
      <c r="CT15" s="10"/>
      <c r="CU15" s="11"/>
      <c r="CV15" s="12"/>
      <c r="CW15" s="10"/>
      <c r="CX15" s="11"/>
      <c r="CY15" s="12"/>
    </row>
    <row r="16" spans="1:103">
      <c r="A16" t="b">
        <f t="shared" si="0"/>
        <v>1</v>
      </c>
      <c r="B16" t="str">
        <f>+EERR!A14</f>
        <v>3.1.05.104</v>
      </c>
      <c r="C16" s="3" t="s">
        <v>27</v>
      </c>
      <c r="D16" s="3" t="s">
        <v>28</v>
      </c>
      <c r="E16" s="23">
        <v>-10584152</v>
      </c>
      <c r="F16" s="19"/>
      <c r="G16" s="20"/>
      <c r="H16" s="10"/>
      <c r="I16" s="11"/>
      <c r="J16" s="12"/>
      <c r="K16" s="10"/>
      <c r="L16" s="11"/>
      <c r="M16" s="12"/>
      <c r="N16" s="10"/>
      <c r="O16" s="11"/>
      <c r="P16" s="12"/>
      <c r="Q16" s="10"/>
      <c r="R16" s="11"/>
      <c r="S16" s="12"/>
      <c r="T16" s="10"/>
      <c r="U16" s="11"/>
      <c r="V16" s="12"/>
      <c r="W16" s="10"/>
      <c r="X16" s="11"/>
      <c r="Y16" s="12"/>
      <c r="Z16" s="10"/>
      <c r="AA16" s="11"/>
      <c r="AB16" s="12"/>
      <c r="AC16" s="10"/>
      <c r="AD16" s="11"/>
      <c r="AE16" s="12"/>
      <c r="AF16" s="10"/>
      <c r="AG16" s="11"/>
      <c r="AH16" s="12"/>
      <c r="AI16" s="10"/>
      <c r="AJ16" s="11"/>
      <c r="AK16" s="12"/>
      <c r="AL16" s="10"/>
      <c r="AM16" s="11"/>
      <c r="AN16" s="12"/>
      <c r="AO16" s="10"/>
      <c r="AP16" s="11"/>
      <c r="AQ16" s="12"/>
      <c r="AR16" s="10"/>
      <c r="AS16" s="11"/>
      <c r="AT16" s="12"/>
      <c r="AU16" s="10"/>
      <c r="AV16" s="11"/>
      <c r="AW16" s="12"/>
      <c r="AX16" s="10"/>
      <c r="AY16" s="11"/>
      <c r="AZ16" s="12"/>
      <c r="BA16" s="10"/>
      <c r="BB16" s="11"/>
      <c r="BC16" s="12"/>
      <c r="BD16" s="10"/>
      <c r="BE16" s="11"/>
      <c r="BF16" s="12"/>
      <c r="BG16" s="10"/>
      <c r="BH16" s="11"/>
      <c r="BI16" s="12"/>
      <c r="BJ16" s="10"/>
      <c r="BK16" s="11"/>
      <c r="BL16" s="12"/>
      <c r="BM16" s="10"/>
      <c r="BN16" s="11"/>
      <c r="BO16" s="12"/>
      <c r="BP16" s="10"/>
      <c r="BQ16" s="11"/>
      <c r="BR16" s="12"/>
      <c r="BS16" s="10"/>
      <c r="BT16" s="11"/>
      <c r="BU16" s="12"/>
      <c r="BV16" s="10"/>
      <c r="BW16" s="11"/>
      <c r="BX16" s="12"/>
      <c r="BY16" s="10"/>
      <c r="BZ16" s="11"/>
      <c r="CA16" s="12"/>
      <c r="CB16" s="10"/>
      <c r="CC16" s="11"/>
      <c r="CD16" s="12"/>
      <c r="CE16" s="10"/>
      <c r="CF16" s="11"/>
      <c r="CG16" s="12"/>
      <c r="CH16" s="10"/>
      <c r="CI16" s="11"/>
      <c r="CJ16" s="12"/>
      <c r="CK16" s="10"/>
      <c r="CL16" s="11"/>
      <c r="CM16" s="12"/>
      <c r="CN16" s="10"/>
      <c r="CO16" s="11"/>
      <c r="CP16" s="12"/>
      <c r="CQ16" s="10"/>
      <c r="CR16" s="11"/>
      <c r="CS16" s="12"/>
      <c r="CT16" s="10"/>
      <c r="CU16" s="11"/>
      <c r="CV16" s="12"/>
      <c r="CW16" s="10"/>
      <c r="CX16" s="11"/>
      <c r="CY16" s="12"/>
    </row>
    <row r="17" spans="1:103">
      <c r="A17" t="b">
        <f t="shared" si="0"/>
        <v>1</v>
      </c>
      <c r="B17" t="str">
        <f>+EERR!A15</f>
        <v>3.1.05.107</v>
      </c>
      <c r="C17" s="3" t="s">
        <v>29</v>
      </c>
      <c r="D17" s="3" t="s">
        <v>30</v>
      </c>
      <c r="E17" s="23">
        <v>-4000</v>
      </c>
      <c r="F17" s="19"/>
      <c r="G17" s="20"/>
      <c r="H17" s="10"/>
      <c r="I17" s="11"/>
      <c r="J17" s="12"/>
      <c r="K17" s="10"/>
      <c r="L17" s="11"/>
      <c r="M17" s="12"/>
      <c r="N17" s="10"/>
      <c r="O17" s="11"/>
      <c r="P17" s="12"/>
      <c r="Q17" s="10"/>
      <c r="R17" s="11"/>
      <c r="S17" s="12"/>
      <c r="T17" s="10"/>
      <c r="U17" s="11"/>
      <c r="V17" s="12"/>
      <c r="W17" s="10"/>
      <c r="X17" s="11"/>
      <c r="Y17" s="12"/>
      <c r="Z17" s="10"/>
      <c r="AA17" s="11"/>
      <c r="AB17" s="12"/>
      <c r="AC17" s="10"/>
      <c r="AD17" s="11"/>
      <c r="AE17" s="12"/>
      <c r="AF17" s="10"/>
      <c r="AG17" s="11"/>
      <c r="AH17" s="12"/>
      <c r="AI17" s="10"/>
      <c r="AJ17" s="11"/>
      <c r="AK17" s="12"/>
      <c r="AL17" s="10"/>
      <c r="AM17" s="11"/>
      <c r="AN17" s="12"/>
      <c r="AO17" s="10"/>
      <c r="AP17" s="11"/>
      <c r="AQ17" s="12"/>
      <c r="AR17" s="10"/>
      <c r="AS17" s="11"/>
      <c r="AT17" s="12"/>
      <c r="AU17" s="10"/>
      <c r="AV17" s="11"/>
      <c r="AW17" s="12"/>
      <c r="AX17" s="10"/>
      <c r="AY17" s="11"/>
      <c r="AZ17" s="12"/>
      <c r="BA17" s="10"/>
      <c r="BB17" s="11"/>
      <c r="BC17" s="12"/>
      <c r="BD17" s="10"/>
      <c r="BE17" s="11"/>
      <c r="BF17" s="12"/>
      <c r="BG17" s="10"/>
      <c r="BH17" s="11"/>
      <c r="BI17" s="12"/>
      <c r="BJ17" s="10"/>
      <c r="BK17" s="11"/>
      <c r="BL17" s="12"/>
      <c r="BM17" s="10"/>
      <c r="BN17" s="11"/>
      <c r="BO17" s="12"/>
      <c r="BP17" s="10"/>
      <c r="BQ17" s="11"/>
      <c r="BR17" s="12"/>
      <c r="BS17" s="10"/>
      <c r="BT17" s="11"/>
      <c r="BU17" s="12"/>
      <c r="BV17" s="10"/>
      <c r="BW17" s="11"/>
      <c r="BX17" s="12"/>
      <c r="BY17" s="10"/>
      <c r="BZ17" s="11"/>
      <c r="CA17" s="12"/>
      <c r="CB17" s="10"/>
      <c r="CC17" s="11"/>
      <c r="CD17" s="12"/>
      <c r="CE17" s="10"/>
      <c r="CF17" s="11"/>
      <c r="CG17" s="12"/>
      <c r="CH17" s="10"/>
      <c r="CI17" s="11"/>
      <c r="CJ17" s="12"/>
      <c r="CK17" s="10"/>
      <c r="CL17" s="11"/>
      <c r="CM17" s="12"/>
      <c r="CN17" s="10"/>
      <c r="CO17" s="11"/>
      <c r="CP17" s="12"/>
      <c r="CQ17" s="10"/>
      <c r="CR17" s="11"/>
      <c r="CS17" s="12"/>
      <c r="CT17" s="10"/>
      <c r="CU17" s="11"/>
      <c r="CV17" s="12"/>
      <c r="CW17" s="10"/>
      <c r="CX17" s="11"/>
      <c r="CY17" s="12"/>
    </row>
    <row r="18" spans="1:103">
      <c r="A18" t="b">
        <f t="shared" si="0"/>
        <v>1</v>
      </c>
      <c r="B18" t="str">
        <f>+EERR!A16</f>
        <v>3.1.05.110</v>
      </c>
      <c r="C18" s="3" t="s">
        <v>31</v>
      </c>
      <c r="D18" s="3" t="s">
        <v>32</v>
      </c>
      <c r="E18" s="23">
        <v>-600154</v>
      </c>
      <c r="F18" s="19"/>
      <c r="G18" s="20"/>
      <c r="H18" s="10"/>
      <c r="I18" s="11"/>
      <c r="J18" s="12"/>
      <c r="K18" s="10"/>
      <c r="L18" s="11"/>
      <c r="M18" s="12"/>
      <c r="N18" s="10"/>
      <c r="O18" s="11"/>
      <c r="P18" s="12"/>
      <c r="Q18" s="10"/>
      <c r="R18" s="11"/>
      <c r="S18" s="12"/>
      <c r="T18" s="10"/>
      <c r="U18" s="11"/>
      <c r="V18" s="12"/>
      <c r="W18" s="10"/>
      <c r="X18" s="11"/>
      <c r="Y18" s="12"/>
      <c r="Z18" s="10"/>
      <c r="AA18" s="11"/>
      <c r="AB18" s="12"/>
      <c r="AC18" s="10"/>
      <c r="AD18" s="11"/>
      <c r="AE18" s="12"/>
      <c r="AF18" s="10"/>
      <c r="AG18" s="11"/>
      <c r="AH18" s="12"/>
      <c r="AI18" s="10"/>
      <c r="AJ18" s="11"/>
      <c r="AK18" s="12"/>
      <c r="AL18" s="10"/>
      <c r="AM18" s="11"/>
      <c r="AN18" s="12"/>
      <c r="AO18" s="10"/>
      <c r="AP18" s="11"/>
      <c r="AQ18" s="12"/>
      <c r="AR18" s="10"/>
      <c r="AS18" s="11"/>
      <c r="AT18" s="12"/>
      <c r="AU18" s="10"/>
      <c r="AV18" s="11"/>
      <c r="AW18" s="12"/>
      <c r="AX18" s="10"/>
      <c r="AY18" s="11"/>
      <c r="AZ18" s="12"/>
      <c r="BA18" s="10"/>
      <c r="BB18" s="11"/>
      <c r="BC18" s="12"/>
      <c r="BD18" s="10"/>
      <c r="BE18" s="11"/>
      <c r="BF18" s="12"/>
      <c r="BG18" s="10"/>
      <c r="BH18" s="11"/>
      <c r="BI18" s="12"/>
      <c r="BJ18" s="10"/>
      <c r="BK18" s="11"/>
      <c r="BL18" s="12"/>
      <c r="BM18" s="10"/>
      <c r="BN18" s="11"/>
      <c r="BO18" s="12"/>
      <c r="BP18" s="10"/>
      <c r="BQ18" s="11"/>
      <c r="BR18" s="12"/>
      <c r="BS18" s="10"/>
      <c r="BT18" s="11"/>
      <c r="BU18" s="12"/>
      <c r="BV18" s="10"/>
      <c r="BW18" s="11"/>
      <c r="BX18" s="12"/>
      <c r="BY18" s="10"/>
      <c r="BZ18" s="11"/>
      <c r="CA18" s="12"/>
      <c r="CB18" s="10"/>
      <c r="CC18" s="11"/>
      <c r="CD18" s="12"/>
      <c r="CE18" s="10"/>
      <c r="CF18" s="11"/>
      <c r="CG18" s="12"/>
      <c r="CH18" s="10"/>
      <c r="CI18" s="11"/>
      <c r="CJ18" s="12"/>
      <c r="CK18" s="10"/>
      <c r="CL18" s="11"/>
      <c r="CM18" s="12"/>
      <c r="CN18" s="10"/>
      <c r="CO18" s="11"/>
      <c r="CP18" s="12"/>
      <c r="CQ18" s="10"/>
      <c r="CR18" s="11"/>
      <c r="CS18" s="12"/>
      <c r="CT18" s="10"/>
      <c r="CU18" s="11"/>
      <c r="CV18" s="12"/>
      <c r="CW18" s="10"/>
      <c r="CX18" s="11"/>
      <c r="CY18" s="12"/>
    </row>
    <row r="19" spans="1:103">
      <c r="A19" t="b">
        <f t="shared" si="0"/>
        <v>1</v>
      </c>
      <c r="B19" t="str">
        <f>+EERR!A17</f>
        <v>3.1.05.111</v>
      </c>
      <c r="C19" s="3" t="s">
        <v>33</v>
      </c>
      <c r="D19" s="3" t="s">
        <v>34</v>
      </c>
      <c r="E19" s="23">
        <v>-1012481</v>
      </c>
      <c r="F19" s="19"/>
      <c r="G19" s="20"/>
      <c r="H19" s="10"/>
      <c r="I19" s="11"/>
      <c r="J19" s="12"/>
      <c r="K19" s="10"/>
      <c r="L19" s="11"/>
      <c r="M19" s="12"/>
      <c r="N19" s="10"/>
      <c r="O19" s="11"/>
      <c r="P19" s="12"/>
      <c r="Q19" s="10"/>
      <c r="R19" s="11"/>
      <c r="S19" s="12"/>
      <c r="T19" s="10"/>
      <c r="U19" s="11"/>
      <c r="V19" s="12"/>
      <c r="W19" s="10"/>
      <c r="X19" s="11"/>
      <c r="Y19" s="12"/>
      <c r="Z19" s="10"/>
      <c r="AA19" s="11"/>
      <c r="AB19" s="12"/>
      <c r="AC19" s="10"/>
      <c r="AD19" s="11"/>
      <c r="AE19" s="12"/>
      <c r="AF19" s="10"/>
      <c r="AG19" s="11"/>
      <c r="AH19" s="12"/>
      <c r="AI19" s="10"/>
      <c r="AJ19" s="11"/>
      <c r="AK19" s="12"/>
      <c r="AL19" s="10"/>
      <c r="AM19" s="11"/>
      <c r="AN19" s="12"/>
      <c r="AO19" s="10"/>
      <c r="AP19" s="11"/>
      <c r="AQ19" s="12"/>
      <c r="AR19" s="10"/>
      <c r="AS19" s="11"/>
      <c r="AT19" s="12"/>
      <c r="AU19" s="10"/>
      <c r="AV19" s="11"/>
      <c r="AW19" s="12"/>
      <c r="AX19" s="10"/>
      <c r="AY19" s="11"/>
      <c r="AZ19" s="12"/>
      <c r="BA19" s="10"/>
      <c r="BB19" s="11"/>
      <c r="BC19" s="12"/>
      <c r="BD19" s="10"/>
      <c r="BE19" s="11"/>
      <c r="BF19" s="12"/>
      <c r="BG19" s="10"/>
      <c r="BH19" s="11"/>
      <c r="BI19" s="12"/>
      <c r="BJ19" s="10"/>
      <c r="BK19" s="11"/>
      <c r="BL19" s="12"/>
      <c r="BM19" s="10"/>
      <c r="BN19" s="11"/>
      <c r="BO19" s="12"/>
      <c r="BP19" s="10"/>
      <c r="BQ19" s="11"/>
      <c r="BR19" s="12"/>
      <c r="BS19" s="10"/>
      <c r="BT19" s="11"/>
      <c r="BU19" s="12"/>
      <c r="BV19" s="10"/>
      <c r="BW19" s="11"/>
      <c r="BX19" s="12"/>
      <c r="BY19" s="10"/>
      <c r="BZ19" s="11"/>
      <c r="CA19" s="12"/>
      <c r="CB19" s="10"/>
      <c r="CC19" s="11"/>
      <c r="CD19" s="12"/>
      <c r="CE19" s="10"/>
      <c r="CF19" s="11"/>
      <c r="CG19" s="12"/>
      <c r="CH19" s="10"/>
      <c r="CI19" s="11"/>
      <c r="CJ19" s="12"/>
      <c r="CK19" s="10"/>
      <c r="CL19" s="11"/>
      <c r="CM19" s="12"/>
      <c r="CN19" s="10"/>
      <c r="CO19" s="11"/>
      <c r="CP19" s="12"/>
      <c r="CQ19" s="10"/>
      <c r="CR19" s="11"/>
      <c r="CS19" s="12"/>
      <c r="CT19" s="10"/>
      <c r="CU19" s="11"/>
      <c r="CV19" s="12"/>
      <c r="CW19" s="10"/>
      <c r="CX19" s="11"/>
      <c r="CY19" s="12"/>
    </row>
    <row r="20" spans="1:103">
      <c r="A20" t="b">
        <f t="shared" si="0"/>
        <v>1</v>
      </c>
      <c r="B20" t="str">
        <f>+EERR!A18</f>
        <v>3.1.05.112</v>
      </c>
      <c r="C20" s="3" t="s">
        <v>156</v>
      </c>
      <c r="D20" s="3" t="s">
        <v>157</v>
      </c>
      <c r="E20" s="23">
        <v>-64495</v>
      </c>
      <c r="F20" s="19"/>
      <c r="G20" s="20"/>
      <c r="H20" s="10"/>
      <c r="I20" s="11"/>
      <c r="J20" s="12"/>
      <c r="K20" s="10"/>
      <c r="L20" s="11"/>
      <c r="M20" s="12"/>
      <c r="N20" s="10"/>
      <c r="O20" s="11"/>
      <c r="P20" s="12"/>
      <c r="Q20" s="10"/>
      <c r="R20" s="11"/>
      <c r="S20" s="12"/>
      <c r="T20" s="10"/>
      <c r="U20" s="11"/>
      <c r="V20" s="12"/>
      <c r="W20" s="10"/>
      <c r="X20" s="11"/>
      <c r="Y20" s="12"/>
      <c r="Z20" s="10"/>
      <c r="AA20" s="11"/>
      <c r="AB20" s="12"/>
      <c r="AC20" s="10"/>
      <c r="AD20" s="11"/>
      <c r="AE20" s="12"/>
      <c r="AF20" s="10"/>
      <c r="AG20" s="11"/>
      <c r="AH20" s="12"/>
      <c r="AI20" s="10"/>
      <c r="AJ20" s="11"/>
      <c r="AK20" s="12"/>
      <c r="AL20" s="10"/>
      <c r="AM20" s="11"/>
      <c r="AN20" s="12"/>
      <c r="AO20" s="10"/>
      <c r="AP20" s="11"/>
      <c r="AQ20" s="12"/>
      <c r="AR20" s="10"/>
      <c r="AS20" s="11"/>
      <c r="AT20" s="12"/>
      <c r="AU20" s="10"/>
      <c r="AV20" s="11"/>
      <c r="AW20" s="12"/>
      <c r="AX20" s="10"/>
      <c r="AY20" s="11"/>
      <c r="AZ20" s="12"/>
      <c r="BA20" s="10"/>
      <c r="BB20" s="11"/>
      <c r="BC20" s="12"/>
      <c r="BD20" s="10"/>
      <c r="BE20" s="11"/>
      <c r="BF20" s="12"/>
      <c r="BG20" s="10"/>
      <c r="BH20" s="11"/>
      <c r="BI20" s="12"/>
      <c r="BJ20" s="10"/>
      <c r="BK20" s="11"/>
      <c r="BL20" s="12"/>
      <c r="BM20" s="10"/>
      <c r="BN20" s="11"/>
      <c r="BO20" s="12"/>
      <c r="BP20" s="10"/>
      <c r="BQ20" s="11"/>
      <c r="BR20" s="12"/>
      <c r="BS20" s="10"/>
      <c r="BT20" s="11"/>
      <c r="BU20" s="12"/>
      <c r="BV20" s="10"/>
      <c r="BW20" s="11"/>
      <c r="BX20" s="12"/>
      <c r="BY20" s="10"/>
      <c r="BZ20" s="11"/>
      <c r="CA20" s="12"/>
      <c r="CB20" s="10"/>
      <c r="CC20" s="11"/>
      <c r="CD20" s="12"/>
      <c r="CE20" s="10"/>
      <c r="CF20" s="11"/>
      <c r="CG20" s="12"/>
      <c r="CH20" s="10"/>
      <c r="CI20" s="11"/>
      <c r="CJ20" s="12"/>
      <c r="CK20" s="10"/>
      <c r="CL20" s="11"/>
      <c r="CM20" s="12"/>
      <c r="CN20" s="10"/>
      <c r="CO20" s="11"/>
      <c r="CP20" s="12"/>
      <c r="CQ20" s="10"/>
      <c r="CR20" s="11"/>
      <c r="CS20" s="12"/>
      <c r="CT20" s="10"/>
      <c r="CU20" s="11"/>
      <c r="CV20" s="12"/>
      <c r="CW20" s="10"/>
      <c r="CX20" s="11"/>
      <c r="CY20" s="12"/>
    </row>
    <row r="21" spans="1:103">
      <c r="A21" t="b">
        <f t="shared" si="0"/>
        <v>1</v>
      </c>
      <c r="B21" t="str">
        <f>+EERR!A19</f>
        <v>3.1.05.113</v>
      </c>
      <c r="C21" s="3" t="s">
        <v>158</v>
      </c>
      <c r="D21" s="3" t="s">
        <v>159</v>
      </c>
      <c r="E21" s="23">
        <v>-591718</v>
      </c>
      <c r="F21" s="19"/>
      <c r="G21" s="20"/>
      <c r="H21" s="10"/>
      <c r="I21" s="11"/>
      <c r="J21" s="12"/>
      <c r="K21" s="10"/>
      <c r="L21" s="11"/>
      <c r="M21" s="12"/>
      <c r="N21" s="10"/>
      <c r="O21" s="11"/>
      <c r="P21" s="12"/>
      <c r="Q21" s="10"/>
      <c r="R21" s="11"/>
      <c r="S21" s="12"/>
      <c r="T21" s="10"/>
      <c r="U21" s="11"/>
      <c r="V21" s="12"/>
      <c r="W21" s="10"/>
      <c r="X21" s="11"/>
      <c r="Y21" s="12"/>
      <c r="Z21" s="10"/>
      <c r="AA21" s="11"/>
      <c r="AB21" s="12"/>
      <c r="AC21" s="10"/>
      <c r="AD21" s="11"/>
      <c r="AE21" s="12"/>
      <c r="AF21" s="10"/>
      <c r="AG21" s="11"/>
      <c r="AH21" s="12"/>
      <c r="AI21" s="10"/>
      <c r="AJ21" s="11"/>
      <c r="AK21" s="12"/>
      <c r="AL21" s="10"/>
      <c r="AM21" s="11"/>
      <c r="AN21" s="12"/>
      <c r="AO21" s="10"/>
      <c r="AP21" s="11"/>
      <c r="AQ21" s="12"/>
      <c r="AR21" s="10"/>
      <c r="AS21" s="11"/>
      <c r="AT21" s="12"/>
      <c r="AU21" s="10"/>
      <c r="AV21" s="11"/>
      <c r="AW21" s="12"/>
      <c r="AX21" s="10"/>
      <c r="AY21" s="11"/>
      <c r="AZ21" s="12"/>
      <c r="BA21" s="10"/>
      <c r="BB21" s="11"/>
      <c r="BC21" s="12"/>
      <c r="BD21" s="10"/>
      <c r="BE21" s="11"/>
      <c r="BF21" s="12"/>
      <c r="BG21" s="10"/>
      <c r="BH21" s="11"/>
      <c r="BI21" s="12"/>
      <c r="BJ21" s="10"/>
      <c r="BK21" s="11"/>
      <c r="BL21" s="12"/>
      <c r="BM21" s="10"/>
      <c r="BN21" s="11"/>
      <c r="BO21" s="12"/>
      <c r="BP21" s="10"/>
      <c r="BQ21" s="11"/>
      <c r="BR21" s="12"/>
      <c r="BS21" s="10"/>
      <c r="BT21" s="11"/>
      <c r="BU21" s="12"/>
      <c r="BV21" s="10"/>
      <c r="BW21" s="11"/>
      <c r="BX21" s="12"/>
      <c r="BY21" s="10"/>
      <c r="BZ21" s="11"/>
      <c r="CA21" s="12"/>
      <c r="CB21" s="10"/>
      <c r="CC21" s="11"/>
      <c r="CD21" s="12"/>
      <c r="CE21" s="10"/>
      <c r="CF21" s="11"/>
      <c r="CG21" s="12"/>
      <c r="CH21" s="10"/>
      <c r="CI21" s="11"/>
      <c r="CJ21" s="12"/>
      <c r="CK21" s="10"/>
      <c r="CL21" s="11"/>
      <c r="CM21" s="12"/>
      <c r="CN21" s="10"/>
      <c r="CO21" s="11"/>
      <c r="CP21" s="12"/>
      <c r="CQ21" s="10"/>
      <c r="CR21" s="11"/>
      <c r="CS21" s="12"/>
      <c r="CT21" s="10"/>
      <c r="CU21" s="11"/>
      <c r="CV21" s="12"/>
      <c r="CW21" s="10"/>
      <c r="CX21" s="11"/>
      <c r="CY21" s="12"/>
    </row>
    <row r="22" spans="1:103">
      <c r="A22" t="b">
        <f t="shared" si="0"/>
        <v>1</v>
      </c>
      <c r="B22" t="str">
        <f>+EERR!A20</f>
        <v>3.1.05.114</v>
      </c>
      <c r="C22" s="3" t="s">
        <v>35</v>
      </c>
      <c r="D22" s="3" t="s">
        <v>36</v>
      </c>
      <c r="E22" s="23">
        <v>0</v>
      </c>
      <c r="F22" s="19"/>
      <c r="G22" s="20"/>
      <c r="H22" s="10"/>
      <c r="I22" s="11"/>
      <c r="J22" s="12"/>
      <c r="K22" s="10"/>
      <c r="L22" s="11"/>
      <c r="M22" s="12"/>
      <c r="N22" s="10"/>
      <c r="O22" s="11"/>
      <c r="P22" s="12"/>
      <c r="Q22" s="10"/>
      <c r="R22" s="11"/>
      <c r="S22" s="12"/>
      <c r="T22" s="10"/>
      <c r="U22" s="11"/>
      <c r="V22" s="12"/>
      <c r="W22" s="10"/>
      <c r="X22" s="11"/>
      <c r="Y22" s="12"/>
      <c r="Z22" s="10"/>
      <c r="AA22" s="11"/>
      <c r="AB22" s="12"/>
      <c r="AC22" s="10"/>
      <c r="AD22" s="11"/>
      <c r="AE22" s="12"/>
      <c r="AF22" s="10"/>
      <c r="AG22" s="11"/>
      <c r="AH22" s="12"/>
      <c r="AI22" s="10"/>
      <c r="AJ22" s="11"/>
      <c r="AK22" s="12"/>
      <c r="AL22" s="10"/>
      <c r="AM22" s="11"/>
      <c r="AN22" s="12"/>
      <c r="AO22" s="10"/>
      <c r="AP22" s="11"/>
      <c r="AQ22" s="12"/>
      <c r="AR22" s="10"/>
      <c r="AS22" s="11"/>
      <c r="AT22" s="12"/>
      <c r="AU22" s="10"/>
      <c r="AV22" s="11"/>
      <c r="AW22" s="12"/>
      <c r="AX22" s="10"/>
      <c r="AY22" s="11"/>
      <c r="AZ22" s="12"/>
      <c r="BA22" s="10"/>
      <c r="BB22" s="11"/>
      <c r="BC22" s="12"/>
      <c r="BD22" s="10"/>
      <c r="BE22" s="11"/>
      <c r="BF22" s="12"/>
      <c r="BG22" s="10"/>
      <c r="BH22" s="11"/>
      <c r="BI22" s="12"/>
      <c r="BJ22" s="10"/>
      <c r="BK22" s="11"/>
      <c r="BL22" s="12"/>
      <c r="BM22" s="10"/>
      <c r="BN22" s="11"/>
      <c r="BO22" s="12"/>
      <c r="BP22" s="10"/>
      <c r="BQ22" s="11"/>
      <c r="BR22" s="12"/>
      <c r="BS22" s="10"/>
      <c r="BT22" s="11"/>
      <c r="BU22" s="12"/>
      <c r="BV22" s="10"/>
      <c r="BW22" s="11"/>
      <c r="BX22" s="12"/>
      <c r="BY22" s="10"/>
      <c r="BZ22" s="11"/>
      <c r="CA22" s="12"/>
      <c r="CB22" s="10"/>
      <c r="CC22" s="11"/>
      <c r="CD22" s="12"/>
      <c r="CE22" s="10"/>
      <c r="CF22" s="11"/>
      <c r="CG22" s="12"/>
      <c r="CH22" s="10"/>
      <c r="CI22" s="11"/>
      <c r="CJ22" s="12"/>
      <c r="CK22" s="10"/>
      <c r="CL22" s="11"/>
      <c r="CM22" s="12"/>
      <c r="CN22" s="10"/>
      <c r="CO22" s="11"/>
      <c r="CP22" s="12"/>
      <c r="CQ22" s="10"/>
      <c r="CR22" s="11"/>
      <c r="CS22" s="12"/>
      <c r="CT22" s="10"/>
      <c r="CU22" s="11"/>
      <c r="CV22" s="12"/>
      <c r="CW22" s="10"/>
      <c r="CX22" s="11"/>
      <c r="CY22" s="12"/>
    </row>
    <row r="23" spans="1:103">
      <c r="A23" t="b">
        <f t="shared" si="0"/>
        <v>1</v>
      </c>
      <c r="B23" t="str">
        <f>+EERR!A21</f>
        <v>3.1.05.117</v>
      </c>
      <c r="C23" s="3" t="s">
        <v>37</v>
      </c>
      <c r="D23" s="3" t="s">
        <v>38</v>
      </c>
      <c r="E23" s="23">
        <v>-756324</v>
      </c>
      <c r="F23" s="19"/>
      <c r="G23" s="20"/>
      <c r="H23" s="10"/>
      <c r="I23" s="11"/>
      <c r="J23" s="12"/>
      <c r="K23" s="10"/>
      <c r="L23" s="11"/>
      <c r="M23" s="12"/>
      <c r="N23" s="10"/>
      <c r="O23" s="11"/>
      <c r="P23" s="12"/>
      <c r="Q23" s="10"/>
      <c r="R23" s="11"/>
      <c r="S23" s="12"/>
      <c r="T23" s="10"/>
      <c r="U23" s="11"/>
      <c r="V23" s="12"/>
      <c r="W23" s="10"/>
      <c r="X23" s="11"/>
      <c r="Y23" s="12"/>
      <c r="Z23" s="10"/>
      <c r="AA23" s="11"/>
      <c r="AB23" s="12"/>
      <c r="AC23" s="10"/>
      <c r="AD23" s="11"/>
      <c r="AE23" s="12"/>
      <c r="AF23" s="10"/>
      <c r="AG23" s="11"/>
      <c r="AH23" s="12"/>
      <c r="AI23" s="10"/>
      <c r="AJ23" s="11"/>
      <c r="AK23" s="12"/>
      <c r="AL23" s="10"/>
      <c r="AM23" s="11"/>
      <c r="AN23" s="12"/>
      <c r="AO23" s="10"/>
      <c r="AP23" s="11"/>
      <c r="AQ23" s="12"/>
      <c r="AR23" s="10"/>
      <c r="AS23" s="11"/>
      <c r="AT23" s="12"/>
      <c r="AU23" s="10"/>
      <c r="AV23" s="11"/>
      <c r="AW23" s="12"/>
      <c r="AX23" s="10"/>
      <c r="AY23" s="11"/>
      <c r="AZ23" s="12"/>
      <c r="BA23" s="10"/>
      <c r="BB23" s="11"/>
      <c r="BC23" s="12"/>
      <c r="BD23" s="10"/>
      <c r="BE23" s="11"/>
      <c r="BF23" s="12"/>
      <c r="BG23" s="10"/>
      <c r="BH23" s="11"/>
      <c r="BI23" s="12"/>
      <c r="BJ23" s="10"/>
      <c r="BK23" s="11"/>
      <c r="BL23" s="12"/>
      <c r="BM23" s="10"/>
      <c r="BN23" s="11"/>
      <c r="BO23" s="12"/>
      <c r="BP23" s="10"/>
      <c r="BQ23" s="11"/>
      <c r="BR23" s="12"/>
      <c r="BS23" s="10"/>
      <c r="BT23" s="11"/>
      <c r="BU23" s="12"/>
      <c r="BV23" s="10"/>
      <c r="BW23" s="11"/>
      <c r="BX23" s="12"/>
      <c r="BY23" s="10"/>
      <c r="BZ23" s="11"/>
      <c r="CA23" s="12"/>
      <c r="CB23" s="10"/>
      <c r="CC23" s="11"/>
      <c r="CD23" s="12"/>
      <c r="CE23" s="10"/>
      <c r="CF23" s="11"/>
      <c r="CG23" s="12"/>
      <c r="CH23" s="10"/>
      <c r="CI23" s="11"/>
      <c r="CJ23" s="12"/>
      <c r="CK23" s="10"/>
      <c r="CL23" s="11"/>
      <c r="CM23" s="12"/>
      <c r="CN23" s="10"/>
      <c r="CO23" s="11"/>
      <c r="CP23" s="12"/>
      <c r="CQ23" s="10"/>
      <c r="CR23" s="11"/>
      <c r="CS23" s="12"/>
      <c r="CT23" s="10"/>
      <c r="CU23" s="11"/>
      <c r="CV23" s="12"/>
      <c r="CW23" s="10"/>
      <c r="CX23" s="11"/>
      <c r="CY23" s="12"/>
    </row>
    <row r="24" spans="1:103">
      <c r="A24" t="b">
        <f t="shared" si="0"/>
        <v>1</v>
      </c>
      <c r="B24" t="str">
        <f>+EERR!A22</f>
        <v>3.1.05.121</v>
      </c>
      <c r="C24" s="3" t="s">
        <v>39</v>
      </c>
      <c r="D24" s="3" t="s">
        <v>40</v>
      </c>
      <c r="E24" s="23">
        <v>-1447552</v>
      </c>
      <c r="F24" s="19"/>
      <c r="G24" s="20"/>
      <c r="H24" s="10"/>
      <c r="I24" s="11"/>
      <c r="J24" s="12"/>
      <c r="K24" s="10"/>
      <c r="L24" s="11"/>
      <c r="M24" s="12"/>
      <c r="N24" s="10"/>
      <c r="O24" s="11"/>
      <c r="P24" s="12"/>
      <c r="Q24" s="10"/>
      <c r="R24" s="11"/>
      <c r="S24" s="12"/>
      <c r="T24" s="10"/>
      <c r="U24" s="11"/>
      <c r="V24" s="12"/>
      <c r="W24" s="10"/>
      <c r="X24" s="11"/>
      <c r="Y24" s="12"/>
      <c r="Z24" s="10"/>
      <c r="AA24" s="11"/>
      <c r="AB24" s="12"/>
      <c r="AC24" s="10"/>
      <c r="AD24" s="11"/>
      <c r="AE24" s="12"/>
      <c r="AF24" s="10"/>
      <c r="AG24" s="11"/>
      <c r="AH24" s="12"/>
      <c r="AI24" s="10"/>
      <c r="AJ24" s="11"/>
      <c r="AK24" s="12"/>
      <c r="AL24" s="10"/>
      <c r="AM24" s="11"/>
      <c r="AN24" s="12"/>
      <c r="AO24" s="10"/>
      <c r="AP24" s="11"/>
      <c r="AQ24" s="12"/>
      <c r="AR24" s="10"/>
      <c r="AS24" s="11"/>
      <c r="AT24" s="12"/>
      <c r="AU24" s="10"/>
      <c r="AV24" s="11"/>
      <c r="AW24" s="12"/>
      <c r="AX24" s="10"/>
      <c r="AY24" s="11"/>
      <c r="AZ24" s="12"/>
      <c r="BA24" s="10"/>
      <c r="BB24" s="11"/>
      <c r="BC24" s="12"/>
      <c r="BD24" s="10"/>
      <c r="BE24" s="11"/>
      <c r="BF24" s="12"/>
      <c r="BG24" s="10"/>
      <c r="BH24" s="11"/>
      <c r="BI24" s="12"/>
      <c r="BJ24" s="10"/>
      <c r="BK24" s="11"/>
      <c r="BL24" s="12"/>
      <c r="BM24" s="10"/>
      <c r="BN24" s="11"/>
      <c r="BO24" s="12"/>
      <c r="BP24" s="10"/>
      <c r="BQ24" s="11"/>
      <c r="BR24" s="12"/>
      <c r="BS24" s="10"/>
      <c r="BT24" s="11"/>
      <c r="BU24" s="12"/>
      <c r="BV24" s="10"/>
      <c r="BW24" s="11"/>
      <c r="BX24" s="12"/>
      <c r="BY24" s="10"/>
      <c r="BZ24" s="11"/>
      <c r="CA24" s="12"/>
      <c r="CB24" s="10"/>
      <c r="CC24" s="11"/>
      <c r="CD24" s="12"/>
      <c r="CE24" s="10"/>
      <c r="CF24" s="11"/>
      <c r="CG24" s="12"/>
      <c r="CH24" s="10"/>
      <c r="CI24" s="11"/>
      <c r="CJ24" s="12"/>
      <c r="CK24" s="10"/>
      <c r="CL24" s="11"/>
      <c r="CM24" s="12"/>
      <c r="CN24" s="10"/>
      <c r="CO24" s="11"/>
      <c r="CP24" s="12"/>
      <c r="CQ24" s="10"/>
      <c r="CR24" s="11"/>
      <c r="CS24" s="12"/>
      <c r="CT24" s="10"/>
      <c r="CU24" s="11"/>
      <c r="CV24" s="12"/>
      <c r="CW24" s="10"/>
      <c r="CX24" s="11"/>
      <c r="CY24" s="12"/>
    </row>
    <row r="25" spans="1:103">
      <c r="A25" t="b">
        <f t="shared" si="0"/>
        <v>1</v>
      </c>
      <c r="B25" t="str">
        <f>+EERR!A23</f>
        <v>3.1.05.122</v>
      </c>
      <c r="C25" s="3" t="s">
        <v>41</v>
      </c>
      <c r="D25" s="3" t="s">
        <v>42</v>
      </c>
      <c r="E25" s="23">
        <v>-6445321</v>
      </c>
      <c r="F25" s="19"/>
      <c r="G25" s="20"/>
      <c r="H25" s="10"/>
      <c r="I25" s="11"/>
      <c r="J25" s="12"/>
      <c r="K25" s="10"/>
      <c r="L25" s="11"/>
      <c r="M25" s="12"/>
      <c r="N25" s="10"/>
      <c r="O25" s="11"/>
      <c r="P25" s="12"/>
      <c r="Q25" s="10"/>
      <c r="R25" s="11"/>
      <c r="S25" s="12"/>
      <c r="T25" s="10"/>
      <c r="U25" s="11"/>
      <c r="V25" s="12"/>
      <c r="W25" s="10"/>
      <c r="X25" s="11"/>
      <c r="Y25" s="12"/>
      <c r="Z25" s="10"/>
      <c r="AA25" s="11"/>
      <c r="AB25" s="12"/>
      <c r="AC25" s="10"/>
      <c r="AD25" s="11"/>
      <c r="AE25" s="12"/>
      <c r="AF25" s="10"/>
      <c r="AG25" s="11"/>
      <c r="AH25" s="12"/>
      <c r="AI25" s="10"/>
      <c r="AJ25" s="11"/>
      <c r="AK25" s="12"/>
      <c r="AL25" s="10"/>
      <c r="AM25" s="11"/>
      <c r="AN25" s="12"/>
      <c r="AO25" s="10"/>
      <c r="AP25" s="11"/>
      <c r="AQ25" s="12"/>
      <c r="AR25" s="10"/>
      <c r="AS25" s="11"/>
      <c r="AT25" s="12"/>
      <c r="AU25" s="10"/>
      <c r="AV25" s="11"/>
      <c r="AW25" s="12"/>
      <c r="AX25" s="10"/>
      <c r="AY25" s="11"/>
      <c r="AZ25" s="12"/>
      <c r="BA25" s="10"/>
      <c r="BB25" s="11"/>
      <c r="BC25" s="12"/>
      <c r="BD25" s="10"/>
      <c r="BE25" s="11"/>
      <c r="BF25" s="12"/>
      <c r="BG25" s="10"/>
      <c r="BH25" s="11"/>
      <c r="BI25" s="12"/>
      <c r="BJ25" s="10"/>
      <c r="BK25" s="11"/>
      <c r="BL25" s="12"/>
      <c r="BM25" s="10"/>
      <c r="BN25" s="11"/>
      <c r="BO25" s="12"/>
      <c r="BP25" s="10"/>
      <c r="BQ25" s="11"/>
      <c r="BR25" s="12"/>
      <c r="BS25" s="10"/>
      <c r="BT25" s="11"/>
      <c r="BU25" s="12"/>
      <c r="BV25" s="10"/>
      <c r="BW25" s="11"/>
      <c r="BX25" s="12"/>
      <c r="BY25" s="10"/>
      <c r="BZ25" s="11"/>
      <c r="CA25" s="12"/>
      <c r="CB25" s="10"/>
      <c r="CC25" s="11"/>
      <c r="CD25" s="12"/>
      <c r="CE25" s="10"/>
      <c r="CF25" s="11"/>
      <c r="CG25" s="12"/>
      <c r="CH25" s="10"/>
      <c r="CI25" s="11"/>
      <c r="CJ25" s="12"/>
      <c r="CK25" s="10"/>
      <c r="CL25" s="11"/>
      <c r="CM25" s="12"/>
      <c r="CN25" s="10"/>
      <c r="CO25" s="11"/>
      <c r="CP25" s="12"/>
      <c r="CQ25" s="10"/>
      <c r="CR25" s="11"/>
      <c r="CS25" s="12"/>
      <c r="CT25" s="10"/>
      <c r="CU25" s="11"/>
      <c r="CV25" s="12"/>
      <c r="CW25" s="10"/>
      <c r="CX25" s="11"/>
      <c r="CY25" s="12"/>
    </row>
    <row r="26" spans="1:103">
      <c r="A26" t="b">
        <f t="shared" si="0"/>
        <v>1</v>
      </c>
      <c r="B26" t="str">
        <f>+EERR!A24</f>
        <v>3.1.06.108</v>
      </c>
      <c r="C26" s="3" t="s">
        <v>43</v>
      </c>
      <c r="D26" s="3" t="s">
        <v>44</v>
      </c>
      <c r="E26" s="23">
        <v>-2326500</v>
      </c>
      <c r="F26" s="19"/>
      <c r="G26" s="20"/>
      <c r="H26" s="10"/>
      <c r="I26" s="11"/>
      <c r="J26" s="12"/>
      <c r="K26" s="10"/>
      <c r="L26" s="11"/>
      <c r="M26" s="12"/>
      <c r="N26" s="10"/>
      <c r="O26" s="11"/>
      <c r="P26" s="12"/>
      <c r="Q26" s="10"/>
      <c r="R26" s="11"/>
      <c r="S26" s="12"/>
      <c r="T26" s="10"/>
      <c r="U26" s="11"/>
      <c r="V26" s="12"/>
      <c r="W26" s="10"/>
      <c r="X26" s="11"/>
      <c r="Y26" s="12"/>
      <c r="Z26" s="10"/>
      <c r="AA26" s="11"/>
      <c r="AB26" s="12"/>
      <c r="AC26" s="10"/>
      <c r="AD26" s="11"/>
      <c r="AE26" s="12"/>
      <c r="AF26" s="10"/>
      <c r="AG26" s="11"/>
      <c r="AH26" s="12"/>
      <c r="AI26" s="10"/>
      <c r="AJ26" s="11"/>
      <c r="AK26" s="12"/>
      <c r="AL26" s="10"/>
      <c r="AM26" s="11"/>
      <c r="AN26" s="12"/>
      <c r="AO26" s="10"/>
      <c r="AP26" s="11"/>
      <c r="AQ26" s="12"/>
      <c r="AR26" s="10"/>
      <c r="AS26" s="11"/>
      <c r="AT26" s="12"/>
      <c r="AU26" s="10"/>
      <c r="AV26" s="11"/>
      <c r="AW26" s="12"/>
      <c r="AX26" s="10"/>
      <c r="AY26" s="11"/>
      <c r="AZ26" s="12"/>
      <c r="BA26" s="10"/>
      <c r="BB26" s="11"/>
      <c r="BC26" s="12"/>
      <c r="BD26" s="10"/>
      <c r="BE26" s="11"/>
      <c r="BF26" s="12"/>
      <c r="BG26" s="10"/>
      <c r="BH26" s="11"/>
      <c r="BI26" s="12"/>
      <c r="BJ26" s="10"/>
      <c r="BK26" s="11"/>
      <c r="BL26" s="12"/>
      <c r="BM26" s="10"/>
      <c r="BN26" s="11"/>
      <c r="BO26" s="12"/>
      <c r="BP26" s="10"/>
      <c r="BQ26" s="11"/>
      <c r="BR26" s="12"/>
      <c r="BS26" s="10"/>
      <c r="BT26" s="11"/>
      <c r="BU26" s="12"/>
      <c r="BV26" s="10"/>
      <c r="BW26" s="11"/>
      <c r="BX26" s="12"/>
      <c r="BY26" s="10"/>
      <c r="BZ26" s="11"/>
      <c r="CA26" s="12"/>
      <c r="CB26" s="10"/>
      <c r="CC26" s="11"/>
      <c r="CD26" s="12"/>
      <c r="CE26" s="10"/>
      <c r="CF26" s="11"/>
      <c r="CG26" s="12"/>
      <c r="CH26" s="10"/>
      <c r="CI26" s="11"/>
      <c r="CJ26" s="12"/>
      <c r="CK26" s="10"/>
      <c r="CL26" s="11"/>
      <c r="CM26" s="12"/>
      <c r="CN26" s="10"/>
      <c r="CO26" s="11"/>
      <c r="CP26" s="12"/>
      <c r="CQ26" s="10"/>
      <c r="CR26" s="11"/>
      <c r="CS26" s="12"/>
      <c r="CT26" s="10"/>
      <c r="CU26" s="11"/>
      <c r="CV26" s="12"/>
      <c r="CW26" s="10"/>
      <c r="CX26" s="11"/>
      <c r="CY26" s="12"/>
    </row>
    <row r="27" spans="1:103">
      <c r="A27" t="b">
        <f t="shared" si="0"/>
        <v>1</v>
      </c>
      <c r="B27" t="str">
        <f>+EERR!A25</f>
        <v>3.1.06.109</v>
      </c>
      <c r="C27" s="3" t="s">
        <v>45</v>
      </c>
      <c r="D27" s="3" t="s">
        <v>46</v>
      </c>
      <c r="E27" s="23">
        <v>-2326500</v>
      </c>
      <c r="F27" s="19"/>
      <c r="G27" s="20"/>
      <c r="H27" s="10"/>
      <c r="I27" s="11"/>
      <c r="J27" s="12"/>
      <c r="K27" s="10"/>
      <c r="L27" s="11"/>
      <c r="M27" s="12"/>
      <c r="N27" s="10"/>
      <c r="O27" s="11"/>
      <c r="P27" s="12"/>
      <c r="Q27" s="10"/>
      <c r="R27" s="11"/>
      <c r="S27" s="12"/>
      <c r="T27" s="10"/>
      <c r="U27" s="11"/>
      <c r="V27" s="12"/>
      <c r="W27" s="10"/>
      <c r="X27" s="11"/>
      <c r="Y27" s="12"/>
      <c r="Z27" s="10"/>
      <c r="AA27" s="11"/>
      <c r="AB27" s="12"/>
      <c r="AC27" s="10"/>
      <c r="AD27" s="11"/>
      <c r="AE27" s="12"/>
      <c r="AF27" s="10"/>
      <c r="AG27" s="11"/>
      <c r="AH27" s="12"/>
      <c r="AI27" s="10"/>
      <c r="AJ27" s="11"/>
      <c r="AK27" s="12"/>
      <c r="AL27" s="10"/>
      <c r="AM27" s="11"/>
      <c r="AN27" s="12"/>
      <c r="AO27" s="10"/>
      <c r="AP27" s="11"/>
      <c r="AQ27" s="12"/>
      <c r="AR27" s="10"/>
      <c r="AS27" s="11"/>
      <c r="AT27" s="12"/>
      <c r="AU27" s="10"/>
      <c r="AV27" s="11"/>
      <c r="AW27" s="12"/>
      <c r="AX27" s="10"/>
      <c r="AY27" s="11"/>
      <c r="AZ27" s="12"/>
      <c r="BA27" s="10"/>
      <c r="BB27" s="11"/>
      <c r="BC27" s="12"/>
      <c r="BD27" s="10"/>
      <c r="BE27" s="11"/>
      <c r="BF27" s="12"/>
      <c r="BG27" s="10"/>
      <c r="BH27" s="11"/>
      <c r="BI27" s="12"/>
      <c r="BJ27" s="10"/>
      <c r="BK27" s="11"/>
      <c r="BL27" s="12"/>
      <c r="BM27" s="10"/>
      <c r="BN27" s="11"/>
      <c r="BO27" s="12"/>
      <c r="BP27" s="10"/>
      <c r="BQ27" s="11"/>
      <c r="BR27" s="12"/>
      <c r="BS27" s="10"/>
      <c r="BT27" s="11"/>
      <c r="BU27" s="12"/>
      <c r="BV27" s="10"/>
      <c r="BW27" s="11"/>
      <c r="BX27" s="12"/>
      <c r="BY27" s="10"/>
      <c r="BZ27" s="11"/>
      <c r="CA27" s="12"/>
      <c r="CB27" s="10"/>
      <c r="CC27" s="11"/>
      <c r="CD27" s="12"/>
      <c r="CE27" s="10"/>
      <c r="CF27" s="11"/>
      <c r="CG27" s="12"/>
      <c r="CH27" s="10"/>
      <c r="CI27" s="11"/>
      <c r="CJ27" s="12"/>
      <c r="CK27" s="10"/>
      <c r="CL27" s="11"/>
      <c r="CM27" s="12"/>
      <c r="CN27" s="10"/>
      <c r="CO27" s="11"/>
      <c r="CP27" s="12"/>
      <c r="CQ27" s="10"/>
      <c r="CR27" s="11"/>
      <c r="CS27" s="12"/>
      <c r="CT27" s="10"/>
      <c r="CU27" s="11"/>
      <c r="CV27" s="12"/>
      <c r="CW27" s="10"/>
      <c r="CX27" s="11"/>
      <c r="CY27" s="12"/>
    </row>
    <row r="28" spans="1:103">
      <c r="A28" t="b">
        <f t="shared" si="0"/>
        <v>1</v>
      </c>
      <c r="B28" t="str">
        <f>+EERR!A26</f>
        <v>3.1.06.116</v>
      </c>
      <c r="C28" s="3" t="s">
        <v>47</v>
      </c>
      <c r="D28" s="3" t="s">
        <v>48</v>
      </c>
      <c r="E28" s="30">
        <v>1138389</v>
      </c>
      <c r="F28" s="32">
        <f t="shared" si="2"/>
        <v>-1138389</v>
      </c>
      <c r="G28" s="33">
        <f>+E28+F28</f>
        <v>0</v>
      </c>
      <c r="H28" s="22" t="s">
        <v>188</v>
      </c>
      <c r="I28">
        <v>18471</v>
      </c>
      <c r="J28" s="13">
        <v>200</v>
      </c>
      <c r="K28" s="22" t="s">
        <v>181</v>
      </c>
      <c r="L28">
        <v>239000</v>
      </c>
      <c r="M28" s="13" t="s">
        <v>169</v>
      </c>
      <c r="N28" s="22" t="s">
        <v>236</v>
      </c>
      <c r="O28">
        <f>-341900-183170-126030-262920-341910-139930</f>
        <v>-1395860</v>
      </c>
      <c r="P28" s="13" t="s">
        <v>237</v>
      </c>
      <c r="Q28" s="22"/>
      <c r="S28" s="13"/>
      <c r="T28" s="22"/>
      <c r="V28" s="13"/>
      <c r="W28" s="22"/>
      <c r="Y28" s="13"/>
      <c r="Z28" s="22"/>
      <c r="AB28" s="13"/>
      <c r="AC28" s="22"/>
      <c r="AE28" s="13"/>
      <c r="AF28" s="22"/>
      <c r="AH28" s="13"/>
      <c r="AI28" s="10"/>
      <c r="AJ28" s="11"/>
      <c r="AK28" s="12"/>
      <c r="AL28" s="10"/>
      <c r="AM28" s="11"/>
      <c r="AN28" s="12"/>
      <c r="AO28" s="10"/>
      <c r="AP28" s="11"/>
      <c r="AQ28" s="12"/>
      <c r="AR28" s="10"/>
      <c r="AS28" s="11"/>
      <c r="AT28" s="12"/>
      <c r="AU28" s="10"/>
      <c r="AV28" s="11"/>
      <c r="AW28" s="12"/>
      <c r="AX28" s="10"/>
      <c r="AY28" s="11"/>
      <c r="AZ28" s="12"/>
      <c r="BA28" s="10"/>
      <c r="BB28" s="11"/>
      <c r="BC28" s="12"/>
      <c r="BD28" s="10"/>
      <c r="BE28" s="11"/>
      <c r="BF28" s="12"/>
      <c r="BG28" s="10"/>
      <c r="BH28" s="11"/>
      <c r="BI28" s="12"/>
      <c r="BJ28" s="10"/>
      <c r="BK28" s="11"/>
      <c r="BL28" s="12"/>
      <c r="BM28" s="10"/>
      <c r="BN28" s="11"/>
      <c r="BO28" s="12"/>
      <c r="BP28" s="10"/>
      <c r="BQ28" s="11"/>
      <c r="BR28" s="12"/>
      <c r="BS28" s="10"/>
      <c r="BT28" s="11"/>
      <c r="BU28" s="12"/>
      <c r="BV28" s="10"/>
      <c r="BW28" s="11"/>
      <c r="BX28" s="12"/>
      <c r="BY28" s="10"/>
      <c r="BZ28" s="11"/>
      <c r="CA28" s="12"/>
      <c r="CB28" s="10"/>
      <c r="CC28" s="11"/>
      <c r="CD28" s="12"/>
      <c r="CE28" s="10"/>
      <c r="CF28" s="11"/>
      <c r="CG28" s="12"/>
      <c r="CH28" s="10"/>
      <c r="CI28" s="11"/>
      <c r="CJ28" s="12"/>
      <c r="CK28" s="10"/>
      <c r="CL28" s="11"/>
      <c r="CM28" s="12"/>
      <c r="CN28" s="10"/>
      <c r="CO28" s="11"/>
      <c r="CP28" s="12"/>
      <c r="CQ28" s="10"/>
      <c r="CR28" s="11"/>
      <c r="CS28" s="12"/>
      <c r="CT28" s="10"/>
      <c r="CU28" s="11"/>
      <c r="CV28" s="12"/>
      <c r="CW28" s="10"/>
      <c r="CX28" s="11"/>
      <c r="CY28" s="12"/>
    </row>
    <row r="29" spans="1:103">
      <c r="A29" t="b">
        <f t="shared" si="0"/>
        <v>1</v>
      </c>
      <c r="B29" t="str">
        <f>+EERR!A27</f>
        <v>3.1.06.201</v>
      </c>
      <c r="C29" s="3" t="s">
        <v>49</v>
      </c>
      <c r="D29" s="3" t="s">
        <v>50</v>
      </c>
      <c r="E29" s="30">
        <v>-505000</v>
      </c>
      <c r="F29" s="32">
        <f>+I29+L29+O29+R29+U29+X29+AA29+AD29+AG29+AJ29+AM29+AP29+AS29+AV29+AY29+BB29+BE29+BH29+BK29+BN29+BQ29+BT29+BW29+BZ29+CC29+CF29+CI29+CL29+CO29+CR29+CU29</f>
        <v>505000</v>
      </c>
      <c r="G29" s="33">
        <f t="shared" ref="G29:G40" si="3">+E29+F29</f>
        <v>0</v>
      </c>
      <c r="H29" s="22" t="s">
        <v>199</v>
      </c>
      <c r="I29">
        <v>5000</v>
      </c>
      <c r="J29" s="13">
        <v>2</v>
      </c>
      <c r="K29" s="22" t="s">
        <v>200</v>
      </c>
      <c r="L29">
        <v>500000</v>
      </c>
      <c r="M29" s="13" t="s">
        <v>169</v>
      </c>
      <c r="N29" s="10"/>
      <c r="O29" s="11"/>
      <c r="P29" s="12"/>
      <c r="Q29" s="10"/>
      <c r="R29" s="11"/>
      <c r="S29" s="12"/>
      <c r="T29" s="10"/>
      <c r="U29" s="11"/>
      <c r="V29" s="12"/>
      <c r="W29" s="10"/>
      <c r="X29" s="11"/>
      <c r="Y29" s="12"/>
      <c r="Z29" s="10"/>
      <c r="AA29" s="11"/>
      <c r="AB29" s="12"/>
      <c r="AC29" s="10"/>
      <c r="AD29" s="11"/>
      <c r="AE29" s="12"/>
      <c r="AF29" s="10"/>
      <c r="AG29" s="11"/>
      <c r="AH29" s="12"/>
      <c r="AI29" s="10"/>
      <c r="AJ29" s="11"/>
      <c r="AK29" s="12"/>
      <c r="AL29" s="10"/>
      <c r="AM29" s="11"/>
      <c r="AN29" s="12"/>
      <c r="AO29" s="10"/>
      <c r="AP29" s="11"/>
      <c r="AQ29" s="12"/>
      <c r="AR29" s="10"/>
      <c r="AS29" s="11"/>
      <c r="AT29" s="12"/>
      <c r="AU29" s="10"/>
      <c r="AV29" s="11"/>
      <c r="AW29" s="12"/>
      <c r="AX29" s="10"/>
      <c r="AY29" s="11"/>
      <c r="AZ29" s="12"/>
      <c r="BA29" s="10"/>
      <c r="BB29" s="11"/>
      <c r="BC29" s="12"/>
      <c r="BD29" s="10"/>
      <c r="BE29" s="11"/>
      <c r="BF29" s="12"/>
      <c r="BG29" s="10"/>
      <c r="BH29" s="11"/>
      <c r="BI29" s="12"/>
      <c r="BJ29" s="10"/>
      <c r="BK29" s="11"/>
      <c r="BL29" s="12"/>
      <c r="BM29" s="10"/>
      <c r="BN29" s="11"/>
      <c r="BO29" s="12"/>
      <c r="BP29" s="10"/>
      <c r="BQ29" s="11"/>
      <c r="BR29" s="12"/>
      <c r="BS29" s="10"/>
      <c r="BT29" s="11"/>
      <c r="BU29" s="12"/>
      <c r="BV29" s="10"/>
      <c r="BW29" s="11"/>
      <c r="BX29" s="12"/>
      <c r="BY29" s="10"/>
      <c r="BZ29" s="11"/>
      <c r="CA29" s="12"/>
      <c r="CB29" s="10"/>
      <c r="CC29" s="11"/>
      <c r="CD29" s="12"/>
      <c r="CE29" s="10"/>
      <c r="CF29" s="11"/>
      <c r="CG29" s="12"/>
      <c r="CH29" s="10"/>
      <c r="CI29" s="11"/>
      <c r="CJ29" s="12"/>
      <c r="CK29" s="10"/>
      <c r="CL29" s="11"/>
      <c r="CM29" s="12"/>
      <c r="CN29" s="10"/>
      <c r="CO29" s="11"/>
      <c r="CP29" s="12"/>
      <c r="CQ29" s="10"/>
      <c r="CR29" s="11"/>
      <c r="CS29" s="12"/>
      <c r="CT29" s="10"/>
      <c r="CU29" s="11"/>
      <c r="CV29" s="12"/>
      <c r="CW29" s="10"/>
      <c r="CX29" s="11"/>
      <c r="CY29" s="12"/>
    </row>
    <row r="30" spans="1:103">
      <c r="A30" t="b">
        <f t="shared" si="0"/>
        <v>1</v>
      </c>
      <c r="B30" t="str">
        <f>+EERR!A28</f>
        <v>3.1.06.206</v>
      </c>
      <c r="C30" s="3" t="s">
        <v>51</v>
      </c>
      <c r="D30" s="3" t="s">
        <v>52</v>
      </c>
      <c r="E30" s="30">
        <v>-3101478</v>
      </c>
      <c r="F30" s="32">
        <f>+I30+L30+O30+R30+U30+X30+AA30+AD30+AG30+AJ30+AM30+AP30+AS30+AV30+AY30+BB30+BE30+BH30+BK30+BN30+BQ30+BT30+BW30+BZ30+CC30+CF30+CI30+CL30+CO30+CR30+CU30</f>
        <v>3101478</v>
      </c>
      <c r="G30" s="33">
        <f t="shared" si="3"/>
        <v>0</v>
      </c>
      <c r="H30" s="22" t="s">
        <v>128</v>
      </c>
      <c r="I30">
        <v>3893716</v>
      </c>
      <c r="J30" s="13">
        <v>2</v>
      </c>
      <c r="K30" s="22" t="s">
        <v>128</v>
      </c>
      <c r="L30">
        <v>-3893716</v>
      </c>
      <c r="M30" s="13">
        <v>2</v>
      </c>
      <c r="N30" s="22" t="s">
        <v>128</v>
      </c>
      <c r="O30">
        <v>3101478</v>
      </c>
      <c r="P30" s="13">
        <v>2</v>
      </c>
      <c r="Q30" s="10"/>
      <c r="R30" s="11"/>
      <c r="S30" s="12"/>
      <c r="T30" s="10"/>
      <c r="U30" s="11"/>
      <c r="V30" s="12"/>
      <c r="W30" s="10"/>
      <c r="X30" s="11"/>
      <c r="Y30" s="12"/>
      <c r="Z30" s="10"/>
      <c r="AA30" s="11"/>
      <c r="AB30" s="12"/>
      <c r="AC30" s="10"/>
      <c r="AD30" s="11"/>
      <c r="AE30" s="12"/>
      <c r="AF30" s="10"/>
      <c r="AG30" s="11"/>
      <c r="AH30" s="12"/>
      <c r="AI30" s="10"/>
      <c r="AJ30" s="11"/>
      <c r="AK30" s="12"/>
      <c r="AL30" s="10"/>
      <c r="AM30" s="11"/>
      <c r="AN30" s="12"/>
      <c r="AO30" s="10"/>
      <c r="AP30" s="11"/>
      <c r="AQ30" s="12"/>
      <c r="AR30" s="10"/>
      <c r="AS30" s="11"/>
      <c r="AT30" s="12"/>
      <c r="AU30" s="10"/>
      <c r="AV30" s="11"/>
      <c r="AW30" s="12"/>
      <c r="AX30" s="10"/>
      <c r="AY30" s="11"/>
      <c r="AZ30" s="12"/>
      <c r="BA30" s="10"/>
      <c r="BB30" s="11"/>
      <c r="BC30" s="12"/>
      <c r="BD30" s="10"/>
      <c r="BE30" s="11"/>
      <c r="BF30" s="12"/>
      <c r="BG30" s="10"/>
      <c r="BH30" s="11"/>
      <c r="BI30" s="12"/>
      <c r="BJ30" s="10"/>
      <c r="BK30" s="11"/>
      <c r="BL30" s="12"/>
      <c r="BM30" s="10"/>
      <c r="BN30" s="11"/>
      <c r="BO30" s="12"/>
      <c r="BP30" s="10"/>
      <c r="BQ30" s="11"/>
      <c r="BR30" s="12"/>
      <c r="BS30" s="10"/>
      <c r="BT30" s="11"/>
      <c r="BU30" s="12"/>
      <c r="BV30" s="10"/>
      <c r="BW30" s="11"/>
      <c r="BX30" s="12"/>
      <c r="BY30" s="10"/>
      <c r="BZ30" s="11"/>
      <c r="CA30" s="12"/>
      <c r="CB30" s="10"/>
      <c r="CC30" s="11"/>
      <c r="CD30" s="12"/>
      <c r="CE30" s="10"/>
      <c r="CF30" s="11"/>
      <c r="CG30" s="12"/>
      <c r="CH30" s="10"/>
      <c r="CI30" s="11"/>
      <c r="CJ30" s="12"/>
      <c r="CK30" s="10"/>
      <c r="CL30" s="11"/>
      <c r="CM30" s="12"/>
      <c r="CN30" s="10"/>
      <c r="CO30" s="11"/>
      <c r="CP30" s="12"/>
      <c r="CQ30" s="10"/>
      <c r="CR30" s="11"/>
      <c r="CS30" s="12"/>
      <c r="CT30" s="10"/>
      <c r="CU30" s="11"/>
      <c r="CV30" s="12"/>
      <c r="CW30" s="10"/>
      <c r="CX30" s="11"/>
      <c r="CY30" s="12"/>
    </row>
    <row r="31" spans="1:103">
      <c r="A31" t="b">
        <f t="shared" si="0"/>
        <v>1</v>
      </c>
      <c r="B31" t="str">
        <f>+EERR!A29</f>
        <v>3.1.06.209</v>
      </c>
      <c r="C31" s="3" t="s">
        <v>53</v>
      </c>
      <c r="D31" s="3" t="s">
        <v>54</v>
      </c>
      <c r="E31" s="30">
        <v>0</v>
      </c>
      <c r="F31" s="32">
        <f>+I31+L31+O31+R31+U31+X31+AA31+AD31+AG31+AJ31+AM31+AP31+AS31+AV31+AY31+BB31+BE31+BH31+BK31+BN31+BQ31+BT31+BW31+BZ31+CC31+CF31+CI31+CL31+CO31+CR31+CU31</f>
        <v>0</v>
      </c>
      <c r="G31" s="33">
        <f t="shared" si="3"/>
        <v>0</v>
      </c>
      <c r="H31" s="22" t="s">
        <v>127</v>
      </c>
      <c r="I31">
        <v>179571</v>
      </c>
      <c r="J31" s="13">
        <v>2</v>
      </c>
      <c r="K31" s="22" t="s">
        <v>127</v>
      </c>
      <c r="L31">
        <v>-179571</v>
      </c>
      <c r="M31" s="13">
        <v>2</v>
      </c>
      <c r="N31" s="22"/>
      <c r="P31" s="13"/>
      <c r="Q31" s="22"/>
      <c r="S31" s="13"/>
      <c r="T31" s="10"/>
      <c r="U31" s="11"/>
      <c r="V31" s="12"/>
      <c r="W31" s="10"/>
      <c r="X31" s="11"/>
      <c r="Y31" s="12"/>
      <c r="Z31" s="10"/>
      <c r="AA31" s="11"/>
      <c r="AB31" s="12"/>
      <c r="AC31" s="10"/>
      <c r="AD31" s="11"/>
      <c r="AE31" s="12"/>
      <c r="AF31" s="10"/>
      <c r="AG31" s="11"/>
      <c r="AH31" s="12"/>
      <c r="AI31" s="10"/>
      <c r="AJ31" s="11"/>
      <c r="AK31" s="12"/>
      <c r="AL31" s="10"/>
      <c r="AM31" s="11"/>
      <c r="AN31" s="12"/>
      <c r="AO31" s="10"/>
      <c r="AP31" s="11"/>
      <c r="AQ31" s="12"/>
      <c r="AR31" s="10"/>
      <c r="AS31" s="11"/>
      <c r="AT31" s="12"/>
      <c r="AU31" s="10"/>
      <c r="AV31" s="11"/>
      <c r="AW31" s="12"/>
      <c r="AX31" s="10"/>
      <c r="AY31" s="11"/>
      <c r="AZ31" s="12"/>
      <c r="BA31" s="10"/>
      <c r="BB31" s="11"/>
      <c r="BC31" s="12"/>
      <c r="BD31" s="10"/>
      <c r="BE31" s="11"/>
      <c r="BF31" s="12"/>
      <c r="BG31" s="10"/>
      <c r="BH31" s="11"/>
      <c r="BI31" s="12"/>
      <c r="BJ31" s="10"/>
      <c r="BK31" s="11"/>
      <c r="BL31" s="12"/>
      <c r="BM31" s="10"/>
      <c r="BN31" s="11"/>
      <c r="BO31" s="12"/>
      <c r="BP31" s="10"/>
      <c r="BQ31" s="11"/>
      <c r="BR31" s="12"/>
      <c r="BS31" s="10"/>
      <c r="BT31" s="11"/>
      <c r="BU31" s="12"/>
      <c r="BV31" s="10"/>
      <c r="BW31" s="11"/>
      <c r="BX31" s="12"/>
      <c r="BY31" s="10"/>
      <c r="BZ31" s="11"/>
      <c r="CA31" s="12"/>
      <c r="CB31" s="10"/>
      <c r="CC31" s="11"/>
      <c r="CD31" s="12"/>
      <c r="CE31" s="10"/>
      <c r="CF31" s="11"/>
      <c r="CG31" s="12"/>
      <c r="CH31" s="10"/>
      <c r="CI31" s="11"/>
      <c r="CJ31" s="12"/>
      <c r="CK31" s="10"/>
      <c r="CL31" s="11"/>
      <c r="CM31" s="12"/>
      <c r="CN31" s="10"/>
      <c r="CO31" s="11"/>
      <c r="CP31" s="12"/>
      <c r="CQ31" s="10"/>
      <c r="CR31" s="11"/>
      <c r="CS31" s="12"/>
      <c r="CT31" s="10"/>
      <c r="CU31" s="11"/>
      <c r="CV31" s="12"/>
      <c r="CW31" s="10"/>
      <c r="CX31" s="11"/>
      <c r="CY31" s="12"/>
    </row>
    <row r="32" spans="1:103">
      <c r="A32" t="b">
        <f t="shared" si="0"/>
        <v>1</v>
      </c>
      <c r="B32" t="str">
        <f>+EERR!A30</f>
        <v>3.1.06.301</v>
      </c>
      <c r="C32" s="3" t="s">
        <v>55</v>
      </c>
      <c r="D32" s="3" t="s">
        <v>56</v>
      </c>
      <c r="E32" s="30">
        <v>-72497896</v>
      </c>
      <c r="F32" s="32">
        <f>+I32+L32+O32+R32+U32+X32+AA32+AD32+AG32+AJ32+AM32+AP32+AS32+AV32+AY32+BB32+BE32+BH32+BK32+BN32+BQ32+BT32+BW32+BZ32+CC32+CF32+CI32+CL32+CO32+CR32+CU32+CX32</f>
        <v>72497896</v>
      </c>
      <c r="G32" s="33">
        <f t="shared" si="3"/>
        <v>0</v>
      </c>
      <c r="H32" s="22" t="s">
        <v>133</v>
      </c>
      <c r="I32">
        <v>6953063</v>
      </c>
      <c r="J32" s="13">
        <v>190</v>
      </c>
      <c r="K32" s="22" t="s">
        <v>129</v>
      </c>
      <c r="L32">
        <v>7481208</v>
      </c>
      <c r="M32" s="13">
        <v>180</v>
      </c>
      <c r="N32" s="22" t="s">
        <v>130</v>
      </c>
      <c r="O32">
        <v>712269</v>
      </c>
      <c r="P32" s="13">
        <v>180</v>
      </c>
      <c r="Q32" s="22" t="s">
        <v>130</v>
      </c>
      <c r="R32">
        <v>1736156</v>
      </c>
      <c r="S32" s="13">
        <v>180</v>
      </c>
      <c r="T32" s="22" t="s">
        <v>131</v>
      </c>
      <c r="U32">
        <v>18229632</v>
      </c>
      <c r="V32" s="13">
        <v>170</v>
      </c>
      <c r="W32" s="22" t="s">
        <v>132</v>
      </c>
      <c r="X32">
        <v>243455</v>
      </c>
      <c r="Y32" s="13">
        <v>195</v>
      </c>
      <c r="Z32" s="22" t="s">
        <v>130</v>
      </c>
      <c r="AA32">
        <v>1752865</v>
      </c>
      <c r="AB32" s="13">
        <v>170</v>
      </c>
      <c r="AC32" s="22" t="s">
        <v>130</v>
      </c>
      <c r="AD32">
        <v>2497977</v>
      </c>
      <c r="AE32" s="13">
        <v>170</v>
      </c>
      <c r="AF32" s="22" t="s">
        <v>132</v>
      </c>
      <c r="AG32">
        <v>877400</v>
      </c>
      <c r="AH32" s="13">
        <v>195</v>
      </c>
      <c r="AI32" s="22" t="s">
        <v>135</v>
      </c>
      <c r="AJ32">
        <v>8141381</v>
      </c>
      <c r="AK32" s="13">
        <v>150</v>
      </c>
      <c r="AL32" s="22" t="s">
        <v>134</v>
      </c>
      <c r="AM32">
        <v>7160165</v>
      </c>
      <c r="AN32" s="13">
        <v>200</v>
      </c>
      <c r="AO32" s="22" t="s">
        <v>134</v>
      </c>
      <c r="AP32">
        <v>8318499</v>
      </c>
      <c r="AQ32" s="13">
        <v>210</v>
      </c>
      <c r="AR32" s="22" t="s">
        <v>134</v>
      </c>
      <c r="AS32">
        <v>8054712</v>
      </c>
      <c r="AT32" s="13">
        <v>130</v>
      </c>
      <c r="AU32" s="22" t="s">
        <v>132</v>
      </c>
      <c r="AV32">
        <v>1989148</v>
      </c>
      <c r="AW32" s="13">
        <v>195</v>
      </c>
      <c r="AX32" s="22" t="s">
        <v>132</v>
      </c>
      <c r="AY32">
        <v>1541590</v>
      </c>
      <c r="AZ32" s="13">
        <v>195</v>
      </c>
      <c r="BA32" s="22" t="s">
        <v>134</v>
      </c>
      <c r="BB32">
        <v>11912</v>
      </c>
      <c r="BC32" s="13">
        <v>200</v>
      </c>
      <c r="BD32" s="22" t="s">
        <v>134</v>
      </c>
      <c r="BE32">
        <v>11912</v>
      </c>
      <c r="BF32" s="13">
        <v>210</v>
      </c>
      <c r="BG32" s="22" t="s">
        <v>134</v>
      </c>
      <c r="BH32">
        <v>11912</v>
      </c>
      <c r="BI32" s="13">
        <v>130</v>
      </c>
      <c r="BJ32" s="22" t="s">
        <v>135</v>
      </c>
      <c r="BK32">
        <v>11912</v>
      </c>
      <c r="BL32" s="13">
        <v>150</v>
      </c>
      <c r="BM32" t="s">
        <v>201</v>
      </c>
      <c r="BN32" s="31">
        <v>766657</v>
      </c>
      <c r="BO32">
        <v>170</v>
      </c>
      <c r="BP32" t="s">
        <v>202</v>
      </c>
      <c r="BQ32" s="31">
        <v>590879</v>
      </c>
      <c r="BR32">
        <v>180</v>
      </c>
      <c r="BS32" t="s">
        <v>203</v>
      </c>
      <c r="BT32" s="31">
        <v>134481</v>
      </c>
      <c r="BU32">
        <v>185</v>
      </c>
      <c r="BV32" t="s">
        <v>204</v>
      </c>
      <c r="BW32" s="31">
        <v>396877</v>
      </c>
      <c r="BX32">
        <v>190</v>
      </c>
      <c r="BY32" s="22" t="s">
        <v>238</v>
      </c>
      <c r="BZ32">
        <f>-1752865-2497977</f>
        <v>-4250842</v>
      </c>
      <c r="CA32" s="13">
        <v>170</v>
      </c>
      <c r="CB32" s="22" t="s">
        <v>239</v>
      </c>
      <c r="CC32">
        <v>-877324</v>
      </c>
      <c r="CD32" s="13">
        <v>195</v>
      </c>
      <c r="CE32" s="22"/>
      <c r="CG32" s="13"/>
      <c r="CH32" s="22"/>
      <c r="CJ32" s="13"/>
      <c r="CK32" s="22"/>
      <c r="CM32" s="13"/>
      <c r="CN32" s="22"/>
      <c r="CP32" s="13"/>
      <c r="CQ32" s="22"/>
      <c r="CS32" s="13"/>
      <c r="CT32" s="22"/>
      <c r="CV32" s="13"/>
      <c r="CW32" s="10"/>
      <c r="CX32" s="11"/>
      <c r="CY32" s="12"/>
    </row>
    <row r="33" spans="1:103">
      <c r="A33" t="b">
        <f t="shared" si="0"/>
        <v>1</v>
      </c>
      <c r="B33" t="str">
        <f>+EERR!A31</f>
        <v>3.1.06.302</v>
      </c>
      <c r="C33" s="3" t="s">
        <v>57</v>
      </c>
      <c r="D33" s="3" t="s">
        <v>58</v>
      </c>
      <c r="E33" s="30">
        <v>-3126087</v>
      </c>
      <c r="F33" s="32">
        <f t="shared" si="2"/>
        <v>3126087</v>
      </c>
      <c r="G33" s="33">
        <f t="shared" si="3"/>
        <v>0</v>
      </c>
      <c r="H33" s="22" t="s">
        <v>136</v>
      </c>
      <c r="I33">
        <v>3126087</v>
      </c>
      <c r="J33" s="13">
        <v>300</v>
      </c>
      <c r="K33" s="10"/>
      <c r="L33" s="11"/>
      <c r="M33" s="12"/>
      <c r="N33" s="10"/>
      <c r="O33" s="11"/>
      <c r="P33" s="12"/>
      <c r="Q33" s="10"/>
      <c r="R33" s="11"/>
      <c r="S33" s="12"/>
      <c r="T33" s="10"/>
      <c r="U33" s="11"/>
      <c r="V33" s="12"/>
      <c r="W33" s="10"/>
      <c r="X33" s="11"/>
      <c r="Y33" s="12"/>
      <c r="Z33" s="10"/>
      <c r="AA33" s="11"/>
      <c r="AB33" s="12"/>
      <c r="AC33" s="10"/>
      <c r="AD33" s="11"/>
      <c r="AE33" s="12"/>
      <c r="AF33" s="10"/>
      <c r="AG33" s="11"/>
      <c r="AH33" s="12"/>
      <c r="AI33" s="10"/>
      <c r="AJ33" s="11"/>
      <c r="AK33" s="12"/>
      <c r="AL33" s="10"/>
      <c r="AM33" s="11"/>
      <c r="AN33" s="12"/>
      <c r="AO33" s="10"/>
      <c r="AP33" s="11"/>
      <c r="AQ33" s="12"/>
      <c r="AR33" s="10"/>
      <c r="AS33" s="11"/>
      <c r="AT33" s="12"/>
      <c r="AU33" s="10"/>
      <c r="AV33" s="11"/>
      <c r="AW33" s="12"/>
      <c r="AX33" s="10"/>
      <c r="AY33" s="11"/>
      <c r="AZ33" s="12"/>
      <c r="BA33" s="10"/>
      <c r="BB33" s="11"/>
      <c r="BC33" s="12"/>
      <c r="BD33" s="10"/>
      <c r="BE33" s="11"/>
      <c r="BF33" s="12"/>
      <c r="BG33" s="10"/>
      <c r="BH33" s="11"/>
      <c r="BI33" s="12"/>
      <c r="BJ33" s="10"/>
      <c r="BK33" s="11"/>
      <c r="BL33" s="12"/>
      <c r="BM33" s="10"/>
      <c r="BN33" s="11"/>
      <c r="BO33" s="12"/>
      <c r="BP33" s="10"/>
      <c r="BQ33" s="11"/>
      <c r="BR33" s="12"/>
      <c r="BS33" s="10"/>
      <c r="BT33" s="11"/>
      <c r="BU33" s="12"/>
      <c r="BV33" s="10"/>
      <c r="BW33" s="11"/>
      <c r="BX33" s="12"/>
      <c r="BY33" s="10"/>
      <c r="BZ33" s="11"/>
      <c r="CA33" s="12"/>
      <c r="CB33" s="10"/>
      <c r="CC33" s="11"/>
      <c r="CD33" s="12"/>
      <c r="CE33" s="10"/>
      <c r="CF33" s="11"/>
      <c r="CG33" s="12"/>
      <c r="CH33" s="10"/>
      <c r="CI33" s="11"/>
      <c r="CJ33" s="12"/>
      <c r="CK33" s="10"/>
      <c r="CL33" s="11"/>
      <c r="CM33" s="12"/>
      <c r="CN33" s="10"/>
      <c r="CO33" s="11"/>
      <c r="CP33" s="12"/>
      <c r="CQ33" s="10"/>
      <c r="CR33" s="11"/>
      <c r="CS33" s="12"/>
      <c r="CT33" s="10"/>
      <c r="CU33" s="11"/>
      <c r="CV33" s="12"/>
      <c r="CW33" s="10"/>
      <c r="CX33" s="11"/>
      <c r="CY33" s="12"/>
    </row>
    <row r="34" spans="1:103">
      <c r="A34" t="b">
        <f t="shared" si="0"/>
        <v>1</v>
      </c>
      <c r="B34" t="str">
        <f>+EERR!A32</f>
        <v>3.1.06.305</v>
      </c>
      <c r="C34" s="3" t="s">
        <v>59</v>
      </c>
      <c r="D34" s="3" t="s">
        <v>60</v>
      </c>
      <c r="E34" s="30">
        <v>-631049</v>
      </c>
      <c r="F34" s="32">
        <f t="shared" si="2"/>
        <v>631049</v>
      </c>
      <c r="G34" s="33">
        <f t="shared" si="3"/>
        <v>0</v>
      </c>
      <c r="H34" s="22" t="s">
        <v>178</v>
      </c>
      <c r="I34">
        <v>17716</v>
      </c>
      <c r="J34" s="13">
        <v>300</v>
      </c>
      <c r="K34" s="22" t="s">
        <v>189</v>
      </c>
      <c r="L34">
        <v>18862</v>
      </c>
      <c r="M34" s="13">
        <v>300</v>
      </c>
      <c r="N34" s="22" t="s">
        <v>190</v>
      </c>
      <c r="O34">
        <v>11247</v>
      </c>
      <c r="P34" s="13">
        <v>300</v>
      </c>
      <c r="Q34" t="s">
        <v>205</v>
      </c>
      <c r="R34" s="31">
        <v>13150</v>
      </c>
      <c r="S34">
        <v>190</v>
      </c>
      <c r="T34" t="s">
        <v>206</v>
      </c>
      <c r="U34" s="31">
        <v>55995</v>
      </c>
      <c r="V34">
        <v>195</v>
      </c>
      <c r="W34" t="s">
        <v>207</v>
      </c>
      <c r="X34" s="31">
        <v>82318</v>
      </c>
      <c r="Y34">
        <v>150</v>
      </c>
      <c r="Z34" t="s">
        <v>208</v>
      </c>
      <c r="AA34" s="31">
        <v>2000</v>
      </c>
      <c r="AB34">
        <v>180</v>
      </c>
      <c r="AC34" t="s">
        <v>209</v>
      </c>
      <c r="AD34" s="31">
        <v>40308</v>
      </c>
      <c r="AE34">
        <v>130</v>
      </c>
      <c r="AF34" t="s">
        <v>210</v>
      </c>
      <c r="AG34" s="31">
        <v>68130</v>
      </c>
      <c r="AH34">
        <v>170</v>
      </c>
      <c r="AI34" t="s">
        <v>211</v>
      </c>
      <c r="AJ34" s="31">
        <v>7000</v>
      </c>
      <c r="AK34">
        <v>200</v>
      </c>
      <c r="AL34" t="s">
        <v>212</v>
      </c>
      <c r="AM34" s="31">
        <v>119468</v>
      </c>
      <c r="AN34">
        <v>300</v>
      </c>
      <c r="AO34" t="s">
        <v>213</v>
      </c>
      <c r="AP34" s="31">
        <v>31490</v>
      </c>
      <c r="AQ34">
        <v>185</v>
      </c>
      <c r="AR34" t="s">
        <v>214</v>
      </c>
      <c r="AS34" s="31">
        <v>5938</v>
      </c>
      <c r="AT34">
        <v>2</v>
      </c>
      <c r="AU34" t="s">
        <v>215</v>
      </c>
      <c r="AV34" s="31">
        <v>104803</v>
      </c>
      <c r="AW34">
        <v>300</v>
      </c>
      <c r="AX34" t="s">
        <v>216</v>
      </c>
      <c r="AY34" s="31">
        <v>315744</v>
      </c>
      <c r="AZ34" t="s">
        <v>169</v>
      </c>
      <c r="BA34" t="s">
        <v>217</v>
      </c>
      <c r="BB34" s="31">
        <v>-263120</v>
      </c>
      <c r="BC34" t="s">
        <v>169</v>
      </c>
      <c r="BD34" s="22"/>
      <c r="BF34" s="13"/>
      <c r="BG34" s="10"/>
      <c r="BH34" s="11"/>
      <c r="BI34" s="12"/>
      <c r="BJ34" s="10"/>
      <c r="BK34" s="11"/>
      <c r="BL34" s="12"/>
      <c r="BM34" s="10"/>
      <c r="BN34" s="11"/>
      <c r="BO34" s="12"/>
      <c r="BP34" s="10"/>
      <c r="BQ34" s="11"/>
      <c r="BR34" s="12"/>
      <c r="BS34" s="10"/>
      <c r="BT34" s="11"/>
      <c r="BU34" s="12"/>
      <c r="BV34" s="10"/>
      <c r="BW34" s="11"/>
      <c r="BX34" s="12"/>
      <c r="BY34" s="10"/>
      <c r="BZ34" s="11"/>
      <c r="CA34" s="12"/>
      <c r="CB34" s="10"/>
      <c r="CC34" s="11"/>
      <c r="CD34" s="12"/>
      <c r="CE34" s="10"/>
      <c r="CF34" s="11"/>
      <c r="CG34" s="12"/>
      <c r="CH34" s="10"/>
      <c r="CI34" s="11"/>
      <c r="CJ34" s="12"/>
      <c r="CK34" s="10"/>
      <c r="CL34" s="11"/>
      <c r="CM34" s="12"/>
      <c r="CN34" s="10"/>
      <c r="CO34" s="11"/>
      <c r="CP34" s="12"/>
      <c r="CQ34" s="10"/>
      <c r="CR34" s="11"/>
      <c r="CS34" s="12"/>
      <c r="CT34" s="10"/>
      <c r="CU34" s="11"/>
      <c r="CV34" s="12"/>
      <c r="CW34" s="10"/>
      <c r="CX34" s="11"/>
      <c r="CY34" s="12"/>
    </row>
    <row r="35" spans="1:103">
      <c r="A35" t="b">
        <f t="shared" si="0"/>
        <v>1</v>
      </c>
      <c r="B35" t="str">
        <f>+EERR!A33</f>
        <v>3.1.06.306</v>
      </c>
      <c r="C35" s="3" t="s">
        <v>61</v>
      </c>
      <c r="D35" s="3" t="s">
        <v>62</v>
      </c>
      <c r="E35" s="30">
        <v>0</v>
      </c>
      <c r="F35" s="32">
        <f t="shared" si="2"/>
        <v>0</v>
      </c>
      <c r="G35" s="33">
        <f t="shared" si="3"/>
        <v>0</v>
      </c>
      <c r="H35" s="10"/>
      <c r="I35" s="11"/>
      <c r="J35" s="12"/>
      <c r="K35" s="10"/>
      <c r="L35" s="11"/>
      <c r="M35" s="12"/>
      <c r="N35" s="10"/>
      <c r="O35" s="11"/>
      <c r="P35" s="12"/>
      <c r="Q35" s="10"/>
      <c r="R35" s="11"/>
      <c r="S35" s="12"/>
      <c r="T35" s="10"/>
      <c r="U35" s="11"/>
      <c r="V35" s="12"/>
      <c r="W35" s="10"/>
      <c r="X35" s="11"/>
      <c r="Y35" s="12"/>
      <c r="Z35" s="10"/>
      <c r="AA35" s="11"/>
      <c r="AB35" s="12"/>
      <c r="AC35" s="10"/>
      <c r="AD35" s="11"/>
      <c r="AE35" s="12"/>
      <c r="AF35" s="10"/>
      <c r="AG35" s="11"/>
      <c r="AH35" s="12"/>
      <c r="AI35" s="10"/>
      <c r="AJ35" s="11"/>
      <c r="AK35" s="12"/>
      <c r="AL35" s="10"/>
      <c r="AM35" s="11"/>
      <c r="AN35" s="12"/>
      <c r="AO35" s="10"/>
      <c r="AP35" s="11"/>
      <c r="AQ35" s="12"/>
      <c r="AR35" s="10"/>
      <c r="AS35" s="11"/>
      <c r="AT35" s="12"/>
      <c r="AU35" s="10"/>
      <c r="AV35" s="11"/>
      <c r="AW35" s="12"/>
      <c r="AX35" s="10"/>
      <c r="AY35" s="11"/>
      <c r="AZ35" s="12"/>
      <c r="BA35" s="10"/>
      <c r="BB35" s="11"/>
      <c r="BC35" s="12"/>
      <c r="BD35" s="10"/>
      <c r="BE35" s="11"/>
      <c r="BF35" s="12"/>
      <c r="BG35" s="10"/>
      <c r="BH35" s="11"/>
      <c r="BI35" s="12"/>
      <c r="BJ35" s="10"/>
      <c r="BK35" s="11"/>
      <c r="BL35" s="12"/>
      <c r="BM35" s="10"/>
      <c r="BN35" s="11"/>
      <c r="BO35" s="12"/>
      <c r="BP35" s="10"/>
      <c r="BQ35" s="11"/>
      <c r="BR35" s="12"/>
      <c r="BS35" s="10"/>
      <c r="BT35" s="11"/>
      <c r="BU35" s="12"/>
      <c r="BV35" s="10"/>
      <c r="BW35" s="11"/>
      <c r="BX35" s="12"/>
      <c r="BY35" s="10"/>
      <c r="BZ35" s="11"/>
      <c r="CA35" s="12"/>
      <c r="CB35" s="10"/>
      <c r="CC35" s="11"/>
      <c r="CD35" s="12"/>
      <c r="CE35" s="10"/>
      <c r="CF35" s="11"/>
      <c r="CG35" s="12"/>
      <c r="CH35" s="10"/>
      <c r="CI35" s="11"/>
      <c r="CJ35" s="12"/>
      <c r="CK35" s="10"/>
      <c r="CL35" s="11"/>
      <c r="CM35" s="12"/>
      <c r="CN35" s="10"/>
      <c r="CO35" s="11"/>
      <c r="CP35" s="12"/>
      <c r="CQ35" s="10"/>
      <c r="CR35" s="11"/>
      <c r="CS35" s="12"/>
      <c r="CT35" s="10"/>
      <c r="CU35" s="11"/>
      <c r="CV35" s="12"/>
      <c r="CW35" s="10"/>
      <c r="CX35" s="11"/>
      <c r="CY35" s="12"/>
    </row>
    <row r="36" spans="1:103">
      <c r="A36" t="b">
        <f t="shared" si="0"/>
        <v>1</v>
      </c>
      <c r="B36" t="str">
        <f>+EERR!A34</f>
        <v>3.1.06.401</v>
      </c>
      <c r="C36" s="1" t="s">
        <v>63</v>
      </c>
      <c r="D36" s="1" t="s">
        <v>64</v>
      </c>
      <c r="E36" s="30">
        <v>-177715</v>
      </c>
      <c r="F36" s="32">
        <f t="shared" si="2"/>
        <v>177715</v>
      </c>
      <c r="G36" s="33">
        <f t="shared" si="3"/>
        <v>0</v>
      </c>
      <c r="H36" s="22" t="s">
        <v>137</v>
      </c>
      <c r="I36">
        <v>648423</v>
      </c>
      <c r="J36" s="13" t="s">
        <v>138</v>
      </c>
      <c r="K36" s="22" t="s">
        <v>149</v>
      </c>
      <c r="L36">
        <v>93361</v>
      </c>
      <c r="M36" s="13">
        <v>185</v>
      </c>
      <c r="N36" s="22" t="s">
        <v>139</v>
      </c>
      <c r="O36">
        <v>84354</v>
      </c>
      <c r="P36" s="13" t="s">
        <v>140</v>
      </c>
      <c r="Q36" s="22" t="s">
        <v>137</v>
      </c>
      <c r="R36">
        <v>-648423</v>
      </c>
      <c r="S36" s="13" t="s">
        <v>138</v>
      </c>
      <c r="T36" s="22"/>
      <c r="V36" s="13"/>
      <c r="W36" s="22"/>
      <c r="Y36" s="13"/>
      <c r="Z36" s="22"/>
      <c r="AB36" s="13"/>
      <c r="AC36" s="22"/>
      <c r="AE36" s="13"/>
      <c r="AF36" s="22"/>
      <c r="AH36" s="13"/>
      <c r="AI36" s="10"/>
      <c r="AJ36" s="11"/>
      <c r="AK36" s="12"/>
      <c r="AL36" s="10"/>
      <c r="AM36" s="11"/>
      <c r="AN36" s="12"/>
      <c r="AO36" s="10"/>
      <c r="AP36" s="11"/>
      <c r="AQ36" s="12"/>
      <c r="AR36" s="10"/>
      <c r="AS36" s="11"/>
      <c r="AT36" s="12"/>
      <c r="AU36" s="10"/>
      <c r="AV36" s="11"/>
      <c r="AW36" s="12"/>
      <c r="AX36" s="10"/>
      <c r="AY36" s="11"/>
      <c r="AZ36" s="12"/>
      <c r="BA36" s="10"/>
      <c r="BB36" s="11"/>
      <c r="BC36" s="12"/>
      <c r="BD36" s="10"/>
      <c r="BE36" s="11"/>
      <c r="BF36" s="12"/>
      <c r="BG36" s="10"/>
      <c r="BH36" s="11"/>
      <c r="BI36" s="12"/>
      <c r="BJ36" s="10"/>
      <c r="BK36" s="11"/>
      <c r="BL36" s="12"/>
      <c r="BM36" s="10"/>
      <c r="BN36" s="11"/>
      <c r="BO36" s="12"/>
      <c r="BP36" s="10"/>
      <c r="BQ36" s="11"/>
      <c r="BR36" s="12"/>
      <c r="BS36" s="10"/>
      <c r="BT36" s="11"/>
      <c r="BU36" s="12"/>
      <c r="BV36" s="10"/>
      <c r="BW36" s="11"/>
      <c r="BX36" s="12"/>
      <c r="BY36" s="10"/>
      <c r="BZ36" s="11"/>
      <c r="CA36" s="12"/>
      <c r="CB36" s="10"/>
      <c r="CC36" s="11"/>
      <c r="CD36" s="12"/>
      <c r="CE36" s="10"/>
      <c r="CF36" s="11"/>
      <c r="CG36" s="12"/>
      <c r="CH36" s="10"/>
      <c r="CI36" s="11"/>
      <c r="CJ36" s="12"/>
      <c r="CK36" s="10"/>
      <c r="CL36" s="11"/>
      <c r="CM36" s="12"/>
      <c r="CN36" s="10"/>
      <c r="CO36" s="11"/>
      <c r="CP36" s="12"/>
      <c r="CQ36" s="10"/>
      <c r="CR36" s="11"/>
      <c r="CS36" s="12"/>
      <c r="CT36" s="10"/>
      <c r="CU36" s="11"/>
      <c r="CV36" s="12"/>
      <c r="CW36" s="10"/>
      <c r="CX36" s="11"/>
      <c r="CY36" s="12"/>
    </row>
    <row r="37" spans="1:103">
      <c r="A37" t="b">
        <f t="shared" si="0"/>
        <v>1</v>
      </c>
      <c r="B37" t="str">
        <f>+EERR!A35</f>
        <v>3.1.06.406</v>
      </c>
      <c r="C37" s="3" t="s">
        <v>65</v>
      </c>
      <c r="D37" s="3" t="s">
        <v>66</v>
      </c>
      <c r="E37" s="30">
        <v>-131229</v>
      </c>
      <c r="F37" s="32">
        <f t="shared" si="2"/>
        <v>131229</v>
      </c>
      <c r="G37" s="33">
        <f t="shared" si="3"/>
        <v>0</v>
      </c>
      <c r="H37" s="22" t="s">
        <v>176</v>
      </c>
      <c r="I37">
        <v>131229</v>
      </c>
      <c r="J37" s="13" t="s">
        <v>177</v>
      </c>
      <c r="K37" s="22"/>
      <c r="M37" s="13"/>
      <c r="N37" s="10"/>
      <c r="O37" s="11"/>
      <c r="P37" s="12"/>
      <c r="Q37" s="10"/>
      <c r="R37" s="11"/>
      <c r="S37" s="12"/>
      <c r="T37" s="10"/>
      <c r="U37" s="11"/>
      <c r="V37" s="12"/>
      <c r="W37" s="10"/>
      <c r="X37" s="11"/>
      <c r="Y37" s="12"/>
      <c r="Z37" s="10"/>
      <c r="AA37" s="11"/>
      <c r="AB37" s="12"/>
      <c r="AC37" s="10"/>
      <c r="AD37" s="11"/>
      <c r="AE37" s="12"/>
      <c r="AF37" s="10"/>
      <c r="AG37" s="11"/>
      <c r="AH37" s="12"/>
      <c r="AI37" s="10"/>
      <c r="AJ37" s="11"/>
      <c r="AK37" s="12"/>
      <c r="AL37" s="10"/>
      <c r="AM37" s="11"/>
      <c r="AN37" s="12"/>
      <c r="AO37" s="10"/>
      <c r="AP37" s="11"/>
      <c r="AQ37" s="12"/>
      <c r="AR37" s="10"/>
      <c r="AS37" s="11"/>
      <c r="AT37" s="12"/>
      <c r="AU37" s="10"/>
      <c r="AV37" s="11"/>
      <c r="AW37" s="12"/>
      <c r="AX37" s="10"/>
      <c r="AY37" s="11"/>
      <c r="AZ37" s="12"/>
      <c r="BA37" s="10"/>
      <c r="BB37" s="11"/>
      <c r="BC37" s="12"/>
      <c r="BD37" s="10"/>
      <c r="BE37" s="11"/>
      <c r="BF37" s="12"/>
      <c r="BG37" s="10"/>
      <c r="BH37" s="11"/>
      <c r="BI37" s="12"/>
      <c r="BJ37" s="10"/>
      <c r="BK37" s="11"/>
      <c r="BL37" s="12"/>
      <c r="BM37" s="10"/>
      <c r="BN37" s="11"/>
      <c r="BO37" s="12"/>
      <c r="BP37" s="10"/>
      <c r="BQ37" s="11"/>
      <c r="BR37" s="12"/>
      <c r="BS37" s="10"/>
      <c r="BT37" s="11"/>
      <c r="BU37" s="12"/>
      <c r="BV37" s="10"/>
      <c r="BW37" s="11"/>
      <c r="BX37" s="12"/>
      <c r="BY37" s="10"/>
      <c r="BZ37" s="11"/>
      <c r="CA37" s="12"/>
      <c r="CB37" s="10"/>
      <c r="CC37" s="11"/>
      <c r="CD37" s="12"/>
      <c r="CE37" s="10"/>
      <c r="CF37" s="11"/>
      <c r="CG37" s="12"/>
      <c r="CH37" s="10"/>
      <c r="CI37" s="11"/>
      <c r="CJ37" s="12"/>
      <c r="CK37" s="10"/>
      <c r="CL37" s="11"/>
      <c r="CM37" s="12"/>
      <c r="CN37" s="10"/>
      <c r="CO37" s="11"/>
      <c r="CP37" s="12"/>
      <c r="CQ37" s="10"/>
      <c r="CR37" s="11"/>
      <c r="CS37" s="12"/>
      <c r="CT37" s="10"/>
      <c r="CU37" s="11"/>
      <c r="CV37" s="12"/>
      <c r="CW37" s="10"/>
      <c r="CX37" s="11"/>
      <c r="CY37" s="12"/>
    </row>
    <row r="38" spans="1:103">
      <c r="A38" t="b">
        <f t="shared" si="0"/>
        <v>1</v>
      </c>
      <c r="B38" t="str">
        <f>+EERR!A36</f>
        <v>3.1.06.501</v>
      </c>
      <c r="C38" s="3" t="s">
        <v>67</v>
      </c>
      <c r="D38" s="3" t="s">
        <v>68</v>
      </c>
      <c r="E38" s="30">
        <v>-839257</v>
      </c>
      <c r="F38" s="32">
        <f t="shared" si="2"/>
        <v>839257</v>
      </c>
      <c r="G38" s="33">
        <f t="shared" si="3"/>
        <v>0</v>
      </c>
      <c r="H38" t="s">
        <v>163</v>
      </c>
      <c r="I38" s="31">
        <v>68062</v>
      </c>
      <c r="J38">
        <v>2</v>
      </c>
      <c r="K38" t="s">
        <v>163</v>
      </c>
      <c r="L38" s="31">
        <v>9564</v>
      </c>
      <c r="M38">
        <v>130</v>
      </c>
      <c r="N38" t="s">
        <v>163</v>
      </c>
      <c r="O38" s="31">
        <v>11619</v>
      </c>
      <c r="P38">
        <v>140</v>
      </c>
      <c r="Q38" t="s">
        <v>163</v>
      </c>
      <c r="R38" s="31">
        <v>44873</v>
      </c>
      <c r="S38">
        <v>150</v>
      </c>
      <c r="T38" t="s">
        <v>163</v>
      </c>
      <c r="U38" s="31">
        <v>55219</v>
      </c>
      <c r="V38">
        <v>170</v>
      </c>
      <c r="W38" t="s">
        <v>163</v>
      </c>
      <c r="X38" s="31">
        <v>11619</v>
      </c>
      <c r="Y38">
        <v>180</v>
      </c>
      <c r="Z38" t="s">
        <v>163</v>
      </c>
      <c r="AA38" s="31">
        <v>6962</v>
      </c>
      <c r="AB38">
        <v>185</v>
      </c>
      <c r="AC38" t="s">
        <v>163</v>
      </c>
      <c r="AD38" s="31">
        <v>536239</v>
      </c>
      <c r="AE38">
        <v>190</v>
      </c>
      <c r="AF38" t="s">
        <v>163</v>
      </c>
      <c r="AG38" s="31">
        <v>4258</v>
      </c>
      <c r="AH38">
        <v>195</v>
      </c>
      <c r="AI38" t="s">
        <v>163</v>
      </c>
      <c r="AJ38" s="31">
        <v>37862</v>
      </c>
      <c r="AK38">
        <v>200</v>
      </c>
      <c r="AL38" t="s">
        <v>163</v>
      </c>
      <c r="AM38" s="31">
        <v>52980</v>
      </c>
      <c r="AN38">
        <v>210</v>
      </c>
      <c r="AO38" s="10"/>
      <c r="AP38" s="11"/>
      <c r="AQ38" s="12"/>
      <c r="AR38" s="10"/>
      <c r="AS38" s="11"/>
      <c r="AT38" s="12"/>
      <c r="AU38" s="10"/>
      <c r="AV38" s="11"/>
      <c r="AW38" s="12"/>
      <c r="AX38" s="10"/>
      <c r="AY38" s="11"/>
      <c r="AZ38" s="12"/>
      <c r="BA38" s="10"/>
      <c r="BB38" s="11"/>
      <c r="BC38" s="12"/>
      <c r="BD38" s="10"/>
      <c r="BE38" s="11"/>
      <c r="BF38" s="12"/>
      <c r="BG38" s="10"/>
      <c r="BH38" s="11"/>
      <c r="BI38" s="12"/>
      <c r="BJ38" s="10"/>
      <c r="BK38" s="11"/>
      <c r="BL38" s="12"/>
      <c r="BM38" s="10"/>
      <c r="BN38" s="11"/>
      <c r="BO38" s="12"/>
      <c r="BP38" s="10"/>
      <c r="BQ38" s="11"/>
      <c r="BR38" s="12"/>
      <c r="BS38" s="10"/>
      <c r="BT38" s="11"/>
      <c r="BU38" s="12"/>
      <c r="BV38" s="10"/>
      <c r="BW38" s="11"/>
      <c r="BX38" s="12"/>
      <c r="BY38" s="10"/>
      <c r="BZ38" s="11"/>
      <c r="CA38" s="12"/>
      <c r="CB38" s="10"/>
      <c r="CC38" s="11"/>
      <c r="CD38" s="12"/>
      <c r="CE38" s="10"/>
      <c r="CF38" s="11"/>
      <c r="CG38" s="12"/>
      <c r="CH38" s="10"/>
      <c r="CI38" s="11"/>
      <c r="CJ38" s="12"/>
      <c r="CK38" s="10"/>
      <c r="CL38" s="11"/>
      <c r="CM38" s="12"/>
      <c r="CN38" s="10"/>
      <c r="CO38" s="11"/>
      <c r="CP38" s="12"/>
      <c r="CQ38" s="10"/>
      <c r="CR38" s="11"/>
      <c r="CS38" s="12"/>
      <c r="CT38" s="10"/>
      <c r="CU38" s="11"/>
      <c r="CV38" s="12"/>
      <c r="CW38" s="10"/>
      <c r="CX38" s="11"/>
      <c r="CY38" s="12"/>
    </row>
    <row r="39" spans="1:103">
      <c r="A39" t="b">
        <f t="shared" si="0"/>
        <v>1</v>
      </c>
      <c r="B39" t="str">
        <f>+EERR!A37</f>
        <v>3.1.06.504</v>
      </c>
      <c r="C39" s="3" t="s">
        <v>185</v>
      </c>
      <c r="D39" s="3" t="s">
        <v>186</v>
      </c>
      <c r="E39" s="30">
        <v>-1065119</v>
      </c>
      <c r="F39" s="32">
        <f t="shared" si="2"/>
        <v>1065119</v>
      </c>
      <c r="G39" s="33">
        <f t="shared" si="3"/>
        <v>0</v>
      </c>
      <c r="H39" t="s">
        <v>218</v>
      </c>
      <c r="I39" s="31">
        <v>1065119</v>
      </c>
      <c r="J39">
        <v>2</v>
      </c>
      <c r="L39" s="31"/>
      <c r="N39" s="22"/>
      <c r="P39" s="13"/>
      <c r="Q39" s="22"/>
      <c r="S39" s="13"/>
      <c r="T39" s="22"/>
      <c r="V39" s="13"/>
      <c r="W39" s="22"/>
      <c r="Y39" s="13"/>
      <c r="Z39" s="22"/>
      <c r="AB39" s="13"/>
      <c r="AC39" s="22"/>
      <c r="AE39" s="13"/>
      <c r="AF39" s="22"/>
      <c r="AH39" s="13"/>
      <c r="AI39" s="22"/>
      <c r="AK39" s="13"/>
      <c r="AL39" s="22"/>
      <c r="AN39" s="13"/>
      <c r="AO39" s="10"/>
      <c r="AP39" s="11"/>
      <c r="AQ39" s="12"/>
      <c r="AR39" s="10"/>
      <c r="AS39" s="11"/>
      <c r="AT39" s="12"/>
      <c r="AU39" s="10"/>
      <c r="AV39" s="11"/>
      <c r="AW39" s="12"/>
      <c r="AX39" s="10"/>
      <c r="AY39" s="11"/>
      <c r="AZ39" s="12"/>
      <c r="BA39" s="10"/>
      <c r="BB39" s="11"/>
      <c r="BC39" s="12"/>
      <c r="BD39" s="10"/>
      <c r="BE39" s="11"/>
      <c r="BF39" s="12"/>
      <c r="BG39" s="10"/>
      <c r="BH39" s="11"/>
      <c r="BI39" s="12"/>
      <c r="BJ39" s="10"/>
      <c r="BK39" s="11"/>
      <c r="BL39" s="12"/>
      <c r="BM39" s="10"/>
      <c r="BN39" s="11"/>
      <c r="BO39" s="12"/>
      <c r="BP39" s="10"/>
      <c r="BQ39" s="11"/>
      <c r="BR39" s="12"/>
      <c r="BS39" s="10"/>
      <c r="BT39" s="11"/>
      <c r="BU39" s="12"/>
      <c r="BV39" s="10"/>
      <c r="BW39" s="11"/>
      <c r="BX39" s="12"/>
      <c r="BY39" s="10"/>
      <c r="BZ39" s="11"/>
      <c r="CA39" s="12"/>
      <c r="CB39" s="10"/>
      <c r="CC39" s="11"/>
      <c r="CD39" s="12"/>
      <c r="CE39" s="10"/>
      <c r="CF39" s="11"/>
      <c r="CG39" s="12"/>
      <c r="CH39" s="10"/>
      <c r="CI39" s="11"/>
      <c r="CJ39" s="12"/>
      <c r="CK39" s="10"/>
      <c r="CL39" s="11"/>
      <c r="CM39" s="12"/>
      <c r="CN39" s="10"/>
      <c r="CO39" s="11"/>
      <c r="CP39" s="12"/>
      <c r="CQ39" s="10"/>
      <c r="CR39" s="11"/>
      <c r="CS39" s="12"/>
      <c r="CT39" s="10"/>
      <c r="CU39" s="11"/>
      <c r="CV39" s="12"/>
      <c r="CW39" s="10"/>
      <c r="CX39" s="11"/>
      <c r="CY39" s="12"/>
    </row>
    <row r="40" spans="1:103">
      <c r="A40" t="b">
        <f t="shared" si="0"/>
        <v>1</v>
      </c>
      <c r="B40" t="str">
        <f>+EERR!A38</f>
        <v>3.1.06.505</v>
      </c>
      <c r="C40" s="3" t="s">
        <v>69</v>
      </c>
      <c r="D40" s="3" t="s">
        <v>70</v>
      </c>
      <c r="E40" s="30">
        <v>-420710</v>
      </c>
      <c r="F40" s="32">
        <f t="shared" si="2"/>
        <v>420710</v>
      </c>
      <c r="G40" s="33">
        <f t="shared" si="3"/>
        <v>0</v>
      </c>
      <c r="H40" t="s">
        <v>219</v>
      </c>
      <c r="I40" s="31">
        <v>420710</v>
      </c>
      <c r="J40" s="13">
        <v>2</v>
      </c>
      <c r="K40" s="10"/>
      <c r="L40" s="11"/>
      <c r="M40" s="12"/>
      <c r="N40" s="10"/>
      <c r="O40" s="11"/>
      <c r="P40" s="12"/>
      <c r="Q40" s="10"/>
      <c r="R40" s="11"/>
      <c r="S40" s="12"/>
      <c r="T40" s="10"/>
      <c r="U40" s="11"/>
      <c r="V40" s="12"/>
      <c r="W40" s="10"/>
      <c r="X40" s="11"/>
      <c r="Y40" s="12"/>
      <c r="Z40" s="10"/>
      <c r="AA40" s="11"/>
      <c r="AB40" s="12"/>
      <c r="AC40" s="10"/>
      <c r="AD40" s="11"/>
      <c r="AE40" s="12"/>
      <c r="AF40" s="10"/>
      <c r="AG40" s="11"/>
      <c r="AH40" s="12"/>
      <c r="AI40" s="10"/>
      <c r="AJ40" s="11"/>
      <c r="AK40" s="12"/>
      <c r="AL40" s="10"/>
      <c r="AM40" s="11"/>
      <c r="AN40" s="12"/>
      <c r="AO40" s="10"/>
      <c r="AP40" s="11"/>
      <c r="AQ40" s="12"/>
      <c r="AR40" s="10"/>
      <c r="AS40" s="11"/>
      <c r="AT40" s="12"/>
      <c r="AU40" s="10"/>
      <c r="AV40" s="11"/>
      <c r="AW40" s="12"/>
      <c r="AX40" s="10"/>
      <c r="AY40" s="11"/>
      <c r="AZ40" s="12"/>
      <c r="BA40" s="10"/>
      <c r="BB40" s="11"/>
      <c r="BC40" s="12"/>
      <c r="BD40" s="10"/>
      <c r="BE40" s="11"/>
      <c r="BF40" s="12"/>
      <c r="BG40" s="10"/>
      <c r="BH40" s="11"/>
      <c r="BI40" s="12"/>
      <c r="BJ40" s="10"/>
      <c r="BK40" s="11"/>
      <c r="BL40" s="12"/>
      <c r="BM40" s="10"/>
      <c r="BN40" s="11"/>
      <c r="BO40" s="12"/>
      <c r="BP40" s="10"/>
      <c r="BQ40" s="11"/>
      <c r="BR40" s="12"/>
      <c r="BS40" s="10"/>
      <c r="BT40" s="11"/>
      <c r="BU40" s="12"/>
      <c r="BV40" s="10"/>
      <c r="BW40" s="11"/>
      <c r="BX40" s="12"/>
      <c r="BY40" s="10"/>
      <c r="BZ40" s="11"/>
      <c r="CA40" s="12"/>
      <c r="CB40" s="10"/>
      <c r="CC40" s="11"/>
      <c r="CD40" s="12"/>
      <c r="CE40" s="10"/>
      <c r="CF40" s="11"/>
      <c r="CG40" s="12"/>
      <c r="CH40" s="10"/>
      <c r="CI40" s="11"/>
      <c r="CJ40" s="12"/>
      <c r="CK40" s="10"/>
      <c r="CL40" s="11"/>
      <c r="CM40" s="12"/>
      <c r="CN40" s="10"/>
      <c r="CO40" s="11"/>
      <c r="CP40" s="12"/>
      <c r="CQ40" s="10"/>
      <c r="CR40" s="11"/>
      <c r="CS40" s="12"/>
      <c r="CT40" s="10"/>
      <c r="CU40" s="11"/>
      <c r="CV40" s="12"/>
      <c r="CW40" s="10"/>
      <c r="CX40" s="11"/>
      <c r="CY40" s="12"/>
    </row>
    <row r="41" spans="1:103">
      <c r="A41" t="b">
        <f t="shared" si="0"/>
        <v>1</v>
      </c>
      <c r="B41" t="str">
        <f>+EERR!A39</f>
        <v>3.1.06.506</v>
      </c>
      <c r="C41" s="3" t="s">
        <v>71</v>
      </c>
      <c r="D41" s="3" t="s">
        <v>72</v>
      </c>
      <c r="E41" s="30">
        <v>-663414</v>
      </c>
      <c r="F41" s="32">
        <f t="shared" si="2"/>
        <v>663414</v>
      </c>
      <c r="G41" s="33">
        <f t="shared" ref="G41:G57" si="4">+E41+F41</f>
        <v>0</v>
      </c>
      <c r="H41" s="22" t="s">
        <v>164</v>
      </c>
      <c r="I41">
        <v>663414</v>
      </c>
      <c r="J41" s="13" t="s">
        <v>148</v>
      </c>
      <c r="K41" s="10"/>
      <c r="L41" s="11"/>
      <c r="M41" s="12"/>
      <c r="N41" s="10"/>
      <c r="O41" s="11"/>
      <c r="P41" s="12"/>
      <c r="Q41" s="10"/>
      <c r="R41" s="11"/>
      <c r="S41" s="12"/>
      <c r="T41" s="10"/>
      <c r="U41" s="11"/>
      <c r="V41" s="12"/>
      <c r="W41" s="10"/>
      <c r="X41" s="11"/>
      <c r="Y41" s="12"/>
      <c r="Z41" s="10"/>
      <c r="AA41" s="11"/>
      <c r="AB41" s="12"/>
      <c r="AC41" s="10"/>
      <c r="AD41" s="11"/>
      <c r="AE41" s="12"/>
      <c r="AF41" s="10"/>
      <c r="AG41" s="11"/>
      <c r="AH41" s="12"/>
      <c r="AI41" s="10"/>
      <c r="AJ41" s="11"/>
      <c r="AK41" s="12"/>
      <c r="AL41" s="10"/>
      <c r="AM41" s="11"/>
      <c r="AN41" s="12"/>
      <c r="AO41" s="10"/>
      <c r="AP41" s="11"/>
      <c r="AQ41" s="12"/>
      <c r="AR41" s="10"/>
      <c r="AS41" s="11"/>
      <c r="AT41" s="12"/>
      <c r="AU41" s="10"/>
      <c r="AV41" s="11"/>
      <c r="AW41" s="12"/>
      <c r="AX41" s="10"/>
      <c r="AY41" s="11"/>
      <c r="AZ41" s="12"/>
      <c r="BA41" s="10"/>
      <c r="BB41" s="11"/>
      <c r="BC41" s="12"/>
      <c r="BD41" s="10"/>
      <c r="BE41" s="11"/>
      <c r="BF41" s="12"/>
      <c r="BG41" s="10"/>
      <c r="BH41" s="11"/>
      <c r="BI41" s="12"/>
      <c r="BJ41" s="10"/>
      <c r="BK41" s="11"/>
      <c r="BL41" s="12"/>
      <c r="BM41" s="10"/>
      <c r="BN41" s="11"/>
      <c r="BO41" s="12"/>
      <c r="BP41" s="10"/>
      <c r="BQ41" s="11"/>
      <c r="BR41" s="12"/>
      <c r="BS41" s="10"/>
      <c r="BT41" s="11"/>
      <c r="BU41" s="12"/>
      <c r="BV41" s="10"/>
      <c r="BW41" s="11"/>
      <c r="BX41" s="12"/>
      <c r="BY41" s="10"/>
      <c r="BZ41" s="11"/>
      <c r="CA41" s="12"/>
      <c r="CB41" s="10"/>
      <c r="CC41" s="11"/>
      <c r="CD41" s="12"/>
      <c r="CE41" s="10"/>
      <c r="CF41" s="11"/>
      <c r="CG41" s="12"/>
      <c r="CH41" s="10"/>
      <c r="CI41" s="11"/>
      <c r="CJ41" s="12"/>
      <c r="CK41" s="10"/>
      <c r="CL41" s="11"/>
      <c r="CM41" s="12"/>
      <c r="CN41" s="10"/>
      <c r="CO41" s="11"/>
      <c r="CP41" s="12"/>
      <c r="CQ41" s="10"/>
      <c r="CR41" s="11"/>
      <c r="CS41" s="12"/>
      <c r="CT41" s="10"/>
      <c r="CU41" s="11"/>
      <c r="CV41" s="12"/>
      <c r="CW41" s="10"/>
      <c r="CX41" s="11"/>
      <c r="CY41" s="12"/>
    </row>
    <row r="42" spans="1:103">
      <c r="A42" t="b">
        <f t="shared" si="0"/>
        <v>1</v>
      </c>
      <c r="B42" t="str">
        <f>+EERR!A40</f>
        <v>3.1.06.507</v>
      </c>
      <c r="C42" s="3" t="s">
        <v>73</v>
      </c>
      <c r="D42" s="3" t="s">
        <v>74</v>
      </c>
      <c r="E42" s="30">
        <v>1</v>
      </c>
      <c r="F42" s="32">
        <f>+I42+L42+O42+R42+U42+X42+AA42+AD42+AG42+AJ42+AM42+AP42+AS42+AV42+AY42+BB42+BE42+BH42+BK42+BN42+BQ42+BT42+BW42+BZ42+CC42+CF42+CI42+CL42+CO42+CR42+CU42</f>
        <v>-1</v>
      </c>
      <c r="G42" s="33">
        <f t="shared" si="4"/>
        <v>0</v>
      </c>
      <c r="H42" s="22" t="s">
        <v>141</v>
      </c>
      <c r="I42">
        <v>61186</v>
      </c>
      <c r="J42" s="13">
        <v>190</v>
      </c>
      <c r="K42" s="22" t="s">
        <v>141</v>
      </c>
      <c r="L42">
        <v>-61187</v>
      </c>
      <c r="M42" s="13">
        <v>190</v>
      </c>
      <c r="N42" s="10"/>
      <c r="O42" s="11"/>
      <c r="P42" s="12"/>
      <c r="Q42" s="10"/>
      <c r="R42" s="11"/>
      <c r="S42" s="12"/>
      <c r="T42" s="10"/>
      <c r="U42" s="11"/>
      <c r="V42" s="12"/>
      <c r="W42" s="10"/>
      <c r="X42" s="11"/>
      <c r="Y42" s="12"/>
      <c r="Z42" s="10"/>
      <c r="AA42" s="11"/>
      <c r="AB42" s="12"/>
      <c r="AC42" s="10"/>
      <c r="AD42" s="11"/>
      <c r="AE42" s="12"/>
      <c r="AF42" s="10"/>
      <c r="AG42" s="11"/>
      <c r="AH42" s="12"/>
      <c r="AI42" s="10"/>
      <c r="AJ42" s="11"/>
      <c r="AK42" s="12"/>
      <c r="AL42" s="10"/>
      <c r="AM42" s="11"/>
      <c r="AN42" s="12"/>
      <c r="AO42" s="10"/>
      <c r="AP42" s="11"/>
      <c r="AQ42" s="12"/>
      <c r="AR42" s="10"/>
      <c r="AS42" s="11"/>
      <c r="AT42" s="12"/>
      <c r="AU42" s="10"/>
      <c r="AV42" s="11"/>
      <c r="AW42" s="12"/>
      <c r="AX42" s="10"/>
      <c r="AY42" s="11"/>
      <c r="AZ42" s="12"/>
      <c r="BA42" s="10"/>
      <c r="BB42" s="11"/>
      <c r="BC42" s="12"/>
      <c r="BD42" s="10"/>
      <c r="BE42" s="11"/>
      <c r="BF42" s="12"/>
      <c r="BG42" s="10"/>
      <c r="BH42" s="11"/>
      <c r="BI42" s="12"/>
      <c r="BJ42" s="10"/>
      <c r="BK42" s="11"/>
      <c r="BL42" s="12"/>
      <c r="BM42" s="10"/>
      <c r="BN42" s="11"/>
      <c r="BO42" s="12"/>
      <c r="BP42" s="10"/>
      <c r="BQ42" s="11"/>
      <c r="BR42" s="12"/>
      <c r="BS42" s="10"/>
      <c r="BT42" s="11"/>
      <c r="BU42" s="12"/>
      <c r="BV42" s="10"/>
      <c r="BW42" s="11"/>
      <c r="BX42" s="12"/>
      <c r="BY42" s="10"/>
      <c r="BZ42" s="11"/>
      <c r="CA42" s="12"/>
      <c r="CB42" s="10"/>
      <c r="CC42" s="11"/>
      <c r="CD42" s="12"/>
      <c r="CE42" s="10"/>
      <c r="CF42" s="11"/>
      <c r="CG42" s="12"/>
      <c r="CH42" s="10"/>
      <c r="CI42" s="11"/>
      <c r="CJ42" s="12"/>
      <c r="CK42" s="10"/>
      <c r="CL42" s="11"/>
      <c r="CM42" s="12"/>
      <c r="CN42" s="10"/>
      <c r="CO42" s="11"/>
      <c r="CP42" s="12"/>
      <c r="CQ42" s="10"/>
      <c r="CR42" s="11"/>
      <c r="CS42" s="12"/>
      <c r="CT42" s="10"/>
      <c r="CU42" s="11"/>
      <c r="CV42" s="12"/>
      <c r="CW42" s="10"/>
      <c r="CX42" s="11"/>
      <c r="CY42" s="12"/>
    </row>
    <row r="43" spans="1:103">
      <c r="A43" t="b">
        <f t="shared" si="0"/>
        <v>1</v>
      </c>
      <c r="B43" t="str">
        <f>+EERR!A41</f>
        <v>3.1.06.601</v>
      </c>
      <c r="C43" s="3" t="s">
        <v>75</v>
      </c>
      <c r="D43" s="3" t="s">
        <v>76</v>
      </c>
      <c r="E43" s="30">
        <v>-1105609</v>
      </c>
      <c r="F43" s="32">
        <f>+I43+L43+O43+R43+U43+X43+AA43+AD43+AG43+AJ43+AM43+AP43+AS43+AV43+AY43+BB43+BE43+BH43+BK43+BN43+BQ43+BT43+BW43+BZ43+CC43+CF43+CI43+CL43+CO43+CR43+CU43</f>
        <v>1105609</v>
      </c>
      <c r="G43" s="33">
        <f t="shared" si="4"/>
        <v>0</v>
      </c>
      <c r="H43" s="22" t="s">
        <v>180</v>
      </c>
      <c r="I43">
        <v>80000</v>
      </c>
      <c r="J43" s="13">
        <v>150</v>
      </c>
      <c r="K43" s="22" t="s">
        <v>191</v>
      </c>
      <c r="L43">
        <v>5072199</v>
      </c>
      <c r="M43" s="13">
        <v>185</v>
      </c>
      <c r="N43" s="22" t="s">
        <v>191</v>
      </c>
      <c r="O43">
        <v>1716000</v>
      </c>
      <c r="P43" s="13">
        <v>185</v>
      </c>
      <c r="Q43" s="22" t="s">
        <v>192</v>
      </c>
      <c r="R43">
        <v>319960</v>
      </c>
      <c r="S43" s="13">
        <v>300</v>
      </c>
      <c r="T43" s="22" t="s">
        <v>171</v>
      </c>
      <c r="U43">
        <v>47198</v>
      </c>
      <c r="V43" s="13">
        <v>210</v>
      </c>
      <c r="W43" s="22" t="s">
        <v>171</v>
      </c>
      <c r="X43">
        <v>47198</v>
      </c>
      <c r="Y43" s="13">
        <v>130</v>
      </c>
      <c r="Z43" s="22" t="s">
        <v>170</v>
      </c>
      <c r="AA43">
        <v>21239</v>
      </c>
      <c r="AB43" s="13">
        <v>130</v>
      </c>
      <c r="AC43" s="22" t="s">
        <v>170</v>
      </c>
      <c r="AD43">
        <v>17699</v>
      </c>
      <c r="AE43" s="13">
        <v>180</v>
      </c>
      <c r="AF43" s="22" t="s">
        <v>183</v>
      </c>
      <c r="AG43">
        <v>374446</v>
      </c>
      <c r="AH43" s="13">
        <v>190</v>
      </c>
      <c r="AI43" s="22" t="s">
        <v>171</v>
      </c>
      <c r="AJ43">
        <v>47198</v>
      </c>
      <c r="AK43" s="13">
        <v>170</v>
      </c>
      <c r="AL43" s="22" t="s">
        <v>173</v>
      </c>
      <c r="AM43">
        <v>17699</v>
      </c>
      <c r="AN43" s="13">
        <v>150</v>
      </c>
      <c r="AO43" s="22" t="s">
        <v>172</v>
      </c>
      <c r="AP43">
        <v>40936</v>
      </c>
      <c r="AQ43" s="13">
        <v>195</v>
      </c>
      <c r="AR43" s="22" t="s">
        <v>174</v>
      </c>
      <c r="AS43">
        <v>23599</v>
      </c>
      <c r="AT43" s="13">
        <v>200</v>
      </c>
      <c r="AU43" s="22" t="s">
        <v>170</v>
      </c>
      <c r="AV43">
        <v>21239</v>
      </c>
      <c r="AW43" s="13">
        <v>130</v>
      </c>
      <c r="AX43" s="22" t="s">
        <v>171</v>
      </c>
      <c r="AY43">
        <v>47198</v>
      </c>
      <c r="AZ43" s="13">
        <v>210</v>
      </c>
      <c r="BA43" s="22" t="s">
        <v>191</v>
      </c>
      <c r="BB43">
        <f>-1716000-5072199</f>
        <v>-6788199</v>
      </c>
      <c r="BC43" s="37">
        <v>185</v>
      </c>
      <c r="BD43" s="10"/>
      <c r="BE43" s="11"/>
      <c r="BF43" s="12"/>
      <c r="BG43" s="10"/>
      <c r="BH43" s="11"/>
      <c r="BI43" s="12"/>
      <c r="BJ43" s="10"/>
      <c r="BK43" s="11"/>
      <c r="BL43" s="12"/>
      <c r="BM43" s="10"/>
      <c r="BN43" s="11"/>
      <c r="BO43" s="12"/>
      <c r="BP43" s="10"/>
      <c r="BQ43" s="11"/>
      <c r="BR43" s="12"/>
      <c r="BS43" s="10"/>
      <c r="BT43" s="11"/>
      <c r="BU43" s="12"/>
      <c r="BV43" s="10"/>
      <c r="BW43" s="11"/>
      <c r="BX43" s="12"/>
      <c r="BY43" s="10"/>
      <c r="BZ43" s="11"/>
      <c r="CA43" s="12"/>
      <c r="CB43" s="10"/>
      <c r="CC43" s="11"/>
      <c r="CD43" s="12"/>
      <c r="CE43" s="10"/>
      <c r="CF43" s="11"/>
      <c r="CG43" s="12"/>
      <c r="CH43" s="10"/>
      <c r="CI43" s="11"/>
      <c r="CJ43" s="12"/>
      <c r="CK43" s="10"/>
      <c r="CL43" s="11"/>
      <c r="CM43" s="12"/>
      <c r="CN43" s="10"/>
      <c r="CO43" s="11"/>
      <c r="CP43" s="12"/>
      <c r="CQ43" s="10"/>
      <c r="CR43" s="11"/>
      <c r="CS43" s="12"/>
      <c r="CT43" s="10"/>
      <c r="CU43" s="11"/>
      <c r="CV43" s="12"/>
      <c r="CW43" s="10"/>
      <c r="CX43" s="11"/>
      <c r="CY43" s="12"/>
    </row>
    <row r="44" spans="1:103">
      <c r="A44" t="b">
        <f t="shared" si="0"/>
        <v>1</v>
      </c>
      <c r="B44" t="str">
        <f>+EERR!A42</f>
        <v>3.1.06.602</v>
      </c>
      <c r="C44" s="3" t="s">
        <v>77</v>
      </c>
      <c r="D44" s="3" t="s">
        <v>78</v>
      </c>
      <c r="E44" s="30">
        <v>-642168</v>
      </c>
      <c r="F44" s="32">
        <f>+I44+L44+O44+R44+U44+X44+AA44+AD44+AG44+AJ44+AM44+AP44+AS44+AV44+AY44+BB44+BE44+BH44+BK44+BN44+BQ44+BT44+BW44+BZ44+CC44+CF44+CI44+CL44+CO44+CR44+CU44</f>
        <v>642168</v>
      </c>
      <c r="G44" s="33">
        <f t="shared" si="4"/>
        <v>0</v>
      </c>
      <c r="H44" s="22" t="s">
        <v>165</v>
      </c>
      <c r="I44">
        <v>642168</v>
      </c>
      <c r="J44" s="13" t="s">
        <v>179</v>
      </c>
      <c r="K44" s="22"/>
      <c r="M44" s="13"/>
      <c r="N44" s="10"/>
      <c r="O44" s="11"/>
      <c r="P44" s="12"/>
      <c r="Q44" s="10"/>
      <c r="R44" s="11"/>
      <c r="S44" s="12"/>
      <c r="T44" s="10"/>
      <c r="U44" s="11"/>
      <c r="V44" s="12"/>
      <c r="W44" s="10"/>
      <c r="X44" s="11"/>
      <c r="Y44" s="12"/>
      <c r="Z44" s="10"/>
      <c r="AA44" s="11"/>
      <c r="AB44" s="12"/>
      <c r="AC44" s="10"/>
      <c r="AD44" s="11"/>
      <c r="AE44" s="12"/>
      <c r="AF44" s="10"/>
      <c r="AG44" s="11"/>
      <c r="AH44" s="12"/>
      <c r="AI44" s="10"/>
      <c r="AJ44" s="11"/>
      <c r="AK44" s="12"/>
      <c r="AL44" s="10"/>
      <c r="AM44" s="11"/>
      <c r="AN44" s="12"/>
      <c r="AO44" s="10"/>
      <c r="AP44" s="11"/>
      <c r="AQ44" s="12"/>
      <c r="AR44" s="10"/>
      <c r="AS44" s="11"/>
      <c r="AT44" s="12"/>
      <c r="AU44" s="10"/>
      <c r="AV44" s="11"/>
      <c r="AW44" s="12"/>
      <c r="AX44" s="10"/>
      <c r="AY44" s="11"/>
      <c r="AZ44" s="12"/>
      <c r="BA44" s="10"/>
      <c r="BB44" s="11"/>
      <c r="BC44" s="12"/>
      <c r="BD44" s="10"/>
      <c r="BE44" s="11"/>
      <c r="BF44" s="12"/>
      <c r="BG44" s="10"/>
      <c r="BH44" s="11"/>
      <c r="BI44" s="12"/>
      <c r="BJ44" s="10"/>
      <c r="BK44" s="11"/>
      <c r="BL44" s="12"/>
      <c r="BM44" s="10"/>
      <c r="BN44" s="11"/>
      <c r="BO44" s="12"/>
      <c r="BP44" s="10"/>
      <c r="BQ44" s="11"/>
      <c r="BR44" s="12"/>
      <c r="BS44" s="10"/>
      <c r="BT44" s="11"/>
      <c r="BU44" s="12"/>
      <c r="BV44" s="10"/>
      <c r="BW44" s="11"/>
      <c r="BX44" s="12"/>
      <c r="BY44" s="10"/>
      <c r="BZ44" s="11"/>
      <c r="CA44" s="12"/>
      <c r="CB44" s="10"/>
      <c r="CC44" s="11"/>
      <c r="CD44" s="12"/>
      <c r="CE44" s="10"/>
      <c r="CF44" s="11"/>
      <c r="CG44" s="12"/>
      <c r="CH44" s="10"/>
      <c r="CI44" s="11"/>
      <c r="CJ44" s="12"/>
      <c r="CK44" s="10"/>
      <c r="CL44" s="11"/>
      <c r="CM44" s="12"/>
      <c r="CN44" s="10"/>
      <c r="CO44" s="11"/>
      <c r="CP44" s="12"/>
      <c r="CQ44" s="10"/>
      <c r="CR44" s="11"/>
      <c r="CS44" s="12"/>
      <c r="CT44" s="10"/>
      <c r="CU44" s="11"/>
      <c r="CV44" s="12"/>
      <c r="CW44" s="10"/>
      <c r="CX44" s="11"/>
      <c r="CY44" s="12"/>
    </row>
    <row r="45" spans="1:103">
      <c r="A45" t="b">
        <f t="shared" si="0"/>
        <v>1</v>
      </c>
      <c r="B45" t="str">
        <f>+EERR!A43</f>
        <v>3.1.06.603</v>
      </c>
      <c r="C45" s="3" t="s">
        <v>79</v>
      </c>
      <c r="D45" s="3" t="s">
        <v>80</v>
      </c>
      <c r="E45" s="30">
        <v>0</v>
      </c>
      <c r="F45" s="32">
        <f t="shared" si="2"/>
        <v>0</v>
      </c>
      <c r="G45" s="33">
        <f t="shared" si="4"/>
        <v>0</v>
      </c>
      <c r="H45" s="10"/>
      <c r="I45" s="11"/>
      <c r="J45" s="12"/>
      <c r="K45" s="10"/>
      <c r="L45" s="11"/>
      <c r="M45" s="12"/>
      <c r="N45" s="10"/>
      <c r="O45" s="11"/>
      <c r="P45" s="12"/>
      <c r="Q45" s="10"/>
      <c r="R45" s="11"/>
      <c r="S45" s="12"/>
      <c r="T45" s="10"/>
      <c r="U45" s="11"/>
      <c r="V45" s="12"/>
      <c r="W45" s="10"/>
      <c r="X45" s="11"/>
      <c r="Y45" s="12"/>
      <c r="Z45" s="10"/>
      <c r="AA45" s="11"/>
      <c r="AB45" s="12"/>
      <c r="AC45" s="10"/>
      <c r="AD45" s="11"/>
      <c r="AE45" s="12"/>
      <c r="AF45" s="10"/>
      <c r="AG45" s="11"/>
      <c r="AH45" s="12"/>
      <c r="AI45" s="10"/>
      <c r="AJ45" s="11"/>
      <c r="AK45" s="12"/>
      <c r="AL45" s="10"/>
      <c r="AM45" s="11"/>
      <c r="AN45" s="12"/>
      <c r="AO45" s="10"/>
      <c r="AP45" s="11"/>
      <c r="AQ45" s="12"/>
      <c r="AR45" s="10"/>
      <c r="AS45" s="11"/>
      <c r="AT45" s="12"/>
      <c r="AU45" s="10"/>
      <c r="AV45" s="11"/>
      <c r="AW45" s="12"/>
      <c r="AX45" s="10"/>
      <c r="AY45" s="11"/>
      <c r="AZ45" s="12"/>
      <c r="BA45" s="10"/>
      <c r="BB45" s="11"/>
      <c r="BC45" s="12"/>
      <c r="BD45" s="10"/>
      <c r="BE45" s="11"/>
      <c r="BF45" s="12"/>
      <c r="BG45" s="10"/>
      <c r="BH45" s="11"/>
      <c r="BI45" s="12"/>
      <c r="BJ45" s="10"/>
      <c r="BK45" s="11"/>
      <c r="BL45" s="12"/>
      <c r="BM45" s="10"/>
      <c r="BN45" s="11"/>
      <c r="BO45" s="12"/>
      <c r="BP45" s="10"/>
      <c r="BQ45" s="11"/>
      <c r="BR45" s="12"/>
      <c r="BS45" s="10"/>
      <c r="BT45" s="11"/>
      <c r="BU45" s="12"/>
      <c r="BV45" s="10"/>
      <c r="BW45" s="11"/>
      <c r="BX45" s="12"/>
      <c r="BY45" s="10"/>
      <c r="BZ45" s="11"/>
      <c r="CA45" s="12"/>
      <c r="CB45" s="10"/>
      <c r="CC45" s="11"/>
      <c r="CD45" s="12"/>
      <c r="CE45" s="10"/>
      <c r="CF45" s="11"/>
      <c r="CG45" s="12"/>
      <c r="CH45" s="10"/>
      <c r="CI45" s="11"/>
      <c r="CJ45" s="12"/>
      <c r="CK45" s="10"/>
      <c r="CL45" s="11"/>
      <c r="CM45" s="12"/>
      <c r="CN45" s="10"/>
      <c r="CO45" s="11"/>
      <c r="CP45" s="12"/>
      <c r="CQ45" s="10"/>
      <c r="CR45" s="11"/>
      <c r="CS45" s="12"/>
      <c r="CT45" s="10"/>
      <c r="CU45" s="11"/>
      <c r="CV45" s="12"/>
      <c r="CW45" s="10"/>
      <c r="CX45" s="11"/>
      <c r="CY45" s="12"/>
    </row>
    <row r="46" spans="1:103">
      <c r="A46" t="b">
        <f t="shared" si="0"/>
        <v>1</v>
      </c>
      <c r="B46" t="str">
        <f>+EERR!A44</f>
        <v>3.1.06.802</v>
      </c>
      <c r="C46" s="3" t="s">
        <v>81</v>
      </c>
      <c r="D46" s="3" t="s">
        <v>82</v>
      </c>
      <c r="E46" s="30">
        <v>0</v>
      </c>
      <c r="F46" s="32">
        <f>+I46+L46+O46+R46+U46+X46+AA46+AD46+AG46+AJ46+AM46+AP46+AS46+AV46+AY46+BB46+BE46+BH46+BK46+BN46+BQ46+BT46+BW46+BZ46+CC46+CF46+CI46+CL46+CO46+CR46+CU46</f>
        <v>0</v>
      </c>
      <c r="G46" s="33">
        <f t="shared" si="4"/>
        <v>0</v>
      </c>
      <c r="H46" s="22"/>
      <c r="J46" s="13"/>
      <c r="K46" s="10"/>
      <c r="L46" s="11"/>
      <c r="M46" s="12"/>
      <c r="N46" s="10"/>
      <c r="O46" s="11"/>
      <c r="P46" s="12"/>
      <c r="Q46" s="10"/>
      <c r="R46" s="11"/>
      <c r="S46" s="12"/>
      <c r="T46" s="10"/>
      <c r="U46" s="11"/>
      <c r="V46" s="12"/>
      <c r="W46" s="10"/>
      <c r="X46" s="11"/>
      <c r="Y46" s="12"/>
      <c r="Z46" s="10"/>
      <c r="AA46" s="11"/>
      <c r="AB46" s="12"/>
      <c r="AC46" s="10"/>
      <c r="AD46" s="11"/>
      <c r="AE46" s="12"/>
      <c r="AF46" s="10"/>
      <c r="AG46" s="11"/>
      <c r="AH46" s="12"/>
      <c r="AI46" s="10"/>
      <c r="AJ46" s="11"/>
      <c r="AK46" s="12"/>
      <c r="AL46" s="10"/>
      <c r="AM46" s="11"/>
      <c r="AN46" s="12"/>
      <c r="AO46" s="10"/>
      <c r="AP46" s="11"/>
      <c r="AQ46" s="12"/>
      <c r="AR46" s="10"/>
      <c r="AS46" s="11"/>
      <c r="AT46" s="12"/>
      <c r="AU46" s="10"/>
      <c r="AV46" s="11"/>
      <c r="AW46" s="12"/>
      <c r="AX46" s="10"/>
      <c r="AY46" s="11"/>
      <c r="AZ46" s="12"/>
      <c r="BA46" s="10"/>
      <c r="BB46" s="11"/>
      <c r="BC46" s="12"/>
      <c r="BD46" s="10"/>
      <c r="BE46" s="11"/>
      <c r="BF46" s="12"/>
      <c r="BG46" s="10"/>
      <c r="BH46" s="11"/>
      <c r="BI46" s="12"/>
      <c r="BJ46" s="10"/>
      <c r="BK46" s="11"/>
      <c r="BL46" s="12"/>
      <c r="BM46" s="10"/>
      <c r="BN46" s="11"/>
      <c r="BO46" s="12"/>
      <c r="BP46" s="10"/>
      <c r="BQ46" s="11"/>
      <c r="BR46" s="12"/>
      <c r="BS46" s="10"/>
      <c r="BT46" s="11"/>
      <c r="BU46" s="12"/>
      <c r="BV46" s="10"/>
      <c r="BW46" s="11"/>
      <c r="BX46" s="12"/>
      <c r="BY46" s="10"/>
      <c r="BZ46" s="11"/>
      <c r="CA46" s="12"/>
      <c r="CB46" s="10"/>
      <c r="CC46" s="11"/>
      <c r="CD46" s="12"/>
      <c r="CE46" s="10"/>
      <c r="CF46" s="11"/>
      <c r="CG46" s="12"/>
      <c r="CH46" s="10"/>
      <c r="CI46" s="11"/>
      <c r="CJ46" s="12"/>
      <c r="CK46" s="10"/>
      <c r="CL46" s="11"/>
      <c r="CM46" s="12"/>
      <c r="CN46" s="10"/>
      <c r="CO46" s="11"/>
      <c r="CP46" s="12"/>
      <c r="CQ46" s="10"/>
      <c r="CR46" s="11"/>
      <c r="CS46" s="12"/>
      <c r="CT46" s="10"/>
      <c r="CU46" s="11"/>
      <c r="CV46" s="12"/>
      <c r="CW46" s="10"/>
      <c r="CX46" s="11"/>
      <c r="CY46" s="12"/>
    </row>
    <row r="47" spans="1:103">
      <c r="A47" t="b">
        <f t="shared" si="0"/>
        <v>1</v>
      </c>
      <c r="B47" t="str">
        <f>+EERR!A45</f>
        <v>3.1.06.803</v>
      </c>
      <c r="C47" s="3" t="s">
        <v>83</v>
      </c>
      <c r="D47" s="3" t="s">
        <v>84</v>
      </c>
      <c r="E47" s="30">
        <v>-371590</v>
      </c>
      <c r="F47" s="32">
        <f>+I47+L47+O47+R47+U47+X47+AA47+AD47+AG47+AJ47+AM47+AP47+AS47+AV47+AY47+BB47+BE47+BH47+BK47+BN47+BQ47+BT47+BW47+BZ47+CC47+CF47+CI47+CL47+CO47+CR47+CU47</f>
        <v>371590</v>
      </c>
      <c r="G47" s="33">
        <f t="shared" si="4"/>
        <v>0</v>
      </c>
      <c r="H47" s="22" t="s">
        <v>142</v>
      </c>
      <c r="I47">
        <v>41703</v>
      </c>
      <c r="J47" s="13" t="s">
        <v>169</v>
      </c>
      <c r="K47" s="22" t="s">
        <v>142</v>
      </c>
      <c r="L47">
        <v>107127</v>
      </c>
      <c r="M47" s="13" t="s">
        <v>169</v>
      </c>
      <c r="N47" s="22" t="s">
        <v>142</v>
      </c>
      <c r="O47">
        <v>35613</v>
      </c>
      <c r="P47" s="13" t="s">
        <v>169</v>
      </c>
      <c r="Q47" s="22" t="s">
        <v>142</v>
      </c>
      <c r="R47">
        <v>23287</v>
      </c>
      <c r="S47" s="13" t="s">
        <v>169</v>
      </c>
      <c r="T47" s="22" t="s">
        <v>142</v>
      </c>
      <c r="U47">
        <v>21205</v>
      </c>
      <c r="V47" s="13" t="s">
        <v>169</v>
      </c>
      <c r="W47" s="22" t="s">
        <v>142</v>
      </c>
      <c r="X47">
        <v>23314</v>
      </c>
      <c r="Y47" s="13" t="s">
        <v>169</v>
      </c>
      <c r="Z47" s="22" t="s">
        <v>142</v>
      </c>
      <c r="AA47">
        <v>36433</v>
      </c>
      <c r="AB47" s="13" t="s">
        <v>169</v>
      </c>
      <c r="AC47" s="22" t="s">
        <v>142</v>
      </c>
      <c r="AD47">
        <v>82908</v>
      </c>
      <c r="AE47" s="13" t="s">
        <v>169</v>
      </c>
      <c r="AF47" s="10"/>
      <c r="AG47" s="11"/>
      <c r="AH47" s="12"/>
      <c r="AI47" s="10"/>
      <c r="AJ47" s="11"/>
      <c r="AK47" s="12"/>
      <c r="AL47" s="10"/>
      <c r="AM47" s="11"/>
      <c r="AN47" s="12"/>
      <c r="AO47" s="10"/>
      <c r="AP47" s="11"/>
      <c r="AQ47" s="12"/>
      <c r="AR47" s="10"/>
      <c r="AS47" s="11"/>
      <c r="AT47" s="12"/>
      <c r="AU47" s="10"/>
      <c r="AV47" s="11"/>
      <c r="AW47" s="12"/>
      <c r="AX47" s="10"/>
      <c r="AY47" s="11"/>
      <c r="AZ47" s="12"/>
      <c r="BA47" s="10"/>
      <c r="BB47" s="11"/>
      <c r="BC47" s="12"/>
      <c r="BD47" s="10"/>
      <c r="BE47" s="11"/>
      <c r="BF47" s="12"/>
      <c r="BG47" s="10"/>
      <c r="BH47" s="11"/>
      <c r="BI47" s="12"/>
      <c r="BJ47" s="10"/>
      <c r="BK47" s="11"/>
      <c r="BL47" s="12"/>
      <c r="BM47" s="10"/>
      <c r="BN47" s="11"/>
      <c r="BO47" s="12"/>
      <c r="BP47" s="10"/>
      <c r="BQ47" s="11"/>
      <c r="BR47" s="12"/>
      <c r="BS47" s="10"/>
      <c r="BT47" s="11"/>
      <c r="BU47" s="12"/>
      <c r="BV47" s="10"/>
      <c r="BW47" s="11"/>
      <c r="BX47" s="12"/>
      <c r="BY47" s="10"/>
      <c r="BZ47" s="11"/>
      <c r="CA47" s="12"/>
      <c r="CB47" s="10"/>
      <c r="CC47" s="11"/>
      <c r="CD47" s="12"/>
      <c r="CE47" s="10"/>
      <c r="CF47" s="11"/>
      <c r="CG47" s="12"/>
      <c r="CH47" s="10"/>
      <c r="CI47" s="11"/>
      <c r="CJ47" s="12"/>
      <c r="CK47" s="10"/>
      <c r="CL47" s="11"/>
      <c r="CM47" s="12"/>
      <c r="CN47" s="10"/>
      <c r="CO47" s="11"/>
      <c r="CP47" s="12"/>
      <c r="CQ47" s="10"/>
      <c r="CR47" s="11"/>
      <c r="CS47" s="12"/>
      <c r="CT47" s="10"/>
      <c r="CU47" s="11"/>
      <c r="CV47" s="12"/>
      <c r="CW47" s="10"/>
      <c r="CX47" s="11"/>
      <c r="CY47" s="12"/>
    </row>
    <row r="48" spans="1:103">
      <c r="A48" t="b">
        <f t="shared" si="0"/>
        <v>1</v>
      </c>
      <c r="B48" t="str">
        <f>+EERR!A46</f>
        <v>3.1.06.805</v>
      </c>
      <c r="C48" s="3" t="s">
        <v>146</v>
      </c>
      <c r="D48" s="3" t="s">
        <v>147</v>
      </c>
      <c r="E48" s="30">
        <v>0</v>
      </c>
      <c r="F48" s="32">
        <f>+I48+L48+O48+R48+U48+X48+AA48+AD48+AG48+AJ48+AM48+AP48+AS48+AV48+AY48+BB48+BE48+BH48+BK48+BN48+BQ48+BT48+BW48+BZ48+CC48+CF48+CI48+CL48+CO48+CR48+CU48</f>
        <v>0</v>
      </c>
      <c r="G48" s="33">
        <f t="shared" si="4"/>
        <v>0</v>
      </c>
      <c r="H48" s="22"/>
      <c r="J48" s="13"/>
      <c r="K48" s="10"/>
      <c r="L48" s="11"/>
      <c r="M48" s="12"/>
      <c r="N48" s="10"/>
      <c r="O48" s="11"/>
      <c r="P48" s="12"/>
      <c r="Q48" s="10"/>
      <c r="R48" s="11"/>
      <c r="S48" s="12"/>
      <c r="T48" s="10"/>
      <c r="U48" s="11"/>
      <c r="V48" s="12"/>
      <c r="W48" s="10"/>
      <c r="X48" s="11"/>
      <c r="Y48" s="12"/>
      <c r="Z48" s="10"/>
      <c r="AA48" s="11"/>
      <c r="AB48" s="12"/>
      <c r="AC48" s="10"/>
      <c r="AD48" s="11"/>
      <c r="AE48" s="12"/>
      <c r="AF48" s="10"/>
      <c r="AG48" s="11"/>
      <c r="AH48" s="12"/>
      <c r="AI48" s="10"/>
      <c r="AJ48" s="11"/>
      <c r="AK48" s="12"/>
      <c r="AL48" s="10"/>
      <c r="AM48" s="11"/>
      <c r="AN48" s="12"/>
      <c r="AO48" s="10"/>
      <c r="AP48" s="11"/>
      <c r="AQ48" s="12"/>
      <c r="AR48" s="10"/>
      <c r="AS48" s="11"/>
      <c r="AT48" s="12"/>
      <c r="AU48" s="10"/>
      <c r="AV48" s="11"/>
      <c r="AW48" s="12"/>
      <c r="AX48" s="10"/>
      <c r="AY48" s="11"/>
      <c r="AZ48" s="12"/>
      <c r="BA48" s="10"/>
      <c r="BB48" s="11"/>
      <c r="BC48" s="12"/>
      <c r="BD48" s="10"/>
      <c r="BE48" s="11"/>
      <c r="BF48" s="12"/>
      <c r="BG48" s="10"/>
      <c r="BH48" s="11"/>
      <c r="BI48" s="12"/>
      <c r="BJ48" s="10"/>
      <c r="BK48" s="11"/>
      <c r="BL48" s="12"/>
      <c r="BM48" s="10"/>
      <c r="BN48" s="11"/>
      <c r="BO48" s="12"/>
      <c r="BP48" s="10"/>
      <c r="BQ48" s="11"/>
      <c r="BR48" s="12"/>
      <c r="BS48" s="10"/>
      <c r="BT48" s="11"/>
      <c r="BU48" s="12"/>
      <c r="BV48" s="10"/>
      <c r="BW48" s="11"/>
      <c r="BX48" s="12"/>
      <c r="BY48" s="10"/>
      <c r="BZ48" s="11"/>
      <c r="CA48" s="12"/>
      <c r="CB48" s="10"/>
      <c r="CC48" s="11"/>
      <c r="CD48" s="12"/>
      <c r="CE48" s="10"/>
      <c r="CF48" s="11"/>
      <c r="CG48" s="12"/>
      <c r="CH48" s="10"/>
      <c r="CI48" s="11"/>
      <c r="CJ48" s="12"/>
      <c r="CK48" s="10"/>
      <c r="CL48" s="11"/>
      <c r="CM48" s="12"/>
      <c r="CN48" s="10"/>
      <c r="CO48" s="11"/>
      <c r="CP48" s="12"/>
      <c r="CQ48" s="10"/>
      <c r="CR48" s="11"/>
      <c r="CS48" s="12"/>
      <c r="CT48" s="10"/>
      <c r="CU48" s="11"/>
      <c r="CV48" s="12"/>
      <c r="CW48" s="10"/>
      <c r="CX48" s="11"/>
      <c r="CY48" s="12"/>
    </row>
    <row r="49" spans="1:103">
      <c r="A49" t="b">
        <f t="shared" si="0"/>
        <v>1</v>
      </c>
      <c r="B49" t="str">
        <f>+EERR!A47</f>
        <v>3.1.06.806</v>
      </c>
      <c r="C49" s="3" t="s">
        <v>85</v>
      </c>
      <c r="D49" s="3" t="s">
        <v>86</v>
      </c>
      <c r="E49" s="30">
        <v>-502259</v>
      </c>
      <c r="F49" s="32">
        <f t="shared" si="2"/>
        <v>502259</v>
      </c>
      <c r="G49" s="33">
        <f t="shared" si="4"/>
        <v>0</v>
      </c>
      <c r="H49" s="22" t="s">
        <v>143</v>
      </c>
      <c r="I49">
        <v>31750</v>
      </c>
      <c r="J49">
        <v>2</v>
      </c>
      <c r="K49" s="22" t="s">
        <v>143</v>
      </c>
      <c r="L49">
        <v>118191</v>
      </c>
      <c r="M49">
        <v>2</v>
      </c>
      <c r="N49" s="22" t="s">
        <v>143</v>
      </c>
      <c r="O49">
        <v>318140</v>
      </c>
      <c r="P49">
        <v>2</v>
      </c>
      <c r="Q49" s="22" t="s">
        <v>143</v>
      </c>
      <c r="R49">
        <v>25035</v>
      </c>
      <c r="S49">
        <v>2</v>
      </c>
      <c r="T49" s="22" t="s">
        <v>220</v>
      </c>
      <c r="U49">
        <v>9143</v>
      </c>
      <c r="V49">
        <v>2</v>
      </c>
      <c r="W49" s="10"/>
      <c r="X49" s="11"/>
      <c r="Y49" s="12"/>
      <c r="Z49" s="10"/>
      <c r="AA49" s="11"/>
      <c r="AB49" s="12"/>
      <c r="AC49" s="10"/>
      <c r="AD49" s="11"/>
      <c r="AE49" s="12"/>
      <c r="AF49" s="10"/>
      <c r="AG49" s="11"/>
      <c r="AH49" s="12"/>
      <c r="AI49" s="10"/>
      <c r="AJ49" s="11"/>
      <c r="AK49" s="12"/>
      <c r="AL49" s="10"/>
      <c r="AM49" s="11"/>
      <c r="AN49" s="12"/>
      <c r="AO49" s="10"/>
      <c r="AP49" s="11"/>
      <c r="AQ49" s="12"/>
      <c r="AR49" s="10"/>
      <c r="AS49" s="11"/>
      <c r="AT49" s="12"/>
      <c r="AU49" s="10"/>
      <c r="AV49" s="11"/>
      <c r="AW49" s="12"/>
      <c r="AX49" s="10"/>
      <c r="AY49" s="11"/>
      <c r="AZ49" s="12"/>
      <c r="BA49" s="10"/>
      <c r="BB49" s="11"/>
      <c r="BC49" s="12"/>
      <c r="BD49" s="10"/>
      <c r="BE49" s="11"/>
      <c r="BF49" s="12"/>
      <c r="BG49" s="10"/>
      <c r="BH49" s="11"/>
      <c r="BI49" s="12"/>
      <c r="BJ49" s="10"/>
      <c r="BK49" s="11"/>
      <c r="BL49" s="12"/>
      <c r="BM49" s="10"/>
      <c r="BN49" s="11"/>
      <c r="BO49" s="12"/>
      <c r="BP49" s="10"/>
      <c r="BQ49" s="11"/>
      <c r="BR49" s="12"/>
      <c r="BS49" s="10"/>
      <c r="BT49" s="11"/>
      <c r="BU49" s="12"/>
      <c r="BV49" s="10"/>
      <c r="BW49" s="11"/>
      <c r="BX49" s="12"/>
      <c r="BY49" s="10"/>
      <c r="BZ49" s="11"/>
      <c r="CA49" s="12"/>
      <c r="CB49" s="10"/>
      <c r="CC49" s="11"/>
      <c r="CD49" s="12"/>
      <c r="CE49" s="10"/>
      <c r="CF49" s="11"/>
      <c r="CG49" s="12"/>
      <c r="CH49" s="10"/>
      <c r="CI49" s="11"/>
      <c r="CJ49" s="12"/>
      <c r="CK49" s="10"/>
      <c r="CL49" s="11"/>
      <c r="CM49" s="12"/>
      <c r="CN49" s="10"/>
      <c r="CO49" s="11"/>
      <c r="CP49" s="12"/>
      <c r="CQ49" s="10"/>
      <c r="CR49" s="11"/>
      <c r="CS49" s="12"/>
      <c r="CT49" s="10"/>
      <c r="CU49" s="11"/>
      <c r="CV49" s="12"/>
      <c r="CW49" s="10"/>
      <c r="CX49" s="11"/>
      <c r="CY49" s="12"/>
    </row>
    <row r="50" spans="1:103">
      <c r="A50" t="b">
        <f t="shared" si="0"/>
        <v>1</v>
      </c>
      <c r="B50" t="str">
        <f>+EERR!A48</f>
        <v>3.1.06.812</v>
      </c>
      <c r="C50" s="3" t="s">
        <v>87</v>
      </c>
      <c r="D50" s="3" t="s">
        <v>88</v>
      </c>
      <c r="E50" s="30">
        <v>-2853756</v>
      </c>
      <c r="F50" s="32">
        <f t="shared" si="2"/>
        <v>2853756</v>
      </c>
      <c r="G50" s="33">
        <f t="shared" si="4"/>
        <v>0</v>
      </c>
      <c r="H50" s="22" t="s">
        <v>193</v>
      </c>
      <c r="I50">
        <v>2070225</v>
      </c>
      <c r="J50" t="s">
        <v>144</v>
      </c>
      <c r="K50" s="22" t="s">
        <v>167</v>
      </c>
      <c r="L50">
        <v>-5531</v>
      </c>
      <c r="M50" s="13" t="s">
        <v>144</v>
      </c>
      <c r="N50" s="22" t="s">
        <v>167</v>
      </c>
      <c r="O50">
        <v>-66129</v>
      </c>
      <c r="P50" s="13" t="s">
        <v>144</v>
      </c>
      <c r="Q50" t="s">
        <v>221</v>
      </c>
      <c r="R50">
        <v>855191</v>
      </c>
      <c r="S50" s="13" t="s">
        <v>144</v>
      </c>
      <c r="T50" s="22"/>
      <c r="V50" s="13"/>
      <c r="W50" s="10"/>
      <c r="X50" s="11"/>
      <c r="Y50" s="12"/>
      <c r="Z50" s="10"/>
      <c r="AA50" s="11"/>
      <c r="AB50" s="12"/>
      <c r="AC50" s="10"/>
      <c r="AD50" s="11"/>
      <c r="AE50" s="12"/>
      <c r="AF50" s="10"/>
      <c r="AG50" s="11"/>
      <c r="AH50" s="12"/>
      <c r="AI50" s="10"/>
      <c r="AJ50" s="11"/>
      <c r="AK50" s="12"/>
      <c r="AL50" s="10"/>
      <c r="AM50" s="11"/>
      <c r="AN50" s="12"/>
      <c r="AO50" s="10"/>
      <c r="AP50" s="11"/>
      <c r="AQ50" s="12"/>
      <c r="AR50" s="10"/>
      <c r="AS50" s="11"/>
      <c r="AT50" s="12"/>
      <c r="AU50" s="10"/>
      <c r="AV50" s="11"/>
      <c r="AW50" s="12"/>
      <c r="AX50" s="10"/>
      <c r="AY50" s="11"/>
      <c r="AZ50" s="12"/>
      <c r="BA50" s="10"/>
      <c r="BB50" s="11"/>
      <c r="BC50" s="12"/>
      <c r="BD50" s="10"/>
      <c r="BE50" s="11"/>
      <c r="BF50" s="12"/>
      <c r="BG50" s="10"/>
      <c r="BH50" s="11"/>
      <c r="BI50" s="12"/>
      <c r="BJ50" s="10"/>
      <c r="BK50" s="11"/>
      <c r="BL50" s="12"/>
      <c r="BM50" s="10"/>
      <c r="BN50" s="11"/>
      <c r="BO50" s="12"/>
      <c r="BP50" s="10"/>
      <c r="BQ50" s="11"/>
      <c r="BR50" s="12"/>
      <c r="BS50" s="10"/>
      <c r="BT50" s="11"/>
      <c r="BU50" s="12"/>
      <c r="BV50" s="10"/>
      <c r="BW50" s="11"/>
      <c r="BX50" s="12"/>
      <c r="BY50" s="10"/>
      <c r="BZ50" s="11"/>
      <c r="CA50" s="12"/>
      <c r="CB50" s="10"/>
      <c r="CC50" s="11"/>
      <c r="CD50" s="12"/>
      <c r="CE50" s="10"/>
      <c r="CF50" s="11"/>
      <c r="CG50" s="12"/>
      <c r="CH50" s="10"/>
      <c r="CI50" s="11"/>
      <c r="CJ50" s="12"/>
      <c r="CK50" s="10"/>
      <c r="CL50" s="11"/>
      <c r="CM50" s="12"/>
      <c r="CN50" s="10"/>
      <c r="CO50" s="11"/>
      <c r="CP50" s="12"/>
      <c r="CQ50" s="10"/>
      <c r="CR50" s="11"/>
      <c r="CS50" s="12"/>
      <c r="CT50" s="10"/>
      <c r="CU50" s="11"/>
      <c r="CV50" s="12"/>
      <c r="CW50" s="10"/>
      <c r="CX50" s="11"/>
      <c r="CY50" s="12"/>
    </row>
    <row r="51" spans="1:103">
      <c r="A51" t="b">
        <f t="shared" si="0"/>
        <v>1</v>
      </c>
      <c r="B51" t="str">
        <f>+EERR!A49</f>
        <v>3.1.06.813</v>
      </c>
      <c r="C51" s="3" t="s">
        <v>160</v>
      </c>
      <c r="D51" s="3" t="s">
        <v>161</v>
      </c>
      <c r="E51" s="30">
        <v>-597458</v>
      </c>
      <c r="F51" s="32">
        <f t="shared" si="2"/>
        <v>597458</v>
      </c>
      <c r="G51" s="33">
        <f t="shared" si="4"/>
        <v>0</v>
      </c>
      <c r="H51" s="22" t="s">
        <v>125</v>
      </c>
      <c r="I51">
        <v>235050</v>
      </c>
      <c r="J51">
        <v>200</v>
      </c>
      <c r="K51" s="22" t="s">
        <v>125</v>
      </c>
      <c r="L51">
        <v>362408</v>
      </c>
      <c r="M51">
        <v>210</v>
      </c>
      <c r="N51" s="10"/>
      <c r="O51" s="11"/>
      <c r="P51" s="12"/>
      <c r="Q51" s="10"/>
      <c r="R51" s="11"/>
      <c r="S51" s="12"/>
      <c r="T51" s="10"/>
      <c r="U51" s="11"/>
      <c r="V51" s="12"/>
      <c r="W51" s="10"/>
      <c r="X51" s="11"/>
      <c r="Y51" s="12"/>
      <c r="Z51" s="10"/>
      <c r="AA51" s="11"/>
      <c r="AB51" s="12"/>
      <c r="AC51" s="10"/>
      <c r="AD51" s="11"/>
      <c r="AE51" s="12"/>
      <c r="AF51" s="10"/>
      <c r="AG51" s="11"/>
      <c r="AH51" s="12"/>
      <c r="AI51" s="10"/>
      <c r="AJ51" s="11"/>
      <c r="AK51" s="12"/>
      <c r="AL51" s="10"/>
      <c r="AM51" s="11"/>
      <c r="AN51" s="12"/>
      <c r="AO51" s="10"/>
      <c r="AP51" s="11"/>
      <c r="AQ51" s="12"/>
      <c r="AR51" s="10"/>
      <c r="AS51" s="11"/>
      <c r="AT51" s="12"/>
      <c r="AU51" s="10"/>
      <c r="AV51" s="11"/>
      <c r="AW51" s="12"/>
      <c r="AX51" s="10"/>
      <c r="AY51" s="11"/>
      <c r="AZ51" s="12"/>
      <c r="BA51" s="10"/>
      <c r="BB51" s="11"/>
      <c r="BC51" s="12"/>
      <c r="BD51" s="10"/>
      <c r="BE51" s="11"/>
      <c r="BF51" s="12"/>
      <c r="BG51" s="10"/>
      <c r="BH51" s="11"/>
      <c r="BI51" s="12"/>
      <c r="BJ51" s="10"/>
      <c r="BK51" s="11"/>
      <c r="BL51" s="12"/>
      <c r="BM51" s="10"/>
      <c r="BN51" s="11"/>
      <c r="BO51" s="12"/>
      <c r="BP51" s="10"/>
      <c r="BQ51" s="11"/>
      <c r="BR51" s="12"/>
      <c r="BS51" s="10"/>
      <c r="BT51" s="11"/>
      <c r="BU51" s="12"/>
      <c r="BV51" s="10"/>
      <c r="BW51" s="11"/>
      <c r="BX51" s="12"/>
      <c r="BY51" s="10"/>
      <c r="BZ51" s="11"/>
      <c r="CA51" s="12"/>
      <c r="CB51" s="10"/>
      <c r="CC51" s="11"/>
      <c r="CD51" s="12"/>
      <c r="CE51" s="10"/>
      <c r="CF51" s="11"/>
      <c r="CG51" s="12"/>
      <c r="CH51" s="10"/>
      <c r="CI51" s="11"/>
      <c r="CJ51" s="12"/>
      <c r="CK51" s="10"/>
      <c r="CL51" s="11"/>
      <c r="CM51" s="12"/>
      <c r="CN51" s="10"/>
      <c r="CO51" s="11"/>
      <c r="CP51" s="12"/>
      <c r="CQ51" s="10"/>
      <c r="CR51" s="11"/>
      <c r="CS51" s="12"/>
      <c r="CT51" s="10"/>
      <c r="CU51" s="11"/>
      <c r="CV51" s="12"/>
      <c r="CW51" s="10"/>
      <c r="CX51" s="11"/>
      <c r="CY51" s="12"/>
    </row>
    <row r="52" spans="1:103">
      <c r="A52" t="b">
        <f t="shared" si="0"/>
        <v>1</v>
      </c>
      <c r="B52" t="str">
        <f>+EERR!A50</f>
        <v>3.1.06.817</v>
      </c>
      <c r="C52" s="3" t="s">
        <v>89</v>
      </c>
      <c r="D52" s="3" t="s">
        <v>90</v>
      </c>
      <c r="E52" s="30">
        <v>-868786</v>
      </c>
      <c r="F52" s="32">
        <f>+I52+L52+O52+R52+U52+X52+AA52+AD52+AG52+AJ52+AM52+AP52+AS52+AV52+AY52+BB52+BE52+BH52+BK52+BN52+BQ52+BT52+BW52+BZ52+CC52+CF52+CI52+CL52+CO52+CR52+CU52</f>
        <v>868786</v>
      </c>
      <c r="G52" s="33">
        <f t="shared" si="4"/>
        <v>0</v>
      </c>
      <c r="H52" t="s">
        <v>222</v>
      </c>
      <c r="I52" s="31">
        <v>868786</v>
      </c>
      <c r="J52">
        <v>100</v>
      </c>
      <c r="L52" s="31"/>
      <c r="O52" s="31"/>
      <c r="S52" s="13"/>
      <c r="U52" s="31"/>
      <c r="Y52" s="13"/>
      <c r="Z52" s="10"/>
      <c r="AA52" s="11"/>
      <c r="AB52" s="12"/>
      <c r="AC52" s="10"/>
      <c r="AD52" s="11"/>
      <c r="AE52" s="12"/>
      <c r="AF52" s="10"/>
      <c r="AG52" s="11"/>
      <c r="AH52" s="12"/>
      <c r="AI52" s="10"/>
      <c r="AJ52" s="11"/>
      <c r="AK52" s="12"/>
      <c r="AL52" s="10"/>
      <c r="AM52" s="11"/>
      <c r="AN52" s="12"/>
      <c r="AO52" s="10"/>
      <c r="AP52" s="11"/>
      <c r="AQ52" s="12"/>
      <c r="AR52" s="10"/>
      <c r="AS52" s="11"/>
      <c r="AT52" s="12"/>
      <c r="AU52" s="10"/>
      <c r="AV52" s="11"/>
      <c r="AW52" s="12"/>
      <c r="AX52" s="10"/>
      <c r="AY52" s="11"/>
      <c r="AZ52" s="12"/>
      <c r="BA52" s="10"/>
      <c r="BB52" s="11"/>
      <c r="BC52" s="12"/>
      <c r="BD52" s="10"/>
      <c r="BE52" s="11"/>
      <c r="BF52" s="12"/>
      <c r="BG52" s="10"/>
      <c r="BH52" s="11"/>
      <c r="BI52" s="12"/>
      <c r="BJ52" s="10"/>
      <c r="BK52" s="11"/>
      <c r="BL52" s="12"/>
      <c r="BM52" s="10"/>
      <c r="BN52" s="11"/>
      <c r="BO52" s="12"/>
      <c r="BP52" s="10"/>
      <c r="BQ52" s="11"/>
      <c r="BR52" s="12"/>
      <c r="BS52" s="10"/>
      <c r="BT52" s="11"/>
      <c r="BU52" s="12"/>
      <c r="BV52" s="10"/>
      <c r="BW52" s="11"/>
      <c r="BX52" s="12"/>
      <c r="BY52" s="10"/>
      <c r="BZ52" s="11"/>
      <c r="CA52" s="12"/>
      <c r="CB52" s="10"/>
      <c r="CC52" s="11"/>
      <c r="CD52" s="12"/>
      <c r="CE52" s="10"/>
      <c r="CF52" s="11"/>
      <c r="CG52" s="12"/>
      <c r="CH52" s="10"/>
      <c r="CI52" s="11"/>
      <c r="CJ52" s="12"/>
      <c r="CK52" s="10"/>
      <c r="CL52" s="11"/>
      <c r="CM52" s="12"/>
      <c r="CN52" s="10"/>
      <c r="CO52" s="11"/>
      <c r="CP52" s="12"/>
      <c r="CQ52" s="10"/>
      <c r="CR52" s="11"/>
      <c r="CS52" s="12"/>
      <c r="CT52" s="10"/>
      <c r="CU52" s="11"/>
      <c r="CV52" s="12"/>
      <c r="CW52" s="10"/>
      <c r="CX52" s="11"/>
      <c r="CY52" s="12"/>
    </row>
    <row r="53" spans="1:103">
      <c r="A53" t="b">
        <f t="shared" si="0"/>
        <v>1</v>
      </c>
      <c r="B53" t="str">
        <f>+EERR!A51</f>
        <v>3.1.06.818</v>
      </c>
      <c r="C53" s="3" t="s">
        <v>91</v>
      </c>
      <c r="D53" s="3" t="s">
        <v>92</v>
      </c>
      <c r="E53" s="30">
        <v>-2919321</v>
      </c>
      <c r="F53" s="32">
        <f>+I53+L53+O53+R53+U53+X53+AA53+AD53+AG53+AJ53+AM53+AP53+AS53+AV53+AY53+BB53+BE53+BH53+BK53+BN53+BQ53+BT53+BW53+BZ53+CC53+CF53+CI53+CL53+CO53+CR53+CU53</f>
        <v>2919321</v>
      </c>
      <c r="G53" s="33">
        <f t="shared" si="4"/>
        <v>0</v>
      </c>
      <c r="H53" t="s">
        <v>225</v>
      </c>
      <c r="I53" s="31">
        <v>170096</v>
      </c>
      <c r="J53">
        <v>2</v>
      </c>
      <c r="K53" t="s">
        <v>226</v>
      </c>
      <c r="L53">
        <v>-357504</v>
      </c>
      <c r="M53" s="13" t="s">
        <v>148</v>
      </c>
      <c r="N53" t="s">
        <v>227</v>
      </c>
      <c r="O53" s="31">
        <v>198680</v>
      </c>
      <c r="P53">
        <v>100</v>
      </c>
      <c r="Q53" t="s">
        <v>228</v>
      </c>
      <c r="R53">
        <v>1881600</v>
      </c>
      <c r="S53" s="13" t="s">
        <v>148</v>
      </c>
      <c r="T53" t="s">
        <v>224</v>
      </c>
      <c r="U53" s="31">
        <v>158794</v>
      </c>
      <c r="V53">
        <v>2</v>
      </c>
      <c r="W53" t="s">
        <v>223</v>
      </c>
      <c r="X53" s="31">
        <v>1097655</v>
      </c>
      <c r="Y53">
        <v>100</v>
      </c>
      <c r="Z53" s="22" t="s">
        <v>240</v>
      </c>
      <c r="AA53">
        <v>-230000</v>
      </c>
      <c r="AB53">
        <v>100</v>
      </c>
      <c r="AC53" s="22"/>
      <c r="AF53" s="10"/>
      <c r="AG53" s="11"/>
      <c r="AH53" s="12"/>
      <c r="AI53" s="10"/>
      <c r="AJ53" s="11"/>
      <c r="AK53" s="12"/>
      <c r="AL53" s="10"/>
      <c r="AM53" s="11"/>
      <c r="AN53" s="12"/>
      <c r="AO53" s="10"/>
      <c r="AP53" s="11"/>
      <c r="AQ53" s="12"/>
      <c r="AR53" s="10"/>
      <c r="AS53" s="11"/>
      <c r="AT53" s="12"/>
      <c r="AU53" s="10"/>
      <c r="AV53" s="11"/>
      <c r="AW53" s="12"/>
      <c r="AX53" s="10"/>
      <c r="AY53" s="11"/>
      <c r="AZ53" s="12"/>
      <c r="BA53" s="10"/>
      <c r="BB53" s="11"/>
      <c r="BC53" s="12"/>
      <c r="BD53" s="10"/>
      <c r="BE53" s="11"/>
      <c r="BF53" s="12"/>
      <c r="BG53" s="10"/>
      <c r="BH53" s="11"/>
      <c r="BI53" s="12"/>
      <c r="BJ53" s="10"/>
      <c r="BK53" s="11"/>
      <c r="BL53" s="12"/>
      <c r="BM53" s="10"/>
      <c r="BN53" s="11"/>
      <c r="BO53" s="12"/>
      <c r="BP53" s="10"/>
      <c r="BQ53" s="11"/>
      <c r="BR53" s="12"/>
      <c r="BS53" s="10"/>
      <c r="BT53" s="11"/>
      <c r="BU53" s="12"/>
      <c r="BV53" s="10"/>
      <c r="BW53" s="11"/>
      <c r="BX53" s="12"/>
      <c r="BY53" s="10"/>
      <c r="BZ53" s="11"/>
      <c r="CA53" s="12"/>
      <c r="CB53" s="10"/>
      <c r="CC53" s="11"/>
      <c r="CD53" s="12"/>
      <c r="CE53" s="10"/>
      <c r="CF53" s="11"/>
      <c r="CG53" s="12"/>
      <c r="CH53" s="10"/>
      <c r="CI53" s="11"/>
      <c r="CJ53" s="12"/>
      <c r="CK53" s="10"/>
      <c r="CL53" s="11"/>
      <c r="CM53" s="12"/>
      <c r="CN53" s="10"/>
      <c r="CO53" s="11"/>
      <c r="CP53" s="12"/>
      <c r="CQ53" s="10"/>
      <c r="CR53" s="11"/>
      <c r="CS53" s="12"/>
      <c r="CT53" s="10"/>
      <c r="CU53" s="11"/>
      <c r="CV53" s="12"/>
      <c r="CW53" s="10"/>
      <c r="CX53" s="11"/>
      <c r="CY53" s="12"/>
    </row>
    <row r="54" spans="1:103">
      <c r="A54" t="b">
        <f t="shared" si="0"/>
        <v>1</v>
      </c>
      <c r="B54" t="str">
        <f>+EERR!A52</f>
        <v>3.1.06.831</v>
      </c>
      <c r="C54" s="3" t="s">
        <v>93</v>
      </c>
      <c r="D54" s="3" t="s">
        <v>94</v>
      </c>
      <c r="E54" s="30">
        <v>-268190</v>
      </c>
      <c r="F54" s="32">
        <f t="shared" si="2"/>
        <v>268190</v>
      </c>
      <c r="G54" s="33">
        <f t="shared" si="4"/>
        <v>0</v>
      </c>
      <c r="H54" s="22" t="s">
        <v>194</v>
      </c>
      <c r="I54">
        <v>268190</v>
      </c>
      <c r="J54">
        <v>2</v>
      </c>
      <c r="K54" s="10"/>
      <c r="L54" s="11"/>
      <c r="M54" s="12"/>
      <c r="N54" s="10"/>
      <c r="O54" s="11"/>
      <c r="P54" s="12"/>
      <c r="Q54" s="10"/>
      <c r="R54" s="11"/>
      <c r="S54" s="12"/>
      <c r="T54" s="10"/>
      <c r="U54" s="11"/>
      <c r="V54" s="12"/>
      <c r="W54" s="10"/>
      <c r="X54" s="11"/>
      <c r="Y54" s="12"/>
      <c r="Z54" s="10"/>
      <c r="AA54" s="11"/>
      <c r="AB54" s="12"/>
      <c r="AC54" s="10"/>
      <c r="AD54" s="11"/>
      <c r="AE54" s="12"/>
      <c r="AF54" s="10"/>
      <c r="AG54" s="11"/>
      <c r="AH54" s="12"/>
      <c r="AI54" s="10"/>
      <c r="AJ54" s="11"/>
      <c r="AK54" s="12"/>
      <c r="AL54" s="10"/>
      <c r="AM54" s="11"/>
      <c r="AN54" s="12"/>
      <c r="AO54" s="10"/>
      <c r="AP54" s="11"/>
      <c r="AQ54" s="12"/>
      <c r="AR54" s="10"/>
      <c r="AS54" s="11"/>
      <c r="AT54" s="12"/>
      <c r="AU54" s="10"/>
      <c r="AV54" s="11"/>
      <c r="AW54" s="12"/>
      <c r="AX54" s="10"/>
      <c r="AY54" s="11"/>
      <c r="AZ54" s="12"/>
      <c r="BA54" s="10"/>
      <c r="BB54" s="11"/>
      <c r="BC54" s="12"/>
      <c r="BD54" s="10"/>
      <c r="BE54" s="11"/>
      <c r="BF54" s="12"/>
      <c r="BG54" s="10"/>
      <c r="BH54" s="11"/>
      <c r="BI54" s="12"/>
      <c r="BJ54" s="10"/>
      <c r="BK54" s="11"/>
      <c r="BL54" s="12"/>
      <c r="BM54" s="10"/>
      <c r="BN54" s="11"/>
      <c r="BO54" s="12"/>
      <c r="BP54" s="10"/>
      <c r="BQ54" s="11"/>
      <c r="BR54" s="12"/>
      <c r="BS54" s="10"/>
      <c r="BT54" s="11"/>
      <c r="BU54" s="12"/>
      <c r="BV54" s="10"/>
      <c r="BW54" s="11"/>
      <c r="BX54" s="12"/>
      <c r="BY54" s="10"/>
      <c r="BZ54" s="11"/>
      <c r="CA54" s="12"/>
      <c r="CB54" s="10"/>
      <c r="CC54" s="11"/>
      <c r="CD54" s="12"/>
      <c r="CE54" s="10"/>
      <c r="CF54" s="11"/>
      <c r="CG54" s="12"/>
      <c r="CH54" s="10"/>
      <c r="CI54" s="11"/>
      <c r="CJ54" s="12"/>
      <c r="CK54" s="10"/>
      <c r="CL54" s="11"/>
      <c r="CM54" s="12"/>
      <c r="CN54" s="10"/>
      <c r="CO54" s="11"/>
      <c r="CP54" s="12"/>
      <c r="CQ54" s="10"/>
      <c r="CR54" s="11"/>
      <c r="CS54" s="12"/>
      <c r="CT54" s="10"/>
      <c r="CU54" s="11"/>
      <c r="CV54" s="12"/>
      <c r="CW54" s="10"/>
      <c r="CX54" s="11"/>
      <c r="CY54" s="12"/>
    </row>
    <row r="55" spans="1:103">
      <c r="A55" t="b">
        <f t="shared" si="0"/>
        <v>1</v>
      </c>
      <c r="B55" t="str">
        <f>+EERR!A53</f>
        <v>3.1.06.837</v>
      </c>
      <c r="C55" s="3" t="s">
        <v>95</v>
      </c>
      <c r="D55" s="3" t="s">
        <v>96</v>
      </c>
      <c r="E55" s="30">
        <v>-588258</v>
      </c>
      <c r="F55" s="32">
        <f t="shared" si="2"/>
        <v>588258</v>
      </c>
      <c r="G55" s="33">
        <f t="shared" si="4"/>
        <v>0</v>
      </c>
      <c r="H55" s="22" t="s">
        <v>145</v>
      </c>
      <c r="I55">
        <v>854564</v>
      </c>
      <c r="J55">
        <v>1</v>
      </c>
      <c r="K55" s="22" t="s">
        <v>145</v>
      </c>
      <c r="L55">
        <v>-854564</v>
      </c>
      <c r="M55">
        <v>1</v>
      </c>
      <c r="N55" t="s">
        <v>229</v>
      </c>
      <c r="O55" s="31">
        <v>1240111</v>
      </c>
      <c r="P55" t="s">
        <v>148</v>
      </c>
      <c r="Q55" s="22" t="s">
        <v>230</v>
      </c>
      <c r="R55">
        <v>-651853</v>
      </c>
      <c r="S55" t="s">
        <v>148</v>
      </c>
      <c r="T55" s="10"/>
      <c r="U55" s="11"/>
      <c r="V55" s="12"/>
      <c r="W55" s="10"/>
      <c r="X55" s="11"/>
      <c r="Y55" s="12"/>
      <c r="Z55" s="10"/>
      <c r="AA55" s="11"/>
      <c r="AB55" s="12"/>
      <c r="AC55" s="10"/>
      <c r="AD55" s="11"/>
      <c r="AE55" s="12"/>
      <c r="AF55" s="10"/>
      <c r="AG55" s="11"/>
      <c r="AH55" s="12"/>
      <c r="AI55" s="10"/>
      <c r="AJ55" s="11"/>
      <c r="AK55" s="12"/>
      <c r="AL55" s="10"/>
      <c r="AM55" s="11"/>
      <c r="AN55" s="12"/>
      <c r="AO55" s="10"/>
      <c r="AP55" s="11"/>
      <c r="AQ55" s="12"/>
      <c r="AR55" s="10"/>
      <c r="AS55" s="11"/>
      <c r="AT55" s="12"/>
      <c r="AU55" s="10"/>
      <c r="AV55" s="11"/>
      <c r="AW55" s="12"/>
      <c r="AX55" s="10"/>
      <c r="AY55" s="11"/>
      <c r="AZ55" s="12"/>
      <c r="BA55" s="10"/>
      <c r="BB55" s="11"/>
      <c r="BC55" s="12"/>
      <c r="BD55" s="10"/>
      <c r="BE55" s="11"/>
      <c r="BF55" s="12"/>
      <c r="BG55" s="10"/>
      <c r="BH55" s="11"/>
      <c r="BI55" s="12"/>
      <c r="BJ55" s="10"/>
      <c r="BK55" s="11"/>
      <c r="BL55" s="12"/>
      <c r="BM55" s="10"/>
      <c r="BN55" s="11"/>
      <c r="BO55" s="12"/>
      <c r="BP55" s="10"/>
      <c r="BQ55" s="11"/>
      <c r="BR55" s="12"/>
      <c r="BS55" s="10"/>
      <c r="BT55" s="11"/>
      <c r="BU55" s="12"/>
      <c r="BV55" s="10"/>
      <c r="BW55" s="11"/>
      <c r="BX55" s="12"/>
      <c r="BY55" s="10"/>
      <c r="BZ55" s="11"/>
      <c r="CA55" s="12"/>
      <c r="CB55" s="10"/>
      <c r="CC55" s="11"/>
      <c r="CD55" s="12"/>
      <c r="CE55" s="10"/>
      <c r="CF55" s="11"/>
      <c r="CG55" s="12"/>
      <c r="CH55" s="10"/>
      <c r="CI55" s="11"/>
      <c r="CJ55" s="12"/>
      <c r="CK55" s="10"/>
      <c r="CL55" s="11"/>
      <c r="CM55" s="12"/>
      <c r="CN55" s="10"/>
      <c r="CO55" s="11"/>
      <c r="CP55" s="12"/>
      <c r="CQ55" s="10"/>
      <c r="CR55" s="11"/>
      <c r="CS55" s="12"/>
      <c r="CT55" s="10"/>
      <c r="CU55" s="11"/>
      <c r="CV55" s="12"/>
      <c r="CW55" s="10"/>
      <c r="CX55" s="11"/>
      <c r="CY55" s="12"/>
    </row>
    <row r="56" spans="1:103">
      <c r="A56" t="b">
        <f t="shared" si="0"/>
        <v>1</v>
      </c>
      <c r="B56" t="str">
        <f>+EERR!A54</f>
        <v>3.1.07.822</v>
      </c>
      <c r="C56" s="3" t="s">
        <v>113</v>
      </c>
      <c r="D56" s="3" t="s">
        <v>114</v>
      </c>
      <c r="E56" s="30">
        <v>-2086868</v>
      </c>
      <c r="F56" s="32">
        <f t="shared" si="2"/>
        <v>2086868</v>
      </c>
      <c r="G56" s="33">
        <f t="shared" si="4"/>
        <v>0</v>
      </c>
      <c r="H56" s="22" t="s">
        <v>151</v>
      </c>
      <c r="I56">
        <v>245000</v>
      </c>
      <c r="J56">
        <v>3</v>
      </c>
      <c r="K56" s="22" t="s">
        <v>196</v>
      </c>
      <c r="L56">
        <v>88496</v>
      </c>
      <c r="M56">
        <v>3</v>
      </c>
      <c r="N56" s="22" t="s">
        <v>197</v>
      </c>
      <c r="O56">
        <v>40000</v>
      </c>
      <c r="P56">
        <v>3</v>
      </c>
      <c r="Q56" s="22" t="s">
        <v>231</v>
      </c>
      <c r="R56">
        <v>-27489</v>
      </c>
      <c r="S56">
        <v>3</v>
      </c>
      <c r="T56" t="s">
        <v>224</v>
      </c>
      <c r="U56" s="31">
        <v>1159217</v>
      </c>
      <c r="V56">
        <v>3</v>
      </c>
      <c r="W56" t="s">
        <v>220</v>
      </c>
      <c r="X56" s="31">
        <v>581644</v>
      </c>
      <c r="Y56">
        <v>3</v>
      </c>
      <c r="Z56" s="22"/>
      <c r="AC56" s="10"/>
      <c r="AD56" s="11"/>
      <c r="AE56" s="12"/>
      <c r="AF56" s="10"/>
      <c r="AG56" s="11"/>
      <c r="AH56" s="12"/>
      <c r="AI56" s="10"/>
      <c r="AJ56" s="11"/>
      <c r="AK56" s="12"/>
      <c r="AL56" s="10"/>
      <c r="AM56" s="11"/>
      <c r="AN56" s="12"/>
      <c r="AO56" s="10"/>
      <c r="AP56" s="11"/>
      <c r="AQ56" s="12"/>
      <c r="AR56" s="10"/>
      <c r="AS56" s="11"/>
      <c r="AT56" s="12"/>
      <c r="AU56" s="10"/>
      <c r="AV56" s="11"/>
      <c r="AW56" s="12"/>
      <c r="AX56" s="10"/>
      <c r="AY56" s="11"/>
      <c r="AZ56" s="12"/>
      <c r="BA56" s="10"/>
      <c r="BB56" s="11"/>
      <c r="BC56" s="12"/>
      <c r="BD56" s="10"/>
      <c r="BE56" s="11"/>
      <c r="BF56" s="12"/>
      <c r="BG56" s="10"/>
      <c r="BH56" s="11"/>
      <c r="BI56" s="12"/>
      <c r="BJ56" s="10"/>
      <c r="BK56" s="11"/>
      <c r="BL56" s="12"/>
      <c r="BM56" s="10"/>
      <c r="BN56" s="11"/>
      <c r="BO56" s="12"/>
      <c r="BP56" s="10"/>
      <c r="BQ56" s="11"/>
      <c r="BR56" s="12"/>
      <c r="BS56" s="10"/>
      <c r="BT56" s="11"/>
      <c r="BU56" s="12"/>
      <c r="BV56" s="10"/>
      <c r="BW56" s="11"/>
      <c r="BX56" s="12"/>
      <c r="BY56" s="10"/>
      <c r="BZ56" s="11"/>
      <c r="CA56" s="12"/>
      <c r="CB56" s="10"/>
      <c r="CC56" s="11"/>
      <c r="CD56" s="12"/>
      <c r="CE56" s="10"/>
      <c r="CF56" s="11"/>
      <c r="CG56" s="12"/>
      <c r="CH56" s="10"/>
      <c r="CI56" s="11"/>
      <c r="CJ56" s="12"/>
      <c r="CK56" s="10"/>
      <c r="CL56" s="11"/>
      <c r="CM56" s="12"/>
      <c r="CN56" s="10"/>
      <c r="CO56" s="11"/>
      <c r="CP56" s="12"/>
      <c r="CQ56" s="10"/>
      <c r="CR56" s="11"/>
      <c r="CS56" s="12"/>
      <c r="CT56" s="10"/>
      <c r="CU56" s="11"/>
      <c r="CV56" s="12"/>
      <c r="CW56" s="10"/>
      <c r="CX56" s="11"/>
      <c r="CY56" s="12"/>
    </row>
    <row r="57" spans="1:103">
      <c r="A57" t="b">
        <f t="shared" si="0"/>
        <v>1</v>
      </c>
      <c r="B57" t="str">
        <f>+EERR!A55</f>
        <v>3.1.07.833</v>
      </c>
      <c r="C57" s="3" t="s">
        <v>115</v>
      </c>
      <c r="D57" s="3" t="s">
        <v>116</v>
      </c>
      <c r="E57" s="30">
        <v>-1831072</v>
      </c>
      <c r="F57" s="32">
        <f>+I57+L57+O57+R57+U57+X57+AA57+AD57+AG57+AJ57+AM57+AP57+AS57+AV57+AY57+BB57+BE57+BH57+BK57+BN57+BQ57+BT57+BW57+BZ57+CC57+CF57+CI57+CL57+CO57+CR57+CU57</f>
        <v>1831072</v>
      </c>
      <c r="G57" s="33">
        <f t="shared" si="4"/>
        <v>0</v>
      </c>
      <c r="H57" s="22" t="s">
        <v>195</v>
      </c>
      <c r="I57">
        <v>23100</v>
      </c>
      <c r="J57" t="s">
        <v>169</v>
      </c>
      <c r="K57" s="22" t="s">
        <v>182</v>
      </c>
      <c r="L57">
        <v>1415500</v>
      </c>
      <c r="M57" t="s">
        <v>169</v>
      </c>
      <c r="N57" s="22" t="s">
        <v>152</v>
      </c>
      <c r="O57">
        <v>26000</v>
      </c>
      <c r="P57" t="s">
        <v>169</v>
      </c>
      <c r="Q57" s="22" t="s">
        <v>182</v>
      </c>
      <c r="R57">
        <v>63900</v>
      </c>
      <c r="S57" t="s">
        <v>169</v>
      </c>
      <c r="T57" s="22" t="s">
        <v>182</v>
      </c>
      <c r="U57">
        <v>63900</v>
      </c>
      <c r="V57">
        <v>1</v>
      </c>
      <c r="W57" s="22" t="s">
        <v>182</v>
      </c>
      <c r="X57">
        <v>-63900</v>
      </c>
      <c r="Y57">
        <v>1</v>
      </c>
      <c r="Z57" t="s">
        <v>232</v>
      </c>
      <c r="AA57" s="31">
        <v>199703</v>
      </c>
      <c r="AB57">
        <v>2</v>
      </c>
      <c r="AC57" t="s">
        <v>233</v>
      </c>
      <c r="AD57" s="31">
        <v>41000</v>
      </c>
      <c r="AE57">
        <v>2</v>
      </c>
      <c r="AF57" t="s">
        <v>224</v>
      </c>
      <c r="AG57">
        <v>61869</v>
      </c>
      <c r="AH57" t="s">
        <v>148</v>
      </c>
      <c r="AI57" s="22"/>
      <c r="AL57" s="22"/>
      <c r="AO57" s="22"/>
      <c r="AR57" s="22"/>
      <c r="AU57" s="22"/>
      <c r="AX57" s="10"/>
      <c r="AY57" s="11"/>
      <c r="AZ57" s="12"/>
      <c r="BA57" s="10"/>
      <c r="BB57" s="11"/>
      <c r="BC57" s="12"/>
      <c r="BD57" s="10"/>
      <c r="BE57" s="11"/>
      <c r="BF57" s="12"/>
      <c r="BG57" s="10"/>
      <c r="BH57" s="11"/>
      <c r="BI57" s="12"/>
      <c r="BJ57" s="10"/>
      <c r="BK57" s="11"/>
      <c r="BL57" s="12"/>
      <c r="BM57" s="10"/>
      <c r="BN57" s="11"/>
      <c r="BO57" s="12"/>
      <c r="BP57" s="10"/>
      <c r="BQ57" s="11"/>
      <c r="BR57" s="12"/>
      <c r="BS57" s="10"/>
      <c r="BT57" s="11"/>
      <c r="BU57" s="12"/>
      <c r="BV57" s="10"/>
      <c r="BW57" s="11"/>
      <c r="BX57" s="12"/>
      <c r="BY57" s="10"/>
      <c r="BZ57" s="11"/>
      <c r="CA57" s="12"/>
      <c r="CB57" s="10"/>
      <c r="CC57" s="11"/>
      <c r="CD57" s="12"/>
      <c r="CE57" s="10"/>
      <c r="CF57" s="11"/>
      <c r="CG57" s="12"/>
      <c r="CH57" s="10"/>
      <c r="CI57" s="11"/>
      <c r="CJ57" s="12"/>
      <c r="CK57" s="10"/>
      <c r="CL57" s="11"/>
      <c r="CM57" s="12"/>
      <c r="CN57" s="10"/>
      <c r="CO57" s="11"/>
      <c r="CP57" s="12"/>
      <c r="CQ57" s="10"/>
      <c r="CR57" s="11"/>
      <c r="CS57" s="12"/>
      <c r="CT57" s="10"/>
      <c r="CU57" s="11"/>
      <c r="CV57" s="12"/>
      <c r="CW57" s="10"/>
      <c r="CX57" s="11"/>
      <c r="CY57" s="12"/>
    </row>
    <row r="58" spans="1:103">
      <c r="A58" t="b">
        <f t="shared" si="0"/>
        <v>1</v>
      </c>
      <c r="B58" t="str">
        <f>+EERR!A56</f>
        <v>3.1.08.701</v>
      </c>
      <c r="C58" s="3" t="s">
        <v>109</v>
      </c>
      <c r="D58" s="3" t="s">
        <v>110</v>
      </c>
      <c r="E58" s="23">
        <v>-8846337</v>
      </c>
      <c r="F58" s="20"/>
      <c r="G58" s="20"/>
      <c r="H58" s="10"/>
      <c r="I58" s="11"/>
      <c r="J58" s="12"/>
      <c r="K58" s="10"/>
      <c r="L58" s="11"/>
      <c r="M58" s="12"/>
      <c r="N58" s="10"/>
      <c r="O58" s="11"/>
      <c r="P58" s="12"/>
      <c r="Q58" s="10"/>
      <c r="R58" s="11"/>
      <c r="S58" s="12"/>
      <c r="T58" s="10"/>
      <c r="U58" s="11"/>
      <c r="V58" s="12"/>
      <c r="W58" s="10"/>
      <c r="X58" s="11"/>
      <c r="Y58" s="12"/>
      <c r="Z58" s="10"/>
      <c r="AA58" s="11"/>
      <c r="AB58" s="12"/>
      <c r="AC58" s="10"/>
      <c r="AD58" s="11"/>
      <c r="AE58" s="12"/>
      <c r="AF58" s="10"/>
      <c r="AG58" s="11"/>
      <c r="AH58" s="12"/>
      <c r="AI58" s="10"/>
      <c r="AJ58" s="11"/>
      <c r="AK58" s="12"/>
      <c r="AL58" s="10"/>
      <c r="AM58" s="11"/>
      <c r="AN58" s="12"/>
      <c r="AO58" s="10"/>
      <c r="AP58" s="11"/>
      <c r="AQ58" s="12"/>
      <c r="AR58" s="10"/>
      <c r="AS58" s="11"/>
      <c r="AT58" s="12"/>
      <c r="AU58" s="10"/>
      <c r="AV58" s="11"/>
      <c r="AW58" s="12"/>
      <c r="AX58" s="10"/>
      <c r="AY58" s="11"/>
      <c r="AZ58" s="12"/>
      <c r="BA58" s="10"/>
      <c r="BB58" s="11"/>
      <c r="BC58" s="12"/>
      <c r="BD58" s="10"/>
      <c r="BE58" s="11"/>
      <c r="BF58" s="12"/>
      <c r="BG58" s="10"/>
      <c r="BH58" s="11"/>
      <c r="BI58" s="12"/>
      <c r="BJ58" s="10"/>
      <c r="BK58" s="11"/>
      <c r="BL58" s="12"/>
      <c r="BM58" s="10"/>
      <c r="BN58" s="11"/>
      <c r="BO58" s="12"/>
      <c r="BP58" s="10"/>
      <c r="BQ58" s="11"/>
      <c r="BR58" s="12"/>
      <c r="BS58" s="10"/>
      <c r="BT58" s="11"/>
      <c r="BU58" s="12"/>
      <c r="BV58" s="10"/>
      <c r="BW58" s="11"/>
      <c r="BX58" s="12"/>
      <c r="BY58" s="10"/>
      <c r="BZ58" s="11"/>
      <c r="CA58" s="12"/>
      <c r="CB58" s="10"/>
      <c r="CC58" s="11"/>
      <c r="CD58" s="12"/>
      <c r="CE58" s="10"/>
      <c r="CF58" s="11"/>
      <c r="CG58" s="12"/>
      <c r="CH58" s="10"/>
      <c r="CI58" s="11"/>
      <c r="CJ58" s="12"/>
      <c r="CK58" s="10"/>
      <c r="CL58" s="11"/>
      <c r="CM58" s="12"/>
      <c r="CN58" s="10"/>
      <c r="CO58" s="11"/>
      <c r="CP58" s="12"/>
      <c r="CQ58" s="10"/>
      <c r="CR58" s="11"/>
      <c r="CS58" s="12"/>
      <c r="CT58" s="10"/>
      <c r="CU58" s="11"/>
      <c r="CV58" s="12"/>
      <c r="CW58" s="10"/>
      <c r="CX58" s="11"/>
      <c r="CY58" s="12"/>
    </row>
    <row r="59" spans="1:103">
      <c r="A59" t="b">
        <f t="shared" si="0"/>
        <v>1</v>
      </c>
      <c r="B59" t="str">
        <f>+EERR!A57</f>
        <v>3.2.08.105</v>
      </c>
      <c r="C59" s="3" t="s">
        <v>162</v>
      </c>
      <c r="D59" s="3" t="s">
        <v>166</v>
      </c>
      <c r="E59" s="23">
        <v>-19305</v>
      </c>
      <c r="F59" s="20"/>
      <c r="G59" s="20"/>
      <c r="H59" s="10"/>
      <c r="I59" s="11"/>
      <c r="J59" s="12"/>
      <c r="K59" s="10"/>
      <c r="L59" s="11"/>
      <c r="M59" s="12"/>
      <c r="N59" s="10"/>
      <c r="O59" s="11"/>
      <c r="P59" s="12"/>
      <c r="Q59" s="10"/>
      <c r="R59" s="11"/>
      <c r="S59" s="12"/>
      <c r="T59" s="10"/>
      <c r="U59" s="11"/>
      <c r="V59" s="12"/>
      <c r="W59" s="10"/>
      <c r="X59" s="11"/>
      <c r="Y59" s="12"/>
      <c r="Z59" s="10"/>
      <c r="AA59" s="11"/>
      <c r="AB59" s="12"/>
      <c r="AC59" s="10"/>
      <c r="AD59" s="11"/>
      <c r="AE59" s="12"/>
      <c r="AF59" s="10"/>
      <c r="AG59" s="11"/>
      <c r="AH59" s="12"/>
      <c r="AI59" s="10"/>
      <c r="AJ59" s="11"/>
      <c r="AK59" s="12"/>
      <c r="AL59" s="10"/>
      <c r="AM59" s="11"/>
      <c r="AN59" s="12"/>
      <c r="AO59" s="10"/>
      <c r="AP59" s="11"/>
      <c r="AQ59" s="12"/>
      <c r="AR59" s="10"/>
      <c r="AS59" s="11"/>
      <c r="AT59" s="12"/>
      <c r="AU59" s="10"/>
      <c r="AV59" s="11"/>
      <c r="AW59" s="12"/>
      <c r="AX59" s="10"/>
      <c r="AY59" s="11"/>
      <c r="AZ59" s="12"/>
      <c r="BA59" s="10"/>
      <c r="BB59" s="11"/>
      <c r="BC59" s="12"/>
      <c r="BD59" s="10"/>
      <c r="BE59" s="11"/>
      <c r="BF59" s="12"/>
      <c r="BG59" s="10"/>
      <c r="BH59" s="11"/>
      <c r="BI59" s="12"/>
      <c r="BJ59" s="10"/>
      <c r="BK59" s="11"/>
      <c r="BL59" s="12"/>
      <c r="BM59" s="10"/>
      <c r="BN59" s="11"/>
      <c r="BO59" s="12"/>
      <c r="BP59" s="10"/>
      <c r="BQ59" s="11"/>
      <c r="BR59" s="12"/>
      <c r="BS59" s="10"/>
      <c r="BT59" s="11"/>
      <c r="BU59" s="12"/>
      <c r="BV59" s="10"/>
      <c r="BW59" s="11"/>
      <c r="BX59" s="12"/>
      <c r="BY59" s="10"/>
      <c r="BZ59" s="11"/>
      <c r="CA59" s="12"/>
      <c r="CB59" s="10"/>
      <c r="CC59" s="11"/>
      <c r="CD59" s="12"/>
      <c r="CE59" s="10"/>
      <c r="CF59" s="11"/>
      <c r="CG59" s="12"/>
      <c r="CH59" s="10"/>
      <c r="CI59" s="11"/>
      <c r="CJ59" s="12"/>
      <c r="CK59" s="10"/>
      <c r="CL59" s="11"/>
      <c r="CM59" s="12"/>
      <c r="CN59" s="10"/>
      <c r="CO59" s="11"/>
      <c r="CP59" s="12"/>
      <c r="CQ59" s="10"/>
      <c r="CR59" s="11"/>
      <c r="CS59" s="12"/>
      <c r="CT59" s="10"/>
      <c r="CU59" s="11"/>
      <c r="CV59" s="12"/>
      <c r="CW59" s="10"/>
      <c r="CX59" s="11"/>
      <c r="CY59" s="12"/>
    </row>
    <row r="60" spans="1:103">
      <c r="A60" t="b">
        <f t="shared" si="0"/>
        <v>1</v>
      </c>
      <c r="B60" t="str">
        <f>+EERR!A58</f>
        <v>3.2.08.114</v>
      </c>
      <c r="C60" s="3" t="s">
        <v>97</v>
      </c>
      <c r="D60" s="3" t="s">
        <v>98</v>
      </c>
      <c r="E60" s="23">
        <v>0</v>
      </c>
      <c r="F60" s="20"/>
      <c r="G60" s="20"/>
      <c r="H60" s="10"/>
      <c r="I60" s="11"/>
      <c r="J60" s="12"/>
      <c r="K60" s="10"/>
      <c r="L60" s="11"/>
      <c r="M60" s="12"/>
      <c r="N60" s="10"/>
      <c r="O60" s="11"/>
      <c r="P60" s="12"/>
      <c r="Q60" s="10"/>
      <c r="R60" s="11"/>
      <c r="S60" s="12"/>
      <c r="T60" s="10"/>
      <c r="U60" s="11"/>
      <c r="V60" s="12"/>
      <c r="W60" s="10"/>
      <c r="X60" s="11"/>
      <c r="Y60" s="12"/>
      <c r="Z60" s="10"/>
      <c r="AA60" s="11"/>
      <c r="AB60" s="12"/>
      <c r="AC60" s="10"/>
      <c r="AD60" s="11"/>
      <c r="AE60" s="12"/>
      <c r="AF60" s="10"/>
      <c r="AG60" s="11"/>
      <c r="AH60" s="12"/>
      <c r="AI60" s="10"/>
      <c r="AJ60" s="11"/>
      <c r="AK60" s="12"/>
      <c r="AL60" s="10"/>
      <c r="AM60" s="11"/>
      <c r="AN60" s="12"/>
      <c r="AO60" s="10"/>
      <c r="AP60" s="11"/>
      <c r="AQ60" s="12"/>
      <c r="AR60" s="10"/>
      <c r="AS60" s="11"/>
      <c r="AT60" s="12"/>
      <c r="AU60" s="10"/>
      <c r="AV60" s="11"/>
      <c r="AW60" s="12"/>
      <c r="AX60" s="10"/>
      <c r="AY60" s="11"/>
      <c r="AZ60" s="12"/>
      <c r="BA60" s="10"/>
      <c r="BB60" s="11"/>
      <c r="BC60" s="12"/>
      <c r="BD60" s="10"/>
      <c r="BE60" s="11"/>
      <c r="BF60" s="12"/>
      <c r="BG60" s="10"/>
      <c r="BH60" s="11"/>
      <c r="BI60" s="12"/>
      <c r="BJ60" s="10"/>
      <c r="BK60" s="11"/>
      <c r="BL60" s="12"/>
      <c r="BM60" s="10"/>
      <c r="BN60" s="11"/>
      <c r="BO60" s="12"/>
      <c r="BP60" s="10"/>
      <c r="BQ60" s="11"/>
      <c r="BR60" s="12"/>
      <c r="BS60" s="10"/>
      <c r="BT60" s="11"/>
      <c r="BU60" s="12"/>
      <c r="BV60" s="10"/>
      <c r="BW60" s="11"/>
      <c r="BX60" s="12"/>
      <c r="BY60" s="10"/>
      <c r="BZ60" s="11"/>
      <c r="CA60" s="12"/>
      <c r="CB60" s="10"/>
      <c r="CC60" s="11"/>
      <c r="CD60" s="12"/>
      <c r="CE60" s="10"/>
      <c r="CF60" s="11"/>
      <c r="CG60" s="12"/>
      <c r="CH60" s="10"/>
      <c r="CI60" s="11"/>
      <c r="CJ60" s="12"/>
      <c r="CK60" s="10"/>
      <c r="CL60" s="11"/>
      <c r="CM60" s="12"/>
      <c r="CN60" s="10"/>
      <c r="CO60" s="11"/>
      <c r="CP60" s="12"/>
      <c r="CQ60" s="10"/>
      <c r="CR60" s="11"/>
      <c r="CS60" s="12"/>
      <c r="CT60" s="10"/>
      <c r="CU60" s="11"/>
      <c r="CV60" s="12"/>
      <c r="CW60" s="10"/>
      <c r="CX60" s="11"/>
      <c r="CY60" s="12"/>
    </row>
    <row r="61" spans="1:103">
      <c r="A61" t="b">
        <f t="shared" si="0"/>
        <v>1</v>
      </c>
      <c r="B61" t="str">
        <f>+EERR!A59</f>
        <v>3.2.08.116</v>
      </c>
      <c r="C61" s="3" t="s">
        <v>99</v>
      </c>
      <c r="D61" s="3" t="s">
        <v>100</v>
      </c>
      <c r="E61" s="23">
        <v>5791</v>
      </c>
      <c r="F61" s="20"/>
      <c r="G61" s="20"/>
      <c r="H61" s="10"/>
      <c r="I61" s="11"/>
      <c r="J61" s="12"/>
      <c r="K61" s="10"/>
      <c r="L61" s="11"/>
      <c r="M61" s="12"/>
      <c r="N61" s="10"/>
      <c r="O61" s="11"/>
      <c r="P61" s="12"/>
      <c r="Q61" s="10"/>
      <c r="R61" s="11"/>
      <c r="S61" s="12"/>
      <c r="T61" s="10"/>
      <c r="U61" s="11"/>
      <c r="V61" s="12"/>
      <c r="W61" s="10"/>
      <c r="X61" s="11"/>
      <c r="Y61" s="12"/>
      <c r="Z61" s="10"/>
      <c r="AA61" s="11"/>
      <c r="AB61" s="12"/>
      <c r="AC61" s="10"/>
      <c r="AD61" s="11"/>
      <c r="AE61" s="12"/>
      <c r="AF61" s="10"/>
      <c r="AG61" s="11"/>
      <c r="AH61" s="12"/>
      <c r="AI61" s="10"/>
      <c r="AJ61" s="11"/>
      <c r="AK61" s="12"/>
      <c r="AL61" s="10"/>
      <c r="AM61" s="11"/>
      <c r="AN61" s="12"/>
      <c r="AO61" s="10"/>
      <c r="AP61" s="11"/>
      <c r="AQ61" s="12"/>
      <c r="AR61" s="10"/>
      <c r="AS61" s="11"/>
      <c r="AT61" s="12"/>
      <c r="AU61" s="10"/>
      <c r="AV61" s="11"/>
      <c r="AW61" s="12"/>
      <c r="AX61" s="10"/>
      <c r="AY61" s="11"/>
      <c r="AZ61" s="12"/>
      <c r="BA61" s="10"/>
      <c r="BB61" s="11"/>
      <c r="BC61" s="12"/>
      <c r="BD61" s="10"/>
      <c r="BE61" s="11"/>
      <c r="BF61" s="12"/>
      <c r="BG61" s="10"/>
      <c r="BH61" s="11"/>
      <c r="BI61" s="12"/>
      <c r="BJ61" s="10"/>
      <c r="BK61" s="11"/>
      <c r="BL61" s="12"/>
      <c r="BM61" s="10"/>
      <c r="BN61" s="11"/>
      <c r="BO61" s="12"/>
      <c r="BP61" s="10"/>
      <c r="BQ61" s="11"/>
      <c r="BR61" s="12"/>
      <c r="BS61" s="10"/>
      <c r="BT61" s="11"/>
      <c r="BU61" s="12"/>
      <c r="BV61" s="10"/>
      <c r="BW61" s="11"/>
      <c r="BX61" s="12"/>
      <c r="BY61" s="10"/>
      <c r="BZ61" s="11"/>
      <c r="CA61" s="12"/>
      <c r="CB61" s="10"/>
      <c r="CC61" s="11"/>
      <c r="CD61" s="12"/>
      <c r="CE61" s="10"/>
      <c r="CF61" s="11"/>
      <c r="CG61" s="12"/>
      <c r="CH61" s="10"/>
      <c r="CI61" s="11"/>
      <c r="CJ61" s="12"/>
      <c r="CK61" s="10"/>
      <c r="CL61" s="11"/>
      <c r="CM61" s="12"/>
      <c r="CN61" s="10"/>
      <c r="CO61" s="11"/>
      <c r="CP61" s="12"/>
      <c r="CQ61" s="10"/>
      <c r="CR61" s="11"/>
      <c r="CS61" s="12"/>
      <c r="CT61" s="10"/>
      <c r="CU61" s="11"/>
      <c r="CV61" s="12"/>
      <c r="CW61" s="10"/>
      <c r="CX61" s="11"/>
      <c r="CY61" s="12"/>
    </row>
    <row r="62" spans="1:103">
      <c r="A62" t="b">
        <f t="shared" si="0"/>
        <v>1</v>
      </c>
      <c r="B62" t="str">
        <f>+EERR!A60</f>
        <v>3.2.08.117</v>
      </c>
      <c r="C62" s="3" t="s">
        <v>101</v>
      </c>
      <c r="D62" s="3" t="s">
        <v>102</v>
      </c>
      <c r="E62" s="23">
        <v>0</v>
      </c>
      <c r="F62" s="20"/>
      <c r="G62" s="20"/>
      <c r="H62" s="10"/>
      <c r="I62" s="11"/>
      <c r="J62" s="12"/>
      <c r="K62" s="10"/>
      <c r="L62" s="11"/>
      <c r="M62" s="12"/>
      <c r="N62" s="10"/>
      <c r="O62" s="11"/>
      <c r="P62" s="12"/>
      <c r="Q62" s="10"/>
      <c r="R62" s="11"/>
      <c r="S62" s="12"/>
      <c r="T62" s="10"/>
      <c r="U62" s="11"/>
      <c r="V62" s="12"/>
      <c r="W62" s="10"/>
      <c r="X62" s="11"/>
      <c r="Y62" s="12"/>
      <c r="Z62" s="10"/>
      <c r="AA62" s="11"/>
      <c r="AB62" s="12"/>
      <c r="AC62" s="10"/>
      <c r="AD62" s="11"/>
      <c r="AE62" s="12"/>
      <c r="AF62" s="10"/>
      <c r="AG62" s="11"/>
      <c r="AH62" s="12"/>
      <c r="AI62" s="10"/>
      <c r="AJ62" s="11"/>
      <c r="AK62" s="12"/>
      <c r="AL62" s="10"/>
      <c r="AM62" s="11"/>
      <c r="AN62" s="12"/>
      <c r="AO62" s="10"/>
      <c r="AP62" s="11"/>
      <c r="AQ62" s="12"/>
      <c r="AR62" s="10"/>
      <c r="AS62" s="11"/>
      <c r="AT62" s="12"/>
      <c r="AU62" s="10"/>
      <c r="AV62" s="11"/>
      <c r="AW62" s="12"/>
      <c r="AX62" s="10"/>
      <c r="AY62" s="11"/>
      <c r="AZ62" s="12"/>
      <c r="BA62" s="10"/>
      <c r="BB62" s="11"/>
      <c r="BC62" s="12"/>
      <c r="BD62" s="10"/>
      <c r="BE62" s="11"/>
      <c r="BF62" s="12"/>
      <c r="BG62" s="10"/>
      <c r="BH62" s="11"/>
      <c r="BI62" s="12"/>
      <c r="BJ62" s="10"/>
      <c r="BK62" s="11"/>
      <c r="BL62" s="12"/>
      <c r="BM62" s="10"/>
      <c r="BN62" s="11"/>
      <c r="BO62" s="12"/>
      <c r="BP62" s="10"/>
      <c r="BQ62" s="11"/>
      <c r="BR62" s="12"/>
      <c r="BS62" s="10"/>
      <c r="BT62" s="11"/>
      <c r="BU62" s="12"/>
      <c r="BV62" s="10"/>
      <c r="BW62" s="11"/>
      <c r="BX62" s="12"/>
      <c r="BY62" s="10"/>
      <c r="BZ62" s="11"/>
      <c r="CA62" s="12"/>
      <c r="CB62" s="10"/>
      <c r="CC62" s="11"/>
      <c r="CD62" s="12"/>
      <c r="CE62" s="10"/>
      <c r="CF62" s="11"/>
      <c r="CG62" s="12"/>
      <c r="CH62" s="10"/>
      <c r="CI62" s="11"/>
      <c r="CJ62" s="12"/>
      <c r="CK62" s="10"/>
      <c r="CL62" s="11"/>
      <c r="CM62" s="12"/>
      <c r="CN62" s="10"/>
      <c r="CO62" s="11"/>
      <c r="CP62" s="12"/>
      <c r="CQ62" s="10"/>
      <c r="CR62" s="11"/>
      <c r="CS62" s="12"/>
      <c r="CT62" s="10"/>
      <c r="CU62" s="11"/>
      <c r="CV62" s="12"/>
      <c r="CW62" s="10"/>
      <c r="CX62" s="11"/>
      <c r="CY62" s="12"/>
    </row>
    <row r="63" spans="1:103">
      <c r="A63" t="b">
        <f t="shared" si="0"/>
        <v>1</v>
      </c>
      <c r="B63" t="str">
        <f>+EERR!A61</f>
        <v>3.2.11.158</v>
      </c>
      <c r="C63" s="3" t="s">
        <v>103</v>
      </c>
      <c r="D63" s="3" t="s">
        <v>104</v>
      </c>
      <c r="E63" s="23">
        <v>24026172</v>
      </c>
      <c r="F63" s="20"/>
      <c r="G63" s="20"/>
      <c r="H63" s="10"/>
      <c r="I63" s="11"/>
      <c r="J63" s="12"/>
      <c r="K63" s="10"/>
      <c r="L63" s="11"/>
      <c r="M63" s="12"/>
      <c r="N63" s="10"/>
      <c r="O63" s="11"/>
      <c r="P63" s="12"/>
      <c r="Q63" s="10"/>
      <c r="R63" s="11"/>
      <c r="S63" s="12"/>
      <c r="T63" s="10"/>
      <c r="U63" s="11"/>
      <c r="V63" s="12"/>
      <c r="W63" s="10"/>
      <c r="X63" s="11"/>
      <c r="Y63" s="12"/>
      <c r="Z63" s="10"/>
      <c r="AA63" s="11"/>
      <c r="AB63" s="12"/>
      <c r="AC63" s="10"/>
      <c r="AD63" s="11"/>
      <c r="AE63" s="12"/>
      <c r="AF63" s="10"/>
      <c r="AG63" s="11"/>
      <c r="AH63" s="12"/>
      <c r="AI63" s="10"/>
      <c r="AJ63" s="11"/>
      <c r="AK63" s="12"/>
      <c r="AL63" s="10"/>
      <c r="AM63" s="11"/>
      <c r="AN63" s="12"/>
      <c r="AO63" s="10"/>
      <c r="AP63" s="11"/>
      <c r="AQ63" s="12"/>
      <c r="AR63" s="10"/>
      <c r="AS63" s="11"/>
      <c r="AT63" s="12"/>
      <c r="AU63" s="10"/>
      <c r="AV63" s="11"/>
      <c r="AW63" s="12"/>
      <c r="AX63" s="10"/>
      <c r="AY63" s="11"/>
      <c r="AZ63" s="12"/>
      <c r="BA63" s="10"/>
      <c r="BB63" s="11"/>
      <c r="BC63" s="12"/>
      <c r="BD63" s="10"/>
      <c r="BE63" s="11"/>
      <c r="BF63" s="12"/>
      <c r="BG63" s="10"/>
      <c r="BH63" s="11"/>
      <c r="BI63" s="12"/>
      <c r="BJ63" s="10"/>
      <c r="BK63" s="11"/>
      <c r="BL63" s="12"/>
      <c r="BM63" s="10"/>
      <c r="BN63" s="11"/>
      <c r="BO63" s="12"/>
      <c r="BP63" s="10"/>
      <c r="BQ63" s="11"/>
      <c r="BR63" s="12"/>
      <c r="BS63" s="10"/>
      <c r="BT63" s="11"/>
      <c r="BU63" s="12"/>
      <c r="BV63" s="10"/>
      <c r="BW63" s="11"/>
      <c r="BX63" s="12"/>
      <c r="BY63" s="10"/>
      <c r="BZ63" s="11"/>
      <c r="CA63" s="12"/>
      <c r="CB63" s="10"/>
      <c r="CC63" s="11"/>
      <c r="CD63" s="12"/>
      <c r="CE63" s="10"/>
      <c r="CF63" s="11"/>
      <c r="CG63" s="12"/>
      <c r="CH63" s="10"/>
      <c r="CI63" s="11"/>
      <c r="CJ63" s="12"/>
      <c r="CK63" s="10"/>
      <c r="CL63" s="11"/>
      <c r="CM63" s="12"/>
      <c r="CN63" s="10"/>
      <c r="CO63" s="11"/>
      <c r="CP63" s="12"/>
      <c r="CQ63" s="10"/>
      <c r="CR63" s="11"/>
      <c r="CS63" s="12"/>
      <c r="CT63" s="10"/>
      <c r="CU63" s="11"/>
      <c r="CV63" s="12"/>
      <c r="CW63" s="10"/>
      <c r="CX63" s="11"/>
      <c r="CY63" s="12"/>
    </row>
    <row r="64" spans="1:103">
      <c r="A64" t="b">
        <f t="shared" si="0"/>
        <v>1</v>
      </c>
      <c r="B64" t="str">
        <f>+EERR!A62</f>
        <v>3.2.13.101</v>
      </c>
      <c r="C64" s="3" t="s">
        <v>117</v>
      </c>
      <c r="D64" s="3" t="s">
        <v>118</v>
      </c>
      <c r="E64" s="23">
        <v>-623797</v>
      </c>
      <c r="F64" s="20"/>
      <c r="G64" s="20"/>
      <c r="H64" s="10"/>
      <c r="I64" s="11"/>
      <c r="J64" s="12"/>
      <c r="K64" s="10"/>
      <c r="L64" s="11"/>
      <c r="M64" s="12"/>
      <c r="N64" s="10"/>
      <c r="O64" s="11"/>
      <c r="P64" s="12"/>
      <c r="Q64" s="10"/>
      <c r="R64" s="11"/>
      <c r="S64" s="12"/>
      <c r="T64" s="10"/>
      <c r="U64" s="11"/>
      <c r="V64" s="12"/>
      <c r="W64" s="10"/>
      <c r="X64" s="11"/>
      <c r="Y64" s="12"/>
      <c r="Z64" s="10"/>
      <c r="AA64" s="11"/>
      <c r="AB64" s="12"/>
      <c r="AC64" s="10"/>
      <c r="AD64" s="11"/>
      <c r="AE64" s="12"/>
      <c r="AF64" s="10"/>
      <c r="AG64" s="11"/>
      <c r="AH64" s="12"/>
      <c r="AI64" s="10"/>
      <c r="AJ64" s="11"/>
      <c r="AK64" s="12"/>
      <c r="AL64" s="10"/>
      <c r="AM64" s="11"/>
      <c r="AN64" s="12"/>
      <c r="AO64" s="10"/>
      <c r="AP64" s="11"/>
      <c r="AQ64" s="12"/>
      <c r="AR64" s="10"/>
      <c r="AS64" s="11"/>
      <c r="AT64" s="12"/>
      <c r="AU64" s="10"/>
      <c r="AV64" s="11"/>
      <c r="AW64" s="12"/>
      <c r="AX64" s="10"/>
      <c r="AY64" s="11"/>
      <c r="AZ64" s="12"/>
      <c r="BA64" s="10"/>
      <c r="BB64" s="11"/>
      <c r="BC64" s="12"/>
      <c r="BD64" s="10"/>
      <c r="BE64" s="11"/>
      <c r="BF64" s="12"/>
      <c r="BG64" s="10"/>
      <c r="BH64" s="11"/>
      <c r="BI64" s="12"/>
      <c r="BJ64" s="10"/>
      <c r="BK64" s="11"/>
      <c r="BL64" s="12"/>
      <c r="BM64" s="10"/>
      <c r="BN64" s="11"/>
      <c r="BO64" s="12"/>
      <c r="BP64" s="10"/>
      <c r="BQ64" s="11"/>
      <c r="BR64" s="12"/>
      <c r="BS64" s="10"/>
      <c r="BT64" s="11"/>
      <c r="BU64" s="12"/>
      <c r="BV64" s="10"/>
      <c r="BW64" s="11"/>
      <c r="BX64" s="12"/>
      <c r="BY64" s="10"/>
      <c r="BZ64" s="11"/>
      <c r="CA64" s="12"/>
      <c r="CB64" s="10"/>
      <c r="CC64" s="11"/>
      <c r="CD64" s="12"/>
      <c r="CE64" s="10"/>
      <c r="CF64" s="11"/>
      <c r="CG64" s="12"/>
      <c r="CH64" s="10"/>
      <c r="CI64" s="11"/>
      <c r="CJ64" s="12"/>
      <c r="CK64" s="10"/>
      <c r="CL64" s="11"/>
      <c r="CM64" s="12"/>
      <c r="CN64" s="10"/>
      <c r="CO64" s="11"/>
      <c r="CP64" s="12"/>
      <c r="CQ64" s="10"/>
      <c r="CR64" s="11"/>
      <c r="CS64" s="12"/>
      <c r="CT64" s="10"/>
      <c r="CU64" s="11"/>
      <c r="CV64" s="12"/>
      <c r="CW64" s="10"/>
      <c r="CX64" s="11"/>
      <c r="CY64" s="12"/>
    </row>
    <row r="65" spans="1:103">
      <c r="A65" t="b">
        <f t="shared" si="0"/>
        <v>1</v>
      </c>
      <c r="B65" t="str">
        <f>+EERR!A63</f>
        <v>3.2.13.109</v>
      </c>
      <c r="C65" s="3" t="s">
        <v>111</v>
      </c>
      <c r="D65" s="3" t="s">
        <v>112</v>
      </c>
      <c r="E65" s="23">
        <v>-34</v>
      </c>
      <c r="F65" s="20"/>
      <c r="G65" s="20"/>
      <c r="H65" s="10"/>
      <c r="I65" s="11"/>
      <c r="J65" s="12"/>
      <c r="K65" s="10"/>
      <c r="L65" s="11"/>
      <c r="M65" s="12"/>
      <c r="N65" s="10"/>
      <c r="O65" s="11"/>
      <c r="P65" s="12"/>
      <c r="Q65" s="10"/>
      <c r="R65" s="11"/>
      <c r="S65" s="12"/>
      <c r="T65" s="10"/>
      <c r="U65" s="11"/>
      <c r="V65" s="12"/>
      <c r="W65" s="10"/>
      <c r="X65" s="11"/>
      <c r="Y65" s="12"/>
      <c r="Z65" s="10"/>
      <c r="AA65" s="11"/>
      <c r="AB65" s="12"/>
      <c r="AC65" s="10"/>
      <c r="AD65" s="11"/>
      <c r="AE65" s="12"/>
      <c r="AF65" s="10"/>
      <c r="AG65" s="11"/>
      <c r="AH65" s="12"/>
      <c r="AI65" s="10"/>
      <c r="AJ65" s="11"/>
      <c r="AK65" s="12"/>
      <c r="AL65" s="10"/>
      <c r="AM65" s="11"/>
      <c r="AN65" s="12"/>
      <c r="AO65" s="10"/>
      <c r="AP65" s="11"/>
      <c r="AQ65" s="12"/>
      <c r="AR65" s="10"/>
      <c r="AS65" s="11"/>
      <c r="AT65" s="12"/>
      <c r="AU65" s="10"/>
      <c r="AV65" s="11"/>
      <c r="AW65" s="12"/>
      <c r="AX65" s="10"/>
      <c r="AY65" s="11"/>
      <c r="AZ65" s="12"/>
      <c r="BA65" s="10"/>
      <c r="BB65" s="11"/>
      <c r="BC65" s="12"/>
      <c r="BD65" s="10"/>
      <c r="BE65" s="11"/>
      <c r="BF65" s="12"/>
      <c r="BG65" s="10"/>
      <c r="BH65" s="11"/>
      <c r="BI65" s="12"/>
      <c r="BJ65" s="10"/>
      <c r="BK65" s="11"/>
      <c r="BL65" s="12"/>
      <c r="BM65" s="10"/>
      <c r="BN65" s="11"/>
      <c r="BO65" s="12"/>
      <c r="BP65" s="10"/>
      <c r="BQ65" s="11"/>
      <c r="BR65" s="12"/>
      <c r="BS65" s="10"/>
      <c r="BT65" s="11"/>
      <c r="BU65" s="12"/>
      <c r="BV65" s="10"/>
      <c r="BW65" s="11"/>
      <c r="BX65" s="12"/>
      <c r="BY65" s="10"/>
      <c r="BZ65" s="11"/>
      <c r="CA65" s="12"/>
      <c r="CB65" s="10"/>
      <c r="CC65" s="11"/>
      <c r="CD65" s="12"/>
      <c r="CE65" s="10"/>
      <c r="CF65" s="11"/>
      <c r="CG65" s="12"/>
      <c r="CH65" s="10"/>
      <c r="CI65" s="11"/>
      <c r="CJ65" s="12"/>
      <c r="CK65" s="10"/>
      <c r="CL65" s="11"/>
      <c r="CM65" s="12"/>
      <c r="CN65" s="10"/>
      <c r="CO65" s="11"/>
      <c r="CP65" s="12"/>
      <c r="CQ65" s="10"/>
      <c r="CR65" s="11"/>
      <c r="CS65" s="12"/>
      <c r="CT65" s="10"/>
      <c r="CU65" s="11"/>
      <c r="CV65" s="12"/>
      <c r="CW65" s="10"/>
      <c r="CX65" s="11"/>
      <c r="CY65" s="12"/>
    </row>
    <row r="66" spans="1:103" ht="14.55" thickBot="1">
      <c r="C66" s="4"/>
      <c r="D66" s="5"/>
      <c r="E66" s="6"/>
      <c r="F66" s="21"/>
      <c r="G66" s="21"/>
    </row>
    <row r="67" spans="1:103" ht="14.55" thickTop="1"/>
    <row r="70" spans="1:103">
      <c r="I70" s="24"/>
      <c r="L70" s="24"/>
    </row>
  </sheetData>
  <sortState xmlns:xlrd2="http://schemas.microsoft.com/office/spreadsheetml/2017/richdata2" ref="C2:E95">
    <sortCondition ref="C2:C95"/>
  </sortState>
  <mergeCells count="3">
    <mergeCell ref="C1:C3"/>
    <mergeCell ref="D1:D3"/>
    <mergeCell ref="E1:E2"/>
  </mergeCells>
  <pageMargins left="0.7" right="0.7" top="0.75" bottom="0.75" header="0.3" footer="0.3"/>
  <headerFooter>
    <oddFooter>&amp;C_x000D_&amp;1#&amp;"Calibri"&amp;10&amp;K000000 Calificación: Publico, apto para su distribución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FD3D-F7A2-4A17-9D46-1F3D3B0F8AD3}">
  <dimension ref="A1:I30015"/>
  <sheetViews>
    <sheetView workbookViewId="0">
      <selection activeCell="A2" sqref="A2:A63"/>
    </sheetView>
  </sheetViews>
  <sheetFormatPr baseColWidth="10" defaultRowHeight="14"/>
  <cols>
    <col min="4" max="4" width="41.5" bestFit="1" customWidth="1"/>
    <col min="5" max="5" width="11.5" bestFit="1" customWidth="1"/>
    <col min="8" max="8" width="46.69921875" bestFit="1" customWidth="1"/>
    <col min="9" max="9" width="11.09765625" bestFit="1" customWidth="1"/>
  </cols>
  <sheetData>
    <row r="1" spans="1:9">
      <c r="A1" s="27" t="s">
        <v>153</v>
      </c>
      <c r="B1" s="28" t="s">
        <v>153</v>
      </c>
      <c r="C1" s="28" t="s">
        <v>154</v>
      </c>
      <c r="D1" s="27" t="s">
        <v>155</v>
      </c>
      <c r="E1" s="28" t="s">
        <v>2</v>
      </c>
    </row>
    <row r="2" spans="1:9">
      <c r="A2" s="3" t="s">
        <v>7</v>
      </c>
      <c r="B2" s="24">
        <v>4</v>
      </c>
      <c r="C2" s="24" t="s">
        <v>7</v>
      </c>
      <c r="D2" s="25" t="s">
        <v>8</v>
      </c>
      <c r="E2" s="26">
        <v>250365366</v>
      </c>
      <c r="G2" s="3" t="s">
        <v>7</v>
      </c>
      <c r="H2" s="3" t="s">
        <v>8</v>
      </c>
      <c r="I2" t="b">
        <f>C2=G2</f>
        <v>1</v>
      </c>
    </row>
    <row r="3" spans="1:9">
      <c r="A3" s="3" t="s">
        <v>10</v>
      </c>
      <c r="G3" s="3" t="s">
        <v>10</v>
      </c>
      <c r="H3" s="3" t="s">
        <v>11</v>
      </c>
      <c r="I3" t="b">
        <f>C9=G3</f>
        <v>0</v>
      </c>
    </row>
    <row r="4" spans="1:9">
      <c r="A4" s="3" t="s">
        <v>12</v>
      </c>
      <c r="B4" s="24">
        <v>9</v>
      </c>
      <c r="C4" s="24" t="s">
        <v>12</v>
      </c>
      <c r="D4" s="25" t="s">
        <v>13</v>
      </c>
      <c r="E4" s="26">
        <v>-134839072</v>
      </c>
      <c r="G4" s="3" t="s">
        <v>12</v>
      </c>
      <c r="H4" s="3" t="s">
        <v>13</v>
      </c>
      <c r="I4" t="b">
        <f t="shared" ref="I4:I63" si="0">C4=G4</f>
        <v>1</v>
      </c>
    </row>
    <row r="5" spans="1:9">
      <c r="A5" s="3" t="s">
        <v>105</v>
      </c>
      <c r="B5" s="24">
        <v>111</v>
      </c>
      <c r="C5" s="24" t="s">
        <v>105</v>
      </c>
      <c r="D5" s="25" t="s">
        <v>106</v>
      </c>
      <c r="E5" s="26">
        <v>-1205060</v>
      </c>
      <c r="G5" s="3" t="s">
        <v>105</v>
      </c>
      <c r="H5" s="3" t="s">
        <v>106</v>
      </c>
      <c r="I5" t="b">
        <f t="shared" si="0"/>
        <v>1</v>
      </c>
    </row>
    <row r="6" spans="1:9">
      <c r="A6" s="3" t="s">
        <v>14</v>
      </c>
      <c r="B6" s="24">
        <v>11</v>
      </c>
      <c r="C6" s="24" t="s">
        <v>14</v>
      </c>
      <c r="D6" s="25" t="s">
        <v>15</v>
      </c>
      <c r="E6" s="26">
        <v>-457950</v>
      </c>
      <c r="G6" s="3" t="s">
        <v>14</v>
      </c>
      <c r="H6" s="3" t="s">
        <v>15</v>
      </c>
      <c r="I6" t="b">
        <f t="shared" si="0"/>
        <v>1</v>
      </c>
    </row>
    <row r="7" spans="1:9">
      <c r="A7" s="3" t="s">
        <v>107</v>
      </c>
      <c r="B7" s="24">
        <v>112</v>
      </c>
      <c r="C7" s="24" t="s">
        <v>107</v>
      </c>
      <c r="D7" s="25" t="s">
        <v>108</v>
      </c>
      <c r="E7" s="26">
        <v>-8071525</v>
      </c>
      <c r="G7" s="3" t="s">
        <v>107</v>
      </c>
      <c r="H7" s="3" t="s">
        <v>108</v>
      </c>
      <c r="I7" t="b">
        <f t="shared" si="0"/>
        <v>1</v>
      </c>
    </row>
    <row r="8" spans="1:9">
      <c r="A8" s="3" t="s">
        <v>16</v>
      </c>
      <c r="B8" s="24">
        <v>12</v>
      </c>
      <c r="C8" s="24" t="s">
        <v>16</v>
      </c>
      <c r="D8" s="25" t="s">
        <v>17</v>
      </c>
      <c r="E8" s="26">
        <v>-1976022</v>
      </c>
      <c r="G8" s="3" t="s">
        <v>16</v>
      </c>
      <c r="H8" s="3" t="s">
        <v>17</v>
      </c>
      <c r="I8" t="b">
        <f t="shared" si="0"/>
        <v>1</v>
      </c>
    </row>
    <row r="9" spans="1:9">
      <c r="A9" s="3" t="s">
        <v>18</v>
      </c>
      <c r="B9" s="24">
        <v>6</v>
      </c>
      <c r="C9" s="24" t="s">
        <v>184</v>
      </c>
      <c r="D9" s="25" t="s">
        <v>9</v>
      </c>
      <c r="E9" s="26">
        <v>-44990</v>
      </c>
      <c r="G9" s="3" t="s">
        <v>18</v>
      </c>
      <c r="H9" s="3" t="s">
        <v>9</v>
      </c>
      <c r="I9" t="b">
        <f t="shared" si="0"/>
        <v>0</v>
      </c>
    </row>
    <row r="10" spans="1:9">
      <c r="A10" s="3" t="s">
        <v>19</v>
      </c>
      <c r="B10" s="24">
        <v>14</v>
      </c>
      <c r="C10" s="24" t="s">
        <v>19</v>
      </c>
      <c r="D10" s="25" t="s">
        <v>20</v>
      </c>
      <c r="E10" s="26">
        <v>-46507</v>
      </c>
      <c r="G10" s="3" t="s">
        <v>19</v>
      </c>
      <c r="H10" s="3" t="s">
        <v>20</v>
      </c>
      <c r="I10" t="b">
        <f t="shared" si="0"/>
        <v>1</v>
      </c>
    </row>
    <row r="11" spans="1:9">
      <c r="A11" s="3" t="s">
        <v>21</v>
      </c>
      <c r="B11" s="24">
        <v>17</v>
      </c>
      <c r="C11" s="24" t="s">
        <v>21</v>
      </c>
      <c r="D11" s="25" t="s">
        <v>22</v>
      </c>
      <c r="E11" s="26">
        <v>-45117151</v>
      </c>
      <c r="G11" s="3" t="s">
        <v>21</v>
      </c>
      <c r="H11" s="3" t="s">
        <v>22</v>
      </c>
      <c r="I11" t="b">
        <f t="shared" si="0"/>
        <v>1</v>
      </c>
    </row>
    <row r="12" spans="1:9">
      <c r="A12" s="3" t="s">
        <v>23</v>
      </c>
      <c r="B12" s="24">
        <v>18</v>
      </c>
      <c r="C12" s="24" t="s">
        <v>23</v>
      </c>
      <c r="D12" s="25" t="s">
        <v>24</v>
      </c>
      <c r="E12" s="26">
        <v>-3506290</v>
      </c>
      <c r="G12" s="3" t="s">
        <v>23</v>
      </c>
      <c r="H12" s="3" t="s">
        <v>24</v>
      </c>
      <c r="I12" t="b">
        <f t="shared" si="0"/>
        <v>1</v>
      </c>
    </row>
    <row r="13" spans="1:9">
      <c r="A13" s="3" t="s">
        <v>25</v>
      </c>
      <c r="B13" s="24">
        <v>19</v>
      </c>
      <c r="C13" s="24" t="s">
        <v>25</v>
      </c>
      <c r="D13" s="25" t="s">
        <v>26</v>
      </c>
      <c r="E13" s="26">
        <v>-1655083</v>
      </c>
      <c r="G13" s="3" t="s">
        <v>25</v>
      </c>
      <c r="H13" s="3" t="s">
        <v>26</v>
      </c>
      <c r="I13" t="b">
        <f t="shared" si="0"/>
        <v>1</v>
      </c>
    </row>
    <row r="14" spans="1:9">
      <c r="A14" s="3" t="s">
        <v>27</v>
      </c>
      <c r="B14" s="24">
        <v>20</v>
      </c>
      <c r="C14" s="24" t="s">
        <v>27</v>
      </c>
      <c r="D14" s="25" t="s">
        <v>28</v>
      </c>
      <c r="E14" s="26">
        <v>-10584152</v>
      </c>
      <c r="G14" s="3" t="s">
        <v>27</v>
      </c>
      <c r="H14" s="3" t="s">
        <v>28</v>
      </c>
      <c r="I14" t="b">
        <f t="shared" si="0"/>
        <v>1</v>
      </c>
    </row>
    <row r="15" spans="1:9">
      <c r="A15" s="3" t="s">
        <v>29</v>
      </c>
      <c r="B15" s="24"/>
      <c r="C15" s="24"/>
      <c r="D15" s="25"/>
      <c r="E15" s="26"/>
      <c r="G15" s="3" t="s">
        <v>29</v>
      </c>
      <c r="H15" s="3" t="s">
        <v>30</v>
      </c>
      <c r="I15" t="b">
        <f t="shared" si="0"/>
        <v>0</v>
      </c>
    </row>
    <row r="16" spans="1:9">
      <c r="A16" s="3" t="s">
        <v>31</v>
      </c>
      <c r="B16" s="24">
        <v>23</v>
      </c>
      <c r="C16" s="24" t="s">
        <v>31</v>
      </c>
      <c r="D16" s="25" t="s">
        <v>32</v>
      </c>
      <c r="E16" s="26">
        <v>-600154</v>
      </c>
      <c r="G16" s="3" t="s">
        <v>31</v>
      </c>
      <c r="H16" s="3" t="s">
        <v>32</v>
      </c>
      <c r="I16" t="b">
        <f t="shared" si="0"/>
        <v>1</v>
      </c>
    </row>
    <row r="17" spans="1:9">
      <c r="A17" s="3" t="s">
        <v>33</v>
      </c>
      <c r="B17" s="24">
        <v>24</v>
      </c>
      <c r="C17" s="24" t="s">
        <v>33</v>
      </c>
      <c r="D17" s="25" t="s">
        <v>34</v>
      </c>
      <c r="E17" s="26">
        <v>-1012481</v>
      </c>
      <c r="G17" s="3" t="s">
        <v>33</v>
      </c>
      <c r="H17" s="3" t="s">
        <v>34</v>
      </c>
      <c r="I17" t="b">
        <f t="shared" si="0"/>
        <v>1</v>
      </c>
    </row>
    <row r="18" spans="1:9">
      <c r="A18" s="3" t="s">
        <v>156</v>
      </c>
      <c r="B18" s="24">
        <v>25</v>
      </c>
      <c r="C18" s="24" t="s">
        <v>156</v>
      </c>
      <c r="D18" s="25" t="s">
        <v>157</v>
      </c>
      <c r="E18" s="26">
        <v>-64495</v>
      </c>
      <c r="G18" s="3" t="s">
        <v>156</v>
      </c>
      <c r="H18" s="3" t="s">
        <v>157</v>
      </c>
      <c r="I18" t="b">
        <f t="shared" si="0"/>
        <v>1</v>
      </c>
    </row>
    <row r="19" spans="1:9">
      <c r="A19" s="3" t="s">
        <v>158</v>
      </c>
      <c r="B19" s="24">
        <v>26</v>
      </c>
      <c r="C19" s="24" t="s">
        <v>158</v>
      </c>
      <c r="D19" s="25" t="s">
        <v>159</v>
      </c>
      <c r="E19" s="26">
        <v>-591718</v>
      </c>
      <c r="G19" s="3" t="s">
        <v>158</v>
      </c>
      <c r="H19" s="3" t="s">
        <v>159</v>
      </c>
      <c r="I19" t="b">
        <f t="shared" si="0"/>
        <v>1</v>
      </c>
    </row>
    <row r="20" spans="1:9">
      <c r="A20" s="3" t="s">
        <v>35</v>
      </c>
      <c r="B20" s="24"/>
      <c r="C20" s="24"/>
      <c r="D20" s="25"/>
      <c r="E20" s="26"/>
      <c r="G20" s="3" t="s">
        <v>35</v>
      </c>
      <c r="H20" s="3" t="s">
        <v>36</v>
      </c>
      <c r="I20" t="b">
        <f t="shared" si="0"/>
        <v>0</v>
      </c>
    </row>
    <row r="21" spans="1:9">
      <c r="A21" s="3" t="s">
        <v>37</v>
      </c>
      <c r="B21" s="24">
        <v>30</v>
      </c>
      <c r="C21" s="24" t="s">
        <v>37</v>
      </c>
      <c r="D21" s="25" t="s">
        <v>38</v>
      </c>
      <c r="E21" s="26">
        <v>-756324</v>
      </c>
      <c r="G21" s="3" t="s">
        <v>37</v>
      </c>
      <c r="H21" s="3" t="s">
        <v>38</v>
      </c>
      <c r="I21" t="b">
        <f t="shared" si="0"/>
        <v>1</v>
      </c>
    </row>
    <row r="22" spans="1:9">
      <c r="A22" s="3" t="s">
        <v>39</v>
      </c>
      <c r="B22" s="24">
        <v>32</v>
      </c>
      <c r="C22" s="24" t="s">
        <v>39</v>
      </c>
      <c r="D22" s="25" t="s">
        <v>40</v>
      </c>
      <c r="E22" s="26">
        <v>-1447552</v>
      </c>
      <c r="G22" s="3" t="s">
        <v>39</v>
      </c>
      <c r="H22" s="3" t="s">
        <v>40</v>
      </c>
      <c r="I22" t="b">
        <f t="shared" si="0"/>
        <v>1</v>
      </c>
    </row>
    <row r="23" spans="1:9">
      <c r="A23" s="3" t="s">
        <v>41</v>
      </c>
      <c r="B23" s="24">
        <v>33</v>
      </c>
      <c r="C23" s="24" t="s">
        <v>41</v>
      </c>
      <c r="D23" s="25" t="s">
        <v>42</v>
      </c>
      <c r="E23" s="26">
        <v>-6445321</v>
      </c>
      <c r="G23" s="3" t="s">
        <v>41</v>
      </c>
      <c r="H23" s="3" t="s">
        <v>42</v>
      </c>
      <c r="I23" t="b">
        <f t="shared" si="0"/>
        <v>1</v>
      </c>
    </row>
    <row r="24" spans="1:9">
      <c r="A24" s="3" t="s">
        <v>43</v>
      </c>
      <c r="B24" s="24">
        <v>49</v>
      </c>
      <c r="C24" s="24" t="s">
        <v>43</v>
      </c>
      <c r="D24" s="25" t="s">
        <v>44</v>
      </c>
      <c r="E24" s="26">
        <v>-2326500</v>
      </c>
      <c r="G24" s="3" t="s">
        <v>43</v>
      </c>
      <c r="H24" s="3" t="s">
        <v>44</v>
      </c>
      <c r="I24" t="b">
        <f t="shared" si="0"/>
        <v>1</v>
      </c>
    </row>
    <row r="25" spans="1:9">
      <c r="A25" s="3" t="s">
        <v>45</v>
      </c>
      <c r="B25" s="24">
        <v>50</v>
      </c>
      <c r="C25" s="24" t="s">
        <v>45</v>
      </c>
      <c r="D25" s="25" t="s">
        <v>46</v>
      </c>
      <c r="E25" s="26">
        <v>-2326500</v>
      </c>
      <c r="G25" s="3" t="s">
        <v>45</v>
      </c>
      <c r="H25" s="3" t="s">
        <v>46</v>
      </c>
      <c r="I25" t="b">
        <f t="shared" si="0"/>
        <v>1</v>
      </c>
    </row>
    <row r="26" spans="1:9">
      <c r="A26" s="3" t="s">
        <v>47</v>
      </c>
      <c r="B26" s="24">
        <v>52</v>
      </c>
      <c r="C26" s="24" t="s">
        <v>47</v>
      </c>
      <c r="D26" s="25" t="s">
        <v>48</v>
      </c>
      <c r="E26" s="26">
        <v>-257471</v>
      </c>
      <c r="G26" s="3" t="s">
        <v>47</v>
      </c>
      <c r="H26" s="3" t="s">
        <v>48</v>
      </c>
      <c r="I26" t="b">
        <f t="shared" si="0"/>
        <v>1</v>
      </c>
    </row>
    <row r="27" spans="1:9">
      <c r="A27" s="3" t="s">
        <v>49</v>
      </c>
      <c r="B27" s="24">
        <v>57</v>
      </c>
      <c r="C27" s="24" t="s">
        <v>49</v>
      </c>
      <c r="D27" s="25" t="s">
        <v>50</v>
      </c>
      <c r="E27" s="26">
        <v>-505000</v>
      </c>
      <c r="G27" s="3" t="s">
        <v>49</v>
      </c>
      <c r="H27" s="3" t="s">
        <v>50</v>
      </c>
      <c r="I27" t="b">
        <f t="shared" si="0"/>
        <v>1</v>
      </c>
    </row>
    <row r="28" spans="1:9">
      <c r="A28" s="3" t="s">
        <v>51</v>
      </c>
      <c r="B28" s="24">
        <v>59</v>
      </c>
      <c r="C28" s="24" t="s">
        <v>51</v>
      </c>
      <c r="D28" s="25" t="s">
        <v>52</v>
      </c>
      <c r="E28" s="26">
        <v>-3101478</v>
      </c>
      <c r="G28" s="3" t="s">
        <v>51</v>
      </c>
      <c r="H28" s="3" t="s">
        <v>52</v>
      </c>
      <c r="I28" t="b">
        <f t="shared" si="0"/>
        <v>1</v>
      </c>
    </row>
    <row r="29" spans="1:9">
      <c r="A29" s="3" t="s">
        <v>53</v>
      </c>
      <c r="B29" s="24">
        <v>60</v>
      </c>
      <c r="C29" s="24" t="s">
        <v>53</v>
      </c>
      <c r="D29" s="25" t="s">
        <v>54</v>
      </c>
      <c r="E29" s="26">
        <v>-179571</v>
      </c>
      <c r="G29" s="3" t="s">
        <v>53</v>
      </c>
      <c r="H29" s="3" t="s">
        <v>54</v>
      </c>
      <c r="I29" t="b">
        <f t="shared" si="0"/>
        <v>1</v>
      </c>
    </row>
    <row r="30" spans="1:9">
      <c r="A30" s="3" t="s">
        <v>55</v>
      </c>
      <c r="B30" s="24">
        <v>62</v>
      </c>
      <c r="C30" s="24" t="s">
        <v>55</v>
      </c>
      <c r="D30" s="25" t="s">
        <v>56</v>
      </c>
      <c r="E30" s="26">
        <v>-77626062</v>
      </c>
      <c r="G30" s="3" t="s">
        <v>55</v>
      </c>
      <c r="H30" s="3" t="s">
        <v>56</v>
      </c>
      <c r="I30" t="b">
        <f t="shared" si="0"/>
        <v>1</v>
      </c>
    </row>
    <row r="31" spans="1:9">
      <c r="A31" s="3" t="s">
        <v>57</v>
      </c>
      <c r="B31" s="24">
        <v>63</v>
      </c>
      <c r="C31" s="24" t="s">
        <v>57</v>
      </c>
      <c r="D31" s="25" t="s">
        <v>58</v>
      </c>
      <c r="E31" s="26">
        <v>-3126087</v>
      </c>
      <c r="G31" s="3" t="s">
        <v>57</v>
      </c>
      <c r="H31" s="3" t="s">
        <v>58</v>
      </c>
      <c r="I31" t="b">
        <f t="shared" si="0"/>
        <v>1</v>
      </c>
    </row>
    <row r="32" spans="1:9">
      <c r="A32" s="3" t="s">
        <v>59</v>
      </c>
      <c r="B32" s="24">
        <v>66</v>
      </c>
      <c r="C32" s="24" t="s">
        <v>59</v>
      </c>
      <c r="D32" s="25" t="s">
        <v>60</v>
      </c>
      <c r="E32" s="26">
        <v>-631049</v>
      </c>
      <c r="G32" s="3" t="s">
        <v>59</v>
      </c>
      <c r="H32" s="3" t="s">
        <v>60</v>
      </c>
      <c r="I32" t="b">
        <f t="shared" si="0"/>
        <v>1</v>
      </c>
    </row>
    <row r="33" spans="1:9">
      <c r="A33" s="3" t="s">
        <v>61</v>
      </c>
      <c r="B33" s="24"/>
      <c r="C33" s="24"/>
      <c r="D33" s="25"/>
      <c r="E33" s="26"/>
      <c r="G33" s="3" t="s">
        <v>61</v>
      </c>
      <c r="H33" s="3" t="s">
        <v>62</v>
      </c>
      <c r="I33" t="b">
        <f t="shared" si="0"/>
        <v>0</v>
      </c>
    </row>
    <row r="34" spans="1:9">
      <c r="A34" s="3" t="s">
        <v>63</v>
      </c>
      <c r="B34" s="24">
        <v>68</v>
      </c>
      <c r="C34" s="24" t="s">
        <v>63</v>
      </c>
      <c r="D34" s="25" t="s">
        <v>64</v>
      </c>
      <c r="E34" s="26">
        <v>-826138</v>
      </c>
      <c r="G34" s="1" t="s">
        <v>63</v>
      </c>
      <c r="H34" s="1" t="s">
        <v>64</v>
      </c>
      <c r="I34" t="b">
        <f t="shared" si="0"/>
        <v>1</v>
      </c>
    </row>
    <row r="35" spans="1:9">
      <c r="A35" s="3" t="s">
        <v>65</v>
      </c>
      <c r="B35" s="24">
        <v>70</v>
      </c>
      <c r="C35" s="24" t="s">
        <v>65</v>
      </c>
      <c r="D35" s="25" t="s">
        <v>66</v>
      </c>
      <c r="E35" s="26">
        <v>-131229</v>
      </c>
      <c r="G35" s="3" t="s">
        <v>65</v>
      </c>
      <c r="H35" s="3" t="s">
        <v>66</v>
      </c>
      <c r="I35" t="b">
        <f t="shared" si="0"/>
        <v>1</v>
      </c>
    </row>
    <row r="36" spans="1:9">
      <c r="A36" s="3" t="s">
        <v>67</v>
      </c>
      <c r="B36" s="24">
        <v>71</v>
      </c>
      <c r="C36" s="24" t="s">
        <v>67</v>
      </c>
      <c r="D36" s="25" t="s">
        <v>68</v>
      </c>
      <c r="E36" s="26">
        <v>-839257</v>
      </c>
      <c r="G36" s="3" t="s">
        <v>67</v>
      </c>
      <c r="H36" s="3" t="s">
        <v>68</v>
      </c>
      <c r="I36" t="b">
        <f t="shared" si="0"/>
        <v>1</v>
      </c>
    </row>
    <row r="37" spans="1:9">
      <c r="A37" s="3" t="s">
        <v>185</v>
      </c>
      <c r="B37" s="24">
        <v>72</v>
      </c>
      <c r="C37" s="24" t="s">
        <v>185</v>
      </c>
      <c r="D37" s="25" t="s">
        <v>186</v>
      </c>
      <c r="E37" s="26">
        <v>-1075489</v>
      </c>
      <c r="G37" s="29" t="s">
        <v>185</v>
      </c>
      <c r="H37" s="29" t="s">
        <v>186</v>
      </c>
      <c r="I37" t="b">
        <f t="shared" si="0"/>
        <v>1</v>
      </c>
    </row>
    <row r="38" spans="1:9">
      <c r="A38" s="3" t="s">
        <v>69</v>
      </c>
      <c r="B38" s="24">
        <v>73</v>
      </c>
      <c r="C38" s="24" t="s">
        <v>69</v>
      </c>
      <c r="D38" s="25" t="s">
        <v>70</v>
      </c>
      <c r="E38" s="26">
        <v>-420710</v>
      </c>
      <c r="G38" s="3" t="s">
        <v>69</v>
      </c>
      <c r="H38" s="3" t="s">
        <v>70</v>
      </c>
      <c r="I38" t="b">
        <f t="shared" si="0"/>
        <v>1</v>
      </c>
    </row>
    <row r="39" spans="1:9">
      <c r="A39" s="3" t="s">
        <v>71</v>
      </c>
      <c r="B39" s="24">
        <v>74</v>
      </c>
      <c r="C39" s="24" t="s">
        <v>71</v>
      </c>
      <c r="D39" s="25" t="s">
        <v>72</v>
      </c>
      <c r="E39" s="26">
        <v>-663414</v>
      </c>
      <c r="G39" s="3" t="s">
        <v>71</v>
      </c>
      <c r="H39" s="3" t="s">
        <v>72</v>
      </c>
      <c r="I39" t="b">
        <f t="shared" si="0"/>
        <v>1</v>
      </c>
    </row>
    <row r="40" spans="1:9">
      <c r="A40" s="3" t="s">
        <v>73</v>
      </c>
      <c r="B40" s="24">
        <v>75</v>
      </c>
      <c r="C40" s="24" t="s">
        <v>73</v>
      </c>
      <c r="D40" s="25" t="s">
        <v>74</v>
      </c>
      <c r="E40" s="26">
        <v>-61186</v>
      </c>
      <c r="G40" s="3" t="s">
        <v>73</v>
      </c>
      <c r="H40" s="3" t="s">
        <v>74</v>
      </c>
      <c r="I40" t="b">
        <f t="shared" si="0"/>
        <v>1</v>
      </c>
    </row>
    <row r="41" spans="1:9">
      <c r="A41" s="3" t="s">
        <v>75</v>
      </c>
      <c r="B41" s="24">
        <v>76</v>
      </c>
      <c r="C41" s="24" t="s">
        <v>75</v>
      </c>
      <c r="D41" s="25" t="s">
        <v>76</v>
      </c>
      <c r="E41" s="26">
        <v>-7893808</v>
      </c>
      <c r="G41" s="3" t="s">
        <v>75</v>
      </c>
      <c r="H41" s="3" t="s">
        <v>76</v>
      </c>
      <c r="I41" t="b">
        <f t="shared" si="0"/>
        <v>1</v>
      </c>
    </row>
    <row r="42" spans="1:9">
      <c r="A42" s="3" t="s">
        <v>77</v>
      </c>
      <c r="B42" s="24">
        <v>77</v>
      </c>
      <c r="C42" s="24" t="s">
        <v>77</v>
      </c>
      <c r="D42" s="25" t="s">
        <v>78</v>
      </c>
      <c r="E42" s="26">
        <v>-642168</v>
      </c>
      <c r="G42" s="3" t="s">
        <v>77</v>
      </c>
      <c r="H42" s="3" t="s">
        <v>78</v>
      </c>
      <c r="I42" t="b">
        <f t="shared" si="0"/>
        <v>1</v>
      </c>
    </row>
    <row r="43" spans="1:9">
      <c r="A43" s="3" t="s">
        <v>79</v>
      </c>
      <c r="B43" s="24"/>
      <c r="C43" s="24"/>
      <c r="D43" s="25"/>
      <c r="E43" s="26"/>
      <c r="G43" s="3" t="s">
        <v>79</v>
      </c>
      <c r="H43" s="3" t="s">
        <v>80</v>
      </c>
      <c r="I43" t="b">
        <f t="shared" si="0"/>
        <v>0</v>
      </c>
    </row>
    <row r="44" spans="1:9">
      <c r="A44" s="34" t="s">
        <v>81</v>
      </c>
      <c r="B44" s="24"/>
      <c r="C44" s="24"/>
      <c r="D44" s="25"/>
      <c r="E44" s="26"/>
      <c r="G44" s="3" t="s">
        <v>81</v>
      </c>
      <c r="H44" s="3" t="s">
        <v>82</v>
      </c>
      <c r="I44" t="b">
        <f t="shared" si="0"/>
        <v>0</v>
      </c>
    </row>
    <row r="45" spans="1:9">
      <c r="A45" s="3" t="s">
        <v>83</v>
      </c>
      <c r="B45" s="24">
        <v>81</v>
      </c>
      <c r="C45" s="24" t="s">
        <v>83</v>
      </c>
      <c r="D45" s="25" t="s">
        <v>84</v>
      </c>
      <c r="E45" s="26">
        <v>-371590</v>
      </c>
      <c r="G45" s="3" t="s">
        <v>83</v>
      </c>
      <c r="H45" s="3" t="s">
        <v>84</v>
      </c>
      <c r="I45" t="b">
        <f t="shared" si="0"/>
        <v>1</v>
      </c>
    </row>
    <row r="46" spans="1:9">
      <c r="A46" s="3" t="s">
        <v>146</v>
      </c>
      <c r="B46" s="24"/>
      <c r="C46" s="24"/>
      <c r="D46" s="25"/>
      <c r="E46" s="26"/>
      <c r="G46" s="3" t="s">
        <v>146</v>
      </c>
      <c r="H46" s="3" t="s">
        <v>147</v>
      </c>
      <c r="I46" t="b">
        <f t="shared" si="0"/>
        <v>0</v>
      </c>
    </row>
    <row r="47" spans="1:9">
      <c r="A47" s="3" t="s">
        <v>85</v>
      </c>
      <c r="B47" s="24">
        <v>83</v>
      </c>
      <c r="C47" s="24" t="s">
        <v>85</v>
      </c>
      <c r="D47" s="25" t="s">
        <v>86</v>
      </c>
      <c r="E47" s="26">
        <v>-502259</v>
      </c>
      <c r="G47" s="3" t="s">
        <v>85</v>
      </c>
      <c r="H47" s="3" t="s">
        <v>86</v>
      </c>
      <c r="I47" t="b">
        <f t="shared" si="0"/>
        <v>1</v>
      </c>
    </row>
    <row r="48" spans="1:9">
      <c r="A48" s="3" t="s">
        <v>87</v>
      </c>
      <c r="B48" s="24">
        <v>86</v>
      </c>
      <c r="C48" s="24" t="s">
        <v>87</v>
      </c>
      <c r="D48" s="25" t="s">
        <v>88</v>
      </c>
      <c r="E48" s="26">
        <v>-2853756</v>
      </c>
      <c r="G48" s="3" t="s">
        <v>87</v>
      </c>
      <c r="H48" s="3" t="s">
        <v>88</v>
      </c>
      <c r="I48" t="b">
        <f t="shared" si="0"/>
        <v>1</v>
      </c>
    </row>
    <row r="49" spans="1:9">
      <c r="A49" s="3" t="s">
        <v>160</v>
      </c>
      <c r="B49" s="24">
        <v>87</v>
      </c>
      <c r="C49" s="24" t="s">
        <v>160</v>
      </c>
      <c r="D49" s="25" t="s">
        <v>161</v>
      </c>
      <c r="E49" s="26">
        <v>-597458</v>
      </c>
      <c r="G49" s="3" t="s">
        <v>160</v>
      </c>
      <c r="H49" s="3" t="s">
        <v>161</v>
      </c>
      <c r="I49" t="b">
        <f t="shared" si="0"/>
        <v>1</v>
      </c>
    </row>
    <row r="50" spans="1:9">
      <c r="A50" s="3" t="s">
        <v>89</v>
      </c>
      <c r="B50" s="24">
        <v>90</v>
      </c>
      <c r="C50" s="24" t="s">
        <v>89</v>
      </c>
      <c r="D50" s="25" t="s">
        <v>90</v>
      </c>
      <c r="E50" s="26">
        <v>-868786</v>
      </c>
      <c r="G50" s="3" t="s">
        <v>89</v>
      </c>
      <c r="H50" s="3" t="s">
        <v>90</v>
      </c>
      <c r="I50" t="b">
        <f t="shared" si="0"/>
        <v>1</v>
      </c>
    </row>
    <row r="51" spans="1:9">
      <c r="A51" s="3" t="s">
        <v>91</v>
      </c>
      <c r="B51" s="24">
        <v>91</v>
      </c>
      <c r="C51" s="24" t="s">
        <v>91</v>
      </c>
      <c r="D51" s="25" t="s">
        <v>92</v>
      </c>
      <c r="E51" s="26">
        <v>-3149321</v>
      </c>
      <c r="G51" s="3" t="s">
        <v>91</v>
      </c>
      <c r="H51" s="3" t="s">
        <v>92</v>
      </c>
      <c r="I51" t="b">
        <f t="shared" si="0"/>
        <v>1</v>
      </c>
    </row>
    <row r="52" spans="1:9">
      <c r="A52" s="3" t="s">
        <v>93</v>
      </c>
      <c r="B52" s="24">
        <v>95</v>
      </c>
      <c r="C52" s="24" t="s">
        <v>93</v>
      </c>
      <c r="D52" s="25" t="s">
        <v>94</v>
      </c>
      <c r="E52" s="26">
        <v>-268190</v>
      </c>
      <c r="G52" s="3" t="s">
        <v>93</v>
      </c>
      <c r="H52" s="3" t="s">
        <v>94</v>
      </c>
      <c r="I52" t="b">
        <f t="shared" si="0"/>
        <v>1</v>
      </c>
    </row>
    <row r="53" spans="1:9">
      <c r="A53" s="3" t="s">
        <v>95</v>
      </c>
      <c r="B53" s="24">
        <v>99</v>
      </c>
      <c r="C53" s="24" t="s">
        <v>95</v>
      </c>
      <c r="D53" s="25" t="s">
        <v>96</v>
      </c>
      <c r="E53" s="26">
        <v>-588258</v>
      </c>
      <c r="G53" s="3" t="s">
        <v>95</v>
      </c>
      <c r="H53" s="3" t="s">
        <v>96</v>
      </c>
      <c r="I53" t="b">
        <f t="shared" si="0"/>
        <v>1</v>
      </c>
    </row>
    <row r="54" spans="1:9">
      <c r="A54" s="3" t="s">
        <v>113</v>
      </c>
      <c r="B54" s="24">
        <v>117</v>
      </c>
      <c r="C54" s="24" t="s">
        <v>113</v>
      </c>
      <c r="D54" s="25" t="s">
        <v>114</v>
      </c>
      <c r="E54" s="26">
        <v>-2086868</v>
      </c>
      <c r="G54" s="3" t="s">
        <v>113</v>
      </c>
      <c r="H54" s="3" t="s">
        <v>114</v>
      </c>
      <c r="I54" t="b">
        <f t="shared" si="0"/>
        <v>1</v>
      </c>
    </row>
    <row r="55" spans="1:9">
      <c r="A55" s="3" t="s">
        <v>115</v>
      </c>
      <c r="B55" s="24">
        <v>118</v>
      </c>
      <c r="C55" s="24" t="s">
        <v>115</v>
      </c>
      <c r="D55" s="25" t="s">
        <v>116</v>
      </c>
      <c r="E55" s="26">
        <v>-1831072</v>
      </c>
      <c r="G55" s="3" t="s">
        <v>115</v>
      </c>
      <c r="H55" s="3" t="s">
        <v>116</v>
      </c>
      <c r="I55" t="b">
        <f t="shared" si="0"/>
        <v>1</v>
      </c>
    </row>
    <row r="56" spans="1:9">
      <c r="A56" s="3" t="s">
        <v>109</v>
      </c>
      <c r="B56" s="24">
        <v>114</v>
      </c>
      <c r="C56" s="24" t="s">
        <v>109</v>
      </c>
      <c r="D56" s="25" t="s">
        <v>110</v>
      </c>
      <c r="E56" s="26">
        <v>-8846337</v>
      </c>
      <c r="G56" s="3" t="s">
        <v>109</v>
      </c>
      <c r="H56" s="3" t="s">
        <v>110</v>
      </c>
      <c r="I56" t="b">
        <f t="shared" si="0"/>
        <v>1</v>
      </c>
    </row>
    <row r="57" spans="1:9">
      <c r="A57" s="3" t="s">
        <v>162</v>
      </c>
      <c r="B57" s="24">
        <v>101</v>
      </c>
      <c r="C57" s="24" t="s">
        <v>162</v>
      </c>
      <c r="D57" s="25" t="s">
        <v>166</v>
      </c>
      <c r="E57" s="26">
        <v>-19305</v>
      </c>
      <c r="G57" s="3" t="s">
        <v>162</v>
      </c>
      <c r="H57" s="3" t="s">
        <v>166</v>
      </c>
      <c r="I57" t="b">
        <f t="shared" si="0"/>
        <v>1</v>
      </c>
    </row>
    <row r="58" spans="1:9">
      <c r="A58" s="3" t="s">
        <v>97</v>
      </c>
      <c r="B58" s="24"/>
      <c r="C58" s="24"/>
      <c r="D58" s="25"/>
      <c r="E58" s="26"/>
      <c r="G58" s="3" t="s">
        <v>97</v>
      </c>
      <c r="H58" s="3" t="s">
        <v>98</v>
      </c>
      <c r="I58" t="b">
        <f t="shared" si="0"/>
        <v>0</v>
      </c>
    </row>
    <row r="59" spans="1:9">
      <c r="A59" s="3" t="s">
        <v>99</v>
      </c>
      <c r="B59" s="24">
        <v>103</v>
      </c>
      <c r="C59" s="24" t="s">
        <v>99</v>
      </c>
      <c r="D59" s="25" t="s">
        <v>100</v>
      </c>
      <c r="E59" s="26">
        <v>5791</v>
      </c>
      <c r="G59" s="3" t="s">
        <v>99</v>
      </c>
      <c r="H59" s="3" t="s">
        <v>100</v>
      </c>
      <c r="I59" t="b">
        <f t="shared" si="0"/>
        <v>1</v>
      </c>
    </row>
    <row r="60" spans="1:9">
      <c r="A60" s="3" t="s">
        <v>101</v>
      </c>
      <c r="G60" s="3" t="s">
        <v>101</v>
      </c>
      <c r="H60" s="3" t="s">
        <v>102</v>
      </c>
      <c r="I60" t="b">
        <f t="shared" si="0"/>
        <v>0</v>
      </c>
    </row>
    <row r="61" spans="1:9">
      <c r="A61" s="3" t="s">
        <v>103</v>
      </c>
      <c r="B61" s="24">
        <v>109</v>
      </c>
      <c r="C61" s="24" t="s">
        <v>103</v>
      </c>
      <c r="D61" s="25" t="s">
        <v>104</v>
      </c>
      <c r="E61" s="26">
        <v>47424578</v>
      </c>
      <c r="G61" s="3" t="s">
        <v>103</v>
      </c>
      <c r="H61" s="3" t="s">
        <v>104</v>
      </c>
      <c r="I61" t="b">
        <f t="shared" si="0"/>
        <v>1</v>
      </c>
    </row>
    <row r="62" spans="1:9">
      <c r="A62" s="3" t="s">
        <v>117</v>
      </c>
      <c r="B62" s="24">
        <v>121</v>
      </c>
      <c r="C62" s="24" t="s">
        <v>117</v>
      </c>
      <c r="D62" s="25" t="s">
        <v>118</v>
      </c>
      <c r="E62" s="26">
        <v>-623797</v>
      </c>
      <c r="G62" s="3" t="s">
        <v>117</v>
      </c>
      <c r="H62" s="3" t="s">
        <v>118</v>
      </c>
      <c r="I62" t="b">
        <f t="shared" si="0"/>
        <v>1</v>
      </c>
    </row>
    <row r="63" spans="1:9">
      <c r="A63" s="3" t="s">
        <v>111</v>
      </c>
      <c r="B63" s="24">
        <v>115</v>
      </c>
      <c r="C63" s="24" t="s">
        <v>111</v>
      </c>
      <c r="D63" s="25" t="s">
        <v>112</v>
      </c>
      <c r="E63" s="24">
        <v>-1</v>
      </c>
      <c r="G63" s="3" t="s">
        <v>111</v>
      </c>
      <c r="H63" s="3" t="s">
        <v>112</v>
      </c>
      <c r="I63" t="b">
        <f t="shared" si="0"/>
        <v>1</v>
      </c>
    </row>
    <row r="68" spans="2:5">
      <c r="B68" s="24"/>
      <c r="C68" s="24"/>
      <c r="D68" s="25"/>
      <c r="E68" s="24"/>
    </row>
    <row r="69" spans="2:5">
      <c r="B69" s="24"/>
      <c r="C69" s="24"/>
      <c r="D69" s="25"/>
      <c r="E69" s="24"/>
    </row>
    <row r="70" spans="2:5">
      <c r="B70" s="24"/>
      <c r="C70" s="24"/>
      <c r="D70" s="25"/>
      <c r="E70" s="24"/>
    </row>
    <row r="71" spans="2:5">
      <c r="B71" s="24"/>
      <c r="C71" s="24"/>
      <c r="D71" s="25"/>
      <c r="E71" s="26"/>
    </row>
    <row r="72" spans="2:5">
      <c r="B72" s="24"/>
      <c r="C72" s="24"/>
      <c r="D72" s="25"/>
      <c r="E72" s="26"/>
    </row>
    <row r="73" spans="2:5">
      <c r="B73" s="24"/>
      <c r="C73" s="24"/>
      <c r="D73" s="25"/>
      <c r="E73" s="24"/>
    </row>
    <row r="74" spans="2:5">
      <c r="B74" s="24"/>
      <c r="C74" s="24"/>
      <c r="D74" s="25"/>
      <c r="E74" s="26"/>
    </row>
    <row r="75" spans="2:5">
      <c r="B75" s="24"/>
      <c r="C75" s="24"/>
      <c r="D75" s="25"/>
      <c r="E75" s="24"/>
    </row>
    <row r="76" spans="2:5">
      <c r="B76" s="24"/>
      <c r="C76" s="24"/>
      <c r="D76" s="25"/>
      <c r="E76" s="24"/>
    </row>
    <row r="77" spans="2:5">
      <c r="B77" s="24"/>
      <c r="C77" s="24"/>
      <c r="D77" s="25"/>
      <c r="E77" s="24"/>
    </row>
    <row r="78" spans="2:5">
      <c r="B78" s="24"/>
      <c r="C78" s="24"/>
      <c r="D78" s="25"/>
      <c r="E78" s="24"/>
    </row>
    <row r="79" spans="2:5">
      <c r="B79" s="24"/>
      <c r="C79" s="24"/>
      <c r="D79" s="25"/>
      <c r="E79" s="26"/>
    </row>
    <row r="80" spans="2:5">
      <c r="B80" s="24"/>
      <c r="C80" s="24"/>
      <c r="D80" s="25"/>
      <c r="E80" s="24"/>
    </row>
    <row r="81" spans="2:5">
      <c r="B81" s="24"/>
      <c r="C81" s="24"/>
      <c r="D81" s="25"/>
      <c r="E81" s="26"/>
    </row>
    <row r="82" spans="2:5">
      <c r="B82" s="24"/>
      <c r="C82" s="24"/>
      <c r="D82" s="25"/>
      <c r="E82" s="26"/>
    </row>
    <row r="83" spans="2:5">
      <c r="B83" s="24"/>
      <c r="C83" s="24"/>
      <c r="D83" s="25"/>
      <c r="E83" s="24"/>
    </row>
    <row r="84" spans="2:5">
      <c r="B84" s="24"/>
      <c r="C84" s="24"/>
      <c r="D84" s="25"/>
      <c r="E84" s="26"/>
    </row>
    <row r="85" spans="2:5">
      <c r="B85" s="24"/>
      <c r="C85" s="24"/>
      <c r="D85" s="25"/>
      <c r="E85" s="26"/>
    </row>
    <row r="86" spans="2:5">
      <c r="B86" s="24"/>
      <c r="C86" s="24"/>
      <c r="D86" s="25"/>
      <c r="E86" s="24"/>
    </row>
    <row r="87" spans="2:5">
      <c r="B87" s="24"/>
      <c r="C87" s="24"/>
      <c r="D87" s="25"/>
      <c r="E87" s="24"/>
    </row>
    <row r="88" spans="2:5">
      <c r="B88" s="24"/>
      <c r="C88" s="24"/>
      <c r="D88" s="25"/>
      <c r="E88" s="26"/>
    </row>
    <row r="89" spans="2:5">
      <c r="B89" s="24"/>
      <c r="C89" s="24"/>
      <c r="D89" s="25"/>
      <c r="E89" s="24"/>
    </row>
    <row r="90" spans="2:5">
      <c r="B90" s="24"/>
      <c r="C90" s="24"/>
      <c r="D90" s="25"/>
      <c r="E90" s="26"/>
    </row>
    <row r="91" spans="2:5">
      <c r="B91" s="24"/>
      <c r="C91" s="24"/>
      <c r="D91" s="25"/>
      <c r="E91" s="24"/>
    </row>
    <row r="92" spans="2:5">
      <c r="B92" s="24"/>
      <c r="C92" s="24"/>
      <c r="D92" s="25"/>
      <c r="E92" s="26"/>
    </row>
    <row r="93" spans="2:5">
      <c r="B93" s="24"/>
      <c r="C93" s="24"/>
      <c r="D93" s="25"/>
      <c r="E93" s="26"/>
    </row>
    <row r="94" spans="2:5">
      <c r="B94" s="24"/>
      <c r="C94" s="24"/>
      <c r="D94" s="25"/>
      <c r="E94" s="24"/>
    </row>
    <row r="95" spans="2:5">
      <c r="B95" s="24"/>
      <c r="C95" s="24"/>
      <c r="D95" s="25"/>
      <c r="E95" s="26"/>
    </row>
    <row r="96" spans="2:5">
      <c r="B96" s="24"/>
      <c r="C96" s="24"/>
      <c r="D96" s="25"/>
      <c r="E96" s="26"/>
    </row>
    <row r="97" spans="2:5">
      <c r="B97" s="24"/>
      <c r="C97" s="24"/>
      <c r="D97" s="25"/>
      <c r="E97" s="26"/>
    </row>
    <row r="98" spans="2:5">
      <c r="B98" s="24"/>
      <c r="C98" s="24"/>
      <c r="D98" s="25"/>
      <c r="E98" s="26"/>
    </row>
    <row r="99" spans="2:5">
      <c r="B99" s="24"/>
      <c r="C99" s="24"/>
      <c r="D99" s="25"/>
      <c r="E99" s="26"/>
    </row>
    <row r="100" spans="2:5">
      <c r="B100" s="24"/>
      <c r="C100" s="24"/>
      <c r="D100" s="25"/>
      <c r="E100" s="24"/>
    </row>
    <row r="101" spans="2:5">
      <c r="B101" s="24"/>
      <c r="C101" s="24"/>
      <c r="D101" s="25"/>
      <c r="E101" s="24"/>
    </row>
    <row r="102" spans="2:5">
      <c r="B102" s="24"/>
      <c r="C102" s="24"/>
      <c r="D102" s="25"/>
      <c r="E102" s="26"/>
    </row>
    <row r="103" spans="2:5">
      <c r="B103" s="24"/>
      <c r="C103" s="24"/>
      <c r="D103" s="25"/>
      <c r="E103" s="26"/>
    </row>
    <row r="104" spans="2:5">
      <c r="B104" s="24"/>
      <c r="C104" s="24"/>
      <c r="D104" s="25"/>
      <c r="E104" s="24"/>
    </row>
    <row r="105" spans="2:5">
      <c r="B105" s="24"/>
      <c r="C105" s="24"/>
      <c r="D105" s="25"/>
      <c r="E105" s="26"/>
    </row>
    <row r="106" spans="2:5">
      <c r="B106" s="24"/>
      <c r="C106" s="24"/>
      <c r="D106" s="25"/>
      <c r="E106" s="24"/>
    </row>
    <row r="107" spans="2:5">
      <c r="B107" s="24"/>
      <c r="C107" s="24"/>
      <c r="D107" s="25"/>
      <c r="E107" s="24"/>
    </row>
    <row r="108" spans="2:5">
      <c r="B108" s="24"/>
      <c r="C108" s="24"/>
      <c r="D108" s="25"/>
      <c r="E108" s="26"/>
    </row>
    <row r="109" spans="2:5">
      <c r="B109" s="24"/>
      <c r="C109" s="24"/>
      <c r="D109" s="25"/>
      <c r="E109" s="26"/>
    </row>
    <row r="110" spans="2:5">
      <c r="B110" s="24"/>
      <c r="C110" s="24"/>
      <c r="D110" s="25"/>
      <c r="E110" s="24"/>
    </row>
    <row r="111" spans="2:5">
      <c r="B111" s="24"/>
      <c r="C111" s="24"/>
      <c r="D111" s="25"/>
      <c r="E111" s="24"/>
    </row>
    <row r="112" spans="2:5">
      <c r="B112" s="24"/>
      <c r="C112" s="24"/>
      <c r="D112" s="25"/>
      <c r="E112" s="26"/>
    </row>
    <row r="113" spans="2:5">
      <c r="B113" s="24"/>
      <c r="C113" s="24"/>
      <c r="D113" s="25"/>
      <c r="E113" s="26"/>
    </row>
    <row r="114" spans="2:5">
      <c r="B114" s="24"/>
      <c r="C114" s="24"/>
      <c r="D114" s="25"/>
      <c r="E114" s="24"/>
    </row>
    <row r="115" spans="2:5">
      <c r="B115" s="24"/>
      <c r="C115" s="24"/>
      <c r="D115" s="25"/>
      <c r="E115" s="24"/>
    </row>
    <row r="116" spans="2:5">
      <c r="B116" s="24"/>
      <c r="C116" s="24"/>
      <c r="D116" s="25"/>
      <c r="E116" s="24"/>
    </row>
    <row r="117" spans="2:5">
      <c r="B117" s="24"/>
      <c r="C117" s="24"/>
      <c r="D117" s="25"/>
      <c r="E117" s="24"/>
    </row>
    <row r="118" spans="2:5">
      <c r="B118" s="24"/>
      <c r="C118" s="24"/>
      <c r="D118" s="25"/>
      <c r="E118" s="24"/>
    </row>
    <row r="119" spans="2:5">
      <c r="B119" s="24"/>
      <c r="C119" s="24"/>
      <c r="D119" s="25"/>
      <c r="E119" s="24"/>
    </row>
    <row r="120" spans="2:5">
      <c r="B120" s="24"/>
      <c r="C120" s="24"/>
      <c r="D120" s="25"/>
      <c r="E120" s="24"/>
    </row>
    <row r="121" spans="2:5">
      <c r="B121" s="24"/>
      <c r="C121" s="24"/>
      <c r="D121" s="25"/>
      <c r="E121" s="26"/>
    </row>
    <row r="122" spans="2:5">
      <c r="B122" s="24"/>
      <c r="D122" s="25"/>
      <c r="E122" s="26"/>
    </row>
    <row r="124" spans="2:5">
      <c r="B124" s="24"/>
      <c r="D124" s="25"/>
      <c r="E124" s="26"/>
    </row>
    <row r="126" spans="2:5">
      <c r="B126" s="24"/>
      <c r="C126" s="24"/>
      <c r="D126" s="25"/>
    </row>
    <row r="127" spans="2:5">
      <c r="B127" s="24"/>
      <c r="C127" s="24"/>
      <c r="D127" s="25"/>
      <c r="E127" s="26"/>
    </row>
    <row r="128" spans="2:5">
      <c r="B128" s="24"/>
      <c r="C128" s="24"/>
      <c r="D128" s="25"/>
      <c r="E128" s="24"/>
    </row>
    <row r="129" spans="2:5">
      <c r="B129" s="24"/>
      <c r="C129" s="24"/>
      <c r="D129" s="25"/>
      <c r="E129" s="26"/>
    </row>
    <row r="130" spans="2:5">
      <c r="B130" s="24"/>
      <c r="C130" s="24"/>
      <c r="D130" s="25"/>
      <c r="E130" s="24"/>
    </row>
    <row r="131" spans="2:5">
      <c r="B131" s="24"/>
      <c r="C131" s="24"/>
      <c r="D131" s="25"/>
      <c r="E131" s="24"/>
    </row>
    <row r="132" spans="2:5">
      <c r="B132" s="24"/>
      <c r="C132" s="24"/>
      <c r="D132" s="25"/>
      <c r="E132" s="24"/>
    </row>
    <row r="133" spans="2:5">
      <c r="B133" s="24"/>
      <c r="C133" s="24"/>
      <c r="D133" s="25"/>
      <c r="E133" s="24"/>
    </row>
    <row r="134" spans="2:5">
      <c r="B134" s="24"/>
      <c r="C134" s="24"/>
      <c r="D134" s="25"/>
      <c r="E134" s="24"/>
    </row>
    <row r="135" spans="2:5">
      <c r="B135" s="24"/>
      <c r="C135" s="24"/>
      <c r="D135" s="25"/>
      <c r="E135" s="26"/>
    </row>
    <row r="136" spans="2:5">
      <c r="B136" s="24"/>
      <c r="D136" s="25"/>
      <c r="E136" s="26"/>
    </row>
    <row r="139" spans="2:5">
      <c r="B139" s="24"/>
      <c r="C139" s="24"/>
      <c r="D139" s="25"/>
    </row>
    <row r="140" spans="2:5">
      <c r="B140" s="24"/>
      <c r="C140" s="24"/>
      <c r="D140" s="25"/>
      <c r="E140" s="26"/>
    </row>
    <row r="141" spans="2:5">
      <c r="B141" s="24"/>
      <c r="C141" s="24"/>
      <c r="D141" s="25"/>
      <c r="E141" s="26"/>
    </row>
    <row r="142" spans="2:5">
      <c r="B142" s="24"/>
      <c r="C142" s="24"/>
      <c r="D142" s="25"/>
      <c r="E142" s="24"/>
    </row>
    <row r="143" spans="2:5">
      <c r="B143" s="24"/>
      <c r="C143" s="24"/>
      <c r="D143" s="25"/>
      <c r="E143" s="26"/>
    </row>
    <row r="144" spans="2:5">
      <c r="B144" s="24"/>
      <c r="C144" s="24"/>
      <c r="D144" s="25"/>
      <c r="E144" s="24"/>
    </row>
    <row r="145" spans="2:5">
      <c r="B145" s="24"/>
      <c r="D145" s="25"/>
      <c r="E145" s="26"/>
    </row>
    <row r="147" spans="2:5">
      <c r="B147" s="24"/>
      <c r="D147" s="25"/>
      <c r="E147" s="26"/>
    </row>
    <row r="149" spans="2:5">
      <c r="B149" s="24"/>
      <c r="C149" s="24"/>
      <c r="D149" s="25"/>
    </row>
    <row r="150" spans="2:5">
      <c r="B150" s="24"/>
      <c r="C150" s="24"/>
      <c r="D150" s="25"/>
      <c r="E150" s="26"/>
    </row>
    <row r="151" spans="2:5">
      <c r="B151" s="24"/>
      <c r="C151" s="24"/>
      <c r="D151" s="25"/>
      <c r="E151" s="26"/>
    </row>
    <row r="152" spans="2:5">
      <c r="B152" s="24"/>
      <c r="C152" s="24"/>
      <c r="D152" s="25"/>
      <c r="E152" s="24"/>
    </row>
    <row r="153" spans="2:5">
      <c r="B153" s="24"/>
      <c r="D153" s="25"/>
      <c r="E153" s="26"/>
    </row>
    <row r="155" spans="2:5">
      <c r="B155" s="24"/>
      <c r="D155" s="25"/>
      <c r="E155" s="26"/>
    </row>
    <row r="157" spans="2:5">
      <c r="B157" s="24"/>
      <c r="C157" s="24"/>
      <c r="D157" s="25"/>
    </row>
    <row r="158" spans="2:5">
      <c r="B158" s="24"/>
      <c r="C158" s="24"/>
      <c r="D158" s="25"/>
      <c r="E158" s="26"/>
    </row>
    <row r="159" spans="2:5">
      <c r="E159" s="26"/>
    </row>
    <row r="162" spans="2:5">
      <c r="B162" s="24"/>
      <c r="D162" s="25"/>
      <c r="E162" s="26"/>
    </row>
    <row r="29836" spans="1:1">
      <c r="A29836" s="25" t="e">
        <v>#N/A</v>
      </c>
    </row>
    <row r="29849" spans="2:5">
      <c r="B29849" s="24" t="e">
        <v>#N/A</v>
      </c>
      <c r="C29849" s="24" t="e">
        <v>#N/A</v>
      </c>
      <c r="D29849" s="25" t="e">
        <v>#N/A</v>
      </c>
      <c r="E29849" s="24" t="e">
        <v>#N/A</v>
      </c>
    </row>
    <row r="29908" spans="1:1">
      <c r="A29908" s="25"/>
    </row>
    <row r="29921" spans="2:5">
      <c r="B29921" s="24"/>
      <c r="C29921" s="24"/>
      <c r="D29921" s="25"/>
      <c r="E29921" s="24"/>
    </row>
    <row r="30002" spans="1:5">
      <c r="A30002" s="25" t="e">
        <v>#N/A</v>
      </c>
    </row>
    <row r="30015" spans="1:5">
      <c r="B30015" s="24" t="e">
        <v>#N/A</v>
      </c>
      <c r="C30015" s="24" t="e">
        <v>#N/A</v>
      </c>
      <c r="D30015" s="25" t="e">
        <v>#N/A</v>
      </c>
      <c r="E30015" s="24" t="e">
        <v>#N/A</v>
      </c>
    </row>
  </sheetData>
  <autoFilter ref="A1:E29908" xr:uid="{F40DFD3D-F7A2-4A17-9D46-1F3D3B0F8AD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CDC688-83D4-46BD-9FA2-26B7D38E45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DFF71B15-7A1C-4258-BAE3-16EB0B3C4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0882D2-0088-4078-B88C-64DD2299ABE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EERR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2025-05-14T17:43:20Z</dcterms:created>
  <dcterms:modified xsi:type="dcterms:W3CDTF">2026-03-13T18:33:26Z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