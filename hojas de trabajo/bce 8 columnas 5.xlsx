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910752A1-AE5D-42FD-B9E4-BB2D316607CB}" xr6:coauthVersionLast="47" xr6:coauthVersionMax="47" xr10:uidLastSave="{00000000-0000-0000-0000-000000000000}"/>
  <bookViews>
    <workbookView xWindow="-107" yWindow="-107" windowWidth="20847" windowHeight="11111" xr2:uid="{2083927B-1167-494A-9A5A-DE39828CC21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A22" i="1" s="1"/>
  <c r="B23" i="1"/>
  <c r="A23" i="1" s="1"/>
  <c r="B24" i="1"/>
  <c r="A24" i="1" s="1"/>
  <c r="B25" i="1"/>
  <c r="A25" i="1" s="1"/>
  <c r="B26" i="1"/>
  <c r="B27" i="1"/>
  <c r="B28" i="1"/>
  <c r="B29" i="1"/>
  <c r="B30" i="1"/>
  <c r="A30" i="1" s="1"/>
  <c r="B31" i="1"/>
  <c r="B32" i="1"/>
  <c r="A32" i="1" s="1"/>
  <c r="B33" i="1"/>
  <c r="B34" i="1"/>
  <c r="A34" i="1" s="1"/>
  <c r="B35" i="1"/>
  <c r="A35" i="1" s="1"/>
  <c r="B36" i="1"/>
  <c r="A36" i="1" s="1"/>
  <c r="B37" i="1"/>
  <c r="A37" i="1" s="1"/>
  <c r="B38" i="1"/>
  <c r="B39" i="1"/>
  <c r="B40" i="1"/>
  <c r="B41" i="1"/>
  <c r="B42" i="1"/>
  <c r="A42" i="1" s="1"/>
  <c r="B43" i="1"/>
  <c r="B44" i="1"/>
  <c r="B45" i="1"/>
  <c r="B46" i="1"/>
  <c r="A46" i="1" s="1"/>
  <c r="B47" i="1"/>
  <c r="A47" i="1" s="1"/>
  <c r="B48" i="1"/>
  <c r="A48" i="1" s="1"/>
  <c r="B49" i="1"/>
  <c r="A49" i="1" s="1"/>
  <c r="B50" i="1"/>
  <c r="B51" i="1"/>
  <c r="B52" i="1"/>
  <c r="B53" i="1"/>
  <c r="B54" i="1"/>
  <c r="B55" i="1"/>
  <c r="A55" i="1" s="1"/>
  <c r="B56" i="1"/>
  <c r="B57" i="1"/>
  <c r="B58" i="1"/>
  <c r="B59" i="1"/>
  <c r="B60" i="1"/>
  <c r="A60" i="1" s="1"/>
  <c r="B61" i="1"/>
  <c r="A61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A79" i="1" s="1"/>
  <c r="B80" i="1"/>
  <c r="A80" i="1" s="1"/>
  <c r="B81" i="1"/>
  <c r="B82" i="1"/>
  <c r="B83" i="1"/>
  <c r="A83" i="1" s="1"/>
  <c r="B84" i="1"/>
  <c r="A84" i="1" s="1"/>
  <c r="B85" i="1"/>
  <c r="A85" i="1" s="1"/>
  <c r="B86" i="1"/>
  <c r="B87" i="1"/>
  <c r="B88" i="1"/>
  <c r="B89" i="1"/>
  <c r="B90" i="1"/>
  <c r="B91" i="1"/>
  <c r="A91" i="1" s="1"/>
  <c r="B92" i="1"/>
  <c r="A92" i="1" s="1"/>
  <c r="B93" i="1"/>
  <c r="B94" i="1"/>
  <c r="A94" i="1" s="1"/>
  <c r="B95" i="1"/>
  <c r="A95" i="1" s="1"/>
  <c r="B96" i="1"/>
  <c r="A96" i="1" s="1"/>
  <c r="B97" i="1"/>
  <c r="A97" i="1" s="1"/>
  <c r="B98" i="1"/>
  <c r="B99" i="1"/>
  <c r="B100" i="1"/>
  <c r="B101" i="1"/>
  <c r="B102" i="1"/>
  <c r="A102" i="1" s="1"/>
  <c r="B103" i="1"/>
  <c r="B104" i="1"/>
  <c r="A104" i="1" s="1"/>
  <c r="B105" i="1"/>
  <c r="B106" i="1"/>
  <c r="A106" i="1" s="1"/>
  <c r="B107" i="1"/>
  <c r="A107" i="1" s="1"/>
  <c r="B108" i="1"/>
  <c r="A108" i="1" s="1"/>
  <c r="B109" i="1"/>
  <c r="A109" i="1" s="1"/>
  <c r="B110" i="1"/>
  <c r="A3" i="1"/>
  <c r="A4" i="1"/>
  <c r="A7" i="1"/>
  <c r="A8" i="1"/>
  <c r="A9" i="1"/>
  <c r="A10" i="1"/>
  <c r="A11" i="1"/>
  <c r="A12" i="1"/>
  <c r="A13" i="1"/>
  <c r="A14" i="1"/>
  <c r="A15" i="1"/>
  <c r="A16" i="1"/>
  <c r="A19" i="1"/>
  <c r="A20" i="1"/>
  <c r="A21" i="1"/>
  <c r="A26" i="1"/>
  <c r="A27" i="1"/>
  <c r="A28" i="1"/>
  <c r="A31" i="1"/>
  <c r="A33" i="1"/>
  <c r="A38" i="1"/>
  <c r="A39" i="1"/>
  <c r="A40" i="1"/>
  <c r="A43" i="1"/>
  <c r="A44" i="1"/>
  <c r="A45" i="1"/>
  <c r="A50" i="1"/>
  <c r="A51" i="1"/>
  <c r="A52" i="1"/>
  <c r="A56" i="1"/>
  <c r="A57" i="1"/>
  <c r="A58" i="1"/>
  <c r="A59" i="1"/>
  <c r="A62" i="1"/>
  <c r="A63" i="1"/>
  <c r="A64" i="1"/>
  <c r="A67" i="1"/>
  <c r="A68" i="1"/>
  <c r="A69" i="1"/>
  <c r="A70" i="1"/>
  <c r="A71" i="1"/>
  <c r="A72" i="1"/>
  <c r="A73" i="1"/>
  <c r="A74" i="1"/>
  <c r="A75" i="1"/>
  <c r="A76" i="1"/>
  <c r="A81" i="1"/>
  <c r="A82" i="1"/>
  <c r="A86" i="1"/>
  <c r="A87" i="1"/>
  <c r="A88" i="1"/>
  <c r="A93" i="1"/>
  <c r="A98" i="1"/>
  <c r="A99" i="1"/>
  <c r="A100" i="1"/>
  <c r="A103" i="1"/>
  <c r="A105" i="1"/>
  <c r="B3" i="1"/>
  <c r="B4" i="1"/>
  <c r="B5" i="1"/>
  <c r="A5" i="1" s="1"/>
  <c r="B6" i="1"/>
  <c r="A6" i="1" s="1"/>
  <c r="B7" i="1"/>
  <c r="B8" i="1"/>
  <c r="B9" i="1"/>
  <c r="B10" i="1"/>
  <c r="B11" i="1"/>
  <c r="B12" i="1"/>
  <c r="B13" i="1"/>
  <c r="B14" i="1"/>
  <c r="B15" i="1"/>
  <c r="B16" i="1"/>
  <c r="B17" i="1"/>
  <c r="A17" i="1" s="1"/>
  <c r="B18" i="1"/>
  <c r="A18" i="1" s="1"/>
  <c r="B19" i="1"/>
  <c r="B20" i="1"/>
  <c r="A29" i="1"/>
  <c r="A41" i="1"/>
  <c r="A53" i="1"/>
  <c r="A54" i="1"/>
  <c r="A65" i="1"/>
  <c r="A66" i="1"/>
  <c r="A77" i="1"/>
  <c r="A78" i="1"/>
  <c r="A89" i="1"/>
  <c r="A90" i="1"/>
  <c r="A101" i="1"/>
  <c r="B2" i="1"/>
  <c r="A2" i="1" s="1"/>
</calcChain>
</file>

<file path=xl/sharedStrings.xml><?xml version="1.0" encoding="utf-8"?>
<sst xmlns="http://schemas.openxmlformats.org/spreadsheetml/2006/main" count="345" uniqueCount="231">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</sst>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0" fillId="0" borderId="0" xfId="0" applyAlignment="1">
      <alignment horizontal="left"/>
    </xf>
  </cellXfs>
  <cellStyles count="14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0C0D52A9-0388-4996-B42F-EF5B2303EC0C}"/>
    <cellStyle name="60% - Énfasis1 10" xfId="36" xr:uid="{C80DE431-B77E-444C-8B02-DD0052E6827B}"/>
    <cellStyle name="60% - Énfasis1 2" xfId="65" xr:uid="{AA8DD3F8-35E8-4CC1-BB2E-6C792A6B1703}"/>
    <cellStyle name="60% - Énfasis1 3" xfId="83" xr:uid="{CEFA0F76-A962-48A2-A7C4-DBA405CC1415}"/>
    <cellStyle name="60% - Énfasis1 4" xfId="112" xr:uid="{8A684CA2-BFFE-48F6-8C5A-A0BBDB669E20}"/>
    <cellStyle name="60% - Énfasis1 5" xfId="162" xr:uid="{B74DC076-E1E0-4D3B-81AD-0A4074C2F151}"/>
    <cellStyle name="60% - Énfasis1 6" xfId="251" xr:uid="{FCBA62EB-94FC-467F-BB9B-5B35E3D95E19}"/>
    <cellStyle name="60% - Énfasis1 7" xfId="266" xr:uid="{A7A2494B-2242-4E38-AE6A-40FD3E792E8E}"/>
    <cellStyle name="60% - Énfasis1 8" xfId="439" xr:uid="{38898ECA-9D23-47F3-B649-DD5095E833EC}"/>
    <cellStyle name="60% - Énfasis1 9" xfId="778" xr:uid="{3C97005E-782D-42B0-8A48-C06C0B1C6C26}"/>
    <cellStyle name="60% - Énfasis2 10" xfId="37" xr:uid="{38F767C3-EB6A-4265-9BF0-E6DDA6547BBD}"/>
    <cellStyle name="60% - Énfasis2 2" xfId="66" xr:uid="{7E396284-1221-4F88-BA6D-14005A1337D5}"/>
    <cellStyle name="60% - Énfasis2 3" xfId="84" xr:uid="{90E9A7FE-9486-4503-81D4-513F7CF0413E}"/>
    <cellStyle name="60% - Énfasis2 4" xfId="113" xr:uid="{821E2E62-ECAC-4E5B-B71A-6ADA15C549ED}"/>
    <cellStyle name="60% - Énfasis2 5" xfId="163" xr:uid="{0BE0DAB3-F032-43E3-8E16-4BFD80DB85B8}"/>
    <cellStyle name="60% - Énfasis2 6" xfId="252" xr:uid="{6A3420FC-0031-4D43-AA37-F4748A13D3DF}"/>
    <cellStyle name="60% - Énfasis2 7" xfId="267" xr:uid="{268BAEE5-BD72-43FC-B531-992A6F9D7E61}"/>
    <cellStyle name="60% - Énfasis2 8" xfId="440" xr:uid="{D424E7E9-0A3C-4A9F-A04F-BACEF175B446}"/>
    <cellStyle name="60% - Énfasis2 9" xfId="779" xr:uid="{34B5A4D7-19C8-4825-B489-6606FE67D2F3}"/>
    <cellStyle name="60% - Énfasis3 10" xfId="38" xr:uid="{6F817E35-5EE7-4335-B828-BCA1793AA203}"/>
    <cellStyle name="60% - Énfasis3 2" xfId="67" xr:uid="{B977DE61-49AB-4650-8F9C-54EAF8DDAC5E}"/>
    <cellStyle name="60% - Énfasis3 3" xfId="85" xr:uid="{3B881851-DD75-472C-A709-F3812067F468}"/>
    <cellStyle name="60% - Énfasis3 4" xfId="114" xr:uid="{AE37315D-BEBB-4225-BB54-5C1E776E7820}"/>
    <cellStyle name="60% - Énfasis3 5" xfId="164" xr:uid="{6D3FB5C6-64B1-4EB3-B021-53A0C2DA5E1C}"/>
    <cellStyle name="60% - Énfasis3 6" xfId="253" xr:uid="{7B8E828E-A54E-4BF0-BE03-14C01FFD461C}"/>
    <cellStyle name="60% - Énfasis3 7" xfId="268" xr:uid="{7AC6589C-859B-4DEB-8CA3-377C84D9A107}"/>
    <cellStyle name="60% - Énfasis3 8" xfId="441" xr:uid="{F4FBEB20-5CBE-402D-9B64-4E857BE598B8}"/>
    <cellStyle name="60% - Énfasis3 9" xfId="780" xr:uid="{2D2EEF92-F84C-4BE6-85D8-2CE5D25A6C53}"/>
    <cellStyle name="60% - Énfasis4 10" xfId="39" xr:uid="{D705EC9C-2A72-43CD-89A3-2ECA89E03277}"/>
    <cellStyle name="60% - Énfasis4 2" xfId="68" xr:uid="{D1D6AE13-970A-4177-9220-F06F7F8110F6}"/>
    <cellStyle name="60% - Énfasis4 3" xfId="86" xr:uid="{E27939E2-DBDC-42E7-B7CF-2C9E7D2D4CAC}"/>
    <cellStyle name="60% - Énfasis4 4" xfId="115" xr:uid="{4F743DDE-8BF6-49B1-8BF3-F07BBB7A78FD}"/>
    <cellStyle name="60% - Énfasis4 5" xfId="165" xr:uid="{58B5D090-9212-46DC-88D2-F4A27F8560D5}"/>
    <cellStyle name="60% - Énfasis4 6" xfId="254" xr:uid="{A7E8C7AA-1844-48AD-B506-8DCC01BBEF0F}"/>
    <cellStyle name="60% - Énfasis4 7" xfId="269" xr:uid="{90D3DEE0-8B75-430A-AD0A-0DCF3D9B9B74}"/>
    <cellStyle name="60% - Énfasis4 8" xfId="442" xr:uid="{5E61852C-810B-4DB6-BA28-E0897A3B920E}"/>
    <cellStyle name="60% - Énfasis4 9" xfId="781" xr:uid="{E19FADA1-0FDA-4BAA-A497-63C7311B3DDB}"/>
    <cellStyle name="60% - Énfasis5 10" xfId="40" xr:uid="{C1AA8551-E514-445D-8DEB-62384A330F1A}"/>
    <cellStyle name="60% - Énfasis5 2" xfId="69" xr:uid="{7DC379CA-1C7A-422B-89F1-2FC542A9E43A}"/>
    <cellStyle name="60% - Énfasis5 3" xfId="87" xr:uid="{0D8B7DB2-D8B1-4ACC-86A2-95C1AE352A41}"/>
    <cellStyle name="60% - Énfasis5 4" xfId="116" xr:uid="{CC5F6708-E7BA-4061-8C6D-16EFD38552BA}"/>
    <cellStyle name="60% - Énfasis5 5" xfId="166" xr:uid="{6C9C0545-E646-40A5-A870-EE052CC15663}"/>
    <cellStyle name="60% - Énfasis5 6" xfId="255" xr:uid="{6A083528-77A5-47AE-8EDA-4B27C3FA623D}"/>
    <cellStyle name="60% - Énfasis5 7" xfId="270" xr:uid="{7E9544A7-55B0-4B7F-8A14-F9093280DD32}"/>
    <cellStyle name="60% - Énfasis5 8" xfId="443" xr:uid="{43FA58E1-C62D-4C50-B9A2-E7F1608C7FCA}"/>
    <cellStyle name="60% - Énfasis5 9" xfId="782" xr:uid="{205B6FFB-3A8C-4F45-9096-6EF03886D11A}"/>
    <cellStyle name="60% - Énfasis6 10" xfId="41" xr:uid="{3967FD81-1F87-4DA7-890A-97D881113DED}"/>
    <cellStyle name="60% - Énfasis6 2" xfId="70" xr:uid="{D57A64CF-3C19-412E-9824-A7AF170838EE}"/>
    <cellStyle name="60% - Énfasis6 3" xfId="88" xr:uid="{B73252B1-306C-47AC-9042-4ED87D466039}"/>
    <cellStyle name="60% - Énfasis6 4" xfId="117" xr:uid="{92CDE9C3-F69D-4DBE-81D9-AEA8E31A2639}"/>
    <cellStyle name="60% - Énfasis6 5" xfId="167" xr:uid="{97890D21-C058-45DE-AF08-200B300BF18A}"/>
    <cellStyle name="60% - Énfasis6 6" xfId="256" xr:uid="{70A117F3-E276-4B90-B367-1C0BBD1F438D}"/>
    <cellStyle name="60% - Énfasis6 7" xfId="271" xr:uid="{9408801E-E8C5-4CA4-A833-5478139552E2}"/>
    <cellStyle name="60% - Énfasis6 8" xfId="444" xr:uid="{F0A53E79-EBF2-4372-9BD0-4BFED01BCA5B}"/>
    <cellStyle name="60% - Énfasis6 9" xfId="783" xr:uid="{F2E26CB3-1388-4475-8BB9-F725C56B0C8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9C2F4B50-425E-4F6E-9EEC-6FD422571DF5}"/>
    <cellStyle name="Millares [0] 10 2" xfId="361" xr:uid="{315A5290-6DD5-4F67-95ED-9F558EAF82C7}"/>
    <cellStyle name="Millares [0] 10 2 2" xfId="700" xr:uid="{1E8FD013-5173-4DFA-A633-867F4DC82E58}"/>
    <cellStyle name="Millares [0] 10 2 2 2" xfId="1371" xr:uid="{A9033ACA-C7BC-4CEA-9706-14FD81BB94B1}"/>
    <cellStyle name="Millares [0] 10 2 3" xfId="1039" xr:uid="{6FA6CE93-13F1-4050-8810-5629A3D299EA}"/>
    <cellStyle name="Millares [0] 10 3" xfId="534" xr:uid="{9397F16B-43EC-4B03-B8A0-D27040E46967}"/>
    <cellStyle name="Millares [0] 10 3 2" xfId="1205" xr:uid="{86F276C1-4E3C-49F6-B4B4-F04D5490312E}"/>
    <cellStyle name="Millares [0] 10 4" xfId="873" xr:uid="{29ED885C-8E30-4659-AEBC-8DD366CB7CCC}"/>
    <cellStyle name="Millares [0] 11" xfId="265" xr:uid="{3C761E0A-AA1C-42CA-AA04-21565E29DCDE}"/>
    <cellStyle name="Millares [0] 11 2" xfId="438" xr:uid="{14E06012-54F3-4476-A7C6-8415ECE36123}"/>
    <cellStyle name="Millares [0] 11 2 2" xfId="777" xr:uid="{9C422313-8234-4BDB-9E4B-267637E30DCD}"/>
    <cellStyle name="Millares [0] 11 2 2 2" xfId="1448" xr:uid="{FA17EA73-359A-4285-8684-786D2DC205F9}"/>
    <cellStyle name="Millares [0] 11 2 3" xfId="1116" xr:uid="{D86FD19E-5744-405E-B7A7-F3BD2D32EEF6}"/>
    <cellStyle name="Millares [0] 11 3" xfId="611" xr:uid="{2CA1596D-BD07-465D-AC38-BAC1CC2D2880}"/>
    <cellStyle name="Millares [0] 11 3 2" xfId="1282" xr:uid="{49125FF6-24C1-4FA6-8F9F-186956744CCD}"/>
    <cellStyle name="Millares [0] 11 4" xfId="950" xr:uid="{C6224A5C-D3DB-4153-948C-FA154E86E639}"/>
    <cellStyle name="Millares [0] 12" xfId="279" xr:uid="{2BD4D084-F0DF-4E95-A30A-EB921579C1CE}"/>
    <cellStyle name="Millares [0] 12 2" xfId="618" xr:uid="{E1E1E320-1A17-40A4-A1C0-D69C97EC1A77}"/>
    <cellStyle name="Millares [0] 12 2 2" xfId="1289" xr:uid="{34268471-49E4-48E2-8BA2-D0DECCBBB646}"/>
    <cellStyle name="Millares [0] 12 3" xfId="957" xr:uid="{73F6149A-A3FE-41F6-AB85-12935406A913}"/>
    <cellStyle name="Millares [0] 13" xfId="452" xr:uid="{86961B3C-BC84-4AF4-A332-3D4E7DBA3888}"/>
    <cellStyle name="Millares [0] 13 2" xfId="1123" xr:uid="{B476E929-7E8B-4390-9052-E7F9B88E7062}"/>
    <cellStyle name="Millares [0] 14" xfId="791" xr:uid="{F2BBFC23-10D2-4FBB-A4B6-6E6580A2707C}"/>
    <cellStyle name="Millares [0] 15" xfId="61" xr:uid="{CDC1560E-0710-4530-93F6-F0E1876FD667}"/>
    <cellStyle name="Millares [0] 2" xfId="44" xr:uid="{EF2AA69A-1A04-4DE9-BA5D-C84C35896C3C}"/>
    <cellStyle name="Millares [0] 2 2" xfId="258" xr:uid="{2FD7699F-5F84-4478-9824-2BD3BF221971}"/>
    <cellStyle name="Millares [0] 3" xfId="45" xr:uid="{E9ACDD80-D8F4-4B8C-9B8B-3FFC6986F4D1}"/>
    <cellStyle name="Millares [0] 3 2" xfId="72" xr:uid="{1B354893-8B48-4BE9-86AB-CCDBE20EE815}"/>
    <cellStyle name="Millares [0] 3 2 2" xfId="101" xr:uid="{E4175FD0-E537-4771-9FE0-5FE8BDB6EA2A}"/>
    <cellStyle name="Millares [0] 3 2 2 2" xfId="149" xr:uid="{B122A3AE-3827-424D-97CF-B567D339BC01}"/>
    <cellStyle name="Millares [0] 3 2 2 2 2" xfId="238" xr:uid="{D5C187B9-BEE1-4D2D-A089-13A554744543}"/>
    <cellStyle name="Millares [0] 3 2 2 2 2 2" xfId="424" xr:uid="{B8E8810E-4169-4E48-BDFC-875EC93ACB56}"/>
    <cellStyle name="Millares [0] 3 2 2 2 2 2 2" xfId="763" xr:uid="{F2A4EE5F-39E8-45E8-AD48-3DA33B806283}"/>
    <cellStyle name="Millares [0] 3 2 2 2 2 2 2 2" xfId="1434" xr:uid="{9EF299BD-3994-40F4-926F-C9EF0D02DABA}"/>
    <cellStyle name="Millares [0] 3 2 2 2 2 2 3" xfId="1102" xr:uid="{5806B045-C6FA-437B-98CC-5E3826219935}"/>
    <cellStyle name="Millares [0] 3 2 2 2 2 3" xfId="597" xr:uid="{CF0D5C64-029F-4251-9AB1-D1808A04750E}"/>
    <cellStyle name="Millares [0] 3 2 2 2 2 3 2" xfId="1268" xr:uid="{0BDC8C2C-0CB0-4D8E-8121-3D661ACA3874}"/>
    <cellStyle name="Millares [0] 3 2 2 2 2 4" xfId="936" xr:uid="{5FAF7550-8BB0-4A72-ABB0-27390415BFD1}"/>
    <cellStyle name="Millares [0] 3 2 2 2 3" xfId="342" xr:uid="{0C464D75-30E4-4EE8-BEBA-15DE3EA50ECE}"/>
    <cellStyle name="Millares [0] 3 2 2 2 3 2" xfId="681" xr:uid="{5427060D-6425-4267-8C0E-96F21944FA09}"/>
    <cellStyle name="Millares [0] 3 2 2 2 3 2 2" xfId="1352" xr:uid="{3A4EF186-4869-4BD9-981D-6231FF939F0F}"/>
    <cellStyle name="Millares [0] 3 2 2 2 3 3" xfId="1020" xr:uid="{44A5602E-6052-412A-9702-12399748B2D4}"/>
    <cellStyle name="Millares [0] 3 2 2 2 4" xfId="515" xr:uid="{C99D66C8-FFCA-45AE-9966-AB826796CB9A}"/>
    <cellStyle name="Millares [0] 3 2 2 2 4 2" xfId="1186" xr:uid="{55FDC86A-7E3F-4F5D-9577-A6DBE7FF5905}"/>
    <cellStyle name="Millares [0] 3 2 2 2 5" xfId="854" xr:uid="{7AEF182E-9DCE-4EAD-A6D7-7F745AD2F8AC}"/>
    <cellStyle name="Millares [0] 3 2 2 3" xfId="198" xr:uid="{745F23AF-5157-4379-9C5D-7BDCDF993C9F}"/>
    <cellStyle name="Millares [0] 3 2 2 3 2" xfId="384" xr:uid="{947AE2F0-9BAA-4DD4-8E8A-2B9D715C9E70}"/>
    <cellStyle name="Millares [0] 3 2 2 3 2 2" xfId="723" xr:uid="{09D983AA-D1B2-492C-AC36-CDF072ED3B9A}"/>
    <cellStyle name="Millares [0] 3 2 2 3 2 2 2" xfId="1394" xr:uid="{8837E780-BDE5-4540-A081-D31DC57AEE12}"/>
    <cellStyle name="Millares [0] 3 2 2 3 2 3" xfId="1062" xr:uid="{438F1515-6586-475B-AC96-9648E7591228}"/>
    <cellStyle name="Millares [0] 3 2 2 3 3" xfId="557" xr:uid="{9052C37C-0D89-4092-AD20-00116D5EF0EE}"/>
    <cellStyle name="Millares [0] 3 2 2 3 3 2" xfId="1228" xr:uid="{73EC883E-EA7D-4CEB-924A-B90C878D876F}"/>
    <cellStyle name="Millares [0] 3 2 2 3 4" xfId="896" xr:uid="{83C8430E-CB5C-4DD4-BA39-0767EA885DBF}"/>
    <cellStyle name="Millares [0] 3 2 2 4" xfId="302" xr:uid="{D2C20FE9-1E39-47F2-B174-FA43C1D3675E}"/>
    <cellStyle name="Millares [0] 3 2 2 4 2" xfId="641" xr:uid="{0947A5B0-B033-4E26-A163-C10BFC0F99E5}"/>
    <cellStyle name="Millares [0] 3 2 2 4 2 2" xfId="1312" xr:uid="{A246577D-1C8F-40D2-8BF6-328E6046AFCA}"/>
    <cellStyle name="Millares [0] 3 2 2 4 3" xfId="980" xr:uid="{45A32EE1-208E-499D-8985-948941D5E775}"/>
    <cellStyle name="Millares [0] 3 2 2 5" xfId="475" xr:uid="{7561C324-DE2B-47E9-8D86-D122F43C2FC7}"/>
    <cellStyle name="Millares [0] 3 2 2 5 2" xfId="1146" xr:uid="{1FFC0989-73A6-4E34-AD68-E91D59CA02A2}"/>
    <cellStyle name="Millares [0] 3 2 2 6" xfId="814" xr:uid="{5DFC922A-7F5D-43FA-8555-A66F08DEAE20}"/>
    <cellStyle name="Millares [0] 3 2 3" xfId="130" xr:uid="{444DC27A-1525-4818-9747-73E4BAE504D5}"/>
    <cellStyle name="Millares [0] 3 2 3 2" xfId="219" xr:uid="{264A65B2-2FF6-4C6B-96CC-6F16F1C1DAA0}"/>
    <cellStyle name="Millares [0] 3 2 3 2 2" xfId="405" xr:uid="{91A9DF91-DD64-49F0-87DA-653E4BF50676}"/>
    <cellStyle name="Millares [0] 3 2 3 2 2 2" xfId="744" xr:uid="{80CC46DA-EFF2-41D9-B8A6-180D2E631497}"/>
    <cellStyle name="Millares [0] 3 2 3 2 2 2 2" xfId="1415" xr:uid="{6E5C763E-9BA6-45D0-A020-8912B7304E79}"/>
    <cellStyle name="Millares [0] 3 2 3 2 2 3" xfId="1083" xr:uid="{C2089221-BCDB-4816-A66A-31D3224AA699}"/>
    <cellStyle name="Millares [0] 3 2 3 2 3" xfId="578" xr:uid="{07C9C5BE-569E-4D03-8ED1-AEEA188E4910}"/>
    <cellStyle name="Millares [0] 3 2 3 2 3 2" xfId="1249" xr:uid="{6F9D0F0A-96E5-4DAA-A2CC-002D9F9013A1}"/>
    <cellStyle name="Millares [0] 3 2 3 2 4" xfId="917" xr:uid="{36A19342-3D2C-4974-95D7-1659CEB82902}"/>
    <cellStyle name="Millares [0] 3 2 3 3" xfId="323" xr:uid="{695BA9B0-AB80-4619-873C-E2DF7D485872}"/>
    <cellStyle name="Millares [0] 3 2 3 3 2" xfId="662" xr:uid="{B472DD85-345A-4336-9034-D9AA586CC2A5}"/>
    <cellStyle name="Millares [0] 3 2 3 3 2 2" xfId="1333" xr:uid="{4C2B7035-22BF-4614-84E4-C082BD584B10}"/>
    <cellStyle name="Millares [0] 3 2 3 3 3" xfId="1001" xr:uid="{9E7E3DEE-2205-462D-8AD6-A219F25D9CD3}"/>
    <cellStyle name="Millares [0] 3 2 3 4" xfId="496" xr:uid="{DE8A0FEE-BACF-453E-A6D7-D391A9FCD249}"/>
    <cellStyle name="Millares [0] 3 2 3 4 2" xfId="1167" xr:uid="{6504EEBD-F1C5-4624-91CA-C856B14DA473}"/>
    <cellStyle name="Millares [0] 3 2 3 5" xfId="835" xr:uid="{2B859324-DCEB-402B-A0DA-36713171F527}"/>
    <cellStyle name="Millares [0] 3 2 4" xfId="179" xr:uid="{646174AA-40B2-42F2-8644-36F2ADB12073}"/>
    <cellStyle name="Millares [0] 3 2 4 2" xfId="365" xr:uid="{B806607D-7AC6-4C12-945A-F32A558FB15D}"/>
    <cellStyle name="Millares [0] 3 2 4 2 2" xfId="704" xr:uid="{792B547D-CDD2-40BE-9F47-C6C009AFD8CC}"/>
    <cellStyle name="Millares [0] 3 2 4 2 2 2" xfId="1375" xr:uid="{C86F44DB-4BAC-45D9-A830-19B3BFDAB2C6}"/>
    <cellStyle name="Millares [0] 3 2 4 2 3" xfId="1043" xr:uid="{A05ADC99-B1B2-4F53-8089-0386D222B247}"/>
    <cellStyle name="Millares [0] 3 2 4 3" xfId="538" xr:uid="{EA492BCD-E478-43A6-B442-28ABC9630618}"/>
    <cellStyle name="Millares [0] 3 2 4 3 2" xfId="1209" xr:uid="{07A9F4C1-4DEE-4DE9-A721-61951821D689}"/>
    <cellStyle name="Millares [0] 3 2 4 4" xfId="877" xr:uid="{1CD74169-3656-4059-A3E5-56DBCDD11043}"/>
    <cellStyle name="Millares [0] 3 2 5" xfId="283" xr:uid="{7E562899-9E72-46A9-BF4B-A6D5119300A3}"/>
    <cellStyle name="Millares [0] 3 2 5 2" xfId="622" xr:uid="{3EBEB998-D050-476D-8848-8D286EB1DBC4}"/>
    <cellStyle name="Millares [0] 3 2 5 2 2" xfId="1293" xr:uid="{813E9901-75F2-4E62-8E5F-6468112FD03D}"/>
    <cellStyle name="Millares [0] 3 2 5 3" xfId="961" xr:uid="{EE85B070-4266-4E91-8988-2640F42848CF}"/>
    <cellStyle name="Millares [0] 3 2 6" xfId="456" xr:uid="{B1A1D297-41B9-4A70-8D8C-FEFCA2E5FF70}"/>
    <cellStyle name="Millares [0] 3 2 6 2" xfId="1127" xr:uid="{98A4A490-946A-402F-A29B-23DD357430D9}"/>
    <cellStyle name="Millares [0] 3 2 7" xfId="795" xr:uid="{245F6649-EA95-42A9-8609-F8C729C1B83E}"/>
    <cellStyle name="Millares [0] 3 3" xfId="90" xr:uid="{02AD2F47-DB5C-4AF7-A0AE-A9EF438C335B}"/>
    <cellStyle name="Millares [0] 3 3 2" xfId="140" xr:uid="{0D60654B-EFBC-4B51-A849-71D93E9248F3}"/>
    <cellStyle name="Millares [0] 3 3 2 2" xfId="229" xr:uid="{F005F457-D796-4877-9299-FEE01CF35963}"/>
    <cellStyle name="Millares [0] 3 3 2 2 2" xfId="415" xr:uid="{FB039877-4DF6-4E71-9FB0-C918A75454CF}"/>
    <cellStyle name="Millares [0] 3 3 2 2 2 2" xfId="754" xr:uid="{82728F98-0623-498D-A5D4-A3DF6B0BD45C}"/>
    <cellStyle name="Millares [0] 3 3 2 2 2 2 2" xfId="1425" xr:uid="{D8329E7C-581E-4014-9398-61310025A570}"/>
    <cellStyle name="Millares [0] 3 3 2 2 2 3" xfId="1093" xr:uid="{7BF69440-0C1F-459B-97B3-1E7196FD3C85}"/>
    <cellStyle name="Millares [0] 3 3 2 2 3" xfId="588" xr:uid="{38565CC8-DF32-4C50-A1DF-CDD4C783E83C}"/>
    <cellStyle name="Millares [0] 3 3 2 2 3 2" xfId="1259" xr:uid="{71664048-633A-4868-922E-BB25DDD77DBB}"/>
    <cellStyle name="Millares [0] 3 3 2 2 4" xfId="927" xr:uid="{E0659198-7F54-4ABC-90CB-D4BEF89E2B9E}"/>
    <cellStyle name="Millares [0] 3 3 2 3" xfId="333" xr:uid="{E9D920D8-7C87-4546-91DE-730D051F8299}"/>
    <cellStyle name="Millares [0] 3 3 2 3 2" xfId="672" xr:uid="{96A374AD-5B81-47A9-88E8-4AD6C1A35F22}"/>
    <cellStyle name="Millares [0] 3 3 2 3 2 2" xfId="1343" xr:uid="{26A47454-48BD-4803-A821-A6C9490738F3}"/>
    <cellStyle name="Millares [0] 3 3 2 3 3" xfId="1011" xr:uid="{9DB2FCA7-8B55-4D1B-8CB4-67C12BF4BF66}"/>
    <cellStyle name="Millares [0] 3 3 2 4" xfId="506" xr:uid="{277A1497-185A-475D-BECD-3748ED582598}"/>
    <cellStyle name="Millares [0] 3 3 2 4 2" xfId="1177" xr:uid="{0D86C53D-D79A-4CFC-AE20-DF6E41803CC6}"/>
    <cellStyle name="Millares [0] 3 3 2 5" xfId="845" xr:uid="{266EED0E-779D-470D-AA2D-6ABE3A86A1B0}"/>
    <cellStyle name="Millares [0] 3 3 3" xfId="189" xr:uid="{C9B6D833-F30C-4D3F-B93E-EC7B4565126C}"/>
    <cellStyle name="Millares [0] 3 3 3 2" xfId="375" xr:uid="{8DF1D211-DC75-4EF7-9616-BB0BBE58C848}"/>
    <cellStyle name="Millares [0] 3 3 3 2 2" xfId="714" xr:uid="{42349405-ACA0-4A32-926F-8B07CCDBD20C}"/>
    <cellStyle name="Millares [0] 3 3 3 2 2 2" xfId="1385" xr:uid="{C230800F-DF3D-4D9F-97AC-5C55C294EF18}"/>
    <cellStyle name="Millares [0] 3 3 3 2 3" xfId="1053" xr:uid="{795DC426-BB16-4918-B813-9ECE6CB4B299}"/>
    <cellStyle name="Millares [0] 3 3 3 3" xfId="548" xr:uid="{7246D1EC-4060-43FF-B363-521776BFF297}"/>
    <cellStyle name="Millares [0] 3 3 3 3 2" xfId="1219" xr:uid="{A9B0A385-24C9-46C0-B276-5E68B973BBD2}"/>
    <cellStyle name="Millares [0] 3 3 3 4" xfId="887" xr:uid="{E4883C7F-52B2-47B2-BD9B-98FC7A4617E5}"/>
    <cellStyle name="Millares [0] 3 3 4" xfId="293" xr:uid="{04E04D55-8974-461C-AA13-FB314AA170EA}"/>
    <cellStyle name="Millares [0] 3 3 4 2" xfId="632" xr:uid="{ED3F44B2-EA92-4A41-8F4C-90F2C0C6EB69}"/>
    <cellStyle name="Millares [0] 3 3 4 2 2" xfId="1303" xr:uid="{1E4B2546-EBD0-45CA-A92F-7A9CE8281791}"/>
    <cellStyle name="Millares [0] 3 3 4 3" xfId="971" xr:uid="{6985A91F-72A7-49BD-B8C7-F9037AED9661}"/>
    <cellStyle name="Millares [0] 3 3 5" xfId="466" xr:uid="{28A858F8-7C11-4069-AD9B-40913296691F}"/>
    <cellStyle name="Millares [0] 3 3 5 2" xfId="1137" xr:uid="{31D91040-2325-40B0-8368-5C0576F1B9AA}"/>
    <cellStyle name="Millares [0] 3 3 6" xfId="805" xr:uid="{354AD353-FE25-4372-A09B-C4C354213DA1}"/>
    <cellStyle name="Millares [0] 3 4" xfId="119" xr:uid="{398C7BE9-0473-4572-A282-4B1370A023E2}"/>
    <cellStyle name="Millares [0] 3 4 2" xfId="210" xr:uid="{7A8EE46D-3BEA-4D7B-8FE4-063578A16C71}"/>
    <cellStyle name="Millares [0] 3 4 2 2" xfId="396" xr:uid="{D417BA56-D1F2-4C81-BA7D-444859028F98}"/>
    <cellStyle name="Millares [0] 3 4 2 2 2" xfId="735" xr:uid="{F587E1D3-1CDD-4F49-B578-156E16C50C4C}"/>
    <cellStyle name="Millares [0] 3 4 2 2 2 2" xfId="1406" xr:uid="{3BF91336-A00B-4B4D-845C-E813A6E4C1FF}"/>
    <cellStyle name="Millares [0] 3 4 2 2 3" xfId="1074" xr:uid="{4665C9E0-196E-4B5F-98E8-BEEF3840C4E3}"/>
    <cellStyle name="Millares [0] 3 4 2 3" xfId="569" xr:uid="{47061E47-A6FF-4A5C-8703-E141D1652DB9}"/>
    <cellStyle name="Millares [0] 3 4 2 3 2" xfId="1240" xr:uid="{591A9B87-87E2-4D74-8125-D05C03A1AF1D}"/>
    <cellStyle name="Millares [0] 3 4 2 4" xfId="908" xr:uid="{4EC923B1-1F59-4D5E-A5FC-0C69FD968268}"/>
    <cellStyle name="Millares [0] 3 4 3" xfId="314" xr:uid="{D572FA37-6F15-4866-833A-00E6DC261852}"/>
    <cellStyle name="Millares [0] 3 4 3 2" xfId="653" xr:uid="{CD39077F-028D-48E5-B340-48D089879281}"/>
    <cellStyle name="Millares [0] 3 4 3 2 2" xfId="1324" xr:uid="{30D8E948-48C1-49C0-B59B-1E582537E29E}"/>
    <cellStyle name="Millares [0] 3 4 3 3" xfId="992" xr:uid="{D72AE01D-4766-4A3A-9FA9-3F724C3CA3F5}"/>
    <cellStyle name="Millares [0] 3 4 4" xfId="487" xr:uid="{3B76FA8D-0ABC-44AF-B751-DEE4C53335FB}"/>
    <cellStyle name="Millares [0] 3 4 4 2" xfId="1158" xr:uid="{0177925C-7D53-4620-AC3A-F2B1FCB6B6A0}"/>
    <cellStyle name="Millares [0] 3 4 5" xfId="826" xr:uid="{0FF3DECB-B248-4051-B362-EB58B00B7009}"/>
    <cellStyle name="Millares [0] 3 5" xfId="169" xr:uid="{C15838C5-2A30-41DF-B889-2A304C673F68}"/>
    <cellStyle name="Millares [0] 3 5 2" xfId="356" xr:uid="{FC137981-67A4-41FE-B21C-E502B735C264}"/>
    <cellStyle name="Millares [0] 3 5 2 2" xfId="695" xr:uid="{8936A4A3-1D08-4471-8E8A-BC0EDE83EE3A}"/>
    <cellStyle name="Millares [0] 3 5 2 2 2" xfId="1366" xr:uid="{8F38FB04-6B84-4361-8826-5CBD7FB7737C}"/>
    <cellStyle name="Millares [0] 3 5 2 3" xfId="1034" xr:uid="{73094A62-51AE-4903-BC4D-63B50E01BFAA}"/>
    <cellStyle name="Millares [0] 3 5 3" xfId="529" xr:uid="{044D6160-2946-459E-8BC1-E2DC38923B6D}"/>
    <cellStyle name="Millares [0] 3 5 3 2" xfId="1200" xr:uid="{DB121C9A-7666-43C6-889D-5A765D0F2F2A}"/>
    <cellStyle name="Millares [0] 3 5 4" xfId="868" xr:uid="{F737613D-E08F-4A3A-8B10-56CA43754E43}"/>
    <cellStyle name="Millares [0] 3 6" xfId="273" xr:uid="{8FF4B091-21ED-4956-95DB-8CB4DDFBF6A3}"/>
    <cellStyle name="Millares [0] 3 6 2" xfId="613" xr:uid="{BD4F7469-9F5B-4F19-AF4E-C056A71AEDF7}"/>
    <cellStyle name="Millares [0] 3 6 2 2" xfId="1284" xr:uid="{2FF9EDBC-D098-4F2A-A9CB-E0704A897FD2}"/>
    <cellStyle name="Millares [0] 3 6 3" xfId="952" xr:uid="{62D32C12-C9CD-466E-8805-A9368BECCB8D}"/>
    <cellStyle name="Millares [0] 3 7" xfId="446" xr:uid="{A8823823-CB95-4672-813F-B48865FA5697}"/>
    <cellStyle name="Millares [0] 3 7 2" xfId="1118" xr:uid="{C9640C7F-CE00-4FBE-8059-813A76FC13CB}"/>
    <cellStyle name="Millares [0] 3 8" xfId="785" xr:uid="{12719621-015A-4787-9354-878BC9A258BD}"/>
    <cellStyle name="Millares [0] 34" xfId="46" xr:uid="{AEA69778-5AA5-4CA5-B8B7-418295A0E7CB}"/>
    <cellStyle name="Millares [0] 34 2" xfId="73" xr:uid="{2922B0EB-EE4F-4578-96FF-838D01CA02BB}"/>
    <cellStyle name="Millares [0] 34 2 2" xfId="102" xr:uid="{5C2C617C-51EF-4B98-9ACF-3B536D49BA09}"/>
    <cellStyle name="Millares [0] 34 2 2 2" xfId="150" xr:uid="{D86E4C06-3A58-4F9F-AEBA-AF339731F880}"/>
    <cellStyle name="Millares [0] 34 2 2 2 2" xfId="239" xr:uid="{D2DB1C36-404E-4FAF-AD50-5E0EDC8FA0ED}"/>
    <cellStyle name="Millares [0] 34 2 2 2 2 2" xfId="425" xr:uid="{0690BBF5-BFA7-4C3B-ABBB-54DC97C2723A}"/>
    <cellStyle name="Millares [0] 34 2 2 2 2 2 2" xfId="764" xr:uid="{24DD998D-4FB3-407B-8D02-57F7DB259FD4}"/>
    <cellStyle name="Millares [0] 34 2 2 2 2 2 2 2" xfId="1435" xr:uid="{D066E609-3372-430F-8221-311C9F6ABB5E}"/>
    <cellStyle name="Millares [0] 34 2 2 2 2 2 3" xfId="1103" xr:uid="{CB2889F9-EDF0-4B00-88A8-220EC90A9D83}"/>
    <cellStyle name="Millares [0] 34 2 2 2 2 3" xfId="598" xr:uid="{F4C7A28B-D693-443B-9C0D-24361F0DDB74}"/>
    <cellStyle name="Millares [0] 34 2 2 2 2 3 2" xfId="1269" xr:uid="{4ED528AC-D1F1-4D9F-84A3-28801D3FF1A2}"/>
    <cellStyle name="Millares [0] 34 2 2 2 2 4" xfId="937" xr:uid="{083F852C-EBD3-489B-A9A0-7CF12508C465}"/>
    <cellStyle name="Millares [0] 34 2 2 2 3" xfId="343" xr:uid="{BAF05BED-08B9-4EF3-9AE0-E4BB9F4C014A}"/>
    <cellStyle name="Millares [0] 34 2 2 2 3 2" xfId="682" xr:uid="{4C02206D-7B61-4724-AED5-96C6DAF5952B}"/>
    <cellStyle name="Millares [0] 34 2 2 2 3 2 2" xfId="1353" xr:uid="{BFF90976-82FA-4530-8C94-D6956E233928}"/>
    <cellStyle name="Millares [0] 34 2 2 2 3 3" xfId="1021" xr:uid="{E00B653E-894B-4DAE-A8D9-1FD45421C9AE}"/>
    <cellStyle name="Millares [0] 34 2 2 2 4" xfId="516" xr:uid="{E188AD1A-AA66-4532-8720-DBC695ED55AB}"/>
    <cellStyle name="Millares [0] 34 2 2 2 4 2" xfId="1187" xr:uid="{4102E95A-7005-413A-8F55-F55918F8DCA5}"/>
    <cellStyle name="Millares [0] 34 2 2 2 5" xfId="855" xr:uid="{6A4A3AF9-D5DA-4C4E-ADB5-BB292BDD3ABB}"/>
    <cellStyle name="Millares [0] 34 2 2 3" xfId="199" xr:uid="{4D5E4F02-2514-49AA-8EC9-9129A32E7E77}"/>
    <cellStyle name="Millares [0] 34 2 2 3 2" xfId="385" xr:uid="{FE6521B4-F9AC-4270-90E8-D71EEA3A3B3D}"/>
    <cellStyle name="Millares [0] 34 2 2 3 2 2" xfId="724" xr:uid="{BD2C0400-0A6C-4566-A987-6264EF7CE1C1}"/>
    <cellStyle name="Millares [0] 34 2 2 3 2 2 2" xfId="1395" xr:uid="{CB9F5B6F-36EE-4258-83B4-DC67DD1C845B}"/>
    <cellStyle name="Millares [0] 34 2 2 3 2 3" xfId="1063" xr:uid="{FF58D031-A270-4D55-89B3-90C93923C880}"/>
    <cellStyle name="Millares [0] 34 2 2 3 3" xfId="558" xr:uid="{CA563419-8376-46EC-B45E-1599FE280050}"/>
    <cellStyle name="Millares [0] 34 2 2 3 3 2" xfId="1229" xr:uid="{2F46E0A5-4582-43E4-87E2-9FBDB90657E1}"/>
    <cellStyle name="Millares [0] 34 2 2 3 4" xfId="897" xr:uid="{2D0D99FF-789B-45BC-8600-419D3DA2B773}"/>
    <cellStyle name="Millares [0] 34 2 2 4" xfId="303" xr:uid="{C1B40759-63A6-4561-B99E-5E8E8C40DF44}"/>
    <cellStyle name="Millares [0] 34 2 2 4 2" xfId="642" xr:uid="{D9AECF7E-A376-453E-98AE-E1FA8A8BC04C}"/>
    <cellStyle name="Millares [0] 34 2 2 4 2 2" xfId="1313" xr:uid="{C9D6DC17-3370-4588-B087-8757C380F6CA}"/>
    <cellStyle name="Millares [0] 34 2 2 4 3" xfId="981" xr:uid="{3518E43B-7360-4DB4-9BC3-F9FE553118B0}"/>
    <cellStyle name="Millares [0] 34 2 2 5" xfId="476" xr:uid="{73043E26-8BD2-41BF-ACD8-C0C74BAC5A4F}"/>
    <cellStyle name="Millares [0] 34 2 2 5 2" xfId="1147" xr:uid="{62C3123F-98A0-478C-B7C6-B12EADB43489}"/>
    <cellStyle name="Millares [0] 34 2 2 6" xfId="815" xr:uid="{5B481B3B-42D1-4AE6-8168-2145455F1D09}"/>
    <cellStyle name="Millares [0] 34 2 3" xfId="131" xr:uid="{EE9632D8-A241-4647-A304-0DE0F9207429}"/>
    <cellStyle name="Millares [0] 34 2 3 2" xfId="220" xr:uid="{7133E7BD-ACF7-4A7E-B028-7DADBE9C64C9}"/>
    <cellStyle name="Millares [0] 34 2 3 2 2" xfId="406" xr:uid="{03A3CAB4-3AD3-4CCD-91EF-03073EECCEA7}"/>
    <cellStyle name="Millares [0] 34 2 3 2 2 2" xfId="745" xr:uid="{B5DF748E-DFEA-4419-B16A-440197FD3079}"/>
    <cellStyle name="Millares [0] 34 2 3 2 2 2 2" xfId="1416" xr:uid="{5C4B2A56-1A7E-4126-9C87-2AF46ECF10DF}"/>
    <cellStyle name="Millares [0] 34 2 3 2 2 3" xfId="1084" xr:uid="{C13F925B-F9D8-4867-9FCB-B066D481ACD2}"/>
    <cellStyle name="Millares [0] 34 2 3 2 3" xfId="579" xr:uid="{00E96933-9AC6-44DB-96B1-81DC703A98A5}"/>
    <cellStyle name="Millares [0] 34 2 3 2 3 2" xfId="1250" xr:uid="{6219BB56-9070-4155-A36C-9678567C4E60}"/>
    <cellStyle name="Millares [0] 34 2 3 2 4" xfId="918" xr:uid="{72DD2F8D-7FB9-4550-9CA0-990D38A7051C}"/>
    <cellStyle name="Millares [0] 34 2 3 3" xfId="324" xr:uid="{9AE7B47D-E30E-41D9-9BFF-8FF43D03CC4A}"/>
    <cellStyle name="Millares [0] 34 2 3 3 2" xfId="663" xr:uid="{F39DA8F9-5654-49B3-842E-B936B829E33F}"/>
    <cellStyle name="Millares [0] 34 2 3 3 2 2" xfId="1334" xr:uid="{8EA39AF7-DAB3-4D55-8255-4029541BF6BD}"/>
    <cellStyle name="Millares [0] 34 2 3 3 3" xfId="1002" xr:uid="{E94C2E26-A4BF-438B-90CA-2E14E63509FA}"/>
    <cellStyle name="Millares [0] 34 2 3 4" xfId="497" xr:uid="{EDC065F4-6031-4238-8C00-3B05F154865A}"/>
    <cellStyle name="Millares [0] 34 2 3 4 2" xfId="1168" xr:uid="{B608CBB1-7D16-4744-B7ED-E3E7F5A829B6}"/>
    <cellStyle name="Millares [0] 34 2 3 5" xfId="836" xr:uid="{001AD673-C385-4BFD-9677-371B44AA5121}"/>
    <cellStyle name="Millares [0] 34 2 4" xfId="180" xr:uid="{64632FE0-13C0-4735-A8C7-22C49E3934C4}"/>
    <cellStyle name="Millares [0] 34 2 4 2" xfId="366" xr:uid="{C501CF45-53CD-4FB4-B07B-8708F7BF8A84}"/>
    <cellStyle name="Millares [0] 34 2 4 2 2" xfId="705" xr:uid="{2640688A-F91C-4331-BB76-7432323B83D3}"/>
    <cellStyle name="Millares [0] 34 2 4 2 2 2" xfId="1376" xr:uid="{2AE8B382-34D5-4D53-8094-1A3C135E5F01}"/>
    <cellStyle name="Millares [0] 34 2 4 2 3" xfId="1044" xr:uid="{714450E4-2812-4631-A9E6-4ACCF2AEF7DC}"/>
    <cellStyle name="Millares [0] 34 2 4 3" xfId="539" xr:uid="{0D046D85-F22E-4A67-B7DA-AE8D78B133E5}"/>
    <cellStyle name="Millares [0] 34 2 4 3 2" xfId="1210" xr:uid="{0518EDF0-43B6-48FC-9CDC-923D985372D9}"/>
    <cellStyle name="Millares [0] 34 2 4 4" xfId="878" xr:uid="{BE994F33-9F16-4BA5-9816-731061FD0D75}"/>
    <cellStyle name="Millares [0] 34 2 5" xfId="284" xr:uid="{800534C2-4D72-4C06-821A-95B8FA44043C}"/>
    <cellStyle name="Millares [0] 34 2 5 2" xfId="623" xr:uid="{9D7165DC-454A-46F7-9210-5CC49817C4B5}"/>
    <cellStyle name="Millares [0] 34 2 5 2 2" xfId="1294" xr:uid="{79CC7904-2B05-4E34-95B3-1506C38CD777}"/>
    <cellStyle name="Millares [0] 34 2 5 3" xfId="962" xr:uid="{238F8BCF-380F-48DF-945E-66B1B7344FA7}"/>
    <cellStyle name="Millares [0] 34 2 6" xfId="457" xr:uid="{ED2C447A-4C45-40C5-8DE3-89C9F334EFDD}"/>
    <cellStyle name="Millares [0] 34 2 6 2" xfId="1128" xr:uid="{4243E89E-8F77-436B-947E-2570E7CBBFA8}"/>
    <cellStyle name="Millares [0] 34 2 7" xfId="796" xr:uid="{620A90C4-FA91-420D-AA6D-E6C8D6E97F3B}"/>
    <cellStyle name="Millares [0] 34 3" xfId="91" xr:uid="{2C3DD03E-3A34-42E3-981B-5DD37106662F}"/>
    <cellStyle name="Millares [0] 34 3 2" xfId="141" xr:uid="{279FE016-4619-4A72-8E1A-FA95ADF650AB}"/>
    <cellStyle name="Millares [0] 34 3 2 2" xfId="230" xr:uid="{45E8919F-863D-4468-8914-51B24B1B58A5}"/>
    <cellStyle name="Millares [0] 34 3 2 2 2" xfId="416" xr:uid="{3D2A52A6-40A1-4DA4-8820-E167CDF079F0}"/>
    <cellStyle name="Millares [0] 34 3 2 2 2 2" xfId="755" xr:uid="{0394D1D4-1DE6-419C-88C7-51B48404EB08}"/>
    <cellStyle name="Millares [0] 34 3 2 2 2 2 2" xfId="1426" xr:uid="{E9687F00-0F2C-4392-8D3E-7867C034479B}"/>
    <cellStyle name="Millares [0] 34 3 2 2 2 3" xfId="1094" xr:uid="{6C64A510-4D0B-47E7-B41B-585A6D37FFA5}"/>
    <cellStyle name="Millares [0] 34 3 2 2 3" xfId="589" xr:uid="{725986D9-9D15-4AFD-B4AE-3997C4173B05}"/>
    <cellStyle name="Millares [0] 34 3 2 2 3 2" xfId="1260" xr:uid="{48F0C87E-49AA-4556-882B-A52911621CB3}"/>
    <cellStyle name="Millares [0] 34 3 2 2 4" xfId="928" xr:uid="{960EA89A-65EC-457A-B99D-0123D11EE088}"/>
    <cellStyle name="Millares [0] 34 3 2 3" xfId="334" xr:uid="{3291E98D-395F-4326-8713-A334BEE7CD35}"/>
    <cellStyle name="Millares [0] 34 3 2 3 2" xfId="673" xr:uid="{B9E73B87-32F1-4E12-B762-C80F458C55DD}"/>
    <cellStyle name="Millares [0] 34 3 2 3 2 2" xfId="1344" xr:uid="{CDBB4D86-5428-4702-9C7A-7D1145B8DED9}"/>
    <cellStyle name="Millares [0] 34 3 2 3 3" xfId="1012" xr:uid="{681309A3-7DA9-4574-93DF-53D98A92F309}"/>
    <cellStyle name="Millares [0] 34 3 2 4" xfId="507" xr:uid="{EE0B6C9F-5B40-468D-9614-E46E10FAF073}"/>
    <cellStyle name="Millares [0] 34 3 2 4 2" xfId="1178" xr:uid="{6463447D-C6CF-437B-ADA6-35312FF81B9E}"/>
    <cellStyle name="Millares [0] 34 3 2 5" xfId="846" xr:uid="{20327198-2983-403A-A88B-04F6E52A77E6}"/>
    <cellStyle name="Millares [0] 34 3 3" xfId="190" xr:uid="{4D35FE31-4B5C-4834-90B4-0733532FF3EE}"/>
    <cellStyle name="Millares [0] 34 3 3 2" xfId="376" xr:uid="{BF4532AF-0A96-4D0E-B5C0-9428B4DA9A1C}"/>
    <cellStyle name="Millares [0] 34 3 3 2 2" xfId="715" xr:uid="{CF343CB3-5E57-4B89-ABB5-2BC6EF46A419}"/>
    <cellStyle name="Millares [0] 34 3 3 2 2 2" xfId="1386" xr:uid="{74FEA311-A393-4C25-8795-C1AD1BDAC25D}"/>
    <cellStyle name="Millares [0] 34 3 3 2 3" xfId="1054" xr:uid="{F3CC616E-3955-4586-9140-C091BE0BEFFD}"/>
    <cellStyle name="Millares [0] 34 3 3 3" xfId="549" xr:uid="{6DB8DA13-28B8-4CE1-A72E-860CC850C360}"/>
    <cellStyle name="Millares [0] 34 3 3 3 2" xfId="1220" xr:uid="{8FD320FC-0991-450A-9F47-6CF41BE5938A}"/>
    <cellStyle name="Millares [0] 34 3 3 4" xfId="888" xr:uid="{E6A417BC-E96A-4E1B-A358-2EA5B688381C}"/>
    <cellStyle name="Millares [0] 34 3 4" xfId="294" xr:uid="{2F731CB6-5479-43E3-9D80-84F52D80DF03}"/>
    <cellStyle name="Millares [0] 34 3 4 2" xfId="633" xr:uid="{192FE9BD-3449-4D69-82AB-5FF99B26DE1D}"/>
    <cellStyle name="Millares [0] 34 3 4 2 2" xfId="1304" xr:uid="{4580E87A-883D-4028-8360-3FB6FB03123F}"/>
    <cellStyle name="Millares [0] 34 3 4 3" xfId="972" xr:uid="{8364E1E3-0600-417A-A0A4-205FFEF58758}"/>
    <cellStyle name="Millares [0] 34 3 5" xfId="467" xr:uid="{FADC287A-22A7-411C-90BE-7799C242E7AA}"/>
    <cellStyle name="Millares [0] 34 3 5 2" xfId="1138" xr:uid="{18AA4AF3-2196-47A8-8397-5362C9D04A10}"/>
    <cellStyle name="Millares [0] 34 3 6" xfId="806" xr:uid="{38798C1F-C3C9-42C2-A51C-44F184143592}"/>
    <cellStyle name="Millares [0] 34 4" xfId="120" xr:uid="{C38FE79D-2739-4898-9975-3DF69E474692}"/>
    <cellStyle name="Millares [0] 34 4 2" xfId="211" xr:uid="{B5D3FE73-CC6F-4B72-922B-577F0CF57C5F}"/>
    <cellStyle name="Millares [0] 34 4 2 2" xfId="397" xr:uid="{09231A6A-FA91-4415-A8A0-99AC06423686}"/>
    <cellStyle name="Millares [0] 34 4 2 2 2" xfId="736" xr:uid="{01813514-F4E1-42F4-A144-B4F8B4AE23FD}"/>
    <cellStyle name="Millares [0] 34 4 2 2 2 2" xfId="1407" xr:uid="{CA316B1A-21D5-49AC-AAF2-7DF149281DBC}"/>
    <cellStyle name="Millares [0] 34 4 2 2 3" xfId="1075" xr:uid="{4F1E7E63-25D2-43D5-859D-F9A80706E826}"/>
    <cellStyle name="Millares [0] 34 4 2 3" xfId="570" xr:uid="{FE32F800-F8D9-4D31-9990-993BF2BAB21C}"/>
    <cellStyle name="Millares [0] 34 4 2 3 2" xfId="1241" xr:uid="{10E6C9C8-0001-4EE3-B049-EE73F10CD25C}"/>
    <cellStyle name="Millares [0] 34 4 2 4" xfId="909" xr:uid="{D878EF19-3672-4938-B98A-B0E8D17354A7}"/>
    <cellStyle name="Millares [0] 34 4 3" xfId="315" xr:uid="{E15B50F4-3CBE-4BF3-BBA5-9357F736FE61}"/>
    <cellStyle name="Millares [0] 34 4 3 2" xfId="654" xr:uid="{CCCD969E-1EE8-4EC6-8C2D-C36C047A0590}"/>
    <cellStyle name="Millares [0] 34 4 3 2 2" xfId="1325" xr:uid="{577B8B56-DD62-4E2A-AC5C-A44405CB5292}"/>
    <cellStyle name="Millares [0] 34 4 3 3" xfId="993" xr:uid="{B444F5D4-5DC1-40F6-AD6A-A24A64243BFE}"/>
    <cellStyle name="Millares [0] 34 4 4" xfId="488" xr:uid="{47F63DE1-4F1C-476B-8946-4036B5BCAA4E}"/>
    <cellStyle name="Millares [0] 34 4 4 2" xfId="1159" xr:uid="{EAF19C51-3477-46B4-BAB4-12E582686237}"/>
    <cellStyle name="Millares [0] 34 4 5" xfId="827" xr:uid="{FC749E6C-2F01-42B7-943A-FC2BAD33C9BF}"/>
    <cellStyle name="Millares [0] 34 5" xfId="170" xr:uid="{B2950CD9-6D9D-47AB-BA27-B0D7860941CB}"/>
    <cellStyle name="Millares [0] 34 5 2" xfId="357" xr:uid="{E8A5954A-0C05-417D-ADCC-CD53C803D0C5}"/>
    <cellStyle name="Millares [0] 34 5 2 2" xfId="696" xr:uid="{7816ABD6-9BC8-4826-99D3-FB26BDDF45DA}"/>
    <cellStyle name="Millares [0] 34 5 2 2 2" xfId="1367" xr:uid="{4A156204-B1E5-44D2-B6D3-5876E1A6F46A}"/>
    <cellStyle name="Millares [0] 34 5 2 3" xfId="1035" xr:uid="{C5C350A2-2BF2-4B9B-A127-58BE65EF226D}"/>
    <cellStyle name="Millares [0] 34 5 3" xfId="530" xr:uid="{32A8DEC5-1B9C-4E7D-9490-A51C082ED95B}"/>
    <cellStyle name="Millares [0] 34 5 3 2" xfId="1201" xr:uid="{70749E77-20C4-499B-9EE0-C4EFB93F07FA}"/>
    <cellStyle name="Millares [0] 34 5 4" xfId="869" xr:uid="{D466063E-2DA4-47D5-8F63-7A97C31ED8B6}"/>
    <cellStyle name="Millares [0] 34 6" xfId="274" xr:uid="{DF3B0150-7C5F-49A3-ADBE-13209E95F903}"/>
    <cellStyle name="Millares [0] 34 6 2" xfId="614" xr:uid="{5539AC13-7677-415F-8B01-FB96A8F75ED9}"/>
    <cellStyle name="Millares [0] 34 6 2 2" xfId="1285" xr:uid="{176E38C9-4ADC-438C-BCB0-22A36A5A84E7}"/>
    <cellStyle name="Millares [0] 34 6 3" xfId="953" xr:uid="{621DC4F3-8E37-47FA-B895-AC3EE885A2B9}"/>
    <cellStyle name="Millares [0] 34 7" xfId="447" xr:uid="{035C9F61-244B-4A96-8660-CCF3EE25182A}"/>
    <cellStyle name="Millares [0] 34 7 2" xfId="1119" xr:uid="{A059BE18-75D7-46B9-A313-B4E1D4E929B7}"/>
    <cellStyle name="Millares [0] 34 8" xfId="786" xr:uid="{AA7D320E-D581-4C99-904A-BBA02B06054A}"/>
    <cellStyle name="Millares [0] 4" xfId="78" xr:uid="{A9385938-285E-4D55-8105-B348A46673D3}"/>
    <cellStyle name="Millares [0] 4 2" xfId="106" xr:uid="{FB3795D1-63D4-4D0C-B524-36A27AC5FB39}"/>
    <cellStyle name="Millares [0] 4 2 2" xfId="154" xr:uid="{AC4DDA16-82D4-4424-8A4A-F3EC40E454C8}"/>
    <cellStyle name="Millares [0] 4 2 2 2" xfId="243" xr:uid="{8C33D265-7139-430A-B5DE-14798C8D4280}"/>
    <cellStyle name="Millares [0] 4 2 2 2 2" xfId="429" xr:uid="{DF987D79-F551-415F-B6CC-253B7135520C}"/>
    <cellStyle name="Millares [0] 4 2 2 2 2 2" xfId="768" xr:uid="{152F7D0A-C868-4DA4-B586-F05586574E66}"/>
    <cellStyle name="Millares [0] 4 2 2 2 2 2 2" xfId="1439" xr:uid="{E060DC45-D968-4F41-BC33-48E074C1416F}"/>
    <cellStyle name="Millares [0] 4 2 2 2 2 3" xfId="1107" xr:uid="{21257C8B-9205-4C6C-97DE-5D83690A65E3}"/>
    <cellStyle name="Millares [0] 4 2 2 2 3" xfId="602" xr:uid="{5A34FB46-CA85-4D99-902C-B67894F32A75}"/>
    <cellStyle name="Millares [0] 4 2 2 2 3 2" xfId="1273" xr:uid="{6F4C6351-F537-4B56-96FA-C34E1F82994E}"/>
    <cellStyle name="Millares [0] 4 2 2 2 4" xfId="941" xr:uid="{A1A05AF4-6EB8-49C9-8D81-E318D0A798D3}"/>
    <cellStyle name="Millares [0] 4 2 2 3" xfId="347" xr:uid="{E52C952B-8F56-4EF8-BCBB-6471D94FDCE6}"/>
    <cellStyle name="Millares [0] 4 2 2 3 2" xfId="686" xr:uid="{C22473FE-D3AE-49C9-8A93-1951D5D2B0AE}"/>
    <cellStyle name="Millares [0] 4 2 2 3 2 2" xfId="1357" xr:uid="{BDE302EC-F701-44F8-9B60-03F62DCD343F}"/>
    <cellStyle name="Millares [0] 4 2 2 3 3" xfId="1025" xr:uid="{618F90A0-AA46-4DB3-9DB3-A6151AAE6C9E}"/>
    <cellStyle name="Millares [0] 4 2 2 4" xfId="520" xr:uid="{53A74654-EB47-4CD1-91D9-D18BD72BCA01}"/>
    <cellStyle name="Millares [0] 4 2 2 4 2" xfId="1191" xr:uid="{55A9F932-3BE1-4C4E-B63C-EEF2AA838B92}"/>
    <cellStyle name="Millares [0] 4 2 2 5" xfId="859" xr:uid="{6F43C17C-EB7B-4002-8EC7-08AF24401753}"/>
    <cellStyle name="Millares [0] 4 2 3" xfId="203" xr:uid="{B3CE1A3B-F885-4164-9B29-3B3F81BFC7D1}"/>
    <cellStyle name="Millares [0] 4 2 3 2" xfId="389" xr:uid="{1824038C-B6FB-488C-B3B4-5B48ABD5937B}"/>
    <cellStyle name="Millares [0] 4 2 3 2 2" xfId="728" xr:uid="{7D122649-9288-4E44-B2A7-EB7C059E9131}"/>
    <cellStyle name="Millares [0] 4 2 3 2 2 2" xfId="1399" xr:uid="{3C1F8042-F674-4846-8C52-69965D84EA3F}"/>
    <cellStyle name="Millares [0] 4 2 3 2 3" xfId="1067" xr:uid="{C3AF9D67-5D34-4CE0-941F-443808E6A10F}"/>
    <cellStyle name="Millares [0] 4 2 3 3" xfId="562" xr:uid="{3BA7D9A3-B294-4D04-A5DF-EA3C61FC7937}"/>
    <cellStyle name="Millares [0] 4 2 3 3 2" xfId="1233" xr:uid="{88479A82-4645-4237-BF80-67DA36AF8E9E}"/>
    <cellStyle name="Millares [0] 4 2 3 4" xfId="901" xr:uid="{18986B31-505B-40B5-8A69-D910180CACDB}"/>
    <cellStyle name="Millares [0] 4 2 4" xfId="307" xr:uid="{E5DDD9EC-EFC3-4C05-AD2F-47AF364804C9}"/>
    <cellStyle name="Millares [0] 4 2 4 2" xfId="646" xr:uid="{50DCFE1B-258A-47B9-BD7B-4BD0F14EFF4B}"/>
    <cellStyle name="Millares [0] 4 2 4 2 2" xfId="1317" xr:uid="{C0E054BE-1CF8-46FB-9436-9FF166BC7E15}"/>
    <cellStyle name="Millares [0] 4 2 4 3" xfId="985" xr:uid="{36966F1E-6BDA-41B5-B91C-7D4761E609F6}"/>
    <cellStyle name="Millares [0] 4 2 5" xfId="480" xr:uid="{7461374F-EA96-4F21-B710-992D863F98A7}"/>
    <cellStyle name="Millares [0] 4 2 5 2" xfId="1151" xr:uid="{1BBE0044-F27B-4C72-9C59-84E3299C84CB}"/>
    <cellStyle name="Millares [0] 4 2 6" xfId="819" xr:uid="{ADFB7B28-A2CB-4194-8BFD-57091F7172F4}"/>
    <cellStyle name="Millares [0] 4 3" xfId="135" xr:uid="{8AB39223-A6C1-4543-ACA0-161D73AFCFB9}"/>
    <cellStyle name="Millares [0] 4 3 2" xfId="224" xr:uid="{9762E9FA-F3ED-4550-8161-100A7D970806}"/>
    <cellStyle name="Millares [0] 4 3 2 2" xfId="410" xr:uid="{FD5E01FF-D381-4F12-849E-7598B043562B}"/>
    <cellStyle name="Millares [0] 4 3 2 2 2" xfId="749" xr:uid="{E81F26EC-7F23-45B6-8BDA-8915070B727A}"/>
    <cellStyle name="Millares [0] 4 3 2 2 2 2" xfId="1420" xr:uid="{61287EEA-B40E-468C-9706-FC9A4B43C960}"/>
    <cellStyle name="Millares [0] 4 3 2 2 3" xfId="1088" xr:uid="{348B234F-2262-4A88-ADC6-4146AA332E63}"/>
    <cellStyle name="Millares [0] 4 3 2 3" xfId="583" xr:uid="{134F0779-5AF6-442A-9046-A71CC0215440}"/>
    <cellStyle name="Millares [0] 4 3 2 3 2" xfId="1254" xr:uid="{63583AD0-ED17-4B40-BF2A-873289B4A479}"/>
    <cellStyle name="Millares [0] 4 3 2 4" xfId="922" xr:uid="{A567547E-B958-421E-BEC5-3ECEC9425FA4}"/>
    <cellStyle name="Millares [0] 4 3 3" xfId="328" xr:uid="{A7FEA132-8263-4691-907D-A5DF0AE30475}"/>
    <cellStyle name="Millares [0] 4 3 3 2" xfId="667" xr:uid="{64B7FD07-D5DA-4556-91C5-71A2977F59BC}"/>
    <cellStyle name="Millares [0] 4 3 3 2 2" xfId="1338" xr:uid="{78D778AE-0CDA-4C94-94AF-51918F89FC84}"/>
    <cellStyle name="Millares [0] 4 3 3 3" xfId="1006" xr:uid="{F2D6C708-EB15-4FB9-9C94-CDC931A04E59}"/>
    <cellStyle name="Millares [0] 4 3 4" xfId="501" xr:uid="{14CE355E-5D14-43A0-B506-7CE2B7105FCF}"/>
    <cellStyle name="Millares [0] 4 3 4 2" xfId="1172" xr:uid="{7018264D-CC77-44A9-9388-701F46B17F56}"/>
    <cellStyle name="Millares [0] 4 3 5" xfId="840" xr:uid="{DB3FB594-1530-41C7-A7E9-4539D39AB642}"/>
    <cellStyle name="Millares [0] 4 4" xfId="184" xr:uid="{8E21EAE7-D426-4ED4-A425-ABB47EE3F742}"/>
    <cellStyle name="Millares [0] 4 4 2" xfId="370" xr:uid="{2E40A8A0-408E-40E6-9379-609BA5CF1F60}"/>
    <cellStyle name="Millares [0] 4 4 2 2" xfId="709" xr:uid="{B49DAD22-FF71-4EBC-B5B1-3C2B21AC5DB6}"/>
    <cellStyle name="Millares [0] 4 4 2 2 2" xfId="1380" xr:uid="{0FE790F2-7B1E-4635-968E-14AE18190671}"/>
    <cellStyle name="Millares [0] 4 4 2 3" xfId="1048" xr:uid="{8D358266-484B-482E-BD64-959FA2D294BE}"/>
    <cellStyle name="Millares [0] 4 4 3" xfId="543" xr:uid="{E5659859-2DB2-4DB1-8477-A05E2A5FF0F3}"/>
    <cellStyle name="Millares [0] 4 4 3 2" xfId="1214" xr:uid="{1C2C85B1-8306-4EA6-A0BD-D9E1EE9DB865}"/>
    <cellStyle name="Millares [0] 4 4 4" xfId="882" xr:uid="{5A37F21E-BAB0-4390-868D-4300AA548BC8}"/>
    <cellStyle name="Millares [0] 4 5" xfId="288" xr:uid="{8677E272-4A05-4DAB-BF1F-54DEC32A902B}"/>
    <cellStyle name="Millares [0] 4 5 2" xfId="627" xr:uid="{2B2BF2BB-22EB-490D-9F40-5549B25EEB8E}"/>
    <cellStyle name="Millares [0] 4 5 2 2" xfId="1298" xr:uid="{A3789F17-1661-422A-9CC8-F6B99B90A0AE}"/>
    <cellStyle name="Millares [0] 4 5 3" xfId="966" xr:uid="{B23742AD-4B44-40C0-8C83-723E103EA65F}"/>
    <cellStyle name="Millares [0] 4 6" xfId="461" xr:uid="{7C899372-6628-4069-AB67-44571D5DFE13}"/>
    <cellStyle name="Millares [0] 4 6 2" xfId="1132" xr:uid="{0C6D05B0-F8EA-4022-A00B-EB31C9A4BC7A}"/>
    <cellStyle name="Millares [0] 4 7" xfId="800" xr:uid="{6D6AC8B0-9936-49CB-B3E4-518B571DD397}"/>
    <cellStyle name="Millares [0] 5" xfId="63" xr:uid="{8C1C8E94-E453-4D79-A0F1-EFB9591B6C37}"/>
    <cellStyle name="Millares [0] 5 2" xfId="98" xr:uid="{9A620D01-870C-4FEE-BDAF-1818E6C7F2CE}"/>
    <cellStyle name="Millares [0] 5 2 2" xfId="146" xr:uid="{0CC40E3E-27E3-459E-BD6D-DAEC9C0BC082}"/>
    <cellStyle name="Millares [0] 5 2 2 2" xfId="235" xr:uid="{82002E43-EC38-4972-AAA9-457D175DF156}"/>
    <cellStyle name="Millares [0] 5 2 2 2 2" xfId="421" xr:uid="{1D631B57-4B17-492A-ACA1-6922EC868341}"/>
    <cellStyle name="Millares [0] 5 2 2 2 2 2" xfId="760" xr:uid="{683F8608-76BF-4925-B886-CA6A2B0C982B}"/>
    <cellStyle name="Millares [0] 5 2 2 2 2 2 2" xfId="1431" xr:uid="{97BD006A-107F-4FE0-92CE-651DA5F7C3A0}"/>
    <cellStyle name="Millares [0] 5 2 2 2 2 3" xfId="1099" xr:uid="{B6DDD951-DCC7-422D-B7FD-7896E49CC516}"/>
    <cellStyle name="Millares [0] 5 2 2 2 3" xfId="594" xr:uid="{2A71013C-CA8F-4930-BD51-DC1F7DAFA666}"/>
    <cellStyle name="Millares [0] 5 2 2 2 3 2" xfId="1265" xr:uid="{42AE5434-004A-47DB-AF02-19B313FA41C0}"/>
    <cellStyle name="Millares [0] 5 2 2 2 4" xfId="933" xr:uid="{C4436831-F2F3-45D8-8282-650EBB7108BA}"/>
    <cellStyle name="Millares [0] 5 2 2 3" xfId="339" xr:uid="{CFE60393-54E8-468C-A2E6-C02375EA3B58}"/>
    <cellStyle name="Millares [0] 5 2 2 3 2" xfId="678" xr:uid="{B26FCB6A-2379-45DA-80D5-80F4B49C7F16}"/>
    <cellStyle name="Millares [0] 5 2 2 3 2 2" xfId="1349" xr:uid="{1EF20907-A27C-4DE5-BB79-58468FA838CF}"/>
    <cellStyle name="Millares [0] 5 2 2 3 3" xfId="1017" xr:uid="{644B2E0E-3DB3-4B56-9033-9C72BDA01024}"/>
    <cellStyle name="Millares [0] 5 2 2 4" xfId="512" xr:uid="{A35C979F-B4DC-496D-847C-CF3862FA7059}"/>
    <cellStyle name="Millares [0] 5 2 2 4 2" xfId="1183" xr:uid="{2E273092-0CA9-4CFD-BC63-70FDA5EDFF72}"/>
    <cellStyle name="Millares [0] 5 2 2 5" xfId="851" xr:uid="{1ECFB558-8C26-4717-A817-2B0636582599}"/>
    <cellStyle name="Millares [0] 5 2 3" xfId="195" xr:uid="{B243A8A3-0E62-4929-9C76-5DB6CA59F2A7}"/>
    <cellStyle name="Millares [0] 5 2 3 2" xfId="381" xr:uid="{CCDF5191-44E1-4BAD-A45C-6A85D0269740}"/>
    <cellStyle name="Millares [0] 5 2 3 2 2" xfId="720" xr:uid="{1193E1BC-4A06-42CC-A570-80D2C2C46C77}"/>
    <cellStyle name="Millares [0] 5 2 3 2 2 2" xfId="1391" xr:uid="{E6F3E25E-DE6D-47C4-B4A3-B032217E25AD}"/>
    <cellStyle name="Millares [0] 5 2 3 2 3" xfId="1059" xr:uid="{2C1C4D79-E216-4D27-8406-C4A772B559F2}"/>
    <cellStyle name="Millares [0] 5 2 3 3" xfId="554" xr:uid="{7F8EAE58-5B22-4BD4-9EB2-CF165A9B70BF}"/>
    <cellStyle name="Millares [0] 5 2 3 3 2" xfId="1225" xr:uid="{91D54F41-3E38-4FE4-A37A-1D45C25020F4}"/>
    <cellStyle name="Millares [0] 5 2 3 4" xfId="893" xr:uid="{487BF4B9-8AF3-4CC4-A20B-F445CF30C1CB}"/>
    <cellStyle name="Millares [0] 5 2 4" xfId="299" xr:uid="{64DD6302-A32E-42DB-B237-989255FE8E0F}"/>
    <cellStyle name="Millares [0] 5 2 4 2" xfId="638" xr:uid="{AEC74084-C844-46EF-A405-23986DD7F052}"/>
    <cellStyle name="Millares [0] 5 2 4 2 2" xfId="1309" xr:uid="{EFBE7145-9AC0-4370-AA70-81147BB7A794}"/>
    <cellStyle name="Millares [0] 5 2 4 3" xfId="977" xr:uid="{D4F68D2D-B1D1-4E98-A393-E571B7F6FC7D}"/>
    <cellStyle name="Millares [0] 5 2 5" xfId="472" xr:uid="{3A589C24-30AD-494A-996F-1E084717171F}"/>
    <cellStyle name="Millares [0] 5 2 5 2" xfId="1143" xr:uid="{0900C8E5-C5B5-4A17-99E9-3C2F513A0FE7}"/>
    <cellStyle name="Millares [0] 5 2 6" xfId="811" xr:uid="{6C58BBBA-B62F-42D0-9A16-0AD037521973}"/>
    <cellStyle name="Millares [0] 5 3" xfId="127" xr:uid="{AC4F0B3E-1451-4331-80A8-E592F62B4F21}"/>
    <cellStyle name="Millares [0] 5 3 2" xfId="216" xr:uid="{8CB611A3-CE59-4756-ABA5-1D9768E8EC05}"/>
    <cellStyle name="Millares [0] 5 3 2 2" xfId="402" xr:uid="{ACDCA531-C51D-4856-B6DC-E3998AD28689}"/>
    <cellStyle name="Millares [0] 5 3 2 2 2" xfId="741" xr:uid="{483A7E36-34D6-4947-96C0-8DBDCCE7705B}"/>
    <cellStyle name="Millares [0] 5 3 2 2 2 2" xfId="1412" xr:uid="{E42AB66E-10FB-4398-9578-E3A6590B735D}"/>
    <cellStyle name="Millares [0] 5 3 2 2 3" xfId="1080" xr:uid="{2023D594-CDD7-45CD-B1AD-3F51498556D7}"/>
    <cellStyle name="Millares [0] 5 3 2 3" xfId="575" xr:uid="{13B7225D-8DA5-4DD6-A38E-FCF905A78C5D}"/>
    <cellStyle name="Millares [0] 5 3 2 3 2" xfId="1246" xr:uid="{9EA8E727-07CF-40BB-AB01-55DE25B20490}"/>
    <cellStyle name="Millares [0] 5 3 2 4" xfId="914" xr:uid="{14C7FA57-B065-4588-B376-CD6C0EDC1502}"/>
    <cellStyle name="Millares [0] 5 3 3" xfId="320" xr:uid="{995BD7B4-B615-4AF2-9F6F-E37F02E9F1B6}"/>
    <cellStyle name="Millares [0] 5 3 3 2" xfId="659" xr:uid="{35AA1C67-BB97-4A01-87FC-A90C65824196}"/>
    <cellStyle name="Millares [0] 5 3 3 2 2" xfId="1330" xr:uid="{8D0CE669-6B48-4737-90DB-746E76D160F9}"/>
    <cellStyle name="Millares [0] 5 3 3 3" xfId="998" xr:uid="{A7B305F0-9F8C-4128-A81E-8B99992A8276}"/>
    <cellStyle name="Millares [0] 5 3 4" xfId="493" xr:uid="{5F202798-B355-48E6-ABF0-1EDC055559EE}"/>
    <cellStyle name="Millares [0] 5 3 4 2" xfId="1164" xr:uid="{49E310B3-FDBE-4F90-983B-A7699FD3410F}"/>
    <cellStyle name="Millares [0] 5 3 5" xfId="832" xr:uid="{3EE0A0BC-9852-4157-8957-5D665AD39722}"/>
    <cellStyle name="Millares [0] 5 4" xfId="176" xr:uid="{0D09DF7C-5ED4-4072-BE9E-D0D562666644}"/>
    <cellStyle name="Millares [0] 5 4 2" xfId="362" xr:uid="{6DF20587-EFF5-4331-A27B-D967045A4735}"/>
    <cellStyle name="Millares [0] 5 4 2 2" xfId="701" xr:uid="{242356E7-8F48-49A2-87C2-E734990B3E7F}"/>
    <cellStyle name="Millares [0] 5 4 2 2 2" xfId="1372" xr:uid="{CD52C5E1-18DA-4E4F-BBDA-36E9E5D3182A}"/>
    <cellStyle name="Millares [0] 5 4 2 3" xfId="1040" xr:uid="{84DB855D-D88A-4034-83AA-623966972452}"/>
    <cellStyle name="Millares [0] 5 4 3" xfId="535" xr:uid="{268C5548-D445-4B4A-B2D3-0E6D9B5D0FEA}"/>
    <cellStyle name="Millares [0] 5 4 3 2" xfId="1206" xr:uid="{8ACA102C-E84A-4EDC-990C-D27127E4DB1D}"/>
    <cellStyle name="Millares [0] 5 4 4" xfId="874" xr:uid="{6FFDB2CB-8F42-4DFC-9A57-D6CFDDB73919}"/>
    <cellStyle name="Millares [0] 5 5" xfId="280" xr:uid="{7F87BC73-8AFE-4E4E-B02A-1BCA982FD32B}"/>
    <cellStyle name="Millares [0] 5 5 2" xfId="619" xr:uid="{222ABEBF-6AC2-4E55-B500-8FA95F383EC6}"/>
    <cellStyle name="Millares [0] 5 5 2 2" xfId="1290" xr:uid="{2C690D4B-F2A6-4079-BE8A-DF3AD57824B8}"/>
    <cellStyle name="Millares [0] 5 5 3" xfId="958" xr:uid="{F59AA1CC-E352-489A-ABF0-5CB99BFCD627}"/>
    <cellStyle name="Millares [0] 5 6" xfId="453" xr:uid="{A421A63E-F128-4E3E-88E7-6FD9B00D4C84}"/>
    <cellStyle name="Millares [0] 5 6 2" xfId="1124" xr:uid="{14AD9544-36FA-410B-BEB9-410EF98ACDAE}"/>
    <cellStyle name="Millares [0] 5 7" xfId="792" xr:uid="{2C44B2B6-7969-4310-B191-054F8DE29CB6}"/>
    <cellStyle name="Millares [0] 6" xfId="96" xr:uid="{4F48BB14-5053-4031-AB90-C93A4367EDE4}"/>
    <cellStyle name="Millares [0] 6 2" xfId="145" xr:uid="{E3F4A7C2-EA54-4BE1-A039-3A88EE51074F}"/>
    <cellStyle name="Millares [0] 6 2 2" xfId="234" xr:uid="{D0EDA787-5D64-4131-B76F-8C201135BB84}"/>
    <cellStyle name="Millares [0] 6 2 2 2" xfId="420" xr:uid="{8911C337-122E-4D0A-BCAD-ACFB70E9F30E}"/>
    <cellStyle name="Millares [0] 6 2 2 2 2" xfId="759" xr:uid="{BB137711-4F4E-48CF-803E-E5398B179574}"/>
    <cellStyle name="Millares [0] 6 2 2 2 2 2" xfId="1430" xr:uid="{9787195F-440B-4931-B3B0-6340F83F43F2}"/>
    <cellStyle name="Millares [0] 6 2 2 2 3" xfId="1098" xr:uid="{DB2F8C65-7803-4F2C-AC14-1E307DC835F6}"/>
    <cellStyle name="Millares [0] 6 2 2 3" xfId="593" xr:uid="{0A524908-A760-470B-9BED-9189E127316C}"/>
    <cellStyle name="Millares [0] 6 2 2 3 2" xfId="1264" xr:uid="{64BFF3AB-DFCB-4DF1-97D5-F6849ACA673E}"/>
    <cellStyle name="Millares [0] 6 2 2 4" xfId="932" xr:uid="{531E5785-C3E9-49E9-B61F-48A9518B9C75}"/>
    <cellStyle name="Millares [0] 6 2 3" xfId="338" xr:uid="{64AD73CC-4235-4B26-A598-687081B83EE7}"/>
    <cellStyle name="Millares [0] 6 2 3 2" xfId="677" xr:uid="{E033B83B-8144-48E0-B513-C142AE25C29C}"/>
    <cellStyle name="Millares [0] 6 2 3 2 2" xfId="1348" xr:uid="{64F9730C-62D6-42E8-9047-3B2100949C60}"/>
    <cellStyle name="Millares [0] 6 2 3 3" xfId="1016" xr:uid="{8DB8F3D0-F98B-4623-A74D-52FF0275D223}"/>
    <cellStyle name="Millares [0] 6 2 4" xfId="511" xr:uid="{A103E31E-F6BC-46CC-B67E-6DF26E01A2BC}"/>
    <cellStyle name="Millares [0] 6 2 4 2" xfId="1182" xr:uid="{D392AE7A-047A-4F68-ADC2-E30D1F8A3897}"/>
    <cellStyle name="Millares [0] 6 2 5" xfId="850" xr:uid="{426D0555-A00F-434E-9199-CCF4362D24CC}"/>
    <cellStyle name="Millares [0] 6 3" xfId="194" xr:uid="{E61A9229-8A31-449C-830A-965B459CBDF4}"/>
    <cellStyle name="Millares [0] 6 3 2" xfId="380" xr:uid="{E5CC9EFB-AB1F-474E-BE30-F73EB4CB03EB}"/>
    <cellStyle name="Millares [0] 6 3 2 2" xfId="719" xr:uid="{705E9DA7-9E79-4EAF-A95C-6EAD5405BB81}"/>
    <cellStyle name="Millares [0] 6 3 2 2 2" xfId="1390" xr:uid="{743E7666-FA58-4E00-9AD9-14BA6ADF97EB}"/>
    <cellStyle name="Millares [0] 6 3 2 3" xfId="1058" xr:uid="{591984B6-A2EC-4EE0-A7B6-7EBD2DF854F9}"/>
    <cellStyle name="Millares [0] 6 3 3" xfId="553" xr:uid="{7BD9E9D5-265D-4F0B-8D7A-C6E99B7D0390}"/>
    <cellStyle name="Millares [0] 6 3 3 2" xfId="1224" xr:uid="{FB9DC414-B09A-4BA8-82A0-E2DF8CABCBCC}"/>
    <cellStyle name="Millares [0] 6 3 4" xfId="892" xr:uid="{C9C7B96D-D0B6-4E19-AF12-E44E2F0105F3}"/>
    <cellStyle name="Millares [0] 6 4" xfId="298" xr:uid="{6C4D83DA-48D9-43B4-BB08-873C537AC1C6}"/>
    <cellStyle name="Millares [0] 6 4 2" xfId="637" xr:uid="{AAC6CF5C-574B-4816-807F-763A519CE724}"/>
    <cellStyle name="Millares [0] 6 4 2 2" xfId="1308" xr:uid="{D2C602FC-77F5-4748-9292-38B33D72BCD6}"/>
    <cellStyle name="Millares [0] 6 4 3" xfId="976" xr:uid="{95FC5E6D-16B0-4408-AD2C-4F36A3E1D0F1}"/>
    <cellStyle name="Millares [0] 6 5" xfId="471" xr:uid="{65359016-853D-44D0-A417-F62752AB2E04}"/>
    <cellStyle name="Millares [0] 6 5 2" xfId="1142" xr:uid="{4CDE25D4-054B-4C9D-820E-D8C865FE13B2}"/>
    <cellStyle name="Millares [0] 6 6" xfId="810" xr:uid="{893943C2-10DC-4ACA-9C6F-749BDC02CB51}"/>
    <cellStyle name="Millares [0] 7" xfId="125" xr:uid="{6C5754EF-50FA-465E-928D-16C14512B1E3}"/>
    <cellStyle name="Millares [0] 7 2" xfId="215" xr:uid="{3A1509E3-EB05-4A69-8C76-84CD3F16E317}"/>
    <cellStyle name="Millares [0] 7 2 2" xfId="401" xr:uid="{D5020001-569D-46AE-B3C3-4F7C5BAEF8BC}"/>
    <cellStyle name="Millares [0] 7 2 2 2" xfId="740" xr:uid="{7C6DC778-6FBF-4A84-AC48-75AE69CE3974}"/>
    <cellStyle name="Millares [0] 7 2 2 2 2" xfId="1411" xr:uid="{9C4AC805-F4BA-42DB-854E-BCA62C8D0686}"/>
    <cellStyle name="Millares [0] 7 2 2 3" xfId="1079" xr:uid="{D995155A-BEC0-4F19-89C6-500F12DE8CDE}"/>
    <cellStyle name="Millares [0] 7 2 3" xfId="574" xr:uid="{9549A3E3-4496-41B0-9BD7-0F9411CD20C2}"/>
    <cellStyle name="Millares [0] 7 2 3 2" xfId="1245" xr:uid="{4FF99D4D-BA22-4E9B-821E-56531D6EE094}"/>
    <cellStyle name="Millares [0] 7 2 4" xfId="913" xr:uid="{3D2130C0-DFB3-4B8E-8348-E155E0C45968}"/>
    <cellStyle name="Millares [0] 7 3" xfId="319" xr:uid="{05D32880-5500-4900-884C-111DCE07A9EF}"/>
    <cellStyle name="Millares [0] 7 3 2" xfId="658" xr:uid="{F30B6BC7-34F1-43CD-8E0E-2D20433F9E3B}"/>
    <cellStyle name="Millares [0] 7 3 2 2" xfId="1329" xr:uid="{F82AF061-B27D-4913-999A-EB889BB246CA}"/>
    <cellStyle name="Millares [0] 7 3 3" xfId="997" xr:uid="{539D3602-0F94-453D-A01B-8BA77585C8CD}"/>
    <cellStyle name="Millares [0] 7 4" xfId="492" xr:uid="{17F07628-DDA2-46E8-8E38-BA7C725B08D2}"/>
    <cellStyle name="Millares [0] 7 4 2" xfId="1163" xr:uid="{75EDD057-21BA-4894-9D8E-31A300AE8120}"/>
    <cellStyle name="Millares [0] 7 5" xfId="831" xr:uid="{FB5D6E5A-336F-4F9B-B558-BA02DDF472D2}"/>
    <cellStyle name="Millares [0] 8" xfId="111" xr:uid="{FA62A8D8-C328-4B0A-959D-193A02284B4E}"/>
    <cellStyle name="Millares [0] 8 2" xfId="208" xr:uid="{91084D8E-CFF3-440C-B4D9-D7F26B87DF72}"/>
    <cellStyle name="Millares [0] 8 2 2" xfId="394" xr:uid="{D7604A1B-8DAE-4708-88A2-AF1BB838CB68}"/>
    <cellStyle name="Millares [0] 8 2 2 2" xfId="733" xr:uid="{D6A53FB1-A38F-4EA2-9DBC-BC97C1C5AE0E}"/>
    <cellStyle name="Millares [0] 8 2 2 2 2" xfId="1404" xr:uid="{9A33C730-EC65-4FC9-B1D0-8EECA67D1649}"/>
    <cellStyle name="Millares [0] 8 2 2 3" xfId="1072" xr:uid="{3A99A6EF-FC2C-4C67-B373-9EF19CF4A9E5}"/>
    <cellStyle name="Millares [0] 8 2 3" xfId="567" xr:uid="{11D26BBA-7016-4EBC-A04C-F96A4FBEE609}"/>
    <cellStyle name="Millares [0] 8 2 3 2" xfId="1238" xr:uid="{5905831F-EC39-479C-B182-73E5700FF960}"/>
    <cellStyle name="Millares [0] 8 2 4" xfId="906" xr:uid="{86D59691-9DBA-4643-9B51-4E2959EEAD36}"/>
    <cellStyle name="Millares [0] 8 3" xfId="312" xr:uid="{EB7DBD5D-044B-4FBA-956A-05E1C28DAC9D}"/>
    <cellStyle name="Millares [0] 8 3 2" xfId="651" xr:uid="{F09FB78C-84F6-4EA7-9E5E-214BC11B2F1E}"/>
    <cellStyle name="Millares [0] 8 3 2 2" xfId="1322" xr:uid="{82259605-E1E6-4CFB-89AD-7BFB884D7FEF}"/>
    <cellStyle name="Millares [0] 8 3 3" xfId="990" xr:uid="{44E00552-B5AB-40AD-9709-EE1D62D9E3D0}"/>
    <cellStyle name="Millares [0] 8 4" xfId="485" xr:uid="{31B67E00-B5E4-4E2C-8249-CF2D47BB36C4}"/>
    <cellStyle name="Millares [0] 8 4 2" xfId="1156" xr:uid="{E8075B14-759F-40C5-986D-4FF8C92CA686}"/>
    <cellStyle name="Millares [0] 8 5" xfId="824" xr:uid="{D5F93F67-BE89-44CB-A998-36FCEFA65C65}"/>
    <cellStyle name="Millares [0] 9" xfId="161" xr:uid="{EA2C0D40-8BAF-412C-AF77-410E49FF8473}"/>
    <cellStyle name="Millares [0] 9 2" xfId="250" xr:uid="{E87349D7-6577-4205-88FA-53EE02A42F91}"/>
    <cellStyle name="Millares [0] 9 2 2" xfId="436" xr:uid="{617A9FF4-42B9-4049-9A0B-6F4C42164FAD}"/>
    <cellStyle name="Millares [0] 9 2 2 2" xfId="775" xr:uid="{A71CAEEF-65E6-46AC-98C8-35409AC7E833}"/>
    <cellStyle name="Millares [0] 9 2 2 2 2" xfId="1446" xr:uid="{C819C37B-3661-4313-85AF-9FCE24606248}"/>
    <cellStyle name="Millares [0] 9 2 2 3" xfId="1114" xr:uid="{05C6DB9F-34DB-4A30-A21E-9B6F47CC5C37}"/>
    <cellStyle name="Millares [0] 9 2 3" xfId="609" xr:uid="{BFE49920-B6ED-4473-A841-8FBA0127707E}"/>
    <cellStyle name="Millares [0] 9 2 3 2" xfId="1280" xr:uid="{175FFD4D-0AB1-4A6E-B905-42DE8CEAF341}"/>
    <cellStyle name="Millares [0] 9 2 4" xfId="948" xr:uid="{113EDC6D-844E-4A0E-990C-4C5CA455EC37}"/>
    <cellStyle name="Millares [0] 9 3" xfId="354" xr:uid="{CA20F5DA-4055-49DA-A946-BDAB46074962}"/>
    <cellStyle name="Millares [0] 9 3 2" xfId="693" xr:uid="{B1629963-6464-4535-9081-D0E00469DB6D}"/>
    <cellStyle name="Millares [0] 9 3 2 2" xfId="1364" xr:uid="{05797FDC-A4F6-48BD-A0AC-54CC0F8BA906}"/>
    <cellStyle name="Millares [0] 9 3 3" xfId="1032" xr:uid="{7D4718B8-E3F0-400B-99DE-740EC4B40BF5}"/>
    <cellStyle name="Millares [0] 9 4" xfId="527" xr:uid="{146064D2-9F7F-4F24-A024-2BB208FF5110}"/>
    <cellStyle name="Millares [0] 9 4 2" xfId="1198" xr:uid="{5ABA42C9-4D27-4C2D-9488-593CD6FCE2D5}"/>
    <cellStyle name="Millares [0] 9 5" xfId="866" xr:uid="{0E7CB94F-712C-4B98-8786-66A8012310CC}"/>
    <cellStyle name="Millares 10" xfId="118" xr:uid="{EB6765B7-3E08-4024-9861-09D52E4D589B}"/>
    <cellStyle name="Millares 10 2" xfId="209" xr:uid="{CB344EDD-576C-4DD5-98F5-2037C03C139E}"/>
    <cellStyle name="Millares 10 2 2" xfId="395" xr:uid="{B1172855-9F4B-495F-91C6-DB00D1D3613A}"/>
    <cellStyle name="Millares 10 2 2 2" xfId="734" xr:uid="{DA242E14-68B8-492B-993E-7F209FDB6CE8}"/>
    <cellStyle name="Millares 10 2 2 2 2" xfId="1405" xr:uid="{CAB788CA-D925-4FAC-806F-A42C6D814841}"/>
    <cellStyle name="Millares 10 2 2 3" xfId="1073" xr:uid="{6940D558-1CBE-415C-B669-15BE80DE5AE2}"/>
    <cellStyle name="Millares 10 2 3" xfId="568" xr:uid="{5B9171C2-4129-4EA4-BC65-2A29A19CE771}"/>
    <cellStyle name="Millares 10 2 3 2" xfId="1239" xr:uid="{5E35DFA6-136A-48CE-AD3E-3985F871C975}"/>
    <cellStyle name="Millares 10 2 4" xfId="907" xr:uid="{53EF6AA7-3B5A-4191-A155-5913765AA2F9}"/>
    <cellStyle name="Millares 10 3" xfId="313" xr:uid="{0A1241BB-BEED-4255-802A-A8DE51BA5527}"/>
    <cellStyle name="Millares 10 3 2" xfId="652" xr:uid="{7CD32F5A-6055-4F8B-92B7-D7C1B2F858E2}"/>
    <cellStyle name="Millares 10 3 2 2" xfId="1323" xr:uid="{F2ABD28F-C3CA-4277-8979-D8E37DC1F7E9}"/>
    <cellStyle name="Millares 10 3 3" xfId="991" xr:uid="{1FEE8F06-6DC0-437D-878D-71229BCB8426}"/>
    <cellStyle name="Millares 10 4" xfId="486" xr:uid="{47C43EDF-E9F9-4176-BF72-57220B97C8A1}"/>
    <cellStyle name="Millares 10 4 2" xfId="1157" xr:uid="{440BD8A2-AF7D-4834-B33D-9B0AEF444331}"/>
    <cellStyle name="Millares 10 5" xfId="825" xr:uid="{1F8BFF67-4B5B-4A9B-8DBB-E8C2F32BE71A}"/>
    <cellStyle name="Millares 100 2" xfId="57" xr:uid="{AB4C35C3-10CA-402A-AB11-206E5AF7C6C9}"/>
    <cellStyle name="Millares 100 2 2" xfId="262" xr:uid="{FE72DAB1-E559-4FA0-8638-8384922CE7DF}"/>
    <cellStyle name="Millares 11" xfId="159" xr:uid="{1FC9F6CE-0767-4B3D-85CF-7BD296903B81}"/>
    <cellStyle name="Millares 11 2" xfId="248" xr:uid="{4FAE8BA3-9BAC-4BC8-A7F9-9346E2816FD7}"/>
    <cellStyle name="Millares 11 2 2" xfId="434" xr:uid="{4580FA6B-5B41-4D90-B75D-A594BF0F9354}"/>
    <cellStyle name="Millares 11 2 2 2" xfId="773" xr:uid="{044606E4-3792-414B-8F19-46BF7216C772}"/>
    <cellStyle name="Millares 11 2 2 2 2" xfId="1444" xr:uid="{081A15A6-4B3F-478B-8303-AED28B5DE25D}"/>
    <cellStyle name="Millares 11 2 2 3" xfId="1112" xr:uid="{0F7B7440-977C-4737-B024-2268EB7FFF2F}"/>
    <cellStyle name="Millares 11 2 3" xfId="607" xr:uid="{655EA779-632C-400C-B6F8-F8C6F67D94E8}"/>
    <cellStyle name="Millares 11 2 3 2" xfId="1278" xr:uid="{23852DA6-64BC-4E0E-8C6D-519CE3B10B9A}"/>
    <cellStyle name="Millares 11 2 4" xfId="946" xr:uid="{B599CCE1-42C0-4EFE-BA65-877A4A65B3EE}"/>
    <cellStyle name="Millares 11 3" xfId="352" xr:uid="{38FF9AD6-F486-40CB-9652-032B23A6B7B1}"/>
    <cellStyle name="Millares 11 3 2" xfId="691" xr:uid="{8886003D-D6F1-4C4F-AE48-628E7ECB93CD}"/>
    <cellStyle name="Millares 11 3 2 2" xfId="1362" xr:uid="{B9FB6B69-021F-43EF-BCB6-230389B03F0C}"/>
    <cellStyle name="Millares 11 3 3" xfId="1030" xr:uid="{B14EBB2E-F83E-43AD-9017-2FB7F4058A29}"/>
    <cellStyle name="Millares 11 4" xfId="525" xr:uid="{B8C3B3F6-C8E9-4F84-BA16-D4BB5AAA7153}"/>
    <cellStyle name="Millares 11 4 2" xfId="1196" xr:uid="{52D084B5-DE71-458C-921A-CDFC36D07866}"/>
    <cellStyle name="Millares 11 5" xfId="864" xr:uid="{EC4A8A3F-5C92-4F82-B693-07CE2F006B6C}"/>
    <cellStyle name="Millares 12" xfId="160" xr:uid="{81FCAC74-8146-46F8-AE7B-B256B212B86A}"/>
    <cellStyle name="Millares 12 2" xfId="249" xr:uid="{001C5A03-A971-40DF-8780-24FE143E27FE}"/>
    <cellStyle name="Millares 12 2 2" xfId="435" xr:uid="{5C354C7B-E46E-419F-841C-C17F883CDC31}"/>
    <cellStyle name="Millares 12 2 2 2" xfId="774" xr:uid="{65F14AA7-862F-447C-AD7B-4540D59E7717}"/>
    <cellStyle name="Millares 12 2 2 2 2" xfId="1445" xr:uid="{E153DDD9-D668-4717-827D-CFE58D24CBB9}"/>
    <cellStyle name="Millares 12 2 2 3" xfId="1113" xr:uid="{37BE808B-7E14-4649-B469-323BA87650AD}"/>
    <cellStyle name="Millares 12 2 3" xfId="608" xr:uid="{83A7636B-CD77-4E81-867A-DE65D2915526}"/>
    <cellStyle name="Millares 12 2 3 2" xfId="1279" xr:uid="{D651019E-5EB7-47BC-B995-EF241E1603B4}"/>
    <cellStyle name="Millares 12 2 4" xfId="947" xr:uid="{CF3AC3A9-C33F-4E96-B2DB-1F2FA6165BFC}"/>
    <cellStyle name="Millares 12 3" xfId="353" xr:uid="{B4C776C2-EA95-48C5-9CFB-C63896B4823D}"/>
    <cellStyle name="Millares 12 3 2" xfId="692" xr:uid="{3832B5DE-E635-44E8-B990-2AD1AE93520F}"/>
    <cellStyle name="Millares 12 3 2 2" xfId="1363" xr:uid="{14CC0BE5-3F05-4023-9407-F5DCCA0E5715}"/>
    <cellStyle name="Millares 12 3 3" xfId="1031" xr:uid="{6410A4D3-FC64-42A8-92A1-D4F2A75E2D11}"/>
    <cellStyle name="Millares 12 4" xfId="526" xr:uid="{AF004095-4B65-4C82-A8F1-92E247D7D86C}"/>
    <cellStyle name="Millares 12 4 2" xfId="1197" xr:uid="{95332E27-8EB3-4C36-B90C-2D1F51F46870}"/>
    <cellStyle name="Millares 12 5" xfId="865" xr:uid="{7D1DC894-E87B-43CC-9184-3E5C41722900}"/>
    <cellStyle name="Millares 13" xfId="168" xr:uid="{B4EEA3AB-CAFB-4CAE-8B53-473BD7393E76}"/>
    <cellStyle name="Millares 13 2" xfId="355" xr:uid="{53EFE2D7-AABC-49E5-9082-E902DF20105B}"/>
    <cellStyle name="Millares 13 2 2" xfId="694" xr:uid="{75E6D2D1-FB04-4F4F-97DA-54E2392DC834}"/>
    <cellStyle name="Millares 13 2 2 2" xfId="1365" xr:uid="{A82E5AF8-3119-4721-A046-C5A855D07432}"/>
    <cellStyle name="Millares 13 2 3" xfId="1033" xr:uid="{29681780-BE2D-4C17-8FF2-19DE862C2907}"/>
    <cellStyle name="Millares 13 3" xfId="528" xr:uid="{5C240801-DAB9-4662-B133-94D1F742774D}"/>
    <cellStyle name="Millares 13 3 2" xfId="1199" xr:uid="{475E9C98-A86C-4CA5-89A5-C6978075722C}"/>
    <cellStyle name="Millares 13 4" xfId="867" xr:uid="{E6ADEE35-84E2-4410-ABE5-CF7E008305F5}"/>
    <cellStyle name="Millares 14" xfId="257" xr:uid="{6F2E887B-1088-4843-BEC4-FD3886495451}"/>
    <cellStyle name="Millares 14 2" xfId="437" xr:uid="{11695797-F3FE-41C5-B11A-740F6819A5ED}"/>
    <cellStyle name="Millares 14 2 2" xfId="776" xr:uid="{F8F1CCCF-F6C4-42C3-BFE7-6EBF41284DBC}"/>
    <cellStyle name="Millares 14 2 2 2" xfId="1447" xr:uid="{721AC25B-68CE-4B45-97FB-5721ABA74EEE}"/>
    <cellStyle name="Millares 14 2 3" xfId="1115" xr:uid="{4CED71BB-7972-4CFA-97C2-4B5621CA276A}"/>
    <cellStyle name="Millares 14 3" xfId="610" xr:uid="{8332719F-88A4-4C4D-96F7-148792321807}"/>
    <cellStyle name="Millares 14 3 2" xfId="1281" xr:uid="{03888815-6560-4EE5-AD19-7455C27DFE18}"/>
    <cellStyle name="Millares 14 4" xfId="949" xr:uid="{B76AAE37-5B2D-4008-9374-C380A18E2C2E}"/>
    <cellStyle name="Millares 15" xfId="272" xr:uid="{C3184DE1-AE15-4C6C-BFD5-122AFB573C0E}"/>
    <cellStyle name="Millares 15 2" xfId="612" xr:uid="{33234DE0-1DFC-49C2-939E-7D572A38B323}"/>
    <cellStyle name="Millares 15 2 2" xfId="1283" xr:uid="{4573A1D0-AA3F-43B6-84C7-2C1BB31B577C}"/>
    <cellStyle name="Millares 15 3" xfId="951" xr:uid="{545716FF-C715-4035-966A-BFD7DC58A263}"/>
    <cellStyle name="Millares 16" xfId="445" xr:uid="{57A9E26E-E183-43C2-8152-C0D7FC975988}"/>
    <cellStyle name="Millares 16 2" xfId="1117" xr:uid="{9683EB0B-8C6B-42D6-8A3D-308A75113121}"/>
    <cellStyle name="Millares 17" xfId="784" xr:uid="{1DB6AEEB-5782-4FCC-8E55-1AB697491C8E}"/>
    <cellStyle name="Millares 18" xfId="59" xr:uid="{88B8682E-E8A4-4051-8EC8-C3C483E54440}"/>
    <cellStyle name="Millares 19" xfId="43" xr:uid="{DE7E5FAD-568F-4A97-9470-DDE119B6BF34}"/>
    <cellStyle name="Millares 2" xfId="47" xr:uid="{9217BE76-D03A-495A-8F58-C732D0A97798}"/>
    <cellStyle name="Millares 2 2" xfId="74" xr:uid="{D3DC2A40-A9C8-4DE3-A0CF-6BA74AF9A222}"/>
    <cellStyle name="Millares 2 2 2" xfId="103" xr:uid="{A727AF11-2483-45CD-9491-9C510158B92F}"/>
    <cellStyle name="Millares 2 2 2 2" xfId="151" xr:uid="{AB1B0AF2-549D-4DD3-8C2A-88424118ED6F}"/>
    <cellStyle name="Millares 2 2 2 2 2" xfId="240" xr:uid="{DC667839-D175-4B4A-8146-0B7ADF018A99}"/>
    <cellStyle name="Millares 2 2 2 2 2 2" xfId="426" xr:uid="{81680CFB-D797-48F4-921A-BA92C0A68970}"/>
    <cellStyle name="Millares 2 2 2 2 2 2 2" xfId="765" xr:uid="{85252255-E638-405C-ABB9-46CD5C761CAA}"/>
    <cellStyle name="Millares 2 2 2 2 2 2 2 2" xfId="1436" xr:uid="{F84834F1-DC28-4E59-A24D-BFA395622177}"/>
    <cellStyle name="Millares 2 2 2 2 2 2 3" xfId="1104" xr:uid="{3F8ED070-9453-43B0-B1C2-BEC8B0FB7B58}"/>
    <cellStyle name="Millares 2 2 2 2 2 3" xfId="599" xr:uid="{08F0CDDA-517E-408F-9EF8-26062373AD73}"/>
    <cellStyle name="Millares 2 2 2 2 2 3 2" xfId="1270" xr:uid="{5F0B9CA0-AA73-4857-B247-41A82005B717}"/>
    <cellStyle name="Millares 2 2 2 2 2 4" xfId="938" xr:uid="{80873652-1973-4381-8CBE-BAA7C548FE85}"/>
    <cellStyle name="Millares 2 2 2 2 3" xfId="344" xr:uid="{0461F0B3-22A2-4C6C-B711-729E69E556F5}"/>
    <cellStyle name="Millares 2 2 2 2 3 2" xfId="683" xr:uid="{FA18D5FF-531E-4161-A344-35EB21CEEE27}"/>
    <cellStyle name="Millares 2 2 2 2 3 2 2" xfId="1354" xr:uid="{1119BD1A-CA69-485C-8C01-3DFD56622EFB}"/>
    <cellStyle name="Millares 2 2 2 2 3 3" xfId="1022" xr:uid="{C5BF8B80-0464-4CFE-9E63-731CE751455D}"/>
    <cellStyle name="Millares 2 2 2 2 4" xfId="517" xr:uid="{F0C75EFE-C02D-4BB9-B1B9-50A8F41B1E81}"/>
    <cellStyle name="Millares 2 2 2 2 4 2" xfId="1188" xr:uid="{10BE5AE1-906F-43A5-A585-6341FFCC0CCE}"/>
    <cellStyle name="Millares 2 2 2 2 5" xfId="856" xr:uid="{B9775073-5A2E-4D2C-B791-89F48FDB75EF}"/>
    <cellStyle name="Millares 2 2 2 3" xfId="200" xr:uid="{C982EB1F-C919-4682-B772-602EDE9A7899}"/>
    <cellStyle name="Millares 2 2 2 3 2" xfId="386" xr:uid="{816B874C-EB7C-491F-B5C6-8E9D5594AC47}"/>
    <cellStyle name="Millares 2 2 2 3 2 2" xfId="725" xr:uid="{6A79333E-CE83-47D8-8DE2-81FC2FEBC7B3}"/>
    <cellStyle name="Millares 2 2 2 3 2 2 2" xfId="1396" xr:uid="{155CDCF7-28C8-4252-B868-8D576EDA2C43}"/>
    <cellStyle name="Millares 2 2 2 3 2 3" xfId="1064" xr:uid="{C2110268-EF36-4D70-8536-DEFD9E942D1A}"/>
    <cellStyle name="Millares 2 2 2 3 3" xfId="559" xr:uid="{F3385CC3-0496-4BAF-9501-B518FFEE1FBA}"/>
    <cellStyle name="Millares 2 2 2 3 3 2" xfId="1230" xr:uid="{2CDA3664-17BB-4956-BAAC-1B8D12C8D88C}"/>
    <cellStyle name="Millares 2 2 2 3 4" xfId="898" xr:uid="{A4611F0F-293F-4D82-9F82-67484C4C4D5D}"/>
    <cellStyle name="Millares 2 2 2 4" xfId="304" xr:uid="{D9CC6B5C-4E93-42F8-8BB2-5B4080FA08E0}"/>
    <cellStyle name="Millares 2 2 2 4 2" xfId="643" xr:uid="{8C3A5BE0-B0D8-45D4-AD59-D64AF561D3B8}"/>
    <cellStyle name="Millares 2 2 2 4 2 2" xfId="1314" xr:uid="{3BDB0BCA-3514-437E-BD18-118D6F5DBD40}"/>
    <cellStyle name="Millares 2 2 2 4 3" xfId="982" xr:uid="{F4096E2F-8BFE-4793-848F-31EF6CA1BB60}"/>
    <cellStyle name="Millares 2 2 2 5" xfId="477" xr:uid="{02D6D840-2894-424A-A733-D7CF7D693DF5}"/>
    <cellStyle name="Millares 2 2 2 5 2" xfId="1148" xr:uid="{540C4E93-838D-4CA2-951F-300A2BC3EBBD}"/>
    <cellStyle name="Millares 2 2 2 6" xfId="816" xr:uid="{819DADD3-369A-42EF-84BF-A268466C3F66}"/>
    <cellStyle name="Millares 2 2 3" xfId="132" xr:uid="{0E0B2C2F-90A6-453F-A5FA-188F4AA15939}"/>
    <cellStyle name="Millares 2 2 3 2" xfId="221" xr:uid="{4B33725B-1818-4BB3-BF5F-47954FB05505}"/>
    <cellStyle name="Millares 2 2 3 2 2" xfId="407" xr:uid="{9624DBF2-00BC-4B8A-BD22-B74B4295CA2A}"/>
    <cellStyle name="Millares 2 2 3 2 2 2" xfId="746" xr:uid="{6929E5F7-6D7F-4251-AB2D-5666FF737113}"/>
    <cellStyle name="Millares 2 2 3 2 2 2 2" xfId="1417" xr:uid="{07661107-1B22-4F9A-AFD0-242FC5611C30}"/>
    <cellStyle name="Millares 2 2 3 2 2 3" xfId="1085" xr:uid="{5E66359B-B1CC-449D-987D-4AC6967A909F}"/>
    <cellStyle name="Millares 2 2 3 2 3" xfId="580" xr:uid="{7D3D537F-308E-443F-AFF5-8C5B66C49A5F}"/>
    <cellStyle name="Millares 2 2 3 2 3 2" xfId="1251" xr:uid="{67411673-8A65-4051-A46E-512C1991ECBC}"/>
    <cellStyle name="Millares 2 2 3 2 4" xfId="919" xr:uid="{EAD24939-DC3A-4A6B-837C-96980587930C}"/>
    <cellStyle name="Millares 2 2 3 3" xfId="325" xr:uid="{7568CC2C-7808-4661-946B-ABDD53F97555}"/>
    <cellStyle name="Millares 2 2 3 3 2" xfId="664" xr:uid="{B72761D4-6CF0-4EE6-8961-E47B71E670D5}"/>
    <cellStyle name="Millares 2 2 3 3 2 2" xfId="1335" xr:uid="{9A7A587A-F597-4949-B833-67A3D2C4AB80}"/>
    <cellStyle name="Millares 2 2 3 3 3" xfId="1003" xr:uid="{8A612CCC-7710-4016-9AC3-2BE60F261AF3}"/>
    <cellStyle name="Millares 2 2 3 4" xfId="498" xr:uid="{83723358-F20E-421B-9636-B6B127F0442F}"/>
    <cellStyle name="Millares 2 2 3 4 2" xfId="1169" xr:uid="{E0422170-ACAC-4654-8499-DD50029D02A8}"/>
    <cellStyle name="Millares 2 2 3 5" xfId="837" xr:uid="{A01E4194-D66C-4947-BE13-998CB2DA5F4A}"/>
    <cellStyle name="Millares 2 2 4" xfId="181" xr:uid="{F6EE0927-7D1E-4AA3-85D1-8F511BF992E0}"/>
    <cellStyle name="Millares 2 2 4 2" xfId="367" xr:uid="{0A54DF20-D3AD-4EDC-AF6D-B151905DD1C5}"/>
    <cellStyle name="Millares 2 2 4 2 2" xfId="706" xr:uid="{D661A41C-5A4D-4F31-BC74-A16B91CEC1D3}"/>
    <cellStyle name="Millares 2 2 4 2 2 2" xfId="1377" xr:uid="{76637CC2-B1B7-48E3-8AE3-AD88ACFC2DDE}"/>
    <cellStyle name="Millares 2 2 4 2 3" xfId="1045" xr:uid="{B75B6DFA-B26C-42DE-9F18-EB242779F688}"/>
    <cellStyle name="Millares 2 2 4 3" xfId="540" xr:uid="{29DAFB95-DF3B-4589-A42B-646E4B72DA37}"/>
    <cellStyle name="Millares 2 2 4 3 2" xfId="1211" xr:uid="{22F553D2-A62C-418D-86AB-16C5FD8A36BB}"/>
    <cellStyle name="Millares 2 2 4 4" xfId="879" xr:uid="{8BC01643-4149-4523-8AB5-DC37A2797FB2}"/>
    <cellStyle name="Millares 2 2 5" xfId="285" xr:uid="{EFF4F74F-47DA-4319-94DE-322C9A2F85ED}"/>
    <cellStyle name="Millares 2 2 5 2" xfId="624" xr:uid="{C895BDD2-CC6F-4CA1-9A7A-B8C369C86DD3}"/>
    <cellStyle name="Millares 2 2 5 2 2" xfId="1295" xr:uid="{582E5831-BE2A-4CAE-BE84-1B698C7EDA9A}"/>
    <cellStyle name="Millares 2 2 5 3" xfId="963" xr:uid="{447C9FA5-99B6-4C14-B04A-755916A6F42F}"/>
    <cellStyle name="Millares 2 2 6" xfId="458" xr:uid="{8D8340E1-6AD0-45DE-B3DC-25101F9C5C45}"/>
    <cellStyle name="Millares 2 2 6 2" xfId="1129" xr:uid="{FECCCEC2-641F-4729-8947-B26C83B172D8}"/>
    <cellStyle name="Millares 2 2 7" xfId="797" xr:uid="{5AD1C662-9018-4444-86BF-D9CDA4310C33}"/>
    <cellStyle name="Millares 2 3" xfId="92" xr:uid="{E2E96597-062B-4831-8DF8-99B500C6AC45}"/>
    <cellStyle name="Millares 2 3 2" xfId="142" xr:uid="{7B25BBF3-8AE4-484C-9AD6-D3B93C8EED95}"/>
    <cellStyle name="Millares 2 3 2 2" xfId="231" xr:uid="{F0A8BF76-A89C-40BB-AF1F-E435789CD23D}"/>
    <cellStyle name="Millares 2 3 2 2 2" xfId="417" xr:uid="{666403A3-6304-4488-9462-5260F4D57D07}"/>
    <cellStyle name="Millares 2 3 2 2 2 2" xfId="756" xr:uid="{DC7368F2-46F0-4F72-94D3-7F6480351DD5}"/>
    <cellStyle name="Millares 2 3 2 2 2 2 2" xfId="1427" xr:uid="{1472024F-8105-4FE9-AD6A-38B083BD5997}"/>
    <cellStyle name="Millares 2 3 2 2 2 3" xfId="1095" xr:uid="{13837AE5-1D75-4AD7-827F-6FDCD33F8A2A}"/>
    <cellStyle name="Millares 2 3 2 2 3" xfId="590" xr:uid="{2C4045D4-C0BC-42C4-B395-2B00C65A1975}"/>
    <cellStyle name="Millares 2 3 2 2 3 2" xfId="1261" xr:uid="{C077F624-1654-48E2-AF50-478F77535E78}"/>
    <cellStyle name="Millares 2 3 2 2 4" xfId="929" xr:uid="{829112C0-A51D-4EC3-86FA-A4B3CDA45160}"/>
    <cellStyle name="Millares 2 3 2 3" xfId="335" xr:uid="{AAAABB55-BBDD-4B81-8994-E0E8B50FD991}"/>
    <cellStyle name="Millares 2 3 2 3 2" xfId="674" xr:uid="{4357EE27-0A84-4EDA-B164-F38A63E36AC6}"/>
    <cellStyle name="Millares 2 3 2 3 2 2" xfId="1345" xr:uid="{AD17142B-F964-4673-86AE-20ECD13C0709}"/>
    <cellStyle name="Millares 2 3 2 3 3" xfId="1013" xr:uid="{99ED1CC7-1280-4409-87E0-EB2E7AE32241}"/>
    <cellStyle name="Millares 2 3 2 4" xfId="508" xr:uid="{1AB26F51-313B-4967-A505-8EDB9F83EA51}"/>
    <cellStyle name="Millares 2 3 2 4 2" xfId="1179" xr:uid="{F316D802-8542-47FF-8FBA-0D86ED25C054}"/>
    <cellStyle name="Millares 2 3 2 5" xfId="847" xr:uid="{236BCF94-827C-4BC2-8FF2-4BC2564F2E9A}"/>
    <cellStyle name="Millares 2 3 3" xfId="191" xr:uid="{41907ADC-9EE7-4AA0-8FBE-7A194B4C7DF6}"/>
    <cellStyle name="Millares 2 3 3 2" xfId="377" xr:uid="{23C3D6EB-EF5E-4FD5-A540-18E5B1A8211B}"/>
    <cellStyle name="Millares 2 3 3 2 2" xfId="716" xr:uid="{904D18FA-08C8-4121-96D2-76CD93676059}"/>
    <cellStyle name="Millares 2 3 3 2 2 2" xfId="1387" xr:uid="{CDBA0480-FB97-4123-8554-EBC6B7C23920}"/>
    <cellStyle name="Millares 2 3 3 2 3" xfId="1055" xr:uid="{68E3742B-516F-4994-99ED-58549BDC70FE}"/>
    <cellStyle name="Millares 2 3 3 3" xfId="550" xr:uid="{B0AA7E4B-3A62-40B6-9000-87268F8FD5AA}"/>
    <cellStyle name="Millares 2 3 3 3 2" xfId="1221" xr:uid="{432C91B8-88D1-402D-B18B-B510B784BF4C}"/>
    <cellStyle name="Millares 2 3 3 4" xfId="889" xr:uid="{78FF02A6-833F-46FB-B9BC-50A9D7CEB776}"/>
    <cellStyle name="Millares 2 3 4" xfId="295" xr:uid="{59C65479-4F74-4E91-B8FF-7017ACAB34BD}"/>
    <cellStyle name="Millares 2 3 4 2" xfId="634" xr:uid="{C4733CF8-B01B-46A5-BF36-DB9A70982929}"/>
    <cellStyle name="Millares 2 3 4 2 2" xfId="1305" xr:uid="{076B6CF6-C1AA-4F4F-9CE3-C36E6A47C0A8}"/>
    <cellStyle name="Millares 2 3 4 3" xfId="973" xr:uid="{DBCD883E-673B-445C-9916-A3A94E176AD7}"/>
    <cellStyle name="Millares 2 3 5" xfId="468" xr:uid="{1368ACC8-7C0A-405E-BC13-196A444FEEF6}"/>
    <cellStyle name="Millares 2 3 5 2" xfId="1139" xr:uid="{DAF3829B-2C04-40C4-A8A4-6AFBD4E2EA80}"/>
    <cellStyle name="Millares 2 3 6" xfId="807" xr:uid="{EDC3299C-8B3D-4358-901D-788A70C5DDA8}"/>
    <cellStyle name="Millares 2 4" xfId="121" xr:uid="{70EC0A4A-8CA6-4C80-BCEF-BC4B1EF47D3B}"/>
    <cellStyle name="Millares 2 4 2" xfId="212" xr:uid="{CE48AF25-0461-4492-AAB8-EF6DE72B649B}"/>
    <cellStyle name="Millares 2 4 2 2" xfId="398" xr:uid="{751BA1D4-A3DE-4802-A8AC-7853A387C261}"/>
    <cellStyle name="Millares 2 4 2 2 2" xfId="737" xr:uid="{EBF291F3-FBE8-4DC7-B60D-D83C3135EBCA}"/>
    <cellStyle name="Millares 2 4 2 2 2 2" xfId="1408" xr:uid="{1410F8DE-E9E1-45CA-BC74-BC73F45573EE}"/>
    <cellStyle name="Millares 2 4 2 2 3" xfId="1076" xr:uid="{62558C2F-0629-4D17-B3D3-6DBA7A1BBEF4}"/>
    <cellStyle name="Millares 2 4 2 3" xfId="571" xr:uid="{6F071791-D124-4502-88C7-A1CAB0A8C12C}"/>
    <cellStyle name="Millares 2 4 2 3 2" xfId="1242" xr:uid="{CC3BCF19-3375-4F98-8CF0-F5ED431E8358}"/>
    <cellStyle name="Millares 2 4 2 4" xfId="910" xr:uid="{4FCDF8A4-FD06-4B33-911C-1FADA9B39770}"/>
    <cellStyle name="Millares 2 4 3" xfId="316" xr:uid="{219DD264-197F-4789-9F18-EA61095B7ADA}"/>
    <cellStyle name="Millares 2 4 3 2" xfId="655" xr:uid="{226AF07B-BD42-4B93-A472-66CAC1D7ADA6}"/>
    <cellStyle name="Millares 2 4 3 2 2" xfId="1326" xr:uid="{56F21407-82DD-44D4-A808-9DA4171F79CA}"/>
    <cellStyle name="Millares 2 4 3 3" xfId="994" xr:uid="{46BA5A62-C089-446C-B53E-B469410D46AB}"/>
    <cellStyle name="Millares 2 4 4" xfId="489" xr:uid="{DDB7C0DD-5287-4436-94DB-1BB00EDAF061}"/>
    <cellStyle name="Millares 2 4 4 2" xfId="1160" xr:uid="{961B7538-CC30-455B-9243-C7C66FB78AFA}"/>
    <cellStyle name="Millares 2 4 5" xfId="828" xr:uid="{2617AF59-52AD-4753-8E17-9043DD181153}"/>
    <cellStyle name="Millares 2 5" xfId="171" xr:uid="{4E397665-F719-4F80-BE71-A82DFA963302}"/>
    <cellStyle name="Millares 2 5 2" xfId="358" xr:uid="{3A18856F-4ABB-447D-B80A-1BC16CF59BD7}"/>
    <cellStyle name="Millares 2 5 2 2" xfId="697" xr:uid="{00F1D931-6C11-4EF8-B688-98A1353D4BF6}"/>
    <cellStyle name="Millares 2 5 2 2 2" xfId="1368" xr:uid="{99E9F4CC-FA53-481D-840E-37141DB55912}"/>
    <cellStyle name="Millares 2 5 2 3" xfId="1036" xr:uid="{1D340A96-E86C-46A3-9B18-82A30228086C}"/>
    <cellStyle name="Millares 2 5 3" xfId="531" xr:uid="{D2D1EF74-EEF9-4FDA-BDBE-FA67645BED94}"/>
    <cellStyle name="Millares 2 5 3 2" xfId="1202" xr:uid="{ACFE4832-6ABE-46D4-9856-955723DE4E88}"/>
    <cellStyle name="Millares 2 5 4" xfId="870" xr:uid="{69A6E1C0-97EF-4800-8636-443519CA3ABC}"/>
    <cellStyle name="Millares 2 6" xfId="259" xr:uid="{F501DCDB-C08A-434D-92FB-D3ACF947EDC0}"/>
    <cellStyle name="Millares 2 7" xfId="275" xr:uid="{F7C0293B-2D21-4DEB-8A7F-3E836BC3F78C}"/>
    <cellStyle name="Millares 2 7 2" xfId="615" xr:uid="{BBD628A3-FE08-4DF1-9D15-1F6CF0B312FB}"/>
    <cellStyle name="Millares 2 7 2 2" xfId="1286" xr:uid="{8ED96236-3CC3-49BA-95EC-1D047ADBBAB5}"/>
    <cellStyle name="Millares 2 7 3" xfId="954" xr:uid="{D81BE1CE-4D2C-45BF-A825-3B2142020856}"/>
    <cellStyle name="Millares 2 8" xfId="448" xr:uid="{1B3CC92A-3643-4A3F-9E0F-F08726B789DE}"/>
    <cellStyle name="Millares 2 8 2" xfId="1120" xr:uid="{9345A14A-EAAD-485A-96F1-F2D7BD30B95B}"/>
    <cellStyle name="Millares 2 9" xfId="787" xr:uid="{C8BAF882-A6B6-41F1-ADFF-11AB6D21048B}"/>
    <cellStyle name="Millares 3" xfId="71" xr:uid="{2C222CF0-6182-4DC7-840E-BF96AB99240F}"/>
    <cellStyle name="Millares 3 2" xfId="100" xr:uid="{C0DEEF50-9B28-42A8-A4DF-ECE8D66F7FF3}"/>
    <cellStyle name="Millares 3 2 2" xfId="60" xr:uid="{054D9524-CB65-455E-80B7-3CA339A0955B}"/>
    <cellStyle name="Millares 3 2 2 2" xfId="264" xr:uid="{74AC07AD-7F23-4C01-86DE-57377B74F589}"/>
    <cellStyle name="Millares 3 2 3" xfId="148" xr:uid="{EAE60E0C-BB47-4927-9771-660B45F696AD}"/>
    <cellStyle name="Millares 3 2 3 2" xfId="237" xr:uid="{226BA2A9-CD28-4EBF-AD81-5EA6B4927457}"/>
    <cellStyle name="Millares 3 2 3 2 2" xfId="423" xr:uid="{C959A105-6DB4-4CBB-A64B-11784E9615B1}"/>
    <cellStyle name="Millares 3 2 3 2 2 2" xfId="762" xr:uid="{852B0330-2796-4482-A33E-21E39F0C0376}"/>
    <cellStyle name="Millares 3 2 3 2 2 2 2" xfId="1433" xr:uid="{C5B06892-7457-4A5D-9191-F544404212A0}"/>
    <cellStyle name="Millares 3 2 3 2 2 3" xfId="1101" xr:uid="{80EF2BCA-5FFE-4641-AB0B-83AE88A33594}"/>
    <cellStyle name="Millares 3 2 3 2 3" xfId="596" xr:uid="{E8C92F52-1F60-4F6C-A17C-BC8C17452AC2}"/>
    <cellStyle name="Millares 3 2 3 2 3 2" xfId="1267" xr:uid="{AD06ACEB-2954-4DD1-AD9C-0D3612E3325C}"/>
    <cellStyle name="Millares 3 2 3 2 4" xfId="935" xr:uid="{7A7E489B-4823-472A-AF45-17D82DF3EB12}"/>
    <cellStyle name="Millares 3 2 3 3" xfId="341" xr:uid="{2046D211-D19E-4C7A-B4B6-1BCAE06E1737}"/>
    <cellStyle name="Millares 3 2 3 3 2" xfId="680" xr:uid="{1402EE13-7971-4079-BF94-98F952DB22E9}"/>
    <cellStyle name="Millares 3 2 3 3 2 2" xfId="1351" xr:uid="{7FF03324-4520-4316-A87A-47635C0D9B50}"/>
    <cellStyle name="Millares 3 2 3 3 3" xfId="1019" xr:uid="{99AFCCC9-A01D-40BF-8015-21481C9EAB78}"/>
    <cellStyle name="Millares 3 2 3 4" xfId="514" xr:uid="{5FDB7FB4-C735-402B-A357-8626E85FAD9C}"/>
    <cellStyle name="Millares 3 2 3 4 2" xfId="1185" xr:uid="{FBCAE42B-022F-4638-98C4-D2463A6017E7}"/>
    <cellStyle name="Millares 3 2 3 5" xfId="853" xr:uid="{8C893765-58FC-4D1B-8200-52AB7F502B57}"/>
    <cellStyle name="Millares 3 2 4" xfId="197" xr:uid="{55801385-9AE4-485A-8E5C-9093BF4A6707}"/>
    <cellStyle name="Millares 3 2 4 2" xfId="383" xr:uid="{5AAD1BC5-DBD4-457F-A605-CAAAC5A8A86D}"/>
    <cellStyle name="Millares 3 2 4 2 2" xfId="722" xr:uid="{9E01DFE9-95CE-4F73-B962-3971A889B641}"/>
    <cellStyle name="Millares 3 2 4 2 2 2" xfId="1393" xr:uid="{460E6573-592D-477D-A934-513B43E1E856}"/>
    <cellStyle name="Millares 3 2 4 2 3" xfId="1061" xr:uid="{F375D9CE-F7C1-48ED-B9D2-171C396CD81E}"/>
    <cellStyle name="Millares 3 2 4 3" xfId="556" xr:uid="{91E66442-F2B7-4A54-A125-19722BCE950E}"/>
    <cellStyle name="Millares 3 2 4 3 2" xfId="1227" xr:uid="{50B705B7-D5DF-4BA1-B0A5-303798ED97AB}"/>
    <cellStyle name="Millares 3 2 4 4" xfId="895" xr:uid="{1A88EB66-FE8A-4651-B2E8-111758265F24}"/>
    <cellStyle name="Millares 3 2 5" xfId="301" xr:uid="{126385FD-963E-463B-AF69-D9C13B1CC792}"/>
    <cellStyle name="Millares 3 2 5 2" xfId="640" xr:uid="{30CA7078-3FBE-4836-BBBD-62FECEC34F67}"/>
    <cellStyle name="Millares 3 2 5 2 2" xfId="1311" xr:uid="{6961A878-CE57-44CE-95BD-B9290C3F3DFF}"/>
    <cellStyle name="Millares 3 2 5 3" xfId="979" xr:uid="{F16D2140-CFFB-4A78-9396-A0962EAEBE0C}"/>
    <cellStyle name="Millares 3 2 6" xfId="474" xr:uid="{A1C433D0-648A-495B-9DF6-5EE884979FB9}"/>
    <cellStyle name="Millares 3 2 6 2" xfId="1145" xr:uid="{88570458-A5EB-4187-90BA-590C2D0D6727}"/>
    <cellStyle name="Millares 3 2 7" xfId="813" xr:uid="{6054EF24-0E55-4520-88FD-BF8A7004EA8D}"/>
    <cellStyle name="Millares 3 3" xfId="129" xr:uid="{33D4EF92-58EB-4E6E-9DFA-2E467EF3AC5F}"/>
    <cellStyle name="Millares 3 3 2" xfId="218" xr:uid="{5529BB73-C9FB-4C4A-B7DD-4B43F5A9D0E4}"/>
    <cellStyle name="Millares 3 3 2 2" xfId="404" xr:uid="{D971B8BB-B35E-41AC-AA0A-7441BCB478D7}"/>
    <cellStyle name="Millares 3 3 2 2 2" xfId="743" xr:uid="{4EA764CF-E2DF-4055-9962-FA99AFF771EC}"/>
    <cellStyle name="Millares 3 3 2 2 2 2" xfId="1414" xr:uid="{4D9A7699-176B-4B7E-98E7-8275E7B9B7A7}"/>
    <cellStyle name="Millares 3 3 2 2 3" xfId="1082" xr:uid="{CBDFCA66-2313-4F18-8AE4-EB5592EE2136}"/>
    <cellStyle name="Millares 3 3 2 3" xfId="577" xr:uid="{BF7A58A3-1D27-4A06-9B9F-10999A78F590}"/>
    <cellStyle name="Millares 3 3 2 3 2" xfId="1248" xr:uid="{32284DF0-0AB5-471A-951A-4BEF7C169FAF}"/>
    <cellStyle name="Millares 3 3 2 4" xfId="916" xr:uid="{707A3303-52FD-48F0-81AC-9EC550B30891}"/>
    <cellStyle name="Millares 3 3 3" xfId="322" xr:uid="{05FA10D7-B96B-42A3-867E-C8D1720C9243}"/>
    <cellStyle name="Millares 3 3 3 2" xfId="661" xr:uid="{4D60B875-79E9-4EE8-9159-1E0A49181E2D}"/>
    <cellStyle name="Millares 3 3 3 2 2" xfId="1332" xr:uid="{5937C47A-290A-4F91-89FE-DBDFCE7B2933}"/>
    <cellStyle name="Millares 3 3 3 3" xfId="1000" xr:uid="{DBC78F5D-5CE7-4D10-9DE7-A4647D4AD226}"/>
    <cellStyle name="Millares 3 3 4" xfId="495" xr:uid="{2C493BF8-A25A-43CB-B61E-9EF31C6E7C66}"/>
    <cellStyle name="Millares 3 3 4 2" xfId="1166" xr:uid="{5F045CAF-9873-422B-970A-0790DFF3A433}"/>
    <cellStyle name="Millares 3 3 5" xfId="834" xr:uid="{B61C5BA8-6D28-4F26-B421-F64079FE8C10}"/>
    <cellStyle name="Millares 3 4" xfId="178" xr:uid="{5BBA4070-C57E-4174-AF3B-E24C953E0EF4}"/>
    <cellStyle name="Millares 3 4 2" xfId="364" xr:uid="{0FB884C8-9114-4988-8226-952834DFD40C}"/>
    <cellStyle name="Millares 3 4 2 2" xfId="703" xr:uid="{0948663A-7139-42E1-9478-632551026A05}"/>
    <cellStyle name="Millares 3 4 2 2 2" xfId="1374" xr:uid="{72D8E055-D42D-4D81-A5AC-17EAFB103E54}"/>
    <cellStyle name="Millares 3 4 2 3" xfId="1042" xr:uid="{4417B2BC-8691-4780-9896-9B77CBA1B39B}"/>
    <cellStyle name="Millares 3 4 3" xfId="537" xr:uid="{B4E0153A-6FF1-4775-BC22-743345129D2B}"/>
    <cellStyle name="Millares 3 4 3 2" xfId="1208" xr:uid="{35CA32EB-568F-487D-B019-D1EE6BFC2B61}"/>
    <cellStyle name="Millares 3 4 4" xfId="876" xr:uid="{C6567331-E4CC-4B85-BBC6-BF443AA24BC3}"/>
    <cellStyle name="Millares 3 5" xfId="282" xr:uid="{CB2BB74E-1910-4509-9C51-4D12CBE01B03}"/>
    <cellStyle name="Millares 3 5 2" xfId="621" xr:uid="{33BF41E4-C6B5-44C7-9C84-DACD2B6B3ECF}"/>
    <cellStyle name="Millares 3 5 2 2" xfId="1292" xr:uid="{9217815F-F949-4CD3-BD07-A991CFB7476D}"/>
    <cellStyle name="Millares 3 5 3" xfId="960" xr:uid="{672AF4BF-5529-4EC5-B626-6A14BB0FB1E1}"/>
    <cellStyle name="Millares 3 6" xfId="455" xr:uid="{99D6E7BD-C2CC-4557-AE6E-363912AC1EDE}"/>
    <cellStyle name="Millares 3 6 2" xfId="1126" xr:uid="{BFF5C055-0A70-472C-9041-60993BF10162}"/>
    <cellStyle name="Millares 3 7" xfId="794" xr:uid="{2FF33937-44EE-4D08-B9DA-38352A9CB5C1}"/>
    <cellStyle name="Millares 30 2 2" xfId="58" xr:uid="{2F87BF0D-51BA-4F12-B591-D5136D257EF7}"/>
    <cellStyle name="Millares 30 2 2 2" xfId="77" xr:uid="{57D3A030-BE78-4B16-9027-8688CD5E364C}"/>
    <cellStyle name="Millares 30 2 2 2 2" xfId="105" xr:uid="{B8BCB502-015C-48BD-9A20-F2D1CB424024}"/>
    <cellStyle name="Millares 30 2 2 2 2 2" xfId="153" xr:uid="{D88CA5ED-81C1-4487-BDB6-CBA43EA5ED37}"/>
    <cellStyle name="Millares 30 2 2 2 2 2 2" xfId="242" xr:uid="{C66822F6-F4F4-47AC-A315-7D4F5DEB81D2}"/>
    <cellStyle name="Millares 30 2 2 2 2 2 2 2" xfId="428" xr:uid="{9C13ED34-A193-4EE4-AF12-A0ACC2665884}"/>
    <cellStyle name="Millares 30 2 2 2 2 2 2 2 2" xfId="767" xr:uid="{408D7053-848B-4073-863E-59886559D4FA}"/>
    <cellStyle name="Millares 30 2 2 2 2 2 2 2 2 2" xfId="1438" xr:uid="{4013CFA3-069C-4CF3-9BEE-2C9561B3E6BD}"/>
    <cellStyle name="Millares 30 2 2 2 2 2 2 2 3" xfId="1106" xr:uid="{E6BB74FF-F10B-446D-B5A6-16AF33F6AADD}"/>
    <cellStyle name="Millares 30 2 2 2 2 2 2 3" xfId="601" xr:uid="{205C54E0-DA96-4BDD-A3C8-3209FAB1B64F}"/>
    <cellStyle name="Millares 30 2 2 2 2 2 2 3 2" xfId="1272" xr:uid="{2DB1C54D-390F-4B5B-8A98-86E328870DF8}"/>
    <cellStyle name="Millares 30 2 2 2 2 2 2 4" xfId="940" xr:uid="{565B7939-B3AE-4BDA-A9B4-1249907966E0}"/>
    <cellStyle name="Millares 30 2 2 2 2 2 3" xfId="346" xr:uid="{896AD615-C451-4470-91C9-DCAACA8A58CD}"/>
    <cellStyle name="Millares 30 2 2 2 2 2 3 2" xfId="685" xr:uid="{973EAE95-55C5-4C93-A789-F754E304C948}"/>
    <cellStyle name="Millares 30 2 2 2 2 2 3 2 2" xfId="1356" xr:uid="{18E20BFA-23B8-41C5-AE88-9EF7045B94DE}"/>
    <cellStyle name="Millares 30 2 2 2 2 2 3 3" xfId="1024" xr:uid="{5036761A-0AF3-488C-985F-019E3E091FEB}"/>
    <cellStyle name="Millares 30 2 2 2 2 2 4" xfId="519" xr:uid="{18BFB4FB-74DA-4F0C-BB23-6B1966B36975}"/>
    <cellStyle name="Millares 30 2 2 2 2 2 4 2" xfId="1190" xr:uid="{CAC72956-BB5D-44B4-A881-7E42B95F1AAD}"/>
    <cellStyle name="Millares 30 2 2 2 2 2 5" xfId="858" xr:uid="{306ADA77-80F2-44C8-8971-A013B4AEDB9B}"/>
    <cellStyle name="Millares 30 2 2 2 2 3" xfId="202" xr:uid="{F193A887-EF86-425B-B352-E68EF9B7685C}"/>
    <cellStyle name="Millares 30 2 2 2 2 3 2" xfId="388" xr:uid="{C2A7D2D9-45D8-4BCA-A123-430E7DEF786B}"/>
    <cellStyle name="Millares 30 2 2 2 2 3 2 2" xfId="727" xr:uid="{C739ACB5-1186-4DF7-83DF-3AC5027CF27F}"/>
    <cellStyle name="Millares 30 2 2 2 2 3 2 2 2" xfId="1398" xr:uid="{8E30A8D4-1B2C-4216-9F34-11987E99D4CB}"/>
    <cellStyle name="Millares 30 2 2 2 2 3 2 3" xfId="1066" xr:uid="{47B6E575-C39D-416A-89F3-585AA98A2CA5}"/>
    <cellStyle name="Millares 30 2 2 2 2 3 3" xfId="561" xr:uid="{9F0826E9-7CC2-4955-88E5-BFBFA3EBA4EA}"/>
    <cellStyle name="Millares 30 2 2 2 2 3 3 2" xfId="1232" xr:uid="{E27814E3-C452-49F8-B4A5-6B2FED5F0C85}"/>
    <cellStyle name="Millares 30 2 2 2 2 3 4" xfId="900" xr:uid="{D926628F-7F16-4A28-9E07-23BE5A1789ED}"/>
    <cellStyle name="Millares 30 2 2 2 2 4" xfId="306" xr:uid="{E31EDC2F-A661-4E05-AFDD-A1F23654C5B5}"/>
    <cellStyle name="Millares 30 2 2 2 2 4 2" xfId="645" xr:uid="{6BE8454C-665F-46F6-A2C8-D1A38F41EC56}"/>
    <cellStyle name="Millares 30 2 2 2 2 4 2 2" xfId="1316" xr:uid="{98C1705E-25D1-4F4E-B675-699D97B213BF}"/>
    <cellStyle name="Millares 30 2 2 2 2 4 3" xfId="984" xr:uid="{7AFA7D23-26CD-4E7C-9792-F769DEC771A9}"/>
    <cellStyle name="Millares 30 2 2 2 2 5" xfId="479" xr:uid="{CAF574CF-B596-4EE3-A205-60360A6B00C2}"/>
    <cellStyle name="Millares 30 2 2 2 2 5 2" xfId="1150" xr:uid="{56555CF7-C4F0-411F-B02E-0A3CAE6283A9}"/>
    <cellStyle name="Millares 30 2 2 2 2 6" xfId="818" xr:uid="{6969172B-1FBA-4EF4-A8E5-02A9986B5EAA}"/>
    <cellStyle name="Millares 30 2 2 2 3" xfId="134" xr:uid="{F787903B-5AD0-4A2A-9E67-13AB29D7CF81}"/>
    <cellStyle name="Millares 30 2 2 2 3 2" xfId="223" xr:uid="{FF22A48B-E29F-4D59-864A-934826CBE0CD}"/>
    <cellStyle name="Millares 30 2 2 2 3 2 2" xfId="409" xr:uid="{DBB88AA0-00BC-4503-8106-965E330AA9E1}"/>
    <cellStyle name="Millares 30 2 2 2 3 2 2 2" xfId="748" xr:uid="{33C653AD-3B61-4327-9326-103EB60C9E6D}"/>
    <cellStyle name="Millares 30 2 2 2 3 2 2 2 2" xfId="1419" xr:uid="{5E7A8668-DBFA-4E15-9749-EC32DDA3C3CD}"/>
    <cellStyle name="Millares 30 2 2 2 3 2 2 3" xfId="1087" xr:uid="{4AA7D98A-4074-4247-AE24-3701805CF102}"/>
    <cellStyle name="Millares 30 2 2 2 3 2 3" xfId="582" xr:uid="{47A9E90C-B98C-43AD-ADCB-A2BAFA8B71A1}"/>
    <cellStyle name="Millares 30 2 2 2 3 2 3 2" xfId="1253" xr:uid="{D752D8C2-5C25-4888-939D-F230DE9C64D2}"/>
    <cellStyle name="Millares 30 2 2 2 3 2 4" xfId="921" xr:uid="{A8BBA6F5-0272-416C-B3A7-80FD40BE40CC}"/>
    <cellStyle name="Millares 30 2 2 2 3 3" xfId="327" xr:uid="{FC7F92C6-9567-42FB-BFA9-46A47BE4B8F9}"/>
    <cellStyle name="Millares 30 2 2 2 3 3 2" xfId="666" xr:uid="{5431B21F-8D46-426A-9CEA-DC8B4D254070}"/>
    <cellStyle name="Millares 30 2 2 2 3 3 2 2" xfId="1337" xr:uid="{75E2DE4C-3A4E-4CC2-883A-1A581D2244D4}"/>
    <cellStyle name="Millares 30 2 2 2 3 3 3" xfId="1005" xr:uid="{F94BF383-99EE-43F2-A1B8-58D6D1BC9B6C}"/>
    <cellStyle name="Millares 30 2 2 2 3 4" xfId="500" xr:uid="{A1D4DF9A-740B-4423-A91F-ED5C74ABF75A}"/>
    <cellStyle name="Millares 30 2 2 2 3 4 2" xfId="1171" xr:uid="{F4E14824-18D5-4170-A82F-4F720AB354B0}"/>
    <cellStyle name="Millares 30 2 2 2 3 5" xfId="839" xr:uid="{47F28CD0-0975-411C-8623-7769C936841F}"/>
    <cellStyle name="Millares 30 2 2 2 4" xfId="183" xr:uid="{2794A184-AFA6-4FC5-8AF4-0F7923152C1D}"/>
    <cellStyle name="Millares 30 2 2 2 4 2" xfId="369" xr:uid="{F44C07F2-A862-4886-8246-3DBBD1613F0B}"/>
    <cellStyle name="Millares 30 2 2 2 4 2 2" xfId="708" xr:uid="{DEA8036A-61FB-4D41-8574-6B3EE554D16B}"/>
    <cellStyle name="Millares 30 2 2 2 4 2 2 2" xfId="1379" xr:uid="{6483DCC1-DD23-4AA6-84D7-68E7A7BF0117}"/>
    <cellStyle name="Millares 30 2 2 2 4 2 3" xfId="1047" xr:uid="{C0EFD06F-872D-453A-97DF-94BA284CF9C9}"/>
    <cellStyle name="Millares 30 2 2 2 4 3" xfId="542" xr:uid="{1BE45673-70CA-460A-A5D4-8F08F9194792}"/>
    <cellStyle name="Millares 30 2 2 2 4 3 2" xfId="1213" xr:uid="{0D954814-D03D-42A9-83DE-6BB9084AB423}"/>
    <cellStyle name="Millares 30 2 2 2 4 4" xfId="881" xr:uid="{544A86FC-D4E9-4FD0-92BD-16CC0772C9DA}"/>
    <cellStyle name="Millares 30 2 2 2 5" xfId="287" xr:uid="{7B300121-618E-4A86-B294-6A30E5C7262E}"/>
    <cellStyle name="Millares 30 2 2 2 5 2" xfId="626" xr:uid="{CDC6F7B8-1999-461B-82D7-343750E9DFAF}"/>
    <cellStyle name="Millares 30 2 2 2 5 2 2" xfId="1297" xr:uid="{3DC64C5F-A900-4BB4-B030-81A050C87BEF}"/>
    <cellStyle name="Millares 30 2 2 2 5 3" xfId="965" xr:uid="{069CBC4A-4164-4033-961F-C9EC8D4203B4}"/>
    <cellStyle name="Millares 30 2 2 2 6" xfId="460" xr:uid="{677D5568-4629-4293-A712-49598EC56263}"/>
    <cellStyle name="Millares 30 2 2 2 6 2" xfId="1131" xr:uid="{F965CC7F-4384-4998-8790-5659FD31FC66}"/>
    <cellStyle name="Millares 30 2 2 2 7" xfId="799" xr:uid="{4E572662-8B2F-43F6-9339-9A5EA3FADB21}"/>
    <cellStyle name="Millares 30 2 2 3" xfId="95" xr:uid="{19E0D7D3-08F6-4FFC-81B7-C39BBCADF5D9}"/>
    <cellStyle name="Millares 30 2 2 3 2" xfId="144" xr:uid="{357A1C1F-4EC3-4B2A-846B-3639038A96B3}"/>
    <cellStyle name="Millares 30 2 2 3 2 2" xfId="233" xr:uid="{CE75C4E3-1AE9-49CC-A850-2C36270ED7E2}"/>
    <cellStyle name="Millares 30 2 2 3 2 2 2" xfId="419" xr:uid="{1A2D70F5-9AEA-4DE7-AEAE-E0C13DA58A9A}"/>
    <cellStyle name="Millares 30 2 2 3 2 2 2 2" xfId="758" xr:uid="{7D6C76E4-BA79-4B3D-A13C-BE8EAA084074}"/>
    <cellStyle name="Millares 30 2 2 3 2 2 2 2 2" xfId="1429" xr:uid="{4F3DD7D9-B621-4DF3-90E7-F5B5D115643B}"/>
    <cellStyle name="Millares 30 2 2 3 2 2 2 3" xfId="1097" xr:uid="{BB0CB21B-6238-4ADB-8DF6-CE1D1DE9506B}"/>
    <cellStyle name="Millares 30 2 2 3 2 2 3" xfId="592" xr:uid="{C35981F6-24AA-4C01-BB29-2703587DB979}"/>
    <cellStyle name="Millares 30 2 2 3 2 2 3 2" xfId="1263" xr:uid="{21DC2006-6376-44B9-95F0-F830EBA774DA}"/>
    <cellStyle name="Millares 30 2 2 3 2 2 4" xfId="931" xr:uid="{DCB8EFAE-215D-49F7-8CAC-2703256A3343}"/>
    <cellStyle name="Millares 30 2 2 3 2 3" xfId="337" xr:uid="{87643177-D399-4AAC-A51F-00A6D25B7B10}"/>
    <cellStyle name="Millares 30 2 2 3 2 3 2" xfId="676" xr:uid="{04AD09D9-A7C7-498A-9138-931890DFCCEE}"/>
    <cellStyle name="Millares 30 2 2 3 2 3 2 2" xfId="1347" xr:uid="{27E8EE49-CCCA-49FC-A9ED-189052FB212B}"/>
    <cellStyle name="Millares 30 2 2 3 2 3 3" xfId="1015" xr:uid="{1CF36AAB-526C-4702-AC0C-A6885A5DBB1D}"/>
    <cellStyle name="Millares 30 2 2 3 2 4" xfId="510" xr:uid="{FC87A67B-3D3A-47F0-977C-9748B3C910AB}"/>
    <cellStyle name="Millares 30 2 2 3 2 4 2" xfId="1181" xr:uid="{B4177B65-20C1-4496-B7F8-84A2A2EB0679}"/>
    <cellStyle name="Millares 30 2 2 3 2 5" xfId="849" xr:uid="{ADEE55F6-8B95-4A1D-84B9-7097ADA262AE}"/>
    <cellStyle name="Millares 30 2 2 3 3" xfId="193" xr:uid="{8C2A7D8E-FEF5-47F5-A9AA-FF3528552B7E}"/>
    <cellStyle name="Millares 30 2 2 3 3 2" xfId="379" xr:uid="{1FF6F8F5-1A81-44A3-A39A-8037D2316592}"/>
    <cellStyle name="Millares 30 2 2 3 3 2 2" xfId="718" xr:uid="{6D97A489-5FA8-4920-9CDA-5C65C0FC9CD3}"/>
    <cellStyle name="Millares 30 2 2 3 3 2 2 2" xfId="1389" xr:uid="{9F752B8D-AD8A-4422-9260-1B81E86EE56B}"/>
    <cellStyle name="Millares 30 2 2 3 3 2 3" xfId="1057" xr:uid="{F16D3C6C-C7B9-4EA7-951C-09317A4D33E1}"/>
    <cellStyle name="Millares 30 2 2 3 3 3" xfId="552" xr:uid="{D4E425B2-A846-4927-A2D4-606229DCAF79}"/>
    <cellStyle name="Millares 30 2 2 3 3 3 2" xfId="1223" xr:uid="{67F3275F-D0D7-42B0-B4B2-20E257EBC261}"/>
    <cellStyle name="Millares 30 2 2 3 3 4" xfId="891" xr:uid="{F7C0E558-B9EA-499C-A077-86B3403DE472}"/>
    <cellStyle name="Millares 30 2 2 3 4" xfId="297" xr:uid="{F8D2EAC9-8743-4600-8CA0-2AF70209D9CF}"/>
    <cellStyle name="Millares 30 2 2 3 4 2" xfId="636" xr:uid="{071E874F-D3BA-48F0-881B-00E26863D8E0}"/>
    <cellStyle name="Millares 30 2 2 3 4 2 2" xfId="1307" xr:uid="{EF76C962-C3B6-4C14-B7A1-FE91BFE9B155}"/>
    <cellStyle name="Millares 30 2 2 3 4 3" xfId="975" xr:uid="{4C1734C9-D2E6-4353-BF6C-3C540EA77B03}"/>
    <cellStyle name="Millares 30 2 2 3 5" xfId="470" xr:uid="{FFC72177-4E89-4BE1-8353-4D1F71049CE1}"/>
    <cellStyle name="Millares 30 2 2 3 5 2" xfId="1141" xr:uid="{5033AE3D-0BA8-4C7C-949D-E5F9D15AFED1}"/>
    <cellStyle name="Millares 30 2 2 3 6" xfId="809" xr:uid="{F2FD42B2-AB92-440B-88E0-CA7119E60291}"/>
    <cellStyle name="Millares 30 2 2 4" xfId="124" xr:uid="{57C3F11B-BAE6-46E9-A328-43DD56E7B024}"/>
    <cellStyle name="Millares 30 2 2 4 2" xfId="214" xr:uid="{A2F6910A-4FA4-494B-A53A-6E352883D870}"/>
    <cellStyle name="Millares 30 2 2 4 2 2" xfId="400" xr:uid="{81CB98CE-0374-41ED-8B1E-03D78B5B552E}"/>
    <cellStyle name="Millares 30 2 2 4 2 2 2" xfId="739" xr:uid="{14854719-83FF-47E4-AEEB-D03D3E0F1D33}"/>
    <cellStyle name="Millares 30 2 2 4 2 2 2 2" xfId="1410" xr:uid="{55AD165F-ED46-4892-8DD1-BEB16DDDA89E}"/>
    <cellStyle name="Millares 30 2 2 4 2 2 3" xfId="1078" xr:uid="{1CA9E209-8B4C-4C85-99F1-72F63AA570AC}"/>
    <cellStyle name="Millares 30 2 2 4 2 3" xfId="573" xr:uid="{016C3918-0054-4001-A5E9-00E15CDEEAEC}"/>
    <cellStyle name="Millares 30 2 2 4 2 3 2" xfId="1244" xr:uid="{F0AEB018-F26D-4209-93C4-F6915BC59DFC}"/>
    <cellStyle name="Millares 30 2 2 4 2 4" xfId="912" xr:uid="{2D04D06F-37C7-4047-B7CA-8484086FB302}"/>
    <cellStyle name="Millares 30 2 2 4 3" xfId="318" xr:uid="{EC5CBF4D-4B6F-4F7D-A9C4-97A46E92DAD2}"/>
    <cellStyle name="Millares 30 2 2 4 3 2" xfId="657" xr:uid="{DD744222-FC55-46ED-B0C3-FE9211E85EA8}"/>
    <cellStyle name="Millares 30 2 2 4 3 2 2" xfId="1328" xr:uid="{B797F95C-1827-47AB-A637-73FA77E41C1E}"/>
    <cellStyle name="Millares 30 2 2 4 3 3" xfId="996" xr:uid="{EB4997F8-1A8C-4D70-AA13-27CB7C1ED87B}"/>
    <cellStyle name="Millares 30 2 2 4 4" xfId="491" xr:uid="{01BB0C36-3D1F-4DBA-812B-7F36F9B030CB}"/>
    <cellStyle name="Millares 30 2 2 4 4 2" xfId="1162" xr:uid="{BB49FB7B-392F-4C4B-8C3D-9FD8548E5279}"/>
    <cellStyle name="Millares 30 2 2 4 5" xfId="830" xr:uid="{596B0B13-3B0A-4A85-9FC5-92A055B1F5F0}"/>
    <cellStyle name="Millares 30 2 2 5" xfId="174" xr:uid="{03DBC831-93F3-4C3C-B3FF-2F05E0913891}"/>
    <cellStyle name="Millares 30 2 2 5 2" xfId="360" xr:uid="{D5CC11FD-82A4-4D53-8251-ADA6FAAD0C78}"/>
    <cellStyle name="Millares 30 2 2 5 2 2" xfId="699" xr:uid="{0B2F85FF-9776-4774-B437-F86517248A8A}"/>
    <cellStyle name="Millares 30 2 2 5 2 2 2" xfId="1370" xr:uid="{32C2F898-DFC4-4863-992C-C0D9B61E8B65}"/>
    <cellStyle name="Millares 30 2 2 5 2 3" xfId="1038" xr:uid="{43725528-6D75-41BF-8A9D-6801BD6120AE}"/>
    <cellStyle name="Millares 30 2 2 5 3" xfId="533" xr:uid="{FCF38DFB-9B08-4699-88D9-97FAA4CF3432}"/>
    <cellStyle name="Millares 30 2 2 5 3 2" xfId="1204" xr:uid="{D29D9CB6-12A2-4145-8AA5-86D7F6CC4642}"/>
    <cellStyle name="Millares 30 2 2 5 4" xfId="872" xr:uid="{FB594F5C-25E9-4DB5-B23C-46A045044F9B}"/>
    <cellStyle name="Millares 30 2 2 6" xfId="263" xr:uid="{C00611FE-FFE2-4629-9797-EDA1F0C012B6}"/>
    <cellStyle name="Millares 30 2 2 7" xfId="278" xr:uid="{8DD6DA33-98B2-4C93-85C5-523C5C3AFAAA}"/>
    <cellStyle name="Millares 30 2 2 7 2" xfId="617" xr:uid="{78CAC257-A186-49DE-99AA-B8C351168736}"/>
    <cellStyle name="Millares 30 2 2 7 2 2" xfId="1288" xr:uid="{210FF371-BA55-4652-B7DC-7ADD4DEE5CC7}"/>
    <cellStyle name="Millares 30 2 2 7 3" xfId="956" xr:uid="{B92F5519-E755-4538-8053-9E98756FB6CE}"/>
    <cellStyle name="Millares 30 2 2 8" xfId="451" xr:uid="{FA977448-5AEA-4122-8EFB-F913885953D0}"/>
    <cellStyle name="Millares 30 2 2 8 2" xfId="1122" xr:uid="{9FE712FA-12A0-4241-BBAC-729F0141346B}"/>
    <cellStyle name="Millares 30 2 2 9" xfId="790" xr:uid="{61341F8E-9F3F-4CC7-A4D5-6A1836768875}"/>
    <cellStyle name="Millares 4" xfId="80" xr:uid="{B20A5DC0-0C6D-480C-AD6A-238287AD3788}"/>
    <cellStyle name="Millares 4 2" xfId="107" xr:uid="{4425CB36-35DF-4667-8BA5-9448A61DD04D}"/>
    <cellStyle name="Millares 4 2 2" xfId="155" xr:uid="{307A09EB-2600-4EA6-B44C-95FE3BBD0EB9}"/>
    <cellStyle name="Millares 4 2 2 2" xfId="244" xr:uid="{EA3A1CC1-5FE9-4FAB-8D82-A855F53A4086}"/>
    <cellStyle name="Millares 4 2 2 2 2" xfId="430" xr:uid="{16F6AEE4-ADE2-4108-8E40-3C4BEBBF7646}"/>
    <cellStyle name="Millares 4 2 2 2 2 2" xfId="769" xr:uid="{810AF83B-B3C1-4F2D-8891-A0E4150D1F05}"/>
    <cellStyle name="Millares 4 2 2 2 2 2 2" xfId="1440" xr:uid="{2EFD0815-6C8D-4BFD-B96C-03C8B327EFD5}"/>
    <cellStyle name="Millares 4 2 2 2 2 3" xfId="1108" xr:uid="{446A6456-A631-4044-91E4-278B9A29EE41}"/>
    <cellStyle name="Millares 4 2 2 2 3" xfId="603" xr:uid="{00A80DDC-6AF0-4756-949F-C51407608F9B}"/>
    <cellStyle name="Millares 4 2 2 2 3 2" xfId="1274" xr:uid="{59D4B2DA-327A-4D94-B992-F4B942BF0D8B}"/>
    <cellStyle name="Millares 4 2 2 2 4" xfId="942" xr:uid="{398F7942-BB13-462F-9E5A-DF28047CF98E}"/>
    <cellStyle name="Millares 4 2 2 3" xfId="348" xr:uid="{2D4397AD-9BB7-4803-97D5-EC73A9B2C622}"/>
    <cellStyle name="Millares 4 2 2 3 2" xfId="687" xr:uid="{39B82191-6C8E-4165-B2AE-A7A081B22D2A}"/>
    <cellStyle name="Millares 4 2 2 3 2 2" xfId="1358" xr:uid="{5C22D83F-FFA5-4D9D-85DB-33BE9A17BDF8}"/>
    <cellStyle name="Millares 4 2 2 3 3" xfId="1026" xr:uid="{6EBCE51E-76B2-42F8-A91E-BCCCFBD279D9}"/>
    <cellStyle name="Millares 4 2 2 4" xfId="521" xr:uid="{736C4DF8-6D18-4EF7-B095-7D20348A2B79}"/>
    <cellStyle name="Millares 4 2 2 4 2" xfId="1192" xr:uid="{153DCE85-E676-44A1-B628-B5F95AC037DA}"/>
    <cellStyle name="Millares 4 2 2 5" xfId="860" xr:uid="{FDE83FBB-2AD4-412D-9106-6B6CC97F43E7}"/>
    <cellStyle name="Millares 4 2 3" xfId="204" xr:uid="{72C1E9B2-D56E-4033-9A90-5D2A3DA32C84}"/>
    <cellStyle name="Millares 4 2 3 2" xfId="390" xr:uid="{41B1129E-0854-41ED-AEDC-2D377C030785}"/>
    <cellStyle name="Millares 4 2 3 2 2" xfId="729" xr:uid="{91929AB4-0090-4B11-BF19-C8907C8BF0C9}"/>
    <cellStyle name="Millares 4 2 3 2 2 2" xfId="1400" xr:uid="{0462B91A-B4D6-4A98-86B8-EDA365729911}"/>
    <cellStyle name="Millares 4 2 3 2 3" xfId="1068" xr:uid="{40C34E27-EE2A-4C00-B1B5-C30C5814B403}"/>
    <cellStyle name="Millares 4 2 3 3" xfId="563" xr:uid="{A39FC2CC-B030-4A73-AB57-06FB60A5B51A}"/>
    <cellStyle name="Millares 4 2 3 3 2" xfId="1234" xr:uid="{96D145F2-F230-4047-A517-768978EF4C4F}"/>
    <cellStyle name="Millares 4 2 3 4" xfId="902" xr:uid="{C5D5F784-8F36-47AD-99A0-71DAE3594CC8}"/>
    <cellStyle name="Millares 4 2 4" xfId="308" xr:uid="{08FF7828-856F-49FE-A983-59AF48CC708A}"/>
    <cellStyle name="Millares 4 2 4 2" xfId="647" xr:uid="{98FE3804-38E5-4602-A09B-964737F215DE}"/>
    <cellStyle name="Millares 4 2 4 2 2" xfId="1318" xr:uid="{38FAED8F-E6E3-4750-82BB-4886169E14A1}"/>
    <cellStyle name="Millares 4 2 4 3" xfId="986" xr:uid="{4F38E1C1-9C9D-4238-B2C0-8E3BB690AECE}"/>
    <cellStyle name="Millares 4 2 5" xfId="481" xr:uid="{31FC4FC2-BAB0-4D8F-AE31-B9DB340D736C}"/>
    <cellStyle name="Millares 4 2 5 2" xfId="1152" xr:uid="{FDF97267-553A-4E24-BA3D-8A32BB05ECD9}"/>
    <cellStyle name="Millares 4 2 6" xfId="820" xr:uid="{9BB77A98-146C-46D2-AE76-CD2CB99ED0D4}"/>
    <cellStyle name="Millares 4 3" xfId="136" xr:uid="{57ED1C4D-5E43-4F13-9979-6844A7D41709}"/>
    <cellStyle name="Millares 4 3 2" xfId="225" xr:uid="{7951B3AF-BCE6-4810-A08A-28FC573D8E46}"/>
    <cellStyle name="Millares 4 3 2 2" xfId="411" xr:uid="{931344E3-3DF7-43D1-B6E2-1DA633C85ED2}"/>
    <cellStyle name="Millares 4 3 2 2 2" xfId="750" xr:uid="{C75A509C-DE7A-4E3A-BF09-AD245B3F441F}"/>
    <cellStyle name="Millares 4 3 2 2 2 2" xfId="1421" xr:uid="{5B1CB95A-E7B8-4712-A622-2FEA967CC7AA}"/>
    <cellStyle name="Millares 4 3 2 2 3" xfId="1089" xr:uid="{AB535936-CC83-4C44-A1A7-574E3651E9A5}"/>
    <cellStyle name="Millares 4 3 2 3" xfId="584" xr:uid="{BE716966-11B8-4A3E-8B5D-762DCD614F25}"/>
    <cellStyle name="Millares 4 3 2 3 2" xfId="1255" xr:uid="{B00F7A2D-7F01-47FD-8F92-2815B9245036}"/>
    <cellStyle name="Millares 4 3 2 4" xfId="923" xr:uid="{30A6B981-D11F-44EB-BB9B-A4E9ACF18C41}"/>
    <cellStyle name="Millares 4 3 3" xfId="329" xr:uid="{0795DBF8-4342-4D7E-82A5-ADAF3BEFA554}"/>
    <cellStyle name="Millares 4 3 3 2" xfId="668" xr:uid="{BA3FE043-F4B3-4FB2-ABA0-D0F0B20A0B04}"/>
    <cellStyle name="Millares 4 3 3 2 2" xfId="1339" xr:uid="{47ACAF91-8968-462C-95A4-3EE786A97DAF}"/>
    <cellStyle name="Millares 4 3 3 3" xfId="1007" xr:uid="{2D31E120-838C-4A43-B806-F51ACC5BA824}"/>
    <cellStyle name="Millares 4 3 4" xfId="502" xr:uid="{2ACC678F-BF10-4434-829E-3B23F1C8FF36}"/>
    <cellStyle name="Millares 4 3 4 2" xfId="1173" xr:uid="{10E624E3-4B23-419F-A30F-A3D1FD8037D3}"/>
    <cellStyle name="Millares 4 3 5" xfId="841" xr:uid="{81079202-9B7C-4EF2-B5A9-1681D97B9EDC}"/>
    <cellStyle name="Millares 4 4" xfId="185" xr:uid="{191B85A2-07E2-4D44-A0CB-8CF86785FF14}"/>
    <cellStyle name="Millares 4 4 2" xfId="371" xr:uid="{D1504C61-C8BD-4691-8D64-19B21127C7F1}"/>
    <cellStyle name="Millares 4 4 2 2" xfId="710" xr:uid="{F5C5B7E8-3183-4A49-BA09-9F8C7020AD63}"/>
    <cellStyle name="Millares 4 4 2 2 2" xfId="1381" xr:uid="{8005FCB9-FFCD-454F-BBF5-A20C6CA85F78}"/>
    <cellStyle name="Millares 4 4 2 3" xfId="1049" xr:uid="{4D73BEDA-9470-4639-9237-3377E328D479}"/>
    <cellStyle name="Millares 4 4 3" xfId="544" xr:uid="{6AD03488-29EE-42C7-94F4-B5E1DC54AD99}"/>
    <cellStyle name="Millares 4 4 3 2" xfId="1215" xr:uid="{9FDC557C-0DE2-4AEE-9B12-1D4DDF2E6842}"/>
    <cellStyle name="Millares 4 4 4" xfId="883" xr:uid="{2EE2CBBF-AD85-4BAD-A311-0EE004079155}"/>
    <cellStyle name="Millares 4 5" xfId="289" xr:uid="{8B0151E5-37D5-402F-9FC2-0BE3D722B855}"/>
    <cellStyle name="Millares 4 5 2" xfId="628" xr:uid="{6C407E85-B93E-43D7-877E-727D25FE8DB6}"/>
    <cellStyle name="Millares 4 5 2 2" xfId="1299" xr:uid="{D6B2147A-B3B5-4763-A3F5-D95BCFD4C387}"/>
    <cellStyle name="Millares 4 5 3" xfId="967" xr:uid="{856D3B69-B7B1-4CFD-8415-F0777E26885F}"/>
    <cellStyle name="Millares 4 6" xfId="462" xr:uid="{7F3A7C5C-D0ED-49F9-8B6D-1E5E81F74EFC}"/>
    <cellStyle name="Millares 4 6 2" xfId="1133" xr:uid="{10AA9872-3B41-4B82-AB7A-8144477A734D}"/>
    <cellStyle name="Millares 4 7" xfId="801" xr:uid="{56B8512E-B7DD-4EE0-8EB5-CD2DD7A923CE}"/>
    <cellStyle name="Millares 5" xfId="64" xr:uid="{110C622B-4CC2-4227-BF15-F531616389CD}"/>
    <cellStyle name="Millares 5 2" xfId="99" xr:uid="{23D02801-ADBB-4117-B6F5-51083ECB6BE5}"/>
    <cellStyle name="Millares 5 2 2" xfId="147" xr:uid="{0C3C7ADB-1579-4D0C-B713-7D4D757789F6}"/>
    <cellStyle name="Millares 5 2 2 2" xfId="236" xr:uid="{B3101395-84C6-49D5-B296-88E79DA382E8}"/>
    <cellStyle name="Millares 5 2 2 2 2" xfId="422" xr:uid="{1210B6FD-EE05-4BAB-BB6E-8882883D9E5F}"/>
    <cellStyle name="Millares 5 2 2 2 2 2" xfId="761" xr:uid="{058F9B71-09C6-4715-9D1C-B841A39B6738}"/>
    <cellStyle name="Millares 5 2 2 2 2 2 2" xfId="1432" xr:uid="{1A6AEB81-825C-426B-B76A-2FE9871C2BDA}"/>
    <cellStyle name="Millares 5 2 2 2 2 3" xfId="1100" xr:uid="{D544DB91-7E3A-45B9-A517-D6821164E0A1}"/>
    <cellStyle name="Millares 5 2 2 2 3" xfId="595" xr:uid="{1306786D-3CD2-4388-A73B-4717033A3AEE}"/>
    <cellStyle name="Millares 5 2 2 2 3 2" xfId="1266" xr:uid="{6E8DD048-01CF-413B-AC3A-FEDB37754C0C}"/>
    <cellStyle name="Millares 5 2 2 2 4" xfId="934" xr:uid="{2B1D433B-EFD7-45C5-8BE9-A42E1489A6E1}"/>
    <cellStyle name="Millares 5 2 2 3" xfId="340" xr:uid="{AAFBA912-52AB-476F-B1C2-104B09B90CEB}"/>
    <cellStyle name="Millares 5 2 2 3 2" xfId="679" xr:uid="{FDA06055-51DF-4C8D-80C7-BF5C2CDF1E5E}"/>
    <cellStyle name="Millares 5 2 2 3 2 2" xfId="1350" xr:uid="{70083B8B-5529-445F-9677-A7B1E171141E}"/>
    <cellStyle name="Millares 5 2 2 3 3" xfId="1018" xr:uid="{41783C10-CCE6-49E4-B7B5-7475ED87707E}"/>
    <cellStyle name="Millares 5 2 2 4" xfId="513" xr:uid="{85471C59-A348-42FF-831B-8200C62B9248}"/>
    <cellStyle name="Millares 5 2 2 4 2" xfId="1184" xr:uid="{AD6872D2-555B-47FA-B122-7785A2C676A2}"/>
    <cellStyle name="Millares 5 2 2 5" xfId="852" xr:uid="{4838A2E0-B1F5-49B7-AD95-383F3DFD46B5}"/>
    <cellStyle name="Millares 5 2 3" xfId="196" xr:uid="{9B918B20-785C-4074-8ED8-6718FC36BBD4}"/>
    <cellStyle name="Millares 5 2 3 2" xfId="382" xr:uid="{5557B8B6-7D2C-4F5C-847F-E29BE2AD6987}"/>
    <cellStyle name="Millares 5 2 3 2 2" xfId="721" xr:uid="{D85EEA46-DA0B-46AE-A751-774DD8B67486}"/>
    <cellStyle name="Millares 5 2 3 2 2 2" xfId="1392" xr:uid="{FA4B17FD-55C7-42BB-968F-E57973FAB8B9}"/>
    <cellStyle name="Millares 5 2 3 2 3" xfId="1060" xr:uid="{C44DAFBF-614A-4C00-AED6-8C712F1A630D}"/>
    <cellStyle name="Millares 5 2 3 3" xfId="555" xr:uid="{B9A667CA-123E-4CA9-8E6D-B880F0B234B2}"/>
    <cellStyle name="Millares 5 2 3 3 2" xfId="1226" xr:uid="{4F4B2D99-6610-499F-9F6E-7F5A5EDE6857}"/>
    <cellStyle name="Millares 5 2 3 4" xfId="894" xr:uid="{5FD37EC3-8268-43B3-BF70-6821C24AB8A6}"/>
    <cellStyle name="Millares 5 2 4" xfId="300" xr:uid="{CDC6865F-939E-4E41-AA0A-009518324C2E}"/>
    <cellStyle name="Millares 5 2 4 2" xfId="639" xr:uid="{89CFEA74-08C7-4E12-AF07-749768FC42D3}"/>
    <cellStyle name="Millares 5 2 4 2 2" xfId="1310" xr:uid="{B08B6FAD-6963-4D77-B63C-146F2EA03D00}"/>
    <cellStyle name="Millares 5 2 4 3" xfId="978" xr:uid="{CA2444C9-F118-4587-B6D4-42D4DE0E1B57}"/>
    <cellStyle name="Millares 5 2 5" xfId="473" xr:uid="{54ED23DE-9B2F-4473-9C0C-B69DDD1EFD64}"/>
    <cellStyle name="Millares 5 2 5 2" xfId="1144" xr:uid="{EF9AAD78-6D78-42E7-BB0E-753F46C14F88}"/>
    <cellStyle name="Millares 5 2 6" xfId="812" xr:uid="{C00F5815-A260-48ED-9755-9511057F7801}"/>
    <cellStyle name="Millares 5 3" xfId="128" xr:uid="{5AC58858-1F20-4F8A-9055-D9F45ECEFBD8}"/>
    <cellStyle name="Millares 5 3 2" xfId="217" xr:uid="{7DED7D80-32B7-4638-A9D6-0441C774E349}"/>
    <cellStyle name="Millares 5 3 2 2" xfId="403" xr:uid="{F9A948AA-6DEE-4CD3-881C-1EA49DDFFF4D}"/>
    <cellStyle name="Millares 5 3 2 2 2" xfId="742" xr:uid="{7C968A68-0882-47C0-87EC-199018FE6A9D}"/>
    <cellStyle name="Millares 5 3 2 2 2 2" xfId="1413" xr:uid="{29192D1B-67E0-4597-9C17-A66691C2DB3B}"/>
    <cellStyle name="Millares 5 3 2 2 3" xfId="1081" xr:uid="{27E015DA-419F-490D-806C-D0008F32DDF9}"/>
    <cellStyle name="Millares 5 3 2 3" xfId="576" xr:uid="{25C55955-30F5-4FE5-A692-6666A02ED19F}"/>
    <cellStyle name="Millares 5 3 2 3 2" xfId="1247" xr:uid="{8FCCB43D-F6E6-4904-88E9-18985E11AE50}"/>
    <cellStyle name="Millares 5 3 2 4" xfId="915" xr:uid="{B1289DB4-04C6-46A8-B5FF-1024744D455C}"/>
    <cellStyle name="Millares 5 3 3" xfId="321" xr:uid="{5D8D0A33-9814-4E1F-A25C-0315FF2091CF}"/>
    <cellStyle name="Millares 5 3 3 2" xfId="660" xr:uid="{C9DE1ACE-59CF-4E2D-9473-9828954A04B3}"/>
    <cellStyle name="Millares 5 3 3 2 2" xfId="1331" xr:uid="{0232B2C0-E9B0-4138-8F5B-ACD6946A4378}"/>
    <cellStyle name="Millares 5 3 3 3" xfId="999" xr:uid="{097A7B57-E06A-4750-999D-3286AC9BF4A2}"/>
    <cellStyle name="Millares 5 3 4" xfId="494" xr:uid="{166395BB-9301-4D70-82FE-834044C73B7D}"/>
    <cellStyle name="Millares 5 3 4 2" xfId="1165" xr:uid="{A6549B53-79D1-4C40-9C45-563B8E0553E6}"/>
    <cellStyle name="Millares 5 3 5" xfId="833" xr:uid="{9A703BFD-6512-49B0-911E-614853F49D58}"/>
    <cellStyle name="Millares 5 4" xfId="177" xr:uid="{133A8F07-3485-4EEB-A3DC-3186F917193B}"/>
    <cellStyle name="Millares 5 4 2" xfId="363" xr:uid="{9C8C30EA-6F9D-447D-B462-EE21D9ED2DB7}"/>
    <cellStyle name="Millares 5 4 2 2" xfId="702" xr:uid="{BA78D677-C20A-4AEE-B26B-2AF88C6F82F8}"/>
    <cellStyle name="Millares 5 4 2 2 2" xfId="1373" xr:uid="{898B3902-2BE8-40D2-9327-3ADEF6438FDD}"/>
    <cellStyle name="Millares 5 4 2 3" xfId="1041" xr:uid="{22B2E827-87E2-47FE-BA2F-E09E4288FD42}"/>
    <cellStyle name="Millares 5 4 3" xfId="536" xr:uid="{5960049A-7DC6-4E8A-A436-6AE63A4BC7E8}"/>
    <cellStyle name="Millares 5 4 3 2" xfId="1207" xr:uid="{46300EC4-2107-42C7-98CF-B4AFD7435F31}"/>
    <cellStyle name="Millares 5 4 4" xfId="875" xr:uid="{00B10543-BB38-4FB0-B7A0-C15B32851C3C}"/>
    <cellStyle name="Millares 5 5" xfId="281" xr:uid="{A944E1F3-DC80-4809-ADBE-20B08255D615}"/>
    <cellStyle name="Millares 5 5 2" xfId="620" xr:uid="{EDF085A2-58F7-416E-B1AB-8C0D0793248D}"/>
    <cellStyle name="Millares 5 5 2 2" xfId="1291" xr:uid="{67411159-B770-47ED-B298-A051FEB9E502}"/>
    <cellStyle name="Millares 5 5 3" xfId="959" xr:uid="{B448AA4F-24A1-4F02-BA15-A6CA7B6427C7}"/>
    <cellStyle name="Millares 5 6" xfId="454" xr:uid="{63585AC6-495D-4F1E-8629-4460A9E99252}"/>
    <cellStyle name="Millares 5 6 2" xfId="1125" xr:uid="{0AA7C3E6-662F-4FAF-A2DB-3E6BC692F224}"/>
    <cellStyle name="Millares 5 7" xfId="793" xr:uid="{32496303-C9AC-40AB-B819-FE2F39A541F0}"/>
    <cellStyle name="Millares 6" xfId="81" xr:uid="{E460EB56-0115-4D4F-9E2B-51F3C8FB22C8}"/>
    <cellStyle name="Millares 6 2" xfId="108" xr:uid="{2589D7BF-0C6B-40FA-B970-796C57BE4D0E}"/>
    <cellStyle name="Millares 6 2 2" xfId="156" xr:uid="{67845F51-8AD3-4735-8476-E8D79492DB3C}"/>
    <cellStyle name="Millares 6 2 2 2" xfId="245" xr:uid="{FB643B04-1B19-420A-9B84-5214A4801707}"/>
    <cellStyle name="Millares 6 2 2 2 2" xfId="431" xr:uid="{716E5BCA-A1E6-45D5-A14D-4E76D426160A}"/>
    <cellStyle name="Millares 6 2 2 2 2 2" xfId="770" xr:uid="{A7884AD8-6348-4F5F-844A-C657D561D79F}"/>
    <cellStyle name="Millares 6 2 2 2 2 2 2" xfId="1441" xr:uid="{1B36A7DD-9B5A-45A7-85E3-9BA45233693F}"/>
    <cellStyle name="Millares 6 2 2 2 2 3" xfId="1109" xr:uid="{4CE681C2-2B26-4665-9D14-55C0BB7CE77F}"/>
    <cellStyle name="Millares 6 2 2 2 3" xfId="604" xr:uid="{B27D343C-F400-494A-8AB3-6ADA6A80FE19}"/>
    <cellStyle name="Millares 6 2 2 2 3 2" xfId="1275" xr:uid="{E56BFB7A-8F4E-405A-ACD2-ED73C6DDFF61}"/>
    <cellStyle name="Millares 6 2 2 2 4" xfId="943" xr:uid="{C89D4544-1061-491E-A698-C8BA82CFEFBA}"/>
    <cellStyle name="Millares 6 2 2 3" xfId="349" xr:uid="{2DDFBB43-BBEA-4469-AD27-3E198D858F5E}"/>
    <cellStyle name="Millares 6 2 2 3 2" xfId="688" xr:uid="{758B3FDC-4BBE-498B-82BD-D3546CA01AAD}"/>
    <cellStyle name="Millares 6 2 2 3 2 2" xfId="1359" xr:uid="{946B769C-7BC3-4614-8044-1B8437A23361}"/>
    <cellStyle name="Millares 6 2 2 3 3" xfId="1027" xr:uid="{7EF7259E-0479-4319-B4FC-F7AA1DB058E3}"/>
    <cellStyle name="Millares 6 2 2 4" xfId="522" xr:uid="{5E0C2B7E-5BCB-4A16-A18B-AB3FAC48DC7B}"/>
    <cellStyle name="Millares 6 2 2 4 2" xfId="1193" xr:uid="{1BEE4442-118B-46F2-B4BC-9F85F4A128DD}"/>
    <cellStyle name="Millares 6 2 2 5" xfId="861" xr:uid="{2ADB2483-1631-4B32-91D5-CD1D590E211E}"/>
    <cellStyle name="Millares 6 2 3" xfId="205" xr:uid="{4B910459-FB21-4451-88CF-56AEEE9E8CE7}"/>
    <cellStyle name="Millares 6 2 3 2" xfId="391" xr:uid="{983EBD7B-4B42-488C-85BB-C1505FEBCFA7}"/>
    <cellStyle name="Millares 6 2 3 2 2" xfId="730" xr:uid="{53F9EA16-E9C8-42B6-8889-4A74D5AB6468}"/>
    <cellStyle name="Millares 6 2 3 2 2 2" xfId="1401" xr:uid="{7602CC91-8FA0-4151-B3E2-00B1E42EFB61}"/>
    <cellStyle name="Millares 6 2 3 2 3" xfId="1069" xr:uid="{353AF5C7-51C2-41B0-88C5-C99CCF2F860F}"/>
    <cellStyle name="Millares 6 2 3 3" xfId="564" xr:uid="{780DF0E7-E675-4FEA-A026-406B0B44565D}"/>
    <cellStyle name="Millares 6 2 3 3 2" xfId="1235" xr:uid="{150515E8-571B-4507-91E4-9FFF0F2DD324}"/>
    <cellStyle name="Millares 6 2 3 4" xfId="903" xr:uid="{D9EF9669-A295-4F19-9813-81DCD2CD5113}"/>
    <cellStyle name="Millares 6 2 4" xfId="309" xr:uid="{42398E98-F83C-4D9E-B1F2-C39A697D8346}"/>
    <cellStyle name="Millares 6 2 4 2" xfId="648" xr:uid="{E85B05AE-A3D2-4744-BA2E-6BB42BA66779}"/>
    <cellStyle name="Millares 6 2 4 2 2" xfId="1319" xr:uid="{560121F5-8044-4DFA-9179-B50DB2CBB0EC}"/>
    <cellStyle name="Millares 6 2 4 3" xfId="987" xr:uid="{AD949347-0C60-40AD-A928-BE702AF2BE88}"/>
    <cellStyle name="Millares 6 2 5" xfId="482" xr:uid="{F7A29876-AF3C-4D45-B7CA-0F8E854D291A}"/>
    <cellStyle name="Millares 6 2 5 2" xfId="1153" xr:uid="{7403C923-C18B-4B71-A1D7-B2EA9616009B}"/>
    <cellStyle name="Millares 6 2 6" xfId="821" xr:uid="{63E3A8D2-A583-426B-8532-212F1D8DC960}"/>
    <cellStyle name="Millares 6 3" xfId="137" xr:uid="{A0B00BAC-B6FF-417F-97FF-002A6C2C4A9B}"/>
    <cellStyle name="Millares 6 3 2" xfId="226" xr:uid="{CFD34C09-2A40-4875-A9A4-04C64B18AE3E}"/>
    <cellStyle name="Millares 6 3 2 2" xfId="412" xr:uid="{F7C6D21C-54DA-418E-BEBC-D5FC239794DC}"/>
    <cellStyle name="Millares 6 3 2 2 2" xfId="751" xr:uid="{870CF6F4-6B3F-41B1-836B-81E2FA9D37F0}"/>
    <cellStyle name="Millares 6 3 2 2 2 2" xfId="1422" xr:uid="{D6D74368-57D3-454B-B459-300F77AE43F3}"/>
    <cellStyle name="Millares 6 3 2 2 3" xfId="1090" xr:uid="{24C60278-66AB-4805-BD90-3DC173944936}"/>
    <cellStyle name="Millares 6 3 2 3" xfId="585" xr:uid="{8A8C8EBB-C93D-40A0-8ACC-EC89D7C66CBB}"/>
    <cellStyle name="Millares 6 3 2 3 2" xfId="1256" xr:uid="{CE99D705-739D-481B-A634-031F3C267FC2}"/>
    <cellStyle name="Millares 6 3 2 4" xfId="924" xr:uid="{19072D64-C5E7-4F08-A268-F58EE45B88B4}"/>
    <cellStyle name="Millares 6 3 3" xfId="330" xr:uid="{AB31918E-7C36-40E6-8C3B-DD1F30933384}"/>
    <cellStyle name="Millares 6 3 3 2" xfId="669" xr:uid="{68A509DA-7B47-4314-A621-3072A5837F8F}"/>
    <cellStyle name="Millares 6 3 3 2 2" xfId="1340" xr:uid="{7E8EDBFF-E9B1-430A-9360-91FB1F384D31}"/>
    <cellStyle name="Millares 6 3 3 3" xfId="1008" xr:uid="{965E250D-8618-4D17-BCA7-12017A1BDCB3}"/>
    <cellStyle name="Millares 6 3 4" xfId="503" xr:uid="{FD0AB046-CF4F-4B4F-AC90-7D8457DA52CF}"/>
    <cellStyle name="Millares 6 3 4 2" xfId="1174" xr:uid="{9D70265F-1FE9-4C94-A594-C1A7DFEE46A8}"/>
    <cellStyle name="Millares 6 3 5" xfId="842" xr:uid="{D0DCE162-074A-42FC-8DD9-E3C12082CF07}"/>
    <cellStyle name="Millares 6 4" xfId="186" xr:uid="{061C7794-206F-4A41-B1AA-9D38988F4C38}"/>
    <cellStyle name="Millares 6 4 2" xfId="372" xr:uid="{0E92D446-EF36-4D43-B5E0-15FFA67E03EB}"/>
    <cellStyle name="Millares 6 4 2 2" xfId="711" xr:uid="{438AB947-B540-450C-B93F-E9FBEB920283}"/>
    <cellStyle name="Millares 6 4 2 2 2" xfId="1382" xr:uid="{557CBF8B-9255-4791-907B-A835B7CC020D}"/>
    <cellStyle name="Millares 6 4 2 3" xfId="1050" xr:uid="{7BAE73B9-E8D7-4D2F-B5E3-BE4ED041C2EC}"/>
    <cellStyle name="Millares 6 4 3" xfId="545" xr:uid="{83677B61-0E54-42C3-8241-94981D789E04}"/>
    <cellStyle name="Millares 6 4 3 2" xfId="1216" xr:uid="{BCE823DB-2F33-4F67-A4A3-60F49A55BE38}"/>
    <cellStyle name="Millares 6 4 4" xfId="884" xr:uid="{C1CF9F15-5A8B-4701-B9EB-053A8FD6FBC5}"/>
    <cellStyle name="Millares 6 5" xfId="290" xr:uid="{DECDEFF8-6AE4-4554-8A31-51BBE36E3289}"/>
    <cellStyle name="Millares 6 5 2" xfId="629" xr:uid="{81CB1DC6-7590-4160-A657-DCB2F2D2349A}"/>
    <cellStyle name="Millares 6 5 2 2" xfId="1300" xr:uid="{45D938F3-C81D-4E8F-97AD-1D1D979647F1}"/>
    <cellStyle name="Millares 6 5 3" xfId="968" xr:uid="{2A9B3CB2-7C00-408B-AACE-9A0C27D78241}"/>
    <cellStyle name="Millares 6 6" xfId="463" xr:uid="{2E88F73E-9004-48B1-86D9-ACC53874CE12}"/>
    <cellStyle name="Millares 6 6 2" xfId="1134" xr:uid="{81946051-7724-4ABF-BFA2-088A8D4092DD}"/>
    <cellStyle name="Millares 6 7" xfId="802" xr:uid="{624EE7D7-6CD2-42EF-8B67-FACED2EC90B7}"/>
    <cellStyle name="Millares 7" xfId="82" xr:uid="{CCC6D290-2D63-4EFB-8E7C-EA918E381AFC}"/>
    <cellStyle name="Millares 7 2" xfId="109" xr:uid="{48A7824E-98AB-41F3-A58E-2FB4273DA7C1}"/>
    <cellStyle name="Millares 7 2 2" xfId="157" xr:uid="{6E200439-F2CC-4117-AF48-F87F8FEE1D15}"/>
    <cellStyle name="Millares 7 2 2 2" xfId="246" xr:uid="{14D16BED-5700-4A56-90EE-0E710679F4AF}"/>
    <cellStyle name="Millares 7 2 2 2 2" xfId="432" xr:uid="{81AC2205-A932-42F5-B1C6-AB258FB0922A}"/>
    <cellStyle name="Millares 7 2 2 2 2 2" xfId="771" xr:uid="{46FCAC3F-72FB-4579-9401-C1F6B83EF9C8}"/>
    <cellStyle name="Millares 7 2 2 2 2 2 2" xfId="1442" xr:uid="{899C2C42-B5FE-4E2C-B250-03F478CDA507}"/>
    <cellStyle name="Millares 7 2 2 2 2 3" xfId="1110" xr:uid="{583817C8-D748-4A42-B0E4-C802EA63A67D}"/>
    <cellStyle name="Millares 7 2 2 2 3" xfId="605" xr:uid="{5684058D-E647-42AE-AEEC-7E984F57C760}"/>
    <cellStyle name="Millares 7 2 2 2 3 2" xfId="1276" xr:uid="{25C8E12E-6B14-400E-A81D-ABCBB7DC871E}"/>
    <cellStyle name="Millares 7 2 2 2 4" xfId="944" xr:uid="{AA23AEB0-0D59-4691-B722-E2CB809EB53B}"/>
    <cellStyle name="Millares 7 2 2 3" xfId="350" xr:uid="{67A8B9E9-2A81-4D79-8531-ED272481CDB7}"/>
    <cellStyle name="Millares 7 2 2 3 2" xfId="689" xr:uid="{46CBA459-9FB4-40CA-BE1C-69D1A1265DF6}"/>
    <cellStyle name="Millares 7 2 2 3 2 2" xfId="1360" xr:uid="{CEC3A0C5-0C27-4DDE-B300-AC4C242DA7A6}"/>
    <cellStyle name="Millares 7 2 2 3 3" xfId="1028" xr:uid="{AB6FFFC5-D48F-4E30-A036-9F7A561B9CC9}"/>
    <cellStyle name="Millares 7 2 2 4" xfId="523" xr:uid="{83370A30-E1F1-4E8D-A860-77F24055AFB1}"/>
    <cellStyle name="Millares 7 2 2 4 2" xfId="1194" xr:uid="{26C8FBB1-0455-45A4-BAC2-9CA91E4FBA50}"/>
    <cellStyle name="Millares 7 2 2 5" xfId="862" xr:uid="{4433252C-D1EA-4326-8A4F-524074F156E6}"/>
    <cellStyle name="Millares 7 2 3" xfId="206" xr:uid="{67845785-7276-4115-B0BB-8B7E8A4A830E}"/>
    <cellStyle name="Millares 7 2 3 2" xfId="392" xr:uid="{66F29EFA-FC8A-44EB-B3F2-4D7B15A47854}"/>
    <cellStyle name="Millares 7 2 3 2 2" xfId="731" xr:uid="{48C0D7EC-6ED3-4D04-8D7D-9C73423708FA}"/>
    <cellStyle name="Millares 7 2 3 2 2 2" xfId="1402" xr:uid="{0A63CE21-F7C9-44D6-A120-857149BE08DC}"/>
    <cellStyle name="Millares 7 2 3 2 3" xfId="1070" xr:uid="{9950591B-61FA-48F8-B830-A00F44D67F45}"/>
    <cellStyle name="Millares 7 2 3 3" xfId="565" xr:uid="{2B8EEB3D-08A9-4417-A0BD-CC10BCEBC821}"/>
    <cellStyle name="Millares 7 2 3 3 2" xfId="1236" xr:uid="{EF090E90-9CC6-41CE-95CE-2EB2B1A5A6E3}"/>
    <cellStyle name="Millares 7 2 3 4" xfId="904" xr:uid="{D577A081-F275-4078-AD8D-DC7DC57861F2}"/>
    <cellStyle name="Millares 7 2 4" xfId="310" xr:uid="{BC4FDCF1-7450-4ADF-B829-F03A284599E0}"/>
    <cellStyle name="Millares 7 2 4 2" xfId="649" xr:uid="{DF2B7240-B8EB-407B-991F-EF9E34284BDF}"/>
    <cellStyle name="Millares 7 2 4 2 2" xfId="1320" xr:uid="{D348869F-911E-4709-9A1D-AEA301E91B54}"/>
    <cellStyle name="Millares 7 2 4 3" xfId="988" xr:uid="{04ACADA8-60DF-49A7-B8F9-3052C322E8C7}"/>
    <cellStyle name="Millares 7 2 5" xfId="483" xr:uid="{02FD3C23-F09B-4AAE-B4DB-8AFFFCDABF89}"/>
    <cellStyle name="Millares 7 2 5 2" xfId="1154" xr:uid="{94EB6B37-CFFB-49F5-928B-B5D56E30031B}"/>
    <cellStyle name="Millares 7 2 6" xfId="822" xr:uid="{A7B08FF9-21F4-468D-B2FF-67D5D7D1AA59}"/>
    <cellStyle name="Millares 7 3" xfId="138" xr:uid="{20A3DDB1-11F2-4BC5-A58B-63160B2F5A02}"/>
    <cellStyle name="Millares 7 3 2" xfId="227" xr:uid="{6FF755EF-99FB-45DC-9232-A9AF5B42FB1E}"/>
    <cellStyle name="Millares 7 3 2 2" xfId="413" xr:uid="{013952C2-AEC7-41A8-959E-CA6CEFB430BB}"/>
    <cellStyle name="Millares 7 3 2 2 2" xfId="752" xr:uid="{B8A9E4E6-C509-4CAA-AB8D-85CA16D1B80D}"/>
    <cellStyle name="Millares 7 3 2 2 2 2" xfId="1423" xr:uid="{05A1EA68-450F-4006-B16A-12F06DABA89A}"/>
    <cellStyle name="Millares 7 3 2 2 3" xfId="1091" xr:uid="{6FB6B35A-57BF-4C98-BF75-0BEF4FCCDF46}"/>
    <cellStyle name="Millares 7 3 2 3" xfId="586" xr:uid="{F620B5D9-E6FE-4ABF-9C23-479F5A59C714}"/>
    <cellStyle name="Millares 7 3 2 3 2" xfId="1257" xr:uid="{5571D459-EB07-41F1-BC5F-84566340B78A}"/>
    <cellStyle name="Millares 7 3 2 4" xfId="925" xr:uid="{7B1A2D76-50AB-4103-B473-74BA4328EB8B}"/>
    <cellStyle name="Millares 7 3 3" xfId="331" xr:uid="{D77D8E90-3844-4567-9A7C-8095DD94074B}"/>
    <cellStyle name="Millares 7 3 3 2" xfId="670" xr:uid="{09B8E4FE-C7AA-4E6B-A156-F8DCDC8D9BA1}"/>
    <cellStyle name="Millares 7 3 3 2 2" xfId="1341" xr:uid="{92D738E2-C72D-4A4B-9686-8C1BA504BE4C}"/>
    <cellStyle name="Millares 7 3 3 3" xfId="1009" xr:uid="{28F6D991-FFA3-4283-A2A0-6695B6B2A4F8}"/>
    <cellStyle name="Millares 7 3 4" xfId="504" xr:uid="{292F51A0-A7CA-4DCF-9713-60FF4977151F}"/>
    <cellStyle name="Millares 7 3 4 2" xfId="1175" xr:uid="{EBD6FBED-BE1C-4195-8303-EF283B59E788}"/>
    <cellStyle name="Millares 7 3 5" xfId="843" xr:uid="{EC19C9F0-EB91-430B-BFB0-4E7A1A862409}"/>
    <cellStyle name="Millares 7 4" xfId="187" xr:uid="{E02BB41E-C940-4116-9342-3931BA5CE5E4}"/>
    <cellStyle name="Millares 7 4 2" xfId="373" xr:uid="{18C3D268-CBAA-4D19-B9A6-D4327BAC42A1}"/>
    <cellStyle name="Millares 7 4 2 2" xfId="712" xr:uid="{94D231B8-116D-47C1-860F-A2A3F6CC4124}"/>
    <cellStyle name="Millares 7 4 2 2 2" xfId="1383" xr:uid="{C4269D48-3D03-45EF-B485-655DF646B1F1}"/>
    <cellStyle name="Millares 7 4 2 3" xfId="1051" xr:uid="{93FE1E8C-45D1-4FE4-AAD4-073C4F4319F0}"/>
    <cellStyle name="Millares 7 4 3" xfId="546" xr:uid="{F712395E-90CC-4367-A9B9-35A36DF36E3E}"/>
    <cellStyle name="Millares 7 4 3 2" xfId="1217" xr:uid="{BCD0EDF1-F1E7-491B-9DE9-2E18C62FF4B7}"/>
    <cellStyle name="Millares 7 4 4" xfId="885" xr:uid="{4178F1C5-0A6E-41F6-A8BE-660D31F1C619}"/>
    <cellStyle name="Millares 7 5" xfId="291" xr:uid="{58E2394D-6033-4D26-AB90-952BF1697D37}"/>
    <cellStyle name="Millares 7 5 2" xfId="630" xr:uid="{EEE2DC7D-C52F-485F-A0B0-DEE03EE2CF3F}"/>
    <cellStyle name="Millares 7 5 2 2" xfId="1301" xr:uid="{AA1D6F3B-0035-43AE-8175-A3E9B292665B}"/>
    <cellStyle name="Millares 7 5 3" xfId="969" xr:uid="{FB358F6B-0E46-419E-9FAC-9A30DEED3744}"/>
    <cellStyle name="Millares 7 6" xfId="464" xr:uid="{2519E9B4-28BF-4926-A319-49FA380E44A9}"/>
    <cellStyle name="Millares 7 6 2" xfId="1135" xr:uid="{647B2F18-AE9E-4151-884E-18418B33F3E9}"/>
    <cellStyle name="Millares 7 7" xfId="803" xr:uid="{89DD2F35-9022-46FE-AF58-24DDEF05F977}"/>
    <cellStyle name="Millares 79" xfId="48" xr:uid="{EC574C9B-5390-4C24-9F34-0BB6A0EE7C54}"/>
    <cellStyle name="Millares 79 2" xfId="75" xr:uid="{C4B61949-61B2-4B07-A332-6E8F26649430}"/>
    <cellStyle name="Millares 79 2 2" xfId="104" xr:uid="{776354DD-2BB5-463F-81B9-C360BA7C63D9}"/>
    <cellStyle name="Millares 79 2 2 2" xfId="152" xr:uid="{756027B2-6918-4890-B7EE-E6602E0D7BD3}"/>
    <cellStyle name="Millares 79 2 2 2 2" xfId="241" xr:uid="{FF25829D-22ED-4664-AF07-3A19C20B20CA}"/>
    <cellStyle name="Millares 79 2 2 2 2 2" xfId="427" xr:uid="{1D27006A-4B54-4C06-A3E0-F24A115A81BC}"/>
    <cellStyle name="Millares 79 2 2 2 2 2 2" xfId="766" xr:uid="{35E82710-8B6A-429B-93F1-7E8FF8B0A359}"/>
    <cellStyle name="Millares 79 2 2 2 2 2 2 2" xfId="1437" xr:uid="{9FC55B14-3110-4112-A6E7-CD1D87F17618}"/>
    <cellStyle name="Millares 79 2 2 2 2 2 3" xfId="1105" xr:uid="{6B41F63D-F6C0-443E-9C07-C8D3BF98DBE5}"/>
    <cellStyle name="Millares 79 2 2 2 2 3" xfId="600" xr:uid="{7D98F904-C19A-4A0B-95FD-CDFD73A40EF6}"/>
    <cellStyle name="Millares 79 2 2 2 2 3 2" xfId="1271" xr:uid="{0E6C80E5-30AB-46C0-B6F5-21161706F399}"/>
    <cellStyle name="Millares 79 2 2 2 2 4" xfId="939" xr:uid="{20645D58-B2B1-44EB-AC7C-68F5D3FC5F10}"/>
    <cellStyle name="Millares 79 2 2 2 3" xfId="345" xr:uid="{2E11E070-1FE3-48C4-8456-8281ED99A683}"/>
    <cellStyle name="Millares 79 2 2 2 3 2" xfId="684" xr:uid="{337A3271-D815-4C16-AB82-D32CDE5E3F04}"/>
    <cellStyle name="Millares 79 2 2 2 3 2 2" xfId="1355" xr:uid="{394E063C-5D84-4415-BFC8-37C5AB67EC7D}"/>
    <cellStyle name="Millares 79 2 2 2 3 3" xfId="1023" xr:uid="{D56D77E6-B98A-4E28-A6CE-0ACE4FA20829}"/>
    <cellStyle name="Millares 79 2 2 2 4" xfId="518" xr:uid="{91536300-F8BA-4929-91B7-1759ECCB11BD}"/>
    <cellStyle name="Millares 79 2 2 2 4 2" xfId="1189" xr:uid="{A90DDF52-6EEC-4B3C-A96C-22C41EDA2554}"/>
    <cellStyle name="Millares 79 2 2 2 5" xfId="857" xr:uid="{B281B086-FDAC-4D2F-9B95-18151C968890}"/>
    <cellStyle name="Millares 79 2 2 3" xfId="201" xr:uid="{BEAA5E4D-7C89-4149-8ACF-3744D52A7F51}"/>
    <cellStyle name="Millares 79 2 2 3 2" xfId="387" xr:uid="{73D1ABB8-9A28-43D9-A60A-5B8F6A5F3ABE}"/>
    <cellStyle name="Millares 79 2 2 3 2 2" xfId="726" xr:uid="{AF527365-4235-4F68-9A88-C1A165ECAD60}"/>
    <cellStyle name="Millares 79 2 2 3 2 2 2" xfId="1397" xr:uid="{52DB6D9A-9244-4837-8AEF-ADF4C2BB302D}"/>
    <cellStyle name="Millares 79 2 2 3 2 3" xfId="1065" xr:uid="{549A8955-4ABF-4BA4-8AA1-F36E33F6A1DF}"/>
    <cellStyle name="Millares 79 2 2 3 3" xfId="560" xr:uid="{306F6B93-599E-4576-927F-DB5E34F99282}"/>
    <cellStyle name="Millares 79 2 2 3 3 2" xfId="1231" xr:uid="{6D5DE793-4F65-4C81-A4CB-83F9EABBCF5F}"/>
    <cellStyle name="Millares 79 2 2 3 4" xfId="899" xr:uid="{00BDC18B-6D17-4521-A1A4-738E2302C01C}"/>
    <cellStyle name="Millares 79 2 2 4" xfId="305" xr:uid="{C1E43CDF-5384-493F-AAC6-CC08E5A5C844}"/>
    <cellStyle name="Millares 79 2 2 4 2" xfId="644" xr:uid="{DDEA6C6E-B4B5-4D5A-9A0F-2E2A145A7537}"/>
    <cellStyle name="Millares 79 2 2 4 2 2" xfId="1315" xr:uid="{5F771401-A369-418C-B547-C8C76E8B022E}"/>
    <cellStyle name="Millares 79 2 2 4 3" xfId="983" xr:uid="{CF8F9E3C-79DF-48A3-BF36-0F217C3810ED}"/>
    <cellStyle name="Millares 79 2 2 5" xfId="478" xr:uid="{DD1201C7-E3CA-4CDA-8714-86E09C536386}"/>
    <cellStyle name="Millares 79 2 2 5 2" xfId="1149" xr:uid="{D41024EA-EB1F-44EC-8634-B2443197BF83}"/>
    <cellStyle name="Millares 79 2 2 6" xfId="817" xr:uid="{8959FBCD-F7D1-4400-85EF-3374F6F6C396}"/>
    <cellStyle name="Millares 79 2 3" xfId="133" xr:uid="{20DEA71D-8C79-491F-BD12-279824D7F780}"/>
    <cellStyle name="Millares 79 2 3 2" xfId="222" xr:uid="{3899C5E1-EB5E-4406-AA66-AB45DB8F7686}"/>
    <cellStyle name="Millares 79 2 3 2 2" xfId="408" xr:uid="{3AC27F34-E912-497F-93BE-03EAF26D4D26}"/>
    <cellStyle name="Millares 79 2 3 2 2 2" xfId="747" xr:uid="{DF3E0C5E-1A51-410B-984D-3AB6343080C0}"/>
    <cellStyle name="Millares 79 2 3 2 2 2 2" xfId="1418" xr:uid="{E6F316CD-7E24-4E15-9616-B053659949BC}"/>
    <cellStyle name="Millares 79 2 3 2 2 3" xfId="1086" xr:uid="{DCB8502E-C5A2-4586-AEB2-7EC4541EED40}"/>
    <cellStyle name="Millares 79 2 3 2 3" xfId="581" xr:uid="{D848A1D7-667B-4869-9770-EDF6AF2942C4}"/>
    <cellStyle name="Millares 79 2 3 2 3 2" xfId="1252" xr:uid="{3CF7CE1C-0C8C-496C-A1EA-31AC0476F190}"/>
    <cellStyle name="Millares 79 2 3 2 4" xfId="920" xr:uid="{A5FD4A51-6B73-496C-9980-E3621E056CD7}"/>
    <cellStyle name="Millares 79 2 3 3" xfId="326" xr:uid="{78BF8199-66A4-4EEE-852C-049DCB493B9C}"/>
    <cellStyle name="Millares 79 2 3 3 2" xfId="665" xr:uid="{386C51D9-D722-4B29-AAE1-9C5AC24D684F}"/>
    <cellStyle name="Millares 79 2 3 3 2 2" xfId="1336" xr:uid="{8C1516E1-D1B6-4F8E-9FA4-138B3C33676B}"/>
    <cellStyle name="Millares 79 2 3 3 3" xfId="1004" xr:uid="{984AAA9D-D0A5-4DEF-A642-F7A6932DC18E}"/>
    <cellStyle name="Millares 79 2 3 4" xfId="499" xr:uid="{CB09A58B-A8BB-424A-BB37-853DC6CBD3AC}"/>
    <cellStyle name="Millares 79 2 3 4 2" xfId="1170" xr:uid="{8CC15D8A-CD40-4CD6-8B7C-7D412C4E1590}"/>
    <cellStyle name="Millares 79 2 3 5" xfId="838" xr:uid="{3650131D-A3CF-41D2-866F-0D714E55D00D}"/>
    <cellStyle name="Millares 79 2 4" xfId="182" xr:uid="{4ED2D08D-25A4-4245-8C01-93D7996F5A45}"/>
    <cellStyle name="Millares 79 2 4 2" xfId="368" xr:uid="{D08A25F1-0156-4203-9E56-4C18E3505566}"/>
    <cellStyle name="Millares 79 2 4 2 2" xfId="707" xr:uid="{5B5E9777-BE55-4596-80DE-D4AACB90CF17}"/>
    <cellStyle name="Millares 79 2 4 2 2 2" xfId="1378" xr:uid="{49A6138B-9AFC-47AE-81C4-E68234A4F112}"/>
    <cellStyle name="Millares 79 2 4 2 3" xfId="1046" xr:uid="{8B3E2988-3BEB-4471-8775-DC81F051E038}"/>
    <cellStyle name="Millares 79 2 4 3" xfId="541" xr:uid="{E7D089F6-BAE8-442D-B9A3-6317576E2DBF}"/>
    <cellStyle name="Millares 79 2 4 3 2" xfId="1212" xr:uid="{B604858E-8489-469C-BB8C-9C3C862A024C}"/>
    <cellStyle name="Millares 79 2 4 4" xfId="880" xr:uid="{75DCF4EF-8657-44BE-9F30-7EE6FCA11BA2}"/>
    <cellStyle name="Millares 79 2 5" xfId="286" xr:uid="{5475B524-E1EA-4982-8794-0CEFE4CF643E}"/>
    <cellStyle name="Millares 79 2 5 2" xfId="625" xr:uid="{A496693B-723F-40B8-98D9-FFC19889AB3D}"/>
    <cellStyle name="Millares 79 2 5 2 2" xfId="1296" xr:uid="{5AF5C20F-6038-4E7D-A8CD-A052D62D624E}"/>
    <cellStyle name="Millares 79 2 5 3" xfId="964" xr:uid="{8F967656-1913-4C71-9AEC-5724DD908104}"/>
    <cellStyle name="Millares 79 2 6" xfId="459" xr:uid="{6B868156-DAD2-4FFF-BDAE-34FD721E01C0}"/>
    <cellStyle name="Millares 79 2 6 2" xfId="1130" xr:uid="{2784BD61-8D19-46F8-8D96-B0FA84945041}"/>
    <cellStyle name="Millares 79 2 7" xfId="798" xr:uid="{049B9BD1-CFE5-42B7-B96F-7EC0BF75AE47}"/>
    <cellStyle name="Millares 79 3" xfId="93" xr:uid="{C64810C4-A249-4D8C-9E73-EA9591CC6AB7}"/>
    <cellStyle name="Millares 79 3 2" xfId="143" xr:uid="{A62A2553-FF60-4C10-A5C2-C14A12F3DCAD}"/>
    <cellStyle name="Millares 79 3 2 2" xfId="232" xr:uid="{58939B8C-DB52-44CC-9BE0-CCF57A22F681}"/>
    <cellStyle name="Millares 79 3 2 2 2" xfId="418" xr:uid="{156CA763-A509-4AF4-90BC-0AF239CCB44A}"/>
    <cellStyle name="Millares 79 3 2 2 2 2" xfId="757" xr:uid="{D0EF5522-FAEC-485B-B2AE-6A52EA62F32D}"/>
    <cellStyle name="Millares 79 3 2 2 2 2 2" xfId="1428" xr:uid="{799A5951-BA5B-48A6-9EFD-78D293384880}"/>
    <cellStyle name="Millares 79 3 2 2 2 3" xfId="1096" xr:uid="{D4E756E2-F5EE-43F1-9DF4-2F5C3C51F99F}"/>
    <cellStyle name="Millares 79 3 2 2 3" xfId="591" xr:uid="{8307D7BC-225E-477A-9DDF-69863FC5389F}"/>
    <cellStyle name="Millares 79 3 2 2 3 2" xfId="1262" xr:uid="{CDBAB3B6-96CC-46CB-8EFB-C938E3B65369}"/>
    <cellStyle name="Millares 79 3 2 2 4" xfId="930" xr:uid="{89939A71-3897-4783-8C4C-1A67FA72F545}"/>
    <cellStyle name="Millares 79 3 2 3" xfId="336" xr:uid="{E2349AF1-7C37-48ED-AB07-C1077193D95F}"/>
    <cellStyle name="Millares 79 3 2 3 2" xfId="675" xr:uid="{27E9F1BD-3A4D-41AE-A7D5-FA85174E5CC4}"/>
    <cellStyle name="Millares 79 3 2 3 2 2" xfId="1346" xr:uid="{F123403F-4002-4D4F-9D0D-1B95F91FF038}"/>
    <cellStyle name="Millares 79 3 2 3 3" xfId="1014" xr:uid="{4A95F474-3CB0-49E5-BB59-65FE10B7163B}"/>
    <cellStyle name="Millares 79 3 2 4" xfId="509" xr:uid="{142BB04B-DCCF-4314-8F9A-C8EDA11B658C}"/>
    <cellStyle name="Millares 79 3 2 4 2" xfId="1180" xr:uid="{183D670D-E491-4C39-815E-1999367177D8}"/>
    <cellStyle name="Millares 79 3 2 5" xfId="848" xr:uid="{2082BDF8-73BF-4229-A338-36469E791386}"/>
    <cellStyle name="Millares 79 3 3" xfId="192" xr:uid="{8B6A26F7-07E5-4F07-AD9E-AD8099CAC635}"/>
    <cellStyle name="Millares 79 3 3 2" xfId="378" xr:uid="{DB053235-FA5B-4CFF-B5BC-DF9BC7DF8AF7}"/>
    <cellStyle name="Millares 79 3 3 2 2" xfId="717" xr:uid="{6E91BD64-71D3-4A89-B351-EAC176B804CB}"/>
    <cellStyle name="Millares 79 3 3 2 2 2" xfId="1388" xr:uid="{BA0A94E7-A1B2-4B2C-8254-6AB32E98C55D}"/>
    <cellStyle name="Millares 79 3 3 2 3" xfId="1056" xr:uid="{9ED9BC0B-11F9-4431-B6D3-7295C233F514}"/>
    <cellStyle name="Millares 79 3 3 3" xfId="551" xr:uid="{B2F5F082-E204-40F0-91B7-D7299FA06252}"/>
    <cellStyle name="Millares 79 3 3 3 2" xfId="1222" xr:uid="{8C1D60BF-2A41-460C-9FE7-075ACA270AC2}"/>
    <cellStyle name="Millares 79 3 3 4" xfId="890" xr:uid="{D132128C-A094-42FE-AF70-8FE57936826D}"/>
    <cellStyle name="Millares 79 3 4" xfId="296" xr:uid="{DE81AE3C-4117-4C1C-8533-6516E3DA7037}"/>
    <cellStyle name="Millares 79 3 4 2" xfId="635" xr:uid="{62F5CC25-2529-4B82-AC78-33480E55DC59}"/>
    <cellStyle name="Millares 79 3 4 2 2" xfId="1306" xr:uid="{866CA612-D0BA-4746-9DF0-2B131EB6A145}"/>
    <cellStyle name="Millares 79 3 4 3" xfId="974" xr:uid="{F806ABA7-A83D-4D6F-B313-1192C98E5EF5}"/>
    <cellStyle name="Millares 79 3 5" xfId="469" xr:uid="{91919B48-2480-4BD2-A054-AC7B053FAD3C}"/>
    <cellStyle name="Millares 79 3 5 2" xfId="1140" xr:uid="{3F6FBAB5-B509-4B55-B6D6-F17AF8E7254E}"/>
    <cellStyle name="Millares 79 3 6" xfId="808" xr:uid="{1644C241-639B-4956-86A1-F1821EDE180A}"/>
    <cellStyle name="Millares 79 4" xfId="122" xr:uid="{DE3B2527-CF74-4281-99C4-CBCA262EE798}"/>
    <cellStyle name="Millares 79 4 2" xfId="213" xr:uid="{48C8F7E2-4BF2-46B7-92EB-7A4E1280ED2E}"/>
    <cellStyle name="Millares 79 4 2 2" xfId="399" xr:uid="{B1ED545A-4BB1-4C04-8D0F-D4562CE048FD}"/>
    <cellStyle name="Millares 79 4 2 2 2" xfId="738" xr:uid="{DF7B7001-E464-47E5-AACD-6F3169774F5B}"/>
    <cellStyle name="Millares 79 4 2 2 2 2" xfId="1409" xr:uid="{ABD93126-4C1C-4892-9888-1C1EF92C8630}"/>
    <cellStyle name="Millares 79 4 2 2 3" xfId="1077" xr:uid="{BFD07670-8482-4424-8729-430C581C0220}"/>
    <cellStyle name="Millares 79 4 2 3" xfId="572" xr:uid="{5B65AF6D-95A6-4E7F-A9A3-C607B5A235E5}"/>
    <cellStyle name="Millares 79 4 2 3 2" xfId="1243" xr:uid="{0CD1DF61-A06B-46B4-98B9-6F953CE37C85}"/>
    <cellStyle name="Millares 79 4 2 4" xfId="911" xr:uid="{8BF80EA6-6FC8-407E-B618-95BE1A31A5B2}"/>
    <cellStyle name="Millares 79 4 3" xfId="317" xr:uid="{412E52AB-00EE-4980-B15F-3F01D2F5ED6D}"/>
    <cellStyle name="Millares 79 4 3 2" xfId="656" xr:uid="{0E4609CF-1FD3-4E8B-9A62-1759AE24B984}"/>
    <cellStyle name="Millares 79 4 3 2 2" xfId="1327" xr:uid="{EFAE2A97-F985-41CB-B707-58562F6791CC}"/>
    <cellStyle name="Millares 79 4 3 3" xfId="995" xr:uid="{294C643A-1999-4320-B98F-37FBC75F5738}"/>
    <cellStyle name="Millares 79 4 4" xfId="490" xr:uid="{962DB200-47E1-477F-92CD-F254083799A8}"/>
    <cellStyle name="Millares 79 4 4 2" xfId="1161" xr:uid="{BE49A580-594F-46E3-8175-542D99EAF844}"/>
    <cellStyle name="Millares 79 4 5" xfId="829" xr:uid="{E1A2D4E0-D4A4-4694-9067-63EC54D646B8}"/>
    <cellStyle name="Millares 79 5" xfId="172" xr:uid="{811F3AC8-4864-4D50-BA92-C81EA80B45B4}"/>
    <cellStyle name="Millares 79 5 2" xfId="359" xr:uid="{C3D12959-CB5D-435A-9861-8E586BB6B9BF}"/>
    <cellStyle name="Millares 79 5 2 2" xfId="698" xr:uid="{96DADD38-334D-4F99-A960-36419DF01A41}"/>
    <cellStyle name="Millares 79 5 2 2 2" xfId="1369" xr:uid="{3FD15E28-6677-4B50-807F-9C950BFF5B1C}"/>
    <cellStyle name="Millares 79 5 2 3" xfId="1037" xr:uid="{C4996A82-0416-4B36-A798-689D9D2E2104}"/>
    <cellStyle name="Millares 79 5 3" xfId="532" xr:uid="{56547A77-7EC8-4974-8CDA-5725A477DA8C}"/>
    <cellStyle name="Millares 79 5 3 2" xfId="1203" xr:uid="{3F094C27-ED50-4A57-8143-D30A2B41B804}"/>
    <cellStyle name="Millares 79 5 4" xfId="871" xr:uid="{E2854FF6-44DC-4DC8-A998-03C6C606987E}"/>
    <cellStyle name="Millares 79 6" xfId="260" xr:uid="{EF664A4B-103D-475F-9866-ADFE25BE2734}"/>
    <cellStyle name="Millares 79 7" xfId="276" xr:uid="{664562D4-2F54-49D9-A8F2-1288750AA522}"/>
    <cellStyle name="Millares 79 7 2" xfId="616" xr:uid="{779D28E1-398E-4D38-A79B-7EAAD9812BA8}"/>
    <cellStyle name="Millares 79 7 2 2" xfId="1287" xr:uid="{594C44D0-E111-45D5-8E5F-7AB51BE76C4C}"/>
    <cellStyle name="Millares 79 7 3" xfId="955" xr:uid="{E283EE32-FADD-45A6-A1FA-0CD8BDAA55D5}"/>
    <cellStyle name="Millares 79 8" xfId="449" xr:uid="{098E15AD-C30B-4045-BB98-54C3F0DEFC06}"/>
    <cellStyle name="Millares 79 8 2" xfId="1121" xr:uid="{48E71F4A-A930-48D6-A26D-E2C6BBC2CEED}"/>
    <cellStyle name="Millares 79 9" xfId="788" xr:uid="{15140998-72CF-4087-B59C-AB7F386E4D5A}"/>
    <cellStyle name="Millares 8" xfId="89" xr:uid="{86E8AD46-DC71-4409-B120-14FAD6105EAD}"/>
    <cellStyle name="Millares 8 2" xfId="139" xr:uid="{4CF57433-75D7-43B4-80E5-A8E8893BAA5A}"/>
    <cellStyle name="Millares 8 2 2" xfId="228" xr:uid="{07DA1DA7-C22A-4142-B9DE-48242259BD7F}"/>
    <cellStyle name="Millares 8 2 2 2" xfId="414" xr:uid="{E51C1516-1D22-4936-91D9-36A2261573B7}"/>
    <cellStyle name="Millares 8 2 2 2 2" xfId="753" xr:uid="{084B9892-72F1-4DA9-84C5-0D63A90D555C}"/>
    <cellStyle name="Millares 8 2 2 2 2 2" xfId="1424" xr:uid="{4AE07BF6-F5A2-4DB2-8EF4-28148241CC30}"/>
    <cellStyle name="Millares 8 2 2 2 3" xfId="1092" xr:uid="{3B1915B6-0B4F-4F96-83F5-8F2F7F3B2388}"/>
    <cellStyle name="Millares 8 2 2 3" xfId="587" xr:uid="{7C53B434-1152-4440-9694-FD377ECE2332}"/>
    <cellStyle name="Millares 8 2 2 3 2" xfId="1258" xr:uid="{9D590D21-69B1-4B18-A83A-1C8DF599CD75}"/>
    <cellStyle name="Millares 8 2 2 4" xfId="926" xr:uid="{7F1C42E0-31F1-4337-AEA9-C4075EA4B35F}"/>
    <cellStyle name="Millares 8 2 3" xfId="332" xr:uid="{66413831-D079-47B0-B612-421AAB61B40B}"/>
    <cellStyle name="Millares 8 2 3 2" xfId="671" xr:uid="{E7A9E312-1FAE-4A10-AC36-09B1940C4D33}"/>
    <cellStyle name="Millares 8 2 3 2 2" xfId="1342" xr:uid="{60F570E8-515A-41E1-BA39-6155FE42C48D}"/>
    <cellStyle name="Millares 8 2 3 3" xfId="1010" xr:uid="{54A5FEDD-BE44-4DAB-96B6-95C8E418E600}"/>
    <cellStyle name="Millares 8 2 4" xfId="505" xr:uid="{5805B7D0-A97B-4828-A314-33AE1D5A7C77}"/>
    <cellStyle name="Millares 8 2 4 2" xfId="1176" xr:uid="{9382AD30-D7A4-40D6-A68D-C3B13849A253}"/>
    <cellStyle name="Millares 8 2 5" xfId="844" xr:uid="{03B231A8-C831-4495-841F-9E4ABAA7565E}"/>
    <cellStyle name="Millares 8 3" xfId="188" xr:uid="{11201D95-52A9-45BF-8CB5-C217F175F861}"/>
    <cellStyle name="Millares 8 3 2" xfId="374" xr:uid="{0E794B61-A455-44D8-8108-0AA30FDEF96E}"/>
    <cellStyle name="Millares 8 3 2 2" xfId="713" xr:uid="{1F956B3D-0B97-4261-80C6-0DD878624AAA}"/>
    <cellStyle name="Millares 8 3 2 2 2" xfId="1384" xr:uid="{73594F71-7693-43F8-B104-64B3C3F128FF}"/>
    <cellStyle name="Millares 8 3 2 3" xfId="1052" xr:uid="{1FA90FD0-E99E-40C5-A788-F8742DFB2FA3}"/>
    <cellStyle name="Millares 8 3 3" xfId="547" xr:uid="{DAF182FE-F63D-453A-AC2C-D1387A9A10C5}"/>
    <cellStyle name="Millares 8 3 3 2" xfId="1218" xr:uid="{C2A949A2-1757-41A0-8DBD-50D7D009DB69}"/>
    <cellStyle name="Millares 8 3 4" xfId="886" xr:uid="{989043A8-2CF6-4595-B46E-7F396E603B06}"/>
    <cellStyle name="Millares 8 4" xfId="292" xr:uid="{A3A787F1-2CE7-4389-94AE-7C6D431968EB}"/>
    <cellStyle name="Millares 8 4 2" xfId="631" xr:uid="{57351F89-560E-4294-B717-51486CC54AE9}"/>
    <cellStyle name="Millares 8 4 2 2" xfId="1302" xr:uid="{BCFA57FF-96F4-4047-A9D0-C84F6FE4D6E8}"/>
    <cellStyle name="Millares 8 4 3" xfId="970" xr:uid="{6C7B1732-37E2-44CC-AA6B-4DEC1EEE352B}"/>
    <cellStyle name="Millares 8 5" xfId="465" xr:uid="{29B5ED8D-08EA-4420-8C0C-A773D064D31D}"/>
    <cellStyle name="Millares 8 5 2" xfId="1136" xr:uid="{50D6E2DF-C0D3-4BB7-BCE6-39B272B6F421}"/>
    <cellStyle name="Millares 8 6" xfId="804" xr:uid="{284F4C3B-8D5F-4281-95CF-61FF209E0D8A}"/>
    <cellStyle name="Millares 9" xfId="110" xr:uid="{82F269EC-CF4A-4BA4-9D31-93DB8BBBE19A}"/>
    <cellStyle name="Millares 9 2" xfId="158" xr:uid="{6B29343E-A44C-44B4-894B-CB791CB97EDF}"/>
    <cellStyle name="Millares 9 2 2" xfId="247" xr:uid="{EABF0E0A-74D2-4868-B2DD-C5AFB60CE8CE}"/>
    <cellStyle name="Millares 9 2 2 2" xfId="433" xr:uid="{BDBA3F83-50C8-4D16-AC77-D5473B54EA32}"/>
    <cellStyle name="Millares 9 2 2 2 2" xfId="772" xr:uid="{A51B8878-0AFF-4E6F-B3C5-85B38954B53E}"/>
    <cellStyle name="Millares 9 2 2 2 2 2" xfId="1443" xr:uid="{87CB4629-BCA8-49AA-BAEC-187CA3CB0C94}"/>
    <cellStyle name="Millares 9 2 2 2 3" xfId="1111" xr:uid="{592F99B1-64B0-4759-BEF2-7DE9DF140284}"/>
    <cellStyle name="Millares 9 2 2 3" xfId="606" xr:uid="{7FA67570-FE48-4D33-B843-E8FFBEAE41D9}"/>
    <cellStyle name="Millares 9 2 2 3 2" xfId="1277" xr:uid="{C6B1B454-34E9-4680-8D31-BAC0B5D34FB5}"/>
    <cellStyle name="Millares 9 2 2 4" xfId="945" xr:uid="{12AF5568-521B-43E1-B0D1-3CB08660EDF4}"/>
    <cellStyle name="Millares 9 2 3" xfId="351" xr:uid="{1D3DBB39-13A3-48FB-A14C-0E385BC9D918}"/>
    <cellStyle name="Millares 9 2 3 2" xfId="690" xr:uid="{2EE95273-C7C8-428B-B854-936A9BC8736E}"/>
    <cellStyle name="Millares 9 2 3 2 2" xfId="1361" xr:uid="{AF04F28E-4BCD-4F8E-8F0E-0ED2A6FB274D}"/>
    <cellStyle name="Millares 9 2 3 3" xfId="1029" xr:uid="{21FF0997-A866-40E0-AB89-79D6F88A75C8}"/>
    <cellStyle name="Millares 9 2 4" xfId="524" xr:uid="{99A2C571-C194-43B1-9924-412FA7F8979D}"/>
    <cellStyle name="Millares 9 2 4 2" xfId="1195" xr:uid="{FEC4F9FA-2331-4AEC-8F00-ABDC0F1806E4}"/>
    <cellStyle name="Millares 9 2 5" xfId="863" xr:uid="{F29B4411-0EF7-4AF7-9153-4D79555629FB}"/>
    <cellStyle name="Millares 9 3" xfId="207" xr:uid="{0B7D78AF-2E41-4445-BBA4-7E818F826B64}"/>
    <cellStyle name="Millares 9 3 2" xfId="393" xr:uid="{283FF9F9-3C8A-47D0-95A3-3247B6ECB878}"/>
    <cellStyle name="Millares 9 3 2 2" xfId="732" xr:uid="{A33DB16A-DC5C-4241-B73B-8602DD477FDC}"/>
    <cellStyle name="Millares 9 3 2 2 2" xfId="1403" xr:uid="{661E0692-5F2C-44D8-80F6-C63DFC81032F}"/>
    <cellStyle name="Millares 9 3 2 3" xfId="1071" xr:uid="{9ECFCE60-E9FC-4369-A2CC-D0EA4289C011}"/>
    <cellStyle name="Millares 9 3 3" xfId="566" xr:uid="{5055709F-CD1A-44EA-A3D8-94F9B997B017}"/>
    <cellStyle name="Millares 9 3 3 2" xfId="1237" xr:uid="{96123FCB-559B-481B-A311-278A5E07008C}"/>
    <cellStyle name="Millares 9 3 4" xfId="905" xr:uid="{AF09B4D5-7A56-41A7-A76B-268C81F4A518}"/>
    <cellStyle name="Millares 9 4" xfId="311" xr:uid="{9A1C0AB4-93A6-4430-BE41-26B3E45894F3}"/>
    <cellStyle name="Millares 9 4 2" xfId="650" xr:uid="{670A0BD8-1EC7-47B9-90AF-C71ED7480428}"/>
    <cellStyle name="Millares 9 4 2 2" xfId="1321" xr:uid="{72DAE166-5964-42F6-9C76-1BDD73D878C9}"/>
    <cellStyle name="Millares 9 4 3" xfId="989" xr:uid="{1FEBA87A-1B7B-4B5E-9480-3906270E59A4}"/>
    <cellStyle name="Millares 9 5" xfId="484" xr:uid="{179AB4B7-365F-4DEF-9434-BEB8579549A8}"/>
    <cellStyle name="Millares 9 5 2" xfId="1155" xr:uid="{29E701BC-40BB-4C22-8676-EF0C79554759}"/>
    <cellStyle name="Millares 9 6" xfId="823" xr:uid="{70A586CA-4EE8-4278-9DC7-6956758F376D}"/>
    <cellStyle name="Neutral 10" xfId="49" xr:uid="{453CD133-DC64-4CC4-B105-3FB606D0B337}"/>
    <cellStyle name="Neutral 2" xfId="76" xr:uid="{C2A0D0A8-76F9-4C4A-9C22-AF891891AAA7}"/>
    <cellStyle name="Neutral 3" xfId="94" xr:uid="{4F56F585-6C4F-409C-8868-D2BA1C548B90}"/>
    <cellStyle name="Neutral 4" xfId="123" xr:uid="{52C52347-D0EC-4820-BC8C-5BFDAE6B4C7D}"/>
    <cellStyle name="Neutral 5" xfId="173" xr:uid="{880A3ACE-A1C6-46C1-9C37-CEFECFB61B90}"/>
    <cellStyle name="Neutral 6" xfId="261" xr:uid="{5CEA6820-7C86-4230-B021-A75CD18DB5A1}"/>
    <cellStyle name="Neutral 7" xfId="277" xr:uid="{D19C9B21-7B91-4A3D-BA5E-0C751CB49132}"/>
    <cellStyle name="Neutral 8" xfId="450" xr:uid="{5EFC69CE-45FC-4ACB-9F2D-09943165EBC8}"/>
    <cellStyle name="Neutral 9" xfId="789" xr:uid="{B4632CED-E072-4F51-8F6C-85DF3C7A3BE6}"/>
    <cellStyle name="Normal" xfId="0" builtinId="0"/>
    <cellStyle name="Normal 15" xfId="50" xr:uid="{345A1E1E-2602-4648-9E76-57B5D37D9593}"/>
    <cellStyle name="Normal 2" xfId="51" xr:uid="{9ADA3F2A-8348-4DC2-8AB8-42702FB6FFF9}"/>
    <cellStyle name="Normal 2 10" xfId="52" xr:uid="{9297DFE9-A4B2-488B-BBBB-FB9860DC3C1F}"/>
    <cellStyle name="Normal 3" xfId="53" xr:uid="{F3ED6541-41AB-41C1-8EC9-8EEED07B9DAA}"/>
    <cellStyle name="Normal 3 57" xfId="62" xr:uid="{C982A2F1-8D5D-401B-A253-69BA8EB9372E}"/>
    <cellStyle name="Normal 4" xfId="54" xr:uid="{1338A06D-5FA3-4C36-B8D7-A9841E5D3FA6}"/>
    <cellStyle name="Normal 4 10" xfId="55" xr:uid="{9F3A770E-BE94-403A-ACC9-2A7B9173ADFF}"/>
    <cellStyle name="Normal 5" xfId="56" xr:uid="{8B493D66-70A7-4420-B6C6-75E92AA6676C}"/>
    <cellStyle name="Notas" xfId="14" builtinId="10" customBuiltin="1"/>
    <cellStyle name="Porcentaje 2" xfId="79" xr:uid="{9E510F5C-40CC-4F3B-896F-4BA05E75B921}"/>
    <cellStyle name="Porcentaje 3" xfId="97" xr:uid="{D3F203B5-4E77-4CB1-8DF1-F7BF42D71164}"/>
    <cellStyle name="Porcentaje 4" xfId="126" xr:uid="{3AB6E80F-D3F1-4789-9734-BE21E97651AE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AABB-7717-4F78-959F-BEA5BFE55FFD}">
  <dimension ref="A1:L119"/>
  <sheetViews>
    <sheetView tabSelected="1" workbookViewId="0">
      <selection activeCell="L109" sqref="D2:L109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6" width="13.3984375" style="5" bestFit="1" customWidth="1"/>
    <col min="7" max="10" width="12.3984375" style="5" bestFit="1" customWidth="1"/>
    <col min="11" max="12" width="10.8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216337650</v>
      </c>
      <c r="F2" s="6">
        <v>142232595</v>
      </c>
      <c r="G2" s="6">
        <v>74105055</v>
      </c>
      <c r="H2" s="5">
        <v>0</v>
      </c>
      <c r="I2" s="6">
        <v>74105055</v>
      </c>
      <c r="J2" s="5">
        <v>0</v>
      </c>
      <c r="K2" s="5">
        <v>0</v>
      </c>
      <c r="L2" s="5">
        <v>0</v>
      </c>
    </row>
    <row r="3" spans="1:12">
      <c r="A3" s="10" t="b">
        <f t="shared" ref="A3:A65" si="0"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99910</v>
      </c>
      <c r="F3" s="6">
        <v>58308</v>
      </c>
      <c r="G3" s="6">
        <v>41602</v>
      </c>
      <c r="H3" s="5">
        <v>0</v>
      </c>
      <c r="I3" s="6">
        <v>41602</v>
      </c>
      <c r="J3" s="5">
        <v>0</v>
      </c>
      <c r="K3" s="5">
        <v>0</v>
      </c>
      <c r="L3" s="5">
        <v>0</v>
      </c>
    </row>
    <row r="4" spans="1:12">
      <c r="A4" s="10" t="b">
        <f t="shared" si="0"/>
        <v>1</v>
      </c>
      <c r="B4" s="5" t="str">
        <f>+Hoja2!A3</f>
        <v>1.1.01.204</v>
      </c>
      <c r="C4" s="5" t="s">
        <v>15</v>
      </c>
      <c r="D4" s="3" t="s">
        <v>16</v>
      </c>
      <c r="E4" s="6">
        <v>85990</v>
      </c>
      <c r="F4" s="5">
        <v>0</v>
      </c>
      <c r="G4" s="6">
        <v>85990</v>
      </c>
      <c r="H4" s="5">
        <v>0</v>
      </c>
      <c r="I4" s="6">
        <v>85990</v>
      </c>
      <c r="J4" s="5">
        <v>0</v>
      </c>
      <c r="K4" s="5">
        <v>0</v>
      </c>
      <c r="L4" s="5">
        <v>0</v>
      </c>
    </row>
    <row r="5" spans="1:12">
      <c r="A5" s="10" t="b">
        <f t="shared" si="0"/>
        <v>1</v>
      </c>
      <c r="B5" s="5" t="str">
        <f>+Hoja2!A4</f>
        <v>1.1.01.205</v>
      </c>
      <c r="C5" s="5" t="s">
        <v>17</v>
      </c>
      <c r="D5" s="3" t="s">
        <v>18</v>
      </c>
      <c r="E5" s="6">
        <v>154990</v>
      </c>
      <c r="F5" s="6">
        <v>152308</v>
      </c>
      <c r="G5" s="6">
        <v>2682</v>
      </c>
      <c r="H5" s="5">
        <v>0</v>
      </c>
      <c r="I5" s="6">
        <v>2682</v>
      </c>
      <c r="J5" s="5">
        <v>0</v>
      </c>
      <c r="K5" s="5">
        <v>0</v>
      </c>
      <c r="L5" s="5">
        <v>0</v>
      </c>
    </row>
    <row r="6" spans="1:12">
      <c r="A6" s="10" t="b">
        <f t="shared" si="0"/>
        <v>1</v>
      </c>
      <c r="B6" s="5" t="str">
        <f>+Hoja2!A5</f>
        <v>1.1.01.206</v>
      </c>
      <c r="C6" s="5" t="s">
        <v>19</v>
      </c>
      <c r="D6" s="3" t="s">
        <v>20</v>
      </c>
      <c r="E6" s="6">
        <v>100000</v>
      </c>
      <c r="F6" s="6">
        <v>108130</v>
      </c>
      <c r="G6" s="5">
        <v>0</v>
      </c>
      <c r="H6" s="6">
        <v>8130</v>
      </c>
      <c r="I6" s="5">
        <v>0</v>
      </c>
      <c r="J6" s="6">
        <v>8130</v>
      </c>
      <c r="K6" s="5">
        <v>0</v>
      </c>
      <c r="L6" s="5">
        <v>0</v>
      </c>
    </row>
    <row r="7" spans="1:12">
      <c r="A7" s="10" t="b">
        <f t="shared" si="0"/>
        <v>1</v>
      </c>
      <c r="B7" s="5" t="str">
        <f>+Hoja2!A6</f>
        <v>1.1.01.207</v>
      </c>
      <c r="C7" s="5" t="s">
        <v>21</v>
      </c>
      <c r="D7" s="3" t="s">
        <v>22</v>
      </c>
      <c r="E7" s="6">
        <v>337628</v>
      </c>
      <c r="F7" s="6">
        <v>254628</v>
      </c>
      <c r="G7" s="6">
        <v>83000</v>
      </c>
      <c r="H7" s="5">
        <v>0</v>
      </c>
      <c r="I7" s="6">
        <v>83000</v>
      </c>
      <c r="J7" s="5">
        <v>0</v>
      </c>
      <c r="K7" s="5">
        <v>0</v>
      </c>
      <c r="L7" s="5">
        <v>0</v>
      </c>
    </row>
    <row r="8" spans="1:12">
      <c r="A8" s="10" t="b">
        <f t="shared" si="0"/>
        <v>1</v>
      </c>
      <c r="B8" s="5" t="str">
        <f>+Hoja2!A7</f>
        <v>1.1.01.208</v>
      </c>
      <c r="C8" s="5" t="s">
        <v>23</v>
      </c>
      <c r="D8" s="3" t="s">
        <v>24</v>
      </c>
      <c r="E8" s="6">
        <v>131290</v>
      </c>
      <c r="F8" s="6">
        <v>91720</v>
      </c>
      <c r="G8" s="6">
        <v>39570</v>
      </c>
      <c r="H8" s="5">
        <v>0</v>
      </c>
      <c r="I8" s="6">
        <v>39570</v>
      </c>
      <c r="J8" s="5">
        <v>0</v>
      </c>
      <c r="K8" s="5">
        <v>0</v>
      </c>
      <c r="L8" s="5">
        <v>0</v>
      </c>
    </row>
    <row r="9" spans="1:12">
      <c r="A9" s="10" t="b">
        <f t="shared" si="0"/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46490</v>
      </c>
      <c r="G9" s="6">
        <v>57490</v>
      </c>
      <c r="H9" s="5">
        <v>0</v>
      </c>
      <c r="I9" s="6">
        <v>57490</v>
      </c>
      <c r="J9" s="5">
        <v>0</v>
      </c>
      <c r="K9" s="5">
        <v>0</v>
      </c>
      <c r="L9" s="5">
        <v>0</v>
      </c>
    </row>
    <row r="10" spans="1:12">
      <c r="A10" s="10" t="b">
        <f t="shared" si="0"/>
        <v>1</v>
      </c>
      <c r="B10" s="5" t="str">
        <f>+Hoja2!A9</f>
        <v>1.1.01.210</v>
      </c>
      <c r="C10" s="5" t="s">
        <v>27</v>
      </c>
      <c r="D10" s="3" t="s">
        <v>28</v>
      </c>
      <c r="E10" s="6">
        <v>103994</v>
      </c>
      <c r="F10" s="6">
        <v>90688</v>
      </c>
      <c r="G10" s="6">
        <v>13306</v>
      </c>
      <c r="H10" s="5">
        <v>0</v>
      </c>
      <c r="I10" s="6">
        <v>13306</v>
      </c>
      <c r="J10" s="5">
        <v>0</v>
      </c>
      <c r="K10" s="5">
        <v>0</v>
      </c>
      <c r="L10" s="5">
        <v>0</v>
      </c>
    </row>
    <row r="11" spans="1:12">
      <c r="A11" s="10" t="b">
        <f t="shared" si="0"/>
        <v>1</v>
      </c>
      <c r="B11" s="5" t="str">
        <f>+Hoja2!A10</f>
        <v>1.1.01.211</v>
      </c>
      <c r="C11" s="5" t="s">
        <v>29</v>
      </c>
      <c r="D11" s="3" t="s">
        <v>30</v>
      </c>
      <c r="E11" s="6">
        <v>128075</v>
      </c>
      <c r="F11" s="6">
        <v>80955</v>
      </c>
      <c r="G11" s="6">
        <v>47120</v>
      </c>
      <c r="H11" s="5">
        <v>0</v>
      </c>
      <c r="I11" s="6">
        <v>47120</v>
      </c>
      <c r="J11" s="5">
        <v>0</v>
      </c>
      <c r="K11" s="5">
        <v>0</v>
      </c>
      <c r="L11" s="5">
        <v>0</v>
      </c>
    </row>
    <row r="12" spans="1:12">
      <c r="A12" s="10" t="b">
        <f t="shared" si="0"/>
        <v>1</v>
      </c>
      <c r="B12" s="5" t="str">
        <f>+Hoja2!A11</f>
        <v>1.1.01.212</v>
      </c>
      <c r="C12" s="5" t="s">
        <v>31</v>
      </c>
      <c r="D12" s="3" t="s">
        <v>32</v>
      </c>
      <c r="E12" s="6">
        <v>135671</v>
      </c>
      <c r="F12" s="6">
        <v>75671</v>
      </c>
      <c r="G12" s="6">
        <v>60000</v>
      </c>
      <c r="H12" s="5">
        <v>0</v>
      </c>
      <c r="I12" s="6">
        <v>60000</v>
      </c>
      <c r="J12" s="5">
        <v>0</v>
      </c>
      <c r="K12" s="5">
        <v>0</v>
      </c>
      <c r="L12" s="5">
        <v>0</v>
      </c>
    </row>
    <row r="13" spans="1:12">
      <c r="A13" s="10" t="b">
        <f t="shared" si="0"/>
        <v>1</v>
      </c>
      <c r="B13" s="5" t="str">
        <f>+Hoja2!A12</f>
        <v>1.1.01.301</v>
      </c>
      <c r="C13" s="5" t="s">
        <v>33</v>
      </c>
      <c r="D13" s="3" t="s">
        <v>34</v>
      </c>
      <c r="E13" s="6">
        <v>822199777</v>
      </c>
      <c r="F13" s="6">
        <v>381616850</v>
      </c>
      <c r="G13" s="6">
        <v>440582927</v>
      </c>
      <c r="H13" s="5">
        <v>0</v>
      </c>
      <c r="I13" s="6">
        <v>440582927</v>
      </c>
      <c r="J13" s="5">
        <v>0</v>
      </c>
      <c r="K13" s="5">
        <v>0</v>
      </c>
      <c r="L13" s="5">
        <v>0</v>
      </c>
    </row>
    <row r="14" spans="1:12">
      <c r="A14" s="10" t="b">
        <f t="shared" si="0"/>
        <v>1</v>
      </c>
      <c r="B14" s="5" t="str">
        <f>+Hoja2!A13</f>
        <v>1.1.01.302</v>
      </c>
      <c r="C14" s="5" t="s">
        <v>35</v>
      </c>
      <c r="D14" s="3" t="s">
        <v>36</v>
      </c>
      <c r="E14" s="6">
        <v>1302586021</v>
      </c>
      <c r="F14" s="6">
        <v>930624208</v>
      </c>
      <c r="G14" s="6">
        <v>371961813</v>
      </c>
      <c r="H14" s="5">
        <v>0</v>
      </c>
      <c r="I14" s="6">
        <v>371961813</v>
      </c>
      <c r="J14" s="5">
        <v>0</v>
      </c>
      <c r="K14" s="5">
        <v>0</v>
      </c>
      <c r="L14" s="5">
        <v>0</v>
      </c>
    </row>
    <row r="15" spans="1:12">
      <c r="A15" s="10" t="b">
        <f t="shared" si="0"/>
        <v>1</v>
      </c>
      <c r="B15" s="5" t="str">
        <f>+Hoja2!A14</f>
        <v>1.1.02.106</v>
      </c>
      <c r="C15" s="5" t="s">
        <v>37</v>
      </c>
      <c r="D15" s="3" t="s">
        <v>38</v>
      </c>
      <c r="E15" s="6">
        <v>4941276</v>
      </c>
      <c r="F15" s="5">
        <v>0</v>
      </c>
      <c r="G15" s="6">
        <v>4941276</v>
      </c>
      <c r="H15" s="5">
        <v>0</v>
      </c>
      <c r="I15" s="6">
        <v>4941276</v>
      </c>
      <c r="J15" s="5">
        <v>0</v>
      </c>
      <c r="K15" s="5">
        <v>0</v>
      </c>
      <c r="L15" s="5">
        <v>0</v>
      </c>
    </row>
    <row r="16" spans="1:12">
      <c r="A16" s="10" t="b">
        <f t="shared" si="0"/>
        <v>1</v>
      </c>
      <c r="B16" s="5" t="str">
        <f>+Hoja2!A15</f>
        <v>1.1.03.201</v>
      </c>
      <c r="C16" s="5" t="s">
        <v>39</v>
      </c>
      <c r="D16" s="3" t="s">
        <v>40</v>
      </c>
      <c r="E16" s="6">
        <v>40348532</v>
      </c>
      <c r="F16" s="6">
        <v>8973449</v>
      </c>
      <c r="G16" s="6">
        <v>31375083</v>
      </c>
      <c r="H16" s="5">
        <v>0</v>
      </c>
      <c r="I16" s="6">
        <v>31375083</v>
      </c>
      <c r="J16" s="5">
        <v>0</v>
      </c>
      <c r="K16" s="5">
        <v>0</v>
      </c>
      <c r="L16" s="5">
        <v>0</v>
      </c>
    </row>
    <row r="17" spans="1:12">
      <c r="A17" s="10" t="b">
        <f t="shared" si="0"/>
        <v>1</v>
      </c>
      <c r="B17" s="5" t="str">
        <f>+Hoja2!A16</f>
        <v>1.1.04.102</v>
      </c>
      <c r="C17" s="5" t="s">
        <v>41</v>
      </c>
      <c r="D17" s="3" t="s">
        <v>42</v>
      </c>
      <c r="E17" s="6">
        <v>312645466</v>
      </c>
      <c r="F17" s="6">
        <v>315803955</v>
      </c>
      <c r="G17" s="5">
        <v>0</v>
      </c>
      <c r="H17" s="6">
        <v>3158489</v>
      </c>
      <c r="I17" s="5">
        <v>0</v>
      </c>
      <c r="J17" s="6">
        <v>3158489</v>
      </c>
      <c r="K17" s="5">
        <v>0</v>
      </c>
      <c r="L17" s="5">
        <v>0</v>
      </c>
    </row>
    <row r="18" spans="1:12">
      <c r="A18" s="10" t="b">
        <f t="shared" si="0"/>
        <v>1</v>
      </c>
      <c r="B18" s="5" t="str">
        <f>+Hoja2!A17</f>
        <v>1.1.04.104</v>
      </c>
      <c r="C18" s="5" t="s">
        <v>43</v>
      </c>
      <c r="D18" s="3" t="s">
        <v>44</v>
      </c>
      <c r="E18" s="6">
        <v>4201583</v>
      </c>
      <c r="F18" s="6">
        <v>3267232</v>
      </c>
      <c r="G18" s="6">
        <v>934351</v>
      </c>
      <c r="H18" s="5">
        <v>0</v>
      </c>
      <c r="I18" s="6">
        <v>934351</v>
      </c>
      <c r="J18" s="5">
        <v>0</v>
      </c>
      <c r="K18" s="5">
        <v>0</v>
      </c>
      <c r="L18" s="5">
        <v>0</v>
      </c>
    </row>
    <row r="19" spans="1:12">
      <c r="A19" s="10" t="b">
        <f t="shared" si="0"/>
        <v>1</v>
      </c>
      <c r="B19" s="5" t="str">
        <f>+Hoja2!A18</f>
        <v>1.1.04.105</v>
      </c>
      <c r="C19" s="5" t="s">
        <v>45</v>
      </c>
      <c r="D19" s="3" t="s">
        <v>46</v>
      </c>
      <c r="E19" s="6">
        <v>436527998</v>
      </c>
      <c r="F19" s="6">
        <v>381954503</v>
      </c>
      <c r="G19" s="6">
        <v>54573495</v>
      </c>
      <c r="H19" s="5">
        <v>0</v>
      </c>
      <c r="I19" s="6">
        <v>54573495</v>
      </c>
      <c r="J19" s="5">
        <v>0</v>
      </c>
      <c r="K19" s="5">
        <v>0</v>
      </c>
      <c r="L19" s="5">
        <v>0</v>
      </c>
    </row>
    <row r="20" spans="1:12">
      <c r="A20" s="10" t="b">
        <f t="shared" si="0"/>
        <v>1</v>
      </c>
      <c r="B20" s="5" t="str">
        <f>+Hoja2!A19</f>
        <v>1.1.04.106</v>
      </c>
      <c r="C20" s="5" t="s">
        <v>47</v>
      </c>
      <c r="D20" s="3" t="s">
        <v>48</v>
      </c>
      <c r="E20" s="6">
        <v>442414883</v>
      </c>
      <c r="F20" s="6">
        <v>370577979</v>
      </c>
      <c r="G20" s="6">
        <v>71836904</v>
      </c>
      <c r="H20" s="5">
        <v>0</v>
      </c>
      <c r="I20" s="6">
        <v>71836904</v>
      </c>
      <c r="J20" s="5">
        <v>0</v>
      </c>
      <c r="K20" s="5">
        <v>0</v>
      </c>
      <c r="L20" s="5">
        <v>0</v>
      </c>
    </row>
    <row r="21" spans="1:12">
      <c r="A21" s="10" t="b">
        <f t="shared" si="0"/>
        <v>1</v>
      </c>
      <c r="B21" s="5" t="str">
        <f>+Hoja2!A20</f>
        <v>1.1.04.108</v>
      </c>
      <c r="C21" s="5" t="s">
        <v>49</v>
      </c>
      <c r="D21" s="3" t="s">
        <v>50</v>
      </c>
      <c r="E21" s="6">
        <v>525390</v>
      </c>
      <c r="F21" s="6">
        <v>44990</v>
      </c>
      <c r="G21" s="6">
        <v>480400</v>
      </c>
      <c r="H21" s="5">
        <v>0</v>
      </c>
      <c r="I21" s="6">
        <v>480400</v>
      </c>
      <c r="J21" s="5">
        <v>0</v>
      </c>
      <c r="K21" s="5">
        <v>0</v>
      </c>
      <c r="L21" s="5">
        <v>0</v>
      </c>
    </row>
    <row r="22" spans="1:12">
      <c r="A22" s="10" t="b">
        <f t="shared" si="0"/>
        <v>1</v>
      </c>
      <c r="B22" s="5" t="str">
        <f>+Hoja2!A21</f>
        <v>1.1.04.109</v>
      </c>
      <c r="C22" s="5" t="s">
        <v>51</v>
      </c>
      <c r="D22" s="3" t="s">
        <v>52</v>
      </c>
      <c r="E22" s="6">
        <v>1174287901</v>
      </c>
      <c r="F22" s="6">
        <v>972428242</v>
      </c>
      <c r="G22" s="6">
        <v>201859659</v>
      </c>
      <c r="H22" s="5">
        <v>0</v>
      </c>
      <c r="I22" s="6">
        <v>201859659</v>
      </c>
      <c r="J22" s="5">
        <v>0</v>
      </c>
      <c r="K22" s="5">
        <v>0</v>
      </c>
      <c r="L22" s="5">
        <v>0</v>
      </c>
    </row>
    <row r="23" spans="1:12">
      <c r="A23" s="10" t="b">
        <f t="shared" si="0"/>
        <v>1</v>
      </c>
      <c r="B23" s="5" t="str">
        <f>+Hoja2!A22</f>
        <v>1.1.04.112</v>
      </c>
      <c r="C23" s="5" t="s">
        <v>53</v>
      </c>
      <c r="D23" s="3" t="s">
        <v>54</v>
      </c>
      <c r="E23" s="6">
        <v>31526988</v>
      </c>
      <c r="F23" s="6">
        <v>21762676</v>
      </c>
      <c r="G23" s="6">
        <v>9764312</v>
      </c>
      <c r="H23" s="5">
        <v>0</v>
      </c>
      <c r="I23" s="6">
        <v>9764312</v>
      </c>
      <c r="J23" s="5">
        <v>0</v>
      </c>
      <c r="K23" s="5">
        <v>0</v>
      </c>
      <c r="L23" s="5">
        <v>0</v>
      </c>
    </row>
    <row r="24" spans="1:12">
      <c r="A24" s="10" t="b">
        <f t="shared" si="0"/>
        <v>1</v>
      </c>
      <c r="B24" s="5" t="str">
        <f>+Hoja2!A23</f>
        <v>1.1.04.113</v>
      </c>
      <c r="C24" s="5" t="s">
        <v>55</v>
      </c>
      <c r="D24" s="3" t="s">
        <v>56</v>
      </c>
      <c r="E24" s="6">
        <v>26081492</v>
      </c>
      <c r="F24" s="6">
        <v>24549633</v>
      </c>
      <c r="G24" s="6">
        <v>1531859</v>
      </c>
      <c r="H24" s="5">
        <v>0</v>
      </c>
      <c r="I24" s="6">
        <v>1531859</v>
      </c>
      <c r="J24" s="5">
        <v>0</v>
      </c>
      <c r="K24" s="5">
        <v>0</v>
      </c>
      <c r="L24" s="5">
        <v>0</v>
      </c>
    </row>
    <row r="25" spans="1:12">
      <c r="A25" s="10" t="b">
        <f t="shared" si="0"/>
        <v>1</v>
      </c>
      <c r="B25" s="5" t="str">
        <f>+Hoja2!A24</f>
        <v>1.1.04.200</v>
      </c>
      <c r="C25" s="5" t="s">
        <v>57</v>
      </c>
      <c r="D25" s="3" t="s">
        <v>58</v>
      </c>
      <c r="E25" s="6">
        <v>6734121</v>
      </c>
      <c r="F25" s="5">
        <v>0</v>
      </c>
      <c r="G25" s="6">
        <v>6734121</v>
      </c>
      <c r="H25" s="5">
        <v>0</v>
      </c>
      <c r="I25" s="6">
        <v>6734121</v>
      </c>
      <c r="J25" s="5">
        <v>0</v>
      </c>
      <c r="K25" s="5">
        <v>0</v>
      </c>
      <c r="L25" s="5">
        <v>0</v>
      </c>
    </row>
    <row r="26" spans="1:12">
      <c r="A26" s="10" t="b">
        <f t="shared" si="0"/>
        <v>1</v>
      </c>
      <c r="B26" s="5" t="str">
        <f>+Hoja2!A25</f>
        <v>1.1.05.403</v>
      </c>
      <c r="C26" s="5" t="s">
        <v>59</v>
      </c>
      <c r="D26" s="3" t="s">
        <v>60</v>
      </c>
      <c r="E26" s="6">
        <v>36676834</v>
      </c>
      <c r="F26" s="6">
        <v>5880839</v>
      </c>
      <c r="G26" s="6">
        <v>30795995</v>
      </c>
      <c r="H26" s="5">
        <v>0</v>
      </c>
      <c r="I26" s="6">
        <v>30795995</v>
      </c>
      <c r="J26" s="5">
        <v>0</v>
      </c>
      <c r="K26" s="5">
        <v>0</v>
      </c>
      <c r="L26" s="5">
        <v>0</v>
      </c>
    </row>
    <row r="27" spans="1:12">
      <c r="A27" s="10" t="b">
        <f t="shared" si="0"/>
        <v>1</v>
      </c>
      <c r="B27" s="5" t="str">
        <f>+Hoja2!A26</f>
        <v>1.1.05.405</v>
      </c>
      <c r="C27" s="5" t="s">
        <v>61</v>
      </c>
      <c r="D27" s="3" t="s">
        <v>62</v>
      </c>
      <c r="E27" s="6">
        <v>91705591</v>
      </c>
      <c r="F27" s="6">
        <v>90820948</v>
      </c>
      <c r="G27" s="6">
        <v>884643</v>
      </c>
      <c r="H27" s="5">
        <v>0</v>
      </c>
      <c r="I27" s="6">
        <v>884643</v>
      </c>
      <c r="J27" s="5">
        <v>0</v>
      </c>
      <c r="K27" s="5">
        <v>0</v>
      </c>
      <c r="L27" s="5">
        <v>0</v>
      </c>
    </row>
    <row r="28" spans="1:12">
      <c r="A28" s="10" t="b">
        <f t="shared" si="0"/>
        <v>1</v>
      </c>
      <c r="B28" s="5" t="str">
        <f>+Hoja2!A27</f>
        <v>1.1.06.401</v>
      </c>
      <c r="C28" s="5" t="s">
        <v>63</v>
      </c>
      <c r="D28" s="3" t="s">
        <v>64</v>
      </c>
      <c r="E28" s="6">
        <v>1748739874</v>
      </c>
      <c r="F28" s="6">
        <v>140247755</v>
      </c>
      <c r="G28" s="6">
        <v>1608492119</v>
      </c>
      <c r="H28" s="5">
        <v>0</v>
      </c>
      <c r="I28" s="6">
        <v>1608492119</v>
      </c>
      <c r="J28" s="5">
        <v>0</v>
      </c>
      <c r="K28" s="5">
        <v>0</v>
      </c>
      <c r="L28" s="5">
        <v>0</v>
      </c>
    </row>
    <row r="29" spans="1:12">
      <c r="A29" s="10" t="b">
        <f t="shared" si="0"/>
        <v>1</v>
      </c>
      <c r="B29" s="5" t="str">
        <f>+Hoja2!A28</f>
        <v>1.1.06.801</v>
      </c>
      <c r="C29" s="5" t="s">
        <v>65</v>
      </c>
      <c r="D29" s="3" t="s">
        <v>66</v>
      </c>
      <c r="E29" s="6">
        <v>10845119</v>
      </c>
      <c r="F29" s="6">
        <v>10845119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>
      <c r="A30" s="10" t="b">
        <f t="shared" si="0"/>
        <v>1</v>
      </c>
      <c r="B30" s="5" t="str">
        <f>+Hoja2!A29</f>
        <v>1.1.06.802</v>
      </c>
      <c r="C30" s="5" t="s">
        <v>67</v>
      </c>
      <c r="D30" s="3" t="s">
        <v>68</v>
      </c>
      <c r="E30" s="6">
        <v>534894224</v>
      </c>
      <c r="F30" s="6">
        <v>319226794</v>
      </c>
      <c r="G30" s="6">
        <v>215667430</v>
      </c>
      <c r="H30" s="5">
        <v>0</v>
      </c>
      <c r="I30" s="6">
        <v>215667430</v>
      </c>
      <c r="J30" s="5">
        <v>0</v>
      </c>
      <c r="K30" s="5">
        <v>0</v>
      </c>
      <c r="L30" s="5">
        <v>0</v>
      </c>
    </row>
    <row r="31" spans="1:12">
      <c r="A31" s="10" t="b">
        <f t="shared" si="0"/>
        <v>1</v>
      </c>
      <c r="B31" s="5" t="str">
        <f>+Hoja2!A30</f>
        <v>1.1.09.101</v>
      </c>
      <c r="C31" s="5" t="s">
        <v>69</v>
      </c>
      <c r="D31" s="3" t="s">
        <v>70</v>
      </c>
      <c r="E31" s="6">
        <v>127018590</v>
      </c>
      <c r="F31" s="6">
        <v>127018590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>
      <c r="A32" s="10" t="b">
        <f t="shared" si="0"/>
        <v>1</v>
      </c>
      <c r="B32" s="5" t="str">
        <f>+Hoja2!A31</f>
        <v>1.1.09.103</v>
      </c>
      <c r="C32" s="5" t="s">
        <v>71</v>
      </c>
      <c r="D32" s="3" t="s">
        <v>72</v>
      </c>
      <c r="E32" s="6">
        <v>423005179</v>
      </c>
      <c r="F32" s="6">
        <v>65664239</v>
      </c>
      <c r="G32" s="6">
        <v>357340940</v>
      </c>
      <c r="H32" s="5">
        <v>0</v>
      </c>
      <c r="I32" s="6">
        <v>357340940</v>
      </c>
      <c r="J32" s="5">
        <v>0</v>
      </c>
      <c r="K32" s="5">
        <v>0</v>
      </c>
      <c r="L32" s="5">
        <v>0</v>
      </c>
    </row>
    <row r="33" spans="1:12">
      <c r="A33" s="10" t="b">
        <f t="shared" si="0"/>
        <v>1</v>
      </c>
      <c r="B33" s="5" t="str">
        <f>+Hoja2!A32</f>
        <v>1.2.02.101</v>
      </c>
      <c r="C33" s="5" t="s">
        <v>73</v>
      </c>
      <c r="D33" s="3" t="s">
        <v>74</v>
      </c>
      <c r="E33" s="6">
        <v>83146237</v>
      </c>
      <c r="F33" s="6">
        <v>25817865</v>
      </c>
      <c r="G33" s="6">
        <v>57328372</v>
      </c>
      <c r="H33" s="5">
        <v>0</v>
      </c>
      <c r="I33" s="6">
        <v>57328372</v>
      </c>
      <c r="J33" s="5">
        <v>0</v>
      </c>
      <c r="K33" s="5">
        <v>0</v>
      </c>
      <c r="L33" s="5">
        <v>0</v>
      </c>
    </row>
    <row r="34" spans="1:12">
      <c r="A34" s="10" t="b">
        <f t="shared" si="0"/>
        <v>1</v>
      </c>
      <c r="B34" s="5" t="str">
        <f>+Hoja2!A33</f>
        <v>1.2.02.401</v>
      </c>
      <c r="C34" s="5" t="s">
        <v>75</v>
      </c>
      <c r="D34" s="3" t="s">
        <v>76</v>
      </c>
      <c r="E34" s="6">
        <v>656828984</v>
      </c>
      <c r="F34" s="5">
        <v>0</v>
      </c>
      <c r="G34" s="6">
        <v>656828984</v>
      </c>
      <c r="H34" s="5">
        <v>0</v>
      </c>
      <c r="I34" s="6">
        <v>656828984</v>
      </c>
      <c r="J34" s="5">
        <v>0</v>
      </c>
      <c r="K34" s="5">
        <v>0</v>
      </c>
      <c r="L34" s="5">
        <v>0</v>
      </c>
    </row>
    <row r="35" spans="1:12">
      <c r="A35" s="10" t="b">
        <f t="shared" si="0"/>
        <v>1</v>
      </c>
      <c r="B35" s="5" t="str">
        <f>+Hoja2!A34</f>
        <v>1.2.02.402</v>
      </c>
      <c r="C35" s="5" t="s">
        <v>77</v>
      </c>
      <c r="D35" s="3" t="s">
        <v>78</v>
      </c>
      <c r="E35" s="6">
        <v>109578639</v>
      </c>
      <c r="F35" s="5">
        <v>0</v>
      </c>
      <c r="G35" s="6">
        <v>109578639</v>
      </c>
      <c r="H35" s="5">
        <v>0</v>
      </c>
      <c r="I35" s="6">
        <v>109578639</v>
      </c>
      <c r="J35" s="5">
        <v>0</v>
      </c>
      <c r="K35" s="5">
        <v>0</v>
      </c>
      <c r="L35" s="5">
        <v>0</v>
      </c>
    </row>
    <row r="36" spans="1:12">
      <c r="A36" s="10" t="b">
        <f t="shared" si="0"/>
        <v>1</v>
      </c>
      <c r="B36" s="5" t="str">
        <f>+Hoja2!A35</f>
        <v>1.2.02.405</v>
      </c>
      <c r="C36" s="5" t="s">
        <v>79</v>
      </c>
      <c r="D36" s="3" t="s">
        <v>80</v>
      </c>
      <c r="E36" s="6">
        <v>27748636</v>
      </c>
      <c r="F36" s="5">
        <v>0</v>
      </c>
      <c r="G36" s="6">
        <v>27748636</v>
      </c>
      <c r="H36" s="5">
        <v>0</v>
      </c>
      <c r="I36" s="6">
        <v>27748636</v>
      </c>
      <c r="J36" s="5">
        <v>0</v>
      </c>
      <c r="K36" s="5">
        <v>0</v>
      </c>
      <c r="L36" s="5">
        <v>0</v>
      </c>
    </row>
    <row r="37" spans="1:12">
      <c r="A37" s="10" t="b">
        <f t="shared" si="0"/>
        <v>1</v>
      </c>
      <c r="B37" s="5" t="str">
        <f>+Hoja2!A36</f>
        <v>1.2.02.904</v>
      </c>
      <c r="C37" s="5" t="s">
        <v>81</v>
      </c>
      <c r="D37" s="3" t="s">
        <v>82</v>
      </c>
      <c r="E37" s="5">
        <v>0</v>
      </c>
      <c r="F37" s="6">
        <v>210830802</v>
      </c>
      <c r="G37" s="5">
        <v>0</v>
      </c>
      <c r="H37" s="6">
        <v>210830802</v>
      </c>
      <c r="I37" s="5">
        <v>0</v>
      </c>
      <c r="J37" s="6">
        <v>210830802</v>
      </c>
      <c r="K37" s="5">
        <v>0</v>
      </c>
      <c r="L37" s="5">
        <v>0</v>
      </c>
    </row>
    <row r="38" spans="1:12">
      <c r="A38" s="10" t="b">
        <f t="shared" si="0"/>
        <v>1</v>
      </c>
      <c r="B38" s="5" t="str">
        <f>+Hoja2!A37</f>
        <v>1.2.02.905</v>
      </c>
      <c r="C38" s="5" t="s">
        <v>83</v>
      </c>
      <c r="D38" s="3" t="s">
        <v>84</v>
      </c>
      <c r="E38" s="5">
        <v>0</v>
      </c>
      <c r="F38" s="6">
        <v>36686284</v>
      </c>
      <c r="G38" s="5">
        <v>0</v>
      </c>
      <c r="H38" s="6">
        <v>36686284</v>
      </c>
      <c r="I38" s="5">
        <v>0</v>
      </c>
      <c r="J38" s="6">
        <v>36686284</v>
      </c>
      <c r="K38" s="5">
        <v>0</v>
      </c>
      <c r="L38" s="5">
        <v>0</v>
      </c>
    </row>
    <row r="39" spans="1:12">
      <c r="A39" s="10" t="b">
        <f t="shared" si="0"/>
        <v>1</v>
      </c>
      <c r="B39" s="5" t="str">
        <f>+Hoja2!A38</f>
        <v>2.1.01.203</v>
      </c>
      <c r="C39" s="5" t="s">
        <v>85</v>
      </c>
      <c r="D39" s="3" t="s">
        <v>86</v>
      </c>
      <c r="E39" s="6">
        <v>7125750</v>
      </c>
      <c r="F39" s="6">
        <v>153794472</v>
      </c>
      <c r="G39" s="5">
        <v>0</v>
      </c>
      <c r="H39" s="6">
        <v>146668722</v>
      </c>
      <c r="I39" s="5">
        <v>0</v>
      </c>
      <c r="J39" s="6">
        <v>146668722</v>
      </c>
      <c r="K39" s="5">
        <v>0</v>
      </c>
      <c r="L39" s="5">
        <v>0</v>
      </c>
    </row>
    <row r="40" spans="1:12">
      <c r="A40" s="10" t="b">
        <f t="shared" si="0"/>
        <v>1</v>
      </c>
      <c r="B40" s="5" t="str">
        <f>+Hoja2!A39</f>
        <v>2.1.01.204</v>
      </c>
      <c r="C40" s="5" t="s">
        <v>87</v>
      </c>
      <c r="D40" s="3" t="s">
        <v>88</v>
      </c>
      <c r="E40" s="6">
        <v>513807</v>
      </c>
      <c r="F40" s="6">
        <v>5382695</v>
      </c>
      <c r="G40" s="5">
        <v>0</v>
      </c>
      <c r="H40" s="6">
        <v>4868888</v>
      </c>
      <c r="I40" s="5">
        <v>0</v>
      </c>
      <c r="J40" s="6">
        <v>4868888</v>
      </c>
      <c r="K40" s="5">
        <v>0</v>
      </c>
      <c r="L40" s="5">
        <v>0</v>
      </c>
    </row>
    <row r="41" spans="1:12">
      <c r="A41" s="10" t="b">
        <f t="shared" si="0"/>
        <v>1</v>
      </c>
      <c r="B41" s="5" t="str">
        <f>+Hoja2!A40</f>
        <v>2.1.01.601</v>
      </c>
      <c r="C41" s="5" t="s">
        <v>89</v>
      </c>
      <c r="D41" s="3" t="s">
        <v>90</v>
      </c>
      <c r="E41" s="6">
        <v>4654339</v>
      </c>
      <c r="F41" s="6">
        <v>4083503</v>
      </c>
      <c r="G41" s="6">
        <v>570836</v>
      </c>
      <c r="H41" s="5">
        <v>0</v>
      </c>
      <c r="I41" s="6">
        <v>570836</v>
      </c>
      <c r="J41" s="5">
        <v>0</v>
      </c>
      <c r="K41" s="5">
        <v>0</v>
      </c>
      <c r="L41" s="5">
        <v>0</v>
      </c>
    </row>
    <row r="42" spans="1:12">
      <c r="A42" s="10" t="b">
        <f t="shared" si="0"/>
        <v>1</v>
      </c>
      <c r="B42" s="5" t="str">
        <f>+Hoja2!A41</f>
        <v>2.1.02.102</v>
      </c>
      <c r="C42" s="5" t="s">
        <v>91</v>
      </c>
      <c r="D42" s="3" t="s">
        <v>92</v>
      </c>
      <c r="E42" s="6">
        <v>965676666</v>
      </c>
      <c r="F42" s="6">
        <v>2200581245</v>
      </c>
      <c r="G42" s="5">
        <v>0</v>
      </c>
      <c r="H42" s="6">
        <v>1234904579</v>
      </c>
      <c r="I42" s="5">
        <v>0</v>
      </c>
      <c r="J42" s="6">
        <v>1234904579</v>
      </c>
      <c r="K42" s="5">
        <v>0</v>
      </c>
      <c r="L42" s="5">
        <v>0</v>
      </c>
    </row>
    <row r="43" spans="1:12">
      <c r="A43" s="10" t="b">
        <f t="shared" si="0"/>
        <v>1</v>
      </c>
      <c r="B43" s="5" t="str">
        <f>+Hoja2!A42</f>
        <v>2.1.02.103</v>
      </c>
      <c r="C43" s="5" t="s">
        <v>93</v>
      </c>
      <c r="D43" s="3" t="s">
        <v>94</v>
      </c>
      <c r="E43" s="6">
        <v>272939080</v>
      </c>
      <c r="F43" s="6">
        <v>289265126</v>
      </c>
      <c r="G43" s="5">
        <v>0</v>
      </c>
      <c r="H43" s="6">
        <v>16326046</v>
      </c>
      <c r="I43" s="5">
        <v>0</v>
      </c>
      <c r="J43" s="6">
        <v>16326046</v>
      </c>
      <c r="K43" s="5">
        <v>0</v>
      </c>
      <c r="L43" s="5">
        <v>0</v>
      </c>
    </row>
    <row r="44" spans="1:12">
      <c r="A44" s="10" t="b">
        <f t="shared" si="0"/>
        <v>1</v>
      </c>
      <c r="B44" s="5" t="str">
        <f>+Hoja2!A43</f>
        <v>2.1.02.401</v>
      </c>
      <c r="C44" s="5" t="s">
        <v>95</v>
      </c>
      <c r="D44" s="3" t="s">
        <v>96</v>
      </c>
      <c r="E44" s="6">
        <v>466593</v>
      </c>
      <c r="F44" s="6">
        <v>2014886</v>
      </c>
      <c r="G44" s="5">
        <v>0</v>
      </c>
      <c r="H44" s="6">
        <v>1548293</v>
      </c>
      <c r="I44" s="5">
        <v>0</v>
      </c>
      <c r="J44" s="6">
        <v>1548293</v>
      </c>
      <c r="K44" s="5">
        <v>0</v>
      </c>
      <c r="L44" s="5">
        <v>0</v>
      </c>
    </row>
    <row r="45" spans="1:12">
      <c r="A45" s="10" t="b">
        <f t="shared" si="0"/>
        <v>1</v>
      </c>
      <c r="B45" s="5" t="str">
        <f>+Hoja2!A44</f>
        <v>2.1.02.503</v>
      </c>
      <c r="C45" s="5" t="s">
        <v>97</v>
      </c>
      <c r="D45" s="3" t="s">
        <v>98</v>
      </c>
      <c r="E45" s="6">
        <v>20106416</v>
      </c>
      <c r="F45" s="6">
        <v>30063451</v>
      </c>
      <c r="G45" s="5">
        <v>0</v>
      </c>
      <c r="H45" s="6">
        <v>9957035</v>
      </c>
      <c r="I45" s="5">
        <v>0</v>
      </c>
      <c r="J45" s="6">
        <v>9957035</v>
      </c>
      <c r="K45" s="5">
        <v>0</v>
      </c>
      <c r="L45" s="5">
        <v>0</v>
      </c>
    </row>
    <row r="46" spans="1:12">
      <c r="A46" s="10" t="b">
        <f t="shared" si="0"/>
        <v>1</v>
      </c>
      <c r="B46" s="5" t="str">
        <f>+Hoja2!A45</f>
        <v>2.1.02.604</v>
      </c>
      <c r="C46" s="5" t="s">
        <v>99</v>
      </c>
      <c r="D46" s="3" t="s">
        <v>100</v>
      </c>
      <c r="E46" s="6">
        <v>1098646</v>
      </c>
      <c r="F46" s="6">
        <v>1361766</v>
      </c>
      <c r="G46" s="5">
        <v>0</v>
      </c>
      <c r="H46" s="6">
        <v>263120</v>
      </c>
      <c r="I46" s="5">
        <v>0</v>
      </c>
      <c r="J46" s="6">
        <v>263120</v>
      </c>
      <c r="K46" s="5">
        <v>0</v>
      </c>
      <c r="L46" s="5">
        <v>0</v>
      </c>
    </row>
    <row r="47" spans="1:12">
      <c r="A47" s="10" t="b">
        <f t="shared" si="0"/>
        <v>1</v>
      </c>
      <c r="B47" s="5" t="str">
        <f>+Hoja2!A46</f>
        <v>2.1.02.605</v>
      </c>
      <c r="C47" s="5" t="s">
        <v>101</v>
      </c>
      <c r="D47" s="3" t="s">
        <v>102</v>
      </c>
      <c r="E47" s="6">
        <v>54462728</v>
      </c>
      <c r="F47" s="6">
        <v>134174766</v>
      </c>
      <c r="G47" s="5">
        <v>0</v>
      </c>
      <c r="H47" s="6">
        <v>79712038</v>
      </c>
      <c r="I47" s="5">
        <v>0</v>
      </c>
      <c r="J47" s="6">
        <v>79712038</v>
      </c>
      <c r="K47" s="5">
        <v>0</v>
      </c>
      <c r="L47" s="5">
        <v>0</v>
      </c>
    </row>
    <row r="48" spans="1:12">
      <c r="A48" s="10" t="b">
        <f t="shared" si="0"/>
        <v>1</v>
      </c>
      <c r="B48" s="5" t="str">
        <f>+Hoja2!A47</f>
        <v>2.1.05.101</v>
      </c>
      <c r="C48" s="5" t="s">
        <v>103</v>
      </c>
      <c r="D48" s="3" t="s">
        <v>104</v>
      </c>
      <c r="E48" s="6">
        <v>2373539</v>
      </c>
      <c r="F48" s="6">
        <v>2373539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>
      <c r="A49" s="10" t="b">
        <f t="shared" si="0"/>
        <v>1</v>
      </c>
      <c r="B49" s="5" t="str">
        <f>+Hoja2!A48</f>
        <v>2.1.05.102</v>
      </c>
      <c r="C49" s="5" t="s">
        <v>105</v>
      </c>
      <c r="D49" s="3" t="s">
        <v>106</v>
      </c>
      <c r="E49" s="6">
        <v>230070</v>
      </c>
      <c r="F49" s="6">
        <v>230070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>
      <c r="A50" s="10" t="b">
        <f t="shared" si="0"/>
        <v>1</v>
      </c>
      <c r="B50" s="5" t="str">
        <f>+Hoja2!A49</f>
        <v>2.1.05.103</v>
      </c>
      <c r="C50" s="5" t="s">
        <v>107</v>
      </c>
      <c r="D50" s="3" t="s">
        <v>108</v>
      </c>
      <c r="E50" s="6">
        <v>145138628</v>
      </c>
      <c r="F50" s="6">
        <v>145138628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>
      <c r="A51" s="10" t="b">
        <f t="shared" si="0"/>
        <v>1</v>
      </c>
      <c r="B51" s="5" t="str">
        <f>+Hoja2!A50</f>
        <v>2.1.05.106</v>
      </c>
      <c r="C51" s="5" t="s">
        <v>109</v>
      </c>
      <c r="D51" s="3" t="s">
        <v>110</v>
      </c>
      <c r="E51" s="6">
        <v>3289310</v>
      </c>
      <c r="F51" s="6">
        <v>4248262</v>
      </c>
      <c r="G51" s="5">
        <v>0</v>
      </c>
      <c r="H51" s="6">
        <v>958952</v>
      </c>
      <c r="I51" s="5">
        <v>0</v>
      </c>
      <c r="J51" s="6">
        <v>958952</v>
      </c>
      <c r="K51" s="5">
        <v>0</v>
      </c>
      <c r="L51" s="5">
        <v>0</v>
      </c>
    </row>
    <row r="52" spans="1:12">
      <c r="A52" s="10" t="b">
        <f t="shared" si="0"/>
        <v>1</v>
      </c>
      <c r="B52" s="5" t="str">
        <f>+Hoja2!A51</f>
        <v>2.1.06.103</v>
      </c>
      <c r="C52" s="5" t="s">
        <v>111</v>
      </c>
      <c r="D52" s="3" t="s">
        <v>112</v>
      </c>
      <c r="E52" s="6">
        <v>62073342</v>
      </c>
      <c r="F52" s="6">
        <v>76200159</v>
      </c>
      <c r="G52" s="5">
        <v>0</v>
      </c>
      <c r="H52" s="6">
        <v>14126817</v>
      </c>
      <c r="I52" s="5">
        <v>0</v>
      </c>
      <c r="J52" s="6">
        <v>14126817</v>
      </c>
      <c r="K52" s="5">
        <v>0</v>
      </c>
      <c r="L52" s="5">
        <v>0</v>
      </c>
    </row>
    <row r="53" spans="1:12">
      <c r="A53" s="10" t="b">
        <f t="shared" si="0"/>
        <v>1</v>
      </c>
      <c r="B53" s="5" t="str">
        <f>+Hoja2!A52</f>
        <v>2.3.01.101</v>
      </c>
      <c r="C53" s="5" t="s">
        <v>113</v>
      </c>
      <c r="D53" s="3" t="s">
        <v>114</v>
      </c>
      <c r="E53" s="5">
        <v>0</v>
      </c>
      <c r="F53" s="6">
        <v>5770668867</v>
      </c>
      <c r="G53" s="5">
        <v>0</v>
      </c>
      <c r="H53" s="6">
        <v>5770668867</v>
      </c>
      <c r="I53" s="5">
        <v>0</v>
      </c>
      <c r="J53" s="6">
        <v>5770668867</v>
      </c>
      <c r="K53" s="5">
        <v>0</v>
      </c>
      <c r="L53" s="5">
        <v>0</v>
      </c>
    </row>
    <row r="54" spans="1:12">
      <c r="A54" s="10" t="b">
        <f t="shared" si="0"/>
        <v>1</v>
      </c>
      <c r="B54" s="5" t="str">
        <f>+Hoja2!A53</f>
        <v>2.3.02.101</v>
      </c>
      <c r="C54" s="5" t="s">
        <v>115</v>
      </c>
      <c r="D54" s="3" t="s">
        <v>116</v>
      </c>
      <c r="E54" s="6">
        <v>3142106839</v>
      </c>
      <c r="F54" s="5">
        <v>0</v>
      </c>
      <c r="G54" s="6">
        <v>3142106839</v>
      </c>
      <c r="H54" s="5">
        <v>0</v>
      </c>
      <c r="I54" s="6">
        <v>3142106839</v>
      </c>
      <c r="J54" s="5">
        <v>0</v>
      </c>
      <c r="K54" s="5">
        <v>0</v>
      </c>
      <c r="L54" s="5">
        <v>0</v>
      </c>
    </row>
    <row r="55" spans="1:12">
      <c r="A55" s="10" t="b">
        <f t="shared" si="0"/>
        <v>1</v>
      </c>
      <c r="B55" s="5" t="str">
        <f>+Hoja2!A54</f>
        <v>3.1.01.103</v>
      </c>
      <c r="C55" s="5" t="s">
        <v>223</v>
      </c>
      <c r="D55" s="3" t="s">
        <v>224</v>
      </c>
      <c r="E55" s="6">
        <v>14544984</v>
      </c>
      <c r="F55" s="6">
        <v>261159276</v>
      </c>
      <c r="G55" s="5">
        <v>0</v>
      </c>
      <c r="H55" s="6">
        <v>246614292</v>
      </c>
      <c r="I55" s="5">
        <v>0</v>
      </c>
      <c r="J55" s="5">
        <v>0</v>
      </c>
      <c r="K55" s="5">
        <v>0</v>
      </c>
      <c r="L55" s="6">
        <v>246614292</v>
      </c>
    </row>
    <row r="56" spans="1:12">
      <c r="A56" s="10" t="b">
        <f t="shared" si="0"/>
        <v>1</v>
      </c>
      <c r="B56" s="5" t="str">
        <f>+Hoja2!A55</f>
        <v>3.1.01.300</v>
      </c>
      <c r="C56" s="5" t="s">
        <v>225</v>
      </c>
      <c r="D56" s="3" t="s">
        <v>226</v>
      </c>
      <c r="E56" s="5">
        <v>0</v>
      </c>
      <c r="F56" s="6">
        <v>3751074</v>
      </c>
      <c r="G56" s="5">
        <v>0</v>
      </c>
      <c r="H56" s="6">
        <v>3751074</v>
      </c>
      <c r="I56" s="5">
        <v>0</v>
      </c>
      <c r="J56" s="5">
        <v>0</v>
      </c>
      <c r="K56" s="5">
        <v>0</v>
      </c>
      <c r="L56" s="6">
        <v>3751074</v>
      </c>
    </row>
    <row r="57" spans="1:12">
      <c r="A57" s="10" t="b">
        <f t="shared" si="0"/>
        <v>1</v>
      </c>
      <c r="B57" s="5" t="str">
        <f>+Hoja2!A56</f>
        <v>3.1.02.101</v>
      </c>
      <c r="C57" s="5" t="s">
        <v>117</v>
      </c>
      <c r="D57" s="3" t="s">
        <v>118</v>
      </c>
      <c r="E57" s="6">
        <v>140247843</v>
      </c>
      <c r="F57" s="6">
        <v>5408771</v>
      </c>
      <c r="G57" s="6">
        <v>134839072</v>
      </c>
      <c r="H57" s="5">
        <v>0</v>
      </c>
      <c r="I57" s="5">
        <v>0</v>
      </c>
      <c r="J57" s="5">
        <v>0</v>
      </c>
      <c r="K57" s="6">
        <v>134839072</v>
      </c>
      <c r="L57" s="5">
        <v>0</v>
      </c>
    </row>
    <row r="58" spans="1:12">
      <c r="A58" s="10" t="b">
        <f t="shared" si="0"/>
        <v>1</v>
      </c>
      <c r="B58" s="5" t="str">
        <f>+Hoja2!A57</f>
        <v>3.1.02.102</v>
      </c>
      <c r="C58" s="5" t="s">
        <v>119</v>
      </c>
      <c r="D58" s="3" t="s">
        <v>120</v>
      </c>
      <c r="E58" s="6">
        <v>4308135</v>
      </c>
      <c r="F58" s="6">
        <v>2467680</v>
      </c>
      <c r="G58" s="6">
        <v>1840455</v>
      </c>
      <c r="H58" s="5">
        <v>0</v>
      </c>
      <c r="I58" s="5">
        <v>0</v>
      </c>
      <c r="J58" s="5">
        <v>0</v>
      </c>
      <c r="K58" s="6">
        <v>1840455</v>
      </c>
      <c r="L58" s="5">
        <v>0</v>
      </c>
    </row>
    <row r="59" spans="1:12">
      <c r="A59" s="10" t="b">
        <f t="shared" si="0"/>
        <v>1</v>
      </c>
      <c r="B59" s="5" t="str">
        <f>+Hoja2!A58</f>
        <v>3.1.02.104</v>
      </c>
      <c r="C59" s="5" t="s">
        <v>121</v>
      </c>
      <c r="D59" s="3" t="s">
        <v>122</v>
      </c>
      <c r="E59" s="6">
        <v>3006169</v>
      </c>
      <c r="F59" s="6">
        <v>306345</v>
      </c>
      <c r="G59" s="6">
        <v>2699824</v>
      </c>
      <c r="H59" s="5">
        <v>0</v>
      </c>
      <c r="I59" s="5">
        <v>0</v>
      </c>
      <c r="J59" s="5">
        <v>0</v>
      </c>
      <c r="K59" s="6">
        <v>2699824</v>
      </c>
      <c r="L59" s="5">
        <v>0</v>
      </c>
    </row>
    <row r="60" spans="1:12">
      <c r="A60" s="10" t="b">
        <f t="shared" si="0"/>
        <v>1</v>
      </c>
      <c r="B60" s="5" t="str">
        <f>+Hoja2!A59</f>
        <v>3.1.02.105</v>
      </c>
      <c r="C60" s="5" t="s">
        <v>123</v>
      </c>
      <c r="D60" s="3" t="s">
        <v>124</v>
      </c>
      <c r="E60" s="6">
        <v>9636092</v>
      </c>
      <c r="F60" s="6">
        <v>8836045</v>
      </c>
      <c r="G60" s="6">
        <v>800047</v>
      </c>
      <c r="H60" s="5">
        <v>0</v>
      </c>
      <c r="I60" s="5">
        <v>0</v>
      </c>
      <c r="J60" s="5">
        <v>0</v>
      </c>
      <c r="K60" s="6">
        <v>800047</v>
      </c>
      <c r="L60" s="5">
        <v>0</v>
      </c>
    </row>
    <row r="61" spans="1:12">
      <c r="A61" s="10" t="b">
        <f t="shared" si="0"/>
        <v>1</v>
      </c>
      <c r="B61" s="5" t="str">
        <f>+Hoja2!A60</f>
        <v>3.1.02.108</v>
      </c>
      <c r="C61" s="5" t="s">
        <v>125</v>
      </c>
      <c r="D61" s="3" t="s">
        <v>126</v>
      </c>
      <c r="E61" s="6">
        <v>1984340</v>
      </c>
      <c r="F61" s="6">
        <v>8318</v>
      </c>
      <c r="G61" s="6">
        <v>1976022</v>
      </c>
      <c r="H61" s="5">
        <v>0</v>
      </c>
      <c r="I61" s="5">
        <v>0</v>
      </c>
      <c r="J61" s="5">
        <v>0</v>
      </c>
      <c r="K61" s="6">
        <v>1976022</v>
      </c>
      <c r="L61" s="5">
        <v>0</v>
      </c>
    </row>
    <row r="62" spans="1:12">
      <c r="A62" s="10" t="b">
        <f t="shared" si="0"/>
        <v>1</v>
      </c>
      <c r="B62" s="5" t="str">
        <f>+Hoja2!A61</f>
        <v>3.1.02.109</v>
      </c>
      <c r="C62" s="5" t="s">
        <v>127</v>
      </c>
      <c r="D62" s="3" t="s">
        <v>128</v>
      </c>
      <c r="E62" s="6">
        <v>44990</v>
      </c>
      <c r="F62" s="5">
        <v>0</v>
      </c>
      <c r="G62" s="6">
        <v>44990</v>
      </c>
      <c r="H62" s="5">
        <v>0</v>
      </c>
      <c r="I62" s="5">
        <v>0</v>
      </c>
      <c r="J62" s="5">
        <v>0</v>
      </c>
      <c r="K62" s="6">
        <v>44990</v>
      </c>
      <c r="L62" s="5">
        <v>0</v>
      </c>
    </row>
    <row r="63" spans="1:12">
      <c r="A63" s="10" t="b">
        <f t="shared" si="0"/>
        <v>1</v>
      </c>
      <c r="B63" s="5" t="str">
        <f>+Hoja2!A62</f>
        <v>3.1.02.110</v>
      </c>
      <c r="C63" s="5" t="s">
        <v>129</v>
      </c>
      <c r="D63" s="3" t="s">
        <v>130</v>
      </c>
      <c r="E63" s="6">
        <v>46507</v>
      </c>
      <c r="F63" s="5">
        <v>0</v>
      </c>
      <c r="G63" s="6">
        <v>46507</v>
      </c>
      <c r="H63" s="5">
        <v>0</v>
      </c>
      <c r="I63" s="5">
        <v>0</v>
      </c>
      <c r="J63" s="5">
        <v>0</v>
      </c>
      <c r="K63" s="6">
        <v>46507</v>
      </c>
      <c r="L63" s="5">
        <v>0</v>
      </c>
    </row>
    <row r="64" spans="1:12">
      <c r="A64" s="10" t="b">
        <f t="shared" si="0"/>
        <v>1</v>
      </c>
      <c r="B64" s="5" t="str">
        <f>+Hoja2!A63</f>
        <v>3.1.05.101</v>
      </c>
      <c r="C64" s="5" t="s">
        <v>131</v>
      </c>
      <c r="D64" s="3" t="s">
        <v>132</v>
      </c>
      <c r="E64" s="6">
        <v>63650963</v>
      </c>
      <c r="F64" s="6">
        <v>18533812</v>
      </c>
      <c r="G64" s="6">
        <v>45117151</v>
      </c>
      <c r="H64" s="5">
        <v>0</v>
      </c>
      <c r="I64" s="5">
        <v>0</v>
      </c>
      <c r="J64" s="5">
        <v>0</v>
      </c>
      <c r="K64" s="6">
        <v>45117151</v>
      </c>
      <c r="L64" s="5">
        <v>0</v>
      </c>
    </row>
    <row r="65" spans="1:12">
      <c r="A65" s="10" t="b">
        <f t="shared" si="0"/>
        <v>1</v>
      </c>
      <c r="B65" s="5" t="str">
        <f>+Hoja2!A64</f>
        <v>3.1.05.102</v>
      </c>
      <c r="C65" s="5" t="s">
        <v>133</v>
      </c>
      <c r="D65" s="3" t="s">
        <v>134</v>
      </c>
      <c r="E65" s="6">
        <v>3506290</v>
      </c>
      <c r="F65" s="6">
        <v>1775800</v>
      </c>
      <c r="G65" s="6">
        <v>1730490</v>
      </c>
      <c r="H65" s="5">
        <v>0</v>
      </c>
      <c r="I65" s="5">
        <v>0</v>
      </c>
      <c r="J65" s="5">
        <v>0</v>
      </c>
      <c r="K65" s="6">
        <v>1730490</v>
      </c>
      <c r="L65" s="5">
        <v>0</v>
      </c>
    </row>
    <row r="66" spans="1:12">
      <c r="A66" s="10" t="b">
        <f t="shared" ref="A66:A109" si="1">EXACT(C66,B66)</f>
        <v>1</v>
      </c>
      <c r="B66" s="5" t="str">
        <f>+Hoja2!A65</f>
        <v>3.1.05.103</v>
      </c>
      <c r="C66" s="5" t="s">
        <v>135</v>
      </c>
      <c r="D66" s="3" t="s">
        <v>136</v>
      </c>
      <c r="E66" s="6">
        <v>2144489</v>
      </c>
      <c r="F66" s="6">
        <v>489406</v>
      </c>
      <c r="G66" s="6">
        <v>1655083</v>
      </c>
      <c r="H66" s="5">
        <v>0</v>
      </c>
      <c r="I66" s="5">
        <v>0</v>
      </c>
      <c r="J66" s="5">
        <v>0</v>
      </c>
      <c r="K66" s="6">
        <v>1655083</v>
      </c>
      <c r="L66" s="5">
        <v>0</v>
      </c>
    </row>
    <row r="67" spans="1:12">
      <c r="A67" s="10" t="b">
        <f t="shared" si="1"/>
        <v>1</v>
      </c>
      <c r="B67" s="5" t="str">
        <f>+Hoja2!A66</f>
        <v>3.1.05.104</v>
      </c>
      <c r="C67" s="5" t="s">
        <v>137</v>
      </c>
      <c r="D67" s="3" t="s">
        <v>138</v>
      </c>
      <c r="E67" s="6">
        <v>12748748</v>
      </c>
      <c r="F67" s="6">
        <v>2164596</v>
      </c>
      <c r="G67" s="6">
        <v>10584152</v>
      </c>
      <c r="H67" s="5">
        <v>0</v>
      </c>
      <c r="I67" s="5">
        <v>0</v>
      </c>
      <c r="J67" s="5">
        <v>0</v>
      </c>
      <c r="K67" s="6">
        <v>10584152</v>
      </c>
      <c r="L67" s="5">
        <v>0</v>
      </c>
    </row>
    <row r="68" spans="1:12">
      <c r="A68" s="10" t="b">
        <f t="shared" si="1"/>
        <v>1</v>
      </c>
      <c r="B68" s="5" t="str">
        <f>+Hoja2!A67</f>
        <v>3.1.05.107</v>
      </c>
      <c r="C68" s="5" t="s">
        <v>139</v>
      </c>
      <c r="D68" s="3" t="s">
        <v>140</v>
      </c>
      <c r="E68" s="6">
        <v>4000</v>
      </c>
      <c r="F68" s="5">
        <v>0</v>
      </c>
      <c r="G68" s="6">
        <v>4000</v>
      </c>
      <c r="H68" s="5">
        <v>0</v>
      </c>
      <c r="I68" s="5">
        <v>0</v>
      </c>
      <c r="J68" s="5">
        <v>0</v>
      </c>
      <c r="K68" s="6">
        <v>4000</v>
      </c>
      <c r="L68" s="5">
        <v>0</v>
      </c>
    </row>
    <row r="69" spans="1:12">
      <c r="A69" s="10" t="b">
        <f t="shared" si="1"/>
        <v>1</v>
      </c>
      <c r="B69" s="5" t="str">
        <f>+Hoja2!A68</f>
        <v>3.1.05.110</v>
      </c>
      <c r="C69" s="5" t="s">
        <v>141</v>
      </c>
      <c r="D69" s="3" t="s">
        <v>142</v>
      </c>
      <c r="E69" s="6">
        <v>767127</v>
      </c>
      <c r="F69" s="6">
        <v>166973</v>
      </c>
      <c r="G69" s="6">
        <v>600154</v>
      </c>
      <c r="H69" s="5">
        <v>0</v>
      </c>
      <c r="I69" s="5">
        <v>0</v>
      </c>
      <c r="J69" s="5">
        <v>0</v>
      </c>
      <c r="K69" s="6">
        <v>600154</v>
      </c>
      <c r="L69" s="5">
        <v>0</v>
      </c>
    </row>
    <row r="70" spans="1:12">
      <c r="A70" s="10" t="b">
        <f t="shared" si="1"/>
        <v>1</v>
      </c>
      <c r="B70" s="5" t="str">
        <f>+Hoja2!A69</f>
        <v>3.1.05.111</v>
      </c>
      <c r="C70" s="5" t="s">
        <v>143</v>
      </c>
      <c r="D70" s="3" t="s">
        <v>144</v>
      </c>
      <c r="E70" s="6">
        <v>1298877</v>
      </c>
      <c r="F70" s="6">
        <v>286396</v>
      </c>
      <c r="G70" s="6">
        <v>1012481</v>
      </c>
      <c r="H70" s="5">
        <v>0</v>
      </c>
      <c r="I70" s="5">
        <v>0</v>
      </c>
      <c r="J70" s="5">
        <v>0</v>
      </c>
      <c r="K70" s="6">
        <v>1012481</v>
      </c>
      <c r="L70" s="5">
        <v>0</v>
      </c>
    </row>
    <row r="71" spans="1:12">
      <c r="A71" s="10" t="b">
        <f t="shared" si="1"/>
        <v>1</v>
      </c>
      <c r="B71" s="5" t="str">
        <f>+Hoja2!A70</f>
        <v>3.1.05.112</v>
      </c>
      <c r="C71" s="5" t="s">
        <v>145</v>
      </c>
      <c r="D71" s="3" t="s">
        <v>146</v>
      </c>
      <c r="E71" s="6">
        <v>82429</v>
      </c>
      <c r="F71" s="6">
        <v>17934</v>
      </c>
      <c r="G71" s="6">
        <v>64495</v>
      </c>
      <c r="H71" s="5">
        <v>0</v>
      </c>
      <c r="I71" s="5">
        <v>0</v>
      </c>
      <c r="J71" s="5">
        <v>0</v>
      </c>
      <c r="K71" s="6">
        <v>64495</v>
      </c>
      <c r="L71" s="5">
        <v>0</v>
      </c>
    </row>
    <row r="72" spans="1:12">
      <c r="A72" s="10" t="b">
        <f t="shared" si="1"/>
        <v>1</v>
      </c>
      <c r="B72" s="5" t="str">
        <f>+Hoja2!A71</f>
        <v>3.1.05.113</v>
      </c>
      <c r="C72" s="5" t="s">
        <v>147</v>
      </c>
      <c r="D72" s="3" t="s">
        <v>148</v>
      </c>
      <c r="E72" s="6">
        <v>759096</v>
      </c>
      <c r="F72" s="6">
        <v>167378</v>
      </c>
      <c r="G72" s="6">
        <v>591718</v>
      </c>
      <c r="H72" s="5">
        <v>0</v>
      </c>
      <c r="I72" s="5">
        <v>0</v>
      </c>
      <c r="J72" s="5">
        <v>0</v>
      </c>
      <c r="K72" s="6">
        <v>591718</v>
      </c>
      <c r="L72" s="5">
        <v>0</v>
      </c>
    </row>
    <row r="73" spans="1:12">
      <c r="A73" s="10" t="b">
        <f t="shared" si="1"/>
        <v>1</v>
      </c>
      <c r="B73" s="5" t="str">
        <f>+Hoja2!A72</f>
        <v>3.1.05.117</v>
      </c>
      <c r="C73" s="5" t="s">
        <v>149</v>
      </c>
      <c r="D73" s="3" t="s">
        <v>150</v>
      </c>
      <c r="E73" s="6">
        <v>764042</v>
      </c>
      <c r="F73" s="6">
        <v>7718</v>
      </c>
      <c r="G73" s="6">
        <v>756324</v>
      </c>
      <c r="H73" s="5">
        <v>0</v>
      </c>
      <c r="I73" s="5">
        <v>0</v>
      </c>
      <c r="J73" s="5">
        <v>0</v>
      </c>
      <c r="K73" s="6">
        <v>756324</v>
      </c>
      <c r="L73" s="5">
        <v>0</v>
      </c>
    </row>
    <row r="74" spans="1:12">
      <c r="A74" s="10" t="b">
        <f t="shared" si="1"/>
        <v>1</v>
      </c>
      <c r="B74" s="5" t="str">
        <f>+Hoja2!A73</f>
        <v>3.1.05.121</v>
      </c>
      <c r="C74" s="5" t="s">
        <v>151</v>
      </c>
      <c r="D74" s="3" t="s">
        <v>152</v>
      </c>
      <c r="E74" s="6">
        <v>1499142</v>
      </c>
      <c r="F74" s="6">
        <v>51590</v>
      </c>
      <c r="G74" s="6">
        <v>1447552</v>
      </c>
      <c r="H74" s="5">
        <v>0</v>
      </c>
      <c r="I74" s="5">
        <v>0</v>
      </c>
      <c r="J74" s="5">
        <v>0</v>
      </c>
      <c r="K74" s="6">
        <v>1447552</v>
      </c>
      <c r="L74" s="5">
        <v>0</v>
      </c>
    </row>
    <row r="75" spans="1:12">
      <c r="A75" s="10" t="b">
        <f t="shared" si="1"/>
        <v>1</v>
      </c>
      <c r="B75" s="5" t="str">
        <f>+Hoja2!A74</f>
        <v>3.1.05.122</v>
      </c>
      <c r="C75" s="5" t="s">
        <v>153</v>
      </c>
      <c r="D75" s="3" t="s">
        <v>154</v>
      </c>
      <c r="E75" s="6">
        <v>6708242</v>
      </c>
      <c r="F75" s="6">
        <v>262921</v>
      </c>
      <c r="G75" s="6">
        <v>6445321</v>
      </c>
      <c r="H75" s="5">
        <v>0</v>
      </c>
      <c r="I75" s="5">
        <v>0</v>
      </c>
      <c r="J75" s="5">
        <v>0</v>
      </c>
      <c r="K75" s="6">
        <v>6445321</v>
      </c>
      <c r="L75" s="5">
        <v>0</v>
      </c>
    </row>
    <row r="76" spans="1:12">
      <c r="A76" s="10" t="b">
        <f t="shared" si="1"/>
        <v>1</v>
      </c>
      <c r="B76" s="5" t="str">
        <f>+Hoja2!A75</f>
        <v>3.1.06.108</v>
      </c>
      <c r="C76" s="5" t="s">
        <v>155</v>
      </c>
      <c r="D76" s="3" t="s">
        <v>156</v>
      </c>
      <c r="E76" s="6">
        <v>3186500</v>
      </c>
      <c r="F76" s="6">
        <v>860000</v>
      </c>
      <c r="G76" s="6">
        <v>2326500</v>
      </c>
      <c r="H76" s="5">
        <v>0</v>
      </c>
      <c r="I76" s="5">
        <v>0</v>
      </c>
      <c r="J76" s="5">
        <v>0</v>
      </c>
      <c r="K76" s="6">
        <v>2326500</v>
      </c>
      <c r="L76" s="5">
        <v>0</v>
      </c>
    </row>
    <row r="77" spans="1:12">
      <c r="A77" s="10" t="b">
        <f t="shared" si="1"/>
        <v>1</v>
      </c>
      <c r="B77" s="5" t="str">
        <f>+Hoja2!A76</f>
        <v>3.1.06.109</v>
      </c>
      <c r="C77" s="5" t="s">
        <v>157</v>
      </c>
      <c r="D77" s="3" t="s">
        <v>158</v>
      </c>
      <c r="E77" s="6">
        <v>3186500</v>
      </c>
      <c r="F77" s="6">
        <v>860000</v>
      </c>
      <c r="G77" s="6">
        <v>2326500</v>
      </c>
      <c r="H77" s="5">
        <v>0</v>
      </c>
      <c r="I77" s="5">
        <v>0</v>
      </c>
      <c r="J77" s="5">
        <v>0</v>
      </c>
      <c r="K77" s="6">
        <v>2326500</v>
      </c>
      <c r="L77" s="5">
        <v>0</v>
      </c>
    </row>
    <row r="78" spans="1:12">
      <c r="A78" s="10" t="b">
        <f t="shared" si="1"/>
        <v>1</v>
      </c>
      <c r="B78" s="5" t="str">
        <f>+Hoja2!A77</f>
        <v>3.1.06.116</v>
      </c>
      <c r="C78" s="5" t="s">
        <v>159</v>
      </c>
      <c r="D78" s="3" t="s">
        <v>160</v>
      </c>
      <c r="E78" s="6">
        <v>397401</v>
      </c>
      <c r="F78" s="6">
        <v>1535790</v>
      </c>
      <c r="G78" s="5">
        <v>0</v>
      </c>
      <c r="H78" s="6">
        <v>1138389</v>
      </c>
      <c r="I78" s="5">
        <v>0</v>
      </c>
      <c r="J78" s="5">
        <v>0</v>
      </c>
      <c r="K78" s="5">
        <v>0</v>
      </c>
      <c r="L78" s="6">
        <v>1138389</v>
      </c>
    </row>
    <row r="79" spans="1:12">
      <c r="A79" s="10" t="b">
        <f t="shared" si="1"/>
        <v>1</v>
      </c>
      <c r="B79" s="5" t="str">
        <f>+Hoja2!A78</f>
        <v>3.1.06.201</v>
      </c>
      <c r="C79" s="5" t="s">
        <v>161</v>
      </c>
      <c r="D79" s="3" t="s">
        <v>162</v>
      </c>
      <c r="E79" s="6">
        <v>505000</v>
      </c>
      <c r="F79" s="5">
        <v>0</v>
      </c>
      <c r="G79" s="6">
        <v>505000</v>
      </c>
      <c r="H79" s="5">
        <v>0</v>
      </c>
      <c r="I79" s="5">
        <v>0</v>
      </c>
      <c r="J79" s="5">
        <v>0</v>
      </c>
      <c r="K79" s="6">
        <v>505000</v>
      </c>
      <c r="L79" s="5">
        <v>0</v>
      </c>
    </row>
    <row r="80" spans="1:12">
      <c r="A80" s="10" t="b">
        <f t="shared" si="1"/>
        <v>1</v>
      </c>
      <c r="B80" s="5" t="str">
        <f>+Hoja2!A79</f>
        <v>3.1.06.206</v>
      </c>
      <c r="C80" s="5" t="s">
        <v>163</v>
      </c>
      <c r="D80" s="3" t="s">
        <v>164</v>
      </c>
      <c r="E80" s="6">
        <v>6995194</v>
      </c>
      <c r="F80" s="6">
        <v>3893716</v>
      </c>
      <c r="G80" s="6">
        <v>3101478</v>
      </c>
      <c r="H80" s="5">
        <v>0</v>
      </c>
      <c r="I80" s="5">
        <v>0</v>
      </c>
      <c r="J80" s="5">
        <v>0</v>
      </c>
      <c r="K80" s="6">
        <v>3101478</v>
      </c>
      <c r="L80" s="5">
        <v>0</v>
      </c>
    </row>
    <row r="81" spans="1:12">
      <c r="A81" s="10" t="b">
        <f t="shared" si="1"/>
        <v>1</v>
      </c>
      <c r="B81" s="5" t="str">
        <f>+Hoja2!A80</f>
        <v>3.1.06.209</v>
      </c>
      <c r="C81" s="5" t="s">
        <v>165</v>
      </c>
      <c r="D81" s="3" t="s">
        <v>166</v>
      </c>
      <c r="E81" s="6">
        <v>179571</v>
      </c>
      <c r="F81" s="6">
        <v>179571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</row>
    <row r="82" spans="1:12">
      <c r="A82" s="10" t="b">
        <f t="shared" si="1"/>
        <v>1</v>
      </c>
      <c r="B82" s="5" t="str">
        <f>+Hoja2!A81</f>
        <v>3.1.06.301</v>
      </c>
      <c r="C82" s="5" t="s">
        <v>167</v>
      </c>
      <c r="D82" s="3" t="s">
        <v>168</v>
      </c>
      <c r="E82" s="6">
        <v>81257049</v>
      </c>
      <c r="F82" s="6">
        <v>5262647</v>
      </c>
      <c r="G82" s="6">
        <v>75994402</v>
      </c>
      <c r="H82" s="5">
        <v>0</v>
      </c>
      <c r="I82" s="5">
        <v>0</v>
      </c>
      <c r="J82" s="5">
        <v>0</v>
      </c>
      <c r="K82" s="6">
        <v>75994402</v>
      </c>
      <c r="L82" s="5">
        <v>0</v>
      </c>
    </row>
    <row r="83" spans="1:12">
      <c r="A83" s="10" t="b">
        <f t="shared" si="1"/>
        <v>1</v>
      </c>
      <c r="B83" s="5" t="str">
        <f>+Hoja2!A82</f>
        <v>3.1.06.302</v>
      </c>
      <c r="C83" s="5" t="s">
        <v>169</v>
      </c>
      <c r="D83" s="3" t="s">
        <v>170</v>
      </c>
      <c r="E83" s="6">
        <v>3126087</v>
      </c>
      <c r="F83" s="5">
        <v>0</v>
      </c>
      <c r="G83" s="6">
        <v>3126087</v>
      </c>
      <c r="H83" s="5">
        <v>0</v>
      </c>
      <c r="I83" s="5">
        <v>0</v>
      </c>
      <c r="J83" s="5">
        <v>0</v>
      </c>
      <c r="K83" s="6">
        <v>3126087</v>
      </c>
      <c r="L83" s="5">
        <v>0</v>
      </c>
    </row>
    <row r="84" spans="1:12">
      <c r="A84" s="10" t="b">
        <f t="shared" si="1"/>
        <v>1</v>
      </c>
      <c r="B84" s="5" t="str">
        <f>+Hoja2!A83</f>
        <v>3.1.06.305</v>
      </c>
      <c r="C84" s="5" t="s">
        <v>171</v>
      </c>
      <c r="D84" s="3" t="s">
        <v>172</v>
      </c>
      <c r="E84" s="6">
        <v>925659</v>
      </c>
      <c r="F84" s="6">
        <v>294610</v>
      </c>
      <c r="G84" s="6">
        <v>631049</v>
      </c>
      <c r="H84" s="5">
        <v>0</v>
      </c>
      <c r="I84" s="5">
        <v>0</v>
      </c>
      <c r="J84" s="5">
        <v>0</v>
      </c>
      <c r="K84" s="6">
        <v>631049</v>
      </c>
      <c r="L84" s="5">
        <v>0</v>
      </c>
    </row>
    <row r="85" spans="1:12">
      <c r="A85" s="10" t="b">
        <f t="shared" si="1"/>
        <v>1</v>
      </c>
      <c r="B85" s="5" t="str">
        <f>+Hoja2!A84</f>
        <v>3.1.06.401</v>
      </c>
      <c r="C85" s="5" t="s">
        <v>173</v>
      </c>
      <c r="D85" s="3" t="s">
        <v>174</v>
      </c>
      <c r="E85" s="6">
        <v>919499</v>
      </c>
      <c r="F85" s="6">
        <v>741784</v>
      </c>
      <c r="G85" s="6">
        <v>177715</v>
      </c>
      <c r="H85" s="5">
        <v>0</v>
      </c>
      <c r="I85" s="5">
        <v>0</v>
      </c>
      <c r="J85" s="5">
        <v>0</v>
      </c>
      <c r="K85" s="6">
        <v>177715</v>
      </c>
      <c r="L85" s="5">
        <v>0</v>
      </c>
    </row>
    <row r="86" spans="1:12">
      <c r="A86" s="10" t="b">
        <f t="shared" si="1"/>
        <v>1</v>
      </c>
      <c r="B86" s="5" t="str">
        <f>+Hoja2!A85</f>
        <v>3.1.06.406</v>
      </c>
      <c r="C86" s="5" t="s">
        <v>175</v>
      </c>
      <c r="D86" s="3" t="s">
        <v>176</v>
      </c>
      <c r="E86" s="6">
        <v>131229</v>
      </c>
      <c r="F86" s="5">
        <v>0</v>
      </c>
      <c r="G86" s="6">
        <v>131229</v>
      </c>
      <c r="H86" s="5">
        <v>0</v>
      </c>
      <c r="I86" s="5">
        <v>0</v>
      </c>
      <c r="J86" s="5">
        <v>0</v>
      </c>
      <c r="K86" s="6">
        <v>131229</v>
      </c>
      <c r="L86" s="5">
        <v>0</v>
      </c>
    </row>
    <row r="87" spans="1:12">
      <c r="A87" s="10" t="b">
        <f t="shared" si="1"/>
        <v>1</v>
      </c>
      <c r="B87" s="5" t="str">
        <f>+Hoja2!A86</f>
        <v>3.1.06.501</v>
      </c>
      <c r="C87" s="5" t="s">
        <v>177</v>
      </c>
      <c r="D87" s="3" t="s">
        <v>178</v>
      </c>
      <c r="E87" s="6">
        <v>839257</v>
      </c>
      <c r="F87" s="5">
        <v>0</v>
      </c>
      <c r="G87" s="6">
        <v>839257</v>
      </c>
      <c r="H87" s="5">
        <v>0</v>
      </c>
      <c r="I87" s="5">
        <v>0</v>
      </c>
      <c r="J87" s="5">
        <v>0</v>
      </c>
      <c r="K87" s="6">
        <v>839257</v>
      </c>
      <c r="L87" s="5">
        <v>0</v>
      </c>
    </row>
    <row r="88" spans="1:12">
      <c r="A88" s="10" t="b">
        <f t="shared" si="1"/>
        <v>1</v>
      </c>
      <c r="B88" s="5" t="str">
        <f>+Hoja2!A87</f>
        <v>3.1.06.504</v>
      </c>
      <c r="C88" s="5" t="s">
        <v>179</v>
      </c>
      <c r="D88" s="3" t="s">
        <v>180</v>
      </c>
      <c r="E88" s="6">
        <v>1065119</v>
      </c>
      <c r="F88" s="5">
        <v>0</v>
      </c>
      <c r="G88" s="6">
        <v>1065119</v>
      </c>
      <c r="H88" s="5">
        <v>0</v>
      </c>
      <c r="I88" s="5">
        <v>0</v>
      </c>
      <c r="J88" s="5">
        <v>0</v>
      </c>
      <c r="K88" s="6">
        <v>1065119</v>
      </c>
      <c r="L88" s="5">
        <v>0</v>
      </c>
    </row>
    <row r="89" spans="1:12">
      <c r="A89" s="10" t="b">
        <f t="shared" si="1"/>
        <v>1</v>
      </c>
      <c r="B89" s="5" t="str">
        <f>+Hoja2!A88</f>
        <v>3.1.06.505</v>
      </c>
      <c r="C89" s="5" t="s">
        <v>181</v>
      </c>
      <c r="D89" s="3" t="s">
        <v>182</v>
      </c>
      <c r="E89" s="6">
        <v>420710</v>
      </c>
      <c r="F89" s="5">
        <v>0</v>
      </c>
      <c r="G89" s="6">
        <v>420710</v>
      </c>
      <c r="H89" s="5">
        <v>0</v>
      </c>
      <c r="I89" s="5">
        <v>0</v>
      </c>
      <c r="J89" s="5">
        <v>0</v>
      </c>
      <c r="K89" s="6">
        <v>420710</v>
      </c>
      <c r="L89" s="5">
        <v>0</v>
      </c>
    </row>
    <row r="90" spans="1:12">
      <c r="A90" s="10" t="b">
        <f t="shared" si="1"/>
        <v>1</v>
      </c>
      <c r="B90" s="5" t="str">
        <f>+Hoja2!A89</f>
        <v>3.1.06.506</v>
      </c>
      <c r="C90" s="5" t="s">
        <v>183</v>
      </c>
      <c r="D90" s="3" t="s">
        <v>184</v>
      </c>
      <c r="E90" s="6">
        <v>819868</v>
      </c>
      <c r="F90" s="6">
        <v>78227</v>
      </c>
      <c r="G90" s="6">
        <v>741641</v>
      </c>
      <c r="H90" s="5">
        <v>0</v>
      </c>
      <c r="I90" s="5">
        <v>0</v>
      </c>
      <c r="J90" s="5">
        <v>0</v>
      </c>
      <c r="K90" s="6">
        <v>741641</v>
      </c>
      <c r="L90" s="5">
        <v>0</v>
      </c>
    </row>
    <row r="91" spans="1:12">
      <c r="A91" s="10" t="b">
        <f t="shared" si="1"/>
        <v>1</v>
      </c>
      <c r="B91" s="5" t="str">
        <f>+Hoja2!A90</f>
        <v>3.1.06.507</v>
      </c>
      <c r="C91" s="5" t="s">
        <v>185</v>
      </c>
      <c r="D91" s="3" t="s">
        <v>186</v>
      </c>
      <c r="E91" s="6">
        <v>61186</v>
      </c>
      <c r="F91" s="6">
        <v>61187</v>
      </c>
      <c r="G91" s="5">
        <v>0</v>
      </c>
      <c r="H91" s="5">
        <v>1</v>
      </c>
      <c r="I91" s="5">
        <v>0</v>
      </c>
      <c r="J91" s="5">
        <v>0</v>
      </c>
      <c r="K91" s="5">
        <v>0</v>
      </c>
      <c r="L91" s="5">
        <v>1</v>
      </c>
    </row>
    <row r="92" spans="1:12">
      <c r="A92" s="10" t="b">
        <f t="shared" si="1"/>
        <v>1</v>
      </c>
      <c r="B92" s="5" t="str">
        <f>+Hoja2!A91</f>
        <v>3.1.06.601</v>
      </c>
      <c r="C92" s="5" t="s">
        <v>187</v>
      </c>
      <c r="D92" s="3" t="s">
        <v>188</v>
      </c>
      <c r="E92" s="6">
        <v>7893808</v>
      </c>
      <c r="F92" s="6">
        <v>6788199</v>
      </c>
      <c r="G92" s="6">
        <v>1105609</v>
      </c>
      <c r="H92" s="5">
        <v>0</v>
      </c>
      <c r="I92" s="5">
        <v>0</v>
      </c>
      <c r="J92" s="5">
        <v>0</v>
      </c>
      <c r="K92" s="6">
        <v>1105609</v>
      </c>
      <c r="L92" s="5">
        <v>0</v>
      </c>
    </row>
    <row r="93" spans="1:12">
      <c r="A93" s="10" t="b">
        <f t="shared" si="1"/>
        <v>1</v>
      </c>
      <c r="B93" s="5" t="str">
        <f>+Hoja2!A92</f>
        <v>3.1.06.602</v>
      </c>
      <c r="C93" s="5" t="s">
        <v>189</v>
      </c>
      <c r="D93" s="3" t="s">
        <v>190</v>
      </c>
      <c r="E93" s="6">
        <v>642168</v>
      </c>
      <c r="F93" s="5">
        <v>0</v>
      </c>
      <c r="G93" s="6">
        <v>642168</v>
      </c>
      <c r="H93" s="5">
        <v>0</v>
      </c>
      <c r="I93" s="5">
        <v>0</v>
      </c>
      <c r="J93" s="5">
        <v>0</v>
      </c>
      <c r="K93" s="6">
        <v>642168</v>
      </c>
      <c r="L93" s="5">
        <v>0</v>
      </c>
    </row>
    <row r="94" spans="1:12">
      <c r="A94" s="10" t="b">
        <f t="shared" si="1"/>
        <v>1</v>
      </c>
      <c r="B94" s="5" t="str">
        <f>+Hoja2!A93</f>
        <v>3.1.06.803</v>
      </c>
      <c r="C94" s="5" t="s">
        <v>191</v>
      </c>
      <c r="D94" s="3" t="s">
        <v>192</v>
      </c>
      <c r="E94" s="6">
        <v>371590</v>
      </c>
      <c r="F94" s="5">
        <v>0</v>
      </c>
      <c r="G94" s="6">
        <v>371590</v>
      </c>
      <c r="H94" s="5">
        <v>0</v>
      </c>
      <c r="I94" s="5">
        <v>0</v>
      </c>
      <c r="J94" s="5">
        <v>0</v>
      </c>
      <c r="K94" s="6">
        <v>371590</v>
      </c>
      <c r="L94" s="5">
        <v>0</v>
      </c>
    </row>
    <row r="95" spans="1:12">
      <c r="A95" s="10" t="b">
        <f t="shared" si="1"/>
        <v>1</v>
      </c>
      <c r="B95" s="5" t="str">
        <f>+Hoja2!A94</f>
        <v>3.1.06.806</v>
      </c>
      <c r="C95" s="5" t="s">
        <v>193</v>
      </c>
      <c r="D95" s="3" t="s">
        <v>194</v>
      </c>
      <c r="E95" s="6">
        <v>502259</v>
      </c>
      <c r="F95" s="5">
        <v>0</v>
      </c>
      <c r="G95" s="6">
        <v>502259</v>
      </c>
      <c r="H95" s="5">
        <v>0</v>
      </c>
      <c r="I95" s="5">
        <v>0</v>
      </c>
      <c r="J95" s="5">
        <v>0</v>
      </c>
      <c r="K95" s="6">
        <v>502259</v>
      </c>
      <c r="L95" s="5">
        <v>0</v>
      </c>
    </row>
    <row r="96" spans="1:12">
      <c r="A96" s="10" t="b">
        <f t="shared" si="1"/>
        <v>1</v>
      </c>
      <c r="B96" s="5" t="str">
        <f>+Hoja2!A95</f>
        <v>3.1.06.812</v>
      </c>
      <c r="C96" s="5" t="s">
        <v>195</v>
      </c>
      <c r="D96" s="3" t="s">
        <v>196</v>
      </c>
      <c r="E96" s="6">
        <v>2925416</v>
      </c>
      <c r="F96" s="6">
        <v>71660</v>
      </c>
      <c r="G96" s="6">
        <v>2853756</v>
      </c>
      <c r="H96" s="5">
        <v>0</v>
      </c>
      <c r="I96" s="5">
        <v>0</v>
      </c>
      <c r="J96" s="5">
        <v>0</v>
      </c>
      <c r="K96" s="6">
        <v>2853756</v>
      </c>
      <c r="L96" s="5">
        <v>0</v>
      </c>
    </row>
    <row r="97" spans="1:12">
      <c r="A97" s="10" t="b">
        <f t="shared" si="1"/>
        <v>1</v>
      </c>
      <c r="B97" s="5" t="str">
        <f>+Hoja2!A96</f>
        <v>3.1.06.813</v>
      </c>
      <c r="C97" s="5" t="s">
        <v>197</v>
      </c>
      <c r="D97" s="3" t="s">
        <v>198</v>
      </c>
      <c r="E97" s="6">
        <v>597458</v>
      </c>
      <c r="F97" s="5">
        <v>0</v>
      </c>
      <c r="G97" s="6">
        <v>597458</v>
      </c>
      <c r="H97" s="5">
        <v>0</v>
      </c>
      <c r="I97" s="5">
        <v>0</v>
      </c>
      <c r="J97" s="5">
        <v>0</v>
      </c>
      <c r="K97" s="6">
        <v>597458</v>
      </c>
      <c r="L97" s="5">
        <v>0</v>
      </c>
    </row>
    <row r="98" spans="1:12">
      <c r="A98" s="10" t="b">
        <f t="shared" si="1"/>
        <v>1</v>
      </c>
      <c r="B98" s="5" t="str">
        <f>+Hoja2!A97</f>
        <v>3.1.06.817</v>
      </c>
      <c r="C98" s="5" t="s">
        <v>199</v>
      </c>
      <c r="D98" s="3" t="s">
        <v>200</v>
      </c>
      <c r="E98" s="6">
        <v>868786</v>
      </c>
      <c r="F98" s="5">
        <v>0</v>
      </c>
      <c r="G98" s="6">
        <v>868786</v>
      </c>
      <c r="H98" s="5">
        <v>0</v>
      </c>
      <c r="I98" s="5">
        <v>0</v>
      </c>
      <c r="J98" s="5">
        <v>0</v>
      </c>
      <c r="K98" s="6">
        <v>868786</v>
      </c>
      <c r="L98" s="5">
        <v>0</v>
      </c>
    </row>
    <row r="99" spans="1:12">
      <c r="A99" s="10" t="b">
        <f t="shared" si="1"/>
        <v>1</v>
      </c>
      <c r="B99" s="5" t="str">
        <f>+Hoja2!A98</f>
        <v>3.1.06.818</v>
      </c>
      <c r="C99" s="5" t="s">
        <v>201</v>
      </c>
      <c r="D99" s="3" t="s">
        <v>202</v>
      </c>
      <c r="E99" s="6">
        <v>3506825</v>
      </c>
      <c r="F99" s="6">
        <v>587504</v>
      </c>
      <c r="G99" s="6">
        <v>2919321</v>
      </c>
      <c r="H99" s="5">
        <v>0</v>
      </c>
      <c r="I99" s="5">
        <v>0</v>
      </c>
      <c r="J99" s="5">
        <v>0</v>
      </c>
      <c r="K99" s="6">
        <v>2919321</v>
      </c>
      <c r="L99" s="5">
        <v>0</v>
      </c>
    </row>
    <row r="100" spans="1:12">
      <c r="A100" s="10" t="b">
        <f t="shared" si="1"/>
        <v>1</v>
      </c>
      <c r="B100" s="5" t="str">
        <f>+Hoja2!A99</f>
        <v>3.1.06.831</v>
      </c>
      <c r="C100" s="5" t="s">
        <v>203</v>
      </c>
      <c r="D100" s="3" t="s">
        <v>204</v>
      </c>
      <c r="E100" s="6">
        <v>268190</v>
      </c>
      <c r="F100" s="5">
        <v>0</v>
      </c>
      <c r="G100" s="6">
        <v>268190</v>
      </c>
      <c r="H100" s="5">
        <v>0</v>
      </c>
      <c r="I100" s="5">
        <v>0</v>
      </c>
      <c r="J100" s="5">
        <v>0</v>
      </c>
      <c r="K100" s="6">
        <v>268190</v>
      </c>
      <c r="L100" s="5">
        <v>0</v>
      </c>
    </row>
    <row r="101" spans="1:12">
      <c r="A101" s="10" t="b">
        <f t="shared" si="1"/>
        <v>1</v>
      </c>
      <c r="B101" s="5" t="str">
        <f>+Hoja2!A100</f>
        <v>3.1.06.837</v>
      </c>
      <c r="C101" s="5" t="s">
        <v>205</v>
      </c>
      <c r="D101" s="3" t="s">
        <v>206</v>
      </c>
      <c r="E101" s="6">
        <v>2094675</v>
      </c>
      <c r="F101" s="6">
        <v>1506417</v>
      </c>
      <c r="G101" s="6">
        <v>588258</v>
      </c>
      <c r="H101" s="5">
        <v>0</v>
      </c>
      <c r="I101" s="5">
        <v>0</v>
      </c>
      <c r="J101" s="5">
        <v>0</v>
      </c>
      <c r="K101" s="6">
        <v>588258</v>
      </c>
      <c r="L101" s="5">
        <v>0</v>
      </c>
    </row>
    <row r="102" spans="1:12">
      <c r="A102" s="10" t="b">
        <f t="shared" si="1"/>
        <v>1</v>
      </c>
      <c r="B102" s="5" t="str">
        <f>+Hoja2!A101</f>
        <v>3.1.07.822</v>
      </c>
      <c r="C102" s="5" t="s">
        <v>207</v>
      </c>
      <c r="D102" s="3" t="s">
        <v>208</v>
      </c>
      <c r="E102" s="6">
        <v>2114357</v>
      </c>
      <c r="F102" s="6">
        <v>27489</v>
      </c>
      <c r="G102" s="6">
        <v>2086868</v>
      </c>
      <c r="H102" s="5">
        <v>0</v>
      </c>
      <c r="I102" s="5">
        <v>0</v>
      </c>
      <c r="J102" s="5">
        <v>0</v>
      </c>
      <c r="K102" s="6">
        <v>2086868</v>
      </c>
      <c r="L102" s="5">
        <v>0</v>
      </c>
    </row>
    <row r="103" spans="1:12">
      <c r="A103" s="10" t="b">
        <f t="shared" si="1"/>
        <v>1</v>
      </c>
      <c r="B103" s="5" t="str">
        <f>+Hoja2!A102</f>
        <v>3.1.07.833</v>
      </c>
      <c r="C103" s="5" t="s">
        <v>209</v>
      </c>
      <c r="D103" s="3" t="s">
        <v>210</v>
      </c>
      <c r="E103" s="6">
        <v>1894972</v>
      </c>
      <c r="F103" s="6">
        <v>63900</v>
      </c>
      <c r="G103" s="6">
        <v>1831072</v>
      </c>
      <c r="H103" s="5">
        <v>0</v>
      </c>
      <c r="I103" s="5">
        <v>0</v>
      </c>
      <c r="J103" s="5">
        <v>0</v>
      </c>
      <c r="K103" s="6">
        <v>1831072</v>
      </c>
      <c r="L103" s="5">
        <v>0</v>
      </c>
    </row>
    <row r="104" spans="1:12">
      <c r="A104" s="10" t="b">
        <f t="shared" si="1"/>
        <v>1</v>
      </c>
      <c r="B104" s="5" t="str">
        <f>+Hoja2!A103</f>
        <v>3.1.08.701</v>
      </c>
      <c r="C104" s="5" t="s">
        <v>211</v>
      </c>
      <c r="D104" s="3" t="s">
        <v>212</v>
      </c>
      <c r="E104" s="6">
        <v>8846337</v>
      </c>
      <c r="F104" s="5">
        <v>0</v>
      </c>
      <c r="G104" s="6">
        <v>8846337</v>
      </c>
      <c r="H104" s="5">
        <v>0</v>
      </c>
      <c r="I104" s="5">
        <v>0</v>
      </c>
      <c r="J104" s="5">
        <v>0</v>
      </c>
      <c r="K104" s="6">
        <v>8846337</v>
      </c>
      <c r="L104" s="5">
        <v>0</v>
      </c>
    </row>
    <row r="105" spans="1:12">
      <c r="A105" s="10" t="b">
        <f t="shared" si="1"/>
        <v>1</v>
      </c>
      <c r="B105" s="5" t="str">
        <f>+Hoja2!A104</f>
        <v>3.2.08.105</v>
      </c>
      <c r="C105" s="5" t="s">
        <v>213</v>
      </c>
      <c r="D105" s="3" t="s">
        <v>214</v>
      </c>
      <c r="E105" s="6">
        <v>19305</v>
      </c>
      <c r="F105" s="5">
        <v>0</v>
      </c>
      <c r="G105" s="6">
        <v>19305</v>
      </c>
      <c r="H105" s="5">
        <v>0</v>
      </c>
      <c r="I105" s="5">
        <v>0</v>
      </c>
      <c r="J105" s="5">
        <v>0</v>
      </c>
      <c r="K105" s="6">
        <v>19305</v>
      </c>
      <c r="L105" s="5">
        <v>0</v>
      </c>
    </row>
    <row r="106" spans="1:12">
      <c r="A106" s="10" t="b">
        <f t="shared" si="1"/>
        <v>1</v>
      </c>
      <c r="B106" s="5" t="str">
        <f>+Hoja2!A105</f>
        <v>3.2.08.116</v>
      </c>
      <c r="C106" s="5" t="s">
        <v>215</v>
      </c>
      <c r="D106" s="3" t="s">
        <v>216</v>
      </c>
      <c r="E106" s="5">
        <v>0</v>
      </c>
      <c r="F106" s="6">
        <v>5791</v>
      </c>
      <c r="G106" s="5">
        <v>0</v>
      </c>
      <c r="H106" s="6">
        <v>5791</v>
      </c>
      <c r="I106" s="5">
        <v>0</v>
      </c>
      <c r="J106" s="5">
        <v>0</v>
      </c>
      <c r="K106" s="5">
        <v>0</v>
      </c>
      <c r="L106" s="6">
        <v>5791</v>
      </c>
    </row>
    <row r="107" spans="1:12">
      <c r="A107" s="10" t="b">
        <f t="shared" si="1"/>
        <v>1</v>
      </c>
      <c r="B107" s="5" t="str">
        <f>+Hoja2!A106</f>
        <v>3.2.11.158</v>
      </c>
      <c r="C107" s="5" t="s">
        <v>217</v>
      </c>
      <c r="D107" s="3" t="s">
        <v>218</v>
      </c>
      <c r="E107" s="6">
        <v>60116244</v>
      </c>
      <c r="F107" s="6">
        <v>84142416</v>
      </c>
      <c r="G107" s="5">
        <v>0</v>
      </c>
      <c r="H107" s="6">
        <v>24026172</v>
      </c>
      <c r="I107" s="5">
        <v>0</v>
      </c>
      <c r="J107" s="5">
        <v>0</v>
      </c>
      <c r="K107" s="5">
        <v>0</v>
      </c>
      <c r="L107" s="6">
        <v>24026172</v>
      </c>
    </row>
    <row r="108" spans="1:12">
      <c r="A108" s="10" t="b">
        <f t="shared" si="1"/>
        <v>1</v>
      </c>
      <c r="B108" s="5" t="str">
        <f>+Hoja2!A107</f>
        <v>3.2.13.101</v>
      </c>
      <c r="C108" s="5" t="s">
        <v>219</v>
      </c>
      <c r="D108" s="3" t="s">
        <v>220</v>
      </c>
      <c r="E108" s="6">
        <v>1746970</v>
      </c>
      <c r="F108" s="6">
        <v>1123173</v>
      </c>
      <c r="G108" s="6">
        <v>623797</v>
      </c>
      <c r="H108" s="5">
        <v>0</v>
      </c>
      <c r="I108" s="5">
        <v>0</v>
      </c>
      <c r="J108" s="5">
        <v>0</v>
      </c>
      <c r="K108" s="6">
        <v>623797</v>
      </c>
      <c r="L108" s="5">
        <v>0</v>
      </c>
    </row>
    <row r="109" spans="1:12">
      <c r="A109" s="10" t="b">
        <f t="shared" si="1"/>
        <v>1</v>
      </c>
      <c r="B109" s="5" t="str">
        <f>+Hoja2!A108</f>
        <v>3.2.13.109</v>
      </c>
      <c r="C109" s="5" t="s">
        <v>221</v>
      </c>
      <c r="D109" s="3" t="s">
        <v>222</v>
      </c>
      <c r="E109" s="5">
        <v>34</v>
      </c>
      <c r="F109" s="5">
        <v>0</v>
      </c>
      <c r="G109" s="5">
        <v>34</v>
      </c>
      <c r="H109" s="5">
        <v>0</v>
      </c>
      <c r="I109" s="5">
        <v>0</v>
      </c>
      <c r="J109" s="5">
        <v>0</v>
      </c>
      <c r="K109" s="5">
        <v>34</v>
      </c>
      <c r="L109" s="5">
        <v>0</v>
      </c>
    </row>
    <row r="110" spans="1:12">
      <c r="A110" s="3" t="e">
        <v>#N/A</v>
      </c>
      <c r="B110" s="5">
        <f>+Hoja2!A109</f>
        <v>0</v>
      </c>
      <c r="C110" s="5" t="e">
        <v>#N/A</v>
      </c>
      <c r="D110" s="3" t="e">
        <v>#N/A</v>
      </c>
      <c r="E110" s="5" t="e">
        <v>#N/A</v>
      </c>
      <c r="F110" s="5" t="e">
        <v>#N/A</v>
      </c>
      <c r="G110" s="5" t="e">
        <v>#N/A</v>
      </c>
      <c r="H110" s="5" t="e">
        <v>#N/A</v>
      </c>
      <c r="I110" s="5" t="e">
        <v>#N/A</v>
      </c>
      <c r="J110" s="5" t="e">
        <v>#N/A</v>
      </c>
      <c r="K110" s="5" t="e">
        <v>#N/A</v>
      </c>
      <c r="L110" s="5" t="e">
        <v>#N/A</v>
      </c>
    </row>
    <row r="112" spans="1:12">
      <c r="B112" s="5" t="s">
        <v>227</v>
      </c>
      <c r="D112" s="3" t="s">
        <v>228</v>
      </c>
      <c r="E112" s="6">
        <v>13821408501</v>
      </c>
      <c r="F112" s="5">
        <v>0</v>
      </c>
      <c r="G112" s="6">
        <v>7806222781</v>
      </c>
      <c r="H112" s="5">
        <v>0</v>
      </c>
      <c r="I112" s="6">
        <v>7478455448</v>
      </c>
      <c r="J112" s="5">
        <v>0</v>
      </c>
      <c r="K112" s="6">
        <v>327767333</v>
      </c>
      <c r="L112" s="5">
        <v>0</v>
      </c>
    </row>
    <row r="113" spans="2:12">
      <c r="B113" s="5" t="s">
        <v>227</v>
      </c>
      <c r="E113" s="5">
        <v>0</v>
      </c>
      <c r="F113" s="6">
        <v>13821408501</v>
      </c>
      <c r="G113" s="5">
        <v>0</v>
      </c>
      <c r="H113" s="6">
        <v>7806222781</v>
      </c>
      <c r="I113" s="5">
        <v>0</v>
      </c>
      <c r="J113" s="6">
        <v>7530687062</v>
      </c>
      <c r="K113" s="5">
        <v>0</v>
      </c>
      <c r="L113" s="6">
        <v>275535719</v>
      </c>
    </row>
    <row r="115" spans="2:12">
      <c r="B115" s="5" t="s">
        <v>227</v>
      </c>
      <c r="D115" s="3" t="s">
        <v>229</v>
      </c>
      <c r="E115" s="5">
        <v>0</v>
      </c>
      <c r="F115" s="5">
        <v>0</v>
      </c>
      <c r="G115" s="5">
        <v>0</v>
      </c>
      <c r="H115" s="5">
        <v>0</v>
      </c>
      <c r="I115" s="6">
        <v>52231614</v>
      </c>
      <c r="J115" s="5">
        <v>0</v>
      </c>
      <c r="K115" s="5">
        <v>0</v>
      </c>
      <c r="L115" s="5">
        <v>0</v>
      </c>
    </row>
    <row r="116" spans="2:12">
      <c r="B116" s="5" t="s">
        <v>227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52231614</v>
      </c>
    </row>
    <row r="118" spans="2:12">
      <c r="B118" s="5" t="s">
        <v>227</v>
      </c>
      <c r="D118" s="3" t="s">
        <v>230</v>
      </c>
      <c r="E118" s="6">
        <v>13821408501</v>
      </c>
      <c r="F118" s="5">
        <v>0</v>
      </c>
      <c r="G118" s="6">
        <v>7806222781</v>
      </c>
      <c r="H118" s="5">
        <v>0</v>
      </c>
      <c r="I118" s="6">
        <v>7530687062</v>
      </c>
      <c r="J118" s="5">
        <v>0</v>
      </c>
      <c r="K118" s="6">
        <v>327767333</v>
      </c>
      <c r="L118" s="5">
        <v>0</v>
      </c>
    </row>
    <row r="119" spans="2:12">
      <c r="B119" s="5" t="s">
        <v>227</v>
      </c>
      <c r="E119" s="5">
        <v>0</v>
      </c>
      <c r="F119" s="6">
        <v>13821408501</v>
      </c>
      <c r="G119" s="5">
        <v>0</v>
      </c>
      <c r="H119" s="6">
        <v>7806222781</v>
      </c>
      <c r="I119" s="5">
        <v>0</v>
      </c>
      <c r="J119" s="6">
        <v>7530687062</v>
      </c>
      <c r="K119" s="5">
        <v>0</v>
      </c>
      <c r="L119" s="6">
        <v>327767333</v>
      </c>
    </row>
  </sheetData>
  <sortState xmlns:xlrd2="http://schemas.microsoft.com/office/spreadsheetml/2017/richdata2" ref="A2:L30001">
    <sortCondition ref="C2:C30001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2973-DDA6-4A51-B47D-99DA8E708A19}">
  <dimension ref="A1:A108"/>
  <sheetViews>
    <sheetView workbookViewId="0">
      <selection sqref="A1:A108"/>
    </sheetView>
  </sheetViews>
  <sheetFormatPr baseColWidth="10" defaultRowHeight="14"/>
  <sheetData>
    <row r="1" spans="1:1">
      <c r="A1" s="8" t="s">
        <v>11</v>
      </c>
    </row>
    <row r="2" spans="1:1">
      <c r="A2" s="8" t="s">
        <v>13</v>
      </c>
    </row>
    <row r="3" spans="1:1">
      <c r="A3" s="8" t="s">
        <v>15</v>
      </c>
    </row>
    <row r="4" spans="1:1">
      <c r="A4" s="8" t="s">
        <v>17</v>
      </c>
    </row>
    <row r="5" spans="1:1">
      <c r="A5" s="8" t="s">
        <v>19</v>
      </c>
    </row>
    <row r="6" spans="1:1">
      <c r="A6" s="8" t="s">
        <v>21</v>
      </c>
    </row>
    <row r="7" spans="1:1">
      <c r="A7" s="8" t="s">
        <v>23</v>
      </c>
    </row>
    <row r="8" spans="1:1">
      <c r="A8" s="8" t="s">
        <v>25</v>
      </c>
    </row>
    <row r="9" spans="1:1">
      <c r="A9" s="8" t="s">
        <v>27</v>
      </c>
    </row>
    <row r="10" spans="1:1">
      <c r="A10" s="8" t="s">
        <v>29</v>
      </c>
    </row>
    <row r="11" spans="1:1">
      <c r="A11" s="8" t="s">
        <v>31</v>
      </c>
    </row>
    <row r="12" spans="1:1">
      <c r="A12" s="8" t="s">
        <v>33</v>
      </c>
    </row>
    <row r="13" spans="1:1">
      <c r="A13" s="8" t="s">
        <v>35</v>
      </c>
    </row>
    <row r="14" spans="1:1">
      <c r="A14" s="8" t="s">
        <v>37</v>
      </c>
    </row>
    <row r="15" spans="1:1">
      <c r="A15" s="8" t="s">
        <v>39</v>
      </c>
    </row>
    <row r="16" spans="1:1">
      <c r="A16" s="8" t="s">
        <v>41</v>
      </c>
    </row>
    <row r="17" spans="1:1">
      <c r="A17" s="8" t="s">
        <v>43</v>
      </c>
    </row>
    <row r="18" spans="1:1">
      <c r="A18" s="8" t="s">
        <v>45</v>
      </c>
    </row>
    <row r="19" spans="1:1">
      <c r="A19" s="8" t="s">
        <v>47</v>
      </c>
    </row>
    <row r="20" spans="1:1">
      <c r="A20" s="8" t="s">
        <v>49</v>
      </c>
    </row>
    <row r="21" spans="1:1">
      <c r="A21" s="8" t="s">
        <v>51</v>
      </c>
    </row>
    <row r="22" spans="1:1">
      <c r="A22" s="8" t="s">
        <v>53</v>
      </c>
    </row>
    <row r="23" spans="1:1">
      <c r="A23" s="8" t="s">
        <v>55</v>
      </c>
    </row>
    <row r="24" spans="1:1">
      <c r="A24" s="8" t="s">
        <v>57</v>
      </c>
    </row>
    <row r="25" spans="1:1">
      <c r="A25" s="8" t="s">
        <v>59</v>
      </c>
    </row>
    <row r="26" spans="1:1">
      <c r="A26" s="8" t="s">
        <v>61</v>
      </c>
    </row>
    <row r="27" spans="1:1">
      <c r="A27" s="8" t="s">
        <v>63</v>
      </c>
    </row>
    <row r="28" spans="1:1">
      <c r="A28" s="8" t="s">
        <v>65</v>
      </c>
    </row>
    <row r="29" spans="1:1">
      <c r="A29" s="8" t="s">
        <v>67</v>
      </c>
    </row>
    <row r="30" spans="1:1">
      <c r="A30" s="8" t="s">
        <v>69</v>
      </c>
    </row>
    <row r="31" spans="1:1">
      <c r="A31" s="8" t="s">
        <v>71</v>
      </c>
    </row>
    <row r="32" spans="1:1">
      <c r="A32" s="8" t="s">
        <v>73</v>
      </c>
    </row>
    <row r="33" spans="1:1">
      <c r="A33" s="8" t="s">
        <v>75</v>
      </c>
    </row>
    <row r="34" spans="1:1">
      <c r="A34" s="8" t="s">
        <v>77</v>
      </c>
    </row>
    <row r="35" spans="1:1">
      <c r="A35" s="8" t="s">
        <v>79</v>
      </c>
    </row>
    <row r="36" spans="1:1">
      <c r="A36" s="8" t="s">
        <v>81</v>
      </c>
    </row>
    <row r="37" spans="1:1">
      <c r="A37" s="8" t="s">
        <v>83</v>
      </c>
    </row>
    <row r="38" spans="1:1">
      <c r="A38" s="8" t="s">
        <v>85</v>
      </c>
    </row>
    <row r="39" spans="1:1">
      <c r="A39" s="8" t="s">
        <v>87</v>
      </c>
    </row>
    <row r="40" spans="1:1">
      <c r="A40" s="8" t="s">
        <v>89</v>
      </c>
    </row>
    <row r="41" spans="1:1">
      <c r="A41" s="8" t="s">
        <v>91</v>
      </c>
    </row>
    <row r="42" spans="1:1">
      <c r="A42" s="8" t="s">
        <v>93</v>
      </c>
    </row>
    <row r="43" spans="1:1">
      <c r="A43" s="8" t="s">
        <v>95</v>
      </c>
    </row>
    <row r="44" spans="1:1">
      <c r="A44" s="8" t="s">
        <v>97</v>
      </c>
    </row>
    <row r="45" spans="1:1">
      <c r="A45" s="8" t="s">
        <v>99</v>
      </c>
    </row>
    <row r="46" spans="1:1">
      <c r="A46" s="8" t="s">
        <v>101</v>
      </c>
    </row>
    <row r="47" spans="1:1">
      <c r="A47" s="8" t="s">
        <v>103</v>
      </c>
    </row>
    <row r="48" spans="1:1">
      <c r="A48" s="8" t="s">
        <v>105</v>
      </c>
    </row>
    <row r="49" spans="1:1">
      <c r="A49" s="8" t="s">
        <v>107</v>
      </c>
    </row>
    <row r="50" spans="1:1">
      <c r="A50" s="8" t="s">
        <v>109</v>
      </c>
    </row>
    <row r="51" spans="1:1">
      <c r="A51" s="8" t="s">
        <v>111</v>
      </c>
    </row>
    <row r="52" spans="1:1">
      <c r="A52" s="8" t="s">
        <v>113</v>
      </c>
    </row>
    <row r="53" spans="1:1">
      <c r="A53" s="8" t="s">
        <v>115</v>
      </c>
    </row>
    <row r="54" spans="1:1">
      <c r="A54" s="7" t="s">
        <v>223</v>
      </c>
    </row>
    <row r="55" spans="1:1">
      <c r="A55" s="7" t="s">
        <v>225</v>
      </c>
    </row>
    <row r="56" spans="1:1">
      <c r="A56" s="7" t="s">
        <v>117</v>
      </c>
    </row>
    <row r="57" spans="1:1">
      <c r="A57" s="7" t="s">
        <v>119</v>
      </c>
    </row>
    <row r="58" spans="1:1">
      <c r="A58" s="7" t="s">
        <v>121</v>
      </c>
    </row>
    <row r="59" spans="1:1">
      <c r="A59" s="7" t="s">
        <v>123</v>
      </c>
    </row>
    <row r="60" spans="1:1">
      <c r="A60" s="7" t="s">
        <v>125</v>
      </c>
    </row>
    <row r="61" spans="1:1">
      <c r="A61" s="7" t="s">
        <v>127</v>
      </c>
    </row>
    <row r="62" spans="1:1">
      <c r="A62" s="7" t="s">
        <v>129</v>
      </c>
    </row>
    <row r="63" spans="1:1">
      <c r="A63" s="7" t="s">
        <v>131</v>
      </c>
    </row>
    <row r="64" spans="1:1">
      <c r="A64" s="7" t="s">
        <v>133</v>
      </c>
    </row>
    <row r="65" spans="1:1">
      <c r="A65" s="7" t="s">
        <v>135</v>
      </c>
    </row>
    <row r="66" spans="1:1">
      <c r="A66" s="7" t="s">
        <v>137</v>
      </c>
    </row>
    <row r="67" spans="1:1">
      <c r="A67" s="7" t="s">
        <v>139</v>
      </c>
    </row>
    <row r="68" spans="1:1">
      <c r="A68" s="7" t="s">
        <v>141</v>
      </c>
    </row>
    <row r="69" spans="1:1">
      <c r="A69" s="7" t="s">
        <v>143</v>
      </c>
    </row>
    <row r="70" spans="1:1">
      <c r="A70" s="7" t="s">
        <v>145</v>
      </c>
    </row>
    <row r="71" spans="1:1">
      <c r="A71" s="7" t="s">
        <v>147</v>
      </c>
    </row>
    <row r="72" spans="1:1">
      <c r="A72" s="7" t="s">
        <v>149</v>
      </c>
    </row>
    <row r="73" spans="1:1">
      <c r="A73" s="7" t="s">
        <v>151</v>
      </c>
    </row>
    <row r="74" spans="1:1">
      <c r="A74" s="7" t="s">
        <v>153</v>
      </c>
    </row>
    <row r="75" spans="1:1">
      <c r="A75" s="7" t="s">
        <v>155</v>
      </c>
    </row>
    <row r="76" spans="1:1">
      <c r="A76" s="7" t="s">
        <v>157</v>
      </c>
    </row>
    <row r="77" spans="1:1">
      <c r="A77" s="9" t="s">
        <v>159</v>
      </c>
    </row>
    <row r="78" spans="1:1">
      <c r="A78" s="7" t="s">
        <v>161</v>
      </c>
    </row>
    <row r="79" spans="1:1">
      <c r="A79" s="7" t="s">
        <v>163</v>
      </c>
    </row>
    <row r="80" spans="1:1">
      <c r="A80" s="7" t="s">
        <v>165</v>
      </c>
    </row>
    <row r="81" spans="1:1">
      <c r="A81" s="7" t="s">
        <v>167</v>
      </c>
    </row>
    <row r="82" spans="1:1">
      <c r="A82" s="7" t="s">
        <v>169</v>
      </c>
    </row>
    <row r="83" spans="1:1">
      <c r="A83" s="7" t="s">
        <v>171</v>
      </c>
    </row>
    <row r="84" spans="1:1">
      <c r="A84" s="7" t="s">
        <v>173</v>
      </c>
    </row>
    <row r="85" spans="1:1">
      <c r="A85" s="7" t="s">
        <v>175</v>
      </c>
    </row>
    <row r="86" spans="1:1">
      <c r="A86" s="7" t="s">
        <v>177</v>
      </c>
    </row>
    <row r="87" spans="1:1">
      <c r="A87" s="7" t="s">
        <v>179</v>
      </c>
    </row>
    <row r="88" spans="1:1">
      <c r="A88" s="7" t="s">
        <v>181</v>
      </c>
    </row>
    <row r="89" spans="1:1">
      <c r="A89" s="7" t="s">
        <v>183</v>
      </c>
    </row>
    <row r="90" spans="1:1">
      <c r="A90" s="7" t="s">
        <v>185</v>
      </c>
    </row>
    <row r="91" spans="1:1">
      <c r="A91" s="7" t="s">
        <v>187</v>
      </c>
    </row>
    <row r="92" spans="1:1">
      <c r="A92" s="7" t="s">
        <v>189</v>
      </c>
    </row>
    <row r="93" spans="1:1">
      <c r="A93" s="7" t="s">
        <v>191</v>
      </c>
    </row>
    <row r="94" spans="1:1">
      <c r="A94" s="7" t="s">
        <v>193</v>
      </c>
    </row>
    <row r="95" spans="1:1">
      <c r="A95" s="7" t="s">
        <v>195</v>
      </c>
    </row>
    <row r="96" spans="1:1">
      <c r="A96" s="7" t="s">
        <v>197</v>
      </c>
    </row>
    <row r="97" spans="1:1">
      <c r="A97" s="7" t="s">
        <v>199</v>
      </c>
    </row>
    <row r="98" spans="1:1">
      <c r="A98" s="7" t="s">
        <v>201</v>
      </c>
    </row>
    <row r="99" spans="1:1">
      <c r="A99" s="7" t="s">
        <v>203</v>
      </c>
    </row>
    <row r="100" spans="1:1">
      <c r="A100" s="7" t="s">
        <v>205</v>
      </c>
    </row>
    <row r="101" spans="1:1">
      <c r="A101" s="7" t="s">
        <v>207</v>
      </c>
    </row>
    <row r="102" spans="1:1">
      <c r="A102" s="9" t="s">
        <v>209</v>
      </c>
    </row>
    <row r="103" spans="1:1">
      <c r="A103" s="7" t="s">
        <v>211</v>
      </c>
    </row>
    <row r="104" spans="1:1">
      <c r="A104" s="7" t="s">
        <v>213</v>
      </c>
    </row>
    <row r="105" spans="1:1">
      <c r="A105" s="7" t="s">
        <v>215</v>
      </c>
    </row>
    <row r="106" spans="1:1">
      <c r="A106" s="7" t="s">
        <v>217</v>
      </c>
    </row>
    <row r="107" spans="1:1">
      <c r="A107" s="7" t="s">
        <v>219</v>
      </c>
    </row>
    <row r="108" spans="1:1">
      <c r="A108" s="7" t="s">
        <v>221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4" location="'Cajas y Bancos'!A1" display="1.1.02.106" xr:uid="{807DA19E-72F5-4DFD-A863-B0CBC011CA5A}"/>
    <hyperlink ref="A15" location="'Derechos de arrendamiento'!A1" display="1.1.03.201" xr:uid="{070AAADB-962C-4B87-A28C-52134DE116E9}"/>
    <hyperlink ref="A16" location="Clientes!A1" display="1.1.04.102" xr:uid="{D7C021CF-F698-45EC-9E8B-A1C45870C7FE}"/>
    <hyperlink ref="A17" location="'Pagos Anticipados'!A1" display="1.1.04.104" xr:uid="{FB2146CA-A3C3-43A5-A4D8-978A0FFE1C80}"/>
    <hyperlink ref="A18" location="'Deudores Diversos'!A1" display="1.1.04.105" xr:uid="{A2450BB9-CEE6-419E-AD29-F7727082159C}"/>
    <hyperlink ref="A19" location="'Deudores Diversos'!A1" display="1.1.04.106" xr:uid="{4973DE54-ED15-4DF3-85C8-FEA74004D421}"/>
    <hyperlink ref="A21" location="'Deudores Diversos'!A1" display="1.1.04.109" xr:uid="{93664D92-AA52-4568-B662-2B7E4A98314D}"/>
    <hyperlink ref="A24" location="'Deudores Diversos'!A1" display="1.1.04.200" xr:uid="{FF1C5F76-0819-4ADA-9AE5-72B72AA2CE70}"/>
    <hyperlink ref="A25" location="'Pagos Anticipados'!A1" display="1.1.05.403" xr:uid="{B38C1C75-DE03-4215-BAB1-431A07261B70}"/>
    <hyperlink ref="A26" location="'Pagos Anticipados'!A1" display="1.1.05.405" xr:uid="{66991AAB-ECE6-4F49-AC50-8FCD575FFA35}"/>
    <hyperlink ref="A27" location="Inventarios!A1" display="1.1.06.401" xr:uid="{F4EABD4C-5248-40B7-9F30-D2412EF6B454}"/>
    <hyperlink ref="A28" location="Inventarios!A1" display="1.1.06.801" xr:uid="{E7BDA6CA-79FD-4FF5-A6F9-B4B5DC506797}"/>
    <hyperlink ref="A29" location="Inventarios!A1" display="1.1.06.802" xr:uid="{B013E647-942E-435A-B91E-BAA86E876FA6}"/>
    <hyperlink ref="A30" location="'Impuestos a favor'!A1" display="1.1.09.101" xr:uid="{8FB9B359-1ABC-4E50-94DC-8B86DE4F4C64}"/>
    <hyperlink ref="A31" location="'Impuestos a favor'!A1" display="1.1.09.103" xr:uid="{CB4D1D73-B128-4215-99E6-F4FE5C1B9C06}"/>
    <hyperlink ref="A32" location="'Derechos de arrendamiento'!A1" display="1.2.02.101" xr:uid="{32F22431-919A-458D-A9FB-C10A1AB8F06A}"/>
    <hyperlink ref="A33" location="'Activo fijo'!A1" display="1.2.02.401" xr:uid="{94E4FDCD-6B55-47B4-B898-8406EAE4D351}"/>
    <hyperlink ref="A34" location="'Activo fijo'!A1" display="1.2.02.402" xr:uid="{87BD121C-2DBB-4512-B735-634B540B28F7}"/>
    <hyperlink ref="A36" location="'Activo fijo'!A1" display="1.2.02.904" xr:uid="{D2D827E8-F6DA-4628-93D4-6A91C06B6790}"/>
    <hyperlink ref="A37" location="'Activo fijo'!A1" display="1.2.02.905" xr:uid="{AEF767D2-87BE-47E4-B021-3D3C11B71A70}"/>
    <hyperlink ref="A38" location="'Acreedores diversos (prestamo)'!A1" display="2.1.01.203" xr:uid="{4697E371-DB05-4B70-8FC7-56CF59B950E5}"/>
    <hyperlink ref="A40" location="'Acreedores Diversos'!A1" display="2.1.01.601" xr:uid="{AD67180F-71D2-4FF8-BED7-85C1D43333AF}"/>
    <hyperlink ref="A41" location="'Cuentas por pagar EERR'!A1" display="2.1.02.102" xr:uid="{478350FE-4E50-47C4-B655-78012B7902F9}"/>
    <hyperlink ref="A42" location="Proveedores!A1" display="2.1.02.103" xr:uid="{59590D6E-7541-4BEC-8449-A887068F5476}"/>
    <hyperlink ref="A43" location="Proveedores!A1" display="2.1.02.401" xr:uid="{E8D48828-7756-4734-94A6-5EFB38280877}"/>
    <hyperlink ref="A44" location="'Impuestos nómina'!A1" display="2.1.02.503" xr:uid="{27E59FFE-360D-49AE-9722-125C91A811E2}"/>
    <hyperlink ref="A45" location="Proveedores!A1" display="2.1.02.604" xr:uid="{6595DE74-2FA1-4E38-AAB9-DFDB97B18F60}"/>
    <hyperlink ref="A46" location="'Otros Pasivos'!A1" display="2.1.02.605" xr:uid="{28F2AC0F-CB87-4D20-A9E1-C8F3C28D5548}"/>
    <hyperlink ref="A47" location="'IVA por pagar del mes'!A1" display="2.1.05.101" xr:uid="{2C583B59-888B-4004-9E28-C443AC4D2450}"/>
    <hyperlink ref="A48" location="'IVA por pagar del mes'!A1" display="2.1.05.102" xr:uid="{2808734C-ABB9-4237-B6FC-5A260178BB7E}"/>
    <hyperlink ref="A49" location="'IVA por pagar del mes'!A1" display="2.1.05.103" xr:uid="{59626565-7A76-4BC9-987B-98825C79DFE2}"/>
    <hyperlink ref="A50" location="'IVA por pagar del mes'!A1" display="2.1.05.106" xr:uid="{474CD37F-F375-4C1C-9C5C-34FADE35266A}"/>
    <hyperlink ref="A51" location="'Otros Pasivos'!A1" display="2.1.06.103" xr:uid="{1D6AD34A-F4DC-4EBD-AE2F-7AB7A92967B6}"/>
    <hyperlink ref="A52" location="Patrimonio!A1" display="2.3.01.101" xr:uid="{D1EFE023-3721-4A94-8659-942F5C7B1982}"/>
    <hyperlink ref="A53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5" location="'Activo fijo'!A1" display="1.2.02.404" xr:uid="{89D114AC-90CC-4F20-88DC-A7A8D7D2B307}"/>
    <hyperlink ref="A10" location="'Cajas y Bancos'!A1" display="1.1.01.209" xr:uid="{26ADDEC5-FBE1-4861-B7D3-20456E93DE5E}"/>
    <hyperlink ref="A39" location="'Acreedores Diversos'!A1" display="2.1.01.601" xr:uid="{BCFEEA75-D0DE-4D8E-B2B4-A5FBAF205F2C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0895-2D0F-41AA-AE69-4F7A5858E42E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43EC52-3059-4652-9679-79E31B705B88}"/>
</file>

<file path=customXml/itemProps2.xml><?xml version="1.0" encoding="utf-8"?>
<ds:datastoreItem xmlns:ds="http://schemas.openxmlformats.org/officeDocument/2006/customXml" ds:itemID="{AD6C6EC1-D08F-4C57-B7F7-F3A99C420661}"/>
</file>

<file path=customXml/itemProps3.xml><?xml version="1.0" encoding="utf-8"?>
<ds:datastoreItem xmlns:ds="http://schemas.openxmlformats.org/officeDocument/2006/customXml" ds:itemID="{11AC84C6-8625-44D9-9F90-36F7F56A2D14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2026-02-18T16:31:19Z</dcterms:created>
  <dcterms:modified xsi:type="dcterms:W3CDTF">2026-02-18T16:33:30Z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