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 ene 2026/hojas de trabajo/"/>
    </mc:Choice>
  </mc:AlternateContent>
  <xr:revisionPtr revIDLastSave="0" documentId="8_{B2B0E276-3AE8-46DF-BE3A-53B69271C843}" xr6:coauthVersionLast="47" xr6:coauthVersionMax="47" xr10:uidLastSave="{00000000-0000-0000-0000-000000000000}"/>
  <bookViews>
    <workbookView xWindow="20525" yWindow="-107" windowWidth="20848" windowHeight="11100" xr2:uid="{B4C24CAB-2731-42D9-A78B-C643F146CD50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4" i="1" l="1"/>
  <c r="B65" i="1"/>
  <c r="B66" i="1"/>
  <c r="B67" i="1"/>
  <c r="B68" i="1"/>
  <c r="B69" i="1"/>
  <c r="B70" i="1"/>
  <c r="A70" i="1" s="1"/>
  <c r="B71" i="1"/>
  <c r="A71" i="1" s="1"/>
  <c r="B72" i="1"/>
  <c r="A72" i="1" s="1"/>
  <c r="B73" i="1"/>
  <c r="A73" i="1" s="1"/>
  <c r="B74" i="1"/>
  <c r="A74" i="1" s="1"/>
  <c r="B75" i="1"/>
  <c r="A75" i="1" s="1"/>
  <c r="B76" i="1"/>
  <c r="B77" i="1"/>
  <c r="B78" i="1"/>
  <c r="B79" i="1"/>
  <c r="B80" i="1"/>
  <c r="B81" i="1"/>
  <c r="B82" i="1"/>
  <c r="B83" i="1"/>
  <c r="B84" i="1"/>
  <c r="B85" i="1"/>
  <c r="A85" i="1" s="1"/>
  <c r="B86" i="1"/>
  <c r="A86" i="1" s="1"/>
  <c r="B87" i="1"/>
  <c r="A87" i="1" s="1"/>
  <c r="B88" i="1"/>
  <c r="B89" i="1"/>
  <c r="B90" i="1"/>
  <c r="B91" i="1"/>
  <c r="B92" i="1"/>
  <c r="A92" i="1" s="1"/>
  <c r="B93" i="1"/>
  <c r="A93" i="1" s="1"/>
  <c r="B94" i="1"/>
  <c r="A94" i="1" s="1"/>
  <c r="B95" i="1"/>
  <c r="A95" i="1" s="1"/>
  <c r="B96" i="1"/>
  <c r="A96" i="1" s="1"/>
  <c r="B97" i="1"/>
  <c r="A97" i="1" s="1"/>
  <c r="B98" i="1"/>
  <c r="A98" i="1" s="1"/>
  <c r="B99" i="1"/>
  <c r="A99" i="1" s="1"/>
  <c r="B100" i="1"/>
  <c r="B101" i="1"/>
  <c r="B102" i="1"/>
  <c r="B103" i="1"/>
  <c r="B104" i="1"/>
  <c r="B105" i="1"/>
  <c r="A105" i="1" s="1"/>
  <c r="B106" i="1"/>
  <c r="B107" i="1"/>
  <c r="A107" i="1" s="1"/>
  <c r="B108" i="1"/>
  <c r="A108" i="1" s="1"/>
  <c r="B109" i="1"/>
  <c r="A109" i="1" s="1"/>
  <c r="B110" i="1"/>
  <c r="A110" i="1" s="1"/>
  <c r="B111" i="1"/>
  <c r="B3" i="1"/>
  <c r="B4" i="1"/>
  <c r="B5" i="1"/>
  <c r="B6" i="1"/>
  <c r="B7" i="1"/>
  <c r="B8" i="1"/>
  <c r="B9" i="1"/>
  <c r="A9" i="1" s="1"/>
  <c r="B10" i="1"/>
  <c r="A10" i="1" s="1"/>
  <c r="B11" i="1"/>
  <c r="A11" i="1" s="1"/>
  <c r="B12" i="1"/>
  <c r="A12" i="1" s="1"/>
  <c r="B13" i="1"/>
  <c r="A13" i="1" s="1"/>
  <c r="B14" i="1"/>
  <c r="A14" i="1" s="1"/>
  <c r="B15" i="1"/>
  <c r="B16" i="1"/>
  <c r="B17" i="1"/>
  <c r="B18" i="1"/>
  <c r="B19" i="1"/>
  <c r="B20" i="1"/>
  <c r="B21" i="1"/>
  <c r="A21" i="1" s="1"/>
  <c r="B22" i="1"/>
  <c r="B23" i="1"/>
  <c r="B24" i="1"/>
  <c r="A24" i="1" s="1"/>
  <c r="B25" i="1"/>
  <c r="A25" i="1" s="1"/>
  <c r="B26" i="1"/>
  <c r="A26" i="1" s="1"/>
  <c r="B27" i="1"/>
  <c r="A27" i="1" s="1"/>
  <c r="B28" i="1"/>
  <c r="B29" i="1"/>
  <c r="B30" i="1"/>
  <c r="A30" i="1" s="1"/>
  <c r="B31" i="1"/>
  <c r="A31" i="1" s="1"/>
  <c r="B32" i="1"/>
  <c r="A32" i="1" s="1"/>
  <c r="B33" i="1"/>
  <c r="A33" i="1" s="1"/>
  <c r="B34" i="1"/>
  <c r="A34" i="1" s="1"/>
  <c r="B35" i="1"/>
  <c r="A35" i="1" s="1"/>
  <c r="B36" i="1"/>
  <c r="A36" i="1" s="1"/>
  <c r="B37" i="1"/>
  <c r="A37" i="1" s="1"/>
  <c r="B38" i="1"/>
  <c r="A38" i="1" s="1"/>
  <c r="B39" i="1"/>
  <c r="B40" i="1"/>
  <c r="B41" i="1"/>
  <c r="B42" i="1"/>
  <c r="B43" i="1"/>
  <c r="B44" i="1"/>
  <c r="B45" i="1"/>
  <c r="B46" i="1"/>
  <c r="A46" i="1" s="1"/>
  <c r="B47" i="1"/>
  <c r="A47" i="1" s="1"/>
  <c r="B48" i="1"/>
  <c r="A48" i="1" s="1"/>
  <c r="B49" i="1"/>
  <c r="A49" i="1" s="1"/>
  <c r="B50" i="1"/>
  <c r="A50" i="1" s="1"/>
  <c r="B51" i="1"/>
  <c r="A51" i="1" s="1"/>
  <c r="B52" i="1"/>
  <c r="A52" i="1" s="1"/>
  <c r="B53" i="1"/>
  <c r="A53" i="1" s="1"/>
  <c r="B54" i="1"/>
  <c r="B55" i="1"/>
  <c r="A55" i="1" s="1"/>
  <c r="B56" i="1"/>
  <c r="A56" i="1" s="1"/>
  <c r="B57" i="1"/>
  <c r="A57" i="1" s="1"/>
  <c r="B58" i="1"/>
  <c r="A58" i="1" s="1"/>
  <c r="B59" i="1"/>
  <c r="A59" i="1" s="1"/>
  <c r="B60" i="1"/>
  <c r="A60" i="1" s="1"/>
  <c r="B61" i="1"/>
  <c r="A61" i="1" s="1"/>
  <c r="B62" i="1"/>
  <c r="A62" i="1" s="1"/>
  <c r="B63" i="1"/>
  <c r="A77" i="1"/>
  <c r="A80" i="1"/>
  <c r="A81" i="1"/>
  <c r="A82" i="1"/>
  <c r="A83" i="1"/>
  <c r="A84" i="1"/>
  <c r="A91" i="1"/>
  <c r="A100" i="1"/>
  <c r="A101" i="1"/>
  <c r="A39" i="1"/>
  <c r="A40" i="1"/>
  <c r="A41" i="1"/>
  <c r="A42" i="1"/>
  <c r="A43" i="1"/>
  <c r="A44" i="1"/>
  <c r="A45" i="1"/>
  <c r="A54" i="1"/>
  <c r="A63" i="1"/>
  <c r="A64" i="1"/>
  <c r="A65" i="1"/>
  <c r="A66" i="1"/>
  <c r="A67" i="1"/>
  <c r="A68" i="1"/>
  <c r="A69" i="1"/>
  <c r="A78" i="1"/>
  <c r="A79" i="1"/>
  <c r="A104" i="1"/>
  <c r="A3" i="1"/>
  <c r="A4" i="1"/>
  <c r="A5" i="1"/>
  <c r="A6" i="1"/>
  <c r="A7" i="1"/>
  <c r="A8" i="1"/>
  <c r="A15" i="1"/>
  <c r="A16" i="1"/>
  <c r="A17" i="1"/>
  <c r="A18" i="1"/>
  <c r="A19" i="1"/>
  <c r="A20" i="1"/>
  <c r="A22" i="1"/>
  <c r="A23" i="1"/>
  <c r="A28" i="1"/>
  <c r="A29" i="1"/>
  <c r="A76" i="1"/>
  <c r="A88" i="1"/>
  <c r="A89" i="1"/>
  <c r="A90" i="1"/>
  <c r="A102" i="1"/>
  <c r="A103" i="1"/>
  <c r="A106" i="1"/>
  <c r="B2" i="1"/>
  <c r="A2" i="1" s="1"/>
</calcChain>
</file>

<file path=xl/sharedStrings.xml><?xml version="1.0" encoding="utf-8"?>
<sst xmlns="http://schemas.openxmlformats.org/spreadsheetml/2006/main" count="348" uniqueCount="233">
  <si>
    <t>Item</t>
  </si>
  <si>
    <t>Cuenta</t>
  </si>
  <si>
    <t>Nombre Cuenta.</t>
  </si>
  <si>
    <t>Debitos</t>
  </si>
  <si>
    <t>Creditos</t>
  </si>
  <si>
    <t>Sal. Deudor</t>
  </si>
  <si>
    <t>Sal. Acreedor</t>
  </si>
  <si>
    <t>Activos</t>
  </si>
  <si>
    <t>Pasivos</t>
  </si>
  <si>
    <t>Pérdidas</t>
  </si>
  <si>
    <t>Ganancias</t>
  </si>
  <si>
    <t>1.1.01.101</t>
  </si>
  <si>
    <t>EFECTIVO EN TRANSITO</t>
  </si>
  <si>
    <t>1.1.01.203</t>
  </si>
  <si>
    <t>FONDO FIJO PLAZA EGAÑA</t>
  </si>
  <si>
    <t>1.1.01.204</t>
  </si>
  <si>
    <t>FONDO FIJO VESPUCIO</t>
  </si>
  <si>
    <t>1.1.01.205</t>
  </si>
  <si>
    <t>FONDO FIJO TREBOL</t>
  </si>
  <si>
    <t>1.1.01.206</t>
  </si>
  <si>
    <t>FONDO FIJO COSTANERA CENTER</t>
  </si>
  <si>
    <t>1.1.01.207</t>
  </si>
  <si>
    <t>FONDO FIJO FLORIDA CENTER</t>
  </si>
  <si>
    <t>1.1.01.208</t>
  </si>
  <si>
    <t>FONDO FIJO SANTIAGO CENTRO</t>
  </si>
  <si>
    <t>1.1.01.209</t>
  </si>
  <si>
    <t>FONDO FIJO CONCEPCION CENTRO</t>
  </si>
  <si>
    <t>1.1.01.210</t>
  </si>
  <si>
    <t>FONDO FIJO TALCA</t>
  </si>
  <si>
    <t>1.1.01.211</t>
  </si>
  <si>
    <t>FONSO FIJO PLAZA NORTE</t>
  </si>
  <si>
    <t>1.1.01.212</t>
  </si>
  <si>
    <t>FONDO FIJO PLAZA OESTE</t>
  </si>
  <si>
    <t>1.1.01.301</t>
  </si>
  <si>
    <t>BANCOS CTA CTE $</t>
  </si>
  <si>
    <t>1.1.01.302</t>
  </si>
  <si>
    <t>BANCOS CTA CTE US$</t>
  </si>
  <si>
    <t>1.1.02.106</t>
  </si>
  <si>
    <t>DEPOSITO A PLAZO CORREDORA</t>
  </si>
  <si>
    <t>1.1.03.201</t>
  </si>
  <si>
    <t>GASTOS PAGADOS POR ANTICIPADO</t>
  </si>
  <si>
    <t>1.1.04.102</t>
  </si>
  <si>
    <t>CLIENTES BOLETAS</t>
  </si>
  <si>
    <t>1.1.04.104</t>
  </si>
  <si>
    <t>FONDOS POR RENDIR</t>
  </si>
  <si>
    <t>1.1.04.105</t>
  </si>
  <si>
    <t>TRANSBANK POR COBRAR TC</t>
  </si>
  <si>
    <t>1.1.04.106</t>
  </si>
  <si>
    <t>TRANSBANK POR COBRAR TD</t>
  </si>
  <si>
    <t>1.1.04.108</t>
  </si>
  <si>
    <t>GIFTCARD</t>
  </si>
  <si>
    <t>1.1.04.109</t>
  </si>
  <si>
    <t>ECOMMERCE</t>
  </si>
  <si>
    <t>1.1.04.112</t>
  </si>
  <si>
    <t>GETNET TC</t>
  </si>
  <si>
    <t>1.1.04.113</t>
  </si>
  <si>
    <t>GETNET TD/ PREPAGO</t>
  </si>
  <si>
    <t>1.1.04.200</t>
  </si>
  <si>
    <t>CUENTAS POR COBRAR</t>
  </si>
  <si>
    <t>1.1.05.403</t>
  </si>
  <si>
    <t>ANTICIPO PROVEEDORES</t>
  </si>
  <si>
    <t>1.1.05.405</t>
  </si>
  <si>
    <t>ANTICIPO AGENCIA DE ADUANAS</t>
  </si>
  <si>
    <t>1.1.06.401</t>
  </si>
  <si>
    <t>EXISTENCIAS NACIONALES</t>
  </si>
  <si>
    <t>1.1.06.801</t>
  </si>
  <si>
    <t>MERCADERIA EN TRANSITO</t>
  </si>
  <si>
    <t>1.1.06.802</t>
  </si>
  <si>
    <t>MERCADERIA EN TRANSITO USD</t>
  </si>
  <si>
    <t>1.1.09.101</t>
  </si>
  <si>
    <t>IVA CREDITO FISCAL (COMPRAS)</t>
  </si>
  <si>
    <t>1.1.09.103</t>
  </si>
  <si>
    <t>REMANENTE IVA CREDITO FISCAL</t>
  </si>
  <si>
    <t>1.2.02.101</t>
  </si>
  <si>
    <t>GARANTIAS DE ARRIENDO</t>
  </si>
  <si>
    <t>1.2.02.401</t>
  </si>
  <si>
    <t>MUEBLES, UTILES Y OTROS</t>
  </si>
  <si>
    <t>1.2.02.402</t>
  </si>
  <si>
    <t>EQUIPOS COMPUTACIONALES</t>
  </si>
  <si>
    <t>1.2.02.405</t>
  </si>
  <si>
    <t>ACTIVO EN CONSTRUCCION</t>
  </si>
  <si>
    <t>1.2.02.904</t>
  </si>
  <si>
    <t>DEPRECIACION ACUMULADA MUEBLES Y UTILES</t>
  </si>
  <si>
    <t>1.2.02.905</t>
  </si>
  <si>
    <t>DEPRECIACION ACUMULADA EQUIPOS COMPUTACIONALES</t>
  </si>
  <si>
    <t>2.1.01.203</t>
  </si>
  <si>
    <t>PRESTAMOS NO BANCARIOS MONTO A</t>
  </si>
  <si>
    <t>2.1.01.204</t>
  </si>
  <si>
    <t>CUENTAS POR PAGAR</t>
  </si>
  <si>
    <t>2.1.01.601</t>
  </si>
  <si>
    <t>TARJETA CREDITO CLP</t>
  </si>
  <si>
    <t>2.1.02.102</t>
  </si>
  <si>
    <t>PROVEEDORES US$</t>
  </si>
  <si>
    <t>2.1.02.103</t>
  </si>
  <si>
    <t>PROVEEDORES $</t>
  </si>
  <si>
    <t>2.1.02.401</t>
  </si>
  <si>
    <t>HONORARIOS POR PAGAR</t>
  </si>
  <si>
    <t>2.1.02.503</t>
  </si>
  <si>
    <t>PREVIRED POR PAGAR</t>
  </si>
  <si>
    <t>2.1.02.604</t>
  </si>
  <si>
    <t>ACREEDORES VARIOS</t>
  </si>
  <si>
    <t>2.1.02.605</t>
  </si>
  <si>
    <t>PROVISIONES VARIAS</t>
  </si>
  <si>
    <t>2.1.05.101</t>
  </si>
  <si>
    <t>IMPUESTO ÚNICO TRABAJADORES</t>
  </si>
  <si>
    <t>2.1.05.102</t>
  </si>
  <si>
    <t>RETENCION DE HONORARIOS</t>
  </si>
  <si>
    <t>2.1.05.103</t>
  </si>
  <si>
    <t>IVA DEBITO FISCAL (VENTAS)</t>
  </si>
  <si>
    <t>2.1.05.106</t>
  </si>
  <si>
    <t>IMPUESTO POR PAGAR FORM. 29</t>
  </si>
  <si>
    <t>2.1.06.103</t>
  </si>
  <si>
    <t>SUELDOS POR PAGAR</t>
  </si>
  <si>
    <t>2.3.01.101</t>
  </si>
  <si>
    <t>CAPITAL</t>
  </si>
  <si>
    <t>2.3.02.101</t>
  </si>
  <si>
    <t>RESULTADOS ACUMULADOS</t>
  </si>
  <si>
    <t>3.1.02.101</t>
  </si>
  <si>
    <t>COSTO DE VENTAS</t>
  </si>
  <si>
    <t>3.1.02.102</t>
  </si>
  <si>
    <t>COSTOS OPERATIVOS - FLETES INTERNOS</t>
  </si>
  <si>
    <t>3.1.02.104</t>
  </si>
  <si>
    <t>COMISIÓN - CANAL DIGITAL</t>
  </si>
  <si>
    <t>3.1.02.105</t>
  </si>
  <si>
    <t>FLETES - CANAL DIGITAL</t>
  </si>
  <si>
    <t>3.1.02.108</t>
  </si>
  <si>
    <t>SERVICIOS  - CANAL DIGITAL</t>
  </si>
  <si>
    <t>3.1.02.109</t>
  </si>
  <si>
    <t>DESCUENTOS GIFTCARD</t>
  </si>
  <si>
    <t>3.1.02.110</t>
  </si>
  <si>
    <t>DESCUENTOS CLUB FLEXI</t>
  </si>
  <si>
    <t>3.1.02.113</t>
  </si>
  <si>
    <t>COSTOS OPERATIVOS - INTERNACIO</t>
  </si>
  <si>
    <t>3.1.05.101</t>
  </si>
  <si>
    <t>REMUNERACIONES</t>
  </si>
  <si>
    <t>3.1.05.102</t>
  </si>
  <si>
    <t>BONOS</t>
  </si>
  <si>
    <t>3.1.05.103</t>
  </si>
  <si>
    <t>SEGURO DE CESANTIA</t>
  </si>
  <si>
    <t>3.1.05.104</t>
  </si>
  <si>
    <t>GRATIFICACION</t>
  </si>
  <si>
    <t>3.1.05.107</t>
  </si>
  <si>
    <t>FINIQUITOS</t>
  </si>
  <si>
    <t>3.1.05.110</t>
  </si>
  <si>
    <t>MUTUAL DE SEGURIDAD</t>
  </si>
  <si>
    <t>3.1.05.111</t>
  </si>
  <si>
    <t>SEGURO INVALIDEZ (AFP)</t>
  </si>
  <si>
    <t>3.1.05.112</t>
  </si>
  <si>
    <t>CAPITALIZACION INDIVIDUAL AFP</t>
  </si>
  <si>
    <t>3.1.05.113</t>
  </si>
  <si>
    <t>EXPECTATIVA DE VIDA</t>
  </si>
  <si>
    <t>3.1.05.117</t>
  </si>
  <si>
    <t>DOMINGOS Y FESTIVOS</t>
  </si>
  <si>
    <t>3.1.05.121</t>
  </si>
  <si>
    <t>SEMANA CORRIDA</t>
  </si>
  <si>
    <t>3.1.05.122</t>
  </si>
  <si>
    <t>COMISION POR VENTA</t>
  </si>
  <si>
    <t>3.1.06.108</t>
  </si>
  <si>
    <t>ASIGNACION COLACION</t>
  </si>
  <si>
    <t>3.1.06.109</t>
  </si>
  <si>
    <t>ASIGNACION MOVILIZACION</t>
  </si>
  <si>
    <t>3.1.06.116</t>
  </si>
  <si>
    <t>UNIFORMES</t>
  </si>
  <si>
    <t>3.1.06.201</t>
  </si>
  <si>
    <t>HONORARIOS PROFESIONALES</t>
  </si>
  <si>
    <t>3.1.06.206</t>
  </si>
  <si>
    <t>ASESORIA CONTABLE</t>
  </si>
  <si>
    <t>3.1.06.209</t>
  </si>
  <si>
    <t>HONORARIOS POR ASESORIAS INFORMATICAS</t>
  </si>
  <si>
    <t>3.1.06.301</t>
  </si>
  <si>
    <t>ARRIENDOS</t>
  </si>
  <si>
    <t>3.1.06.302</t>
  </si>
  <si>
    <t>ARRIENDO DE BODEGAS</t>
  </si>
  <si>
    <t>3.1.06.305</t>
  </si>
  <si>
    <t>GASTOS DIVERSOS</t>
  </si>
  <si>
    <t>3.1.06.401</t>
  </si>
  <si>
    <t>SERVICIOS DE TELECOMUNICACION</t>
  </si>
  <si>
    <t>3.1.06.406</t>
  </si>
  <si>
    <t>GASTOS DE TELEFONIA MOVIL</t>
  </si>
  <si>
    <t>3.1.06.501</t>
  </si>
  <si>
    <t>PATENTE COMERCIAL</t>
  </si>
  <si>
    <t>3.1.06.504</t>
  </si>
  <si>
    <t>IVA IRRECUPERABLE</t>
  </si>
  <si>
    <t>3.1.06.505</t>
  </si>
  <si>
    <t>MULTAS E INTERESES</t>
  </si>
  <si>
    <t>3.1.06.506</t>
  </si>
  <si>
    <t>SEGUROS</t>
  </si>
  <si>
    <t>3.1.06.507</t>
  </si>
  <si>
    <t>SERVICIO DE VIGILANCIA</t>
  </si>
  <si>
    <t>3.1.06.601</t>
  </si>
  <si>
    <t>GASTO MANTENCION SUCURSALES</t>
  </si>
  <si>
    <t>3.1.06.602</t>
  </si>
  <si>
    <t>BOLSA IMPRESA</t>
  </si>
  <si>
    <t>3.1.06.803</t>
  </si>
  <si>
    <t>UTILES DE OFICINA Y PAPELERIA</t>
  </si>
  <si>
    <t>3.1.06.806</t>
  </si>
  <si>
    <t>COMISIONES Y GASTOS BANCARIOS</t>
  </si>
  <si>
    <t>3.1.06.812</t>
  </si>
  <si>
    <t>COMISIONES TRANSBANK</t>
  </si>
  <si>
    <t>3.1.06.813</t>
  </si>
  <si>
    <t>COMISIONES GETNET</t>
  </si>
  <si>
    <t>3.1.06.817</t>
  </si>
  <si>
    <t>GASTOS DE REPRESENTACION</t>
  </si>
  <si>
    <t>3.1.06.818</t>
  </si>
  <si>
    <t>LICENCIAS SOTWARE RENTAS</t>
  </si>
  <si>
    <t>3.1.06.831</t>
  </si>
  <si>
    <t>MEMBRESÍAS Y ASOCIACIONES</t>
  </si>
  <si>
    <t>3.1.06.837</t>
  </si>
  <si>
    <t>MONITOREO COMERCIAL</t>
  </si>
  <si>
    <t>3.1.07.822</t>
  </si>
  <si>
    <t>GASTOS DE PUBLICIDAD Y MARKETING</t>
  </si>
  <si>
    <t>3.1.07.833</t>
  </si>
  <si>
    <t xml:space="preserve">SUMINISTROS VISUAL </t>
  </si>
  <si>
    <t>3.1.08.701</t>
  </si>
  <si>
    <t>DEPRECIACION DEL EJERCICIO</t>
  </si>
  <si>
    <t>3.2.08.105</t>
  </si>
  <si>
    <t xml:space="preserve">INTERESES POR PRESTAMO </t>
  </si>
  <si>
    <t>3.2.08.116</t>
  </si>
  <si>
    <t>INTERES GANADO POR DEPOSITO A PLAZO PESOS</t>
  </si>
  <si>
    <t>3.2.11.158</t>
  </si>
  <si>
    <t>DIFERENCIA DE CAMBIO</t>
  </si>
  <si>
    <t>3.2.13.101</t>
  </si>
  <si>
    <t>CORRECCION MONETARIA ACTIVOS</t>
  </si>
  <si>
    <t>3.2.13.109</t>
  </si>
  <si>
    <t>AJUSTE REDONDEO AUTO</t>
  </si>
  <si>
    <t>3.1.01.103</t>
  </si>
  <si>
    <t>VENTAS CON BOLETA (RPA)</t>
  </si>
  <si>
    <t>3.1.01.300</t>
  </si>
  <si>
    <t>OTROS INGRESOS</t>
  </si>
  <si>
    <t>TOT</t>
  </si>
  <si>
    <t>SUMAS</t>
  </si>
  <si>
    <t>UTILIDAD O PERDIDA DEL EJERCICIO</t>
  </si>
  <si>
    <t>SUMAS IGUALES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</si>
</sst>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5" formatCode="_ * #,##0_ ;_ * \-#,##0_ ;_ * &quot;-&quot;_ ;_ @_ "/>
    <numFmt numFmtId="167" formatCode="_ * #,##0.00_ ;_ * \-#,##0.00_ ;_ * &quot;-&quot;??_ ;_ @_ "/>
    <numFmt numFmtId="168" formatCode="_-* #,##0_-;\-* #,##0_-;_-* &quot;-&quot;_-;_-@_-"/>
    <numFmt numFmtId="169" formatCode="_-* #,##0.00_-;\-* #,##0.00_-;_-* &quot;-&quot;??_-;_-@_-"/>
    <numFmt numFmtId="170" formatCode="_-&quot;$&quot;\ * #,##0_-;\-&quot;$&quot;\ * #,##0_-;_-&quot;$&quot;\ * &quot;-&quot;_-;_-@_-"/>
  </numFmts>
  <fonts count="2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color indexed="9"/>
      <name val="Czcionka tekstu podstawowego"/>
      <family val="2"/>
      <charset val="238"/>
    </font>
    <font>
      <sz val="8"/>
      <name val="ＭＳ Ｐゴシック"/>
      <family val="3"/>
      <charset val="128"/>
    </font>
    <font>
      <sz val="10"/>
      <name val="Arial"/>
      <family val="2"/>
    </font>
    <font>
      <sz val="10"/>
      <name val="Times New Roman"/>
      <family val="1"/>
    </font>
    <font>
      <u/>
      <sz val="11"/>
      <color theme="1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1"/>
      <color rgb="FF000000"/>
      <name val="Calibri"/>
      <family val="2"/>
    </font>
    <font>
      <sz val="11"/>
      <name val="Book Antiqua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0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5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33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0" fontId="23" fillId="0" borderId="0" applyNumberFormat="0" applyFill="0" applyBorder="0" applyAlignment="0" applyProtection="0"/>
    <xf numFmtId="167" fontId="1" fillId="0" borderId="0" applyFont="0" applyFill="0" applyBorder="0" applyAlignment="0" applyProtection="0"/>
    <xf numFmtId="168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4" fillId="4" borderId="0" applyNumberFormat="0" applyBorder="0" applyAlignment="0" applyProtection="0"/>
    <xf numFmtId="0" fontId="1" fillId="0" borderId="0"/>
    <xf numFmtId="0" fontId="21" fillId="0" borderId="0"/>
    <xf numFmtId="0" fontId="20" fillId="0" borderId="0" applyNumberFormat="0" applyFill="0" applyBorder="0">
      <alignment vertical="center"/>
    </xf>
    <xf numFmtId="0" fontId="22" fillId="0" borderId="0"/>
    <xf numFmtId="0" fontId="1" fillId="0" borderId="0"/>
    <xf numFmtId="0" fontId="20" fillId="0" borderId="0" applyNumberFormat="0" applyFill="0" applyBorder="0">
      <alignment vertical="center"/>
    </xf>
    <xf numFmtId="0" fontId="25" fillId="0" borderId="0"/>
    <xf numFmtId="169" fontId="18" fillId="0" borderId="0" applyFont="0" applyFill="0" applyBorder="0" applyAlignment="0" applyProtection="0"/>
    <xf numFmtId="43" fontId="22" fillId="0" borderId="0" applyFont="0" applyFill="0" applyBorder="0" applyAlignment="0" applyProtection="0"/>
    <xf numFmtId="170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8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1" fillId="0" borderId="0" applyFont="0" applyFill="0" applyBorder="0" applyAlignment="0" applyProtection="0"/>
    <xf numFmtId="0" fontId="24" fillId="4" borderId="0" applyNumberFormat="0" applyBorder="0" applyAlignment="0" applyProtection="0"/>
    <xf numFmtId="169" fontId="18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12">
    <xf numFmtId="0" fontId="0" fillId="0" borderId="0" xfId="0"/>
    <xf numFmtId="0" fontId="17" fillId="0" borderId="0" xfId="0" applyFont="1"/>
    <xf numFmtId="0" fontId="17" fillId="0" borderId="0" xfId="0" applyFont="1" applyAlignment="1">
      <alignment horizontal="left"/>
    </xf>
    <xf numFmtId="0" fontId="0" fillId="0" borderId="0" xfId="0" applyAlignment="1">
      <alignment horizontal="left"/>
    </xf>
    <xf numFmtId="0" fontId="17" fillId="0" borderId="0" xfId="0" applyFont="1" applyAlignment="1">
      <alignment horizontal="right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0" fillId="0" borderId="0" xfId="0"/>
    <xf numFmtId="0" fontId="26" fillId="34" borderId="10" xfId="0" applyFont="1" applyFill="1" applyBorder="1" applyAlignment="1">
      <alignment horizontal="right"/>
    </xf>
    <xf numFmtId="0" fontId="23" fillId="34" borderId="10" xfId="42" applyFill="1" applyBorder="1" applyAlignment="1">
      <alignment horizontal="right"/>
    </xf>
    <xf numFmtId="0" fontId="26" fillId="0" borderId="10" xfId="0" applyFont="1" applyBorder="1" applyAlignment="1">
      <alignment horizontal="right"/>
    </xf>
  </cellXfs>
  <cellStyles count="1450">
    <cellStyle name="20% - Énfasis1" xfId="18" builtinId="30" customBuiltin="1"/>
    <cellStyle name="20% - Énfasis2" xfId="21" builtinId="34" customBuiltin="1"/>
    <cellStyle name="20% - Énfasis3" xfId="24" builtinId="38" customBuiltin="1"/>
    <cellStyle name="20% - Énfasis4" xfId="27" builtinId="42" customBuiltin="1"/>
    <cellStyle name="20% - Énfasis5" xfId="30" builtinId="46" customBuiltin="1"/>
    <cellStyle name="20% - Énfasis6" xfId="33" builtinId="50" customBuiltin="1"/>
    <cellStyle name="40% - Énfasis1" xfId="19" builtinId="31" customBuiltin="1"/>
    <cellStyle name="40% - Énfasis2" xfId="22" builtinId="35" customBuiltin="1"/>
    <cellStyle name="40% - Énfasis3" xfId="25" builtinId="39" customBuiltin="1"/>
    <cellStyle name="40% - Énfasis4" xfId="28" builtinId="43" customBuiltin="1"/>
    <cellStyle name="40% - Énfasis5" xfId="31" builtinId="47" customBuiltin="1"/>
    <cellStyle name="40% - Énfasis6" xfId="34" builtinId="51" customBuiltin="1"/>
    <cellStyle name="60% - akcent 1" xfId="35" xr:uid="{BD25921D-54B2-475C-8D20-CFBB99D70555}"/>
    <cellStyle name="60% - Énfasis1 10" xfId="36" xr:uid="{C92A18A9-F590-4B45-93B2-B3023652BE56}"/>
    <cellStyle name="60% - Énfasis1 2" xfId="65" xr:uid="{64492BAD-B633-4132-A748-2F3CE0CDCA92}"/>
    <cellStyle name="60% - Énfasis1 3" xfId="83" xr:uid="{144653DB-A9EA-47D4-9A48-814BBF8289CB}"/>
    <cellStyle name="60% - Énfasis1 4" xfId="112" xr:uid="{0B1B2B42-AAE2-428C-81E8-B02661FA3216}"/>
    <cellStyle name="60% - Énfasis1 5" xfId="162" xr:uid="{21C72746-1F96-461E-A378-10BD7AB0DDF0}"/>
    <cellStyle name="60% - Énfasis1 6" xfId="251" xr:uid="{28A94E32-6087-43A4-85AF-CEE1A3679442}"/>
    <cellStyle name="60% - Énfasis1 7" xfId="266" xr:uid="{79ACEBC1-4147-4AEC-AF13-E34B67D11889}"/>
    <cellStyle name="60% - Énfasis1 8" xfId="439" xr:uid="{D11C5941-E411-4A57-B37E-B9B9CB2C9EE9}"/>
    <cellStyle name="60% - Énfasis1 9" xfId="778" xr:uid="{7D96A14C-01F7-415E-AE9F-32409BCB39B8}"/>
    <cellStyle name="60% - Énfasis2 10" xfId="37" xr:uid="{7DE1D008-CCA8-4055-B6F6-605600AD5F0D}"/>
    <cellStyle name="60% - Énfasis2 2" xfId="66" xr:uid="{CDF24B9C-9BF2-4C00-AB71-8A95B64C3AD1}"/>
    <cellStyle name="60% - Énfasis2 3" xfId="84" xr:uid="{C72C8999-FD8B-4F22-9F65-F1387F5E9FAA}"/>
    <cellStyle name="60% - Énfasis2 4" xfId="113" xr:uid="{EDB96292-A6B0-43B4-9A7F-94391D959B0A}"/>
    <cellStyle name="60% - Énfasis2 5" xfId="163" xr:uid="{842E9D4F-D18B-4C84-98C3-BAB3EABFDE30}"/>
    <cellStyle name="60% - Énfasis2 6" xfId="252" xr:uid="{4AAA915C-ADCC-4DB7-A9D6-FF6DD82C5BC3}"/>
    <cellStyle name="60% - Énfasis2 7" xfId="267" xr:uid="{EB38C429-7244-42F8-AB1B-6EDD88677AD6}"/>
    <cellStyle name="60% - Énfasis2 8" xfId="440" xr:uid="{41BE9448-0D3E-40FC-B85B-D2805CDA86F4}"/>
    <cellStyle name="60% - Énfasis2 9" xfId="779" xr:uid="{D0468FAC-AED2-429C-ACA9-6C1B5019DF4A}"/>
    <cellStyle name="60% - Énfasis3 10" xfId="38" xr:uid="{D62512EB-F19B-4750-AC1B-2ACFFA38161E}"/>
    <cellStyle name="60% - Énfasis3 2" xfId="67" xr:uid="{D36E941A-483D-4469-AD20-8332BE16580B}"/>
    <cellStyle name="60% - Énfasis3 3" xfId="85" xr:uid="{4DC849A1-2AA7-4FD9-9EE2-1D5F2198663F}"/>
    <cellStyle name="60% - Énfasis3 4" xfId="114" xr:uid="{2703792A-A8D0-4C2A-BC23-CDAB45B0AE6F}"/>
    <cellStyle name="60% - Énfasis3 5" xfId="164" xr:uid="{A05671F4-2AE8-4E8C-8FEB-80EA84794D24}"/>
    <cellStyle name="60% - Énfasis3 6" xfId="253" xr:uid="{FE629CA7-7BA6-444A-B71A-E352A326C143}"/>
    <cellStyle name="60% - Énfasis3 7" xfId="268" xr:uid="{03A9D13D-F12D-4BAF-93FD-D731CCF01395}"/>
    <cellStyle name="60% - Énfasis3 8" xfId="441" xr:uid="{B5D4D72D-A34C-46EF-A8ED-A54364F2DCA8}"/>
    <cellStyle name="60% - Énfasis3 9" xfId="780" xr:uid="{88691606-A6D1-47BC-8FEE-1731371D1A1E}"/>
    <cellStyle name="60% - Énfasis4 10" xfId="39" xr:uid="{567894B3-6B50-4F72-B5BA-FAF2F2917EBF}"/>
    <cellStyle name="60% - Énfasis4 2" xfId="68" xr:uid="{23931A9F-4628-4328-B117-0C09EAF9F14D}"/>
    <cellStyle name="60% - Énfasis4 3" xfId="86" xr:uid="{CA92F82D-9AE0-47E1-B52B-965049E702C4}"/>
    <cellStyle name="60% - Énfasis4 4" xfId="115" xr:uid="{DE1B073D-B546-4E7B-ACA3-E2ACF013910E}"/>
    <cellStyle name="60% - Énfasis4 5" xfId="165" xr:uid="{4DC2C864-C7D7-4504-B5C1-CB84223BB604}"/>
    <cellStyle name="60% - Énfasis4 6" xfId="254" xr:uid="{7835F28E-D5DB-4EC2-A9CA-46C5BB7576B3}"/>
    <cellStyle name="60% - Énfasis4 7" xfId="269" xr:uid="{613DA418-51B4-4BBC-97A8-C2E0B2585C14}"/>
    <cellStyle name="60% - Énfasis4 8" xfId="442" xr:uid="{2E440394-034C-4C50-8B35-C62D2BF798AB}"/>
    <cellStyle name="60% - Énfasis4 9" xfId="781" xr:uid="{BA5977A4-685B-4ABE-8544-3374BDB40E93}"/>
    <cellStyle name="60% - Énfasis5 10" xfId="40" xr:uid="{88C71925-C5D6-47A6-B63D-80F01551D8E2}"/>
    <cellStyle name="60% - Énfasis5 2" xfId="69" xr:uid="{DAEA106D-47A5-48D5-B30D-ED9AA667A0CC}"/>
    <cellStyle name="60% - Énfasis5 3" xfId="87" xr:uid="{5593EF7F-CB91-4692-8586-10C2FFD42CE7}"/>
    <cellStyle name="60% - Énfasis5 4" xfId="116" xr:uid="{9116ED94-F7C5-4099-816F-87BA7FF6FF92}"/>
    <cellStyle name="60% - Énfasis5 5" xfId="166" xr:uid="{6D6A3AFE-96CE-4BAC-9F4D-58D28FA195D6}"/>
    <cellStyle name="60% - Énfasis5 6" xfId="255" xr:uid="{1DD7080E-18B0-4C97-A364-91B32548ADC8}"/>
    <cellStyle name="60% - Énfasis5 7" xfId="270" xr:uid="{1C7DE121-60C0-4EFC-B0E2-A83CCA0A5F3A}"/>
    <cellStyle name="60% - Énfasis5 8" xfId="443" xr:uid="{D72BFD8D-AC8D-4866-8B78-F81637FFFBCE}"/>
    <cellStyle name="60% - Énfasis5 9" xfId="782" xr:uid="{4EFE53F1-4CBF-4A28-8B96-D4966F9D84F4}"/>
    <cellStyle name="60% - Énfasis6 10" xfId="41" xr:uid="{7356BC7C-3E20-4534-96CF-197996A339E2}"/>
    <cellStyle name="60% - Énfasis6 2" xfId="70" xr:uid="{E3BBFCBB-F8AD-47FE-AA2E-40980D322175}"/>
    <cellStyle name="60% - Énfasis6 3" xfId="88" xr:uid="{794184AE-95F9-4DA0-92D0-C8E8776A0514}"/>
    <cellStyle name="60% - Énfasis6 4" xfId="117" xr:uid="{103EABB5-F650-44E5-927B-D83F42B31691}"/>
    <cellStyle name="60% - Énfasis6 5" xfId="167" xr:uid="{63A2D9D2-2707-4283-8058-A93767981361}"/>
    <cellStyle name="60% - Énfasis6 6" xfId="256" xr:uid="{6C48EA77-1027-4B3E-A58A-92249FEAC84B}"/>
    <cellStyle name="60% - Énfasis6 7" xfId="271" xr:uid="{2FE54687-D666-407E-9F18-236891485967}"/>
    <cellStyle name="60% - Énfasis6 8" xfId="444" xr:uid="{491C6F36-3B50-4354-A719-AE242F43DCB6}"/>
    <cellStyle name="60% - Énfasis6 9" xfId="783" xr:uid="{70B99198-5DD0-4069-9BA3-2524D41E43FC}"/>
    <cellStyle name="Bueno" xfId="6" builtinId="26" customBuiltin="1"/>
    <cellStyle name="Cálculo" xfId="10" builtinId="22" customBuiltin="1"/>
    <cellStyle name="Celda de comprobación" xfId="12" builtinId="23" customBuiltin="1"/>
    <cellStyle name="Celda vinculada" xfId="11" builtinId="24" customBuiltin="1"/>
    <cellStyle name="Encabezado 1" xfId="2" builtinId="16" customBuiltin="1"/>
    <cellStyle name="Encabezado 4" xfId="5" builtinId="19" customBuiltin="1"/>
    <cellStyle name="Énfasis1" xfId="17" builtinId="29" customBuiltin="1"/>
    <cellStyle name="Énfasis2" xfId="20" builtinId="33" customBuiltin="1"/>
    <cellStyle name="Énfasis3" xfId="23" builtinId="37" customBuiltin="1"/>
    <cellStyle name="Énfasis4" xfId="26" builtinId="41" customBuiltin="1"/>
    <cellStyle name="Énfasis5" xfId="29" builtinId="45" customBuiltin="1"/>
    <cellStyle name="Énfasis6" xfId="32" builtinId="49" customBuiltin="1"/>
    <cellStyle name="Entrada" xfId="8" builtinId="20" customBuiltin="1"/>
    <cellStyle name="Hipervínculo" xfId="42" builtinId="8"/>
    <cellStyle name="Incorrecto" xfId="7" builtinId="27" customBuiltin="1"/>
    <cellStyle name="Millares [0] 10" xfId="175" xr:uid="{5266D704-10BA-4066-9F20-1BC16EA13197}"/>
    <cellStyle name="Millares [0] 10 2" xfId="361" xr:uid="{A15582AD-6FB2-43B9-BE50-A6DF34A1633F}"/>
    <cellStyle name="Millares [0] 10 2 2" xfId="700" xr:uid="{E82B61D8-A2FB-4363-A258-F3B7EA54129C}"/>
    <cellStyle name="Millares [0] 10 2 2 2" xfId="1371" xr:uid="{65FAC34E-49F4-4662-B6B8-A5FC8165D6B8}"/>
    <cellStyle name="Millares [0] 10 2 3" xfId="1039" xr:uid="{A4F371AA-930F-44FE-BA15-92901A0543A6}"/>
    <cellStyle name="Millares [0] 10 3" xfId="534" xr:uid="{8ED95CAB-FF6F-4C1B-93F6-FC046EBAB434}"/>
    <cellStyle name="Millares [0] 10 3 2" xfId="1205" xr:uid="{1F215594-06C6-4C7A-97C4-4206DCC6F955}"/>
    <cellStyle name="Millares [0] 10 4" xfId="873" xr:uid="{67E3ABBD-3A97-42DC-B18C-93FDCB3AF85B}"/>
    <cellStyle name="Millares [0] 11" xfId="265" xr:uid="{8D2C0763-5E29-4914-9EB6-4E290E6904F8}"/>
    <cellStyle name="Millares [0] 11 2" xfId="438" xr:uid="{C240C10B-0A46-4E79-80AE-4A5B1E37F41D}"/>
    <cellStyle name="Millares [0] 11 2 2" xfId="777" xr:uid="{A0A10A01-740D-41F0-A22E-90C3DB3FEF30}"/>
    <cellStyle name="Millares [0] 11 2 2 2" xfId="1448" xr:uid="{D68E26A3-F7E8-4DE8-B178-FE79B40B496B}"/>
    <cellStyle name="Millares [0] 11 2 3" xfId="1116" xr:uid="{921B4562-B6B3-4824-BA69-6FE80917DBAF}"/>
    <cellStyle name="Millares [0] 11 3" xfId="611" xr:uid="{593A0A73-0D24-477E-AF43-9265C02B887D}"/>
    <cellStyle name="Millares [0] 11 3 2" xfId="1282" xr:uid="{50B10DC2-CFB1-43EA-A3BA-A84C0B279961}"/>
    <cellStyle name="Millares [0] 11 4" xfId="950" xr:uid="{FD889112-8C0A-4482-8292-F45D11471D55}"/>
    <cellStyle name="Millares [0] 12" xfId="279" xr:uid="{CEC7ABA4-4139-4A1D-86EB-2492AB2E72F8}"/>
    <cellStyle name="Millares [0] 12 2" xfId="618" xr:uid="{6FA5904A-0CBD-426D-8E7D-1CF89F9521FA}"/>
    <cellStyle name="Millares [0] 12 2 2" xfId="1289" xr:uid="{10966C57-8CA5-464C-95B8-D4D6C06B5CF0}"/>
    <cellStyle name="Millares [0] 12 3" xfId="957" xr:uid="{014ABD24-2153-4F6B-B552-A74B92575133}"/>
    <cellStyle name="Millares [0] 13" xfId="452" xr:uid="{E911B1DF-7848-467A-A9B0-E52E046FD9A1}"/>
    <cellStyle name="Millares [0] 13 2" xfId="1123" xr:uid="{913EAE60-FC68-447B-866A-82F33ACB4D73}"/>
    <cellStyle name="Millares [0] 14" xfId="791" xr:uid="{3D43F7C4-6748-4EAF-AF65-1E813C52CC2D}"/>
    <cellStyle name="Millares [0] 15" xfId="61" xr:uid="{DDE7B751-4990-4C97-969E-BC1C888D7E8D}"/>
    <cellStyle name="Millares [0] 2" xfId="44" xr:uid="{C6599229-E952-4782-9DF4-2882C1395CD0}"/>
    <cellStyle name="Millares [0] 2 2" xfId="258" xr:uid="{A9832291-330A-49BA-99CF-D1D2B4B61E3E}"/>
    <cellStyle name="Millares [0] 3" xfId="45" xr:uid="{9063F87C-D1AD-48B7-8D10-5EE7C7D95A6D}"/>
    <cellStyle name="Millares [0] 3 2" xfId="72" xr:uid="{2A668A9C-EE93-4232-AB66-109399B18404}"/>
    <cellStyle name="Millares [0] 3 2 2" xfId="101" xr:uid="{DF942F7E-C8DF-4F12-A346-C54FA4F3DFDE}"/>
    <cellStyle name="Millares [0] 3 2 2 2" xfId="149" xr:uid="{98289EC3-363F-43A0-A254-BA8FE60EE3AC}"/>
    <cellStyle name="Millares [0] 3 2 2 2 2" xfId="238" xr:uid="{82969E23-C0CB-4503-87EA-BAB31E503453}"/>
    <cellStyle name="Millares [0] 3 2 2 2 2 2" xfId="424" xr:uid="{8A6C390D-4312-4414-89CB-4DAC3D31BE8E}"/>
    <cellStyle name="Millares [0] 3 2 2 2 2 2 2" xfId="763" xr:uid="{852637A5-15B8-420D-97AB-F793D84E86E5}"/>
    <cellStyle name="Millares [0] 3 2 2 2 2 2 2 2" xfId="1434" xr:uid="{F7FC963A-35BD-4E48-86F1-79BF70C659C9}"/>
    <cellStyle name="Millares [0] 3 2 2 2 2 2 3" xfId="1102" xr:uid="{F2EE19A6-3B6F-4FB7-BA35-C91A759EEB39}"/>
    <cellStyle name="Millares [0] 3 2 2 2 2 3" xfId="597" xr:uid="{62B35ACD-42DA-492B-A5C9-30DDFCD06EF9}"/>
    <cellStyle name="Millares [0] 3 2 2 2 2 3 2" xfId="1268" xr:uid="{9CDDD646-E2C0-49B2-8A7D-F6C5AE9545BD}"/>
    <cellStyle name="Millares [0] 3 2 2 2 2 4" xfId="936" xr:uid="{951D3649-208F-458A-9F1F-8CC3FAC26142}"/>
    <cellStyle name="Millares [0] 3 2 2 2 3" xfId="342" xr:uid="{0D0CA163-08AD-45E1-B4E1-329F6E28E4B1}"/>
    <cellStyle name="Millares [0] 3 2 2 2 3 2" xfId="681" xr:uid="{7C797BFF-84F6-4466-948B-90487929F117}"/>
    <cellStyle name="Millares [0] 3 2 2 2 3 2 2" xfId="1352" xr:uid="{237F5D3A-BF03-43BC-8A24-6515E96AE9A0}"/>
    <cellStyle name="Millares [0] 3 2 2 2 3 3" xfId="1020" xr:uid="{5EFAB46E-9F44-44F7-B579-7EBD26D53307}"/>
    <cellStyle name="Millares [0] 3 2 2 2 4" xfId="515" xr:uid="{60A06B66-2FE2-4584-95E6-34BE8E5D9A02}"/>
    <cellStyle name="Millares [0] 3 2 2 2 4 2" xfId="1186" xr:uid="{AE9E4A2A-2042-42BF-AF52-B86273AECE66}"/>
    <cellStyle name="Millares [0] 3 2 2 2 5" xfId="854" xr:uid="{29D669D1-5C9C-4778-AE70-6B4FF4DCD9FB}"/>
    <cellStyle name="Millares [0] 3 2 2 3" xfId="198" xr:uid="{583A94FD-6CB7-41CC-8F66-83066356E1BF}"/>
    <cellStyle name="Millares [0] 3 2 2 3 2" xfId="384" xr:uid="{8E091FEA-EDF3-4CDF-985B-E53AD286A6F9}"/>
    <cellStyle name="Millares [0] 3 2 2 3 2 2" xfId="723" xr:uid="{EEBC3480-6001-41D2-B595-E686B9F11C3D}"/>
    <cellStyle name="Millares [0] 3 2 2 3 2 2 2" xfId="1394" xr:uid="{97056B42-AF10-4C3D-AA53-B738C11577B3}"/>
    <cellStyle name="Millares [0] 3 2 2 3 2 3" xfId="1062" xr:uid="{F707888E-4649-4877-9051-ABD68592C60B}"/>
    <cellStyle name="Millares [0] 3 2 2 3 3" xfId="557" xr:uid="{DE7A1E35-650A-4F9B-BB3C-7CDC947A75B1}"/>
    <cellStyle name="Millares [0] 3 2 2 3 3 2" xfId="1228" xr:uid="{6A4C74E6-DFE3-47B0-A256-24C63012D727}"/>
    <cellStyle name="Millares [0] 3 2 2 3 4" xfId="896" xr:uid="{1791DBA6-4932-4ED6-A2E0-555B60FE7746}"/>
    <cellStyle name="Millares [0] 3 2 2 4" xfId="302" xr:uid="{F8A9EED3-3731-486D-9A86-B740AA79E6B6}"/>
    <cellStyle name="Millares [0] 3 2 2 4 2" xfId="641" xr:uid="{1F79F577-0A05-48D9-8B52-AEF6DD4A5BCC}"/>
    <cellStyle name="Millares [0] 3 2 2 4 2 2" xfId="1312" xr:uid="{DCC75541-21DD-414D-A251-96A0D2A0DF71}"/>
    <cellStyle name="Millares [0] 3 2 2 4 3" xfId="980" xr:uid="{83A30EE7-76C9-42F6-B2E5-C7F4DA84AC3F}"/>
    <cellStyle name="Millares [0] 3 2 2 5" xfId="475" xr:uid="{5AB0570D-7134-435F-B00A-15D44C94AC21}"/>
    <cellStyle name="Millares [0] 3 2 2 5 2" xfId="1146" xr:uid="{68CA4E40-7B54-4547-891D-CF194AC53EBE}"/>
    <cellStyle name="Millares [0] 3 2 2 6" xfId="814" xr:uid="{C2E31B80-4BC7-4AB6-A3B8-FCC0BCA2F158}"/>
    <cellStyle name="Millares [0] 3 2 3" xfId="130" xr:uid="{AEE1BB89-B4F4-4126-B32B-D95EDBE43669}"/>
    <cellStyle name="Millares [0] 3 2 3 2" xfId="219" xr:uid="{6A529506-8E4C-44D7-98A3-A426CCCB9E4B}"/>
    <cellStyle name="Millares [0] 3 2 3 2 2" xfId="405" xr:uid="{1C2CEBC7-40C2-4B2D-8785-5E55C4AC5031}"/>
    <cellStyle name="Millares [0] 3 2 3 2 2 2" xfId="744" xr:uid="{5F6ACEA7-BAB1-411C-8562-543DF72576E1}"/>
    <cellStyle name="Millares [0] 3 2 3 2 2 2 2" xfId="1415" xr:uid="{0DCC5D3C-CDE7-48A4-8209-E34A6611CA5C}"/>
    <cellStyle name="Millares [0] 3 2 3 2 2 3" xfId="1083" xr:uid="{69A5A078-0B31-4704-8DAA-7E6DB0271F58}"/>
    <cellStyle name="Millares [0] 3 2 3 2 3" xfId="578" xr:uid="{011BDFB0-5016-458A-95B1-40F32EC2D6CD}"/>
    <cellStyle name="Millares [0] 3 2 3 2 3 2" xfId="1249" xr:uid="{91AEE31D-059C-4C05-B9DA-87E5CC200EA5}"/>
    <cellStyle name="Millares [0] 3 2 3 2 4" xfId="917" xr:uid="{97570100-3FD1-463A-BEB2-C53B658AD77D}"/>
    <cellStyle name="Millares [0] 3 2 3 3" xfId="323" xr:uid="{DB1F8A38-2705-438D-8A9F-771373638E91}"/>
    <cellStyle name="Millares [0] 3 2 3 3 2" xfId="662" xr:uid="{96A790A6-9861-4437-A8A5-1A6DD9C305DA}"/>
    <cellStyle name="Millares [0] 3 2 3 3 2 2" xfId="1333" xr:uid="{267C5528-DC92-4E33-B232-049587883239}"/>
    <cellStyle name="Millares [0] 3 2 3 3 3" xfId="1001" xr:uid="{FDF6527F-061F-47BD-A97F-4D945A4D5E80}"/>
    <cellStyle name="Millares [0] 3 2 3 4" xfId="496" xr:uid="{6DC1445E-B6F1-41B7-9756-CACAD74FBAF3}"/>
    <cellStyle name="Millares [0] 3 2 3 4 2" xfId="1167" xr:uid="{FB7140CF-99EB-45F9-ACCD-CA5153800FA8}"/>
    <cellStyle name="Millares [0] 3 2 3 5" xfId="835" xr:uid="{DEE4ADF4-A988-4731-BA89-2605B946FBB1}"/>
    <cellStyle name="Millares [0] 3 2 4" xfId="179" xr:uid="{2B5FE6A9-B4D5-4F2F-BEE6-41BD73766DE3}"/>
    <cellStyle name="Millares [0] 3 2 4 2" xfId="365" xr:uid="{38458CB9-29CD-4AD7-A411-051F15748E2A}"/>
    <cellStyle name="Millares [0] 3 2 4 2 2" xfId="704" xr:uid="{9694B943-BFD9-4E38-B749-03239ED88577}"/>
    <cellStyle name="Millares [0] 3 2 4 2 2 2" xfId="1375" xr:uid="{7B1EFDD2-F53E-40FF-8F7B-65F995F18D1C}"/>
    <cellStyle name="Millares [0] 3 2 4 2 3" xfId="1043" xr:uid="{97CC1CB3-23B4-47D9-A3B4-CA749B6E9A65}"/>
    <cellStyle name="Millares [0] 3 2 4 3" xfId="538" xr:uid="{394D2CBB-A001-404D-BDB4-BA04E05DC790}"/>
    <cellStyle name="Millares [0] 3 2 4 3 2" xfId="1209" xr:uid="{C8558D97-6EF8-45F4-B518-964F905205F8}"/>
    <cellStyle name="Millares [0] 3 2 4 4" xfId="877" xr:uid="{2FA0FD22-5B6C-48A3-A8DA-1CA825AB3C95}"/>
    <cellStyle name="Millares [0] 3 2 5" xfId="283" xr:uid="{42BC77F4-638E-41E5-8445-FA751828E451}"/>
    <cellStyle name="Millares [0] 3 2 5 2" xfId="622" xr:uid="{112FEEDF-DDBD-40FB-9C88-B8144A3F8BB0}"/>
    <cellStyle name="Millares [0] 3 2 5 2 2" xfId="1293" xr:uid="{AB29D606-0272-4D47-8A10-ADAEC291D789}"/>
    <cellStyle name="Millares [0] 3 2 5 3" xfId="961" xr:uid="{CF7B94AD-62EE-45E7-BE78-E18C2EC55573}"/>
    <cellStyle name="Millares [0] 3 2 6" xfId="456" xr:uid="{52BB4C6D-F822-4413-9860-482C239AEBA7}"/>
    <cellStyle name="Millares [0] 3 2 6 2" xfId="1127" xr:uid="{0118CA61-6CFF-4922-B60C-24F9A018A348}"/>
    <cellStyle name="Millares [0] 3 2 7" xfId="795" xr:uid="{26D088D0-DA9C-44E4-872D-4D4459C72064}"/>
    <cellStyle name="Millares [0] 3 3" xfId="90" xr:uid="{233595DF-F6F0-495A-B2D4-1FAC67E1967F}"/>
    <cellStyle name="Millares [0] 3 3 2" xfId="140" xr:uid="{69C14E11-FFF3-495C-B616-205F2FD7C5FA}"/>
    <cellStyle name="Millares [0] 3 3 2 2" xfId="229" xr:uid="{9E1571DF-41BD-4199-8D3F-6B6BAEF86BAE}"/>
    <cellStyle name="Millares [0] 3 3 2 2 2" xfId="415" xr:uid="{DDB57D9E-0F3C-4E10-8D41-158DC90DC088}"/>
    <cellStyle name="Millares [0] 3 3 2 2 2 2" xfId="754" xr:uid="{1595FC30-0851-4527-86AB-D16A0F2C085A}"/>
    <cellStyle name="Millares [0] 3 3 2 2 2 2 2" xfId="1425" xr:uid="{1BB93D3D-785A-43BB-80C5-0C1635D9FA81}"/>
    <cellStyle name="Millares [0] 3 3 2 2 2 3" xfId="1093" xr:uid="{260011CB-19AB-4B61-A5C9-068B66D4FE7A}"/>
    <cellStyle name="Millares [0] 3 3 2 2 3" xfId="588" xr:uid="{BE7D9A01-E1AD-443C-9BF9-62CBD63E66AD}"/>
    <cellStyle name="Millares [0] 3 3 2 2 3 2" xfId="1259" xr:uid="{D9D7D621-F7B2-4742-9F9C-C048AE64A2F3}"/>
    <cellStyle name="Millares [0] 3 3 2 2 4" xfId="927" xr:uid="{4C6C446E-2006-42BA-88F8-F1ED4539577E}"/>
    <cellStyle name="Millares [0] 3 3 2 3" xfId="333" xr:uid="{2A4179EF-353E-424E-95C8-2FCE7C2A1C75}"/>
    <cellStyle name="Millares [0] 3 3 2 3 2" xfId="672" xr:uid="{3305040D-D9EE-4159-A9EB-0CB2576B9F07}"/>
    <cellStyle name="Millares [0] 3 3 2 3 2 2" xfId="1343" xr:uid="{39E8DDDD-9129-4631-9B4F-95A313C8B796}"/>
    <cellStyle name="Millares [0] 3 3 2 3 3" xfId="1011" xr:uid="{03A95781-F3B2-46F7-BB0D-DAE878C78822}"/>
    <cellStyle name="Millares [0] 3 3 2 4" xfId="506" xr:uid="{81C2F9B6-D2BA-4763-9385-8776E63C7836}"/>
    <cellStyle name="Millares [0] 3 3 2 4 2" xfId="1177" xr:uid="{1E0EB6F4-0006-4BF7-91F9-AF5754FC04DC}"/>
    <cellStyle name="Millares [0] 3 3 2 5" xfId="845" xr:uid="{8D01E471-7268-428D-969A-3863002E13E1}"/>
    <cellStyle name="Millares [0] 3 3 3" xfId="189" xr:uid="{A497B40C-7A72-4EDB-A422-3AB16EBAF720}"/>
    <cellStyle name="Millares [0] 3 3 3 2" xfId="375" xr:uid="{4820ADA5-6E18-44F3-9B98-D6F4A35A6A25}"/>
    <cellStyle name="Millares [0] 3 3 3 2 2" xfId="714" xr:uid="{AFFAA588-389C-4BA9-BAB9-79C0EF269C10}"/>
    <cellStyle name="Millares [0] 3 3 3 2 2 2" xfId="1385" xr:uid="{E1D45B2D-7682-4075-8137-1F7A2B43F875}"/>
    <cellStyle name="Millares [0] 3 3 3 2 3" xfId="1053" xr:uid="{169A96C4-9ED4-48BB-ADBB-DA6A00CCD486}"/>
    <cellStyle name="Millares [0] 3 3 3 3" xfId="548" xr:uid="{FB5D58DF-6B08-4656-A68C-1A08F20E2EFE}"/>
    <cellStyle name="Millares [0] 3 3 3 3 2" xfId="1219" xr:uid="{22FE86A9-B606-44FF-95D9-CC529EB4859D}"/>
    <cellStyle name="Millares [0] 3 3 3 4" xfId="887" xr:uid="{5A44DF16-8A98-41ED-900C-DBD2970DCFFC}"/>
    <cellStyle name="Millares [0] 3 3 4" xfId="293" xr:uid="{EDCADAFB-AC5B-4259-BF23-5934BD33CFF7}"/>
    <cellStyle name="Millares [0] 3 3 4 2" xfId="632" xr:uid="{F897EB9D-8A9F-4429-BDF6-278528B60DB3}"/>
    <cellStyle name="Millares [0] 3 3 4 2 2" xfId="1303" xr:uid="{E224A6B1-913A-4C0C-8BBB-D706555DBC14}"/>
    <cellStyle name="Millares [0] 3 3 4 3" xfId="971" xr:uid="{ADCB3342-6D69-4389-87E8-266DB571B3BB}"/>
    <cellStyle name="Millares [0] 3 3 5" xfId="466" xr:uid="{14F3F202-39C0-47D5-976E-56AFA12F5883}"/>
    <cellStyle name="Millares [0] 3 3 5 2" xfId="1137" xr:uid="{B4289F01-46AF-46CD-8457-23CAD27A99F2}"/>
    <cellStyle name="Millares [0] 3 3 6" xfId="805" xr:uid="{AABE0347-3B8A-48B0-93F9-C673CF5656A7}"/>
    <cellStyle name="Millares [0] 3 4" xfId="119" xr:uid="{EFEBC6A2-8904-4878-863C-6C72BBF74CE0}"/>
    <cellStyle name="Millares [0] 3 4 2" xfId="210" xr:uid="{CE2677B0-2FA7-49B7-B853-0B03B3C30125}"/>
    <cellStyle name="Millares [0] 3 4 2 2" xfId="396" xr:uid="{26C4CD74-8AF5-4920-9607-34B05BB14DD4}"/>
    <cellStyle name="Millares [0] 3 4 2 2 2" xfId="735" xr:uid="{F77336D1-FED8-43BF-B33D-E930174FA527}"/>
    <cellStyle name="Millares [0] 3 4 2 2 2 2" xfId="1406" xr:uid="{EBD81CFB-29F4-4E87-8ED1-66950CF6FDF0}"/>
    <cellStyle name="Millares [0] 3 4 2 2 3" xfId="1074" xr:uid="{4BE5D0AD-FE59-4F46-91FC-0D777719E7B2}"/>
    <cellStyle name="Millares [0] 3 4 2 3" xfId="569" xr:uid="{B162DC32-A9E8-4DEF-8E1F-2962A85F8506}"/>
    <cellStyle name="Millares [0] 3 4 2 3 2" xfId="1240" xr:uid="{344773A1-57DF-4F9D-B54C-66D323493501}"/>
    <cellStyle name="Millares [0] 3 4 2 4" xfId="908" xr:uid="{EFADD3EC-244E-43D0-BE52-E19A0F7BA05A}"/>
    <cellStyle name="Millares [0] 3 4 3" xfId="314" xr:uid="{5E4F38FD-F872-4F73-89F6-1D652186DE3D}"/>
    <cellStyle name="Millares [0] 3 4 3 2" xfId="653" xr:uid="{3FFA2665-277D-4B7E-AFEB-5838C60F0637}"/>
    <cellStyle name="Millares [0] 3 4 3 2 2" xfId="1324" xr:uid="{2A453121-467A-4972-AB8B-1342D92FDF4A}"/>
    <cellStyle name="Millares [0] 3 4 3 3" xfId="992" xr:uid="{3C75AC1B-66FE-45E6-9D31-8657928E3048}"/>
    <cellStyle name="Millares [0] 3 4 4" xfId="487" xr:uid="{1BD101D0-07AC-4824-BA26-84E13EF3103D}"/>
    <cellStyle name="Millares [0] 3 4 4 2" xfId="1158" xr:uid="{CE98B444-CE7F-4024-AFE1-1EE844B59649}"/>
    <cellStyle name="Millares [0] 3 4 5" xfId="826" xr:uid="{2C4A065C-6B21-4352-BD2F-52875EB7A9CD}"/>
    <cellStyle name="Millares [0] 3 5" xfId="169" xr:uid="{31E61405-5BAF-4842-B81F-A4A58D15CB03}"/>
    <cellStyle name="Millares [0] 3 5 2" xfId="356" xr:uid="{8FB857A7-809E-4E1E-B5DC-B429A2C5CD06}"/>
    <cellStyle name="Millares [0] 3 5 2 2" xfId="695" xr:uid="{DBEF479C-C30D-431C-AD50-0DDCCCB669BE}"/>
    <cellStyle name="Millares [0] 3 5 2 2 2" xfId="1366" xr:uid="{57634A85-C3B2-4C02-9FEB-4F121C8A2101}"/>
    <cellStyle name="Millares [0] 3 5 2 3" xfId="1034" xr:uid="{60CF4097-AE4B-49CF-9695-A6C40A90174E}"/>
    <cellStyle name="Millares [0] 3 5 3" xfId="529" xr:uid="{FAE2A634-B7CC-4745-B467-E25C19732340}"/>
    <cellStyle name="Millares [0] 3 5 3 2" xfId="1200" xr:uid="{5CC039D3-A596-4E56-99B8-6DAC3C19AA35}"/>
    <cellStyle name="Millares [0] 3 5 4" xfId="868" xr:uid="{872625BE-7091-4C13-9319-7B4D94089933}"/>
    <cellStyle name="Millares [0] 3 6" xfId="273" xr:uid="{BCB75C4C-2EBE-4F33-8A57-490E138A1342}"/>
    <cellStyle name="Millares [0] 3 6 2" xfId="613" xr:uid="{99379F8E-029B-4CC1-9A0D-6FAC6C54C626}"/>
    <cellStyle name="Millares [0] 3 6 2 2" xfId="1284" xr:uid="{FC848471-393F-4638-A7A8-349DA9BEFC81}"/>
    <cellStyle name="Millares [0] 3 6 3" xfId="952" xr:uid="{08C2C258-DD03-40F9-9851-38E2A198C78B}"/>
    <cellStyle name="Millares [0] 3 7" xfId="446" xr:uid="{58D8292B-FBA1-4F5A-8D5D-274652D03420}"/>
    <cellStyle name="Millares [0] 3 7 2" xfId="1118" xr:uid="{57EF67E0-7021-4EA8-8E67-B127C0A34B2D}"/>
    <cellStyle name="Millares [0] 3 8" xfId="785" xr:uid="{C5E4E7A4-1F23-4388-9284-6A4175DED22F}"/>
    <cellStyle name="Millares [0] 34" xfId="46" xr:uid="{C58A7D3E-52BC-466C-9521-E31AB0AB0AB0}"/>
    <cellStyle name="Millares [0] 34 2" xfId="73" xr:uid="{DF7759DB-7E6A-4DA8-B98B-4EB2F75B5A90}"/>
    <cellStyle name="Millares [0] 34 2 2" xfId="102" xr:uid="{CC83A8C3-78DE-4851-BA28-C69ED4022F42}"/>
    <cellStyle name="Millares [0] 34 2 2 2" xfId="150" xr:uid="{DF668DDD-E3B4-4A99-94D3-45B829BFFCFA}"/>
    <cellStyle name="Millares [0] 34 2 2 2 2" xfId="239" xr:uid="{2A781171-FF05-4836-A848-EDF9A2DF338C}"/>
    <cellStyle name="Millares [0] 34 2 2 2 2 2" xfId="425" xr:uid="{479AC992-0F64-44BA-9212-957F06AC244E}"/>
    <cellStyle name="Millares [0] 34 2 2 2 2 2 2" xfId="764" xr:uid="{FE169421-768E-4417-9FE5-BE5D06F22B7C}"/>
    <cellStyle name="Millares [0] 34 2 2 2 2 2 2 2" xfId="1435" xr:uid="{01FA741D-CFFC-4906-A8B5-2A46D72DBD7E}"/>
    <cellStyle name="Millares [0] 34 2 2 2 2 2 3" xfId="1103" xr:uid="{BEA2688A-F3FB-49E8-BA8F-6AC3E99B1A67}"/>
    <cellStyle name="Millares [0] 34 2 2 2 2 3" xfId="598" xr:uid="{1FABF491-7050-4F29-827E-3CDF35BD1592}"/>
    <cellStyle name="Millares [0] 34 2 2 2 2 3 2" xfId="1269" xr:uid="{4DCA63EC-9C9A-4AC8-92D7-2814564DA5F6}"/>
    <cellStyle name="Millares [0] 34 2 2 2 2 4" xfId="937" xr:uid="{456E94DF-488B-4B93-8FDA-9B39C2DACDC5}"/>
    <cellStyle name="Millares [0] 34 2 2 2 3" xfId="343" xr:uid="{B0E4087A-F132-4C7B-A72B-5C2576C48CAC}"/>
    <cellStyle name="Millares [0] 34 2 2 2 3 2" xfId="682" xr:uid="{F3A89901-3068-4F79-A821-A771C029E849}"/>
    <cellStyle name="Millares [0] 34 2 2 2 3 2 2" xfId="1353" xr:uid="{C315716A-2DF4-4D00-9C17-1D584491AC17}"/>
    <cellStyle name="Millares [0] 34 2 2 2 3 3" xfId="1021" xr:uid="{EF5C78FA-C24A-4D0A-94E6-276CE943BF70}"/>
    <cellStyle name="Millares [0] 34 2 2 2 4" xfId="516" xr:uid="{DDD27998-6B29-4783-8C20-635E04209023}"/>
    <cellStyle name="Millares [0] 34 2 2 2 4 2" xfId="1187" xr:uid="{9E3F6D36-CBE0-4ED6-984D-056901F296A8}"/>
    <cellStyle name="Millares [0] 34 2 2 2 5" xfId="855" xr:uid="{5021DA0A-5E8A-4DA0-8849-95E0F07C3A57}"/>
    <cellStyle name="Millares [0] 34 2 2 3" xfId="199" xr:uid="{4B742316-F418-47E3-9AA1-B53F91F0A1FE}"/>
    <cellStyle name="Millares [0] 34 2 2 3 2" xfId="385" xr:uid="{3A2B0291-68B5-40FC-8D11-1CE8D37077A5}"/>
    <cellStyle name="Millares [0] 34 2 2 3 2 2" xfId="724" xr:uid="{C16E2B8D-4538-4F80-B86F-3241CF91C942}"/>
    <cellStyle name="Millares [0] 34 2 2 3 2 2 2" xfId="1395" xr:uid="{EFE5F704-ED95-44FF-821A-CAE911C65554}"/>
    <cellStyle name="Millares [0] 34 2 2 3 2 3" xfId="1063" xr:uid="{A580974E-73C4-4C23-83E1-3B71FA70BC4E}"/>
    <cellStyle name="Millares [0] 34 2 2 3 3" xfId="558" xr:uid="{88B812AD-01D9-4180-8822-A9CA28B29C71}"/>
    <cellStyle name="Millares [0] 34 2 2 3 3 2" xfId="1229" xr:uid="{3818E0F8-9407-4E3F-B839-0BFAF75AC839}"/>
    <cellStyle name="Millares [0] 34 2 2 3 4" xfId="897" xr:uid="{49F1DF12-7405-4689-8549-487CC8540DF6}"/>
    <cellStyle name="Millares [0] 34 2 2 4" xfId="303" xr:uid="{85976D9C-DECB-4CD3-875E-71C86D84CF69}"/>
    <cellStyle name="Millares [0] 34 2 2 4 2" xfId="642" xr:uid="{F8D82EDF-9D66-4710-95FB-50B0A6242D57}"/>
    <cellStyle name="Millares [0] 34 2 2 4 2 2" xfId="1313" xr:uid="{5B65B7C2-22C9-46D2-A26C-96486C38870B}"/>
    <cellStyle name="Millares [0] 34 2 2 4 3" xfId="981" xr:uid="{0B87FF5D-ED01-4D42-BDA6-00B7519E0551}"/>
    <cellStyle name="Millares [0] 34 2 2 5" xfId="476" xr:uid="{0FFFECDD-FD50-4F17-AB82-B7B15347C137}"/>
    <cellStyle name="Millares [0] 34 2 2 5 2" xfId="1147" xr:uid="{E009AD1B-D3B6-4807-A985-7B8607ED2BD4}"/>
    <cellStyle name="Millares [0] 34 2 2 6" xfId="815" xr:uid="{FD1D421F-735C-4E94-92C1-5BA60BABA475}"/>
    <cellStyle name="Millares [0] 34 2 3" xfId="131" xr:uid="{E4D59B6C-3EF1-448E-BC2A-DAA59B94E5A3}"/>
    <cellStyle name="Millares [0] 34 2 3 2" xfId="220" xr:uid="{2955570F-74F2-4B54-86C5-BE896177EC62}"/>
    <cellStyle name="Millares [0] 34 2 3 2 2" xfId="406" xr:uid="{A228A3DF-6767-4407-A0EC-6E65235CD317}"/>
    <cellStyle name="Millares [0] 34 2 3 2 2 2" xfId="745" xr:uid="{113F8DBB-E440-4B99-A8B6-014D213E6AEB}"/>
    <cellStyle name="Millares [0] 34 2 3 2 2 2 2" xfId="1416" xr:uid="{73C0137A-2CEF-44FE-A897-C7A1E18D8A51}"/>
    <cellStyle name="Millares [0] 34 2 3 2 2 3" xfId="1084" xr:uid="{6D461C15-C618-4F0A-A12F-A53AD626DBDE}"/>
    <cellStyle name="Millares [0] 34 2 3 2 3" xfId="579" xr:uid="{3394557E-2B33-4317-98CC-B914455B6935}"/>
    <cellStyle name="Millares [0] 34 2 3 2 3 2" xfId="1250" xr:uid="{8BC9FFCF-AEAB-433A-B630-D473A50D4AD3}"/>
    <cellStyle name="Millares [0] 34 2 3 2 4" xfId="918" xr:uid="{78409594-5780-42E0-A66E-EF0D93F40920}"/>
    <cellStyle name="Millares [0] 34 2 3 3" xfId="324" xr:uid="{40012BBE-E4B8-4B9A-BB1E-8BA20BEF9B18}"/>
    <cellStyle name="Millares [0] 34 2 3 3 2" xfId="663" xr:uid="{3BC0D47A-9F2C-4E59-B3DF-17807663EDDE}"/>
    <cellStyle name="Millares [0] 34 2 3 3 2 2" xfId="1334" xr:uid="{C0765EAB-D627-44CD-9FDB-E93328F8A5DE}"/>
    <cellStyle name="Millares [0] 34 2 3 3 3" xfId="1002" xr:uid="{9E8DF172-A9D8-41FC-B39C-450C4DAB726E}"/>
    <cellStyle name="Millares [0] 34 2 3 4" xfId="497" xr:uid="{EAD4F311-EAA9-44DF-9035-F32041B50D9A}"/>
    <cellStyle name="Millares [0] 34 2 3 4 2" xfId="1168" xr:uid="{67CD46CB-D7C8-4F47-9BD5-80169378A1FC}"/>
    <cellStyle name="Millares [0] 34 2 3 5" xfId="836" xr:uid="{F01B6957-C856-4CA0-A1F6-05D42AB7E5B0}"/>
    <cellStyle name="Millares [0] 34 2 4" xfId="180" xr:uid="{492C6276-8177-4D48-A842-200FB3450A1A}"/>
    <cellStyle name="Millares [0] 34 2 4 2" xfId="366" xr:uid="{5056320A-7DC1-45BE-82B2-B8C403A83D83}"/>
    <cellStyle name="Millares [0] 34 2 4 2 2" xfId="705" xr:uid="{0C339B07-D808-4EAE-9EBB-AC7074D900D7}"/>
    <cellStyle name="Millares [0] 34 2 4 2 2 2" xfId="1376" xr:uid="{A70D443C-EDEA-4BFC-BEA5-19F2E274F29F}"/>
    <cellStyle name="Millares [0] 34 2 4 2 3" xfId="1044" xr:uid="{5E5D0D8F-9C7D-4478-9393-ED92344D4353}"/>
    <cellStyle name="Millares [0] 34 2 4 3" xfId="539" xr:uid="{28375DB8-7307-4839-8019-9467E8B0B5FA}"/>
    <cellStyle name="Millares [0] 34 2 4 3 2" xfId="1210" xr:uid="{F10D8DF8-2838-473F-95CA-60FEDAC7723C}"/>
    <cellStyle name="Millares [0] 34 2 4 4" xfId="878" xr:uid="{FDD4A5B2-02DE-4DCD-B455-093F38274095}"/>
    <cellStyle name="Millares [0] 34 2 5" xfId="284" xr:uid="{B9879C0C-5F7B-4BA1-9DB7-D28FEB93F3B0}"/>
    <cellStyle name="Millares [0] 34 2 5 2" xfId="623" xr:uid="{B3F35F58-E1A9-4B60-94FC-8B5B18B55044}"/>
    <cellStyle name="Millares [0] 34 2 5 2 2" xfId="1294" xr:uid="{40CD4C97-6F2E-490E-8120-B248275348E0}"/>
    <cellStyle name="Millares [0] 34 2 5 3" xfId="962" xr:uid="{805BB116-8ACD-475D-B537-49B048B301C4}"/>
    <cellStyle name="Millares [0] 34 2 6" xfId="457" xr:uid="{76106AE9-AECD-4845-A282-4F94D104C46D}"/>
    <cellStyle name="Millares [0] 34 2 6 2" xfId="1128" xr:uid="{AA67DEF2-8E63-47DC-8B01-4B87C8E7D3F3}"/>
    <cellStyle name="Millares [0] 34 2 7" xfId="796" xr:uid="{10B35779-C348-475C-B2E5-8CC5085625EA}"/>
    <cellStyle name="Millares [0] 34 3" xfId="91" xr:uid="{47E601BF-A7A2-4BB9-9DBD-F81885C1F26A}"/>
    <cellStyle name="Millares [0] 34 3 2" xfId="141" xr:uid="{2279999D-BEA8-4DAA-8DB1-D423B8817174}"/>
    <cellStyle name="Millares [0] 34 3 2 2" xfId="230" xr:uid="{B8C7B5B5-A0F5-4E62-A44D-77B4D1A7B87B}"/>
    <cellStyle name="Millares [0] 34 3 2 2 2" xfId="416" xr:uid="{CAA1B259-0A26-4242-AA78-352C7B54C10A}"/>
    <cellStyle name="Millares [0] 34 3 2 2 2 2" xfId="755" xr:uid="{97D59E63-6F4F-4AB8-B965-F5E405430162}"/>
    <cellStyle name="Millares [0] 34 3 2 2 2 2 2" xfId="1426" xr:uid="{478A9989-FC27-4677-BDCD-885D1EE7741C}"/>
    <cellStyle name="Millares [0] 34 3 2 2 2 3" xfId="1094" xr:uid="{75D11A83-0DA6-43E0-B7C6-2F86A563FD04}"/>
    <cellStyle name="Millares [0] 34 3 2 2 3" xfId="589" xr:uid="{1B8A055D-97B7-4939-BEE1-9487F0290AB3}"/>
    <cellStyle name="Millares [0] 34 3 2 2 3 2" xfId="1260" xr:uid="{319D6321-C6CF-4E26-9DEA-01F46B0C4676}"/>
    <cellStyle name="Millares [0] 34 3 2 2 4" xfId="928" xr:uid="{567651FB-0CE2-4F09-BD34-8D07E23FC1FB}"/>
    <cellStyle name="Millares [0] 34 3 2 3" xfId="334" xr:uid="{58AD560D-0958-4BC8-82FE-6C031F69230A}"/>
    <cellStyle name="Millares [0] 34 3 2 3 2" xfId="673" xr:uid="{77F3CFD3-735C-43AC-8225-CA04F0FFD9CE}"/>
    <cellStyle name="Millares [0] 34 3 2 3 2 2" xfId="1344" xr:uid="{D607A6E8-CEFF-4690-B9EE-37E6B084172B}"/>
    <cellStyle name="Millares [0] 34 3 2 3 3" xfId="1012" xr:uid="{D12BF1BA-D7E7-4F98-859B-BABA6BDA405C}"/>
    <cellStyle name="Millares [0] 34 3 2 4" xfId="507" xr:uid="{B17DCB97-46DF-4464-BB42-465B01DE139A}"/>
    <cellStyle name="Millares [0] 34 3 2 4 2" xfId="1178" xr:uid="{61DBADEA-E318-4F86-B23B-2379CD2FB1B4}"/>
    <cellStyle name="Millares [0] 34 3 2 5" xfId="846" xr:uid="{7DDD7783-1BC1-4D52-AA15-46B221DDDAEB}"/>
    <cellStyle name="Millares [0] 34 3 3" xfId="190" xr:uid="{67509E1D-7FEC-4146-90A1-267FBAC0E5E1}"/>
    <cellStyle name="Millares [0] 34 3 3 2" xfId="376" xr:uid="{579C1B04-65DD-44EB-894E-345A2E694ED1}"/>
    <cellStyle name="Millares [0] 34 3 3 2 2" xfId="715" xr:uid="{2F4F9D5D-AC44-4431-994F-D45ED4992A27}"/>
    <cellStyle name="Millares [0] 34 3 3 2 2 2" xfId="1386" xr:uid="{D3134F3E-6E0A-4656-8838-353EC3A65344}"/>
    <cellStyle name="Millares [0] 34 3 3 2 3" xfId="1054" xr:uid="{9C0D9E29-EC6D-4205-BAF7-65339EC8D79C}"/>
    <cellStyle name="Millares [0] 34 3 3 3" xfId="549" xr:uid="{3C20AB30-B164-4CF4-B96E-7E8906F73E53}"/>
    <cellStyle name="Millares [0] 34 3 3 3 2" xfId="1220" xr:uid="{E91719A0-0CDE-49EE-848C-4ED87ADB6EF7}"/>
    <cellStyle name="Millares [0] 34 3 3 4" xfId="888" xr:uid="{73B09E06-B6E1-4812-8180-1F8B55699125}"/>
    <cellStyle name="Millares [0] 34 3 4" xfId="294" xr:uid="{06EEF3ED-867A-4D56-99F0-C3C4130B60A5}"/>
    <cellStyle name="Millares [0] 34 3 4 2" xfId="633" xr:uid="{174AD90F-F777-4951-853C-117C278C8CF0}"/>
    <cellStyle name="Millares [0] 34 3 4 2 2" xfId="1304" xr:uid="{15186809-8482-4F3B-B578-CDF351F1A6A5}"/>
    <cellStyle name="Millares [0] 34 3 4 3" xfId="972" xr:uid="{54080B3C-38AD-4F41-8AAD-AB45AC1ED36F}"/>
    <cellStyle name="Millares [0] 34 3 5" xfId="467" xr:uid="{A45C072F-113C-47B6-B786-D41D979AFA95}"/>
    <cellStyle name="Millares [0] 34 3 5 2" xfId="1138" xr:uid="{24FCBBA1-3A3A-48F9-AEE8-589B765826D3}"/>
    <cellStyle name="Millares [0] 34 3 6" xfId="806" xr:uid="{CA09468C-FD23-490E-9067-E5B406150258}"/>
    <cellStyle name="Millares [0] 34 4" xfId="120" xr:uid="{B33C008D-B5FE-41A8-8C36-B9CE1C13269C}"/>
    <cellStyle name="Millares [0] 34 4 2" xfId="211" xr:uid="{9C1C592E-8E0D-40CD-B55A-287BA8715FE0}"/>
    <cellStyle name="Millares [0] 34 4 2 2" xfId="397" xr:uid="{C8790561-F0A3-4FA5-9A78-6CE62D45119E}"/>
    <cellStyle name="Millares [0] 34 4 2 2 2" xfId="736" xr:uid="{03C39482-9EE2-4B93-9AA7-3BCE4248BC3B}"/>
    <cellStyle name="Millares [0] 34 4 2 2 2 2" xfId="1407" xr:uid="{C224AFB6-5ED3-4FC9-B621-83866034F431}"/>
    <cellStyle name="Millares [0] 34 4 2 2 3" xfId="1075" xr:uid="{9D9FED8B-2C93-45CD-9C7B-0DAFD7C348FD}"/>
    <cellStyle name="Millares [0] 34 4 2 3" xfId="570" xr:uid="{DBA93807-02EA-43F4-8BC2-FB5D6C90BF43}"/>
    <cellStyle name="Millares [0] 34 4 2 3 2" xfId="1241" xr:uid="{D370C0E5-4816-479A-8781-408164E19B89}"/>
    <cellStyle name="Millares [0] 34 4 2 4" xfId="909" xr:uid="{7707ACC6-443F-4B4A-B785-9020BCAFDF27}"/>
    <cellStyle name="Millares [0] 34 4 3" xfId="315" xr:uid="{54C7D0E9-C60C-483F-966B-76901386C4E8}"/>
    <cellStyle name="Millares [0] 34 4 3 2" xfId="654" xr:uid="{A7F06EEA-3BA3-4482-A6E9-7A4EBFA2CDC2}"/>
    <cellStyle name="Millares [0] 34 4 3 2 2" xfId="1325" xr:uid="{70B52180-F841-49A5-9A7A-959164F2BEC5}"/>
    <cellStyle name="Millares [0] 34 4 3 3" xfId="993" xr:uid="{702E7AB8-F7D8-4033-B7CC-89351BE1CEEE}"/>
    <cellStyle name="Millares [0] 34 4 4" xfId="488" xr:uid="{6F00FE85-AAD8-45B8-A39E-70A60C75D245}"/>
    <cellStyle name="Millares [0] 34 4 4 2" xfId="1159" xr:uid="{1C0390BE-7E7F-4499-81DB-1154BBF58BD9}"/>
    <cellStyle name="Millares [0] 34 4 5" xfId="827" xr:uid="{9B779F6F-08FE-4138-A7FC-38AD38D06919}"/>
    <cellStyle name="Millares [0] 34 5" xfId="170" xr:uid="{579D0CEA-F7C8-4DD5-8FC5-03AABAE725DF}"/>
    <cellStyle name="Millares [0] 34 5 2" xfId="357" xr:uid="{9C7B729A-921D-43A0-9C53-D68E45147724}"/>
    <cellStyle name="Millares [0] 34 5 2 2" xfId="696" xr:uid="{A0772E65-C9E6-4385-B08C-FB98BB7BBA91}"/>
    <cellStyle name="Millares [0] 34 5 2 2 2" xfId="1367" xr:uid="{F5BBE351-6D34-4C99-A85C-BA9E6F76DDC5}"/>
    <cellStyle name="Millares [0] 34 5 2 3" xfId="1035" xr:uid="{C4F1E50C-A9DC-4E13-B2D1-B9FDB5D27E26}"/>
    <cellStyle name="Millares [0] 34 5 3" xfId="530" xr:uid="{432A6BE4-BF09-40BF-AD46-3319AEB36300}"/>
    <cellStyle name="Millares [0] 34 5 3 2" xfId="1201" xr:uid="{5D01884A-6E1F-4043-A8E4-E57EC7977FFA}"/>
    <cellStyle name="Millares [0] 34 5 4" xfId="869" xr:uid="{3E5D34EE-A186-490C-905E-695233F52252}"/>
    <cellStyle name="Millares [0] 34 6" xfId="274" xr:uid="{D1B5B664-71E7-4D93-85CB-DD480FBB3373}"/>
    <cellStyle name="Millares [0] 34 6 2" xfId="614" xr:uid="{EB95A176-083A-4FF4-95B5-CAF7D5969B68}"/>
    <cellStyle name="Millares [0] 34 6 2 2" xfId="1285" xr:uid="{B0E9DB6E-7648-4C0C-8E84-3E6186751C94}"/>
    <cellStyle name="Millares [0] 34 6 3" xfId="953" xr:uid="{65274019-F2E8-4BCF-A5DB-8E4309F36BFC}"/>
    <cellStyle name="Millares [0] 34 7" xfId="447" xr:uid="{22105DEE-5E1E-4A4A-BF4C-6E743BF6ABC6}"/>
    <cellStyle name="Millares [0] 34 7 2" xfId="1119" xr:uid="{442BC2B5-DDFA-492A-A60A-E069F9D5AC1D}"/>
    <cellStyle name="Millares [0] 34 8" xfId="786" xr:uid="{6D29F318-083E-47EF-8498-B8839AEDC545}"/>
    <cellStyle name="Millares [0] 4" xfId="78" xr:uid="{5F1EF62A-BD63-4A5B-A514-7D04AEEF2BBD}"/>
    <cellStyle name="Millares [0] 4 2" xfId="106" xr:uid="{200DCCED-6488-46DF-8538-C5546CBC421C}"/>
    <cellStyle name="Millares [0] 4 2 2" xfId="154" xr:uid="{AC23356A-A99E-453D-A7DC-0F5A1120F0EC}"/>
    <cellStyle name="Millares [0] 4 2 2 2" xfId="243" xr:uid="{C44E990A-D1BA-4D2E-B01A-DC0F4E9629FA}"/>
    <cellStyle name="Millares [0] 4 2 2 2 2" xfId="429" xr:uid="{DAEB942A-3BE9-4CE3-98CF-889D21CF07DF}"/>
    <cellStyle name="Millares [0] 4 2 2 2 2 2" xfId="768" xr:uid="{D7103E50-E2EF-4402-865E-9400D6F6AB8A}"/>
    <cellStyle name="Millares [0] 4 2 2 2 2 2 2" xfId="1439" xr:uid="{D28A53CF-0743-459D-B49B-B1FA232EFBF9}"/>
    <cellStyle name="Millares [0] 4 2 2 2 2 3" xfId="1107" xr:uid="{6563BABA-0678-47D0-9369-43211CEA4592}"/>
    <cellStyle name="Millares [0] 4 2 2 2 3" xfId="602" xr:uid="{70E40458-B9DF-44BA-8BA3-937CC1604A84}"/>
    <cellStyle name="Millares [0] 4 2 2 2 3 2" xfId="1273" xr:uid="{F2F7D3B1-ED57-4EE7-BE8B-8277EEAC6066}"/>
    <cellStyle name="Millares [0] 4 2 2 2 4" xfId="941" xr:uid="{F80C8574-8012-410B-92A0-A6FB02E99704}"/>
    <cellStyle name="Millares [0] 4 2 2 3" xfId="347" xr:uid="{3729AE97-61F1-40D6-A0F5-94BF617929A8}"/>
    <cellStyle name="Millares [0] 4 2 2 3 2" xfId="686" xr:uid="{B648DE8F-4D8C-4EBC-BA4A-750AF785CB52}"/>
    <cellStyle name="Millares [0] 4 2 2 3 2 2" xfId="1357" xr:uid="{993382C4-C861-4C46-9264-634C0D67B3F7}"/>
    <cellStyle name="Millares [0] 4 2 2 3 3" xfId="1025" xr:uid="{C2D9AE52-43AC-4CEE-B540-576A2557CAC1}"/>
    <cellStyle name="Millares [0] 4 2 2 4" xfId="520" xr:uid="{8D7E0D58-07EE-4A6A-BB2F-62B8D8511B80}"/>
    <cellStyle name="Millares [0] 4 2 2 4 2" xfId="1191" xr:uid="{0F1AE4BC-AEEA-4A0A-96D7-0B62DFE834FE}"/>
    <cellStyle name="Millares [0] 4 2 2 5" xfId="859" xr:uid="{169B0D21-457F-4D33-84A0-BC12E9A7733A}"/>
    <cellStyle name="Millares [0] 4 2 3" xfId="203" xr:uid="{633303EA-441C-404D-809D-67B11CECC529}"/>
    <cellStyle name="Millares [0] 4 2 3 2" xfId="389" xr:uid="{4A2C7D84-A564-4B5A-B58F-5F8FAC363817}"/>
    <cellStyle name="Millares [0] 4 2 3 2 2" xfId="728" xr:uid="{F29F7BED-B681-4684-BD58-4DD0D5AC7BAD}"/>
    <cellStyle name="Millares [0] 4 2 3 2 2 2" xfId="1399" xr:uid="{AA33BE15-4BE6-4BAC-8C12-6CAFD2E1D376}"/>
    <cellStyle name="Millares [0] 4 2 3 2 3" xfId="1067" xr:uid="{185E01BF-3977-48B8-B352-4B6C41D7BFEC}"/>
    <cellStyle name="Millares [0] 4 2 3 3" xfId="562" xr:uid="{546EE2A5-D619-401E-B7DF-61EA0AF49C71}"/>
    <cellStyle name="Millares [0] 4 2 3 3 2" xfId="1233" xr:uid="{6B8756C9-1A99-4409-9802-926FCB61F368}"/>
    <cellStyle name="Millares [0] 4 2 3 4" xfId="901" xr:uid="{007CF114-C719-4AAD-8D58-B2291157A12E}"/>
    <cellStyle name="Millares [0] 4 2 4" xfId="307" xr:uid="{56AF7CFA-F533-4F1A-85C7-3FCA9E484312}"/>
    <cellStyle name="Millares [0] 4 2 4 2" xfId="646" xr:uid="{EA7722DB-1A99-47C5-A25A-83C4DD820719}"/>
    <cellStyle name="Millares [0] 4 2 4 2 2" xfId="1317" xr:uid="{47B2BB9B-BE99-4D36-BDDE-090E4443B9C6}"/>
    <cellStyle name="Millares [0] 4 2 4 3" xfId="985" xr:uid="{69433275-8C70-464A-B2C7-0D66CD981687}"/>
    <cellStyle name="Millares [0] 4 2 5" xfId="480" xr:uid="{E588C196-0613-4744-B8D4-D62F375C9301}"/>
    <cellStyle name="Millares [0] 4 2 5 2" xfId="1151" xr:uid="{DBD01054-B5BB-4AE8-807C-A92AB334FEC6}"/>
    <cellStyle name="Millares [0] 4 2 6" xfId="819" xr:uid="{452B7986-F7C3-4F14-93DE-738C22AE3A6E}"/>
    <cellStyle name="Millares [0] 4 3" xfId="135" xr:uid="{D7D30F18-189F-4C12-8929-8D63BB1E0138}"/>
    <cellStyle name="Millares [0] 4 3 2" xfId="224" xr:uid="{4C3906EE-EE1C-49CF-B4D7-D5BAB4AEE1DA}"/>
    <cellStyle name="Millares [0] 4 3 2 2" xfId="410" xr:uid="{1C6017DD-9F80-422C-8845-E4B00A013653}"/>
    <cellStyle name="Millares [0] 4 3 2 2 2" xfId="749" xr:uid="{B4E1C536-CE8F-469A-A53C-98EC6099CFDE}"/>
    <cellStyle name="Millares [0] 4 3 2 2 2 2" xfId="1420" xr:uid="{410BF46C-E8F2-4578-A5C5-9FA08DCDFE2C}"/>
    <cellStyle name="Millares [0] 4 3 2 2 3" xfId="1088" xr:uid="{055BD139-370E-4391-9088-AB6DA8EF62A6}"/>
    <cellStyle name="Millares [0] 4 3 2 3" xfId="583" xr:uid="{E7B0631F-2496-4E09-BBC1-D37C3C9207FE}"/>
    <cellStyle name="Millares [0] 4 3 2 3 2" xfId="1254" xr:uid="{FA6A6737-47E1-4F13-BA50-AAA8F149B4F3}"/>
    <cellStyle name="Millares [0] 4 3 2 4" xfId="922" xr:uid="{0088E8DF-AC06-4E4B-8C28-0AE5EAECD22E}"/>
    <cellStyle name="Millares [0] 4 3 3" xfId="328" xr:uid="{AB30A31A-87DA-4030-92C7-B156F40EBEB8}"/>
    <cellStyle name="Millares [0] 4 3 3 2" xfId="667" xr:uid="{3F4EA4CF-706F-4FB3-9702-10E4982BA757}"/>
    <cellStyle name="Millares [0] 4 3 3 2 2" xfId="1338" xr:uid="{7EBB501D-60D1-463C-910A-4BE00D6AF5A1}"/>
    <cellStyle name="Millares [0] 4 3 3 3" xfId="1006" xr:uid="{6AAE25BA-8BE1-4CAA-A516-B843EAF3A5B4}"/>
    <cellStyle name="Millares [0] 4 3 4" xfId="501" xr:uid="{E5E2C7E9-B9C2-4B82-8F26-F7BF94D10C4C}"/>
    <cellStyle name="Millares [0] 4 3 4 2" xfId="1172" xr:uid="{800373C0-CFBB-4D57-A422-71A2211E4C9C}"/>
    <cellStyle name="Millares [0] 4 3 5" xfId="840" xr:uid="{E2021D46-9F21-432C-9E75-55978DC844B6}"/>
    <cellStyle name="Millares [0] 4 4" xfId="184" xr:uid="{DB088053-9E23-4FB1-A142-CEB2FB0954D0}"/>
    <cellStyle name="Millares [0] 4 4 2" xfId="370" xr:uid="{2EBD92FD-D216-4660-AC5F-35DF01860435}"/>
    <cellStyle name="Millares [0] 4 4 2 2" xfId="709" xr:uid="{29B5855C-A1D3-43B6-8363-0FA9B9F5FA50}"/>
    <cellStyle name="Millares [0] 4 4 2 2 2" xfId="1380" xr:uid="{CBD67A0C-5A24-4E80-8BAD-414F08FB4481}"/>
    <cellStyle name="Millares [0] 4 4 2 3" xfId="1048" xr:uid="{F1BC7EA3-3B54-4D07-9A50-B21917A29BA4}"/>
    <cellStyle name="Millares [0] 4 4 3" xfId="543" xr:uid="{1EDA265B-E272-41A5-B10D-99BE2A322C7E}"/>
    <cellStyle name="Millares [0] 4 4 3 2" xfId="1214" xr:uid="{9B643A61-8A2E-4A06-B024-0D621B0E89EE}"/>
    <cellStyle name="Millares [0] 4 4 4" xfId="882" xr:uid="{EDD0A06D-4953-47C1-BC30-A958FB6BB3BD}"/>
    <cellStyle name="Millares [0] 4 5" xfId="288" xr:uid="{ADCEEDEC-B63D-4921-A379-B5994AEB5BE9}"/>
    <cellStyle name="Millares [0] 4 5 2" xfId="627" xr:uid="{92147562-B2FF-490E-A847-1ABD1086D961}"/>
    <cellStyle name="Millares [0] 4 5 2 2" xfId="1298" xr:uid="{4258001A-7538-4F58-8587-6C20208A27B5}"/>
    <cellStyle name="Millares [0] 4 5 3" xfId="966" xr:uid="{272215D8-ECFE-4C68-A219-8C95F03E2F8F}"/>
    <cellStyle name="Millares [0] 4 6" xfId="461" xr:uid="{A394C1BA-F0AF-4901-862C-84DDFEB460B0}"/>
    <cellStyle name="Millares [0] 4 6 2" xfId="1132" xr:uid="{29E2B155-B131-4D3B-AC66-D01855CA4FF9}"/>
    <cellStyle name="Millares [0] 4 7" xfId="800" xr:uid="{E4193D60-2319-4C4C-81D0-FEC07DBF12F3}"/>
    <cellStyle name="Millares [0] 5" xfId="63" xr:uid="{2AAB5936-A63E-468C-A323-64FF495A53C1}"/>
    <cellStyle name="Millares [0] 5 2" xfId="98" xr:uid="{B81101BF-99D3-46AE-8699-D3420BE45F8F}"/>
    <cellStyle name="Millares [0] 5 2 2" xfId="146" xr:uid="{77442A01-D604-4073-8C53-06434CF0E104}"/>
    <cellStyle name="Millares [0] 5 2 2 2" xfId="235" xr:uid="{457131CC-193C-44EC-8C35-BA8AAD1FA0F1}"/>
    <cellStyle name="Millares [0] 5 2 2 2 2" xfId="421" xr:uid="{EC17C94E-E8F7-412E-B0B6-665DE891CA5C}"/>
    <cellStyle name="Millares [0] 5 2 2 2 2 2" xfId="760" xr:uid="{E1098760-BE28-45D8-897F-17ECEF055E43}"/>
    <cellStyle name="Millares [0] 5 2 2 2 2 2 2" xfId="1431" xr:uid="{219F179C-6EC1-435A-94E5-422B69A608BE}"/>
    <cellStyle name="Millares [0] 5 2 2 2 2 3" xfId="1099" xr:uid="{4BCAD92E-7C32-4DB4-842B-E3803E873CC1}"/>
    <cellStyle name="Millares [0] 5 2 2 2 3" xfId="594" xr:uid="{6EE6E1CA-8AEE-4BF6-B964-0B2B8A45733F}"/>
    <cellStyle name="Millares [0] 5 2 2 2 3 2" xfId="1265" xr:uid="{2C7A83F5-E52A-46C1-9064-A8EDB994C0C9}"/>
    <cellStyle name="Millares [0] 5 2 2 2 4" xfId="933" xr:uid="{CE017E04-62B1-4313-8690-A11BA596D6FD}"/>
    <cellStyle name="Millares [0] 5 2 2 3" xfId="339" xr:uid="{FDACCAB3-0577-458F-B8B8-76CB9D56C3DF}"/>
    <cellStyle name="Millares [0] 5 2 2 3 2" xfId="678" xr:uid="{FC81CAAE-8FB9-4B2E-90F2-05C83F748F6B}"/>
    <cellStyle name="Millares [0] 5 2 2 3 2 2" xfId="1349" xr:uid="{8D2441C5-FCFA-4BB6-9DF3-54FBA83432BE}"/>
    <cellStyle name="Millares [0] 5 2 2 3 3" xfId="1017" xr:uid="{185675CD-E089-4260-A1D3-40BE51794E52}"/>
    <cellStyle name="Millares [0] 5 2 2 4" xfId="512" xr:uid="{FB5A8B54-CEEE-4001-BAA0-6494FDF664DE}"/>
    <cellStyle name="Millares [0] 5 2 2 4 2" xfId="1183" xr:uid="{30715B4C-F490-4F10-A09A-D5A900ACCCAB}"/>
    <cellStyle name="Millares [0] 5 2 2 5" xfId="851" xr:uid="{6C7D0EB1-AFAD-4554-8696-A73BA791CA6A}"/>
    <cellStyle name="Millares [0] 5 2 3" xfId="195" xr:uid="{91932D5F-8E75-40AD-9EB6-ACB6374884D4}"/>
    <cellStyle name="Millares [0] 5 2 3 2" xfId="381" xr:uid="{FFC117F0-4D98-4E6F-B94A-2780FF4C158D}"/>
    <cellStyle name="Millares [0] 5 2 3 2 2" xfId="720" xr:uid="{39F6FCC3-832A-4E01-B9E7-76632AF4A0B5}"/>
    <cellStyle name="Millares [0] 5 2 3 2 2 2" xfId="1391" xr:uid="{7AD5EC3E-B672-41A2-A340-D59DEE6661BC}"/>
    <cellStyle name="Millares [0] 5 2 3 2 3" xfId="1059" xr:uid="{79C02B19-124C-4564-AB84-9D7049F224AF}"/>
    <cellStyle name="Millares [0] 5 2 3 3" xfId="554" xr:uid="{CAF0BA40-FB70-4505-AD6A-AFE0B4E56468}"/>
    <cellStyle name="Millares [0] 5 2 3 3 2" xfId="1225" xr:uid="{08E2552B-25D5-459A-9195-10A76497A18C}"/>
    <cellStyle name="Millares [0] 5 2 3 4" xfId="893" xr:uid="{9559E76B-3362-4EFD-BB45-45C90D28C8E9}"/>
    <cellStyle name="Millares [0] 5 2 4" xfId="299" xr:uid="{476B00AE-2E76-4194-83F1-52862F15D7C0}"/>
    <cellStyle name="Millares [0] 5 2 4 2" xfId="638" xr:uid="{0766BAA1-D2B7-485F-AEF4-587F59938C51}"/>
    <cellStyle name="Millares [0] 5 2 4 2 2" xfId="1309" xr:uid="{8E3B76D9-A088-4E76-99E9-D4CAFA2A2062}"/>
    <cellStyle name="Millares [0] 5 2 4 3" xfId="977" xr:uid="{58634E61-39DB-4B0F-AA08-9EEEC0C345EC}"/>
    <cellStyle name="Millares [0] 5 2 5" xfId="472" xr:uid="{D8EAF3F4-6700-4ACC-A92E-CA3E14F9D336}"/>
    <cellStyle name="Millares [0] 5 2 5 2" xfId="1143" xr:uid="{2B618A60-3580-4233-B0C3-6447BD1FF895}"/>
    <cellStyle name="Millares [0] 5 2 6" xfId="811" xr:uid="{383080C3-448D-44F5-A47F-BE8D2EFECCBC}"/>
    <cellStyle name="Millares [0] 5 3" xfId="127" xr:uid="{2266A638-8812-4D6F-8564-295DCA3FBE4C}"/>
    <cellStyle name="Millares [0] 5 3 2" xfId="216" xr:uid="{76389BD4-1CB9-4C77-B7A8-955026DD3AC2}"/>
    <cellStyle name="Millares [0] 5 3 2 2" xfId="402" xr:uid="{1746E226-2490-4FD6-AA0F-A730F316AEAB}"/>
    <cellStyle name="Millares [0] 5 3 2 2 2" xfId="741" xr:uid="{D5D699D6-0C93-4AFC-ABD9-93C28487A0AB}"/>
    <cellStyle name="Millares [0] 5 3 2 2 2 2" xfId="1412" xr:uid="{7EFE9B4B-FC7F-4EF2-8705-8A495DD5512D}"/>
    <cellStyle name="Millares [0] 5 3 2 2 3" xfId="1080" xr:uid="{80BCF301-C6D7-4D54-8B33-228A79A4C385}"/>
    <cellStyle name="Millares [0] 5 3 2 3" xfId="575" xr:uid="{BD449946-AF49-47A4-A198-DB7F5898B86F}"/>
    <cellStyle name="Millares [0] 5 3 2 3 2" xfId="1246" xr:uid="{187FA12C-AB6E-4060-9E7C-95CEDF746C91}"/>
    <cellStyle name="Millares [0] 5 3 2 4" xfId="914" xr:uid="{015B2892-58B6-41EF-BD16-2F5B85DAE18C}"/>
    <cellStyle name="Millares [0] 5 3 3" xfId="320" xr:uid="{9549C471-55EB-4B53-9E38-DD1DE239C225}"/>
    <cellStyle name="Millares [0] 5 3 3 2" xfId="659" xr:uid="{6B8C49AF-57B6-48AE-A13A-3C12CA984792}"/>
    <cellStyle name="Millares [0] 5 3 3 2 2" xfId="1330" xr:uid="{19526EE3-0B84-465B-BDB4-D971F3ADE0FD}"/>
    <cellStyle name="Millares [0] 5 3 3 3" xfId="998" xr:uid="{F7481970-772A-4C5F-8D69-B0FA28B74CE5}"/>
    <cellStyle name="Millares [0] 5 3 4" xfId="493" xr:uid="{71396595-8862-4FD3-9637-9725CF78B263}"/>
    <cellStyle name="Millares [0] 5 3 4 2" xfId="1164" xr:uid="{06974652-B039-43E1-9532-536B254E8F4B}"/>
    <cellStyle name="Millares [0] 5 3 5" xfId="832" xr:uid="{06058953-3F7C-4D90-8F9F-89604F8F8C3A}"/>
    <cellStyle name="Millares [0] 5 4" xfId="176" xr:uid="{926D1E5B-29C8-44C5-B0A3-66CEDF51C895}"/>
    <cellStyle name="Millares [0] 5 4 2" xfId="362" xr:uid="{30FACD3F-6150-491E-B8A3-CB00144767A6}"/>
    <cellStyle name="Millares [0] 5 4 2 2" xfId="701" xr:uid="{471022F4-37EC-434A-ABFB-554592E4744A}"/>
    <cellStyle name="Millares [0] 5 4 2 2 2" xfId="1372" xr:uid="{EC148AC0-0E9D-4DA3-84D4-36C88EB1729C}"/>
    <cellStyle name="Millares [0] 5 4 2 3" xfId="1040" xr:uid="{447A0C7F-9F67-443B-857E-F3B160AF1543}"/>
    <cellStyle name="Millares [0] 5 4 3" xfId="535" xr:uid="{1A2B2686-9E19-4236-B542-0B4C11ADBF36}"/>
    <cellStyle name="Millares [0] 5 4 3 2" xfId="1206" xr:uid="{9725F1F6-BAAB-4610-942A-8ED0C8DFBC0B}"/>
    <cellStyle name="Millares [0] 5 4 4" xfId="874" xr:uid="{FB9F13E8-7D5A-45F0-93D8-480744D1D906}"/>
    <cellStyle name="Millares [0] 5 5" xfId="280" xr:uid="{6C82AAFE-A75B-4F7E-973D-FA90391F0F80}"/>
    <cellStyle name="Millares [0] 5 5 2" xfId="619" xr:uid="{AB57D1D8-8534-4F7A-AFE7-4843048AB300}"/>
    <cellStyle name="Millares [0] 5 5 2 2" xfId="1290" xr:uid="{6B353EA1-0601-43FB-BD21-FBB8FD292F88}"/>
    <cellStyle name="Millares [0] 5 5 3" xfId="958" xr:uid="{6E4AFBEB-1CB7-4DD5-ADE0-7FC4EFD7E615}"/>
    <cellStyle name="Millares [0] 5 6" xfId="453" xr:uid="{E0415AFD-1A1E-4471-9B0F-097CA083F6B9}"/>
    <cellStyle name="Millares [0] 5 6 2" xfId="1124" xr:uid="{BA021A7C-617D-444D-A253-EA6C8A8CA77F}"/>
    <cellStyle name="Millares [0] 5 7" xfId="792" xr:uid="{2E756722-A9DC-40DE-B218-3E287B7F03BE}"/>
    <cellStyle name="Millares [0] 6" xfId="96" xr:uid="{690E7A83-A380-4ECF-8E57-3C6AB131795F}"/>
    <cellStyle name="Millares [0] 6 2" xfId="145" xr:uid="{577617B8-1046-41C8-A437-F1F2B803D517}"/>
    <cellStyle name="Millares [0] 6 2 2" xfId="234" xr:uid="{F5A25356-BE52-46E1-AFCD-08A79A92076A}"/>
    <cellStyle name="Millares [0] 6 2 2 2" xfId="420" xr:uid="{D05A0CDB-70B8-4763-9AC3-54A3E60FF7AC}"/>
    <cellStyle name="Millares [0] 6 2 2 2 2" xfId="759" xr:uid="{DB3E634B-717F-4D39-A561-D392AF171AFC}"/>
    <cellStyle name="Millares [0] 6 2 2 2 2 2" xfId="1430" xr:uid="{5BE62796-7AE4-45E9-AB60-0BFC3EA96416}"/>
    <cellStyle name="Millares [0] 6 2 2 2 3" xfId="1098" xr:uid="{E347D22E-6B51-4278-B909-F9E708DBD6BB}"/>
    <cellStyle name="Millares [0] 6 2 2 3" xfId="593" xr:uid="{2276029A-7D1C-472B-B1E1-B925FCAF3228}"/>
    <cellStyle name="Millares [0] 6 2 2 3 2" xfId="1264" xr:uid="{A64A4389-141B-46EC-86F6-EAB8C29FA8CB}"/>
    <cellStyle name="Millares [0] 6 2 2 4" xfId="932" xr:uid="{5C4F2E3C-B676-403B-9D89-0195F3A669BF}"/>
    <cellStyle name="Millares [0] 6 2 3" xfId="338" xr:uid="{69BDDFB1-6BDF-4C66-9C96-5CA3B755A63C}"/>
    <cellStyle name="Millares [0] 6 2 3 2" xfId="677" xr:uid="{DD489C57-9958-4976-A20B-B94FFD0DA83A}"/>
    <cellStyle name="Millares [0] 6 2 3 2 2" xfId="1348" xr:uid="{B4E4C119-75AB-4231-B996-6F62CB1EB2D4}"/>
    <cellStyle name="Millares [0] 6 2 3 3" xfId="1016" xr:uid="{00927147-6EFA-4687-8373-03E1AA97CA6E}"/>
    <cellStyle name="Millares [0] 6 2 4" xfId="511" xr:uid="{0DBCA472-5DF0-4CB6-922C-D36BF87E3686}"/>
    <cellStyle name="Millares [0] 6 2 4 2" xfId="1182" xr:uid="{2E4ED73F-6B96-4F40-B3C8-AC34623AB2E9}"/>
    <cellStyle name="Millares [0] 6 2 5" xfId="850" xr:uid="{905A8097-2A39-4715-A218-6D1268D86E4E}"/>
    <cellStyle name="Millares [0] 6 3" xfId="194" xr:uid="{C4F17E93-8889-48A6-BB03-70AAF2991DDB}"/>
    <cellStyle name="Millares [0] 6 3 2" xfId="380" xr:uid="{0363E248-8304-4FF9-9B76-240C4719E868}"/>
    <cellStyle name="Millares [0] 6 3 2 2" xfId="719" xr:uid="{BB984B8B-9ABE-4059-A4A8-5A590B1EA02C}"/>
    <cellStyle name="Millares [0] 6 3 2 2 2" xfId="1390" xr:uid="{BA9F6768-4B10-419B-A969-76E6786D7F50}"/>
    <cellStyle name="Millares [0] 6 3 2 3" xfId="1058" xr:uid="{9F5A63FC-11E1-4E7F-B8E8-9DF944CFBB89}"/>
    <cellStyle name="Millares [0] 6 3 3" xfId="553" xr:uid="{0B8B9E76-AD7E-47D0-8960-750F9F954C75}"/>
    <cellStyle name="Millares [0] 6 3 3 2" xfId="1224" xr:uid="{9F360A92-756E-4B44-9581-3F2BFC61A570}"/>
    <cellStyle name="Millares [0] 6 3 4" xfId="892" xr:uid="{615C255F-7A66-47E4-A2EC-ABBD23A983D4}"/>
    <cellStyle name="Millares [0] 6 4" xfId="298" xr:uid="{97794EE4-B88E-486C-B11C-F74A42A08727}"/>
    <cellStyle name="Millares [0] 6 4 2" xfId="637" xr:uid="{6F3501C4-576D-4CF4-8947-EA02A61108CF}"/>
    <cellStyle name="Millares [0] 6 4 2 2" xfId="1308" xr:uid="{12A46B05-D48B-4AA5-8608-6BBBC9C99198}"/>
    <cellStyle name="Millares [0] 6 4 3" xfId="976" xr:uid="{6FAF4265-8844-49EF-BE0D-5967A7F14FE8}"/>
    <cellStyle name="Millares [0] 6 5" xfId="471" xr:uid="{8189759B-9C9A-4EE1-94D0-5F77ACA8065E}"/>
    <cellStyle name="Millares [0] 6 5 2" xfId="1142" xr:uid="{B8946C24-3139-4018-8514-13F3FE802849}"/>
    <cellStyle name="Millares [0] 6 6" xfId="810" xr:uid="{F0FEE41A-C269-4FB2-B16B-62E183474DD6}"/>
    <cellStyle name="Millares [0] 7" xfId="125" xr:uid="{96BAFDFC-A4FC-4FED-865A-801E76D08CC1}"/>
    <cellStyle name="Millares [0] 7 2" xfId="215" xr:uid="{D7D30B02-6C8A-4A6B-B1AB-411982818A4F}"/>
    <cellStyle name="Millares [0] 7 2 2" xfId="401" xr:uid="{83426C3E-09FC-41EE-A224-3DDD3A3A250B}"/>
    <cellStyle name="Millares [0] 7 2 2 2" xfId="740" xr:uid="{DD9C61DF-B023-46E3-BD77-548754EDFA5C}"/>
    <cellStyle name="Millares [0] 7 2 2 2 2" xfId="1411" xr:uid="{24C8A7CC-7176-49E6-8A99-A187D0C22D42}"/>
    <cellStyle name="Millares [0] 7 2 2 3" xfId="1079" xr:uid="{6A7C1F94-CE75-4C2D-B2B5-AF7F998EA629}"/>
    <cellStyle name="Millares [0] 7 2 3" xfId="574" xr:uid="{40F111E5-A945-4F68-B6CA-8DD9E06D811E}"/>
    <cellStyle name="Millares [0] 7 2 3 2" xfId="1245" xr:uid="{EB3973AE-5F34-4C69-ABCA-C6EF8A50F779}"/>
    <cellStyle name="Millares [0] 7 2 4" xfId="913" xr:uid="{73701C29-880D-4E36-A8A9-755B6753AB99}"/>
    <cellStyle name="Millares [0] 7 3" xfId="319" xr:uid="{48E98C5B-B84C-4F2A-8494-E02B75936790}"/>
    <cellStyle name="Millares [0] 7 3 2" xfId="658" xr:uid="{E7EAB9EE-7AE0-4BF3-BC34-E472C03935FB}"/>
    <cellStyle name="Millares [0] 7 3 2 2" xfId="1329" xr:uid="{A0506163-6D21-4FF0-9E2F-B47B89F37F56}"/>
    <cellStyle name="Millares [0] 7 3 3" xfId="997" xr:uid="{C9AAD229-B454-48E4-868F-92025BF0E1DB}"/>
    <cellStyle name="Millares [0] 7 4" xfId="492" xr:uid="{4512BA4D-8DFB-47D0-97DD-0DC116B2971A}"/>
    <cellStyle name="Millares [0] 7 4 2" xfId="1163" xr:uid="{FC1515CB-C5CD-4368-B708-B2EC258FEA1E}"/>
    <cellStyle name="Millares [0] 7 5" xfId="831" xr:uid="{30153C25-11C6-4A81-AE92-A6DFA3428C80}"/>
    <cellStyle name="Millares [0] 8" xfId="111" xr:uid="{C3BDF31F-B1DE-4372-8D06-D87D3C7D5E7B}"/>
    <cellStyle name="Millares [0] 8 2" xfId="208" xr:uid="{0CBEA19B-3AE0-4390-BD3A-F90D8B37B1B9}"/>
    <cellStyle name="Millares [0] 8 2 2" xfId="394" xr:uid="{0C229975-51A0-4B86-885F-5A99910F3E93}"/>
    <cellStyle name="Millares [0] 8 2 2 2" xfId="733" xr:uid="{6B647C0B-6099-4EA8-95D7-219B8911A839}"/>
    <cellStyle name="Millares [0] 8 2 2 2 2" xfId="1404" xr:uid="{AD131F67-FFDC-422C-96D3-F49ADC872490}"/>
    <cellStyle name="Millares [0] 8 2 2 3" xfId="1072" xr:uid="{AFCCAA02-4E03-4852-AEFE-F1769573AFE6}"/>
    <cellStyle name="Millares [0] 8 2 3" xfId="567" xr:uid="{966BD42D-CD82-446B-BD92-B1E19E668856}"/>
    <cellStyle name="Millares [0] 8 2 3 2" xfId="1238" xr:uid="{A19C815A-C70F-4909-AF4A-85D881759081}"/>
    <cellStyle name="Millares [0] 8 2 4" xfId="906" xr:uid="{F82FB2C2-8386-4DD7-9CF7-EF0953620E7C}"/>
    <cellStyle name="Millares [0] 8 3" xfId="312" xr:uid="{3FA1C99E-9B89-4C98-8DEC-0018F8CC8522}"/>
    <cellStyle name="Millares [0] 8 3 2" xfId="651" xr:uid="{09DFB86B-3D5E-4B81-A1C8-5CC5C11D5005}"/>
    <cellStyle name="Millares [0] 8 3 2 2" xfId="1322" xr:uid="{949BDDD6-98BB-4EB8-977F-835BBC57B94D}"/>
    <cellStyle name="Millares [0] 8 3 3" xfId="990" xr:uid="{E0A3DD9A-F2BD-44A0-8E41-9E91C38AE864}"/>
    <cellStyle name="Millares [0] 8 4" xfId="485" xr:uid="{48B163D5-75A9-4C79-8669-04835D651516}"/>
    <cellStyle name="Millares [0] 8 4 2" xfId="1156" xr:uid="{CAFE372F-B4DC-4A4E-ADDD-A47BC0958C0E}"/>
    <cellStyle name="Millares [0] 8 5" xfId="824" xr:uid="{8C3D1FCB-AE8A-4766-8AA9-A1507676F078}"/>
    <cellStyle name="Millares [0] 9" xfId="161" xr:uid="{B967B69C-AD84-42CA-832F-B6877E2928EA}"/>
    <cellStyle name="Millares [0] 9 2" xfId="250" xr:uid="{E77518DE-3B33-4E1D-ADD0-4D2C18898FBB}"/>
    <cellStyle name="Millares [0] 9 2 2" xfId="436" xr:uid="{9BF15A98-6D68-4EA2-BC29-247D5D666964}"/>
    <cellStyle name="Millares [0] 9 2 2 2" xfId="775" xr:uid="{7A1FA023-FB51-49C8-A69B-BB9CA1CEA232}"/>
    <cellStyle name="Millares [0] 9 2 2 2 2" xfId="1446" xr:uid="{BAC849FD-5354-4136-B648-8769210D7C66}"/>
    <cellStyle name="Millares [0] 9 2 2 3" xfId="1114" xr:uid="{9275BE3F-F8BA-454A-B755-566713082D75}"/>
    <cellStyle name="Millares [0] 9 2 3" xfId="609" xr:uid="{3D08D24A-B9A8-4C42-8F1D-6B623F84F144}"/>
    <cellStyle name="Millares [0] 9 2 3 2" xfId="1280" xr:uid="{3D8C8959-9BEA-4EF3-9350-7750FC24D7E7}"/>
    <cellStyle name="Millares [0] 9 2 4" xfId="948" xr:uid="{C6D72914-2B3E-42FC-BCB1-9796E22172F0}"/>
    <cellStyle name="Millares [0] 9 3" xfId="354" xr:uid="{974C42D7-71F5-4C0B-B0A4-B2F359FAA294}"/>
    <cellStyle name="Millares [0] 9 3 2" xfId="693" xr:uid="{8A7A7F0E-1A10-4460-83BC-7DA1B7D7CB52}"/>
    <cellStyle name="Millares [0] 9 3 2 2" xfId="1364" xr:uid="{03DA47BA-A2E5-4742-8184-3DDCB498A559}"/>
    <cellStyle name="Millares [0] 9 3 3" xfId="1032" xr:uid="{FA07388C-09F9-454A-AEC6-0DC8048016D3}"/>
    <cellStyle name="Millares [0] 9 4" xfId="527" xr:uid="{AD1F09AB-A642-4F41-A84A-2926C428588F}"/>
    <cellStyle name="Millares [0] 9 4 2" xfId="1198" xr:uid="{A9EAB792-C51C-4539-B7E7-9DB9DB1EDF9E}"/>
    <cellStyle name="Millares [0] 9 5" xfId="866" xr:uid="{F393DF10-B3DA-4586-8956-EA3B9D34C98F}"/>
    <cellStyle name="Millares 10" xfId="118" xr:uid="{1440254F-ECB7-49CB-ACB6-8A27CEC2F588}"/>
    <cellStyle name="Millares 10 2" xfId="209" xr:uid="{670E9376-D175-4F21-A6C6-2DC92FBD6354}"/>
    <cellStyle name="Millares 10 2 2" xfId="395" xr:uid="{E48133E0-7B49-473E-8F1E-1591F8565BA3}"/>
    <cellStyle name="Millares 10 2 2 2" xfId="734" xr:uid="{F695F36F-F421-4B23-8203-726700DA6222}"/>
    <cellStyle name="Millares 10 2 2 2 2" xfId="1405" xr:uid="{F04716A9-11DD-4141-B664-79097EFB67EF}"/>
    <cellStyle name="Millares 10 2 2 3" xfId="1073" xr:uid="{5BD24A49-E810-410C-B8F1-C2E3C31C2AFA}"/>
    <cellStyle name="Millares 10 2 3" xfId="568" xr:uid="{61187C6E-38D4-41F3-A159-B1D2005E96FF}"/>
    <cellStyle name="Millares 10 2 3 2" xfId="1239" xr:uid="{4231E190-5D32-4660-B93B-B3AE26E7FF64}"/>
    <cellStyle name="Millares 10 2 4" xfId="907" xr:uid="{821AE30F-DEB9-4DB0-ADE7-827FFBB4A75D}"/>
    <cellStyle name="Millares 10 3" xfId="313" xr:uid="{A50195E2-5370-4DEF-BABD-CA71D27178D5}"/>
    <cellStyle name="Millares 10 3 2" xfId="652" xr:uid="{D580EAAF-7200-4FE4-B3B0-E5CBC5449CF2}"/>
    <cellStyle name="Millares 10 3 2 2" xfId="1323" xr:uid="{84428371-2526-43B0-9132-7D69B72A2597}"/>
    <cellStyle name="Millares 10 3 3" xfId="991" xr:uid="{9481715E-F94F-4071-A124-E97CC7722F34}"/>
    <cellStyle name="Millares 10 4" xfId="486" xr:uid="{5F5A10B3-E406-4693-9523-FC6A868580FD}"/>
    <cellStyle name="Millares 10 4 2" xfId="1157" xr:uid="{57060FF7-A3BC-44B8-BFB7-7AA708199631}"/>
    <cellStyle name="Millares 10 5" xfId="825" xr:uid="{F5067C93-EA56-46E7-9AFF-BF4CDC5B4842}"/>
    <cellStyle name="Millares 100 2" xfId="57" xr:uid="{09357014-C3B4-406E-8115-001CC3C05B77}"/>
    <cellStyle name="Millares 100 2 2" xfId="262" xr:uid="{1997DB61-6759-4E3D-B65B-C72B050DFA4A}"/>
    <cellStyle name="Millares 11" xfId="159" xr:uid="{2B0A67B7-E4C0-4639-8006-8A26308542FA}"/>
    <cellStyle name="Millares 11 2" xfId="248" xr:uid="{0F71D06F-B9B8-4559-9D6C-C5CCE4D0AC29}"/>
    <cellStyle name="Millares 11 2 2" xfId="434" xr:uid="{AB094984-D877-4C71-A466-1F2F16CB6327}"/>
    <cellStyle name="Millares 11 2 2 2" xfId="773" xr:uid="{1EAFA74D-F8DD-4BD4-A341-1542B0AB7103}"/>
    <cellStyle name="Millares 11 2 2 2 2" xfId="1444" xr:uid="{6FFC5CEE-F188-460F-BF0A-DEE36D7F51B1}"/>
    <cellStyle name="Millares 11 2 2 3" xfId="1112" xr:uid="{1AB528A7-F49D-4F61-9B08-B827A07C788D}"/>
    <cellStyle name="Millares 11 2 3" xfId="607" xr:uid="{A5833EE6-F170-418F-81C7-35DA9FAB76C0}"/>
    <cellStyle name="Millares 11 2 3 2" xfId="1278" xr:uid="{F11E96E4-BD6E-499D-B450-2004E47C6EEB}"/>
    <cellStyle name="Millares 11 2 4" xfId="946" xr:uid="{34E10B56-04F8-4CD8-9D36-B5F167E88246}"/>
    <cellStyle name="Millares 11 3" xfId="352" xr:uid="{4E2EECFB-8E8A-4493-9E58-23993B1B097F}"/>
    <cellStyle name="Millares 11 3 2" xfId="691" xr:uid="{F25EC879-7F45-489F-8427-2BA9B0BC6406}"/>
    <cellStyle name="Millares 11 3 2 2" xfId="1362" xr:uid="{7D4EFF67-45A6-4525-AE65-3063A5307887}"/>
    <cellStyle name="Millares 11 3 3" xfId="1030" xr:uid="{70BD3A8C-6D97-4A80-BC85-C182713DBF08}"/>
    <cellStyle name="Millares 11 4" xfId="525" xr:uid="{0CD8BE93-07D2-45B3-B2AB-C2F4C68DFFD6}"/>
    <cellStyle name="Millares 11 4 2" xfId="1196" xr:uid="{E4CC9AF9-FE81-4E9E-A94E-930A4F58257B}"/>
    <cellStyle name="Millares 11 5" xfId="864" xr:uid="{34B27FA6-26FB-4EC8-AC08-9E31181764AB}"/>
    <cellStyle name="Millares 12" xfId="160" xr:uid="{95E6958B-CFF6-430B-BB09-A2FA7880861C}"/>
    <cellStyle name="Millares 12 2" xfId="249" xr:uid="{5411BF03-3255-477C-891C-0C677EC70431}"/>
    <cellStyle name="Millares 12 2 2" xfId="435" xr:uid="{95EA6CFB-B288-428C-B432-E29D7B70BE81}"/>
    <cellStyle name="Millares 12 2 2 2" xfId="774" xr:uid="{08BA5B85-BD16-4AE7-B2CF-DC98E8B497DB}"/>
    <cellStyle name="Millares 12 2 2 2 2" xfId="1445" xr:uid="{66447229-C314-463F-AAD9-8778135D6160}"/>
    <cellStyle name="Millares 12 2 2 3" xfId="1113" xr:uid="{E9E44157-7ED3-4FA0-8664-3FEEFE08CB91}"/>
    <cellStyle name="Millares 12 2 3" xfId="608" xr:uid="{29667CBA-639B-45C0-B7B1-CABB8218100D}"/>
    <cellStyle name="Millares 12 2 3 2" xfId="1279" xr:uid="{E9531A8B-FDE7-4A4D-BF7B-D90EBC5CFB19}"/>
    <cellStyle name="Millares 12 2 4" xfId="947" xr:uid="{BFE632DD-64BE-4627-95A8-507747DA98EA}"/>
    <cellStyle name="Millares 12 3" xfId="353" xr:uid="{B67F7CE6-B3C0-4DE4-B513-5551A697FD1E}"/>
    <cellStyle name="Millares 12 3 2" xfId="692" xr:uid="{EBDDB5BB-F66E-40C9-8E36-C440176D7399}"/>
    <cellStyle name="Millares 12 3 2 2" xfId="1363" xr:uid="{7971908B-7B2C-47A2-BA55-B0CA81F4FE7F}"/>
    <cellStyle name="Millares 12 3 3" xfId="1031" xr:uid="{71B77A39-E5DB-452F-9671-844DDF43A043}"/>
    <cellStyle name="Millares 12 4" xfId="526" xr:uid="{320EFF5B-A5D6-44DE-8AF1-564FE1E5A98F}"/>
    <cellStyle name="Millares 12 4 2" xfId="1197" xr:uid="{C6030FC4-416F-4749-9E84-B3344ED53878}"/>
    <cellStyle name="Millares 12 5" xfId="865" xr:uid="{581AE02C-59DA-44B1-8CD7-7CECDB98E335}"/>
    <cellStyle name="Millares 13" xfId="168" xr:uid="{324162CA-AA35-4C5C-B2F2-F961E9D5F0B1}"/>
    <cellStyle name="Millares 13 2" xfId="355" xr:uid="{36B34EC2-5273-411E-B8E1-E1E824507A8D}"/>
    <cellStyle name="Millares 13 2 2" xfId="694" xr:uid="{39629041-101C-4B13-8AEB-419E5DB31063}"/>
    <cellStyle name="Millares 13 2 2 2" xfId="1365" xr:uid="{0BB90843-01C3-4176-ADE9-8075150A7A8C}"/>
    <cellStyle name="Millares 13 2 3" xfId="1033" xr:uid="{84AA2B7E-E103-4ECB-8B06-24B095174357}"/>
    <cellStyle name="Millares 13 3" xfId="528" xr:uid="{1BEA0C66-8447-4099-BE56-947461F4F72B}"/>
    <cellStyle name="Millares 13 3 2" xfId="1199" xr:uid="{F462E5A0-20B8-44CC-9813-C908172FEE2B}"/>
    <cellStyle name="Millares 13 4" xfId="867" xr:uid="{F6599A16-371E-43D3-B390-CD3A40B6B956}"/>
    <cellStyle name="Millares 14" xfId="257" xr:uid="{60DEAEB7-B189-4E45-8FA7-64949B4B224F}"/>
    <cellStyle name="Millares 14 2" xfId="437" xr:uid="{132EE4BC-62FD-448F-A81F-F12E0293AB02}"/>
    <cellStyle name="Millares 14 2 2" xfId="776" xr:uid="{584EFE9B-406A-477A-90A7-D523B85D4A18}"/>
    <cellStyle name="Millares 14 2 2 2" xfId="1447" xr:uid="{0AC14C44-98B5-42AD-9B5E-31A3696269F8}"/>
    <cellStyle name="Millares 14 2 3" xfId="1115" xr:uid="{A4C8ED56-6B35-496E-96F4-F8CFD35EDFD4}"/>
    <cellStyle name="Millares 14 3" xfId="610" xr:uid="{B822223A-7120-4BA2-A2F1-79B54A49CA38}"/>
    <cellStyle name="Millares 14 3 2" xfId="1281" xr:uid="{F26FA120-5019-40B7-8177-E5B2158F9D39}"/>
    <cellStyle name="Millares 14 4" xfId="949" xr:uid="{4ABBE550-6078-4AEA-AE70-EC35A3EB3406}"/>
    <cellStyle name="Millares 15" xfId="272" xr:uid="{B1273BB3-1A92-4BD4-91CA-EB5FA4EAF569}"/>
    <cellStyle name="Millares 15 2" xfId="612" xr:uid="{70B36AC7-AD91-4731-BE1B-F75B6B4E5BE6}"/>
    <cellStyle name="Millares 15 2 2" xfId="1283" xr:uid="{3F9410C1-01D6-4169-A49D-B558D730E397}"/>
    <cellStyle name="Millares 15 3" xfId="951" xr:uid="{4CD852E0-2B88-4B9C-9EC7-4E64BD2CAFD9}"/>
    <cellStyle name="Millares 16" xfId="445" xr:uid="{931D2F2B-5212-41E9-ACFB-91C22EBD69D6}"/>
    <cellStyle name="Millares 16 2" xfId="1117" xr:uid="{4596E8DC-7C10-4B7C-8E20-F813B75E3D09}"/>
    <cellStyle name="Millares 17" xfId="784" xr:uid="{E89301BE-B681-46AA-BAE2-6BF34867A02A}"/>
    <cellStyle name="Millares 18" xfId="59" xr:uid="{739B592B-BFEC-473D-AA44-91E4731BBF2A}"/>
    <cellStyle name="Millares 19" xfId="43" xr:uid="{27357027-7E76-49E2-A8FC-4CE538B74FAE}"/>
    <cellStyle name="Millares 2" xfId="47" xr:uid="{368A5FBD-E567-48F1-A32E-228852D426E7}"/>
    <cellStyle name="Millares 2 2" xfId="74" xr:uid="{F818082F-E06B-4AFD-B9CD-D1F27AF4DE92}"/>
    <cellStyle name="Millares 2 2 2" xfId="103" xr:uid="{B3CE423F-56B8-41DC-92D6-053585F7CCD3}"/>
    <cellStyle name="Millares 2 2 2 2" xfId="151" xr:uid="{26CCF58B-EB7A-4177-975C-0494E300E5C7}"/>
    <cellStyle name="Millares 2 2 2 2 2" xfId="240" xr:uid="{4CA5E6C6-A806-4D37-815F-0B94AFD01EE0}"/>
    <cellStyle name="Millares 2 2 2 2 2 2" xfId="426" xr:uid="{842BB82D-C8C7-49A1-8563-D4F2086B75D5}"/>
    <cellStyle name="Millares 2 2 2 2 2 2 2" xfId="765" xr:uid="{B1CB62BB-19B5-4A6D-B448-E7E41DB0B904}"/>
    <cellStyle name="Millares 2 2 2 2 2 2 2 2" xfId="1436" xr:uid="{8BCDA37D-CA1D-4FA1-9DA3-01D80D1E0DC1}"/>
    <cellStyle name="Millares 2 2 2 2 2 2 3" xfId="1104" xr:uid="{87F3DD1D-32D5-4582-A958-08FA7C415DAC}"/>
    <cellStyle name="Millares 2 2 2 2 2 3" xfId="599" xr:uid="{2FF56FB4-51EB-4E07-AF03-A8169238791E}"/>
    <cellStyle name="Millares 2 2 2 2 2 3 2" xfId="1270" xr:uid="{B5ABCB6F-D730-494D-8391-CC4A503703F4}"/>
    <cellStyle name="Millares 2 2 2 2 2 4" xfId="938" xr:uid="{F162AAE7-590C-447C-AE1A-5260230157E4}"/>
    <cellStyle name="Millares 2 2 2 2 3" xfId="344" xr:uid="{485251F1-2598-429F-BDFD-0BCAB5779822}"/>
    <cellStyle name="Millares 2 2 2 2 3 2" xfId="683" xr:uid="{CCC26298-C864-4BB4-886D-C8F42C3F1D48}"/>
    <cellStyle name="Millares 2 2 2 2 3 2 2" xfId="1354" xr:uid="{99489573-4F78-4198-A5CC-EF9AFC1DB0BD}"/>
    <cellStyle name="Millares 2 2 2 2 3 3" xfId="1022" xr:uid="{E1992590-8A1E-4BAE-9ED1-1B04FF0736E3}"/>
    <cellStyle name="Millares 2 2 2 2 4" xfId="517" xr:uid="{9A38383A-688D-47BC-AF48-30B842628070}"/>
    <cellStyle name="Millares 2 2 2 2 4 2" xfId="1188" xr:uid="{00506BC5-DEB8-4DF9-9CDD-85025677B090}"/>
    <cellStyle name="Millares 2 2 2 2 5" xfId="856" xr:uid="{4078AE9B-AC93-4E93-B2FC-0F31984EEF14}"/>
    <cellStyle name="Millares 2 2 2 3" xfId="200" xr:uid="{EA866397-AA8F-4CB7-912D-7AE986F813C0}"/>
    <cellStyle name="Millares 2 2 2 3 2" xfId="386" xr:uid="{2A040794-817D-4B83-BD49-21E5CC5F1A36}"/>
    <cellStyle name="Millares 2 2 2 3 2 2" xfId="725" xr:uid="{AC322471-57E7-4977-BC6E-6E871AAD2848}"/>
    <cellStyle name="Millares 2 2 2 3 2 2 2" xfId="1396" xr:uid="{F574E5D7-2E47-4087-A508-58D8E98A2101}"/>
    <cellStyle name="Millares 2 2 2 3 2 3" xfId="1064" xr:uid="{7D77B8F6-0EDA-4116-8EE5-A55281995784}"/>
    <cellStyle name="Millares 2 2 2 3 3" xfId="559" xr:uid="{4AFA9D27-DA12-4848-A134-885B696B2620}"/>
    <cellStyle name="Millares 2 2 2 3 3 2" xfId="1230" xr:uid="{25470E09-CDF9-4C05-BB79-A9DDE4D3A27F}"/>
    <cellStyle name="Millares 2 2 2 3 4" xfId="898" xr:uid="{53684D84-A134-49E6-9AD2-40E7633244FC}"/>
    <cellStyle name="Millares 2 2 2 4" xfId="304" xr:uid="{CCFB58BF-961C-437E-839E-39A563907C82}"/>
    <cellStyle name="Millares 2 2 2 4 2" xfId="643" xr:uid="{2704BEAB-0A22-4251-B245-572758E91615}"/>
    <cellStyle name="Millares 2 2 2 4 2 2" xfId="1314" xr:uid="{BE40695D-ECA9-4B23-81C3-9BB8E8AF681B}"/>
    <cellStyle name="Millares 2 2 2 4 3" xfId="982" xr:uid="{734E69A0-F67B-49C2-992E-BDB49500266D}"/>
    <cellStyle name="Millares 2 2 2 5" xfId="477" xr:uid="{DA2D07C2-5C96-4A14-9ED3-9921491DBC80}"/>
    <cellStyle name="Millares 2 2 2 5 2" xfId="1148" xr:uid="{E8BDC21E-4EC6-4DC6-B043-768F97F930D5}"/>
    <cellStyle name="Millares 2 2 2 6" xfId="816" xr:uid="{BC141829-2A10-49DB-9AB9-CB486FC88F84}"/>
    <cellStyle name="Millares 2 2 3" xfId="132" xr:uid="{D06D7A9A-4688-4802-8F9C-8EBB49F6C63F}"/>
    <cellStyle name="Millares 2 2 3 2" xfId="221" xr:uid="{8455310A-105D-4129-ACDA-15457A1C809C}"/>
    <cellStyle name="Millares 2 2 3 2 2" xfId="407" xr:uid="{ADB26E74-1282-42F8-BDB0-4B0015295010}"/>
    <cellStyle name="Millares 2 2 3 2 2 2" xfId="746" xr:uid="{6B507EF9-C7A2-4E02-ABE5-E0BCBF4CB3D9}"/>
    <cellStyle name="Millares 2 2 3 2 2 2 2" xfId="1417" xr:uid="{A1EFC22A-FCE0-4BC8-9A9E-BF2554360644}"/>
    <cellStyle name="Millares 2 2 3 2 2 3" xfId="1085" xr:uid="{826AAC6F-475E-41B0-A6AE-9936EA173C76}"/>
    <cellStyle name="Millares 2 2 3 2 3" xfId="580" xr:uid="{BD5FC450-EF90-47D9-AAED-3FAAD5C1F496}"/>
    <cellStyle name="Millares 2 2 3 2 3 2" xfId="1251" xr:uid="{2AFF018F-1356-4EF7-BA6A-B4242ED32887}"/>
    <cellStyle name="Millares 2 2 3 2 4" xfId="919" xr:uid="{1ADB9284-810E-4641-B091-3B6E6DC48827}"/>
    <cellStyle name="Millares 2 2 3 3" xfId="325" xr:uid="{6AE0643D-0B39-4D6F-ACE9-109D3C363530}"/>
    <cellStyle name="Millares 2 2 3 3 2" xfId="664" xr:uid="{1B3E94D9-B18A-4C59-BBAC-2E1363B1C814}"/>
    <cellStyle name="Millares 2 2 3 3 2 2" xfId="1335" xr:uid="{277C7AB3-423A-4455-AA46-37844E009281}"/>
    <cellStyle name="Millares 2 2 3 3 3" xfId="1003" xr:uid="{12D331D2-3813-453C-83B7-3547D359CDB3}"/>
    <cellStyle name="Millares 2 2 3 4" xfId="498" xr:uid="{ACC68133-AB2E-49F2-AA63-43C6BBD7F93D}"/>
    <cellStyle name="Millares 2 2 3 4 2" xfId="1169" xr:uid="{6E7BC450-9568-4F49-B4D3-B36E461F742F}"/>
    <cellStyle name="Millares 2 2 3 5" xfId="837" xr:uid="{41A5B6FB-986E-43AE-BAFD-14037A38ABF6}"/>
    <cellStyle name="Millares 2 2 4" xfId="181" xr:uid="{526E88D6-9209-4D62-B404-C27E1BFCA99F}"/>
    <cellStyle name="Millares 2 2 4 2" xfId="367" xr:uid="{963435B3-04C5-4D45-9F0D-5779F2165AB3}"/>
    <cellStyle name="Millares 2 2 4 2 2" xfId="706" xr:uid="{25D039BB-3BB7-46CC-94A7-D1C3828CB4E2}"/>
    <cellStyle name="Millares 2 2 4 2 2 2" xfId="1377" xr:uid="{BE3FD135-AE07-4E42-889F-645E643C8C26}"/>
    <cellStyle name="Millares 2 2 4 2 3" xfId="1045" xr:uid="{6B674FD5-D4B2-47FD-B6C0-FA4396A8D23F}"/>
    <cellStyle name="Millares 2 2 4 3" xfId="540" xr:uid="{E7F6AEBC-1E0B-40AD-BB25-100491ADD05C}"/>
    <cellStyle name="Millares 2 2 4 3 2" xfId="1211" xr:uid="{B0EC9BFF-507D-4578-B9AB-65097694065B}"/>
    <cellStyle name="Millares 2 2 4 4" xfId="879" xr:uid="{02F0BA12-E438-4AED-8ADB-498B37D55B2B}"/>
    <cellStyle name="Millares 2 2 5" xfId="285" xr:uid="{145110D3-AF5E-47CE-BAB4-BCC01FD7CBAF}"/>
    <cellStyle name="Millares 2 2 5 2" xfId="624" xr:uid="{84D8DEAA-4187-4165-8D6B-1AE7DDC11144}"/>
    <cellStyle name="Millares 2 2 5 2 2" xfId="1295" xr:uid="{5EDAA2BE-5066-46B0-B67A-3D460877C597}"/>
    <cellStyle name="Millares 2 2 5 3" xfId="963" xr:uid="{C53F9213-EA70-4E2C-B096-22FBADDDC4C3}"/>
    <cellStyle name="Millares 2 2 6" xfId="458" xr:uid="{884057FC-7E07-434E-94F9-36C73764FB89}"/>
    <cellStyle name="Millares 2 2 6 2" xfId="1129" xr:uid="{DD251BE8-104F-4E8F-8DA1-DB80E9A63453}"/>
    <cellStyle name="Millares 2 2 7" xfId="797" xr:uid="{61E302E3-050A-45EE-ADE8-0C156653CC26}"/>
    <cellStyle name="Millares 2 3" xfId="92" xr:uid="{86D9329C-3482-4560-B09C-023FDCABECC2}"/>
    <cellStyle name="Millares 2 3 2" xfId="142" xr:uid="{6605B3B0-55F5-4785-8E78-381F1F98AC8D}"/>
    <cellStyle name="Millares 2 3 2 2" xfId="231" xr:uid="{AD8311DF-CF2E-4A00-83A6-70998B910809}"/>
    <cellStyle name="Millares 2 3 2 2 2" xfId="417" xr:uid="{11512CB3-5C1B-4FDF-875D-83C07FFC3F86}"/>
    <cellStyle name="Millares 2 3 2 2 2 2" xfId="756" xr:uid="{18403342-8250-4D05-A102-6ED123010D31}"/>
    <cellStyle name="Millares 2 3 2 2 2 2 2" xfId="1427" xr:uid="{16EE8180-2C8A-4009-A373-66EF254CCE28}"/>
    <cellStyle name="Millares 2 3 2 2 2 3" xfId="1095" xr:uid="{98BA7FEF-F4AA-46C4-8633-E1F8ED043155}"/>
    <cellStyle name="Millares 2 3 2 2 3" xfId="590" xr:uid="{673CE192-2EEE-43E5-97CE-35CDFBD50431}"/>
    <cellStyle name="Millares 2 3 2 2 3 2" xfId="1261" xr:uid="{DA3DBC22-881A-4D50-A237-B4CEC493BB86}"/>
    <cellStyle name="Millares 2 3 2 2 4" xfId="929" xr:uid="{1109B00C-D20B-43F1-BE49-3423E1892E74}"/>
    <cellStyle name="Millares 2 3 2 3" xfId="335" xr:uid="{4C3034D9-571D-4D27-988E-A92650BB5FCE}"/>
    <cellStyle name="Millares 2 3 2 3 2" xfId="674" xr:uid="{97793A19-D0E9-44DA-9DD2-B09BC2A2F22E}"/>
    <cellStyle name="Millares 2 3 2 3 2 2" xfId="1345" xr:uid="{4C478BDF-F790-4B69-880B-497D05B35CA3}"/>
    <cellStyle name="Millares 2 3 2 3 3" xfId="1013" xr:uid="{2ACF06A3-6195-4BB3-B642-FCCEB5BF879D}"/>
    <cellStyle name="Millares 2 3 2 4" xfId="508" xr:uid="{C7FB2612-9765-4A30-98A9-86A7F19219DC}"/>
    <cellStyle name="Millares 2 3 2 4 2" xfId="1179" xr:uid="{EF46C0BE-9D0B-4CE9-A9E6-36D056F8004B}"/>
    <cellStyle name="Millares 2 3 2 5" xfId="847" xr:uid="{EF236C16-EE08-4C91-8C4E-C95AE064CA0B}"/>
    <cellStyle name="Millares 2 3 3" xfId="191" xr:uid="{C371D115-0A1C-4535-B24E-886CE24116E0}"/>
    <cellStyle name="Millares 2 3 3 2" xfId="377" xr:uid="{F4AEFFAE-4889-4F8D-83D1-58BDD11B8000}"/>
    <cellStyle name="Millares 2 3 3 2 2" xfId="716" xr:uid="{A34D4142-9572-4A57-BE85-4F390A8A7C15}"/>
    <cellStyle name="Millares 2 3 3 2 2 2" xfId="1387" xr:uid="{77A4B87B-E584-4505-A217-1DC7127062E3}"/>
    <cellStyle name="Millares 2 3 3 2 3" xfId="1055" xr:uid="{700B8FA7-8608-436B-8120-2F77896776C6}"/>
    <cellStyle name="Millares 2 3 3 3" xfId="550" xr:uid="{5F81EA22-119C-4075-92C8-06708A90E060}"/>
    <cellStyle name="Millares 2 3 3 3 2" xfId="1221" xr:uid="{C27093C1-13B2-4EB9-BA7C-1051E7598CE6}"/>
    <cellStyle name="Millares 2 3 3 4" xfId="889" xr:uid="{B3F84291-D088-4416-A939-C6C77617FA0B}"/>
    <cellStyle name="Millares 2 3 4" xfId="295" xr:uid="{A69A17F7-7894-4D1D-9146-DC24D06E3EC3}"/>
    <cellStyle name="Millares 2 3 4 2" xfId="634" xr:uid="{86DBB876-0C8C-4BD4-8843-CE230A847160}"/>
    <cellStyle name="Millares 2 3 4 2 2" xfId="1305" xr:uid="{935FA977-8866-4590-90FA-F197BF45A02F}"/>
    <cellStyle name="Millares 2 3 4 3" xfId="973" xr:uid="{5E9488D5-8910-4C9C-B64F-A2BAADB3F795}"/>
    <cellStyle name="Millares 2 3 5" xfId="468" xr:uid="{B685FA50-E361-4F5A-9C0B-2F7FE5E0F1CD}"/>
    <cellStyle name="Millares 2 3 5 2" xfId="1139" xr:uid="{E51BCD92-169E-47BC-B444-DA0B3B690D92}"/>
    <cellStyle name="Millares 2 3 6" xfId="807" xr:uid="{F50AF5F3-7034-4E1E-8140-A67B65D511D7}"/>
    <cellStyle name="Millares 2 4" xfId="121" xr:uid="{29002687-1328-4788-92D6-F79918F1C34F}"/>
    <cellStyle name="Millares 2 4 2" xfId="212" xr:uid="{63B912F5-CE78-4AE4-AABE-E0840DC8DF36}"/>
    <cellStyle name="Millares 2 4 2 2" xfId="398" xr:uid="{052D78CA-F7CD-467B-B451-AD94F9DCACDF}"/>
    <cellStyle name="Millares 2 4 2 2 2" xfId="737" xr:uid="{82F5A281-F2E8-4ADF-B39F-4CBF6DCB9B5A}"/>
    <cellStyle name="Millares 2 4 2 2 2 2" xfId="1408" xr:uid="{1D85CE63-D340-4D59-8262-428EBF6D1A68}"/>
    <cellStyle name="Millares 2 4 2 2 3" xfId="1076" xr:uid="{7ABDECC7-DDD8-4752-B3F4-BCB5AE25414A}"/>
    <cellStyle name="Millares 2 4 2 3" xfId="571" xr:uid="{DB063881-25F9-43B9-B1AA-E3C373038F27}"/>
    <cellStyle name="Millares 2 4 2 3 2" xfId="1242" xr:uid="{2B9CA321-2DEA-4320-A53B-940E7A2BDFDF}"/>
    <cellStyle name="Millares 2 4 2 4" xfId="910" xr:uid="{33F6F137-2453-423C-A2D7-087F5ADF2942}"/>
    <cellStyle name="Millares 2 4 3" xfId="316" xr:uid="{79EDF46D-6932-4ABB-ABA8-1C063830AC2F}"/>
    <cellStyle name="Millares 2 4 3 2" xfId="655" xr:uid="{60B1E782-DA62-4B07-812A-10B3D75A4225}"/>
    <cellStyle name="Millares 2 4 3 2 2" xfId="1326" xr:uid="{2FA64056-ADAE-4399-A84C-3CA3E513B6F8}"/>
    <cellStyle name="Millares 2 4 3 3" xfId="994" xr:uid="{73538C5C-1B2F-47DC-9E7E-8919398C01B5}"/>
    <cellStyle name="Millares 2 4 4" xfId="489" xr:uid="{AFC179AD-257E-4129-94D9-9164A4DBB8C2}"/>
    <cellStyle name="Millares 2 4 4 2" xfId="1160" xr:uid="{F39835ED-10E8-4C08-AA53-87AD773B1CEA}"/>
    <cellStyle name="Millares 2 4 5" xfId="828" xr:uid="{D04F4749-9122-40EC-9768-9FCD083FA2D6}"/>
    <cellStyle name="Millares 2 5" xfId="171" xr:uid="{F9EA92E5-4D74-45C6-8E59-71BF5C9388D0}"/>
    <cellStyle name="Millares 2 5 2" xfId="358" xr:uid="{0E85E7BB-1CFA-4C7C-886F-D3C6014467A9}"/>
    <cellStyle name="Millares 2 5 2 2" xfId="697" xr:uid="{513B21B9-734E-4621-B896-2CCF4604108E}"/>
    <cellStyle name="Millares 2 5 2 2 2" xfId="1368" xr:uid="{8D5247DD-32A8-4D96-8F59-DA737FB75699}"/>
    <cellStyle name="Millares 2 5 2 3" xfId="1036" xr:uid="{8F50DB69-01BD-4026-9761-5A317EE47F47}"/>
    <cellStyle name="Millares 2 5 3" xfId="531" xr:uid="{D8CBFB6C-60E3-4088-BD41-4BB8FE266E0C}"/>
    <cellStyle name="Millares 2 5 3 2" xfId="1202" xr:uid="{EF95EACC-B3B4-4FEC-901D-3567A05866D9}"/>
    <cellStyle name="Millares 2 5 4" xfId="870" xr:uid="{FEAA00C9-78D2-40D6-BA18-F9422A962ECC}"/>
    <cellStyle name="Millares 2 6" xfId="259" xr:uid="{D5738AAD-C178-472B-AA00-2C67F3CA1D10}"/>
    <cellStyle name="Millares 2 7" xfId="275" xr:uid="{E1A6423B-4D03-46FE-91AD-7B1F28BBB8FC}"/>
    <cellStyle name="Millares 2 7 2" xfId="615" xr:uid="{72629C5E-CA05-45FA-B165-1BB0AE693571}"/>
    <cellStyle name="Millares 2 7 2 2" xfId="1286" xr:uid="{29714602-4AAB-4A06-BFC3-811F8EA9694F}"/>
    <cellStyle name="Millares 2 7 3" xfId="954" xr:uid="{E9ECB1E3-8A1B-4285-9E7B-EAA6B292E01E}"/>
    <cellStyle name="Millares 2 8" xfId="448" xr:uid="{7E00344D-5AA3-4480-A06F-42E3EBB1CD31}"/>
    <cellStyle name="Millares 2 8 2" xfId="1120" xr:uid="{D2BB50C1-D4DD-466D-BF20-8E2A82704916}"/>
    <cellStyle name="Millares 2 9" xfId="787" xr:uid="{B0A8646E-1A46-44C1-B5A6-3916B8B2C8F9}"/>
    <cellStyle name="Millares 20" xfId="1449" xr:uid="{1D35402D-14EB-453E-B7BA-CDF1305D5D37}"/>
    <cellStyle name="Millares 3" xfId="71" xr:uid="{67F938AF-5C45-497E-8C85-005F804D7AB1}"/>
    <cellStyle name="Millares 3 2" xfId="100" xr:uid="{0015DD5F-B708-404C-9A53-CB79384DDAB4}"/>
    <cellStyle name="Millares 3 2 2" xfId="60" xr:uid="{F9DE0758-B764-41CC-876C-1878A9C28310}"/>
    <cellStyle name="Millares 3 2 2 2" xfId="264" xr:uid="{9D0D7442-92E1-49B5-AA9E-49ED122822D4}"/>
    <cellStyle name="Millares 3 2 3" xfId="148" xr:uid="{9311F875-8563-45A2-99C7-C9BD5D7E4937}"/>
    <cellStyle name="Millares 3 2 3 2" xfId="237" xr:uid="{E3315460-5FE9-41AD-955C-06850317656A}"/>
    <cellStyle name="Millares 3 2 3 2 2" xfId="423" xr:uid="{024BD704-694D-484A-8839-746F7E53D99B}"/>
    <cellStyle name="Millares 3 2 3 2 2 2" xfId="762" xr:uid="{4848C770-44DB-40CA-B35E-88BBC1184A5B}"/>
    <cellStyle name="Millares 3 2 3 2 2 2 2" xfId="1433" xr:uid="{8EC2F6B7-E37F-467A-A2BF-FFC188F97D18}"/>
    <cellStyle name="Millares 3 2 3 2 2 3" xfId="1101" xr:uid="{FEDA2B7D-F6E5-4F65-8DA3-D27417E8F7FC}"/>
    <cellStyle name="Millares 3 2 3 2 3" xfId="596" xr:uid="{DF441035-D32A-40E5-BA13-96373935C890}"/>
    <cellStyle name="Millares 3 2 3 2 3 2" xfId="1267" xr:uid="{44BD884B-C962-4004-A7C5-7D39D4260245}"/>
    <cellStyle name="Millares 3 2 3 2 4" xfId="935" xr:uid="{8FE7D2BE-62FE-4BE6-9AEA-12DB3DC0CCB9}"/>
    <cellStyle name="Millares 3 2 3 3" xfId="341" xr:uid="{268E8A18-090C-4D63-995F-4AB92133314C}"/>
    <cellStyle name="Millares 3 2 3 3 2" xfId="680" xr:uid="{C88B2C94-92B0-43A7-A091-760F361BF16E}"/>
    <cellStyle name="Millares 3 2 3 3 2 2" xfId="1351" xr:uid="{1CA2A152-E6EA-4FFF-A9F1-E689A9B7A706}"/>
    <cellStyle name="Millares 3 2 3 3 3" xfId="1019" xr:uid="{EFA37C3C-A21F-4A2F-8409-46BA6B63E425}"/>
    <cellStyle name="Millares 3 2 3 4" xfId="514" xr:uid="{81370190-DD94-420A-B9CD-446F41394A10}"/>
    <cellStyle name="Millares 3 2 3 4 2" xfId="1185" xr:uid="{E4BF763E-C841-4911-9CD2-DF7E42740F57}"/>
    <cellStyle name="Millares 3 2 3 5" xfId="853" xr:uid="{434A2D8D-5FA7-4EBD-817A-8CB40409628C}"/>
    <cellStyle name="Millares 3 2 4" xfId="197" xr:uid="{92C219A7-635F-4965-8722-CE195BD5DE37}"/>
    <cellStyle name="Millares 3 2 4 2" xfId="383" xr:uid="{6A01C90D-4D8E-4C07-8F9E-D54E4B0E4646}"/>
    <cellStyle name="Millares 3 2 4 2 2" xfId="722" xr:uid="{141C5C6B-C3FE-46F4-8B8C-F88F2B08698A}"/>
    <cellStyle name="Millares 3 2 4 2 2 2" xfId="1393" xr:uid="{4EFCBF9E-4B43-43EC-9C80-3C0E064BA0C2}"/>
    <cellStyle name="Millares 3 2 4 2 3" xfId="1061" xr:uid="{63B804C5-CFD3-4E0C-BF07-ED9C39C12AB3}"/>
    <cellStyle name="Millares 3 2 4 3" xfId="556" xr:uid="{854AB471-C15B-4929-8F1E-1BF9EFC8B693}"/>
    <cellStyle name="Millares 3 2 4 3 2" xfId="1227" xr:uid="{B1EECD8A-673E-4B6F-A90D-2880F7EEEA0A}"/>
    <cellStyle name="Millares 3 2 4 4" xfId="895" xr:uid="{5C14C533-9DB9-4C96-9C7F-2ECAEE31E967}"/>
    <cellStyle name="Millares 3 2 5" xfId="301" xr:uid="{7BD9DADC-8BBC-4C65-9926-909E31E4DE10}"/>
    <cellStyle name="Millares 3 2 5 2" xfId="640" xr:uid="{A23F5422-1B2B-4071-8A05-E15F86D5981E}"/>
    <cellStyle name="Millares 3 2 5 2 2" xfId="1311" xr:uid="{FADDCC83-4B25-4063-B59E-70C8647B6832}"/>
    <cellStyle name="Millares 3 2 5 3" xfId="979" xr:uid="{AD5516EC-12CE-4220-9E77-B116DBD4466A}"/>
    <cellStyle name="Millares 3 2 6" xfId="474" xr:uid="{A69F796A-5ED2-4F94-AB76-FBF76D118849}"/>
    <cellStyle name="Millares 3 2 6 2" xfId="1145" xr:uid="{0B7080AB-B27A-4222-8E50-32CDAB876AF7}"/>
    <cellStyle name="Millares 3 2 7" xfId="813" xr:uid="{A7768231-9B4E-41F1-8B4D-26D73B4B1F1A}"/>
    <cellStyle name="Millares 3 3" xfId="129" xr:uid="{59B9572B-AA1A-400D-98FF-A41BBD035D7F}"/>
    <cellStyle name="Millares 3 3 2" xfId="218" xr:uid="{04420016-5585-4CB6-B3DC-58F2A1B0AE8B}"/>
    <cellStyle name="Millares 3 3 2 2" xfId="404" xr:uid="{2049F58B-4F1F-4B3E-9411-1D3035D1F34A}"/>
    <cellStyle name="Millares 3 3 2 2 2" xfId="743" xr:uid="{8CA53C57-3DB3-4206-A7C5-CD4A7B48FFD4}"/>
    <cellStyle name="Millares 3 3 2 2 2 2" xfId="1414" xr:uid="{EC52AD1B-742B-4730-B819-BDC0F5E20E32}"/>
    <cellStyle name="Millares 3 3 2 2 3" xfId="1082" xr:uid="{629C62D0-E51E-4127-AA38-0D8A08B0A366}"/>
    <cellStyle name="Millares 3 3 2 3" xfId="577" xr:uid="{BA7D7653-83E2-48A5-BE0F-587333DE6B4B}"/>
    <cellStyle name="Millares 3 3 2 3 2" xfId="1248" xr:uid="{84C1DE14-3AEE-4662-9E8A-B6F1894B2E7E}"/>
    <cellStyle name="Millares 3 3 2 4" xfId="916" xr:uid="{08AC396E-C215-4990-8DF7-8C4914884744}"/>
    <cellStyle name="Millares 3 3 3" xfId="322" xr:uid="{FD837696-5FEA-4784-87F5-BA333CF926C3}"/>
    <cellStyle name="Millares 3 3 3 2" xfId="661" xr:uid="{AEB5CE3E-2387-405F-9FF0-44BA25DDA119}"/>
    <cellStyle name="Millares 3 3 3 2 2" xfId="1332" xr:uid="{5ED95474-96FA-42B7-AFBB-06396053B47D}"/>
    <cellStyle name="Millares 3 3 3 3" xfId="1000" xr:uid="{065B76A5-41A3-4DFC-BA49-133164944500}"/>
    <cellStyle name="Millares 3 3 4" xfId="495" xr:uid="{6759173F-0C74-4545-A78B-0B0615338686}"/>
    <cellStyle name="Millares 3 3 4 2" xfId="1166" xr:uid="{8D3F1D17-1FF9-48C1-A050-C8A6180E9D72}"/>
    <cellStyle name="Millares 3 3 5" xfId="834" xr:uid="{04FDF43B-D4F4-4EC6-A33B-F03C239FBCFD}"/>
    <cellStyle name="Millares 3 4" xfId="178" xr:uid="{29FD7860-5BFB-42D6-B053-8A19C3ECE70A}"/>
    <cellStyle name="Millares 3 4 2" xfId="364" xr:uid="{CAEBFE5F-3ED7-4698-B269-3D898C988C62}"/>
    <cellStyle name="Millares 3 4 2 2" xfId="703" xr:uid="{529ADA66-4006-467E-BF26-3D6E12AEF5ED}"/>
    <cellStyle name="Millares 3 4 2 2 2" xfId="1374" xr:uid="{9DC0A4BD-94F4-4807-B0BA-DF80A787D5C8}"/>
    <cellStyle name="Millares 3 4 2 3" xfId="1042" xr:uid="{74F6B814-9C28-4032-9CDA-6CECC4C4BA2A}"/>
    <cellStyle name="Millares 3 4 3" xfId="537" xr:uid="{924FF98F-9513-4F30-8BB3-2282E60A1F49}"/>
    <cellStyle name="Millares 3 4 3 2" xfId="1208" xr:uid="{6D616892-BB75-4299-B5D0-38DCCBECACEE}"/>
    <cellStyle name="Millares 3 4 4" xfId="876" xr:uid="{9C374BB0-C4FE-4DCE-A9D2-505AF53548D1}"/>
    <cellStyle name="Millares 3 5" xfId="282" xr:uid="{6A08B6FE-5138-4C7F-8547-3BC1732C8F9A}"/>
    <cellStyle name="Millares 3 5 2" xfId="621" xr:uid="{FC9E52B0-E185-4EF6-88CE-2A83B49FC0B2}"/>
    <cellStyle name="Millares 3 5 2 2" xfId="1292" xr:uid="{FFB9E1B9-2554-4F5C-AB29-6944549B73C4}"/>
    <cellStyle name="Millares 3 5 3" xfId="960" xr:uid="{17FCF3FF-2F0C-4922-8895-E490429D4141}"/>
    <cellStyle name="Millares 3 6" xfId="455" xr:uid="{37F1E1F1-5F23-4835-BE66-901D19CECB66}"/>
    <cellStyle name="Millares 3 6 2" xfId="1126" xr:uid="{81AE0D3F-E9F4-4F01-87FB-45B3C02ADF97}"/>
    <cellStyle name="Millares 3 7" xfId="794" xr:uid="{B87066D7-0DE3-4B27-B955-F25BB4B831B7}"/>
    <cellStyle name="Millares 30 2 2" xfId="58" xr:uid="{F9B4CD3A-C778-426B-A08C-EF4FCF2016FC}"/>
    <cellStyle name="Millares 30 2 2 2" xfId="77" xr:uid="{253A7E69-F803-4EE8-9B55-2694FDB15BF4}"/>
    <cellStyle name="Millares 30 2 2 2 2" xfId="105" xr:uid="{F0CA3DF6-EBFD-4627-B96D-02D12BA2BBA2}"/>
    <cellStyle name="Millares 30 2 2 2 2 2" xfId="153" xr:uid="{3F6D7DBA-ED97-4851-BDE5-1FCF1307DFA8}"/>
    <cellStyle name="Millares 30 2 2 2 2 2 2" xfId="242" xr:uid="{75BB43F4-1F69-4C88-8711-F6F583615597}"/>
    <cellStyle name="Millares 30 2 2 2 2 2 2 2" xfId="428" xr:uid="{FF9991EE-FB8E-452F-BEBD-AF9E27F58F7D}"/>
    <cellStyle name="Millares 30 2 2 2 2 2 2 2 2" xfId="767" xr:uid="{DA5DF22D-FB1B-4D61-B1AA-94B65E57742A}"/>
    <cellStyle name="Millares 30 2 2 2 2 2 2 2 2 2" xfId="1438" xr:uid="{CD9171B5-1AFD-4F74-9A63-54B890CEADB3}"/>
    <cellStyle name="Millares 30 2 2 2 2 2 2 2 3" xfId="1106" xr:uid="{E384617D-ABC2-47E5-96CD-C12890FAC49F}"/>
    <cellStyle name="Millares 30 2 2 2 2 2 2 3" xfId="601" xr:uid="{7FD6126C-BB4B-4D3D-BB3F-D10C21096CA9}"/>
    <cellStyle name="Millares 30 2 2 2 2 2 2 3 2" xfId="1272" xr:uid="{E05C6B22-E489-4179-8171-EE36DE9A7DF4}"/>
    <cellStyle name="Millares 30 2 2 2 2 2 2 4" xfId="940" xr:uid="{79F77FA8-2E31-4022-BDC0-F18D0525EC4B}"/>
    <cellStyle name="Millares 30 2 2 2 2 2 3" xfId="346" xr:uid="{73B4A92E-D09B-427D-800A-FF77FB45C56D}"/>
    <cellStyle name="Millares 30 2 2 2 2 2 3 2" xfId="685" xr:uid="{850BFA87-2464-45B5-B889-63A30FD574B9}"/>
    <cellStyle name="Millares 30 2 2 2 2 2 3 2 2" xfId="1356" xr:uid="{425BDFD1-3D12-41B7-852E-FB011DC1D9D2}"/>
    <cellStyle name="Millares 30 2 2 2 2 2 3 3" xfId="1024" xr:uid="{3BFA2E65-3973-4159-B209-F3C0629B074D}"/>
    <cellStyle name="Millares 30 2 2 2 2 2 4" xfId="519" xr:uid="{71574398-7F79-4A7F-8556-46AD5B7BE9B3}"/>
    <cellStyle name="Millares 30 2 2 2 2 2 4 2" xfId="1190" xr:uid="{99CC5212-DFBC-4BFB-A86A-C6B0C02CD9F3}"/>
    <cellStyle name="Millares 30 2 2 2 2 2 5" xfId="858" xr:uid="{D138D01D-35B5-4CB1-93ED-EF2E9E631AA0}"/>
    <cellStyle name="Millares 30 2 2 2 2 3" xfId="202" xr:uid="{C1FA29F4-C616-47AE-9D70-9896A0B181C6}"/>
    <cellStyle name="Millares 30 2 2 2 2 3 2" xfId="388" xr:uid="{846AE43C-DDBB-46B3-8FB8-59584BBAE0C1}"/>
    <cellStyle name="Millares 30 2 2 2 2 3 2 2" xfId="727" xr:uid="{5A7F7871-69DD-4E60-B985-0D55456432E1}"/>
    <cellStyle name="Millares 30 2 2 2 2 3 2 2 2" xfId="1398" xr:uid="{BF920C2A-28CA-4876-970A-474D1816F7B5}"/>
    <cellStyle name="Millares 30 2 2 2 2 3 2 3" xfId="1066" xr:uid="{E257F891-927E-4A07-B428-1B66FAE6CF68}"/>
    <cellStyle name="Millares 30 2 2 2 2 3 3" xfId="561" xr:uid="{7C109A22-4C38-4A32-AD96-33D1DE6F2A4A}"/>
    <cellStyle name="Millares 30 2 2 2 2 3 3 2" xfId="1232" xr:uid="{ED7ED6C7-ABBD-420A-AA6C-6985CE49EB2B}"/>
    <cellStyle name="Millares 30 2 2 2 2 3 4" xfId="900" xr:uid="{AC3C1860-CE66-48A5-BC88-C6BEBBEB2ECA}"/>
    <cellStyle name="Millares 30 2 2 2 2 4" xfId="306" xr:uid="{9D2A6368-D52D-4D00-B003-F9CE48E8EEB1}"/>
    <cellStyle name="Millares 30 2 2 2 2 4 2" xfId="645" xr:uid="{704CCA7C-3596-48A6-AD51-7591A7155D9D}"/>
    <cellStyle name="Millares 30 2 2 2 2 4 2 2" xfId="1316" xr:uid="{B832ADAF-B3B6-4A52-A8E5-B0F6A903D540}"/>
    <cellStyle name="Millares 30 2 2 2 2 4 3" xfId="984" xr:uid="{F37AFB33-38DA-4610-955A-3BFAD9F930D4}"/>
    <cellStyle name="Millares 30 2 2 2 2 5" xfId="479" xr:uid="{E0769B0B-A572-40B5-90B7-E95C6E67A200}"/>
    <cellStyle name="Millares 30 2 2 2 2 5 2" xfId="1150" xr:uid="{EA8E9D61-C222-41B2-A390-8748C3137F72}"/>
    <cellStyle name="Millares 30 2 2 2 2 6" xfId="818" xr:uid="{A19347BA-72AA-4761-9FFA-FC7C504A20DC}"/>
    <cellStyle name="Millares 30 2 2 2 3" xfId="134" xr:uid="{91780942-B5EF-408B-9505-960E276459B4}"/>
    <cellStyle name="Millares 30 2 2 2 3 2" xfId="223" xr:uid="{99F7CB75-3A67-4D19-8E6E-F3BB0054C6AB}"/>
    <cellStyle name="Millares 30 2 2 2 3 2 2" xfId="409" xr:uid="{052E0025-23DE-4DBB-9A62-0C943AB7D10E}"/>
    <cellStyle name="Millares 30 2 2 2 3 2 2 2" xfId="748" xr:uid="{AB7887E0-B6D3-406A-A408-B3A00A6D64A7}"/>
    <cellStyle name="Millares 30 2 2 2 3 2 2 2 2" xfId="1419" xr:uid="{D7BB3265-4D17-4645-9B8D-0B000B14E3BF}"/>
    <cellStyle name="Millares 30 2 2 2 3 2 2 3" xfId="1087" xr:uid="{642D8116-74C4-4438-998E-3C565497DB89}"/>
    <cellStyle name="Millares 30 2 2 2 3 2 3" xfId="582" xr:uid="{76731DAA-C030-4B46-8EE0-BCE1CC11363D}"/>
    <cellStyle name="Millares 30 2 2 2 3 2 3 2" xfId="1253" xr:uid="{7BFF3C66-7DC5-4A40-AB80-8A02BCFEE4CA}"/>
    <cellStyle name="Millares 30 2 2 2 3 2 4" xfId="921" xr:uid="{E9C660DF-29FC-4C44-ADA6-87777CA56A1D}"/>
    <cellStyle name="Millares 30 2 2 2 3 3" xfId="327" xr:uid="{FFC9124F-CEEA-477B-8C4C-8289ED33C7DE}"/>
    <cellStyle name="Millares 30 2 2 2 3 3 2" xfId="666" xr:uid="{734262C0-EED4-4C5F-8A96-58D5B079A915}"/>
    <cellStyle name="Millares 30 2 2 2 3 3 2 2" xfId="1337" xr:uid="{F559F338-E9DC-4891-9DBE-68B3AB9F84FB}"/>
    <cellStyle name="Millares 30 2 2 2 3 3 3" xfId="1005" xr:uid="{48E014E3-6773-49DA-ABD2-E4D2654C0B22}"/>
    <cellStyle name="Millares 30 2 2 2 3 4" xfId="500" xr:uid="{C962316F-6CB0-48BC-A186-7F1762A77AF8}"/>
    <cellStyle name="Millares 30 2 2 2 3 4 2" xfId="1171" xr:uid="{ABD8028B-60BB-4A10-A522-4AC8ECD5F93D}"/>
    <cellStyle name="Millares 30 2 2 2 3 5" xfId="839" xr:uid="{B7F6B556-B302-4C7D-A1EE-E04A4D151983}"/>
    <cellStyle name="Millares 30 2 2 2 4" xfId="183" xr:uid="{B4A83790-0103-4362-A4B7-C822A77502EA}"/>
    <cellStyle name="Millares 30 2 2 2 4 2" xfId="369" xr:uid="{A59A9A36-8430-40EA-AD10-46CC622A41EB}"/>
    <cellStyle name="Millares 30 2 2 2 4 2 2" xfId="708" xr:uid="{6F77F01B-3F83-42DC-A5C6-6FC78565FE07}"/>
    <cellStyle name="Millares 30 2 2 2 4 2 2 2" xfId="1379" xr:uid="{99F3CDEC-4EE5-4B78-9E25-5058038BE037}"/>
    <cellStyle name="Millares 30 2 2 2 4 2 3" xfId="1047" xr:uid="{CCBCDE62-C795-47B3-928A-A59F63EC0586}"/>
    <cellStyle name="Millares 30 2 2 2 4 3" xfId="542" xr:uid="{5A99F82B-A7C1-44E1-8878-5E1356075EC4}"/>
    <cellStyle name="Millares 30 2 2 2 4 3 2" xfId="1213" xr:uid="{F87B147E-5D1B-4B19-9AD6-A927BF8A5EBE}"/>
    <cellStyle name="Millares 30 2 2 2 4 4" xfId="881" xr:uid="{431B125F-D3B7-4507-B16E-97D111EA765D}"/>
    <cellStyle name="Millares 30 2 2 2 5" xfId="287" xr:uid="{CFFE9DE4-C8EB-455C-8CF4-432F37CE0B4B}"/>
    <cellStyle name="Millares 30 2 2 2 5 2" xfId="626" xr:uid="{2BD831C4-84A9-4EFA-B4C3-7CEC02478612}"/>
    <cellStyle name="Millares 30 2 2 2 5 2 2" xfId="1297" xr:uid="{D13318DC-1184-491C-BF3E-48138E91F751}"/>
    <cellStyle name="Millares 30 2 2 2 5 3" xfId="965" xr:uid="{E6A10255-103A-43B8-A810-84E26E9F08C4}"/>
    <cellStyle name="Millares 30 2 2 2 6" xfId="460" xr:uid="{F5493E87-4A1F-4E89-9253-776236AB3914}"/>
    <cellStyle name="Millares 30 2 2 2 6 2" xfId="1131" xr:uid="{F34015F6-A9CD-4032-BC8F-758AF4E6BE42}"/>
    <cellStyle name="Millares 30 2 2 2 7" xfId="799" xr:uid="{521760D2-9710-4758-804B-330406B61145}"/>
    <cellStyle name="Millares 30 2 2 3" xfId="95" xr:uid="{F7B1648B-0211-48F6-BD2E-CD66F33432FC}"/>
    <cellStyle name="Millares 30 2 2 3 2" xfId="144" xr:uid="{2A7B45D2-8E13-4889-A338-729FB66D7E09}"/>
    <cellStyle name="Millares 30 2 2 3 2 2" xfId="233" xr:uid="{93A8EA41-E16D-4D7F-9176-4C4B787035BC}"/>
    <cellStyle name="Millares 30 2 2 3 2 2 2" xfId="419" xr:uid="{7FD07B6D-A94C-479B-BCCA-583B2F023AED}"/>
    <cellStyle name="Millares 30 2 2 3 2 2 2 2" xfId="758" xr:uid="{5C60061E-3DBF-4C44-BD72-CA78D0C4FDAA}"/>
    <cellStyle name="Millares 30 2 2 3 2 2 2 2 2" xfId="1429" xr:uid="{EDD6432B-97BC-4E2C-8E31-DE6D464E2ACA}"/>
    <cellStyle name="Millares 30 2 2 3 2 2 2 3" xfId="1097" xr:uid="{E54A497A-F13A-4626-ABC6-D7A88DDF63E8}"/>
    <cellStyle name="Millares 30 2 2 3 2 2 3" xfId="592" xr:uid="{35267851-13D8-48E7-8FEC-AC60274A316A}"/>
    <cellStyle name="Millares 30 2 2 3 2 2 3 2" xfId="1263" xr:uid="{6AA13922-99A9-45A6-87C2-9034F2C2A60D}"/>
    <cellStyle name="Millares 30 2 2 3 2 2 4" xfId="931" xr:uid="{32BD0516-4B4E-4278-9331-260E33549CAD}"/>
    <cellStyle name="Millares 30 2 2 3 2 3" xfId="337" xr:uid="{724C9424-1DC8-445C-9940-771D42835144}"/>
    <cellStyle name="Millares 30 2 2 3 2 3 2" xfId="676" xr:uid="{A27548B1-5077-4D04-8476-66E992EFCD83}"/>
    <cellStyle name="Millares 30 2 2 3 2 3 2 2" xfId="1347" xr:uid="{D790CAD0-64F0-4A10-8F0A-5C7CE4ADDC2D}"/>
    <cellStyle name="Millares 30 2 2 3 2 3 3" xfId="1015" xr:uid="{0D36D4E8-52D1-46D6-9D51-1772B4F2B94A}"/>
    <cellStyle name="Millares 30 2 2 3 2 4" xfId="510" xr:uid="{D39D0413-43FC-4525-86C7-99A27EC60F49}"/>
    <cellStyle name="Millares 30 2 2 3 2 4 2" xfId="1181" xr:uid="{AB7E1C31-E8E3-425D-8F09-EEE246AF2BB7}"/>
    <cellStyle name="Millares 30 2 2 3 2 5" xfId="849" xr:uid="{83C43893-3F05-404A-AFBC-2508968C3DBB}"/>
    <cellStyle name="Millares 30 2 2 3 3" xfId="193" xr:uid="{710D0BA6-5A3B-4B39-938E-110682D152E4}"/>
    <cellStyle name="Millares 30 2 2 3 3 2" xfId="379" xr:uid="{7CEF57F0-4663-4097-9D63-D81280D22406}"/>
    <cellStyle name="Millares 30 2 2 3 3 2 2" xfId="718" xr:uid="{7903A0D6-1754-4E9A-B6D8-2BF06C02B98D}"/>
    <cellStyle name="Millares 30 2 2 3 3 2 2 2" xfId="1389" xr:uid="{CC5F69AD-FC8D-4F87-84DD-5A51E1228F0E}"/>
    <cellStyle name="Millares 30 2 2 3 3 2 3" xfId="1057" xr:uid="{15BAF6CB-0A30-4D3E-96DC-4F65F0299671}"/>
    <cellStyle name="Millares 30 2 2 3 3 3" xfId="552" xr:uid="{E04B8216-C42E-4407-B13D-18CD233029A2}"/>
    <cellStyle name="Millares 30 2 2 3 3 3 2" xfId="1223" xr:uid="{464BF738-9320-4A60-97B0-FBB9910810B4}"/>
    <cellStyle name="Millares 30 2 2 3 3 4" xfId="891" xr:uid="{B8867D0A-1B5B-4236-9E79-09CCA9D1BB71}"/>
    <cellStyle name="Millares 30 2 2 3 4" xfId="297" xr:uid="{8E111095-2E7C-4E72-8123-4D0E9E1A0D01}"/>
    <cellStyle name="Millares 30 2 2 3 4 2" xfId="636" xr:uid="{DC1422DF-EAB4-418A-AD9F-0536F4568CFB}"/>
    <cellStyle name="Millares 30 2 2 3 4 2 2" xfId="1307" xr:uid="{AA1B8BF3-F1C6-4423-9583-265FE8DC8BF8}"/>
    <cellStyle name="Millares 30 2 2 3 4 3" xfId="975" xr:uid="{E4987172-7261-42FE-A3F3-45E8E54731DC}"/>
    <cellStyle name="Millares 30 2 2 3 5" xfId="470" xr:uid="{7DEDFFDA-3D0F-404B-A938-F643A50A9E21}"/>
    <cellStyle name="Millares 30 2 2 3 5 2" xfId="1141" xr:uid="{E297A174-565D-4D7B-8982-6F2D33BDC6A6}"/>
    <cellStyle name="Millares 30 2 2 3 6" xfId="809" xr:uid="{B57E6872-8B50-44E9-BFE9-F577DB9A0091}"/>
    <cellStyle name="Millares 30 2 2 4" xfId="124" xr:uid="{6131135A-2AD9-40A6-9C88-9D7CC1FE3392}"/>
    <cellStyle name="Millares 30 2 2 4 2" xfId="214" xr:uid="{54232CE5-E11F-4FD8-89DB-579043E30D83}"/>
    <cellStyle name="Millares 30 2 2 4 2 2" xfId="400" xr:uid="{32237A11-0856-489C-BE70-F09450B2A5A2}"/>
    <cellStyle name="Millares 30 2 2 4 2 2 2" xfId="739" xr:uid="{53118871-532E-4879-96A9-B363808EDA96}"/>
    <cellStyle name="Millares 30 2 2 4 2 2 2 2" xfId="1410" xr:uid="{D98C5794-05F6-4B87-817A-2C27C7B714E2}"/>
    <cellStyle name="Millares 30 2 2 4 2 2 3" xfId="1078" xr:uid="{E55119B1-6088-4A65-A320-138E4DDD5B42}"/>
    <cellStyle name="Millares 30 2 2 4 2 3" xfId="573" xr:uid="{062F2132-2D2B-443F-8880-60028EFFC05E}"/>
    <cellStyle name="Millares 30 2 2 4 2 3 2" xfId="1244" xr:uid="{F9DBAC49-4E9D-4E95-BD4F-C781A9FAB74B}"/>
    <cellStyle name="Millares 30 2 2 4 2 4" xfId="912" xr:uid="{E28BC64B-E1EA-47CC-8C18-BEA366199462}"/>
    <cellStyle name="Millares 30 2 2 4 3" xfId="318" xr:uid="{5E55895A-A8B9-4A70-B8DA-2F54FB68DE7F}"/>
    <cellStyle name="Millares 30 2 2 4 3 2" xfId="657" xr:uid="{5CDA17F1-FB6F-4E62-9718-316AC2B0AF79}"/>
    <cellStyle name="Millares 30 2 2 4 3 2 2" xfId="1328" xr:uid="{D9EC3445-85F4-4E43-A15E-B4240C43CF9E}"/>
    <cellStyle name="Millares 30 2 2 4 3 3" xfId="996" xr:uid="{6B2968E3-5E25-457B-BA62-1AF0B6217BD4}"/>
    <cellStyle name="Millares 30 2 2 4 4" xfId="491" xr:uid="{8967135E-BEBC-42EF-B68D-035C998D1846}"/>
    <cellStyle name="Millares 30 2 2 4 4 2" xfId="1162" xr:uid="{4064C8D5-B0C2-4A59-B01E-8E7CE1378405}"/>
    <cellStyle name="Millares 30 2 2 4 5" xfId="830" xr:uid="{C0D85DE2-576D-4049-B020-57DB1BC87490}"/>
    <cellStyle name="Millares 30 2 2 5" xfId="174" xr:uid="{64050E3E-80DB-42F4-8D16-57B939D7F122}"/>
    <cellStyle name="Millares 30 2 2 5 2" xfId="360" xr:uid="{9C9B24C0-FBBF-46A7-8D86-D99047AAC5B0}"/>
    <cellStyle name="Millares 30 2 2 5 2 2" xfId="699" xr:uid="{F38ABC81-FA2B-44E0-8E6F-5185E798CE5A}"/>
    <cellStyle name="Millares 30 2 2 5 2 2 2" xfId="1370" xr:uid="{F822544D-9775-40FB-80C4-DA5F1586E318}"/>
    <cellStyle name="Millares 30 2 2 5 2 3" xfId="1038" xr:uid="{889E8F70-3B85-49CC-A565-40160254A9FE}"/>
    <cellStyle name="Millares 30 2 2 5 3" xfId="533" xr:uid="{7FFA6C5B-9A3C-4DBD-80CE-1761B2744C2C}"/>
    <cellStyle name="Millares 30 2 2 5 3 2" xfId="1204" xr:uid="{3EFAE88B-7C87-4223-B1E9-DD229FE3CBB2}"/>
    <cellStyle name="Millares 30 2 2 5 4" xfId="872" xr:uid="{345073D9-07CC-468D-9F3E-22BE0583C1EA}"/>
    <cellStyle name="Millares 30 2 2 6" xfId="263" xr:uid="{BD0B0DE4-58E1-493D-973D-B913F8317CFE}"/>
    <cellStyle name="Millares 30 2 2 7" xfId="278" xr:uid="{A0ED38CB-0012-44F5-890E-1BEDDD93C137}"/>
    <cellStyle name="Millares 30 2 2 7 2" xfId="617" xr:uid="{6397EAB5-2567-4DF9-9C28-1FA452BA8228}"/>
    <cellStyle name="Millares 30 2 2 7 2 2" xfId="1288" xr:uid="{00694B08-AA24-4257-ABBF-10C0FB135F63}"/>
    <cellStyle name="Millares 30 2 2 7 3" xfId="956" xr:uid="{C8764C39-B66B-4EA4-8792-F720C97461A7}"/>
    <cellStyle name="Millares 30 2 2 8" xfId="451" xr:uid="{B8430080-9A43-4257-97B0-319539504DCC}"/>
    <cellStyle name="Millares 30 2 2 8 2" xfId="1122" xr:uid="{6E56CC9D-36BA-4C33-827F-8EE45F85099D}"/>
    <cellStyle name="Millares 30 2 2 9" xfId="790" xr:uid="{878F2840-5510-4028-A2EC-878A238BB27C}"/>
    <cellStyle name="Millares 4" xfId="80" xr:uid="{AB317749-1ACD-4757-BE48-EAAA0326005B}"/>
    <cellStyle name="Millares 4 2" xfId="107" xr:uid="{D911D9B3-6DF1-431D-ACB5-63AE70597D51}"/>
    <cellStyle name="Millares 4 2 2" xfId="155" xr:uid="{F04EFA3A-3169-458F-8AB7-5D10AC41ACD3}"/>
    <cellStyle name="Millares 4 2 2 2" xfId="244" xr:uid="{17FF18BE-BFEE-42FA-9DD9-E6767A08302D}"/>
    <cellStyle name="Millares 4 2 2 2 2" xfId="430" xr:uid="{3A4A6DAA-8FF1-4136-BA5C-CE0AFF13573F}"/>
    <cellStyle name="Millares 4 2 2 2 2 2" xfId="769" xr:uid="{372680D6-C658-4F05-A28C-2B1E434D30BC}"/>
    <cellStyle name="Millares 4 2 2 2 2 2 2" xfId="1440" xr:uid="{041B1CAC-CBD3-4678-A06A-2B80C4BFAB43}"/>
    <cellStyle name="Millares 4 2 2 2 2 3" xfId="1108" xr:uid="{8D23E0E8-3857-409A-A04E-1B3E75CA22BE}"/>
    <cellStyle name="Millares 4 2 2 2 3" xfId="603" xr:uid="{53C20369-718E-44D8-92E1-63E207F6595E}"/>
    <cellStyle name="Millares 4 2 2 2 3 2" xfId="1274" xr:uid="{0EBD77B3-B38F-47A5-92F0-052EE9D07D5A}"/>
    <cellStyle name="Millares 4 2 2 2 4" xfId="942" xr:uid="{842A6C60-A186-4FFD-8612-AF706D0979F1}"/>
    <cellStyle name="Millares 4 2 2 3" xfId="348" xr:uid="{E2991457-D76C-4090-B184-58290C6D6EAD}"/>
    <cellStyle name="Millares 4 2 2 3 2" xfId="687" xr:uid="{7CF000F9-8741-4DBE-B0A5-27C71E4FBE14}"/>
    <cellStyle name="Millares 4 2 2 3 2 2" xfId="1358" xr:uid="{AC8D552F-C701-4CC3-9EA3-30792CAE5C4B}"/>
    <cellStyle name="Millares 4 2 2 3 3" xfId="1026" xr:uid="{25731997-ED8C-4F06-B719-59C33A2EE71F}"/>
    <cellStyle name="Millares 4 2 2 4" xfId="521" xr:uid="{B1C30467-755B-4386-881B-F262220B9020}"/>
    <cellStyle name="Millares 4 2 2 4 2" xfId="1192" xr:uid="{360AC611-2A29-4DAF-A3E4-41FA741F101D}"/>
    <cellStyle name="Millares 4 2 2 5" xfId="860" xr:uid="{56D04214-47DA-4577-9BC6-C8FCE30F0E82}"/>
    <cellStyle name="Millares 4 2 3" xfId="204" xr:uid="{9C5536ED-89C3-4314-9A0B-93B8F74A8D0F}"/>
    <cellStyle name="Millares 4 2 3 2" xfId="390" xr:uid="{F7207337-C8B0-4EFE-99A6-301D01DFD92E}"/>
    <cellStyle name="Millares 4 2 3 2 2" xfId="729" xr:uid="{343E318B-040C-49E6-B516-DD2AAE72E61E}"/>
    <cellStyle name="Millares 4 2 3 2 2 2" xfId="1400" xr:uid="{CD0F2F33-35C5-4E3C-902A-C3D875175195}"/>
    <cellStyle name="Millares 4 2 3 2 3" xfId="1068" xr:uid="{EED4E7F7-93BA-44AB-8328-9A399FE9A0B7}"/>
    <cellStyle name="Millares 4 2 3 3" xfId="563" xr:uid="{EB97733E-4195-4A33-BCC6-560804FCD0C3}"/>
    <cellStyle name="Millares 4 2 3 3 2" xfId="1234" xr:uid="{D22D78DE-D44E-4F8B-A903-F308E1FAF4C4}"/>
    <cellStyle name="Millares 4 2 3 4" xfId="902" xr:uid="{9BD50021-F504-4EDE-9F89-C872B0BF1705}"/>
    <cellStyle name="Millares 4 2 4" xfId="308" xr:uid="{4D84ADFA-45BB-42B5-A1F3-3C778EAD94DD}"/>
    <cellStyle name="Millares 4 2 4 2" xfId="647" xr:uid="{8DD800B9-C0B0-4DD4-9DC3-F3732567E22A}"/>
    <cellStyle name="Millares 4 2 4 2 2" xfId="1318" xr:uid="{42E68749-556E-4DE9-9ECE-E9F1966604AA}"/>
    <cellStyle name="Millares 4 2 4 3" xfId="986" xr:uid="{907B9893-803F-4B3B-B85F-AE735F455069}"/>
    <cellStyle name="Millares 4 2 5" xfId="481" xr:uid="{958A435C-8987-4565-96A3-A1BD79C5A495}"/>
    <cellStyle name="Millares 4 2 5 2" xfId="1152" xr:uid="{1BE9409B-73EE-417B-B4BA-2FCFC8E522B1}"/>
    <cellStyle name="Millares 4 2 6" xfId="820" xr:uid="{69968046-274A-42C7-955B-21FC8C85F9C2}"/>
    <cellStyle name="Millares 4 3" xfId="136" xr:uid="{8D76EEA0-5352-4D92-B5B1-04DC171C762B}"/>
    <cellStyle name="Millares 4 3 2" xfId="225" xr:uid="{562EACCE-F7A3-49EF-87BD-3081E8DAD3F6}"/>
    <cellStyle name="Millares 4 3 2 2" xfId="411" xr:uid="{F13B4221-E198-4FD3-9118-5E6679959D96}"/>
    <cellStyle name="Millares 4 3 2 2 2" xfId="750" xr:uid="{E28C5DF4-EAA8-4ACA-B9A0-F1F3F5A2880A}"/>
    <cellStyle name="Millares 4 3 2 2 2 2" xfId="1421" xr:uid="{A28F6A3C-C565-43DD-9B1C-4A4484BCAA36}"/>
    <cellStyle name="Millares 4 3 2 2 3" xfId="1089" xr:uid="{3F6CC04E-9A00-45D3-B03C-9B845EAB699F}"/>
    <cellStyle name="Millares 4 3 2 3" xfId="584" xr:uid="{D5201DCB-2209-44B8-9C6D-12745F658334}"/>
    <cellStyle name="Millares 4 3 2 3 2" xfId="1255" xr:uid="{4CF85239-EE68-47D7-9C7D-B3800A5D6AEC}"/>
    <cellStyle name="Millares 4 3 2 4" xfId="923" xr:uid="{2FD3B965-F635-4724-926D-6AC615768B65}"/>
    <cellStyle name="Millares 4 3 3" xfId="329" xr:uid="{3400D276-08AD-4814-8236-6E73F3C89C0B}"/>
    <cellStyle name="Millares 4 3 3 2" xfId="668" xr:uid="{8C7C3D43-57FD-4F99-BD5C-A0BC1EF52404}"/>
    <cellStyle name="Millares 4 3 3 2 2" xfId="1339" xr:uid="{D20B78B7-A46F-4183-BAD7-23492C7289BE}"/>
    <cellStyle name="Millares 4 3 3 3" xfId="1007" xr:uid="{B612B0EF-DECD-421B-AA1C-2BBD918A3783}"/>
    <cellStyle name="Millares 4 3 4" xfId="502" xr:uid="{117138B5-127E-413F-BD9F-610B85F13CC2}"/>
    <cellStyle name="Millares 4 3 4 2" xfId="1173" xr:uid="{37F6CA6A-3C30-4D88-8CEE-408639D78D9A}"/>
    <cellStyle name="Millares 4 3 5" xfId="841" xr:uid="{CEADAAB6-6DF2-475D-9327-D423DE1769F8}"/>
    <cellStyle name="Millares 4 4" xfId="185" xr:uid="{3FC94755-8691-465C-9A4F-C03AD8D8817A}"/>
    <cellStyle name="Millares 4 4 2" xfId="371" xr:uid="{AD4ECD3E-9168-4DF8-B580-5596C5625C04}"/>
    <cellStyle name="Millares 4 4 2 2" xfId="710" xr:uid="{31B15327-4C0D-4863-B758-5CC4A14BB0AC}"/>
    <cellStyle name="Millares 4 4 2 2 2" xfId="1381" xr:uid="{A770BF94-31C2-494F-A43E-44A1BE20940C}"/>
    <cellStyle name="Millares 4 4 2 3" xfId="1049" xr:uid="{5891DA94-6E18-4587-BF04-EA47842D11EE}"/>
    <cellStyle name="Millares 4 4 3" xfId="544" xr:uid="{641E4611-CCA0-48CB-9851-15D234600781}"/>
    <cellStyle name="Millares 4 4 3 2" xfId="1215" xr:uid="{B8A6C192-92A6-4A4A-A271-3F46CD84640F}"/>
    <cellStyle name="Millares 4 4 4" xfId="883" xr:uid="{CD276B08-3658-44D5-84E0-4E94A8FA9CCF}"/>
    <cellStyle name="Millares 4 5" xfId="289" xr:uid="{92E400C5-392E-40FF-A912-D35C8959E662}"/>
    <cellStyle name="Millares 4 5 2" xfId="628" xr:uid="{B0435D9C-F468-440E-9917-6265F51F11F4}"/>
    <cellStyle name="Millares 4 5 2 2" xfId="1299" xr:uid="{15F54059-64CB-415B-A3B8-1C812A7A9EE8}"/>
    <cellStyle name="Millares 4 5 3" xfId="967" xr:uid="{01C58DD1-67BC-49A7-9DF8-2BD7A0D1E580}"/>
    <cellStyle name="Millares 4 6" xfId="462" xr:uid="{6AA0252B-F408-448B-99EF-E62F87805D42}"/>
    <cellStyle name="Millares 4 6 2" xfId="1133" xr:uid="{B8C86246-200F-4DF3-84B5-04DEE2A4EC8C}"/>
    <cellStyle name="Millares 4 7" xfId="801" xr:uid="{9FF53D1F-C6CB-4C35-8B95-EB9A6F285089}"/>
    <cellStyle name="Millares 5" xfId="64" xr:uid="{0F0C9EF7-D9D4-41D2-ABF9-674337D229E7}"/>
    <cellStyle name="Millares 5 2" xfId="99" xr:uid="{D3D6AD59-1DA1-48BF-8DE9-9EFD1A746FD4}"/>
    <cellStyle name="Millares 5 2 2" xfId="147" xr:uid="{8683504A-CE8B-40D9-93F4-7A1CA6039686}"/>
    <cellStyle name="Millares 5 2 2 2" xfId="236" xr:uid="{83C1D1EB-2ECC-4C7E-8C1D-0CD1ED0AE61D}"/>
    <cellStyle name="Millares 5 2 2 2 2" xfId="422" xr:uid="{91F0D91F-B968-4E3D-9570-635509E6B71B}"/>
    <cellStyle name="Millares 5 2 2 2 2 2" xfId="761" xr:uid="{44CE1F02-4C8F-4CCA-B056-C30387C9D9F0}"/>
    <cellStyle name="Millares 5 2 2 2 2 2 2" xfId="1432" xr:uid="{BD202EF3-2D85-4E24-B959-E1A01E72AE4C}"/>
    <cellStyle name="Millares 5 2 2 2 2 3" xfId="1100" xr:uid="{3C45A485-A1D8-4861-AA2E-385B8BE29C19}"/>
    <cellStyle name="Millares 5 2 2 2 3" xfId="595" xr:uid="{A1532B7F-101C-47A9-8DFD-065FFB60D66A}"/>
    <cellStyle name="Millares 5 2 2 2 3 2" xfId="1266" xr:uid="{3E81D4B9-D4C9-4260-B708-542701812303}"/>
    <cellStyle name="Millares 5 2 2 2 4" xfId="934" xr:uid="{B314BEE7-BE52-488B-ABA6-E6CF4C0DD540}"/>
    <cellStyle name="Millares 5 2 2 3" xfId="340" xr:uid="{055E55BB-A295-467D-93FC-43028E29615A}"/>
    <cellStyle name="Millares 5 2 2 3 2" xfId="679" xr:uid="{3D2752E5-38A0-458C-85DD-8C0C3D7E77D9}"/>
    <cellStyle name="Millares 5 2 2 3 2 2" xfId="1350" xr:uid="{0839F061-E81E-4129-B24A-F9C9D11F1A6C}"/>
    <cellStyle name="Millares 5 2 2 3 3" xfId="1018" xr:uid="{6C917D5D-16CB-4AE1-8493-F0ED022F57D7}"/>
    <cellStyle name="Millares 5 2 2 4" xfId="513" xr:uid="{8F1910BC-435E-42E8-B25C-8E7711C0FCA6}"/>
    <cellStyle name="Millares 5 2 2 4 2" xfId="1184" xr:uid="{DE8E1CCF-B333-40F4-9429-2F8B92B7143B}"/>
    <cellStyle name="Millares 5 2 2 5" xfId="852" xr:uid="{9B1D6A57-76A1-4F3D-8058-169E43C935D4}"/>
    <cellStyle name="Millares 5 2 3" xfId="196" xr:uid="{58FDCDE7-84E1-412C-A9AB-BA02FE189653}"/>
    <cellStyle name="Millares 5 2 3 2" xfId="382" xr:uid="{653F601F-9F87-43A6-AB10-A95ACEB6FBE5}"/>
    <cellStyle name="Millares 5 2 3 2 2" xfId="721" xr:uid="{7FA9A4B6-8EBD-428F-9700-F7643383FAF7}"/>
    <cellStyle name="Millares 5 2 3 2 2 2" xfId="1392" xr:uid="{9088B2B9-817D-4058-877D-11D75E713DA9}"/>
    <cellStyle name="Millares 5 2 3 2 3" xfId="1060" xr:uid="{DAE2E916-609F-4988-8DE7-2A8C0639A857}"/>
    <cellStyle name="Millares 5 2 3 3" xfId="555" xr:uid="{52126790-F035-48A0-B837-0B0DE5536B0E}"/>
    <cellStyle name="Millares 5 2 3 3 2" xfId="1226" xr:uid="{55593CAA-041E-4CD3-BFA9-B124B39E2E4C}"/>
    <cellStyle name="Millares 5 2 3 4" xfId="894" xr:uid="{AC3F1BD2-B4B8-482A-9AAA-A420EC492164}"/>
    <cellStyle name="Millares 5 2 4" xfId="300" xr:uid="{72F9E6DE-B712-4ACD-BD0D-89855B4DC2E6}"/>
    <cellStyle name="Millares 5 2 4 2" xfId="639" xr:uid="{3F63A011-E754-427D-9E40-25C554A3089E}"/>
    <cellStyle name="Millares 5 2 4 2 2" xfId="1310" xr:uid="{42FD6383-BA9C-45C0-B2E9-7AB804161163}"/>
    <cellStyle name="Millares 5 2 4 3" xfId="978" xr:uid="{1ACC4AF9-CDB3-4AFC-B8FD-E91B7B237710}"/>
    <cellStyle name="Millares 5 2 5" xfId="473" xr:uid="{57C70A3E-5E92-4C95-B22D-7568A83479EC}"/>
    <cellStyle name="Millares 5 2 5 2" xfId="1144" xr:uid="{AD432013-73DB-4CC9-A496-6D9859224CC8}"/>
    <cellStyle name="Millares 5 2 6" xfId="812" xr:uid="{73DABE87-744C-4AF6-A12C-326AA1A8D805}"/>
    <cellStyle name="Millares 5 3" xfId="128" xr:uid="{B84E8230-7722-42E2-8AAC-0C911695A8DD}"/>
    <cellStyle name="Millares 5 3 2" xfId="217" xr:uid="{20333015-4066-4C2C-82A4-D8E1BA9B9A7F}"/>
    <cellStyle name="Millares 5 3 2 2" xfId="403" xr:uid="{3E547F0A-1F93-4538-BBF3-B2B7F792D26C}"/>
    <cellStyle name="Millares 5 3 2 2 2" xfId="742" xr:uid="{74FCC5F6-DD42-4F9B-A82C-F6EB768401F6}"/>
    <cellStyle name="Millares 5 3 2 2 2 2" xfId="1413" xr:uid="{31E5F839-9A24-4888-8C20-0102BE2CC8B6}"/>
    <cellStyle name="Millares 5 3 2 2 3" xfId="1081" xr:uid="{29185698-A60E-4035-BDC3-12EDE73A906B}"/>
    <cellStyle name="Millares 5 3 2 3" xfId="576" xr:uid="{FAFC6A64-570C-4CD1-9BE3-303570FF722C}"/>
    <cellStyle name="Millares 5 3 2 3 2" xfId="1247" xr:uid="{0F79F00F-4012-435E-BB78-EA00CE682331}"/>
    <cellStyle name="Millares 5 3 2 4" xfId="915" xr:uid="{119AF6A6-F2A4-48E5-86E4-245445F653A7}"/>
    <cellStyle name="Millares 5 3 3" xfId="321" xr:uid="{B068C9F5-467E-48BE-93EB-B4F8A0F3AC28}"/>
    <cellStyle name="Millares 5 3 3 2" xfId="660" xr:uid="{8F089605-0E63-4D55-920E-458785E49968}"/>
    <cellStyle name="Millares 5 3 3 2 2" xfId="1331" xr:uid="{C1A1E5FA-6546-4263-ABF9-C708416D93BE}"/>
    <cellStyle name="Millares 5 3 3 3" xfId="999" xr:uid="{684735EE-8D4F-4835-B204-6C0D2FBC0429}"/>
    <cellStyle name="Millares 5 3 4" xfId="494" xr:uid="{FBF6D247-4F88-4C39-A8CA-0A2EFE43087B}"/>
    <cellStyle name="Millares 5 3 4 2" xfId="1165" xr:uid="{C62F8F82-C733-4B60-B8C7-A0BD162307D7}"/>
    <cellStyle name="Millares 5 3 5" xfId="833" xr:uid="{78276DCF-AA0B-4625-803F-68597B8BC875}"/>
    <cellStyle name="Millares 5 4" xfId="177" xr:uid="{3BA2103D-3BA4-48E2-B3AE-345B93BC4DDC}"/>
    <cellStyle name="Millares 5 4 2" xfId="363" xr:uid="{C678214B-9C19-47CA-8BE2-5623A0273862}"/>
    <cellStyle name="Millares 5 4 2 2" xfId="702" xr:uid="{117E9039-BC68-4EEF-9337-7A4E8B88792F}"/>
    <cellStyle name="Millares 5 4 2 2 2" xfId="1373" xr:uid="{71F1EE5A-619A-4561-AA28-C0081E14F3E7}"/>
    <cellStyle name="Millares 5 4 2 3" xfId="1041" xr:uid="{55B69B59-BC1D-476A-9758-504A95FCA0A6}"/>
    <cellStyle name="Millares 5 4 3" xfId="536" xr:uid="{1635B8E0-8E49-4CB3-BD9F-9524E244EC09}"/>
    <cellStyle name="Millares 5 4 3 2" xfId="1207" xr:uid="{55CD58CE-A20C-434A-BF35-B0AD5452EC19}"/>
    <cellStyle name="Millares 5 4 4" xfId="875" xr:uid="{30E7BDD6-6B56-491C-9DF9-22129B6FD910}"/>
    <cellStyle name="Millares 5 5" xfId="281" xr:uid="{F492B03B-8746-403B-9727-F61F93557EC3}"/>
    <cellStyle name="Millares 5 5 2" xfId="620" xr:uid="{DCC1598C-F46A-44C3-A348-88C4CE30CC2C}"/>
    <cellStyle name="Millares 5 5 2 2" xfId="1291" xr:uid="{EF79F406-B675-49C0-8D12-AE0DE007D28A}"/>
    <cellStyle name="Millares 5 5 3" xfId="959" xr:uid="{15B30F08-E5C2-42C8-88C9-221A11BA846A}"/>
    <cellStyle name="Millares 5 6" xfId="454" xr:uid="{B1D1A349-5552-40F0-BEB0-A4840E18A425}"/>
    <cellStyle name="Millares 5 6 2" xfId="1125" xr:uid="{20A65796-91C0-4196-B3E6-F3909290E9F9}"/>
    <cellStyle name="Millares 5 7" xfId="793" xr:uid="{13157FDF-D6A2-4715-90EE-D739C03AE974}"/>
    <cellStyle name="Millares 6" xfId="81" xr:uid="{B24EC03D-4AE3-4E72-866D-E860EB9EDE20}"/>
    <cellStyle name="Millares 6 2" xfId="108" xr:uid="{A3E60632-F990-4974-BBF8-AA4FA91F15EE}"/>
    <cellStyle name="Millares 6 2 2" xfId="156" xr:uid="{883DD64A-A901-4078-9D80-EC0931A00EBB}"/>
    <cellStyle name="Millares 6 2 2 2" xfId="245" xr:uid="{0DBB3B6C-4DB6-40AB-95B9-9B58905DCE2F}"/>
    <cellStyle name="Millares 6 2 2 2 2" xfId="431" xr:uid="{69D6A956-FEF8-47F6-AE42-A5B615654A38}"/>
    <cellStyle name="Millares 6 2 2 2 2 2" xfId="770" xr:uid="{4F5C2A11-AA89-4A9D-9B16-19189F67D342}"/>
    <cellStyle name="Millares 6 2 2 2 2 2 2" xfId="1441" xr:uid="{F27335B8-A5AB-4689-9AD2-AE0F42E26E9B}"/>
    <cellStyle name="Millares 6 2 2 2 2 3" xfId="1109" xr:uid="{39B84362-FD6C-4B0C-95BA-E4A32412A845}"/>
    <cellStyle name="Millares 6 2 2 2 3" xfId="604" xr:uid="{67ADDD7D-08C7-450F-BA79-DBEAE8B05DEC}"/>
    <cellStyle name="Millares 6 2 2 2 3 2" xfId="1275" xr:uid="{A6FD4BBF-F6D6-4F61-B3AC-B8944D1FFA81}"/>
    <cellStyle name="Millares 6 2 2 2 4" xfId="943" xr:uid="{23AE4676-73D4-493C-94CF-0D0EC7C6C6CD}"/>
    <cellStyle name="Millares 6 2 2 3" xfId="349" xr:uid="{32E9AB0A-0FDB-4D27-8F42-4AC0885999E8}"/>
    <cellStyle name="Millares 6 2 2 3 2" xfId="688" xr:uid="{2A70C789-632D-45A5-B4BA-25AAD16F2FEC}"/>
    <cellStyle name="Millares 6 2 2 3 2 2" xfId="1359" xr:uid="{1E77137B-C038-422B-B254-2CBC451E6B46}"/>
    <cellStyle name="Millares 6 2 2 3 3" xfId="1027" xr:uid="{532EC80F-54C2-46BC-BE77-ACD8C8C219F5}"/>
    <cellStyle name="Millares 6 2 2 4" xfId="522" xr:uid="{DB704A8F-3323-4B89-BAF1-78DA2EC3B8AB}"/>
    <cellStyle name="Millares 6 2 2 4 2" xfId="1193" xr:uid="{61D3B4A4-8181-4C66-A9C1-7D6294251835}"/>
    <cellStyle name="Millares 6 2 2 5" xfId="861" xr:uid="{FB0C72D9-92AC-4F2B-B609-8CF7E8184E30}"/>
    <cellStyle name="Millares 6 2 3" xfId="205" xr:uid="{3B771BEC-C498-46A2-9BE5-033B9C7924CA}"/>
    <cellStyle name="Millares 6 2 3 2" xfId="391" xr:uid="{7EBE96A2-D6DC-42DF-94AF-80006D43DC1C}"/>
    <cellStyle name="Millares 6 2 3 2 2" xfId="730" xr:uid="{9AAED148-3AD9-4F0D-A91D-AC72FE8175F5}"/>
    <cellStyle name="Millares 6 2 3 2 2 2" xfId="1401" xr:uid="{F9D29DED-98AF-4970-9E75-3D1481A3236F}"/>
    <cellStyle name="Millares 6 2 3 2 3" xfId="1069" xr:uid="{2E2983ED-9FF7-44C6-AD89-4938FD5F40CE}"/>
    <cellStyle name="Millares 6 2 3 3" xfId="564" xr:uid="{EAADA1FF-2EE5-435B-8D4D-01CE94D5BA30}"/>
    <cellStyle name="Millares 6 2 3 3 2" xfId="1235" xr:uid="{5523C0C0-39E1-40DC-8226-F046C89D99FF}"/>
    <cellStyle name="Millares 6 2 3 4" xfId="903" xr:uid="{390CE73B-8DAA-4F5E-9C2E-75E65C8E2695}"/>
    <cellStyle name="Millares 6 2 4" xfId="309" xr:uid="{A7DD33A4-F030-4A01-9CE9-610B0B6749E6}"/>
    <cellStyle name="Millares 6 2 4 2" xfId="648" xr:uid="{B48F8249-9831-4AE3-A93C-E9D02F4E6058}"/>
    <cellStyle name="Millares 6 2 4 2 2" xfId="1319" xr:uid="{60843A84-DAFB-40F1-8C49-88E23428A415}"/>
    <cellStyle name="Millares 6 2 4 3" xfId="987" xr:uid="{14A639FE-9744-40F5-87B5-0767E56E1834}"/>
    <cellStyle name="Millares 6 2 5" xfId="482" xr:uid="{AD1AA197-8A31-410D-8203-C81A711DE48A}"/>
    <cellStyle name="Millares 6 2 5 2" xfId="1153" xr:uid="{C20226E5-647B-4FBC-A17E-7E6E7829F9E1}"/>
    <cellStyle name="Millares 6 2 6" xfId="821" xr:uid="{A72ADE8C-70ED-428D-801E-A3569258C031}"/>
    <cellStyle name="Millares 6 3" xfId="137" xr:uid="{E14D62D0-3B99-4552-8092-E2B28B16A4F2}"/>
    <cellStyle name="Millares 6 3 2" xfId="226" xr:uid="{21D2D9EA-1729-4994-A23D-BDA3B2F0E802}"/>
    <cellStyle name="Millares 6 3 2 2" xfId="412" xr:uid="{E9AD02CF-95C1-4D6C-B4DF-E4CF229C373E}"/>
    <cellStyle name="Millares 6 3 2 2 2" xfId="751" xr:uid="{9FA7FE1A-3166-4470-A639-E56A03AB69C8}"/>
    <cellStyle name="Millares 6 3 2 2 2 2" xfId="1422" xr:uid="{BA6B8D4D-085C-40C9-80B8-616E7FF7BB3D}"/>
    <cellStyle name="Millares 6 3 2 2 3" xfId="1090" xr:uid="{53BFFD0B-CE4B-4C56-9252-EFDF8E5605A8}"/>
    <cellStyle name="Millares 6 3 2 3" xfId="585" xr:uid="{7224C790-F0F1-499D-98C7-407D1DF0D0BA}"/>
    <cellStyle name="Millares 6 3 2 3 2" xfId="1256" xr:uid="{692C6617-9C34-4DA1-BA6A-2E047675D522}"/>
    <cellStyle name="Millares 6 3 2 4" xfId="924" xr:uid="{B99270DC-1A61-419A-A3A3-487C941B7DAF}"/>
    <cellStyle name="Millares 6 3 3" xfId="330" xr:uid="{CDE9DDF2-5A0F-4D51-9ACE-DB5A8E016CB0}"/>
    <cellStyle name="Millares 6 3 3 2" xfId="669" xr:uid="{AC1A4A8A-87E9-4632-A7F8-DC828E081701}"/>
    <cellStyle name="Millares 6 3 3 2 2" xfId="1340" xr:uid="{9053E6E4-1614-4CBC-8DC2-D738A292462A}"/>
    <cellStyle name="Millares 6 3 3 3" xfId="1008" xr:uid="{F5A6F5C1-BF87-4D9F-9079-C4FBAF4D4B8D}"/>
    <cellStyle name="Millares 6 3 4" xfId="503" xr:uid="{FEE95957-B204-43C0-BA4C-0F026AF7181E}"/>
    <cellStyle name="Millares 6 3 4 2" xfId="1174" xr:uid="{392F788C-2D8C-4B0D-9FC8-7AC6A416E39E}"/>
    <cellStyle name="Millares 6 3 5" xfId="842" xr:uid="{AE440F81-A982-4B54-AC5B-9626F6CB9B73}"/>
    <cellStyle name="Millares 6 4" xfId="186" xr:uid="{19B82671-FD12-4C41-8514-1942D6BE7875}"/>
    <cellStyle name="Millares 6 4 2" xfId="372" xr:uid="{789EA11E-AA16-4C6A-90AE-2B0060F4278E}"/>
    <cellStyle name="Millares 6 4 2 2" xfId="711" xr:uid="{3E1D795B-6FF4-4847-8B2A-5BD8E507F4D6}"/>
    <cellStyle name="Millares 6 4 2 2 2" xfId="1382" xr:uid="{830EAC83-DF5C-40BA-AA1C-209D04DB89D0}"/>
    <cellStyle name="Millares 6 4 2 3" xfId="1050" xr:uid="{2F3085EA-CE71-45CB-B142-9682CF311286}"/>
    <cellStyle name="Millares 6 4 3" xfId="545" xr:uid="{E2613401-0855-4DA4-9AE8-45DE7828D668}"/>
    <cellStyle name="Millares 6 4 3 2" xfId="1216" xr:uid="{CDA30AC1-3ABE-4AF7-9554-6190ED44CE78}"/>
    <cellStyle name="Millares 6 4 4" xfId="884" xr:uid="{1EC8A963-B529-41A3-94D7-C9CCDCE662CE}"/>
    <cellStyle name="Millares 6 5" xfId="290" xr:uid="{0F25A762-517F-4F00-AE0F-56C577763462}"/>
    <cellStyle name="Millares 6 5 2" xfId="629" xr:uid="{F3E05417-9354-4928-A14C-A20B618A3998}"/>
    <cellStyle name="Millares 6 5 2 2" xfId="1300" xr:uid="{C05A2F7A-3E58-4D59-A52E-C884329F5AD2}"/>
    <cellStyle name="Millares 6 5 3" xfId="968" xr:uid="{418AFE27-70CE-4EEA-BDEA-633644C376EE}"/>
    <cellStyle name="Millares 6 6" xfId="463" xr:uid="{209505FA-36B9-4A23-B871-C1EE995982B3}"/>
    <cellStyle name="Millares 6 6 2" xfId="1134" xr:uid="{6737EE77-7292-4485-A39C-5A77404D3FBD}"/>
    <cellStyle name="Millares 6 7" xfId="802" xr:uid="{B1623E1E-58A2-47FD-A5D3-70500ECFA55C}"/>
    <cellStyle name="Millares 7" xfId="82" xr:uid="{4323E05A-6A44-4249-BE37-14BB6ACF5652}"/>
    <cellStyle name="Millares 7 2" xfId="109" xr:uid="{A19C142C-DCDB-4851-8200-3B421E0A9DE5}"/>
    <cellStyle name="Millares 7 2 2" xfId="157" xr:uid="{6EF94847-D698-483E-98D4-06D60DEF8B67}"/>
    <cellStyle name="Millares 7 2 2 2" xfId="246" xr:uid="{04C5D720-66EE-4E1F-B232-DC661D1772FB}"/>
    <cellStyle name="Millares 7 2 2 2 2" xfId="432" xr:uid="{EA1CCF92-A364-44D7-B569-2DB4A9A7CCCB}"/>
    <cellStyle name="Millares 7 2 2 2 2 2" xfId="771" xr:uid="{AAD9016C-A6E5-4E60-A98E-690E16520211}"/>
    <cellStyle name="Millares 7 2 2 2 2 2 2" xfId="1442" xr:uid="{187E2B33-13BF-4780-88ED-1901C2A05BD4}"/>
    <cellStyle name="Millares 7 2 2 2 2 3" xfId="1110" xr:uid="{03604F8F-2885-4835-9444-5779F8CD37D5}"/>
    <cellStyle name="Millares 7 2 2 2 3" xfId="605" xr:uid="{6AF448B7-5417-4A54-A47E-250DFB7CA33E}"/>
    <cellStyle name="Millares 7 2 2 2 3 2" xfId="1276" xr:uid="{E00C9DB7-6C8A-467D-AB53-8AB93A273DFD}"/>
    <cellStyle name="Millares 7 2 2 2 4" xfId="944" xr:uid="{B3FF6E15-22B7-43B6-9CD0-18A889609080}"/>
    <cellStyle name="Millares 7 2 2 3" xfId="350" xr:uid="{14952698-C9CD-4D87-82FC-34ABAC778B0E}"/>
    <cellStyle name="Millares 7 2 2 3 2" xfId="689" xr:uid="{0F7C1F88-B88E-4742-BDA7-ABD87DD86D95}"/>
    <cellStyle name="Millares 7 2 2 3 2 2" xfId="1360" xr:uid="{0588056B-FB75-4664-AC7E-6AD4449EF288}"/>
    <cellStyle name="Millares 7 2 2 3 3" xfId="1028" xr:uid="{B0BD6BD1-1AE2-45B9-851C-D748FE4C19B2}"/>
    <cellStyle name="Millares 7 2 2 4" xfId="523" xr:uid="{7D898547-64E2-4506-88C3-D6F7F51EEF1B}"/>
    <cellStyle name="Millares 7 2 2 4 2" xfId="1194" xr:uid="{6C017120-0DDD-4C75-9F8B-AC29853CA691}"/>
    <cellStyle name="Millares 7 2 2 5" xfId="862" xr:uid="{F063F7CC-7E3D-4E20-A6B6-26945CE5EDE2}"/>
    <cellStyle name="Millares 7 2 3" xfId="206" xr:uid="{3BDB597F-F009-4A3E-AE54-5D9FDA63C3AE}"/>
    <cellStyle name="Millares 7 2 3 2" xfId="392" xr:uid="{AC0EF0D5-1034-48B3-AC99-06048C6C974C}"/>
    <cellStyle name="Millares 7 2 3 2 2" xfId="731" xr:uid="{60974DBF-99C9-4EB0-8354-7E18F219C8C3}"/>
    <cellStyle name="Millares 7 2 3 2 2 2" xfId="1402" xr:uid="{BB1C97A6-0C23-40D9-B36A-40EAA0221984}"/>
    <cellStyle name="Millares 7 2 3 2 3" xfId="1070" xr:uid="{A42D1E2F-54CD-49A4-BC23-4DE2C979A34C}"/>
    <cellStyle name="Millares 7 2 3 3" xfId="565" xr:uid="{E5F35E89-99BA-4D85-8CB1-B16FEF22A3E0}"/>
    <cellStyle name="Millares 7 2 3 3 2" xfId="1236" xr:uid="{A829094A-CE05-4E93-A9F3-19FD3AEC6F6D}"/>
    <cellStyle name="Millares 7 2 3 4" xfId="904" xr:uid="{1D3E1816-9E19-4986-9C38-DB0C00CAEE15}"/>
    <cellStyle name="Millares 7 2 4" xfId="310" xr:uid="{DEFA64E8-FEDF-4FC5-BE9B-E35AADF99068}"/>
    <cellStyle name="Millares 7 2 4 2" xfId="649" xr:uid="{4CA68207-5590-414D-AE20-7FC661E1AE12}"/>
    <cellStyle name="Millares 7 2 4 2 2" xfId="1320" xr:uid="{B43E2B5A-E74B-47AA-BA86-258ECBDAAD8A}"/>
    <cellStyle name="Millares 7 2 4 3" xfId="988" xr:uid="{3C1C14C6-D5FE-46FA-9619-4FF4D5244150}"/>
    <cellStyle name="Millares 7 2 5" xfId="483" xr:uid="{C7204501-3B48-4458-825F-7C08597BD041}"/>
    <cellStyle name="Millares 7 2 5 2" xfId="1154" xr:uid="{C966B746-DA4A-4D66-A133-8FAA03E84FB6}"/>
    <cellStyle name="Millares 7 2 6" xfId="822" xr:uid="{8ABEDD33-724C-4FED-8953-797F5E6CB462}"/>
    <cellStyle name="Millares 7 3" xfId="138" xr:uid="{A27D4067-CAF5-4060-8547-5317DFB4E251}"/>
    <cellStyle name="Millares 7 3 2" xfId="227" xr:uid="{8CEEF433-451E-42F5-B573-2C2553546824}"/>
    <cellStyle name="Millares 7 3 2 2" xfId="413" xr:uid="{CD039C28-BA91-40A6-B84D-14B3B36FDB27}"/>
    <cellStyle name="Millares 7 3 2 2 2" xfId="752" xr:uid="{94030E08-E458-407A-819A-415E833339F7}"/>
    <cellStyle name="Millares 7 3 2 2 2 2" xfId="1423" xr:uid="{9F60A5F7-A365-4820-A621-8584BF99C454}"/>
    <cellStyle name="Millares 7 3 2 2 3" xfId="1091" xr:uid="{20D16176-F95F-4C19-96B9-E56F8B96D5BE}"/>
    <cellStyle name="Millares 7 3 2 3" xfId="586" xr:uid="{F6BDA84A-7FEB-44B4-9C92-DC7AE6891299}"/>
    <cellStyle name="Millares 7 3 2 3 2" xfId="1257" xr:uid="{FE6C3DB2-8A94-4440-BFD9-53C51037BD2D}"/>
    <cellStyle name="Millares 7 3 2 4" xfId="925" xr:uid="{C62EA257-3A78-460E-BDEC-9918B25F19D0}"/>
    <cellStyle name="Millares 7 3 3" xfId="331" xr:uid="{193C3E3E-4F1E-4F46-9A1B-B1ECE1D3A3AB}"/>
    <cellStyle name="Millares 7 3 3 2" xfId="670" xr:uid="{A2EC8638-98B8-415E-A3A4-1FEB99908399}"/>
    <cellStyle name="Millares 7 3 3 2 2" xfId="1341" xr:uid="{8E6DECD4-B442-4FF6-9ECF-CDDCDA418E0B}"/>
    <cellStyle name="Millares 7 3 3 3" xfId="1009" xr:uid="{C5F634CA-3DF5-42DF-B357-C9378109F624}"/>
    <cellStyle name="Millares 7 3 4" xfId="504" xr:uid="{4873D82E-23D0-460F-93C7-A71389C58597}"/>
    <cellStyle name="Millares 7 3 4 2" xfId="1175" xr:uid="{0D8FCE51-0A12-4B48-B687-E09C62CBAE37}"/>
    <cellStyle name="Millares 7 3 5" xfId="843" xr:uid="{B3FBB375-52FB-4B70-B58D-E299B8968CA0}"/>
    <cellStyle name="Millares 7 4" xfId="187" xr:uid="{D353E60B-533D-414A-A418-E1403BD53E48}"/>
    <cellStyle name="Millares 7 4 2" xfId="373" xr:uid="{F26392B5-8693-425B-9E79-0F1300D40A0C}"/>
    <cellStyle name="Millares 7 4 2 2" xfId="712" xr:uid="{936836D9-3798-4E79-9AA8-F635B3C889E3}"/>
    <cellStyle name="Millares 7 4 2 2 2" xfId="1383" xr:uid="{70B297B4-D363-4634-8526-CF23E39D13AB}"/>
    <cellStyle name="Millares 7 4 2 3" xfId="1051" xr:uid="{F9DDA15D-4D88-41DC-8CF7-44626B25A922}"/>
    <cellStyle name="Millares 7 4 3" xfId="546" xr:uid="{9495F14F-C4F2-4B55-9958-482C1C96E3B1}"/>
    <cellStyle name="Millares 7 4 3 2" xfId="1217" xr:uid="{01DE2447-9080-44F8-BB5A-F722FA13F7AD}"/>
    <cellStyle name="Millares 7 4 4" xfId="885" xr:uid="{26010EA8-7B8B-451D-BB0F-58FC35DC77B2}"/>
    <cellStyle name="Millares 7 5" xfId="291" xr:uid="{FA0F7DB2-D296-4396-A16B-A30BB3B58473}"/>
    <cellStyle name="Millares 7 5 2" xfId="630" xr:uid="{DB952A6D-4E35-4FBE-AFCE-AFF404C0DD85}"/>
    <cellStyle name="Millares 7 5 2 2" xfId="1301" xr:uid="{0E779B13-A41B-4A4F-A49B-F386DF05B300}"/>
    <cellStyle name="Millares 7 5 3" xfId="969" xr:uid="{039FA6F7-E370-47EA-AF7D-E1ED0E73C191}"/>
    <cellStyle name="Millares 7 6" xfId="464" xr:uid="{D0B96E62-C9EA-4863-896E-C72AC6E4E611}"/>
    <cellStyle name="Millares 7 6 2" xfId="1135" xr:uid="{9A250C56-6221-4546-BFF2-509D1AF5E9DB}"/>
    <cellStyle name="Millares 7 7" xfId="803" xr:uid="{307D4B6B-FBB8-474F-92E3-D4DF87B2342E}"/>
    <cellStyle name="Millares 79" xfId="48" xr:uid="{75E1C01B-7A42-4471-B4F2-2BCF62AAE56E}"/>
    <cellStyle name="Millares 79 2" xfId="75" xr:uid="{302F2111-B482-4E0E-AE42-5CED7B8ECE0D}"/>
    <cellStyle name="Millares 79 2 2" xfId="104" xr:uid="{B918E7F7-C87F-4AAD-AE24-9D6135E59E8D}"/>
    <cellStyle name="Millares 79 2 2 2" xfId="152" xr:uid="{D26E7327-7B84-4C12-A463-221E0C619BEC}"/>
    <cellStyle name="Millares 79 2 2 2 2" xfId="241" xr:uid="{396A7B7D-4AE5-4933-89C1-319F41F12DAC}"/>
    <cellStyle name="Millares 79 2 2 2 2 2" xfId="427" xr:uid="{699D6EBE-15D3-46FF-A8DE-7A50AC905D77}"/>
    <cellStyle name="Millares 79 2 2 2 2 2 2" xfId="766" xr:uid="{4F888254-77C1-427F-8DA4-6948AB650E77}"/>
    <cellStyle name="Millares 79 2 2 2 2 2 2 2" xfId="1437" xr:uid="{408D6437-DF4A-4B71-8EE0-B11F82A40D4E}"/>
    <cellStyle name="Millares 79 2 2 2 2 2 3" xfId="1105" xr:uid="{FD263DB1-A7BD-4579-A0FD-BC10628EE603}"/>
    <cellStyle name="Millares 79 2 2 2 2 3" xfId="600" xr:uid="{2640B3BB-692F-4501-93E0-F2BDE7DBEB13}"/>
    <cellStyle name="Millares 79 2 2 2 2 3 2" xfId="1271" xr:uid="{83A723D8-7247-4D89-802B-92906AB7C7A3}"/>
    <cellStyle name="Millares 79 2 2 2 2 4" xfId="939" xr:uid="{D092FBCA-9913-4B77-9F1D-E3CF04AECA6E}"/>
    <cellStyle name="Millares 79 2 2 2 3" xfId="345" xr:uid="{84409FE4-48C8-479B-89D8-B6B2E5EAEEEF}"/>
    <cellStyle name="Millares 79 2 2 2 3 2" xfId="684" xr:uid="{7DFC02F8-A48E-4FC2-B285-0CD53EE4CC38}"/>
    <cellStyle name="Millares 79 2 2 2 3 2 2" xfId="1355" xr:uid="{851CD194-BC3F-4D1F-97F4-AA5CF07A42C4}"/>
    <cellStyle name="Millares 79 2 2 2 3 3" xfId="1023" xr:uid="{1706081B-841B-4A65-B672-B36719FE6991}"/>
    <cellStyle name="Millares 79 2 2 2 4" xfId="518" xr:uid="{FAAAC28F-0235-4C1E-B1CA-CBA6058706B6}"/>
    <cellStyle name="Millares 79 2 2 2 4 2" xfId="1189" xr:uid="{A6E2D32A-72A8-4F2F-B512-EC991C149A3B}"/>
    <cellStyle name="Millares 79 2 2 2 5" xfId="857" xr:uid="{04215C49-DE3D-49D3-A8A4-C9AE056D0941}"/>
    <cellStyle name="Millares 79 2 2 3" xfId="201" xr:uid="{40449EA4-01BB-4979-9A51-C6C2B9C66806}"/>
    <cellStyle name="Millares 79 2 2 3 2" xfId="387" xr:uid="{10EDA3ED-F915-40D3-A70C-37C87CBFEC1F}"/>
    <cellStyle name="Millares 79 2 2 3 2 2" xfId="726" xr:uid="{F3EDBD4C-325D-4FAC-A37D-765D328EBE66}"/>
    <cellStyle name="Millares 79 2 2 3 2 2 2" xfId="1397" xr:uid="{5F28AFD2-A6F5-49E2-86A5-B9D14805EA6E}"/>
    <cellStyle name="Millares 79 2 2 3 2 3" xfId="1065" xr:uid="{66FFF13F-DA72-496F-99A8-FCF7152A0074}"/>
    <cellStyle name="Millares 79 2 2 3 3" xfId="560" xr:uid="{AC8A7738-ACF4-4B2E-9A69-DF216095B2DA}"/>
    <cellStyle name="Millares 79 2 2 3 3 2" xfId="1231" xr:uid="{01CC4678-3E66-4B64-99FC-1E63DC5D0BA0}"/>
    <cellStyle name="Millares 79 2 2 3 4" xfId="899" xr:uid="{4291852C-EB4B-4CA7-8F52-D7CE832B3070}"/>
    <cellStyle name="Millares 79 2 2 4" xfId="305" xr:uid="{03007B67-E0F5-4EF6-B37D-596C8A7B6D7F}"/>
    <cellStyle name="Millares 79 2 2 4 2" xfId="644" xr:uid="{4A154475-D978-4887-830F-26652D8BCBF4}"/>
    <cellStyle name="Millares 79 2 2 4 2 2" xfId="1315" xr:uid="{B58F6F39-1826-4DD8-9FAC-BF996BE94AD5}"/>
    <cellStyle name="Millares 79 2 2 4 3" xfId="983" xr:uid="{DF3CDD96-73C3-4ABD-8B04-616993353164}"/>
    <cellStyle name="Millares 79 2 2 5" xfId="478" xr:uid="{B1AD50D5-2CD3-4603-8B67-FB6B14A35C82}"/>
    <cellStyle name="Millares 79 2 2 5 2" xfId="1149" xr:uid="{CF69DFB8-3817-4C01-AA85-DB8BBABFAA50}"/>
    <cellStyle name="Millares 79 2 2 6" xfId="817" xr:uid="{37463372-57D1-4306-8473-DD662D10AC60}"/>
    <cellStyle name="Millares 79 2 3" xfId="133" xr:uid="{7326CADC-FF95-4980-9BF6-C8D8D6D5E0BF}"/>
    <cellStyle name="Millares 79 2 3 2" xfId="222" xr:uid="{EE9E57D9-1630-48B0-B64A-8A2963FF1DE8}"/>
    <cellStyle name="Millares 79 2 3 2 2" xfId="408" xr:uid="{21A36858-E395-49DB-AB1C-06D7E0A36E7F}"/>
    <cellStyle name="Millares 79 2 3 2 2 2" xfId="747" xr:uid="{9C4DF0A9-5AB9-448F-AA8E-B9DDA9E519E3}"/>
    <cellStyle name="Millares 79 2 3 2 2 2 2" xfId="1418" xr:uid="{96DFE276-C309-4A8D-89F6-A7343022BAEB}"/>
    <cellStyle name="Millares 79 2 3 2 2 3" xfId="1086" xr:uid="{3623D634-A6C0-422C-9EBB-653185FFA790}"/>
    <cellStyle name="Millares 79 2 3 2 3" xfId="581" xr:uid="{E05BE69A-FDE1-4950-A919-BE47EEB7E3E7}"/>
    <cellStyle name="Millares 79 2 3 2 3 2" xfId="1252" xr:uid="{CCE4917B-564B-4FA0-B45C-F452EF67F30B}"/>
    <cellStyle name="Millares 79 2 3 2 4" xfId="920" xr:uid="{2DA8165A-29EF-4945-85FE-0B5A33870CC7}"/>
    <cellStyle name="Millares 79 2 3 3" xfId="326" xr:uid="{0CE11B0B-5788-4323-B53A-0A3F64B4FBA4}"/>
    <cellStyle name="Millares 79 2 3 3 2" xfId="665" xr:uid="{176A64E0-6648-4510-BD7E-AE9888409D32}"/>
    <cellStyle name="Millares 79 2 3 3 2 2" xfId="1336" xr:uid="{09401BBA-1A81-4023-828B-E7C35FA69457}"/>
    <cellStyle name="Millares 79 2 3 3 3" xfId="1004" xr:uid="{3AB9881E-0EA4-43F9-B5E7-9BB1E95A9C3D}"/>
    <cellStyle name="Millares 79 2 3 4" xfId="499" xr:uid="{E9B5AC77-70E2-4D50-BA81-2D975B0C9DE7}"/>
    <cellStyle name="Millares 79 2 3 4 2" xfId="1170" xr:uid="{1A7BAD0D-2D73-4B0C-A6A1-4B52EBDB477D}"/>
    <cellStyle name="Millares 79 2 3 5" xfId="838" xr:uid="{0A9E21A6-D962-4459-8B69-6315940C4026}"/>
    <cellStyle name="Millares 79 2 4" xfId="182" xr:uid="{28633B1C-DD1D-438C-B5C5-C701039F8197}"/>
    <cellStyle name="Millares 79 2 4 2" xfId="368" xr:uid="{193272EF-D03F-49F2-8635-FEDF80DCB9BF}"/>
    <cellStyle name="Millares 79 2 4 2 2" xfId="707" xr:uid="{926CFAD3-639C-4BBF-89E6-A5B7A1471FC4}"/>
    <cellStyle name="Millares 79 2 4 2 2 2" xfId="1378" xr:uid="{0CAB5428-1D5A-41C9-A726-534BFF9D0F49}"/>
    <cellStyle name="Millares 79 2 4 2 3" xfId="1046" xr:uid="{9D9FBF76-F320-4020-BA03-03967761FECC}"/>
    <cellStyle name="Millares 79 2 4 3" xfId="541" xr:uid="{CE1872AD-38FC-4F98-809F-DC24284CC5B1}"/>
    <cellStyle name="Millares 79 2 4 3 2" xfId="1212" xr:uid="{CE2EBDBF-57D1-427A-BBC5-BE110AA213CC}"/>
    <cellStyle name="Millares 79 2 4 4" xfId="880" xr:uid="{59896520-EBA6-4C82-BD53-63653B052CBA}"/>
    <cellStyle name="Millares 79 2 5" xfId="286" xr:uid="{07FFF36E-A479-41AC-8943-38302A79F2C5}"/>
    <cellStyle name="Millares 79 2 5 2" xfId="625" xr:uid="{0E77A3A1-63EA-482D-91B5-7BCF9D56AC08}"/>
    <cellStyle name="Millares 79 2 5 2 2" xfId="1296" xr:uid="{BB835D6B-AFE4-4D26-8B23-71D51FD673CF}"/>
    <cellStyle name="Millares 79 2 5 3" xfId="964" xr:uid="{4700B411-9D97-4A10-89BA-66A6FEB53A23}"/>
    <cellStyle name="Millares 79 2 6" xfId="459" xr:uid="{D91CD2D1-3C55-4F1D-9B87-BC8DD379E1B4}"/>
    <cellStyle name="Millares 79 2 6 2" xfId="1130" xr:uid="{3350B619-A505-4181-A34A-97F32E81EA74}"/>
    <cellStyle name="Millares 79 2 7" xfId="798" xr:uid="{889EF04D-F01B-448B-B171-84F826284178}"/>
    <cellStyle name="Millares 79 3" xfId="93" xr:uid="{20E20AA4-87AC-47C9-83B2-8C353BF65132}"/>
    <cellStyle name="Millares 79 3 2" xfId="143" xr:uid="{D3D2581F-3F54-4229-BF7C-CCECC07B4C09}"/>
    <cellStyle name="Millares 79 3 2 2" xfId="232" xr:uid="{A400086A-B9C8-4A3B-98B3-2EC99D3D92DC}"/>
    <cellStyle name="Millares 79 3 2 2 2" xfId="418" xr:uid="{C470F00C-B694-4FBA-98DD-A9DFE4F2920E}"/>
    <cellStyle name="Millares 79 3 2 2 2 2" xfId="757" xr:uid="{60BD89A4-4A05-4CAC-951F-B3BDE82E08B1}"/>
    <cellStyle name="Millares 79 3 2 2 2 2 2" xfId="1428" xr:uid="{614FB204-DDAF-4529-BDCB-07A065ED0E4E}"/>
    <cellStyle name="Millares 79 3 2 2 2 3" xfId="1096" xr:uid="{28CE785D-3F6A-45BB-84EB-D7538CE3036B}"/>
    <cellStyle name="Millares 79 3 2 2 3" xfId="591" xr:uid="{C953291A-96AF-40BD-870F-547A8DAB8B61}"/>
    <cellStyle name="Millares 79 3 2 2 3 2" xfId="1262" xr:uid="{5B9E6207-7A7C-403C-82D2-6321117E76E6}"/>
    <cellStyle name="Millares 79 3 2 2 4" xfId="930" xr:uid="{A68BF8C2-A2F5-4ADB-AAFE-7E3FC3658A5D}"/>
    <cellStyle name="Millares 79 3 2 3" xfId="336" xr:uid="{33F5839E-1C31-45B9-A947-E9942C58BE9E}"/>
    <cellStyle name="Millares 79 3 2 3 2" xfId="675" xr:uid="{868DEC0C-18DB-4847-AC34-A488572707DC}"/>
    <cellStyle name="Millares 79 3 2 3 2 2" xfId="1346" xr:uid="{EC480E12-8BA4-4A55-A9E6-D2C4B6948EAF}"/>
    <cellStyle name="Millares 79 3 2 3 3" xfId="1014" xr:uid="{5D1E390C-26F7-490F-812D-7D272AA92DDF}"/>
    <cellStyle name="Millares 79 3 2 4" xfId="509" xr:uid="{893EC2EC-5AC4-41D9-B6C0-4483D5B27A9D}"/>
    <cellStyle name="Millares 79 3 2 4 2" xfId="1180" xr:uid="{1DB29E77-B16B-487D-838D-E9342059996E}"/>
    <cellStyle name="Millares 79 3 2 5" xfId="848" xr:uid="{FB5A9BAD-711D-4B70-9CFE-705BD9F538B3}"/>
    <cellStyle name="Millares 79 3 3" xfId="192" xr:uid="{2256A9EA-60E2-4BFF-92A9-9FA11962F53B}"/>
    <cellStyle name="Millares 79 3 3 2" xfId="378" xr:uid="{245C6C14-3856-42EC-89AC-2B852433506A}"/>
    <cellStyle name="Millares 79 3 3 2 2" xfId="717" xr:uid="{623910E1-A318-46A9-9988-B13A4C92BE4C}"/>
    <cellStyle name="Millares 79 3 3 2 2 2" xfId="1388" xr:uid="{209DA9AB-3399-4D48-96DA-EF42753BF69A}"/>
    <cellStyle name="Millares 79 3 3 2 3" xfId="1056" xr:uid="{28DD7B6B-72C1-4BA4-800B-DB99253DB1AE}"/>
    <cellStyle name="Millares 79 3 3 3" xfId="551" xr:uid="{1B640FC2-2C8D-4BFE-93FD-97FAA19628D5}"/>
    <cellStyle name="Millares 79 3 3 3 2" xfId="1222" xr:uid="{D804AC28-9B70-43A9-9B23-3CC47B1D3330}"/>
    <cellStyle name="Millares 79 3 3 4" xfId="890" xr:uid="{77E45FA0-C41F-4C76-BB16-BB600F136DF7}"/>
    <cellStyle name="Millares 79 3 4" xfId="296" xr:uid="{B1BE30DE-C0B4-409B-A2A8-E9EF20C152B2}"/>
    <cellStyle name="Millares 79 3 4 2" xfId="635" xr:uid="{0B967A43-F454-457A-B086-84A9FC9356AB}"/>
    <cellStyle name="Millares 79 3 4 2 2" xfId="1306" xr:uid="{8477D0E4-2712-42B9-993B-33873453C01F}"/>
    <cellStyle name="Millares 79 3 4 3" xfId="974" xr:uid="{58E42A62-9705-4B09-A279-2DD9CFAD772F}"/>
    <cellStyle name="Millares 79 3 5" xfId="469" xr:uid="{DA34B08C-3DD2-4571-8E00-8A50C965CF18}"/>
    <cellStyle name="Millares 79 3 5 2" xfId="1140" xr:uid="{93462221-23D1-4C50-A663-1F3BCD2DE0D3}"/>
    <cellStyle name="Millares 79 3 6" xfId="808" xr:uid="{C5E7B370-D69D-4559-AC04-059793ACE370}"/>
    <cellStyle name="Millares 79 4" xfId="122" xr:uid="{4F0B1870-97B9-46D2-91BF-00C242D8C2F2}"/>
    <cellStyle name="Millares 79 4 2" xfId="213" xr:uid="{4B81DE45-66B9-4E39-87F2-6B078ADC537E}"/>
    <cellStyle name="Millares 79 4 2 2" xfId="399" xr:uid="{44107901-2645-4DEF-9161-5850D2165E04}"/>
    <cellStyle name="Millares 79 4 2 2 2" xfId="738" xr:uid="{9318EA59-C9CE-49A5-9537-414B4CE66A03}"/>
    <cellStyle name="Millares 79 4 2 2 2 2" xfId="1409" xr:uid="{E7AB3FC8-D6E5-4B37-85C3-9951ED8A56DB}"/>
    <cellStyle name="Millares 79 4 2 2 3" xfId="1077" xr:uid="{1D1D8480-F440-4F7F-AAEF-46153350B79F}"/>
    <cellStyle name="Millares 79 4 2 3" xfId="572" xr:uid="{2EBA68BC-CB68-4D77-8181-DDEBD7152306}"/>
    <cellStyle name="Millares 79 4 2 3 2" xfId="1243" xr:uid="{F702B646-C88F-45F5-8217-C656F91D2A1E}"/>
    <cellStyle name="Millares 79 4 2 4" xfId="911" xr:uid="{8501DE6F-7967-4C67-9D19-433DBD9E0C4B}"/>
    <cellStyle name="Millares 79 4 3" xfId="317" xr:uid="{CE609D58-44CB-4D35-82F2-2C56FD546647}"/>
    <cellStyle name="Millares 79 4 3 2" xfId="656" xr:uid="{C3CF8677-D97F-41BC-8E8A-009FB72041CC}"/>
    <cellStyle name="Millares 79 4 3 2 2" xfId="1327" xr:uid="{18C3C279-8FCF-4394-A957-DF3014BBE785}"/>
    <cellStyle name="Millares 79 4 3 3" xfId="995" xr:uid="{0D395734-F549-4363-B45D-932E5612307A}"/>
    <cellStyle name="Millares 79 4 4" xfId="490" xr:uid="{DAE2DCF1-0A4F-4150-9DB3-DBD7F74B5EC1}"/>
    <cellStyle name="Millares 79 4 4 2" xfId="1161" xr:uid="{D30F2E02-E68A-49B4-96B0-9170455592D3}"/>
    <cellStyle name="Millares 79 4 5" xfId="829" xr:uid="{DB697A8C-9CA5-4ACF-ABB3-E6F796ABAF32}"/>
    <cellStyle name="Millares 79 5" xfId="172" xr:uid="{09A2B8FD-7210-477B-980E-AE9F4D624D82}"/>
    <cellStyle name="Millares 79 5 2" xfId="359" xr:uid="{7D9F0540-CDDB-41E4-B74A-E81B034484FB}"/>
    <cellStyle name="Millares 79 5 2 2" xfId="698" xr:uid="{D77FC4AE-F131-41D1-97AD-F77FDECEA4CA}"/>
    <cellStyle name="Millares 79 5 2 2 2" xfId="1369" xr:uid="{2AB40524-6BB4-4AA9-9714-7F60F56DF73E}"/>
    <cellStyle name="Millares 79 5 2 3" xfId="1037" xr:uid="{E349B493-5C23-4B07-ADDF-3351138FB486}"/>
    <cellStyle name="Millares 79 5 3" xfId="532" xr:uid="{00511857-1CF6-419D-B24E-592DA8E03941}"/>
    <cellStyle name="Millares 79 5 3 2" xfId="1203" xr:uid="{BA986320-5916-4FDC-A0DF-A3C153BB316C}"/>
    <cellStyle name="Millares 79 5 4" xfId="871" xr:uid="{E21F7A91-C58F-44A2-9CF9-32F7760BE9DA}"/>
    <cellStyle name="Millares 79 6" xfId="260" xr:uid="{AF67ECF7-5462-4227-AD53-E71BBAB4FE1B}"/>
    <cellStyle name="Millares 79 7" xfId="276" xr:uid="{63E23A5E-9216-44A5-AF4D-8BEC3AFD088A}"/>
    <cellStyle name="Millares 79 7 2" xfId="616" xr:uid="{C5F5842D-34BF-4215-B72B-7BCE9F14629D}"/>
    <cellStyle name="Millares 79 7 2 2" xfId="1287" xr:uid="{77F5181C-CF01-4EC6-854B-ECC9F6D88F3F}"/>
    <cellStyle name="Millares 79 7 3" xfId="955" xr:uid="{D757D98B-A46E-4CA5-A6F0-AE6A269FD919}"/>
    <cellStyle name="Millares 79 8" xfId="449" xr:uid="{45BB3C25-89CC-4BB5-88A2-BB29ABCF2848}"/>
    <cellStyle name="Millares 79 8 2" xfId="1121" xr:uid="{C79219EA-E042-4AAE-888B-E06574D9F902}"/>
    <cellStyle name="Millares 79 9" xfId="788" xr:uid="{61F18961-B687-4688-A7DC-DBF90A23940A}"/>
    <cellStyle name="Millares 8" xfId="89" xr:uid="{9C4CEC0F-0E2E-4409-BE56-CB9CBB09DE82}"/>
    <cellStyle name="Millares 8 2" xfId="139" xr:uid="{99DA4C7D-3C00-490A-ACB7-4A2F8761B670}"/>
    <cellStyle name="Millares 8 2 2" xfId="228" xr:uid="{81B6F56A-BD35-468E-B2BB-E75E916D89BC}"/>
    <cellStyle name="Millares 8 2 2 2" xfId="414" xr:uid="{A9BC735F-A2F3-442A-8B0F-D48F441FF0C7}"/>
    <cellStyle name="Millares 8 2 2 2 2" xfId="753" xr:uid="{D9B5B74B-48F2-446F-A035-7D2EFB1345C4}"/>
    <cellStyle name="Millares 8 2 2 2 2 2" xfId="1424" xr:uid="{17F41533-A644-4703-8D58-BF63891E8011}"/>
    <cellStyle name="Millares 8 2 2 2 3" xfId="1092" xr:uid="{F61EB1FF-5C49-4B64-A90B-30F4EFF3B978}"/>
    <cellStyle name="Millares 8 2 2 3" xfId="587" xr:uid="{266A89F2-215A-448F-8AD5-2D7E888E176A}"/>
    <cellStyle name="Millares 8 2 2 3 2" xfId="1258" xr:uid="{031315AA-2BA6-480B-B4F3-4582BD5DBFAB}"/>
    <cellStyle name="Millares 8 2 2 4" xfId="926" xr:uid="{F6003D3B-3172-4119-978E-7B8A926908EE}"/>
    <cellStyle name="Millares 8 2 3" xfId="332" xr:uid="{361CB82A-4B76-4951-BD87-01AD854C2428}"/>
    <cellStyle name="Millares 8 2 3 2" xfId="671" xr:uid="{25F072C9-80F1-4EAF-98B5-C2360D8A2C1F}"/>
    <cellStyle name="Millares 8 2 3 2 2" xfId="1342" xr:uid="{C431C91F-1ACC-4EC2-8B82-16790A366BCC}"/>
    <cellStyle name="Millares 8 2 3 3" xfId="1010" xr:uid="{74318B81-76A6-4407-BA96-7B66D9F9A748}"/>
    <cellStyle name="Millares 8 2 4" xfId="505" xr:uid="{D8ED4953-AE52-4EC9-8772-A192D91BDEAB}"/>
    <cellStyle name="Millares 8 2 4 2" xfId="1176" xr:uid="{E3DD1348-72CB-43B5-8CB4-ECF2F32400DC}"/>
    <cellStyle name="Millares 8 2 5" xfId="844" xr:uid="{D12C0F17-3274-4753-94BB-8C9794EE1DDE}"/>
    <cellStyle name="Millares 8 3" xfId="188" xr:uid="{46514A51-C8A2-4C85-9134-BE0F8FB2BF80}"/>
    <cellStyle name="Millares 8 3 2" xfId="374" xr:uid="{7099EAC1-F48E-4E9E-A0E0-B2631B1D0BFB}"/>
    <cellStyle name="Millares 8 3 2 2" xfId="713" xr:uid="{4CD343C5-AA58-4B4D-9E5A-587C13967E4E}"/>
    <cellStyle name="Millares 8 3 2 2 2" xfId="1384" xr:uid="{ED35F472-89E4-472D-900A-AA6E4F73BCEE}"/>
    <cellStyle name="Millares 8 3 2 3" xfId="1052" xr:uid="{E42A1C6F-E63D-4868-A9BC-2EE86E1EC61E}"/>
    <cellStyle name="Millares 8 3 3" xfId="547" xr:uid="{FB6D4039-58E8-4EAB-8C63-2C1990313D82}"/>
    <cellStyle name="Millares 8 3 3 2" xfId="1218" xr:uid="{FB10932F-8822-4D3E-BBAD-AAE78E43BF5B}"/>
    <cellStyle name="Millares 8 3 4" xfId="886" xr:uid="{EE85BC4B-C660-436E-9012-ECF351D98C6A}"/>
    <cellStyle name="Millares 8 4" xfId="292" xr:uid="{76228B77-F577-4DB2-B514-26338A5397CA}"/>
    <cellStyle name="Millares 8 4 2" xfId="631" xr:uid="{67E6112F-3CD8-4E93-851A-B52F2C80C63C}"/>
    <cellStyle name="Millares 8 4 2 2" xfId="1302" xr:uid="{C14B9503-99DC-4190-865E-4CA7201573F4}"/>
    <cellStyle name="Millares 8 4 3" xfId="970" xr:uid="{346425C0-20DA-46A9-96F6-C955E053EA25}"/>
    <cellStyle name="Millares 8 5" xfId="465" xr:uid="{38F4183B-74EF-4429-9DB7-37448C202983}"/>
    <cellStyle name="Millares 8 5 2" xfId="1136" xr:uid="{EB9856EC-96EF-4AC3-809E-837043AE5A82}"/>
    <cellStyle name="Millares 8 6" xfId="804" xr:uid="{A012AF06-3B9D-42A8-9100-257A21872039}"/>
    <cellStyle name="Millares 9" xfId="110" xr:uid="{C8D3E806-CC8A-4C09-9F54-9F3FFB2B6E8E}"/>
    <cellStyle name="Millares 9 2" xfId="158" xr:uid="{02BF37E5-E7B2-4230-8E47-B4722CDEE0DA}"/>
    <cellStyle name="Millares 9 2 2" xfId="247" xr:uid="{E50E3FA2-9F3A-453C-828A-FD547F010340}"/>
    <cellStyle name="Millares 9 2 2 2" xfId="433" xr:uid="{4ED7AD2B-3802-49AD-8A17-E1EDDAE2230E}"/>
    <cellStyle name="Millares 9 2 2 2 2" xfId="772" xr:uid="{2DD2178F-1CFB-47F2-AAEE-77E88279B7CF}"/>
    <cellStyle name="Millares 9 2 2 2 2 2" xfId="1443" xr:uid="{B436B1CB-D6AF-4E81-90FB-C511826F95EE}"/>
    <cellStyle name="Millares 9 2 2 2 3" xfId="1111" xr:uid="{D93316B8-66DE-4F8B-8D76-ECB3EEFE1BE7}"/>
    <cellStyle name="Millares 9 2 2 3" xfId="606" xr:uid="{0CE826DC-7D3B-450E-A437-28E529C9A169}"/>
    <cellStyle name="Millares 9 2 2 3 2" xfId="1277" xr:uid="{014F399D-3C9A-43AB-BC3D-A1BBB65B8726}"/>
    <cellStyle name="Millares 9 2 2 4" xfId="945" xr:uid="{F40B0F63-2DE4-47F8-8232-91791652898C}"/>
    <cellStyle name="Millares 9 2 3" xfId="351" xr:uid="{F9A4CDBE-A9CE-4FDA-8C89-7B513C099C88}"/>
    <cellStyle name="Millares 9 2 3 2" xfId="690" xr:uid="{BE9FB75D-51FF-459C-A75D-BB7C7C7B8619}"/>
    <cellStyle name="Millares 9 2 3 2 2" xfId="1361" xr:uid="{0AE113CF-83E6-4AFC-95A3-2BE0F21D295F}"/>
    <cellStyle name="Millares 9 2 3 3" xfId="1029" xr:uid="{9EDD0C3E-B1AB-4242-8B8B-44BA8F7E9760}"/>
    <cellStyle name="Millares 9 2 4" xfId="524" xr:uid="{5B92F1C5-C224-4481-BAA0-212864C46E89}"/>
    <cellStyle name="Millares 9 2 4 2" xfId="1195" xr:uid="{AC82C520-1327-4CEB-AA2E-409D309F6C3C}"/>
    <cellStyle name="Millares 9 2 5" xfId="863" xr:uid="{02992C93-7FF0-44C0-8F25-58E878525C1D}"/>
    <cellStyle name="Millares 9 3" xfId="207" xr:uid="{092E412A-84D7-4F7E-BD35-C1A66E00DCCF}"/>
    <cellStyle name="Millares 9 3 2" xfId="393" xr:uid="{25BCFC6B-28F4-47B4-84BA-E2F64D5BC25A}"/>
    <cellStyle name="Millares 9 3 2 2" xfId="732" xr:uid="{5616238B-B85E-432D-8CB4-BE42B78ED793}"/>
    <cellStyle name="Millares 9 3 2 2 2" xfId="1403" xr:uid="{63095606-50D3-4E8D-9B88-E53DD792B6DD}"/>
    <cellStyle name="Millares 9 3 2 3" xfId="1071" xr:uid="{7B513B63-9A30-4692-91E5-7AB7E084DAC1}"/>
    <cellStyle name="Millares 9 3 3" xfId="566" xr:uid="{6DA4AC77-F58D-4E95-BF08-DB9510781F38}"/>
    <cellStyle name="Millares 9 3 3 2" xfId="1237" xr:uid="{97969A97-23A6-4B4F-A6F8-9A69B0A44661}"/>
    <cellStyle name="Millares 9 3 4" xfId="905" xr:uid="{323020E0-96F7-4687-83A5-9845CD78FF6F}"/>
    <cellStyle name="Millares 9 4" xfId="311" xr:uid="{67F34ACA-1C31-4A97-973D-2C794B24E3FF}"/>
    <cellStyle name="Millares 9 4 2" xfId="650" xr:uid="{DBEE4C13-42C6-4A36-963C-4F1F576D7866}"/>
    <cellStyle name="Millares 9 4 2 2" xfId="1321" xr:uid="{5E6C6B4F-6310-4DB1-9F04-DA1BBE90E361}"/>
    <cellStyle name="Millares 9 4 3" xfId="989" xr:uid="{46175343-E97A-41AF-8C59-4FD197230AAD}"/>
    <cellStyle name="Millares 9 5" xfId="484" xr:uid="{B1061C2B-DB9A-48E1-83D4-EBAF2D1E7B83}"/>
    <cellStyle name="Millares 9 5 2" xfId="1155" xr:uid="{60CCEC0C-6B85-40CD-A704-6C0E2BAD8BC7}"/>
    <cellStyle name="Millares 9 6" xfId="823" xr:uid="{7AF711EB-9444-4B09-B0CD-AF8EDF0A6886}"/>
    <cellStyle name="Neutral 10" xfId="49" xr:uid="{4D54280C-9EF3-4E1A-B86F-CB3FA82F4B32}"/>
    <cellStyle name="Neutral 2" xfId="76" xr:uid="{D0A80D40-6928-49C4-ACC7-D9E8506DFEE4}"/>
    <cellStyle name="Neutral 3" xfId="94" xr:uid="{31223A69-DDC9-48D6-89B3-BB85A1D03529}"/>
    <cellStyle name="Neutral 4" xfId="123" xr:uid="{ED5C82F9-7562-4597-8EA1-16753D364246}"/>
    <cellStyle name="Neutral 5" xfId="173" xr:uid="{3621FF7C-62A5-4264-B0BB-A00DC571D291}"/>
    <cellStyle name="Neutral 6" xfId="261" xr:uid="{F88E58CF-7B63-4D7F-A811-4E46E5C0CB54}"/>
    <cellStyle name="Neutral 7" xfId="277" xr:uid="{1B2D14D8-F870-44D8-A5B2-3F9CF635E075}"/>
    <cellStyle name="Neutral 8" xfId="450" xr:uid="{CD31C79A-D5F6-44C0-BE13-3C57C92AA340}"/>
    <cellStyle name="Neutral 9" xfId="789" xr:uid="{CD310F47-17FF-4460-92E7-0E8196FAFE41}"/>
    <cellStyle name="Normal" xfId="0" builtinId="0"/>
    <cellStyle name="Normal 15" xfId="50" xr:uid="{84E7AEEA-BF03-4EAC-98C8-DB1A7DFFD7E4}"/>
    <cellStyle name="Normal 2" xfId="51" xr:uid="{A325D904-CA7F-44B1-B32C-CE86E01C4075}"/>
    <cellStyle name="Normal 2 10" xfId="52" xr:uid="{7E825D5A-CB86-40D8-B85D-B8C6D146AFA7}"/>
    <cellStyle name="Normal 3" xfId="53" xr:uid="{1DEB7953-4020-4626-A79C-5D1B9B129D0F}"/>
    <cellStyle name="Normal 3 57" xfId="62" xr:uid="{3AD003A3-4D6B-4EF4-9AD8-9919C6BFA82B}"/>
    <cellStyle name="Normal 4" xfId="54" xr:uid="{FD058512-6A94-4A6A-A2B8-A4B98640795F}"/>
    <cellStyle name="Normal 4 10" xfId="55" xr:uid="{B91B299F-874C-4386-A0C7-6465F56513B1}"/>
    <cellStyle name="Normal 5" xfId="56" xr:uid="{D7D97F41-C9B3-46FE-9B60-08DFFF06416F}"/>
    <cellStyle name="Notas" xfId="14" builtinId="10" customBuiltin="1"/>
    <cellStyle name="Porcentaje 2" xfId="79" xr:uid="{808E929E-00E2-41B0-918B-F6A0157C88F0}"/>
    <cellStyle name="Porcentaje 3" xfId="97" xr:uid="{70226BB2-5D35-4E32-9123-90CB0B4E15F9}"/>
    <cellStyle name="Porcentaje 4" xfId="126" xr:uid="{BB61C3B5-AA45-4EB0-89BB-25FB4ED3236C}"/>
    <cellStyle name="Salida" xfId="9" builtinId="21" customBuiltin="1"/>
    <cellStyle name="Texto de advertencia" xfId="13" builtinId="11" customBuiltin="1"/>
    <cellStyle name="Texto explicativo" xfId="15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6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210A0-8B23-46AB-ABEC-84F1B052F6D8}">
  <dimension ref="A1:L120"/>
  <sheetViews>
    <sheetView tabSelected="1" topLeftCell="A4" workbookViewId="0">
      <selection activeCell="L110" sqref="D2:L110"/>
    </sheetView>
  </sheetViews>
  <sheetFormatPr baseColWidth="10" defaultRowHeight="14"/>
  <cols>
    <col min="1" max="1" width="11.19921875" style="3"/>
    <col min="2" max="3" width="11.19921875" style="5"/>
    <col min="4" max="4" width="11.19921875" style="3"/>
    <col min="5" max="6" width="13.3984375" style="5" bestFit="1" customWidth="1"/>
    <col min="7" max="10" width="12.3984375" style="5" bestFit="1" customWidth="1"/>
    <col min="11" max="12" width="10.8984375" style="5" bestFit="1" customWidth="1"/>
  </cols>
  <sheetData>
    <row r="1" spans="1:12" s="1" customFormat="1" ht="13.45">
      <c r="A1" s="2" t="s">
        <v>0</v>
      </c>
      <c r="B1" s="4" t="s">
        <v>0</v>
      </c>
      <c r="C1" s="4" t="s">
        <v>1</v>
      </c>
      <c r="D1" s="2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</row>
    <row r="2" spans="1:12">
      <c r="A2" s="3" t="b">
        <f>EXACT(C2,B2)</f>
        <v>1</v>
      </c>
      <c r="B2" s="5" t="str">
        <f>+Hoja2!A1</f>
        <v>1.1.01.101</v>
      </c>
      <c r="C2" s="5" t="s">
        <v>11</v>
      </c>
      <c r="D2" s="3" t="s">
        <v>12</v>
      </c>
      <c r="E2" s="6">
        <v>216337650</v>
      </c>
      <c r="F2" s="6">
        <v>142232595</v>
      </c>
      <c r="G2" s="6">
        <v>74105055</v>
      </c>
      <c r="H2" s="5">
        <v>0</v>
      </c>
      <c r="I2" s="6">
        <v>74105055</v>
      </c>
      <c r="J2" s="5">
        <v>0</v>
      </c>
      <c r="K2" s="5">
        <v>0</v>
      </c>
      <c r="L2" s="5">
        <v>0</v>
      </c>
    </row>
    <row r="3" spans="1:12">
      <c r="A3" s="7" t="b">
        <f t="shared" ref="A3:A65" si="0">EXACT(C3,B3)</f>
        <v>1</v>
      </c>
      <c r="B3" s="5" t="str">
        <f>+Hoja2!A2</f>
        <v>1.1.01.203</v>
      </c>
      <c r="C3" s="5" t="s">
        <v>13</v>
      </c>
      <c r="D3" s="3" t="s">
        <v>14</v>
      </c>
      <c r="E3" s="6">
        <v>99910</v>
      </c>
      <c r="F3" s="6">
        <v>58308</v>
      </c>
      <c r="G3" s="6">
        <v>41602</v>
      </c>
      <c r="H3" s="5">
        <v>0</v>
      </c>
      <c r="I3" s="6">
        <v>41602</v>
      </c>
      <c r="J3" s="5">
        <v>0</v>
      </c>
      <c r="K3" s="5">
        <v>0</v>
      </c>
      <c r="L3" s="5">
        <v>0</v>
      </c>
    </row>
    <row r="4" spans="1:12">
      <c r="A4" s="7" t="b">
        <f t="shared" si="0"/>
        <v>1</v>
      </c>
      <c r="B4" s="5" t="str">
        <f>+Hoja2!A3</f>
        <v>1.1.01.204</v>
      </c>
      <c r="C4" s="5" t="s">
        <v>15</v>
      </c>
      <c r="D4" s="3" t="s">
        <v>16</v>
      </c>
      <c r="E4" s="6">
        <v>85990</v>
      </c>
      <c r="F4" s="5">
        <v>0</v>
      </c>
      <c r="G4" s="6">
        <v>85990</v>
      </c>
      <c r="H4" s="5">
        <v>0</v>
      </c>
      <c r="I4" s="6">
        <v>85990</v>
      </c>
      <c r="J4" s="5">
        <v>0</v>
      </c>
      <c r="K4" s="5">
        <v>0</v>
      </c>
      <c r="L4" s="5">
        <v>0</v>
      </c>
    </row>
    <row r="5" spans="1:12">
      <c r="A5" s="7" t="b">
        <f t="shared" si="0"/>
        <v>1</v>
      </c>
      <c r="B5" s="5" t="str">
        <f>+Hoja2!A4</f>
        <v>1.1.01.205</v>
      </c>
      <c r="C5" s="5" t="s">
        <v>17</v>
      </c>
      <c r="D5" s="3" t="s">
        <v>18</v>
      </c>
      <c r="E5" s="6">
        <v>154990</v>
      </c>
      <c r="F5" s="6">
        <v>152308</v>
      </c>
      <c r="G5" s="6">
        <v>2682</v>
      </c>
      <c r="H5" s="5">
        <v>0</v>
      </c>
      <c r="I5" s="6">
        <v>2682</v>
      </c>
      <c r="J5" s="5">
        <v>0</v>
      </c>
      <c r="K5" s="5">
        <v>0</v>
      </c>
      <c r="L5" s="5">
        <v>0</v>
      </c>
    </row>
    <row r="6" spans="1:12">
      <c r="A6" s="7" t="b">
        <f t="shared" si="0"/>
        <v>1</v>
      </c>
      <c r="B6" s="5" t="str">
        <f>+Hoja2!A5</f>
        <v>1.1.01.206</v>
      </c>
      <c r="C6" s="5" t="s">
        <v>19</v>
      </c>
      <c r="D6" s="3" t="s">
        <v>20</v>
      </c>
      <c r="E6" s="6">
        <v>100000</v>
      </c>
      <c r="F6" s="6">
        <v>108130</v>
      </c>
      <c r="G6" s="5">
        <v>0</v>
      </c>
      <c r="H6" s="6">
        <v>8130</v>
      </c>
      <c r="I6" s="5">
        <v>0</v>
      </c>
      <c r="J6" s="6">
        <v>8130</v>
      </c>
      <c r="K6" s="5">
        <v>0</v>
      </c>
      <c r="L6" s="5">
        <v>0</v>
      </c>
    </row>
    <row r="7" spans="1:12">
      <c r="A7" s="7" t="b">
        <f t="shared" si="0"/>
        <v>1</v>
      </c>
      <c r="B7" s="5" t="str">
        <f>+Hoja2!A6</f>
        <v>1.1.01.207</v>
      </c>
      <c r="C7" s="5" t="s">
        <v>21</v>
      </c>
      <c r="D7" s="3" t="s">
        <v>22</v>
      </c>
      <c r="E7" s="6">
        <v>337628</v>
      </c>
      <c r="F7" s="6">
        <v>254628</v>
      </c>
      <c r="G7" s="6">
        <v>83000</v>
      </c>
      <c r="H7" s="5">
        <v>0</v>
      </c>
      <c r="I7" s="6">
        <v>83000</v>
      </c>
      <c r="J7" s="5">
        <v>0</v>
      </c>
      <c r="K7" s="5">
        <v>0</v>
      </c>
      <c r="L7" s="5">
        <v>0</v>
      </c>
    </row>
    <row r="8" spans="1:12">
      <c r="A8" s="7" t="b">
        <f t="shared" si="0"/>
        <v>1</v>
      </c>
      <c r="B8" s="5" t="str">
        <f>+Hoja2!A7</f>
        <v>1.1.01.208</v>
      </c>
      <c r="C8" s="5" t="s">
        <v>23</v>
      </c>
      <c r="D8" s="3" t="s">
        <v>24</v>
      </c>
      <c r="E8" s="6">
        <v>131290</v>
      </c>
      <c r="F8" s="6">
        <v>91720</v>
      </c>
      <c r="G8" s="6">
        <v>39570</v>
      </c>
      <c r="H8" s="5">
        <v>0</v>
      </c>
      <c r="I8" s="6">
        <v>39570</v>
      </c>
      <c r="J8" s="5">
        <v>0</v>
      </c>
      <c r="K8" s="5">
        <v>0</v>
      </c>
      <c r="L8" s="5">
        <v>0</v>
      </c>
    </row>
    <row r="9" spans="1:12">
      <c r="A9" s="7" t="b">
        <f t="shared" si="0"/>
        <v>1</v>
      </c>
      <c r="B9" s="5" t="str">
        <f>+Hoja2!A8</f>
        <v>1.1.01.209</v>
      </c>
      <c r="C9" s="5" t="s">
        <v>25</v>
      </c>
      <c r="D9" s="3" t="s">
        <v>26</v>
      </c>
      <c r="E9" s="6">
        <v>103980</v>
      </c>
      <c r="F9" s="6">
        <v>46490</v>
      </c>
      <c r="G9" s="6">
        <v>57490</v>
      </c>
      <c r="H9" s="5">
        <v>0</v>
      </c>
      <c r="I9" s="6">
        <v>57490</v>
      </c>
      <c r="J9" s="5">
        <v>0</v>
      </c>
      <c r="K9" s="5">
        <v>0</v>
      </c>
      <c r="L9" s="5">
        <v>0</v>
      </c>
    </row>
    <row r="10" spans="1:12">
      <c r="A10" s="7" t="b">
        <f t="shared" si="0"/>
        <v>1</v>
      </c>
      <c r="B10" s="5" t="str">
        <f>+Hoja2!A9</f>
        <v>1.1.01.210</v>
      </c>
      <c r="C10" s="5" t="s">
        <v>27</v>
      </c>
      <c r="D10" s="3" t="s">
        <v>28</v>
      </c>
      <c r="E10" s="6">
        <v>103994</v>
      </c>
      <c r="F10" s="6">
        <v>90688</v>
      </c>
      <c r="G10" s="6">
        <v>13306</v>
      </c>
      <c r="H10" s="5">
        <v>0</v>
      </c>
      <c r="I10" s="6">
        <v>13306</v>
      </c>
      <c r="J10" s="5">
        <v>0</v>
      </c>
      <c r="K10" s="5">
        <v>0</v>
      </c>
      <c r="L10" s="5">
        <v>0</v>
      </c>
    </row>
    <row r="11" spans="1:12">
      <c r="A11" s="7" t="b">
        <f t="shared" si="0"/>
        <v>1</v>
      </c>
      <c r="B11" s="5" t="str">
        <f>+Hoja2!A10</f>
        <v>1.1.01.211</v>
      </c>
      <c r="C11" s="5" t="s">
        <v>29</v>
      </c>
      <c r="D11" s="3" t="s">
        <v>30</v>
      </c>
      <c r="E11" s="6">
        <v>128075</v>
      </c>
      <c r="F11" s="6">
        <v>80955</v>
      </c>
      <c r="G11" s="6">
        <v>47120</v>
      </c>
      <c r="H11" s="5">
        <v>0</v>
      </c>
      <c r="I11" s="6">
        <v>47120</v>
      </c>
      <c r="J11" s="5">
        <v>0</v>
      </c>
      <c r="K11" s="5">
        <v>0</v>
      </c>
      <c r="L11" s="5">
        <v>0</v>
      </c>
    </row>
    <row r="12" spans="1:12">
      <c r="A12" s="7" t="b">
        <f t="shared" si="0"/>
        <v>1</v>
      </c>
      <c r="B12" s="5" t="str">
        <f>+Hoja2!A11</f>
        <v>1.1.01.212</v>
      </c>
      <c r="C12" s="5" t="s">
        <v>31</v>
      </c>
      <c r="D12" s="3" t="s">
        <v>32</v>
      </c>
      <c r="E12" s="6">
        <v>135671</v>
      </c>
      <c r="F12" s="6">
        <v>75671</v>
      </c>
      <c r="G12" s="6">
        <v>60000</v>
      </c>
      <c r="H12" s="5">
        <v>0</v>
      </c>
      <c r="I12" s="6">
        <v>60000</v>
      </c>
      <c r="J12" s="5">
        <v>0</v>
      </c>
      <c r="K12" s="5">
        <v>0</v>
      </c>
      <c r="L12" s="5">
        <v>0</v>
      </c>
    </row>
    <row r="13" spans="1:12">
      <c r="A13" s="7" t="b">
        <f t="shared" si="0"/>
        <v>1</v>
      </c>
      <c r="B13" s="5" t="str">
        <f>+Hoja2!A12</f>
        <v>1.1.01.301</v>
      </c>
      <c r="C13" s="5" t="s">
        <v>33</v>
      </c>
      <c r="D13" s="3" t="s">
        <v>34</v>
      </c>
      <c r="E13" s="6">
        <v>822199777</v>
      </c>
      <c r="F13" s="6">
        <v>381616850</v>
      </c>
      <c r="G13" s="6">
        <v>440582927</v>
      </c>
      <c r="H13" s="5">
        <v>0</v>
      </c>
      <c r="I13" s="6">
        <v>440582927</v>
      </c>
      <c r="J13" s="5">
        <v>0</v>
      </c>
      <c r="K13" s="5">
        <v>0</v>
      </c>
      <c r="L13" s="5">
        <v>0</v>
      </c>
    </row>
    <row r="14" spans="1:12">
      <c r="A14" s="7" t="b">
        <f t="shared" si="0"/>
        <v>1</v>
      </c>
      <c r="B14" s="5" t="str">
        <f>+Hoja2!A13</f>
        <v>1.1.01.302</v>
      </c>
      <c r="C14" s="5" t="s">
        <v>35</v>
      </c>
      <c r="D14" s="3" t="s">
        <v>36</v>
      </c>
      <c r="E14" s="6">
        <v>1302586021</v>
      </c>
      <c r="F14" s="6">
        <v>930624208</v>
      </c>
      <c r="G14" s="6">
        <v>371961813</v>
      </c>
      <c r="H14" s="5">
        <v>0</v>
      </c>
      <c r="I14" s="6">
        <v>371961813</v>
      </c>
      <c r="J14" s="5">
        <v>0</v>
      </c>
      <c r="K14" s="5">
        <v>0</v>
      </c>
      <c r="L14" s="5">
        <v>0</v>
      </c>
    </row>
    <row r="15" spans="1:12">
      <c r="A15" s="7" t="b">
        <f t="shared" si="0"/>
        <v>1</v>
      </c>
      <c r="B15" s="5" t="str">
        <f>+Hoja2!A14</f>
        <v>1.1.02.106</v>
      </c>
      <c r="C15" s="5" t="s">
        <v>37</v>
      </c>
      <c r="D15" s="3" t="s">
        <v>38</v>
      </c>
      <c r="E15" s="6">
        <v>4941276</v>
      </c>
      <c r="F15" s="5">
        <v>0</v>
      </c>
      <c r="G15" s="6">
        <v>4941276</v>
      </c>
      <c r="H15" s="5">
        <v>0</v>
      </c>
      <c r="I15" s="6">
        <v>4941276</v>
      </c>
      <c r="J15" s="5">
        <v>0</v>
      </c>
      <c r="K15" s="5">
        <v>0</v>
      </c>
      <c r="L15" s="5">
        <v>0</v>
      </c>
    </row>
    <row r="16" spans="1:12">
      <c r="A16" s="7" t="b">
        <f t="shared" si="0"/>
        <v>1</v>
      </c>
      <c r="B16" s="5" t="str">
        <f>+Hoja2!A15</f>
        <v>1.1.03.201</v>
      </c>
      <c r="C16" s="5" t="s">
        <v>39</v>
      </c>
      <c r="D16" s="3" t="s">
        <v>40</v>
      </c>
      <c r="E16" s="6">
        <v>40348532</v>
      </c>
      <c r="F16" s="6">
        <v>5398716</v>
      </c>
      <c r="G16" s="6">
        <v>34949816</v>
      </c>
      <c r="H16" s="5">
        <v>0</v>
      </c>
      <c r="I16" s="6">
        <v>34949816</v>
      </c>
      <c r="J16" s="5">
        <v>0</v>
      </c>
      <c r="K16" s="5">
        <v>0</v>
      </c>
      <c r="L16" s="5">
        <v>0</v>
      </c>
    </row>
    <row r="17" spans="1:12">
      <c r="A17" s="7" t="b">
        <f t="shared" si="0"/>
        <v>1</v>
      </c>
      <c r="B17" s="5" t="str">
        <f>+Hoja2!A16</f>
        <v>1.1.04.102</v>
      </c>
      <c r="C17" s="5" t="s">
        <v>41</v>
      </c>
      <c r="D17" s="3" t="s">
        <v>42</v>
      </c>
      <c r="E17" s="6">
        <v>312645466</v>
      </c>
      <c r="F17" s="6">
        <v>315803955</v>
      </c>
      <c r="G17" s="5">
        <v>0</v>
      </c>
      <c r="H17" s="6">
        <v>3158489</v>
      </c>
      <c r="I17" s="5">
        <v>0</v>
      </c>
      <c r="J17" s="6">
        <v>3158489</v>
      </c>
      <c r="K17" s="5">
        <v>0</v>
      </c>
      <c r="L17" s="5">
        <v>0</v>
      </c>
    </row>
    <row r="18" spans="1:12">
      <c r="A18" s="7" t="b">
        <f t="shared" si="0"/>
        <v>1</v>
      </c>
      <c r="B18" s="5" t="str">
        <f>+Hoja2!A17</f>
        <v>1.1.04.104</v>
      </c>
      <c r="C18" s="5" t="s">
        <v>43</v>
      </c>
      <c r="D18" s="3" t="s">
        <v>44</v>
      </c>
      <c r="E18" s="6">
        <v>4201583</v>
      </c>
      <c r="F18" s="6">
        <v>3267232</v>
      </c>
      <c r="G18" s="6">
        <v>934351</v>
      </c>
      <c r="H18" s="5">
        <v>0</v>
      </c>
      <c r="I18" s="6">
        <v>934351</v>
      </c>
      <c r="J18" s="5">
        <v>0</v>
      </c>
      <c r="K18" s="5">
        <v>0</v>
      </c>
      <c r="L18" s="5">
        <v>0</v>
      </c>
    </row>
    <row r="19" spans="1:12">
      <c r="A19" s="7" t="b">
        <f t="shared" si="0"/>
        <v>1</v>
      </c>
      <c r="B19" s="5" t="str">
        <f>+Hoja2!A18</f>
        <v>1.1.04.105</v>
      </c>
      <c r="C19" s="5" t="s">
        <v>45</v>
      </c>
      <c r="D19" s="3" t="s">
        <v>46</v>
      </c>
      <c r="E19" s="6">
        <v>436527998</v>
      </c>
      <c r="F19" s="6">
        <v>381954503</v>
      </c>
      <c r="G19" s="6">
        <v>54573495</v>
      </c>
      <c r="H19" s="5">
        <v>0</v>
      </c>
      <c r="I19" s="6">
        <v>54573495</v>
      </c>
      <c r="J19" s="5">
        <v>0</v>
      </c>
      <c r="K19" s="5">
        <v>0</v>
      </c>
      <c r="L19" s="5">
        <v>0</v>
      </c>
    </row>
    <row r="20" spans="1:12">
      <c r="A20" s="7" t="b">
        <f t="shared" si="0"/>
        <v>1</v>
      </c>
      <c r="B20" s="5" t="str">
        <f>+Hoja2!A19</f>
        <v>1.1.04.106</v>
      </c>
      <c r="C20" s="5" t="s">
        <v>47</v>
      </c>
      <c r="D20" s="3" t="s">
        <v>48</v>
      </c>
      <c r="E20" s="6">
        <v>442414883</v>
      </c>
      <c r="F20" s="6">
        <v>370577979</v>
      </c>
      <c r="G20" s="6">
        <v>71836904</v>
      </c>
      <c r="H20" s="5">
        <v>0</v>
      </c>
      <c r="I20" s="6">
        <v>71836904</v>
      </c>
      <c r="J20" s="5">
        <v>0</v>
      </c>
      <c r="K20" s="5">
        <v>0</v>
      </c>
      <c r="L20" s="5">
        <v>0</v>
      </c>
    </row>
    <row r="21" spans="1:12">
      <c r="A21" s="7" t="b">
        <f t="shared" si="0"/>
        <v>1</v>
      </c>
      <c r="B21" s="5" t="str">
        <f>+Hoja2!A20</f>
        <v>1.1.04.108</v>
      </c>
      <c r="C21" s="5" t="s">
        <v>49</v>
      </c>
      <c r="D21" s="3" t="s">
        <v>50</v>
      </c>
      <c r="E21" s="6">
        <v>525390</v>
      </c>
      <c r="F21" s="6">
        <v>44990</v>
      </c>
      <c r="G21" s="6">
        <v>480400</v>
      </c>
      <c r="H21" s="5">
        <v>0</v>
      </c>
      <c r="I21" s="6">
        <v>480400</v>
      </c>
      <c r="J21" s="5">
        <v>0</v>
      </c>
      <c r="K21" s="5">
        <v>0</v>
      </c>
      <c r="L21" s="5">
        <v>0</v>
      </c>
    </row>
    <row r="22" spans="1:12">
      <c r="A22" s="7" t="b">
        <f t="shared" si="0"/>
        <v>1</v>
      </c>
      <c r="B22" s="5" t="str">
        <f>+Hoja2!A21</f>
        <v>1.1.04.109</v>
      </c>
      <c r="C22" s="5" t="s">
        <v>51</v>
      </c>
      <c r="D22" s="3" t="s">
        <v>52</v>
      </c>
      <c r="E22" s="6">
        <v>1174287901</v>
      </c>
      <c r="F22" s="6">
        <v>972428242</v>
      </c>
      <c r="G22" s="6">
        <v>201859659</v>
      </c>
      <c r="H22" s="5">
        <v>0</v>
      </c>
      <c r="I22" s="6">
        <v>201859659</v>
      </c>
      <c r="J22" s="5">
        <v>0</v>
      </c>
      <c r="K22" s="5">
        <v>0</v>
      </c>
      <c r="L22" s="5">
        <v>0</v>
      </c>
    </row>
    <row r="23" spans="1:12">
      <c r="A23" s="7" t="b">
        <f t="shared" si="0"/>
        <v>1</v>
      </c>
      <c r="B23" s="5" t="str">
        <f>+Hoja2!A22</f>
        <v>1.1.04.112</v>
      </c>
      <c r="C23" s="5" t="s">
        <v>53</v>
      </c>
      <c r="D23" s="3" t="s">
        <v>54</v>
      </c>
      <c r="E23" s="6">
        <v>31526988</v>
      </c>
      <c r="F23" s="6">
        <v>21762676</v>
      </c>
      <c r="G23" s="6">
        <v>9764312</v>
      </c>
      <c r="H23" s="5">
        <v>0</v>
      </c>
      <c r="I23" s="6">
        <v>9764312</v>
      </c>
      <c r="J23" s="5">
        <v>0</v>
      </c>
      <c r="K23" s="5">
        <v>0</v>
      </c>
      <c r="L23" s="5">
        <v>0</v>
      </c>
    </row>
    <row r="24" spans="1:12">
      <c r="A24" s="7" t="b">
        <f t="shared" si="0"/>
        <v>1</v>
      </c>
      <c r="B24" s="5" t="str">
        <f>+Hoja2!A23</f>
        <v>1.1.04.113</v>
      </c>
      <c r="C24" s="5" t="s">
        <v>55</v>
      </c>
      <c r="D24" s="3" t="s">
        <v>56</v>
      </c>
      <c r="E24" s="6">
        <v>26081492</v>
      </c>
      <c r="F24" s="6">
        <v>24549633</v>
      </c>
      <c r="G24" s="6">
        <v>1531859</v>
      </c>
      <c r="H24" s="5">
        <v>0</v>
      </c>
      <c r="I24" s="6">
        <v>1531859</v>
      </c>
      <c r="J24" s="5">
        <v>0</v>
      </c>
      <c r="K24" s="5">
        <v>0</v>
      </c>
      <c r="L24" s="5">
        <v>0</v>
      </c>
    </row>
    <row r="25" spans="1:12">
      <c r="A25" s="7" t="b">
        <f t="shared" si="0"/>
        <v>1</v>
      </c>
      <c r="B25" s="5" t="str">
        <f>+Hoja2!A24</f>
        <v>1.1.04.200</v>
      </c>
      <c r="C25" s="5" t="s">
        <v>57</v>
      </c>
      <c r="D25" s="3" t="s">
        <v>58</v>
      </c>
      <c r="E25" s="6">
        <v>6734121</v>
      </c>
      <c r="F25" s="5">
        <v>0</v>
      </c>
      <c r="G25" s="6">
        <v>6734121</v>
      </c>
      <c r="H25" s="5">
        <v>0</v>
      </c>
      <c r="I25" s="6">
        <v>6734121</v>
      </c>
      <c r="J25" s="5">
        <v>0</v>
      </c>
      <c r="K25" s="5">
        <v>0</v>
      </c>
      <c r="L25" s="5">
        <v>0</v>
      </c>
    </row>
    <row r="26" spans="1:12">
      <c r="A26" s="7" t="b">
        <f t="shared" si="0"/>
        <v>1</v>
      </c>
      <c r="B26" s="5" t="str">
        <f>+Hoja2!A25</f>
        <v>1.1.05.403</v>
      </c>
      <c r="C26" s="5" t="s">
        <v>59</v>
      </c>
      <c r="D26" s="3" t="s">
        <v>60</v>
      </c>
      <c r="E26" s="6">
        <v>36676834</v>
      </c>
      <c r="F26" s="6">
        <v>5630839</v>
      </c>
      <c r="G26" s="6">
        <v>31045995</v>
      </c>
      <c r="H26" s="5">
        <v>0</v>
      </c>
      <c r="I26" s="6">
        <v>31045995</v>
      </c>
      <c r="J26" s="5">
        <v>0</v>
      </c>
      <c r="K26" s="5">
        <v>0</v>
      </c>
      <c r="L26" s="5">
        <v>0</v>
      </c>
    </row>
    <row r="27" spans="1:12">
      <c r="A27" s="7" t="b">
        <f t="shared" si="0"/>
        <v>1</v>
      </c>
      <c r="B27" s="5" t="str">
        <f>+Hoja2!A26</f>
        <v>1.1.05.405</v>
      </c>
      <c r="C27" s="5" t="s">
        <v>61</v>
      </c>
      <c r="D27" s="3" t="s">
        <v>62</v>
      </c>
      <c r="E27" s="6">
        <v>91705591</v>
      </c>
      <c r="F27" s="6">
        <v>90820948</v>
      </c>
      <c r="G27" s="6">
        <v>884643</v>
      </c>
      <c r="H27" s="5">
        <v>0</v>
      </c>
      <c r="I27" s="6">
        <v>884643</v>
      </c>
      <c r="J27" s="5">
        <v>0</v>
      </c>
      <c r="K27" s="5">
        <v>0</v>
      </c>
      <c r="L27" s="5">
        <v>0</v>
      </c>
    </row>
    <row r="28" spans="1:12">
      <c r="A28" s="7" t="b">
        <f t="shared" si="0"/>
        <v>1</v>
      </c>
      <c r="B28" s="5" t="str">
        <f>+Hoja2!A27</f>
        <v>1.1.06.401</v>
      </c>
      <c r="C28" s="5" t="s">
        <v>63</v>
      </c>
      <c r="D28" s="3" t="s">
        <v>64</v>
      </c>
      <c r="E28" s="6">
        <v>1748739874</v>
      </c>
      <c r="F28" s="6">
        <v>140247755</v>
      </c>
      <c r="G28" s="6">
        <v>1608492119</v>
      </c>
      <c r="H28" s="5">
        <v>0</v>
      </c>
      <c r="I28" s="6">
        <v>1608492119</v>
      </c>
      <c r="J28" s="5">
        <v>0</v>
      </c>
      <c r="K28" s="5">
        <v>0</v>
      </c>
      <c r="L28" s="5">
        <v>0</v>
      </c>
    </row>
    <row r="29" spans="1:12">
      <c r="A29" s="7" t="b">
        <f t="shared" si="0"/>
        <v>1</v>
      </c>
      <c r="B29" s="5" t="str">
        <f>+Hoja2!A28</f>
        <v>1.1.06.801</v>
      </c>
      <c r="C29" s="5" t="s">
        <v>65</v>
      </c>
      <c r="D29" s="3" t="s">
        <v>66</v>
      </c>
      <c r="E29" s="6">
        <v>10845119</v>
      </c>
      <c r="F29" s="6">
        <v>10845119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</row>
    <row r="30" spans="1:12">
      <c r="A30" s="7" t="b">
        <f t="shared" si="0"/>
        <v>1</v>
      </c>
      <c r="B30" s="5" t="str">
        <f>+Hoja2!A29</f>
        <v>1.1.06.802</v>
      </c>
      <c r="C30" s="5" t="s">
        <v>67</v>
      </c>
      <c r="D30" s="3" t="s">
        <v>68</v>
      </c>
      <c r="E30" s="6">
        <v>534894224</v>
      </c>
      <c r="F30" s="6">
        <v>323828116</v>
      </c>
      <c r="G30" s="6">
        <v>211066108</v>
      </c>
      <c r="H30" s="5">
        <v>0</v>
      </c>
      <c r="I30" s="6">
        <v>211066108</v>
      </c>
      <c r="J30" s="5">
        <v>0</v>
      </c>
      <c r="K30" s="5">
        <v>0</v>
      </c>
      <c r="L30" s="5">
        <v>0</v>
      </c>
    </row>
    <row r="31" spans="1:12">
      <c r="A31" s="7" t="b">
        <f t="shared" si="0"/>
        <v>1</v>
      </c>
      <c r="B31" s="5" t="str">
        <f>+Hoja2!A30</f>
        <v>1.1.09.101</v>
      </c>
      <c r="C31" s="5" t="s">
        <v>69</v>
      </c>
      <c r="D31" s="3" t="s">
        <v>70</v>
      </c>
      <c r="E31" s="6">
        <v>127018590</v>
      </c>
      <c r="F31" s="6">
        <v>127018590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</row>
    <row r="32" spans="1:12">
      <c r="A32" s="7" t="b">
        <f t="shared" si="0"/>
        <v>1</v>
      </c>
      <c r="B32" s="5" t="str">
        <f>+Hoja2!A31</f>
        <v>1.1.09.103</v>
      </c>
      <c r="C32" s="5" t="s">
        <v>71</v>
      </c>
      <c r="D32" s="3" t="s">
        <v>72</v>
      </c>
      <c r="E32" s="6">
        <v>423005179</v>
      </c>
      <c r="F32" s="6">
        <v>65664239</v>
      </c>
      <c r="G32" s="6">
        <v>357340940</v>
      </c>
      <c r="H32" s="5">
        <v>0</v>
      </c>
      <c r="I32" s="6">
        <v>357340940</v>
      </c>
      <c r="J32" s="5">
        <v>0</v>
      </c>
      <c r="K32" s="5">
        <v>0</v>
      </c>
      <c r="L32" s="5">
        <v>0</v>
      </c>
    </row>
    <row r="33" spans="1:12">
      <c r="A33" s="7" t="b">
        <f t="shared" si="0"/>
        <v>1</v>
      </c>
      <c r="B33" s="5" t="str">
        <f>+Hoja2!A32</f>
        <v>1.2.02.101</v>
      </c>
      <c r="C33" s="5" t="s">
        <v>73</v>
      </c>
      <c r="D33" s="3" t="s">
        <v>74</v>
      </c>
      <c r="E33" s="6">
        <v>83146237</v>
      </c>
      <c r="F33" s="6">
        <v>25817865</v>
      </c>
      <c r="G33" s="6">
        <v>57328372</v>
      </c>
      <c r="H33" s="5">
        <v>0</v>
      </c>
      <c r="I33" s="6">
        <v>57328372</v>
      </c>
      <c r="J33" s="5">
        <v>0</v>
      </c>
      <c r="K33" s="5">
        <v>0</v>
      </c>
      <c r="L33" s="5">
        <v>0</v>
      </c>
    </row>
    <row r="34" spans="1:12">
      <c r="A34" s="7" t="b">
        <f t="shared" si="0"/>
        <v>1</v>
      </c>
      <c r="B34" s="5" t="str">
        <f>+Hoja2!A33</f>
        <v>1.2.02.401</v>
      </c>
      <c r="C34" s="5" t="s">
        <v>75</v>
      </c>
      <c r="D34" s="3" t="s">
        <v>76</v>
      </c>
      <c r="E34" s="6">
        <v>656828984</v>
      </c>
      <c r="F34" s="5">
        <v>0</v>
      </c>
      <c r="G34" s="6">
        <v>656828984</v>
      </c>
      <c r="H34" s="5">
        <v>0</v>
      </c>
      <c r="I34" s="6">
        <v>656828984</v>
      </c>
      <c r="J34" s="5">
        <v>0</v>
      </c>
      <c r="K34" s="5">
        <v>0</v>
      </c>
      <c r="L34" s="5">
        <v>0</v>
      </c>
    </row>
    <row r="35" spans="1:12">
      <c r="A35" s="7" t="b">
        <f t="shared" si="0"/>
        <v>1</v>
      </c>
      <c r="B35" s="5" t="str">
        <f>+Hoja2!A34</f>
        <v>1.2.02.402</v>
      </c>
      <c r="C35" s="5" t="s">
        <v>77</v>
      </c>
      <c r="D35" s="3" t="s">
        <v>78</v>
      </c>
      <c r="E35" s="6">
        <v>109578639</v>
      </c>
      <c r="F35" s="5">
        <v>0</v>
      </c>
      <c r="G35" s="6">
        <v>109578639</v>
      </c>
      <c r="H35" s="5">
        <v>0</v>
      </c>
      <c r="I35" s="6">
        <v>109578639</v>
      </c>
      <c r="J35" s="5">
        <v>0</v>
      </c>
      <c r="K35" s="5">
        <v>0</v>
      </c>
      <c r="L35" s="5">
        <v>0</v>
      </c>
    </row>
    <row r="36" spans="1:12">
      <c r="A36" s="7" t="b">
        <f t="shared" si="0"/>
        <v>1</v>
      </c>
      <c r="B36" s="5" t="str">
        <f>+Hoja2!A35</f>
        <v>1.2.02.405</v>
      </c>
      <c r="C36" s="5" t="s">
        <v>79</v>
      </c>
      <c r="D36" s="3" t="s">
        <v>80</v>
      </c>
      <c r="E36" s="6">
        <v>27748636</v>
      </c>
      <c r="F36" s="5">
        <v>0</v>
      </c>
      <c r="G36" s="6">
        <v>27748636</v>
      </c>
      <c r="H36" s="5">
        <v>0</v>
      </c>
      <c r="I36" s="6">
        <v>27748636</v>
      </c>
      <c r="J36" s="5">
        <v>0</v>
      </c>
      <c r="K36" s="5">
        <v>0</v>
      </c>
      <c r="L36" s="5">
        <v>0</v>
      </c>
    </row>
    <row r="37" spans="1:12">
      <c r="A37" s="7" t="b">
        <f t="shared" si="0"/>
        <v>1</v>
      </c>
      <c r="B37" s="5" t="str">
        <f>+Hoja2!A36</f>
        <v>1.2.02.904</v>
      </c>
      <c r="C37" s="5" t="s">
        <v>81</v>
      </c>
      <c r="D37" s="3" t="s">
        <v>82</v>
      </c>
      <c r="E37" s="5">
        <v>0</v>
      </c>
      <c r="F37" s="6">
        <v>210830802</v>
      </c>
      <c r="G37" s="5">
        <v>0</v>
      </c>
      <c r="H37" s="6">
        <v>210830802</v>
      </c>
      <c r="I37" s="5">
        <v>0</v>
      </c>
      <c r="J37" s="6">
        <v>210830802</v>
      </c>
      <c r="K37" s="5">
        <v>0</v>
      </c>
      <c r="L37" s="5">
        <v>0</v>
      </c>
    </row>
    <row r="38" spans="1:12">
      <c r="A38" s="7" t="b">
        <f t="shared" si="0"/>
        <v>1</v>
      </c>
      <c r="B38" s="5" t="str">
        <f>+Hoja2!A37</f>
        <v>1.2.02.905</v>
      </c>
      <c r="C38" s="5" t="s">
        <v>83</v>
      </c>
      <c r="D38" s="3" t="s">
        <v>84</v>
      </c>
      <c r="E38" s="5">
        <v>0</v>
      </c>
      <c r="F38" s="6">
        <v>36686284</v>
      </c>
      <c r="G38" s="5">
        <v>0</v>
      </c>
      <c r="H38" s="6">
        <v>36686284</v>
      </c>
      <c r="I38" s="5">
        <v>0</v>
      </c>
      <c r="J38" s="6">
        <v>36686284</v>
      </c>
      <c r="K38" s="5">
        <v>0</v>
      </c>
      <c r="L38" s="5">
        <v>0</v>
      </c>
    </row>
    <row r="39" spans="1:12">
      <c r="A39" s="7" t="b">
        <f t="shared" si="0"/>
        <v>1</v>
      </c>
      <c r="B39" s="5" t="str">
        <f>+Hoja2!A38</f>
        <v>2.1.01.203</v>
      </c>
      <c r="C39" s="5" t="s">
        <v>85</v>
      </c>
      <c r="D39" s="3" t="s">
        <v>86</v>
      </c>
      <c r="E39" s="6">
        <v>7125472</v>
      </c>
      <c r="F39" s="6">
        <v>153794472</v>
      </c>
      <c r="G39" s="5">
        <v>0</v>
      </c>
      <c r="H39" s="6">
        <v>146669000</v>
      </c>
      <c r="I39" s="5">
        <v>0</v>
      </c>
      <c r="J39" s="6">
        <v>146669000</v>
      </c>
      <c r="K39" s="5">
        <v>0</v>
      </c>
      <c r="L39" s="5">
        <v>0</v>
      </c>
    </row>
    <row r="40" spans="1:12">
      <c r="A40" s="7" t="b">
        <f t="shared" si="0"/>
        <v>1</v>
      </c>
      <c r="B40" s="5" t="str">
        <f>+Hoja2!A39</f>
        <v>2.1.01.204</v>
      </c>
      <c r="C40" s="5" t="s">
        <v>87</v>
      </c>
      <c r="D40" s="3" t="s">
        <v>88</v>
      </c>
      <c r="E40" s="6">
        <v>513807</v>
      </c>
      <c r="F40" s="6">
        <v>5382695</v>
      </c>
      <c r="G40" s="5">
        <v>0</v>
      </c>
      <c r="H40" s="6">
        <v>4868888</v>
      </c>
      <c r="I40" s="5">
        <v>0</v>
      </c>
      <c r="J40" s="6">
        <v>4868888</v>
      </c>
      <c r="K40" s="5">
        <v>0</v>
      </c>
      <c r="L40" s="5">
        <v>0</v>
      </c>
    </row>
    <row r="41" spans="1:12">
      <c r="A41" s="7" t="b">
        <f t="shared" si="0"/>
        <v>1</v>
      </c>
      <c r="B41" s="5" t="str">
        <f>+Hoja2!A40</f>
        <v>2.1.01.601</v>
      </c>
      <c r="C41" s="5" t="s">
        <v>89</v>
      </c>
      <c r="D41" s="3" t="s">
        <v>90</v>
      </c>
      <c r="E41" s="6">
        <v>4654339</v>
      </c>
      <c r="F41" s="6">
        <v>4083503</v>
      </c>
      <c r="G41" s="6">
        <v>570836</v>
      </c>
      <c r="H41" s="5">
        <v>0</v>
      </c>
      <c r="I41" s="6">
        <v>570836</v>
      </c>
      <c r="J41" s="5">
        <v>0</v>
      </c>
      <c r="K41" s="5">
        <v>0</v>
      </c>
      <c r="L41" s="5">
        <v>0</v>
      </c>
    </row>
    <row r="42" spans="1:12">
      <c r="A42" s="7" t="b">
        <f t="shared" si="0"/>
        <v>1</v>
      </c>
      <c r="B42" s="5" t="str">
        <f>+Hoja2!A41</f>
        <v>2.1.02.102</v>
      </c>
      <c r="C42" s="5" t="s">
        <v>91</v>
      </c>
      <c r="D42" s="3" t="s">
        <v>92</v>
      </c>
      <c r="E42" s="6">
        <v>965676666</v>
      </c>
      <c r="F42" s="6">
        <v>2200581245</v>
      </c>
      <c r="G42" s="5">
        <v>0</v>
      </c>
      <c r="H42" s="6">
        <v>1234904579</v>
      </c>
      <c r="I42" s="5">
        <v>0</v>
      </c>
      <c r="J42" s="6">
        <v>1234904579</v>
      </c>
      <c r="K42" s="5">
        <v>0</v>
      </c>
      <c r="L42" s="5">
        <v>0</v>
      </c>
    </row>
    <row r="43" spans="1:12">
      <c r="A43" s="7" t="b">
        <f t="shared" si="0"/>
        <v>1</v>
      </c>
      <c r="B43" s="5" t="str">
        <f>+Hoja2!A42</f>
        <v>2.1.02.103</v>
      </c>
      <c r="C43" s="5" t="s">
        <v>93</v>
      </c>
      <c r="D43" s="3" t="s">
        <v>94</v>
      </c>
      <c r="E43" s="6">
        <v>272939080</v>
      </c>
      <c r="F43" s="6">
        <v>289265126</v>
      </c>
      <c r="G43" s="5">
        <v>0</v>
      </c>
      <c r="H43" s="6">
        <v>16326046</v>
      </c>
      <c r="I43" s="5">
        <v>0</v>
      </c>
      <c r="J43" s="6">
        <v>16326046</v>
      </c>
      <c r="K43" s="5">
        <v>0</v>
      </c>
      <c r="L43" s="5">
        <v>0</v>
      </c>
    </row>
    <row r="44" spans="1:12">
      <c r="A44" s="7" t="b">
        <f t="shared" si="0"/>
        <v>1</v>
      </c>
      <c r="B44" s="5" t="str">
        <f>+Hoja2!A43</f>
        <v>2.1.02.401</v>
      </c>
      <c r="C44" s="5" t="s">
        <v>95</v>
      </c>
      <c r="D44" s="3" t="s">
        <v>96</v>
      </c>
      <c r="E44" s="6">
        <v>466593</v>
      </c>
      <c r="F44" s="6">
        <v>2014886</v>
      </c>
      <c r="G44" s="5">
        <v>0</v>
      </c>
      <c r="H44" s="6">
        <v>1548293</v>
      </c>
      <c r="I44" s="5">
        <v>0</v>
      </c>
      <c r="J44" s="6">
        <v>1548293</v>
      </c>
      <c r="K44" s="5">
        <v>0</v>
      </c>
      <c r="L44" s="5">
        <v>0</v>
      </c>
    </row>
    <row r="45" spans="1:12">
      <c r="A45" s="7" t="b">
        <f t="shared" si="0"/>
        <v>1</v>
      </c>
      <c r="B45" s="5" t="str">
        <f>+Hoja2!A44</f>
        <v>2.1.02.503</v>
      </c>
      <c r="C45" s="5" t="s">
        <v>97</v>
      </c>
      <c r="D45" s="3" t="s">
        <v>98</v>
      </c>
      <c r="E45" s="6">
        <v>20106416</v>
      </c>
      <c r="F45" s="6">
        <v>30063451</v>
      </c>
      <c r="G45" s="5">
        <v>0</v>
      </c>
      <c r="H45" s="6">
        <v>9957035</v>
      </c>
      <c r="I45" s="5">
        <v>0</v>
      </c>
      <c r="J45" s="6">
        <v>9957035</v>
      </c>
      <c r="K45" s="5">
        <v>0</v>
      </c>
      <c r="L45" s="5">
        <v>0</v>
      </c>
    </row>
    <row r="46" spans="1:12">
      <c r="A46" s="7" t="b">
        <f t="shared" si="0"/>
        <v>1</v>
      </c>
      <c r="B46" s="5" t="str">
        <f>+Hoja2!A45</f>
        <v>2.1.02.604</v>
      </c>
      <c r="C46" s="5" t="s">
        <v>99</v>
      </c>
      <c r="D46" s="3" t="s">
        <v>100</v>
      </c>
      <c r="E46" s="6">
        <v>848646</v>
      </c>
      <c r="F46" s="6">
        <v>1361766</v>
      </c>
      <c r="G46" s="5">
        <v>0</v>
      </c>
      <c r="H46" s="6">
        <v>513120</v>
      </c>
      <c r="I46" s="5">
        <v>0</v>
      </c>
      <c r="J46" s="6">
        <v>513120</v>
      </c>
      <c r="K46" s="5">
        <v>0</v>
      </c>
      <c r="L46" s="5">
        <v>0</v>
      </c>
    </row>
    <row r="47" spans="1:12">
      <c r="A47" s="7" t="b">
        <f t="shared" si="0"/>
        <v>1</v>
      </c>
      <c r="B47" s="5" t="str">
        <f>+Hoja2!A46</f>
        <v>2.1.02.605</v>
      </c>
      <c r="C47" s="5" t="s">
        <v>101</v>
      </c>
      <c r="D47" s="3" t="s">
        <v>102</v>
      </c>
      <c r="E47" s="6">
        <v>31725918</v>
      </c>
      <c r="F47" s="6">
        <v>134174766</v>
      </c>
      <c r="G47" s="5">
        <v>0</v>
      </c>
      <c r="H47" s="6">
        <v>102448848</v>
      </c>
      <c r="I47" s="5">
        <v>0</v>
      </c>
      <c r="J47" s="6">
        <v>102448848</v>
      </c>
      <c r="K47" s="5">
        <v>0</v>
      </c>
      <c r="L47" s="5">
        <v>0</v>
      </c>
    </row>
    <row r="48" spans="1:12">
      <c r="A48" s="7" t="b">
        <f t="shared" si="0"/>
        <v>1</v>
      </c>
      <c r="B48" s="5" t="str">
        <f>+Hoja2!A47</f>
        <v>2.1.05.101</v>
      </c>
      <c r="C48" s="5" t="s">
        <v>103</v>
      </c>
      <c r="D48" s="3" t="s">
        <v>104</v>
      </c>
      <c r="E48" s="6">
        <v>2373539</v>
      </c>
      <c r="F48" s="6">
        <v>2373539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</row>
    <row r="49" spans="1:12">
      <c r="A49" s="7" t="b">
        <f t="shared" si="0"/>
        <v>1</v>
      </c>
      <c r="B49" s="5" t="str">
        <f>+Hoja2!A48</f>
        <v>2.1.05.102</v>
      </c>
      <c r="C49" s="5" t="s">
        <v>105</v>
      </c>
      <c r="D49" s="3" t="s">
        <v>106</v>
      </c>
      <c r="E49" s="6">
        <v>230070</v>
      </c>
      <c r="F49" s="6">
        <v>230070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</row>
    <row r="50" spans="1:12">
      <c r="A50" s="7" t="b">
        <f t="shared" si="0"/>
        <v>1</v>
      </c>
      <c r="B50" s="5" t="str">
        <f>+Hoja2!A49</f>
        <v>2.1.05.103</v>
      </c>
      <c r="C50" s="5" t="s">
        <v>107</v>
      </c>
      <c r="D50" s="3" t="s">
        <v>108</v>
      </c>
      <c r="E50" s="6">
        <v>145138628</v>
      </c>
      <c r="F50" s="6">
        <v>145138628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</row>
    <row r="51" spans="1:12">
      <c r="A51" s="7" t="b">
        <f t="shared" si="0"/>
        <v>1</v>
      </c>
      <c r="B51" s="5" t="str">
        <f>+Hoja2!A50</f>
        <v>2.1.05.106</v>
      </c>
      <c r="C51" s="5" t="s">
        <v>109</v>
      </c>
      <c r="D51" s="3" t="s">
        <v>110</v>
      </c>
      <c r="E51" s="6">
        <v>3289310</v>
      </c>
      <c r="F51" s="6">
        <v>4248262</v>
      </c>
      <c r="G51" s="5">
        <v>0</v>
      </c>
      <c r="H51" s="6">
        <v>958952</v>
      </c>
      <c r="I51" s="5">
        <v>0</v>
      </c>
      <c r="J51" s="6">
        <v>958952</v>
      </c>
      <c r="K51" s="5">
        <v>0</v>
      </c>
      <c r="L51" s="5">
        <v>0</v>
      </c>
    </row>
    <row r="52" spans="1:12">
      <c r="A52" s="7" t="b">
        <f t="shared" si="0"/>
        <v>1</v>
      </c>
      <c r="B52" s="5" t="str">
        <f>+Hoja2!A51</f>
        <v>2.1.06.103</v>
      </c>
      <c r="C52" s="5" t="s">
        <v>111</v>
      </c>
      <c r="D52" s="3" t="s">
        <v>112</v>
      </c>
      <c r="E52" s="6">
        <v>62073342</v>
      </c>
      <c r="F52" s="6">
        <v>76200159</v>
      </c>
      <c r="G52" s="5">
        <v>0</v>
      </c>
      <c r="H52" s="6">
        <v>14126817</v>
      </c>
      <c r="I52" s="5">
        <v>0</v>
      </c>
      <c r="J52" s="6">
        <v>14126817</v>
      </c>
      <c r="K52" s="5">
        <v>0</v>
      </c>
      <c r="L52" s="5">
        <v>0</v>
      </c>
    </row>
    <row r="53" spans="1:12">
      <c r="A53" s="7" t="b">
        <f t="shared" si="0"/>
        <v>1</v>
      </c>
      <c r="B53" s="5" t="str">
        <f>+Hoja2!A52</f>
        <v>2.3.01.101</v>
      </c>
      <c r="C53" s="5" t="s">
        <v>113</v>
      </c>
      <c r="D53" s="3" t="s">
        <v>114</v>
      </c>
      <c r="E53" s="5">
        <v>0</v>
      </c>
      <c r="F53" s="6">
        <v>5770668867</v>
      </c>
      <c r="G53" s="5">
        <v>0</v>
      </c>
      <c r="H53" s="6">
        <v>5770668867</v>
      </c>
      <c r="I53" s="5">
        <v>0</v>
      </c>
      <c r="J53" s="6">
        <v>5770668867</v>
      </c>
      <c r="K53" s="5">
        <v>0</v>
      </c>
      <c r="L53" s="5">
        <v>0</v>
      </c>
    </row>
    <row r="54" spans="1:12">
      <c r="A54" s="7" t="b">
        <f t="shared" si="0"/>
        <v>1</v>
      </c>
      <c r="B54" s="5" t="str">
        <f>+Hoja2!A53</f>
        <v>2.3.02.101</v>
      </c>
      <c r="C54" s="5" t="s">
        <v>115</v>
      </c>
      <c r="D54" s="3" t="s">
        <v>116</v>
      </c>
      <c r="E54" s="6">
        <v>3142106839</v>
      </c>
      <c r="F54" s="5">
        <v>0</v>
      </c>
      <c r="G54" s="6">
        <v>3142106839</v>
      </c>
      <c r="H54" s="5">
        <v>0</v>
      </c>
      <c r="I54" s="6">
        <v>3142106839</v>
      </c>
      <c r="J54" s="5">
        <v>0</v>
      </c>
      <c r="K54" s="5">
        <v>0</v>
      </c>
      <c r="L54" s="5">
        <v>0</v>
      </c>
    </row>
    <row r="55" spans="1:12">
      <c r="A55" s="7" t="b">
        <f t="shared" si="0"/>
        <v>1</v>
      </c>
      <c r="B55" s="5" t="str">
        <f>+Hoja2!A54</f>
        <v>3.1.01.103</v>
      </c>
      <c r="C55" s="5" t="s">
        <v>225</v>
      </c>
      <c r="D55" s="3" t="s">
        <v>226</v>
      </c>
      <c r="E55" s="6">
        <v>14544984</v>
      </c>
      <c r="F55" s="6">
        <v>261159276</v>
      </c>
      <c r="G55" s="5">
        <v>0</v>
      </c>
      <c r="H55" s="6">
        <v>246614292</v>
      </c>
      <c r="I55" s="5">
        <v>0</v>
      </c>
      <c r="J55" s="5">
        <v>0</v>
      </c>
      <c r="K55" s="5">
        <v>0</v>
      </c>
      <c r="L55" s="6">
        <v>246614292</v>
      </c>
    </row>
    <row r="56" spans="1:12">
      <c r="A56" s="7" t="b">
        <f t="shared" si="0"/>
        <v>1</v>
      </c>
      <c r="B56" s="5" t="str">
        <f>+Hoja2!A55</f>
        <v>3.1.01.300</v>
      </c>
      <c r="C56" s="5" t="s">
        <v>227</v>
      </c>
      <c r="D56" s="3" t="s">
        <v>228</v>
      </c>
      <c r="E56" s="5">
        <v>0</v>
      </c>
      <c r="F56" s="6">
        <v>3751074</v>
      </c>
      <c r="G56" s="5">
        <v>0</v>
      </c>
      <c r="H56" s="6">
        <v>3751074</v>
      </c>
      <c r="I56" s="5">
        <v>0</v>
      </c>
      <c r="J56" s="5">
        <v>0</v>
      </c>
      <c r="K56" s="5">
        <v>0</v>
      </c>
      <c r="L56" s="6">
        <v>3751074</v>
      </c>
    </row>
    <row r="57" spans="1:12">
      <c r="A57" s="7" t="b">
        <f t="shared" si="0"/>
        <v>1</v>
      </c>
      <c r="B57" s="5" t="str">
        <f>+Hoja2!A56</f>
        <v>3.1.02.101</v>
      </c>
      <c r="C57" s="5" t="s">
        <v>117</v>
      </c>
      <c r="D57" s="3" t="s">
        <v>118</v>
      </c>
      <c r="E57" s="6">
        <v>140247843</v>
      </c>
      <c r="F57" s="6">
        <v>5408771</v>
      </c>
      <c r="G57" s="6">
        <v>134839072</v>
      </c>
      <c r="H57" s="5">
        <v>0</v>
      </c>
      <c r="I57" s="5">
        <v>0</v>
      </c>
      <c r="J57" s="5">
        <v>0</v>
      </c>
      <c r="K57" s="6">
        <v>134839072</v>
      </c>
      <c r="L57" s="5">
        <v>0</v>
      </c>
    </row>
    <row r="58" spans="1:12">
      <c r="A58" s="7" t="b">
        <f t="shared" si="0"/>
        <v>1</v>
      </c>
      <c r="B58" s="5" t="str">
        <f>+Hoja2!A57</f>
        <v>3.1.02.102</v>
      </c>
      <c r="C58" s="5" t="s">
        <v>119</v>
      </c>
      <c r="D58" s="3" t="s">
        <v>120</v>
      </c>
      <c r="E58" s="6">
        <v>4308135</v>
      </c>
      <c r="F58" s="6">
        <v>967680</v>
      </c>
      <c r="G58" s="6">
        <v>3340455</v>
      </c>
      <c r="H58" s="5">
        <v>0</v>
      </c>
      <c r="I58" s="5">
        <v>0</v>
      </c>
      <c r="J58" s="5">
        <v>0</v>
      </c>
      <c r="K58" s="6">
        <v>3340455</v>
      </c>
      <c r="L58" s="5">
        <v>0</v>
      </c>
    </row>
    <row r="59" spans="1:12">
      <c r="A59" s="7" t="b">
        <f t="shared" si="0"/>
        <v>1</v>
      </c>
      <c r="B59" s="5" t="str">
        <f>+Hoja2!A58</f>
        <v>3.1.02.104</v>
      </c>
      <c r="C59" s="5" t="s">
        <v>121</v>
      </c>
      <c r="D59" s="3" t="s">
        <v>122</v>
      </c>
      <c r="E59" s="6">
        <v>764295</v>
      </c>
      <c r="F59" s="6">
        <v>306345</v>
      </c>
      <c r="G59" s="6">
        <v>457950</v>
      </c>
      <c r="H59" s="5">
        <v>0</v>
      </c>
      <c r="I59" s="5">
        <v>0</v>
      </c>
      <c r="J59" s="5">
        <v>0</v>
      </c>
      <c r="K59" s="6">
        <v>457950</v>
      </c>
      <c r="L59" s="5">
        <v>0</v>
      </c>
    </row>
    <row r="60" spans="1:12">
      <c r="A60" s="7" t="b">
        <f t="shared" si="0"/>
        <v>1</v>
      </c>
      <c r="B60" s="5" t="str">
        <f>+Hoja2!A59</f>
        <v>3.1.02.105</v>
      </c>
      <c r="C60" s="5" t="s">
        <v>123</v>
      </c>
      <c r="D60" s="3" t="s">
        <v>124</v>
      </c>
      <c r="E60" s="6">
        <v>9636092</v>
      </c>
      <c r="F60" s="6">
        <v>1564567</v>
      </c>
      <c r="G60" s="6">
        <v>8071525</v>
      </c>
      <c r="H60" s="5">
        <v>0</v>
      </c>
      <c r="I60" s="5">
        <v>0</v>
      </c>
      <c r="J60" s="5">
        <v>0</v>
      </c>
      <c r="K60" s="6">
        <v>8071525</v>
      </c>
      <c r="L60" s="5">
        <v>0</v>
      </c>
    </row>
    <row r="61" spans="1:12">
      <c r="A61" s="7" t="b">
        <f t="shared" si="0"/>
        <v>1</v>
      </c>
      <c r="B61" s="5" t="str">
        <f>+Hoja2!A60</f>
        <v>3.1.02.108</v>
      </c>
      <c r="C61" s="5" t="s">
        <v>125</v>
      </c>
      <c r="D61" s="3" t="s">
        <v>126</v>
      </c>
      <c r="E61" s="6">
        <v>1984340</v>
      </c>
      <c r="F61" s="6">
        <v>8318</v>
      </c>
      <c r="G61" s="6">
        <v>1976022</v>
      </c>
      <c r="H61" s="5">
        <v>0</v>
      </c>
      <c r="I61" s="5">
        <v>0</v>
      </c>
      <c r="J61" s="5">
        <v>0</v>
      </c>
      <c r="K61" s="6">
        <v>1976022</v>
      </c>
      <c r="L61" s="5">
        <v>0</v>
      </c>
    </row>
    <row r="62" spans="1:12">
      <c r="A62" s="7" t="b">
        <f t="shared" si="0"/>
        <v>1</v>
      </c>
      <c r="B62" s="5" t="str">
        <f>+Hoja2!A61</f>
        <v>3.1.02.109</v>
      </c>
      <c r="C62" s="5" t="s">
        <v>127</v>
      </c>
      <c r="D62" s="3" t="s">
        <v>128</v>
      </c>
      <c r="E62" s="6">
        <v>44990</v>
      </c>
      <c r="F62" s="5">
        <v>0</v>
      </c>
      <c r="G62" s="6">
        <v>44990</v>
      </c>
      <c r="H62" s="5">
        <v>0</v>
      </c>
      <c r="I62" s="5">
        <v>0</v>
      </c>
      <c r="J62" s="5">
        <v>0</v>
      </c>
      <c r="K62" s="6">
        <v>44990</v>
      </c>
      <c r="L62" s="5">
        <v>0</v>
      </c>
    </row>
    <row r="63" spans="1:12">
      <c r="A63" s="7" t="b">
        <f t="shared" si="0"/>
        <v>1</v>
      </c>
      <c r="B63" s="5" t="str">
        <f>+Hoja2!A62</f>
        <v>3.1.02.110</v>
      </c>
      <c r="C63" s="5" t="s">
        <v>129</v>
      </c>
      <c r="D63" s="3" t="s">
        <v>130</v>
      </c>
      <c r="E63" s="6">
        <v>46507</v>
      </c>
      <c r="F63" s="5">
        <v>0</v>
      </c>
      <c r="G63" s="6">
        <v>46507</v>
      </c>
      <c r="H63" s="5">
        <v>0</v>
      </c>
      <c r="I63" s="5">
        <v>0</v>
      </c>
      <c r="J63" s="5">
        <v>0</v>
      </c>
      <c r="K63" s="6">
        <v>46507</v>
      </c>
      <c r="L63" s="5">
        <v>0</v>
      </c>
    </row>
    <row r="64" spans="1:12">
      <c r="A64" s="7" t="b">
        <f t="shared" si="0"/>
        <v>1</v>
      </c>
      <c r="B64" s="5" t="str">
        <f>+Hoja2!A63</f>
        <v>3.1.02.113</v>
      </c>
      <c r="C64" s="5" t="s">
        <v>131</v>
      </c>
      <c r="D64" s="3" t="s">
        <v>132</v>
      </c>
      <c r="E64" s="6">
        <v>4601322</v>
      </c>
      <c r="F64" s="5">
        <v>0</v>
      </c>
      <c r="G64" s="6">
        <v>4601322</v>
      </c>
      <c r="H64" s="5">
        <v>0</v>
      </c>
      <c r="I64" s="5">
        <v>0</v>
      </c>
      <c r="J64" s="5">
        <v>0</v>
      </c>
      <c r="K64" s="6">
        <v>4601322</v>
      </c>
      <c r="L64" s="5">
        <v>0</v>
      </c>
    </row>
    <row r="65" spans="1:12">
      <c r="A65" s="7" t="b">
        <f t="shared" si="0"/>
        <v>1</v>
      </c>
      <c r="B65" s="5" t="str">
        <f>+Hoja2!A64</f>
        <v>3.1.05.101</v>
      </c>
      <c r="C65" s="5" t="s">
        <v>133</v>
      </c>
      <c r="D65" s="3" t="s">
        <v>134</v>
      </c>
      <c r="E65" s="6">
        <v>62966456</v>
      </c>
      <c r="F65" s="6">
        <v>17849305</v>
      </c>
      <c r="G65" s="6">
        <v>45117151</v>
      </c>
      <c r="H65" s="5">
        <v>0</v>
      </c>
      <c r="I65" s="5">
        <v>0</v>
      </c>
      <c r="J65" s="5">
        <v>0</v>
      </c>
      <c r="K65" s="6">
        <v>45117151</v>
      </c>
      <c r="L65" s="5">
        <v>0</v>
      </c>
    </row>
    <row r="66" spans="1:12">
      <c r="A66" s="7" t="b">
        <f t="shared" ref="A66:A110" si="1">EXACT(C66,B66)</f>
        <v>1</v>
      </c>
      <c r="B66" s="5" t="str">
        <f>+Hoja2!A65</f>
        <v>3.1.05.102</v>
      </c>
      <c r="C66" s="5" t="s">
        <v>135</v>
      </c>
      <c r="D66" s="3" t="s">
        <v>136</v>
      </c>
      <c r="E66" s="6">
        <v>3506290</v>
      </c>
      <c r="F66" s="5">
        <v>0</v>
      </c>
      <c r="G66" s="6">
        <v>3506290</v>
      </c>
      <c r="H66" s="5">
        <v>0</v>
      </c>
      <c r="I66" s="5">
        <v>0</v>
      </c>
      <c r="J66" s="5">
        <v>0</v>
      </c>
      <c r="K66" s="6">
        <v>3506290</v>
      </c>
      <c r="L66" s="5">
        <v>0</v>
      </c>
    </row>
    <row r="67" spans="1:12">
      <c r="A67" s="7" t="b">
        <f t="shared" si="1"/>
        <v>1</v>
      </c>
      <c r="B67" s="5" t="str">
        <f>+Hoja2!A66</f>
        <v>3.1.05.103</v>
      </c>
      <c r="C67" s="5" t="s">
        <v>137</v>
      </c>
      <c r="D67" s="3" t="s">
        <v>138</v>
      </c>
      <c r="E67" s="6">
        <v>2100346</v>
      </c>
      <c r="F67" s="6">
        <v>445263</v>
      </c>
      <c r="G67" s="6">
        <v>1655083</v>
      </c>
      <c r="H67" s="5">
        <v>0</v>
      </c>
      <c r="I67" s="5">
        <v>0</v>
      </c>
      <c r="J67" s="5">
        <v>0</v>
      </c>
      <c r="K67" s="6">
        <v>1655083</v>
      </c>
      <c r="L67" s="5">
        <v>0</v>
      </c>
    </row>
    <row r="68" spans="1:12">
      <c r="A68" s="7" t="b">
        <f t="shared" si="1"/>
        <v>1</v>
      </c>
      <c r="B68" s="5" t="str">
        <f>+Hoja2!A67</f>
        <v>3.1.05.104</v>
      </c>
      <c r="C68" s="5" t="s">
        <v>139</v>
      </c>
      <c r="D68" s="3" t="s">
        <v>140</v>
      </c>
      <c r="E68" s="6">
        <v>12533440</v>
      </c>
      <c r="F68" s="6">
        <v>1949288</v>
      </c>
      <c r="G68" s="6">
        <v>10584152</v>
      </c>
      <c r="H68" s="5">
        <v>0</v>
      </c>
      <c r="I68" s="5">
        <v>0</v>
      </c>
      <c r="J68" s="5">
        <v>0</v>
      </c>
      <c r="K68" s="6">
        <v>10584152</v>
      </c>
      <c r="L68" s="5">
        <v>0</v>
      </c>
    </row>
    <row r="69" spans="1:12">
      <c r="A69" s="7" t="b">
        <f t="shared" si="1"/>
        <v>1</v>
      </c>
      <c r="B69" s="5" t="str">
        <f>+Hoja2!A68</f>
        <v>3.1.05.107</v>
      </c>
      <c r="C69" s="5" t="s">
        <v>141</v>
      </c>
      <c r="D69" s="3" t="s">
        <v>142</v>
      </c>
      <c r="E69" s="6">
        <v>4000</v>
      </c>
      <c r="F69" s="5">
        <v>0</v>
      </c>
      <c r="G69" s="6">
        <v>4000</v>
      </c>
      <c r="H69" s="5">
        <v>0</v>
      </c>
      <c r="I69" s="5">
        <v>0</v>
      </c>
      <c r="J69" s="5">
        <v>0</v>
      </c>
      <c r="K69" s="6">
        <v>4000</v>
      </c>
      <c r="L69" s="5">
        <v>0</v>
      </c>
    </row>
    <row r="70" spans="1:12">
      <c r="A70" s="7" t="b">
        <f t="shared" si="1"/>
        <v>1</v>
      </c>
      <c r="B70" s="5" t="str">
        <f>+Hoja2!A69</f>
        <v>3.1.05.110</v>
      </c>
      <c r="C70" s="5" t="s">
        <v>143</v>
      </c>
      <c r="D70" s="3" t="s">
        <v>144</v>
      </c>
      <c r="E70" s="6">
        <v>756003</v>
      </c>
      <c r="F70" s="6">
        <v>155849</v>
      </c>
      <c r="G70" s="6">
        <v>600154</v>
      </c>
      <c r="H70" s="5">
        <v>0</v>
      </c>
      <c r="I70" s="5">
        <v>0</v>
      </c>
      <c r="J70" s="5">
        <v>0</v>
      </c>
      <c r="K70" s="6">
        <v>600154</v>
      </c>
      <c r="L70" s="5">
        <v>0</v>
      </c>
    </row>
    <row r="71" spans="1:12">
      <c r="A71" s="7" t="b">
        <f t="shared" si="1"/>
        <v>1</v>
      </c>
      <c r="B71" s="5" t="str">
        <f>+Hoja2!A70</f>
        <v>3.1.05.111</v>
      </c>
      <c r="C71" s="5" t="s">
        <v>145</v>
      </c>
      <c r="D71" s="3" t="s">
        <v>146</v>
      </c>
      <c r="E71" s="6">
        <v>1270552</v>
      </c>
      <c r="F71" s="6">
        <v>258071</v>
      </c>
      <c r="G71" s="6">
        <v>1012481</v>
      </c>
      <c r="H71" s="5">
        <v>0</v>
      </c>
      <c r="I71" s="5">
        <v>0</v>
      </c>
      <c r="J71" s="5">
        <v>0</v>
      </c>
      <c r="K71" s="6">
        <v>1012481</v>
      </c>
      <c r="L71" s="5">
        <v>0</v>
      </c>
    </row>
    <row r="72" spans="1:12">
      <c r="A72" s="7" t="b">
        <f t="shared" si="1"/>
        <v>1</v>
      </c>
      <c r="B72" s="5" t="str">
        <f>+Hoja2!A71</f>
        <v>3.1.05.112</v>
      </c>
      <c r="C72" s="5" t="s">
        <v>147</v>
      </c>
      <c r="D72" s="3" t="s">
        <v>148</v>
      </c>
      <c r="E72" s="6">
        <v>81254</v>
      </c>
      <c r="F72" s="6">
        <v>16759</v>
      </c>
      <c r="G72" s="6">
        <v>64495</v>
      </c>
      <c r="H72" s="5">
        <v>0</v>
      </c>
      <c r="I72" s="5">
        <v>0</v>
      </c>
      <c r="J72" s="5">
        <v>0</v>
      </c>
      <c r="K72" s="6">
        <v>64495</v>
      </c>
      <c r="L72" s="5">
        <v>0</v>
      </c>
    </row>
    <row r="73" spans="1:12">
      <c r="A73" s="7" t="b">
        <f t="shared" si="1"/>
        <v>1</v>
      </c>
      <c r="B73" s="5" t="str">
        <f>+Hoja2!A72</f>
        <v>3.1.05.113</v>
      </c>
      <c r="C73" s="5" t="s">
        <v>149</v>
      </c>
      <c r="D73" s="3" t="s">
        <v>150</v>
      </c>
      <c r="E73" s="6">
        <v>742542</v>
      </c>
      <c r="F73" s="6">
        <v>150824</v>
      </c>
      <c r="G73" s="6">
        <v>591718</v>
      </c>
      <c r="H73" s="5">
        <v>0</v>
      </c>
      <c r="I73" s="5">
        <v>0</v>
      </c>
      <c r="J73" s="5">
        <v>0</v>
      </c>
      <c r="K73" s="6">
        <v>591718</v>
      </c>
      <c r="L73" s="5">
        <v>0</v>
      </c>
    </row>
    <row r="74" spans="1:12">
      <c r="A74" s="7" t="b">
        <f t="shared" si="1"/>
        <v>1</v>
      </c>
      <c r="B74" s="5" t="str">
        <f>+Hoja2!A73</f>
        <v>3.1.05.117</v>
      </c>
      <c r="C74" s="5" t="s">
        <v>151</v>
      </c>
      <c r="D74" s="3" t="s">
        <v>152</v>
      </c>
      <c r="E74" s="6">
        <v>756324</v>
      </c>
      <c r="F74" s="5">
        <v>0</v>
      </c>
      <c r="G74" s="6">
        <v>756324</v>
      </c>
      <c r="H74" s="5">
        <v>0</v>
      </c>
      <c r="I74" s="5">
        <v>0</v>
      </c>
      <c r="J74" s="5">
        <v>0</v>
      </c>
      <c r="K74" s="6">
        <v>756324</v>
      </c>
      <c r="L74" s="5">
        <v>0</v>
      </c>
    </row>
    <row r="75" spans="1:12">
      <c r="A75" s="7" t="b">
        <f t="shared" si="1"/>
        <v>1</v>
      </c>
      <c r="B75" s="5" t="str">
        <f>+Hoja2!A74</f>
        <v>3.1.05.121</v>
      </c>
      <c r="C75" s="5" t="s">
        <v>153</v>
      </c>
      <c r="D75" s="3" t="s">
        <v>154</v>
      </c>
      <c r="E75" s="6">
        <v>1447552</v>
      </c>
      <c r="F75" s="5">
        <v>0</v>
      </c>
      <c r="G75" s="6">
        <v>1447552</v>
      </c>
      <c r="H75" s="5">
        <v>0</v>
      </c>
      <c r="I75" s="5">
        <v>0</v>
      </c>
      <c r="J75" s="5">
        <v>0</v>
      </c>
      <c r="K75" s="6">
        <v>1447552</v>
      </c>
      <c r="L75" s="5">
        <v>0</v>
      </c>
    </row>
    <row r="76" spans="1:12">
      <c r="A76" s="7" t="b">
        <f t="shared" si="1"/>
        <v>1</v>
      </c>
      <c r="B76" s="5" t="str">
        <f>+Hoja2!A75</f>
        <v>3.1.05.122</v>
      </c>
      <c r="C76" s="5" t="s">
        <v>155</v>
      </c>
      <c r="D76" s="3" t="s">
        <v>156</v>
      </c>
      <c r="E76" s="6">
        <v>6445321</v>
      </c>
      <c r="F76" s="5">
        <v>0</v>
      </c>
      <c r="G76" s="6">
        <v>6445321</v>
      </c>
      <c r="H76" s="5">
        <v>0</v>
      </c>
      <c r="I76" s="5">
        <v>0</v>
      </c>
      <c r="J76" s="5">
        <v>0</v>
      </c>
      <c r="K76" s="6">
        <v>6445321</v>
      </c>
      <c r="L76" s="5">
        <v>0</v>
      </c>
    </row>
    <row r="77" spans="1:12">
      <c r="A77" s="7" t="b">
        <f t="shared" si="1"/>
        <v>1</v>
      </c>
      <c r="B77" s="5" t="str">
        <f>+Hoja2!A76</f>
        <v>3.1.06.108</v>
      </c>
      <c r="C77" s="5" t="s">
        <v>157</v>
      </c>
      <c r="D77" s="3" t="s">
        <v>158</v>
      </c>
      <c r="E77" s="6">
        <v>3136500</v>
      </c>
      <c r="F77" s="6">
        <v>810000</v>
      </c>
      <c r="G77" s="6">
        <v>2326500</v>
      </c>
      <c r="H77" s="5">
        <v>0</v>
      </c>
      <c r="I77" s="5">
        <v>0</v>
      </c>
      <c r="J77" s="5">
        <v>0</v>
      </c>
      <c r="K77" s="6">
        <v>2326500</v>
      </c>
      <c r="L77" s="5">
        <v>0</v>
      </c>
    </row>
    <row r="78" spans="1:12">
      <c r="A78" s="7" t="b">
        <f t="shared" si="1"/>
        <v>1</v>
      </c>
      <c r="B78" s="5" t="str">
        <f>+Hoja2!A77</f>
        <v>3.1.06.109</v>
      </c>
      <c r="C78" s="5" t="s">
        <v>159</v>
      </c>
      <c r="D78" s="3" t="s">
        <v>160</v>
      </c>
      <c r="E78" s="6">
        <v>3136500</v>
      </c>
      <c r="F78" s="6">
        <v>810000</v>
      </c>
      <c r="G78" s="6">
        <v>2326500</v>
      </c>
      <c r="H78" s="5">
        <v>0</v>
      </c>
      <c r="I78" s="5">
        <v>0</v>
      </c>
      <c r="J78" s="5">
        <v>0</v>
      </c>
      <c r="K78" s="6">
        <v>2326500</v>
      </c>
      <c r="L78" s="5">
        <v>0</v>
      </c>
    </row>
    <row r="79" spans="1:12">
      <c r="A79" s="7" t="b">
        <f t="shared" si="1"/>
        <v>1</v>
      </c>
      <c r="B79" s="5" t="str">
        <f>+Hoja2!A78</f>
        <v>3.1.06.116</v>
      </c>
      <c r="C79" s="5" t="s">
        <v>161</v>
      </c>
      <c r="D79" s="3" t="s">
        <v>162</v>
      </c>
      <c r="E79" s="6">
        <v>257471</v>
      </c>
      <c r="F79" s="5">
        <v>0</v>
      </c>
      <c r="G79" s="6">
        <v>257471</v>
      </c>
      <c r="H79" s="5">
        <v>0</v>
      </c>
      <c r="I79" s="5">
        <v>0</v>
      </c>
      <c r="J79" s="5">
        <v>0</v>
      </c>
      <c r="K79" s="6">
        <v>257471</v>
      </c>
      <c r="L79" s="5">
        <v>0</v>
      </c>
    </row>
    <row r="80" spans="1:12">
      <c r="A80" s="7" t="b">
        <f t="shared" si="1"/>
        <v>1</v>
      </c>
      <c r="B80" s="5" t="str">
        <f>+Hoja2!A79</f>
        <v>3.1.06.201</v>
      </c>
      <c r="C80" s="5" t="s">
        <v>163</v>
      </c>
      <c r="D80" s="3" t="s">
        <v>164</v>
      </c>
      <c r="E80" s="6">
        <v>505000</v>
      </c>
      <c r="F80" s="5">
        <v>0</v>
      </c>
      <c r="G80" s="6">
        <v>505000</v>
      </c>
      <c r="H80" s="5">
        <v>0</v>
      </c>
      <c r="I80" s="5">
        <v>0</v>
      </c>
      <c r="J80" s="5">
        <v>0</v>
      </c>
      <c r="K80" s="6">
        <v>505000</v>
      </c>
      <c r="L80" s="5">
        <v>0</v>
      </c>
    </row>
    <row r="81" spans="1:12">
      <c r="A81" s="7" t="b">
        <f t="shared" si="1"/>
        <v>1</v>
      </c>
      <c r="B81" s="5" t="str">
        <f>+Hoja2!A80</f>
        <v>3.1.06.206</v>
      </c>
      <c r="C81" s="5" t="s">
        <v>165</v>
      </c>
      <c r="D81" s="3" t="s">
        <v>166</v>
      </c>
      <c r="E81" s="6">
        <v>6995194</v>
      </c>
      <c r="F81" s="6">
        <v>3893716</v>
      </c>
      <c r="G81" s="6">
        <v>3101478</v>
      </c>
      <c r="H81" s="5">
        <v>0</v>
      </c>
      <c r="I81" s="5">
        <v>0</v>
      </c>
      <c r="J81" s="5">
        <v>0</v>
      </c>
      <c r="K81" s="6">
        <v>3101478</v>
      </c>
      <c r="L81" s="5">
        <v>0</v>
      </c>
    </row>
    <row r="82" spans="1:12">
      <c r="A82" s="7" t="b">
        <f t="shared" si="1"/>
        <v>1</v>
      </c>
      <c r="B82" s="5" t="str">
        <f>+Hoja2!A81</f>
        <v>3.1.06.209</v>
      </c>
      <c r="C82" s="5" t="s">
        <v>167</v>
      </c>
      <c r="D82" s="3" t="s">
        <v>168</v>
      </c>
      <c r="E82" s="6">
        <v>179571</v>
      </c>
      <c r="F82" s="5">
        <v>0</v>
      </c>
      <c r="G82" s="6">
        <v>179571</v>
      </c>
      <c r="H82" s="5">
        <v>0</v>
      </c>
      <c r="I82" s="5">
        <v>0</v>
      </c>
      <c r="J82" s="5">
        <v>0</v>
      </c>
      <c r="K82" s="6">
        <v>179571</v>
      </c>
      <c r="L82" s="5">
        <v>0</v>
      </c>
    </row>
    <row r="83" spans="1:12">
      <c r="A83" s="7" t="b">
        <f t="shared" si="1"/>
        <v>1</v>
      </c>
      <c r="B83" s="5" t="str">
        <f>+Hoja2!A82</f>
        <v>3.1.06.301</v>
      </c>
      <c r="C83" s="5" t="s">
        <v>169</v>
      </c>
      <c r="D83" s="3" t="s">
        <v>170</v>
      </c>
      <c r="E83" s="6">
        <v>77626062</v>
      </c>
      <c r="F83" s="5">
        <v>0</v>
      </c>
      <c r="G83" s="6">
        <v>77626062</v>
      </c>
      <c r="H83" s="5">
        <v>0</v>
      </c>
      <c r="I83" s="5">
        <v>0</v>
      </c>
      <c r="J83" s="5">
        <v>0</v>
      </c>
      <c r="K83" s="6">
        <v>77626062</v>
      </c>
      <c r="L83" s="5">
        <v>0</v>
      </c>
    </row>
    <row r="84" spans="1:12">
      <c r="A84" s="7" t="b">
        <f t="shared" si="1"/>
        <v>1</v>
      </c>
      <c r="B84" s="5" t="str">
        <f>+Hoja2!A83</f>
        <v>3.1.06.302</v>
      </c>
      <c r="C84" s="5" t="s">
        <v>171</v>
      </c>
      <c r="D84" s="3" t="s">
        <v>172</v>
      </c>
      <c r="E84" s="6">
        <v>3126087</v>
      </c>
      <c r="F84" s="5">
        <v>0</v>
      </c>
      <c r="G84" s="6">
        <v>3126087</v>
      </c>
      <c r="H84" s="5">
        <v>0</v>
      </c>
      <c r="I84" s="5">
        <v>0</v>
      </c>
      <c r="J84" s="5">
        <v>0</v>
      </c>
      <c r="K84" s="6">
        <v>3126087</v>
      </c>
      <c r="L84" s="5">
        <v>0</v>
      </c>
    </row>
    <row r="85" spans="1:12">
      <c r="A85" s="7" t="b">
        <f t="shared" si="1"/>
        <v>1</v>
      </c>
      <c r="B85" s="5" t="str">
        <f>+Hoja2!A84</f>
        <v>3.1.06.305</v>
      </c>
      <c r="C85" s="5" t="s">
        <v>173</v>
      </c>
      <c r="D85" s="3" t="s">
        <v>174</v>
      </c>
      <c r="E85" s="6">
        <v>894169</v>
      </c>
      <c r="F85" s="6">
        <v>263120</v>
      </c>
      <c r="G85" s="6">
        <v>631049</v>
      </c>
      <c r="H85" s="5">
        <v>0</v>
      </c>
      <c r="I85" s="5">
        <v>0</v>
      </c>
      <c r="J85" s="5">
        <v>0</v>
      </c>
      <c r="K85" s="6">
        <v>631049</v>
      </c>
      <c r="L85" s="5">
        <v>0</v>
      </c>
    </row>
    <row r="86" spans="1:12">
      <c r="A86" s="7" t="b">
        <f t="shared" si="1"/>
        <v>1</v>
      </c>
      <c r="B86" s="5" t="str">
        <f>+Hoja2!A85</f>
        <v>3.1.06.401</v>
      </c>
      <c r="C86" s="5" t="s">
        <v>175</v>
      </c>
      <c r="D86" s="3" t="s">
        <v>176</v>
      </c>
      <c r="E86" s="6">
        <v>826138</v>
      </c>
      <c r="F86" s="5">
        <v>0</v>
      </c>
      <c r="G86" s="6">
        <v>826138</v>
      </c>
      <c r="H86" s="5">
        <v>0</v>
      </c>
      <c r="I86" s="5">
        <v>0</v>
      </c>
      <c r="J86" s="5">
        <v>0</v>
      </c>
      <c r="K86" s="6">
        <v>826138</v>
      </c>
      <c r="L86" s="5">
        <v>0</v>
      </c>
    </row>
    <row r="87" spans="1:12">
      <c r="A87" s="7" t="b">
        <f t="shared" si="1"/>
        <v>1</v>
      </c>
      <c r="B87" s="5" t="str">
        <f>+Hoja2!A86</f>
        <v>3.1.06.406</v>
      </c>
      <c r="C87" s="5" t="s">
        <v>177</v>
      </c>
      <c r="D87" s="3" t="s">
        <v>178</v>
      </c>
      <c r="E87" s="6">
        <v>131229</v>
      </c>
      <c r="F87" s="5">
        <v>0</v>
      </c>
      <c r="G87" s="6">
        <v>131229</v>
      </c>
      <c r="H87" s="5">
        <v>0</v>
      </c>
      <c r="I87" s="5">
        <v>0</v>
      </c>
      <c r="J87" s="5">
        <v>0</v>
      </c>
      <c r="K87" s="6">
        <v>131229</v>
      </c>
      <c r="L87" s="5">
        <v>0</v>
      </c>
    </row>
    <row r="88" spans="1:12">
      <c r="A88" s="7" t="b">
        <f t="shared" si="1"/>
        <v>1</v>
      </c>
      <c r="B88" s="5" t="str">
        <f>+Hoja2!A87</f>
        <v>3.1.06.501</v>
      </c>
      <c r="C88" s="5" t="s">
        <v>179</v>
      </c>
      <c r="D88" s="3" t="s">
        <v>180</v>
      </c>
      <c r="E88" s="6">
        <v>839257</v>
      </c>
      <c r="F88" s="5">
        <v>0</v>
      </c>
      <c r="G88" s="6">
        <v>839257</v>
      </c>
      <c r="H88" s="5">
        <v>0</v>
      </c>
      <c r="I88" s="5">
        <v>0</v>
      </c>
      <c r="J88" s="5">
        <v>0</v>
      </c>
      <c r="K88" s="6">
        <v>839257</v>
      </c>
      <c r="L88" s="5">
        <v>0</v>
      </c>
    </row>
    <row r="89" spans="1:12">
      <c r="A89" s="7" t="b">
        <f t="shared" si="1"/>
        <v>1</v>
      </c>
      <c r="B89" s="5" t="str">
        <f>+Hoja2!A88</f>
        <v>3.1.06.504</v>
      </c>
      <c r="C89" s="5" t="s">
        <v>181</v>
      </c>
      <c r="D89" s="3" t="s">
        <v>182</v>
      </c>
      <c r="E89" s="6">
        <v>1065119</v>
      </c>
      <c r="F89" s="5">
        <v>0</v>
      </c>
      <c r="G89" s="6">
        <v>1065119</v>
      </c>
      <c r="H89" s="5">
        <v>0</v>
      </c>
      <c r="I89" s="5">
        <v>0</v>
      </c>
      <c r="J89" s="5">
        <v>0</v>
      </c>
      <c r="K89" s="6">
        <v>1065119</v>
      </c>
      <c r="L89" s="5">
        <v>0</v>
      </c>
    </row>
    <row r="90" spans="1:12">
      <c r="A90" s="7" t="b">
        <f t="shared" si="1"/>
        <v>1</v>
      </c>
      <c r="B90" s="5" t="str">
        <f>+Hoja2!A89</f>
        <v>3.1.06.505</v>
      </c>
      <c r="C90" s="5" t="s">
        <v>183</v>
      </c>
      <c r="D90" s="3" t="s">
        <v>184</v>
      </c>
      <c r="E90" s="6">
        <v>420710</v>
      </c>
      <c r="F90" s="5">
        <v>0</v>
      </c>
      <c r="G90" s="6">
        <v>420710</v>
      </c>
      <c r="H90" s="5">
        <v>0</v>
      </c>
      <c r="I90" s="5">
        <v>0</v>
      </c>
      <c r="J90" s="5">
        <v>0</v>
      </c>
      <c r="K90" s="6">
        <v>420710</v>
      </c>
      <c r="L90" s="5">
        <v>0</v>
      </c>
    </row>
    <row r="91" spans="1:12">
      <c r="A91" s="7" t="b">
        <f t="shared" si="1"/>
        <v>1</v>
      </c>
      <c r="B91" s="5" t="str">
        <f>+Hoja2!A90</f>
        <v>3.1.06.506</v>
      </c>
      <c r="C91" s="5" t="s">
        <v>185</v>
      </c>
      <c r="D91" s="3" t="s">
        <v>186</v>
      </c>
      <c r="E91" s="6">
        <v>663414</v>
      </c>
      <c r="F91" s="5">
        <v>0</v>
      </c>
      <c r="G91" s="6">
        <v>663414</v>
      </c>
      <c r="H91" s="5">
        <v>0</v>
      </c>
      <c r="I91" s="5">
        <v>0</v>
      </c>
      <c r="J91" s="5">
        <v>0</v>
      </c>
      <c r="K91" s="6">
        <v>663414</v>
      </c>
      <c r="L91" s="5">
        <v>0</v>
      </c>
    </row>
    <row r="92" spans="1:12">
      <c r="A92" s="7" t="b">
        <f t="shared" si="1"/>
        <v>1</v>
      </c>
      <c r="B92" s="5" t="str">
        <f>+Hoja2!A91</f>
        <v>3.1.06.507</v>
      </c>
      <c r="C92" s="5" t="s">
        <v>187</v>
      </c>
      <c r="D92" s="3" t="s">
        <v>188</v>
      </c>
      <c r="E92" s="6">
        <v>61186</v>
      </c>
      <c r="F92" s="5">
        <v>0</v>
      </c>
      <c r="G92" s="6">
        <v>61186</v>
      </c>
      <c r="H92" s="5">
        <v>0</v>
      </c>
      <c r="I92" s="5">
        <v>0</v>
      </c>
      <c r="J92" s="5">
        <v>0</v>
      </c>
      <c r="K92" s="6">
        <v>61186</v>
      </c>
      <c r="L92" s="5">
        <v>0</v>
      </c>
    </row>
    <row r="93" spans="1:12">
      <c r="A93" s="7" t="b">
        <f t="shared" si="1"/>
        <v>1</v>
      </c>
      <c r="B93" s="5" t="str">
        <f>+Hoja2!A92</f>
        <v>3.1.06.601</v>
      </c>
      <c r="C93" s="5" t="s">
        <v>189</v>
      </c>
      <c r="D93" s="3" t="s">
        <v>190</v>
      </c>
      <c r="E93" s="6">
        <v>7893808</v>
      </c>
      <c r="F93" s="5">
        <v>0</v>
      </c>
      <c r="G93" s="6">
        <v>7893808</v>
      </c>
      <c r="H93" s="5">
        <v>0</v>
      </c>
      <c r="I93" s="5">
        <v>0</v>
      </c>
      <c r="J93" s="5">
        <v>0</v>
      </c>
      <c r="K93" s="6">
        <v>7893808</v>
      </c>
      <c r="L93" s="5">
        <v>0</v>
      </c>
    </row>
    <row r="94" spans="1:12">
      <c r="A94" s="7" t="b">
        <f t="shared" si="1"/>
        <v>1</v>
      </c>
      <c r="B94" s="5" t="str">
        <f>+Hoja2!A93</f>
        <v>3.1.06.602</v>
      </c>
      <c r="C94" s="5" t="s">
        <v>191</v>
      </c>
      <c r="D94" s="3" t="s">
        <v>192</v>
      </c>
      <c r="E94" s="6">
        <v>642168</v>
      </c>
      <c r="F94" s="5">
        <v>0</v>
      </c>
      <c r="G94" s="6">
        <v>642168</v>
      </c>
      <c r="H94" s="5">
        <v>0</v>
      </c>
      <c r="I94" s="5">
        <v>0</v>
      </c>
      <c r="J94" s="5">
        <v>0</v>
      </c>
      <c r="K94" s="6">
        <v>642168</v>
      </c>
      <c r="L94" s="5">
        <v>0</v>
      </c>
    </row>
    <row r="95" spans="1:12">
      <c r="A95" s="7" t="b">
        <f t="shared" si="1"/>
        <v>1</v>
      </c>
      <c r="B95" s="5" t="str">
        <f>+Hoja2!A94</f>
        <v>3.1.06.803</v>
      </c>
      <c r="C95" s="5" t="s">
        <v>193</v>
      </c>
      <c r="D95" s="3" t="s">
        <v>194</v>
      </c>
      <c r="E95" s="6">
        <v>371590</v>
      </c>
      <c r="F95" s="5">
        <v>0</v>
      </c>
      <c r="G95" s="6">
        <v>371590</v>
      </c>
      <c r="H95" s="5">
        <v>0</v>
      </c>
      <c r="I95" s="5">
        <v>0</v>
      </c>
      <c r="J95" s="5">
        <v>0</v>
      </c>
      <c r="K95" s="6">
        <v>371590</v>
      </c>
      <c r="L95" s="5">
        <v>0</v>
      </c>
    </row>
    <row r="96" spans="1:12">
      <c r="A96" s="7" t="b">
        <f t="shared" si="1"/>
        <v>1</v>
      </c>
      <c r="B96" s="5" t="str">
        <f>+Hoja2!A95</f>
        <v>3.1.06.806</v>
      </c>
      <c r="C96" s="5" t="s">
        <v>195</v>
      </c>
      <c r="D96" s="3" t="s">
        <v>196</v>
      </c>
      <c r="E96" s="6">
        <v>502259</v>
      </c>
      <c r="F96" s="5">
        <v>0</v>
      </c>
      <c r="G96" s="6">
        <v>502259</v>
      </c>
      <c r="H96" s="5">
        <v>0</v>
      </c>
      <c r="I96" s="5">
        <v>0</v>
      </c>
      <c r="J96" s="5">
        <v>0</v>
      </c>
      <c r="K96" s="6">
        <v>502259</v>
      </c>
      <c r="L96" s="5">
        <v>0</v>
      </c>
    </row>
    <row r="97" spans="1:12">
      <c r="A97" s="7" t="b">
        <f t="shared" si="1"/>
        <v>1</v>
      </c>
      <c r="B97" s="5" t="str">
        <f>+Hoja2!A96</f>
        <v>3.1.06.812</v>
      </c>
      <c r="C97" s="5" t="s">
        <v>197</v>
      </c>
      <c r="D97" s="3" t="s">
        <v>198</v>
      </c>
      <c r="E97" s="6">
        <v>2925416</v>
      </c>
      <c r="F97" s="6">
        <v>71660</v>
      </c>
      <c r="G97" s="6">
        <v>2853756</v>
      </c>
      <c r="H97" s="5">
        <v>0</v>
      </c>
      <c r="I97" s="5">
        <v>0</v>
      </c>
      <c r="J97" s="5">
        <v>0</v>
      </c>
      <c r="K97" s="6">
        <v>2853756</v>
      </c>
      <c r="L97" s="5">
        <v>0</v>
      </c>
    </row>
    <row r="98" spans="1:12">
      <c r="A98" s="7" t="b">
        <f t="shared" si="1"/>
        <v>1</v>
      </c>
      <c r="B98" s="5" t="str">
        <f>+Hoja2!A97</f>
        <v>3.1.06.813</v>
      </c>
      <c r="C98" s="5" t="s">
        <v>199</v>
      </c>
      <c r="D98" s="3" t="s">
        <v>200</v>
      </c>
      <c r="E98" s="6">
        <v>597458</v>
      </c>
      <c r="F98" s="5">
        <v>0</v>
      </c>
      <c r="G98" s="6">
        <v>597458</v>
      </c>
      <c r="H98" s="5">
        <v>0</v>
      </c>
      <c r="I98" s="5">
        <v>0</v>
      </c>
      <c r="J98" s="5">
        <v>0</v>
      </c>
      <c r="K98" s="6">
        <v>597458</v>
      </c>
      <c r="L98" s="5">
        <v>0</v>
      </c>
    </row>
    <row r="99" spans="1:12">
      <c r="A99" s="7" t="b">
        <f t="shared" si="1"/>
        <v>1</v>
      </c>
      <c r="B99" s="5" t="str">
        <f>+Hoja2!A98</f>
        <v>3.1.06.817</v>
      </c>
      <c r="C99" s="5" t="s">
        <v>201</v>
      </c>
      <c r="D99" s="3" t="s">
        <v>202</v>
      </c>
      <c r="E99" s="6">
        <v>868786</v>
      </c>
      <c r="F99" s="5">
        <v>0</v>
      </c>
      <c r="G99" s="6">
        <v>868786</v>
      </c>
      <c r="H99" s="5">
        <v>0</v>
      </c>
      <c r="I99" s="5">
        <v>0</v>
      </c>
      <c r="J99" s="5">
        <v>0</v>
      </c>
      <c r="K99" s="6">
        <v>868786</v>
      </c>
      <c r="L99" s="5">
        <v>0</v>
      </c>
    </row>
    <row r="100" spans="1:12">
      <c r="A100" s="7" t="b">
        <f t="shared" si="1"/>
        <v>1</v>
      </c>
      <c r="B100" s="5" t="str">
        <f>+Hoja2!A99</f>
        <v>3.1.06.818</v>
      </c>
      <c r="C100" s="5" t="s">
        <v>203</v>
      </c>
      <c r="D100" s="3" t="s">
        <v>204</v>
      </c>
      <c r="E100" s="6">
        <v>3506825</v>
      </c>
      <c r="F100" s="6">
        <v>357504</v>
      </c>
      <c r="G100" s="6">
        <v>3149321</v>
      </c>
      <c r="H100" s="5">
        <v>0</v>
      </c>
      <c r="I100" s="5">
        <v>0</v>
      </c>
      <c r="J100" s="5">
        <v>0</v>
      </c>
      <c r="K100" s="6">
        <v>3149321</v>
      </c>
      <c r="L100" s="5">
        <v>0</v>
      </c>
    </row>
    <row r="101" spans="1:12">
      <c r="A101" s="7" t="b">
        <f t="shared" si="1"/>
        <v>1</v>
      </c>
      <c r="B101" s="5" t="str">
        <f>+Hoja2!A100</f>
        <v>3.1.06.831</v>
      </c>
      <c r="C101" s="5" t="s">
        <v>205</v>
      </c>
      <c r="D101" s="3" t="s">
        <v>206</v>
      </c>
      <c r="E101" s="6">
        <v>268190</v>
      </c>
      <c r="F101" s="5">
        <v>0</v>
      </c>
      <c r="G101" s="6">
        <v>268190</v>
      </c>
      <c r="H101" s="5">
        <v>0</v>
      </c>
      <c r="I101" s="5">
        <v>0</v>
      </c>
      <c r="J101" s="5">
        <v>0</v>
      </c>
      <c r="K101" s="6">
        <v>268190</v>
      </c>
      <c r="L101" s="5">
        <v>0</v>
      </c>
    </row>
    <row r="102" spans="1:12">
      <c r="A102" s="7" t="b">
        <f t="shared" si="1"/>
        <v>1</v>
      </c>
      <c r="B102" s="5" t="str">
        <f>+Hoja2!A101</f>
        <v>3.1.06.837</v>
      </c>
      <c r="C102" s="5" t="s">
        <v>207</v>
      </c>
      <c r="D102" s="3" t="s">
        <v>208</v>
      </c>
      <c r="E102" s="6">
        <v>2094675</v>
      </c>
      <c r="F102" s="6">
        <v>1506417</v>
      </c>
      <c r="G102" s="6">
        <v>588258</v>
      </c>
      <c r="H102" s="5">
        <v>0</v>
      </c>
      <c r="I102" s="5">
        <v>0</v>
      </c>
      <c r="J102" s="5">
        <v>0</v>
      </c>
      <c r="K102" s="6">
        <v>588258</v>
      </c>
      <c r="L102" s="5">
        <v>0</v>
      </c>
    </row>
    <row r="103" spans="1:12">
      <c r="A103" s="7" t="b">
        <f t="shared" si="1"/>
        <v>1</v>
      </c>
      <c r="B103" s="5" t="str">
        <f>+Hoja2!A102</f>
        <v>3.1.07.822</v>
      </c>
      <c r="C103" s="5" t="s">
        <v>209</v>
      </c>
      <c r="D103" s="3" t="s">
        <v>210</v>
      </c>
      <c r="E103" s="6">
        <v>2114357</v>
      </c>
      <c r="F103" s="6">
        <v>27489</v>
      </c>
      <c r="G103" s="6">
        <v>2086868</v>
      </c>
      <c r="H103" s="5">
        <v>0</v>
      </c>
      <c r="I103" s="5">
        <v>0</v>
      </c>
      <c r="J103" s="5">
        <v>0</v>
      </c>
      <c r="K103" s="6">
        <v>2086868</v>
      </c>
      <c r="L103" s="5">
        <v>0</v>
      </c>
    </row>
    <row r="104" spans="1:12">
      <c r="A104" s="7" t="b">
        <f t="shared" si="1"/>
        <v>1</v>
      </c>
      <c r="B104" s="5" t="str">
        <f>+Hoja2!A103</f>
        <v>3.1.07.833</v>
      </c>
      <c r="C104" s="5" t="s">
        <v>211</v>
      </c>
      <c r="D104" s="3" t="s">
        <v>212</v>
      </c>
      <c r="E104" s="6">
        <v>1894972</v>
      </c>
      <c r="F104" s="6">
        <v>63900</v>
      </c>
      <c r="G104" s="6">
        <v>1831072</v>
      </c>
      <c r="H104" s="5">
        <v>0</v>
      </c>
      <c r="I104" s="5">
        <v>0</v>
      </c>
      <c r="J104" s="5">
        <v>0</v>
      </c>
      <c r="K104" s="6">
        <v>1831072</v>
      </c>
      <c r="L104" s="5">
        <v>0</v>
      </c>
    </row>
    <row r="105" spans="1:12">
      <c r="A105" s="7" t="b">
        <f t="shared" si="1"/>
        <v>1</v>
      </c>
      <c r="B105" s="5" t="str">
        <f>+Hoja2!A104</f>
        <v>3.1.08.701</v>
      </c>
      <c r="C105" s="5" t="s">
        <v>213</v>
      </c>
      <c r="D105" s="3" t="s">
        <v>214</v>
      </c>
      <c r="E105" s="6">
        <v>8846337</v>
      </c>
      <c r="F105" s="5">
        <v>0</v>
      </c>
      <c r="G105" s="6">
        <v>8846337</v>
      </c>
      <c r="H105" s="5">
        <v>0</v>
      </c>
      <c r="I105" s="5">
        <v>0</v>
      </c>
      <c r="J105" s="5">
        <v>0</v>
      </c>
      <c r="K105" s="6">
        <v>8846337</v>
      </c>
      <c r="L105" s="5">
        <v>0</v>
      </c>
    </row>
    <row r="106" spans="1:12">
      <c r="A106" s="7" t="b">
        <f t="shared" si="1"/>
        <v>1</v>
      </c>
      <c r="B106" s="5" t="str">
        <f>+Hoja2!A105</f>
        <v>3.2.08.105</v>
      </c>
      <c r="C106" s="5" t="s">
        <v>215</v>
      </c>
      <c r="D106" s="3" t="s">
        <v>216</v>
      </c>
      <c r="E106" s="6">
        <v>19305</v>
      </c>
      <c r="F106" s="5">
        <v>0</v>
      </c>
      <c r="G106" s="6">
        <v>19305</v>
      </c>
      <c r="H106" s="5">
        <v>0</v>
      </c>
      <c r="I106" s="5">
        <v>0</v>
      </c>
      <c r="J106" s="5">
        <v>0</v>
      </c>
      <c r="K106" s="6">
        <v>19305</v>
      </c>
      <c r="L106" s="5">
        <v>0</v>
      </c>
    </row>
    <row r="107" spans="1:12">
      <c r="A107" s="7" t="b">
        <f t="shared" si="1"/>
        <v>1</v>
      </c>
      <c r="B107" s="5" t="str">
        <f>+Hoja2!A106</f>
        <v>3.2.08.116</v>
      </c>
      <c r="C107" s="5" t="s">
        <v>217</v>
      </c>
      <c r="D107" s="3" t="s">
        <v>218</v>
      </c>
      <c r="E107" s="5">
        <v>0</v>
      </c>
      <c r="F107" s="6">
        <v>5791</v>
      </c>
      <c r="G107" s="5">
        <v>0</v>
      </c>
      <c r="H107" s="6">
        <v>5791</v>
      </c>
      <c r="I107" s="5">
        <v>0</v>
      </c>
      <c r="J107" s="5">
        <v>0</v>
      </c>
      <c r="K107" s="5">
        <v>0</v>
      </c>
      <c r="L107" s="6">
        <v>5791</v>
      </c>
    </row>
    <row r="108" spans="1:12">
      <c r="A108" s="7" t="b">
        <f t="shared" si="1"/>
        <v>1</v>
      </c>
      <c r="B108" s="5" t="str">
        <f>+Hoja2!A107</f>
        <v>3.2.11.158</v>
      </c>
      <c r="C108" s="5" t="s">
        <v>219</v>
      </c>
      <c r="D108" s="3" t="s">
        <v>220</v>
      </c>
      <c r="E108" s="6">
        <v>60116244</v>
      </c>
      <c r="F108" s="6">
        <v>84142138</v>
      </c>
      <c r="G108" s="5">
        <v>0</v>
      </c>
      <c r="H108" s="6">
        <v>24025894</v>
      </c>
      <c r="I108" s="5">
        <v>0</v>
      </c>
      <c r="J108" s="5">
        <v>0</v>
      </c>
      <c r="K108" s="5">
        <v>0</v>
      </c>
      <c r="L108" s="6">
        <v>24025894</v>
      </c>
    </row>
    <row r="109" spans="1:12">
      <c r="A109" s="7" t="b">
        <f t="shared" si="1"/>
        <v>1</v>
      </c>
      <c r="B109" s="5" t="str">
        <f>+Hoja2!A108</f>
        <v>3.2.13.101</v>
      </c>
      <c r="C109" s="5" t="s">
        <v>221</v>
      </c>
      <c r="D109" s="3" t="s">
        <v>222</v>
      </c>
      <c r="E109" s="6">
        <v>1746970</v>
      </c>
      <c r="F109" s="6">
        <v>1123173</v>
      </c>
      <c r="G109" s="6">
        <v>623797</v>
      </c>
      <c r="H109" s="5">
        <v>0</v>
      </c>
      <c r="I109" s="5">
        <v>0</v>
      </c>
      <c r="J109" s="5">
        <v>0</v>
      </c>
      <c r="K109" s="6">
        <v>623797</v>
      </c>
      <c r="L109" s="5">
        <v>0</v>
      </c>
    </row>
    <row r="110" spans="1:12">
      <c r="A110" s="7" t="b">
        <f t="shared" si="1"/>
        <v>1</v>
      </c>
      <c r="B110" s="5" t="str">
        <f>+Hoja2!A109</f>
        <v>3.2.13.109</v>
      </c>
      <c r="C110" s="5" t="s">
        <v>223</v>
      </c>
      <c r="D110" s="3" t="s">
        <v>224</v>
      </c>
      <c r="E110" s="5">
        <v>34</v>
      </c>
      <c r="F110" s="5">
        <v>0</v>
      </c>
      <c r="G110" s="5">
        <v>34</v>
      </c>
      <c r="H110" s="5">
        <v>0</v>
      </c>
      <c r="I110" s="5">
        <v>0</v>
      </c>
      <c r="J110" s="5">
        <v>0</v>
      </c>
      <c r="K110" s="5">
        <v>34</v>
      </c>
      <c r="L110" s="5">
        <v>0</v>
      </c>
    </row>
    <row r="111" spans="1:12">
      <c r="A111" s="3" t="e">
        <v>#N/A</v>
      </c>
      <c r="B111" s="5">
        <f>+Hoja2!A110</f>
        <v>0</v>
      </c>
      <c r="C111" s="5" t="e">
        <v>#N/A</v>
      </c>
      <c r="D111" s="3" t="e">
        <v>#N/A</v>
      </c>
      <c r="E111" s="5" t="e">
        <v>#N/A</v>
      </c>
      <c r="F111" s="5" t="e">
        <v>#N/A</v>
      </c>
      <c r="G111" s="5" t="e">
        <v>#N/A</v>
      </c>
      <c r="H111" s="5" t="e">
        <v>#N/A</v>
      </c>
      <c r="I111" s="5" t="e">
        <v>#N/A</v>
      </c>
      <c r="J111" s="5" t="e">
        <v>#N/A</v>
      </c>
      <c r="K111" s="5" t="e">
        <v>#N/A</v>
      </c>
      <c r="L111" s="5" t="e">
        <v>#N/A</v>
      </c>
    </row>
    <row r="113" spans="2:12">
      <c r="B113" s="5" t="s">
        <v>229</v>
      </c>
      <c r="D113" s="3" t="s">
        <v>230</v>
      </c>
      <c r="E113" s="6">
        <v>13795305274</v>
      </c>
      <c r="F113" s="5">
        <v>0</v>
      </c>
      <c r="G113" s="6">
        <v>7828071201</v>
      </c>
      <c r="H113" s="5">
        <v>0</v>
      </c>
      <c r="I113" s="6">
        <v>7477678859</v>
      </c>
      <c r="J113" s="5">
        <v>0</v>
      </c>
      <c r="K113" s="6">
        <v>350392342</v>
      </c>
      <c r="L113" s="5">
        <v>0</v>
      </c>
    </row>
    <row r="114" spans="2:12">
      <c r="B114" s="5" t="s">
        <v>229</v>
      </c>
      <c r="E114" s="5">
        <v>0</v>
      </c>
      <c r="F114" s="6">
        <v>13795305274</v>
      </c>
      <c r="G114" s="5">
        <v>0</v>
      </c>
      <c r="H114" s="6">
        <v>7828071201</v>
      </c>
      <c r="I114" s="5">
        <v>0</v>
      </c>
      <c r="J114" s="6">
        <v>7553674150</v>
      </c>
      <c r="K114" s="5">
        <v>0</v>
      </c>
      <c r="L114" s="6">
        <v>274397051</v>
      </c>
    </row>
    <row r="116" spans="2:12">
      <c r="B116" s="5" t="s">
        <v>229</v>
      </c>
      <c r="D116" s="3" t="s">
        <v>231</v>
      </c>
      <c r="E116" s="5">
        <v>0</v>
      </c>
      <c r="F116" s="5">
        <v>0</v>
      </c>
      <c r="G116" s="5">
        <v>0</v>
      </c>
      <c r="H116" s="5">
        <v>0</v>
      </c>
      <c r="I116" s="6">
        <v>75995291</v>
      </c>
      <c r="J116" s="5">
        <v>0</v>
      </c>
      <c r="K116" s="5">
        <v>0</v>
      </c>
      <c r="L116" s="5">
        <v>0</v>
      </c>
    </row>
    <row r="117" spans="2:12">
      <c r="B117" s="5" t="s">
        <v>229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6">
        <v>75995291</v>
      </c>
    </row>
    <row r="119" spans="2:12">
      <c r="B119" s="5" t="s">
        <v>229</v>
      </c>
      <c r="D119" s="3" t="s">
        <v>232</v>
      </c>
      <c r="E119" s="6">
        <v>13795305274</v>
      </c>
      <c r="F119" s="5">
        <v>0</v>
      </c>
      <c r="G119" s="6">
        <v>7828071201</v>
      </c>
      <c r="H119" s="5">
        <v>0</v>
      </c>
      <c r="I119" s="6">
        <v>7553674150</v>
      </c>
      <c r="J119" s="5">
        <v>0</v>
      </c>
      <c r="K119" s="6">
        <v>350392342</v>
      </c>
      <c r="L119" s="5">
        <v>0</v>
      </c>
    </row>
    <row r="120" spans="2:12">
      <c r="B120" s="5" t="s">
        <v>229</v>
      </c>
      <c r="E120" s="5">
        <v>0</v>
      </c>
      <c r="F120" s="6">
        <v>13795305274</v>
      </c>
      <c r="G120" s="5">
        <v>0</v>
      </c>
      <c r="H120" s="6">
        <v>7828071201</v>
      </c>
      <c r="I120" s="5">
        <v>0</v>
      </c>
      <c r="J120" s="6">
        <v>7553674150</v>
      </c>
      <c r="K120" s="5">
        <v>0</v>
      </c>
      <c r="L120" s="6">
        <v>350392342</v>
      </c>
    </row>
  </sheetData>
  <sortState xmlns:xlrd2="http://schemas.microsoft.com/office/spreadsheetml/2017/richdata2" ref="A2:L30001">
    <sortCondition ref="C2:C30001"/>
  </sortState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F722D-CC30-4769-A531-FEDC8920CC9B}">
  <dimension ref="A1:A109"/>
  <sheetViews>
    <sheetView topLeftCell="A46" workbookViewId="0">
      <selection activeCell="A64" sqref="A64"/>
    </sheetView>
  </sheetViews>
  <sheetFormatPr baseColWidth="10" defaultRowHeight="14"/>
  <sheetData>
    <row r="1" spans="1:1">
      <c r="A1" s="10" t="s">
        <v>11</v>
      </c>
    </row>
    <row r="2" spans="1:1">
      <c r="A2" s="10" t="s">
        <v>13</v>
      </c>
    </row>
    <row r="3" spans="1:1">
      <c r="A3" s="10" t="s">
        <v>15</v>
      </c>
    </row>
    <row r="4" spans="1:1">
      <c r="A4" s="10" t="s">
        <v>17</v>
      </c>
    </row>
    <row r="5" spans="1:1">
      <c r="A5" s="10" t="s">
        <v>19</v>
      </c>
    </row>
    <row r="6" spans="1:1">
      <c r="A6" s="10" t="s">
        <v>21</v>
      </c>
    </row>
    <row r="7" spans="1:1">
      <c r="A7" s="10" t="s">
        <v>23</v>
      </c>
    </row>
    <row r="8" spans="1:1">
      <c r="A8" s="10" t="s">
        <v>25</v>
      </c>
    </row>
    <row r="9" spans="1:1">
      <c r="A9" s="10" t="s">
        <v>27</v>
      </c>
    </row>
    <row r="10" spans="1:1">
      <c r="A10" s="10" t="s">
        <v>29</v>
      </c>
    </row>
    <row r="11" spans="1:1">
      <c r="A11" s="10" t="s">
        <v>31</v>
      </c>
    </row>
    <row r="12" spans="1:1">
      <c r="A12" s="10" t="s">
        <v>33</v>
      </c>
    </row>
    <row r="13" spans="1:1">
      <c r="A13" s="10" t="s">
        <v>35</v>
      </c>
    </row>
    <row r="14" spans="1:1">
      <c r="A14" s="10" t="s">
        <v>37</v>
      </c>
    </row>
    <row r="15" spans="1:1">
      <c r="A15" s="10" t="s">
        <v>39</v>
      </c>
    </row>
    <row r="16" spans="1:1">
      <c r="A16" s="10" t="s">
        <v>41</v>
      </c>
    </row>
    <row r="17" spans="1:1">
      <c r="A17" s="10" t="s">
        <v>43</v>
      </c>
    </row>
    <row r="18" spans="1:1">
      <c r="A18" s="10" t="s">
        <v>45</v>
      </c>
    </row>
    <row r="19" spans="1:1">
      <c r="A19" s="10" t="s">
        <v>47</v>
      </c>
    </row>
    <row r="20" spans="1:1">
      <c r="A20" s="10" t="s">
        <v>49</v>
      </c>
    </row>
    <row r="21" spans="1:1">
      <c r="A21" s="10" t="s">
        <v>51</v>
      </c>
    </row>
    <row r="22" spans="1:1">
      <c r="A22" s="10" t="s">
        <v>53</v>
      </c>
    </row>
    <row r="23" spans="1:1">
      <c r="A23" s="10" t="s">
        <v>55</v>
      </c>
    </row>
    <row r="24" spans="1:1">
      <c r="A24" s="10" t="s">
        <v>57</v>
      </c>
    </row>
    <row r="25" spans="1:1">
      <c r="A25" s="10" t="s">
        <v>59</v>
      </c>
    </row>
    <row r="26" spans="1:1">
      <c r="A26" s="10" t="s">
        <v>61</v>
      </c>
    </row>
    <row r="27" spans="1:1">
      <c r="A27" s="10" t="s">
        <v>63</v>
      </c>
    </row>
    <row r="28" spans="1:1">
      <c r="A28" s="10" t="s">
        <v>65</v>
      </c>
    </row>
    <row r="29" spans="1:1">
      <c r="A29" s="10" t="s">
        <v>67</v>
      </c>
    </row>
    <row r="30" spans="1:1">
      <c r="A30" s="10" t="s">
        <v>69</v>
      </c>
    </row>
    <row r="31" spans="1:1">
      <c r="A31" s="10" t="s">
        <v>71</v>
      </c>
    </row>
    <row r="32" spans="1:1">
      <c r="A32" s="10" t="s">
        <v>73</v>
      </c>
    </row>
    <row r="33" spans="1:1">
      <c r="A33" s="10" t="s">
        <v>75</v>
      </c>
    </row>
    <row r="34" spans="1:1">
      <c r="A34" s="10" t="s">
        <v>77</v>
      </c>
    </row>
    <row r="35" spans="1:1">
      <c r="A35" s="10" t="s">
        <v>79</v>
      </c>
    </row>
    <row r="36" spans="1:1">
      <c r="A36" s="10" t="s">
        <v>81</v>
      </c>
    </row>
    <row r="37" spans="1:1">
      <c r="A37" s="10" t="s">
        <v>83</v>
      </c>
    </row>
    <row r="38" spans="1:1">
      <c r="A38" s="10" t="s">
        <v>85</v>
      </c>
    </row>
    <row r="39" spans="1:1">
      <c r="A39" s="10" t="s">
        <v>87</v>
      </c>
    </row>
    <row r="40" spans="1:1">
      <c r="A40" s="10" t="s">
        <v>89</v>
      </c>
    </row>
    <row r="41" spans="1:1">
      <c r="A41" s="10" t="s">
        <v>91</v>
      </c>
    </row>
    <row r="42" spans="1:1">
      <c r="A42" s="10" t="s">
        <v>93</v>
      </c>
    </row>
    <row r="43" spans="1:1">
      <c r="A43" s="10" t="s">
        <v>95</v>
      </c>
    </row>
    <row r="44" spans="1:1">
      <c r="A44" s="10" t="s">
        <v>97</v>
      </c>
    </row>
    <row r="45" spans="1:1">
      <c r="A45" s="10" t="s">
        <v>99</v>
      </c>
    </row>
    <row r="46" spans="1:1">
      <c r="A46" s="10" t="s">
        <v>101</v>
      </c>
    </row>
    <row r="47" spans="1:1">
      <c r="A47" s="10" t="s">
        <v>103</v>
      </c>
    </row>
    <row r="48" spans="1:1">
      <c r="A48" s="10" t="s">
        <v>105</v>
      </c>
    </row>
    <row r="49" spans="1:1">
      <c r="A49" s="10" t="s">
        <v>107</v>
      </c>
    </row>
    <row r="50" spans="1:1">
      <c r="A50" s="10" t="s">
        <v>109</v>
      </c>
    </row>
    <row r="51" spans="1:1">
      <c r="A51" s="10" t="s">
        <v>111</v>
      </c>
    </row>
    <row r="52" spans="1:1">
      <c r="A52" s="10" t="s">
        <v>113</v>
      </c>
    </row>
    <row r="53" spans="1:1">
      <c r="A53" s="10" t="s">
        <v>115</v>
      </c>
    </row>
    <row r="54" spans="1:1">
      <c r="A54" s="9" t="s">
        <v>225</v>
      </c>
    </row>
    <row r="55" spans="1:1">
      <c r="A55" s="9" t="s">
        <v>227</v>
      </c>
    </row>
    <row r="56" spans="1:1">
      <c r="A56" s="9" t="s">
        <v>117</v>
      </c>
    </row>
    <row r="57" spans="1:1">
      <c r="A57" s="9" t="s">
        <v>119</v>
      </c>
    </row>
    <row r="58" spans="1:1">
      <c r="A58" s="9" t="s">
        <v>121</v>
      </c>
    </row>
    <row r="59" spans="1:1">
      <c r="A59" s="9" t="s">
        <v>123</v>
      </c>
    </row>
    <row r="60" spans="1:1">
      <c r="A60" s="9" t="s">
        <v>125</v>
      </c>
    </row>
    <row r="61" spans="1:1">
      <c r="A61" s="9" t="s">
        <v>127</v>
      </c>
    </row>
    <row r="62" spans="1:1">
      <c r="A62" s="9" t="s">
        <v>129</v>
      </c>
    </row>
    <row r="63" spans="1:1" s="8" customFormat="1">
      <c r="A63" s="9" t="s">
        <v>131</v>
      </c>
    </row>
    <row r="64" spans="1:1">
      <c r="A64" s="9" t="s">
        <v>133</v>
      </c>
    </row>
    <row r="65" spans="1:1">
      <c r="A65" s="9" t="s">
        <v>135</v>
      </c>
    </row>
    <row r="66" spans="1:1">
      <c r="A66" s="9" t="s">
        <v>137</v>
      </c>
    </row>
    <row r="67" spans="1:1">
      <c r="A67" s="9" t="s">
        <v>139</v>
      </c>
    </row>
    <row r="68" spans="1:1">
      <c r="A68" s="9" t="s">
        <v>141</v>
      </c>
    </row>
    <row r="69" spans="1:1">
      <c r="A69" s="9" t="s">
        <v>143</v>
      </c>
    </row>
    <row r="70" spans="1:1">
      <c r="A70" s="9" t="s">
        <v>145</v>
      </c>
    </row>
    <row r="71" spans="1:1">
      <c r="A71" s="9" t="s">
        <v>147</v>
      </c>
    </row>
    <row r="72" spans="1:1">
      <c r="A72" s="9" t="s">
        <v>149</v>
      </c>
    </row>
    <row r="73" spans="1:1">
      <c r="A73" s="9" t="s">
        <v>151</v>
      </c>
    </row>
    <row r="74" spans="1:1">
      <c r="A74" s="9" t="s">
        <v>153</v>
      </c>
    </row>
    <row r="75" spans="1:1">
      <c r="A75" s="9" t="s">
        <v>155</v>
      </c>
    </row>
    <row r="76" spans="1:1">
      <c r="A76" s="9" t="s">
        <v>157</v>
      </c>
    </row>
    <row r="77" spans="1:1">
      <c r="A77" s="9" t="s">
        <v>159</v>
      </c>
    </row>
    <row r="78" spans="1:1">
      <c r="A78" s="11" t="s">
        <v>161</v>
      </c>
    </row>
    <row r="79" spans="1:1">
      <c r="A79" s="9" t="s">
        <v>163</v>
      </c>
    </row>
    <row r="80" spans="1:1">
      <c r="A80" s="9" t="s">
        <v>165</v>
      </c>
    </row>
    <row r="81" spans="1:1">
      <c r="A81" s="9" t="s">
        <v>167</v>
      </c>
    </row>
    <row r="82" spans="1:1">
      <c r="A82" s="9" t="s">
        <v>169</v>
      </c>
    </row>
    <row r="83" spans="1:1">
      <c r="A83" s="9" t="s">
        <v>171</v>
      </c>
    </row>
    <row r="84" spans="1:1">
      <c r="A84" s="9" t="s">
        <v>173</v>
      </c>
    </row>
    <row r="85" spans="1:1">
      <c r="A85" s="9" t="s">
        <v>175</v>
      </c>
    </row>
    <row r="86" spans="1:1">
      <c r="A86" s="9" t="s">
        <v>177</v>
      </c>
    </row>
    <row r="87" spans="1:1">
      <c r="A87" s="9" t="s">
        <v>179</v>
      </c>
    </row>
    <row r="88" spans="1:1">
      <c r="A88" s="9" t="s">
        <v>181</v>
      </c>
    </row>
    <row r="89" spans="1:1">
      <c r="A89" s="9" t="s">
        <v>183</v>
      </c>
    </row>
    <row r="90" spans="1:1">
      <c r="A90" s="9" t="s">
        <v>185</v>
      </c>
    </row>
    <row r="91" spans="1:1">
      <c r="A91" s="9" t="s">
        <v>187</v>
      </c>
    </row>
    <row r="92" spans="1:1">
      <c r="A92" s="9" t="s">
        <v>189</v>
      </c>
    </row>
    <row r="93" spans="1:1">
      <c r="A93" s="9" t="s">
        <v>191</v>
      </c>
    </row>
    <row r="94" spans="1:1">
      <c r="A94" s="9" t="s">
        <v>193</v>
      </c>
    </row>
    <row r="95" spans="1:1">
      <c r="A95" s="9" t="s">
        <v>195</v>
      </c>
    </row>
    <row r="96" spans="1:1">
      <c r="A96" s="9" t="s">
        <v>197</v>
      </c>
    </row>
    <row r="97" spans="1:1">
      <c r="A97" s="9" t="s">
        <v>199</v>
      </c>
    </row>
    <row r="98" spans="1:1">
      <c r="A98" s="9" t="s">
        <v>201</v>
      </c>
    </row>
    <row r="99" spans="1:1">
      <c r="A99" s="9" t="s">
        <v>203</v>
      </c>
    </row>
    <row r="100" spans="1:1">
      <c r="A100" s="9" t="s">
        <v>205</v>
      </c>
    </row>
    <row r="101" spans="1:1">
      <c r="A101" s="9" t="s">
        <v>207</v>
      </c>
    </row>
    <row r="102" spans="1:1">
      <c r="A102" s="9" t="s">
        <v>209</v>
      </c>
    </row>
    <row r="103" spans="1:1">
      <c r="A103" s="11" t="s">
        <v>211</v>
      </c>
    </row>
    <row r="104" spans="1:1">
      <c r="A104" s="9" t="s">
        <v>213</v>
      </c>
    </row>
    <row r="105" spans="1:1">
      <c r="A105" s="9" t="s">
        <v>215</v>
      </c>
    </row>
    <row r="106" spans="1:1">
      <c r="A106" s="9" t="s">
        <v>217</v>
      </c>
    </row>
    <row r="107" spans="1:1">
      <c r="A107" s="9" t="s">
        <v>219</v>
      </c>
    </row>
    <row r="108" spans="1:1">
      <c r="A108" s="9" t="s">
        <v>221</v>
      </c>
    </row>
    <row r="109" spans="1:1">
      <c r="A109" s="9" t="s">
        <v>223</v>
      </c>
    </row>
  </sheetData>
  <hyperlinks>
    <hyperlink ref="A1" location="'Cajas y Bancos'!A1" display="1.1.01.101" xr:uid="{C0B6F68F-B002-48BC-B45E-2A297545D49F}"/>
    <hyperlink ref="A2" location="'Cajas y Bancos'!A1" display="1.1.01.203" xr:uid="{27DEC780-332B-4CC8-85CE-C0D9427C3D7D}"/>
    <hyperlink ref="A3" location="'Cajas y Bancos'!A1" display="1.1.01.204" xr:uid="{FAF47476-B0E8-46CC-A5EE-595FCA4E8714}"/>
    <hyperlink ref="A4" location="'Cajas y Bancos'!A1" display="1.1.01.205" xr:uid="{E8C2DD7D-D27F-4788-B755-8A2531333115}"/>
    <hyperlink ref="A5" location="'Cajas y Bancos'!A1" display="1.1.01.206" xr:uid="{EF25AA04-869F-4EFE-B64C-2CDD5E3AAA62}"/>
    <hyperlink ref="A6" location="'Cajas y Bancos'!A1" display="1.1.01.207" xr:uid="{EE6502A2-430E-4329-9CA0-747FF7F01F17}"/>
    <hyperlink ref="A7" location="'Cajas y Bancos'!A1" display="1.1.01.208" xr:uid="{1CCB1843-A079-4B3F-964E-CF5CB13E314C}"/>
    <hyperlink ref="A11" location="'Cajas y Bancos'!A1" display="1.1.01.209" xr:uid="{9E318BE0-0210-4D2A-9E2B-9F0CA9EC9432}"/>
    <hyperlink ref="A12" location="'Cajas y Bancos'!A1" display="1.1.01.301" xr:uid="{257EF075-AE42-427A-9535-194983F3DB20}"/>
    <hyperlink ref="A13" location="'Cajas y Bancos'!A1" display="1.1.01.302" xr:uid="{1D1A5CD1-29C2-43C5-9A21-835E6ECF3FE5}"/>
    <hyperlink ref="A14" location="'Cajas y Bancos'!A1" display="1.1.02.106" xr:uid="{807DA19E-72F5-4DFD-A863-B0CBC011CA5A}"/>
    <hyperlink ref="A15" location="'Derechos de arrendamiento'!A1" display="1.1.03.201" xr:uid="{070AAADB-962C-4B87-A28C-52134DE116E9}"/>
    <hyperlink ref="A16" location="Clientes!A1" display="1.1.04.102" xr:uid="{D7C021CF-F698-45EC-9E8B-A1C45870C7FE}"/>
    <hyperlink ref="A17" location="'Pagos Anticipados'!A1" display="1.1.04.104" xr:uid="{FB2146CA-A3C3-43A5-A4D8-978A0FFE1C80}"/>
    <hyperlink ref="A18" location="'Deudores Diversos'!A1" display="1.1.04.105" xr:uid="{A2450BB9-CEE6-419E-AD29-F7727082159C}"/>
    <hyperlink ref="A19" location="'Deudores Diversos'!A1" display="1.1.04.106" xr:uid="{4973DE54-ED15-4DF3-85C8-FEA74004D421}"/>
    <hyperlink ref="A21" location="'Deudores Diversos'!A1" display="1.1.04.109" xr:uid="{93664D92-AA52-4568-B662-2B7E4A98314D}"/>
    <hyperlink ref="A24" location="'Deudores Diversos'!A1" display="1.1.04.200" xr:uid="{FF1C5F76-0819-4ADA-9AE5-72B72AA2CE70}"/>
    <hyperlink ref="A25" location="'Pagos Anticipados'!A1" display="1.1.05.403" xr:uid="{B38C1C75-DE03-4215-BAB1-431A07261B70}"/>
    <hyperlink ref="A26" location="'Pagos Anticipados'!A1" display="1.1.05.405" xr:uid="{66991AAB-ECE6-4F49-AC50-8FCD575FFA35}"/>
    <hyperlink ref="A27" location="Inventarios!A1" display="1.1.06.401" xr:uid="{F4EABD4C-5248-40B7-9F30-D2412EF6B454}"/>
    <hyperlink ref="A28" location="Inventarios!A1" display="1.1.06.801" xr:uid="{E7BDA6CA-79FD-4FF5-A6F9-B4B5DC506797}"/>
    <hyperlink ref="A29" location="Inventarios!A1" display="1.1.06.802" xr:uid="{B013E647-942E-435A-B91E-BAA86E876FA6}"/>
    <hyperlink ref="A30" location="'Impuestos a favor'!A1" display="1.1.09.101" xr:uid="{8FB9B359-1ABC-4E50-94DC-8B86DE4F4C64}"/>
    <hyperlink ref="A31" location="'Impuestos a favor'!A1" display="1.1.09.103" xr:uid="{CB4D1D73-B128-4215-99E6-F4FE5C1B9C06}"/>
    <hyperlink ref="A32" location="'Derechos de arrendamiento'!A1" display="1.2.02.101" xr:uid="{32F22431-919A-458D-A9FB-C10A1AB8F06A}"/>
    <hyperlink ref="A33" location="'Activo fijo'!A1" display="1.2.02.401" xr:uid="{94E4FDCD-6B55-47B4-B898-8406EAE4D351}"/>
    <hyperlink ref="A34" location="'Activo fijo'!A1" display="1.2.02.402" xr:uid="{87BD121C-2DBB-4512-B735-634B540B28F7}"/>
    <hyperlink ref="A36" location="'Activo fijo'!A1" display="1.2.02.904" xr:uid="{D2D827E8-F6DA-4628-93D4-6A91C06B6790}"/>
    <hyperlink ref="A37" location="'Activo fijo'!A1" display="1.2.02.905" xr:uid="{AEF767D2-87BE-47E4-B021-3D3C11B71A70}"/>
    <hyperlink ref="A38" location="'Acreedores diversos (prestamo)'!A1" display="2.1.01.203" xr:uid="{4697E371-DB05-4B70-8FC7-56CF59B950E5}"/>
    <hyperlink ref="A40" location="'Acreedores Diversos'!A1" display="2.1.01.601" xr:uid="{AD67180F-71D2-4FF8-BED7-85C1D43333AF}"/>
    <hyperlink ref="A41" location="'Cuentas por pagar EERR'!A1" display="2.1.02.102" xr:uid="{478350FE-4E50-47C4-B655-78012B7902F9}"/>
    <hyperlink ref="A42" location="Proveedores!A1" display="2.1.02.103" xr:uid="{59590D6E-7541-4BEC-8449-A887068F5476}"/>
    <hyperlink ref="A43" location="Proveedores!A1" display="2.1.02.401" xr:uid="{E8D48828-7756-4734-94A6-5EFB38280877}"/>
    <hyperlink ref="A44" location="'Impuestos nómina'!A1" display="2.1.02.503" xr:uid="{27E59FFE-360D-49AE-9722-125C91A811E2}"/>
    <hyperlink ref="A45" location="Proveedores!A1" display="2.1.02.604" xr:uid="{6595DE74-2FA1-4E38-AAB9-DFDB97B18F60}"/>
    <hyperlink ref="A46" location="'Otros Pasivos'!A1" display="2.1.02.605" xr:uid="{28F2AC0F-CB87-4D20-A9E1-C8F3C28D5548}"/>
    <hyperlink ref="A47" location="'IVA por pagar del mes'!A1" display="2.1.05.101" xr:uid="{2C583B59-888B-4004-9E28-C443AC4D2450}"/>
    <hyperlink ref="A48" location="'IVA por pagar del mes'!A1" display="2.1.05.102" xr:uid="{2808734C-ABB9-4237-B6FC-5A260178BB7E}"/>
    <hyperlink ref="A49" location="'IVA por pagar del mes'!A1" display="2.1.05.103" xr:uid="{59626565-7A76-4BC9-987B-98825C79DFE2}"/>
    <hyperlink ref="A50" location="'IVA por pagar del mes'!A1" display="2.1.05.106" xr:uid="{474CD37F-F375-4C1C-9C5C-34FADE35266A}"/>
    <hyperlink ref="A51" location="'Otros Pasivos'!A1" display="2.1.06.103" xr:uid="{1D6AD34A-F4DC-4EBD-AE2F-7AB7A92967B6}"/>
    <hyperlink ref="A52" location="Patrimonio!A1" display="2.3.01.101" xr:uid="{D1EFE023-3721-4A94-8659-942F5C7B1982}"/>
    <hyperlink ref="A53" location="Patrimonio!A1" display="2.3.02.101" xr:uid="{EB6F99FE-3271-4A11-9579-A00428FAF5DE}"/>
    <hyperlink ref="A8" location="'Cajas y Bancos'!A1" display="1.1.01.209" xr:uid="{9D4C46F0-FA40-47A5-90C6-C8CA4A1D65D3}"/>
    <hyperlink ref="A9" location="'Cajas y Bancos'!A1" display="1.1.01.209" xr:uid="{BC669CA4-8D3B-4C1D-8330-DCA9EF392D06}"/>
    <hyperlink ref="A35" location="'Activo fijo'!A1" display="1.2.02.404" xr:uid="{89D114AC-90CC-4F20-88DC-A7A8D7D2B307}"/>
    <hyperlink ref="A10" location="'Cajas y Bancos'!A1" display="1.1.01.209" xr:uid="{26ADDEC5-FBE1-4861-B7D3-20456E93DE5E}"/>
    <hyperlink ref="A39" location="'Acreedores Diversos'!A1" display="2.1.01.601" xr:uid="{BCFEEA75-D0DE-4D8E-B2B4-A5FBAF205F2C}"/>
  </hyperlinks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7A701-5EBC-45AB-8F2F-6D7DEBAD0C34}">
  <dimension ref="A1"/>
  <sheetViews>
    <sheetView workbookViewId="0"/>
  </sheetViews>
  <sheetFormatPr baseColWidth="10" defaultRowHeight="14"/>
  <sheetData/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CEB6241-B3A2-4ABE-99DD-26840B0EA51D}"/>
</file>

<file path=customXml/itemProps2.xml><?xml version="1.0" encoding="utf-8"?>
<ds:datastoreItem xmlns:ds="http://schemas.openxmlformats.org/officeDocument/2006/customXml" ds:itemID="{FEBE4CE6-F0C4-4E00-9C75-3B1B3606005D}"/>
</file>

<file path=customXml/itemProps3.xml><?xml version="1.0" encoding="utf-8"?>
<ds:datastoreItem xmlns:ds="http://schemas.openxmlformats.org/officeDocument/2006/customXml" ds:itemID="{C12D55AF-A265-46C2-BA08-E82630192DA7}"/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Cabrera</dc:creator>
  <cp:lastModifiedBy>Carolina Cabrera</cp:lastModifiedBy>
  <dcterms:created xsi:type="dcterms:W3CDTF">2026-02-17T02:13:35Z</dcterms:created>
  <dcterms:modified xsi:type="dcterms:W3CDTF">2026-02-17T02:33:24Z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</Properties>
</file>