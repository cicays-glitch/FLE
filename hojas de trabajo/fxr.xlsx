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hojas de trabajo/"/>
    </mc:Choice>
  </mc:AlternateContent>
  <xr:revisionPtr revIDLastSave="0" documentId="8_{9B95FE37-BEF5-4300-9D3F-3D8925A4CCB7}" xr6:coauthVersionLast="47" xr6:coauthVersionMax="47" xr10:uidLastSave="{00000000-0000-0000-0000-000000000000}"/>
  <bookViews>
    <workbookView xWindow="20525" yWindow="118" windowWidth="18419" windowHeight="6738" xr2:uid="{8122E9CC-B8B5-4390-9B6A-5067C9DED46E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 s="1"/>
  <c r="J4" i="1" s="1"/>
  <c r="J5" i="1" s="1"/>
</calcChain>
</file>

<file path=xl/sharedStrings.xml><?xml version="1.0" encoding="utf-8"?>
<sst xmlns="http://schemas.openxmlformats.org/spreadsheetml/2006/main" count="73" uniqueCount="44">
  <si>
    <t>DIA</t>
  </si>
  <si>
    <t>TIPO</t>
  </si>
  <si>
    <t>COMPROBANTE</t>
  </si>
  <si>
    <t>IMPUTACION</t>
  </si>
  <si>
    <t>CENTRO COSTO</t>
  </si>
  <si>
    <t>GLOSA</t>
  </si>
  <si>
    <t>REFERENCIA</t>
  </si>
  <si>
    <t>DEBITOS</t>
  </si>
  <si>
    <t>CREDITOS</t>
  </si>
  <si>
    <t>PERIODO</t>
  </si>
  <si>
    <t>AP -APERTURA</t>
  </si>
  <si>
    <t>APERTURA 2026</t>
  </si>
  <si>
    <t>EG -EGRESO</t>
  </si>
  <si>
    <t>17.904.701-2</t>
  </si>
  <si>
    <t>CANAL DIGITAL</t>
  </si>
  <si>
    <t>16.089.318-4</t>
  </si>
  <si>
    <t>FONDO A RENDIR DIC2025 (</t>
  </si>
  <si>
    <t>16.783.966-5</t>
  </si>
  <si>
    <t>GASTOS MENORES CEDIS DIC2</t>
  </si>
  <si>
    <t>18.598.555-5</t>
  </si>
  <si>
    <t>1ER PAGO X CTA CTE NUEVA</t>
  </si>
  <si>
    <t>12.242.596-7</t>
  </si>
  <si>
    <t>GASTOS CIERRE BARROS $594</t>
  </si>
  <si>
    <t>REESTRUCTURACION FLEXI CH</t>
  </si>
  <si>
    <t>DESCONEXION RED DE INCEND</t>
  </si>
  <si>
    <t>15.589.025-8</t>
  </si>
  <si>
    <t>PAGO PATENTE PLAZA OESTE</t>
  </si>
  <si>
    <t>20.001.410-3</t>
  </si>
  <si>
    <t>PAGO PATENTE PLAZA NORTE</t>
  </si>
  <si>
    <t>IN -INGRESO</t>
  </si>
  <si>
    <t>0122425967 TRANSF. RAUL A</t>
  </si>
  <si>
    <t>0160893184 TRANSF. MARCHA</t>
  </si>
  <si>
    <t>16.416.369-5</t>
  </si>
  <si>
    <t>0164163695 TRANSF DE MAXI</t>
  </si>
  <si>
    <t>TR -TRASPASO</t>
  </si>
  <si>
    <t>PAGO FACTURA</t>
  </si>
  <si>
    <t>FXR CEDIS ENE26</t>
  </si>
  <si>
    <t>16.056.646-9</t>
  </si>
  <si>
    <t>FXR ANDREA ENE26</t>
  </si>
  <si>
    <t>FXR VISUAL (1)ENE26</t>
  </si>
  <si>
    <t>97.036.000-k</t>
  </si>
  <si>
    <t>FXR VISUAL ENE26</t>
  </si>
  <si>
    <t>FXR RAUL ENE26</t>
  </si>
  <si>
    <t>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</si>
</sst>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53E1-1466-469B-A9DB-1B3691F239FA}">
  <dimension ref="A1:J32"/>
  <sheetViews>
    <sheetView tabSelected="1" topLeftCell="A26" workbookViewId="0">
      <selection activeCell="F35" sqref="F35"/>
    </sheetView>
  </sheetViews>
  <sheetFormatPr baseColWidth="10" defaultRowHeight="14" x14ac:dyDescent="0.3"/>
  <cols>
    <col min="6" max="6" width="27.09765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16</v>
      </c>
      <c r="B2" t="s">
        <v>12</v>
      </c>
      <c r="C2">
        <v>92</v>
      </c>
      <c r="D2" t="s">
        <v>21</v>
      </c>
      <c r="E2">
        <v>0</v>
      </c>
      <c r="F2" t="s">
        <v>22</v>
      </c>
      <c r="G2">
        <v>1</v>
      </c>
      <c r="H2" s="2">
        <v>879186</v>
      </c>
      <c r="I2">
        <v>0</v>
      </c>
      <c r="J2" s="2">
        <f>+H2</f>
        <v>879186</v>
      </c>
    </row>
    <row r="3" spans="1:10" x14ac:dyDescent="0.3">
      <c r="A3">
        <v>21</v>
      </c>
      <c r="B3" t="s">
        <v>12</v>
      </c>
      <c r="C3">
        <v>102</v>
      </c>
      <c r="D3" t="s">
        <v>21</v>
      </c>
      <c r="E3">
        <v>0</v>
      </c>
      <c r="F3" t="s">
        <v>24</v>
      </c>
      <c r="G3">
        <v>1</v>
      </c>
      <c r="H3" s="2">
        <v>141858</v>
      </c>
      <c r="I3">
        <v>0</v>
      </c>
      <c r="J3" s="2">
        <f>J2+H3-I3</f>
        <v>1021044</v>
      </c>
    </row>
    <row r="4" spans="1:10" x14ac:dyDescent="0.3">
      <c r="A4">
        <v>31</v>
      </c>
      <c r="B4" t="s">
        <v>29</v>
      </c>
      <c r="C4">
        <v>3</v>
      </c>
      <c r="D4" t="s">
        <v>21</v>
      </c>
      <c r="E4">
        <v>0</v>
      </c>
      <c r="F4" t="s">
        <v>30</v>
      </c>
      <c r="G4">
        <v>20260131</v>
      </c>
      <c r="H4">
        <v>0</v>
      </c>
      <c r="I4" s="2">
        <v>10400</v>
      </c>
      <c r="J4" s="2">
        <f t="shared" ref="J4:J5" si="0">J3+H4-I4</f>
        <v>1010644</v>
      </c>
    </row>
    <row r="5" spans="1:10" x14ac:dyDescent="0.3">
      <c r="A5">
        <v>31</v>
      </c>
      <c r="B5" t="s">
        <v>34</v>
      </c>
      <c r="C5">
        <v>782</v>
      </c>
      <c r="D5" t="s">
        <v>21</v>
      </c>
      <c r="E5">
        <v>0</v>
      </c>
      <c r="F5" t="s">
        <v>42</v>
      </c>
      <c r="G5">
        <v>1</v>
      </c>
      <c r="H5">
        <v>0</v>
      </c>
      <c r="I5" s="2">
        <v>868786</v>
      </c>
      <c r="J5" s="2">
        <f t="shared" si="0"/>
        <v>141858</v>
      </c>
    </row>
    <row r="6" spans="1:10" x14ac:dyDescent="0.3">
      <c r="I6" s="2"/>
    </row>
    <row r="7" spans="1:10" x14ac:dyDescent="0.3">
      <c r="A7">
        <v>28</v>
      </c>
      <c r="B7" t="s">
        <v>12</v>
      </c>
      <c r="C7">
        <v>151</v>
      </c>
      <c r="D7" t="s">
        <v>25</v>
      </c>
      <c r="E7">
        <v>0</v>
      </c>
      <c r="F7" t="s">
        <v>26</v>
      </c>
      <c r="G7">
        <v>12026</v>
      </c>
      <c r="H7" s="2">
        <v>317879</v>
      </c>
      <c r="I7">
        <v>0</v>
      </c>
      <c r="J7">
        <v>202601</v>
      </c>
    </row>
    <row r="8" spans="1:10" x14ac:dyDescent="0.3">
      <c r="A8">
        <v>31</v>
      </c>
      <c r="B8" t="s">
        <v>34</v>
      </c>
      <c r="C8">
        <v>784</v>
      </c>
      <c r="D8" t="s">
        <v>25</v>
      </c>
      <c r="E8">
        <v>0</v>
      </c>
      <c r="F8" t="s">
        <v>26</v>
      </c>
      <c r="G8">
        <v>12026</v>
      </c>
      <c r="H8">
        <v>0</v>
      </c>
      <c r="I8" s="2">
        <v>317879</v>
      </c>
      <c r="J8">
        <v>202601</v>
      </c>
    </row>
    <row r="9" spans="1:10" x14ac:dyDescent="0.3">
      <c r="I9" s="2"/>
    </row>
    <row r="10" spans="1:10" x14ac:dyDescent="0.3">
      <c r="A10">
        <v>31</v>
      </c>
      <c r="B10" t="s">
        <v>34</v>
      </c>
      <c r="C10">
        <v>779</v>
      </c>
      <c r="D10" t="s">
        <v>37</v>
      </c>
      <c r="E10">
        <v>0</v>
      </c>
      <c r="F10" t="s">
        <v>38</v>
      </c>
      <c r="G10">
        <v>1</v>
      </c>
      <c r="H10">
        <v>0</v>
      </c>
      <c r="I10" s="2">
        <v>5938</v>
      </c>
      <c r="J10">
        <v>202601</v>
      </c>
    </row>
    <row r="11" spans="1:10" x14ac:dyDescent="0.3">
      <c r="I11" s="2"/>
    </row>
    <row r="12" spans="1:10" x14ac:dyDescent="0.3">
      <c r="A12">
        <v>9</v>
      </c>
      <c r="B12" t="s">
        <v>12</v>
      </c>
      <c r="C12">
        <v>70</v>
      </c>
      <c r="D12" t="s">
        <v>15</v>
      </c>
      <c r="E12">
        <v>0</v>
      </c>
      <c r="F12" t="s">
        <v>16</v>
      </c>
      <c r="G12">
        <v>1</v>
      </c>
      <c r="H12" s="2">
        <v>41000</v>
      </c>
      <c r="I12">
        <v>0</v>
      </c>
      <c r="J12">
        <v>202601</v>
      </c>
    </row>
    <row r="13" spans="1:10" x14ac:dyDescent="0.3">
      <c r="A13">
        <v>31</v>
      </c>
      <c r="B13" t="s">
        <v>29</v>
      </c>
      <c r="C13">
        <v>3</v>
      </c>
      <c r="D13" t="s">
        <v>15</v>
      </c>
      <c r="E13">
        <v>0</v>
      </c>
      <c r="F13" t="s">
        <v>31</v>
      </c>
      <c r="G13">
        <v>20260131</v>
      </c>
      <c r="H13">
        <v>0</v>
      </c>
      <c r="I13">
        <v>297</v>
      </c>
      <c r="J13">
        <v>202601</v>
      </c>
    </row>
    <row r="14" spans="1:10" x14ac:dyDescent="0.3">
      <c r="A14">
        <v>31</v>
      </c>
      <c r="B14" t="s">
        <v>34</v>
      </c>
      <c r="C14">
        <v>780</v>
      </c>
      <c r="D14" t="s">
        <v>15</v>
      </c>
      <c r="E14">
        <v>0</v>
      </c>
      <c r="F14" t="s">
        <v>39</v>
      </c>
      <c r="G14">
        <v>1</v>
      </c>
      <c r="H14">
        <v>0</v>
      </c>
      <c r="I14" s="2">
        <v>199703</v>
      </c>
      <c r="J14">
        <v>202601</v>
      </c>
    </row>
    <row r="15" spans="1:10" x14ac:dyDescent="0.3">
      <c r="I15" s="2"/>
    </row>
    <row r="16" spans="1:10" x14ac:dyDescent="0.3">
      <c r="A16">
        <v>31</v>
      </c>
      <c r="B16" t="s">
        <v>29</v>
      </c>
      <c r="C16">
        <v>3</v>
      </c>
      <c r="D16" t="s">
        <v>32</v>
      </c>
      <c r="E16">
        <v>0</v>
      </c>
      <c r="F16" t="s">
        <v>33</v>
      </c>
      <c r="G16">
        <v>20260131</v>
      </c>
      <c r="H16">
        <v>0</v>
      </c>
      <c r="I16" s="2">
        <v>23820</v>
      </c>
      <c r="J16">
        <v>202601</v>
      </c>
    </row>
    <row r="17" spans="1:10" x14ac:dyDescent="0.3">
      <c r="I17" s="2"/>
    </row>
    <row r="18" spans="1:10" x14ac:dyDescent="0.3">
      <c r="A18">
        <v>14</v>
      </c>
      <c r="B18" t="s">
        <v>12</v>
      </c>
      <c r="C18">
        <v>85</v>
      </c>
      <c r="D18" t="s">
        <v>17</v>
      </c>
      <c r="E18">
        <v>0</v>
      </c>
      <c r="F18" t="s">
        <v>18</v>
      </c>
      <c r="G18">
        <v>1</v>
      </c>
      <c r="H18" s="2">
        <v>282659</v>
      </c>
      <c r="I18">
        <v>0</v>
      </c>
      <c r="J18">
        <v>202601</v>
      </c>
    </row>
    <row r="19" spans="1:10" x14ac:dyDescent="0.3">
      <c r="A19">
        <v>31</v>
      </c>
      <c r="B19" t="s">
        <v>34</v>
      </c>
      <c r="C19">
        <v>776</v>
      </c>
      <c r="D19" t="s">
        <v>17</v>
      </c>
      <c r="E19">
        <v>0</v>
      </c>
      <c r="F19" t="s">
        <v>35</v>
      </c>
      <c r="G19">
        <v>40065</v>
      </c>
      <c r="H19">
        <v>0</v>
      </c>
      <c r="I19" s="2">
        <v>56912</v>
      </c>
      <c r="J19">
        <v>202601</v>
      </c>
    </row>
    <row r="20" spans="1:10" x14ac:dyDescent="0.3">
      <c r="A20">
        <v>31</v>
      </c>
      <c r="B20" t="s">
        <v>34</v>
      </c>
      <c r="C20">
        <v>777</v>
      </c>
      <c r="D20" t="s">
        <v>17</v>
      </c>
      <c r="E20">
        <v>0</v>
      </c>
      <c r="F20" t="s">
        <v>36</v>
      </c>
      <c r="G20">
        <v>1</v>
      </c>
      <c r="H20">
        <v>0</v>
      </c>
      <c r="I20" s="2">
        <v>119468</v>
      </c>
      <c r="J20">
        <v>202601</v>
      </c>
    </row>
    <row r="21" spans="1:10" x14ac:dyDescent="0.3">
      <c r="I21" s="2"/>
    </row>
    <row r="22" spans="1:10" x14ac:dyDescent="0.3">
      <c r="A22">
        <v>9</v>
      </c>
      <c r="B22" t="s">
        <v>12</v>
      </c>
      <c r="C22">
        <v>43</v>
      </c>
      <c r="D22" t="s">
        <v>13</v>
      </c>
      <c r="E22">
        <v>0</v>
      </c>
      <c r="F22" t="s">
        <v>14</v>
      </c>
      <c r="G22">
        <v>1</v>
      </c>
      <c r="H22" s="2">
        <v>5938</v>
      </c>
      <c r="I22">
        <v>0</v>
      </c>
      <c r="J22">
        <v>202601</v>
      </c>
    </row>
    <row r="23" spans="1:10" x14ac:dyDescent="0.3">
      <c r="H23" s="2"/>
    </row>
    <row r="24" spans="1:10" x14ac:dyDescent="0.3">
      <c r="A24">
        <v>14</v>
      </c>
      <c r="B24" t="s">
        <v>12</v>
      </c>
      <c r="C24">
        <v>143</v>
      </c>
      <c r="D24" t="s">
        <v>19</v>
      </c>
      <c r="E24">
        <v>0</v>
      </c>
      <c r="F24" t="s">
        <v>20</v>
      </c>
      <c r="G24">
        <v>1</v>
      </c>
      <c r="H24" s="2">
        <v>1000000</v>
      </c>
      <c r="I24">
        <v>0</v>
      </c>
      <c r="J24">
        <v>202601</v>
      </c>
    </row>
    <row r="25" spans="1:10" x14ac:dyDescent="0.3">
      <c r="A25">
        <v>16</v>
      </c>
      <c r="B25" t="s">
        <v>12</v>
      </c>
      <c r="C25">
        <v>144</v>
      </c>
      <c r="D25" t="s">
        <v>19</v>
      </c>
      <c r="E25">
        <v>0</v>
      </c>
      <c r="F25" t="s">
        <v>23</v>
      </c>
      <c r="G25">
        <v>1</v>
      </c>
      <c r="H25" s="2">
        <v>2187275</v>
      </c>
      <c r="I25">
        <v>0</v>
      </c>
      <c r="J25">
        <v>202601</v>
      </c>
    </row>
    <row r="26" spans="1:10" x14ac:dyDescent="0.3">
      <c r="H26" s="2"/>
    </row>
    <row r="27" spans="1:10" x14ac:dyDescent="0.3">
      <c r="A27">
        <v>28</v>
      </c>
      <c r="B27" t="s">
        <v>12</v>
      </c>
      <c r="C27">
        <v>152</v>
      </c>
      <c r="D27" t="s">
        <v>27</v>
      </c>
      <c r="E27">
        <v>0</v>
      </c>
      <c r="F27" t="s">
        <v>28</v>
      </c>
      <c r="G27">
        <v>12026</v>
      </c>
      <c r="H27" s="2">
        <v>227169</v>
      </c>
      <c r="I27">
        <v>0</v>
      </c>
      <c r="J27">
        <v>202601</v>
      </c>
    </row>
    <row r="28" spans="1:10" x14ac:dyDescent="0.3">
      <c r="A28">
        <v>31</v>
      </c>
      <c r="B28" t="s">
        <v>34</v>
      </c>
      <c r="C28">
        <v>783</v>
      </c>
      <c r="D28" t="s">
        <v>27</v>
      </c>
      <c r="E28">
        <v>0</v>
      </c>
      <c r="F28" t="s">
        <v>28</v>
      </c>
      <c r="G28">
        <v>12026</v>
      </c>
      <c r="H28">
        <v>0</v>
      </c>
      <c r="I28" s="2">
        <v>227169</v>
      </c>
      <c r="J28">
        <v>202601</v>
      </c>
    </row>
    <row r="29" spans="1:10" x14ac:dyDescent="0.3">
      <c r="I29" s="2"/>
    </row>
    <row r="30" spans="1:10" x14ac:dyDescent="0.3">
      <c r="A30">
        <v>31</v>
      </c>
      <c r="B30" t="s">
        <v>34</v>
      </c>
      <c r="C30">
        <v>781</v>
      </c>
      <c r="D30" t="s">
        <v>40</v>
      </c>
      <c r="E30">
        <v>0</v>
      </c>
      <c r="F30" t="s">
        <v>41</v>
      </c>
      <c r="G30">
        <v>1</v>
      </c>
      <c r="H30">
        <v>0</v>
      </c>
      <c r="I30" s="2">
        <v>41000</v>
      </c>
      <c r="J30">
        <v>202601</v>
      </c>
    </row>
    <row r="31" spans="1:10" x14ac:dyDescent="0.3">
      <c r="A31">
        <v>1</v>
      </c>
      <c r="B31" t="s">
        <v>10</v>
      </c>
      <c r="C31">
        <v>1</v>
      </c>
      <c r="E31">
        <v>0</v>
      </c>
      <c r="F31" t="s">
        <v>11</v>
      </c>
      <c r="G31">
        <v>0</v>
      </c>
      <c r="H31" s="2">
        <v>2305894</v>
      </c>
      <c r="I31">
        <v>0</v>
      </c>
      <c r="J31">
        <v>202601</v>
      </c>
    </row>
    <row r="32" spans="1:10" x14ac:dyDescent="0.3">
      <c r="F32" t="s">
        <v>43</v>
      </c>
      <c r="H32" s="2">
        <v>7388858</v>
      </c>
      <c r="I32" s="2">
        <v>1871372</v>
      </c>
    </row>
  </sheetData>
  <autoFilter ref="A1:J35" xr:uid="{6DBD53E1-1466-469B-A9DB-1B3691F239FA}"/>
  <sortState xmlns:xlrd2="http://schemas.microsoft.com/office/spreadsheetml/2017/richdata2" ref="A2:J35">
    <sortCondition ref="D2:D35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5944-6990-404B-9ECF-FB759C402107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D4A7-3250-44A7-987B-FFED69E668BE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35549B-FF79-46C0-B400-C731CA6E1D1E}"/>
</file>

<file path=customXml/itemProps2.xml><?xml version="1.0" encoding="utf-8"?>
<ds:datastoreItem xmlns:ds="http://schemas.openxmlformats.org/officeDocument/2006/customXml" ds:itemID="{A4110C51-4D92-4A4B-9539-F9C16C35B81B}"/>
</file>

<file path=customXml/itemProps3.xml><?xml version="1.0" encoding="utf-8"?>
<ds:datastoreItem xmlns:ds="http://schemas.openxmlformats.org/officeDocument/2006/customXml" ds:itemID="{DD5C5749-A39E-4ADF-AEBB-783948D43D1C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2026-02-14T02:35:48Z</dcterms:created>
  <dcterms:modified xsi:type="dcterms:W3CDTF">2026-02-14T02:46:48Z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