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31FAB59F-F0D3-41C8-B144-964C9AF6DF8B}" xr6:coauthVersionLast="47" xr6:coauthVersionMax="47" xr10:uidLastSave="{00000000-0000-0000-0000-000000000000}"/>
  <bookViews>
    <workbookView xWindow="20525" yWindow="-107" windowWidth="20848" windowHeight="11111" xr2:uid="{5269AF4A-753A-45F2-B63E-39B8343C020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S7" i="1" s="1"/>
  <c r="AE7" i="1" s="1"/>
  <c r="N6" i="1"/>
  <c r="AE3" i="1"/>
  <c r="AE4" i="1"/>
  <c r="AE5" i="1"/>
  <c r="AE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2" i="1"/>
  <c r="S3" i="1"/>
  <c r="S4" i="1"/>
  <c r="S5" i="1"/>
  <c r="S6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2" i="1"/>
  <c r="N3" i="1"/>
  <c r="N4" i="1"/>
  <c r="N5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N2" i="1"/>
  <c r="I2" i="1"/>
  <c r="B61" i="1"/>
  <c r="A61" i="1" s="1"/>
  <c r="B62" i="1"/>
  <c r="A62" i="1" s="1"/>
  <c r="B63" i="1"/>
  <c r="A63" i="1" s="1"/>
  <c r="B57" i="1"/>
  <c r="A57" i="1" s="1"/>
  <c r="B58" i="1"/>
  <c r="A58" i="1" s="1"/>
  <c r="B59" i="1"/>
  <c r="A59" i="1" s="1"/>
  <c r="B60" i="1"/>
  <c r="A60" i="1" s="1"/>
  <c r="B53" i="1"/>
  <c r="A53" i="1" s="1"/>
  <c r="B54" i="1"/>
  <c r="A54" i="1" s="1"/>
  <c r="B55" i="1"/>
  <c r="A55" i="1" s="1"/>
  <c r="B56" i="1"/>
  <c r="A56" i="1" s="1"/>
  <c r="B52" i="1"/>
  <c r="A52" i="1" s="1"/>
  <c r="B50" i="1"/>
  <c r="A50" i="1" s="1"/>
  <c r="B51" i="1"/>
  <c r="A51" i="1" s="1"/>
  <c r="B48" i="1"/>
  <c r="A48" i="1" s="1"/>
  <c r="B49" i="1"/>
  <c r="A49" i="1" s="1"/>
  <c r="B44" i="1"/>
  <c r="A44" i="1" s="1"/>
  <c r="B45" i="1"/>
  <c r="A45" i="1" s="1"/>
  <c r="B46" i="1"/>
  <c r="A46" i="1" s="1"/>
  <c r="B47" i="1"/>
  <c r="A47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32" i="1"/>
  <c r="A32" i="1" s="1"/>
  <c r="B33" i="1"/>
  <c r="A33" i="1" s="1"/>
  <c r="B34" i="1"/>
  <c r="A34" i="1" s="1"/>
  <c r="B28" i="1"/>
  <c r="A28" i="1" s="1"/>
  <c r="B29" i="1"/>
  <c r="A29" i="1" s="1"/>
  <c r="B30" i="1"/>
  <c r="A30" i="1" s="1"/>
  <c r="B31" i="1"/>
  <c r="A31" i="1" s="1"/>
  <c r="B27" i="1"/>
  <c r="A27" i="1" s="1"/>
  <c r="B26" i="1"/>
  <c r="A26" i="1" s="1"/>
  <c r="B24" i="1"/>
  <c r="A24" i="1" s="1"/>
  <c r="B25" i="1"/>
  <c r="A25" i="1" s="1"/>
  <c r="B22" i="1"/>
  <c r="A22" i="1" s="1"/>
  <c r="B23" i="1"/>
  <c r="A23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21" i="1"/>
  <c r="A21" i="1" s="1"/>
  <c r="B8" i="1"/>
  <c r="A8" i="1" s="1"/>
  <c r="B9" i="1"/>
  <c r="A9" i="1" s="1"/>
  <c r="B10" i="1"/>
  <c r="A10" i="1" s="1"/>
  <c r="B11" i="1"/>
  <c r="A11" i="1" s="1"/>
  <c r="B12" i="1"/>
  <c r="A12" i="1" s="1"/>
  <c r="B13" i="1"/>
  <c r="A13" i="1" s="1"/>
  <c r="B14" i="1"/>
  <c r="A14" i="1" s="1"/>
  <c r="B6" i="1"/>
  <c r="A6" i="1" s="1"/>
  <c r="B7" i="1"/>
  <c r="A7" i="1" s="1"/>
  <c r="B5" i="1"/>
  <c r="A5" i="1" s="1"/>
  <c r="B4" i="1"/>
  <c r="A4" i="1" s="1"/>
</calcChain>
</file>

<file path=xl/sharedStrings.xml><?xml version="1.0" encoding="utf-8"?>
<sst xmlns="http://schemas.openxmlformats.org/spreadsheetml/2006/main" count="224" uniqueCount="164">
  <si>
    <t>CUENTA</t>
  </si>
  <si>
    <t>DESCRIPCION</t>
  </si>
  <si>
    <t>ADMINISTRACION</t>
  </si>
  <si>
    <t>TRANSITO</t>
  </si>
  <si>
    <t>MARKETING</t>
  </si>
  <si>
    <t>FLEXI ECOMMERCE</t>
  </si>
  <si>
    <t>FLEXI PLAZA EGAÑA</t>
  </si>
  <si>
    <t>FLEXI PLAZA VESPUCIO</t>
  </si>
  <si>
    <t>FLEXI EL TREBOL</t>
  </si>
  <si>
    <t>FLEXI COSTANERA CENTER</t>
  </si>
  <si>
    <t>FLEXI FLORIDA CENTER</t>
  </si>
  <si>
    <t>FLEXI BARROS ARANA</t>
  </si>
  <si>
    <t>FLEXI ESTADO</t>
  </si>
  <si>
    <t>FLEXI TALCA</t>
  </si>
  <si>
    <t>CEDIS CHILE</t>
  </si>
  <si>
    <t>MARKETPLACE</t>
  </si>
  <si>
    <t>DAFITI</t>
  </si>
  <si>
    <t>MERCADO LIBRE</t>
  </si>
  <si>
    <t>CENCOSUD</t>
  </si>
  <si>
    <t>RIPLEY MARKETPLACE</t>
  </si>
  <si>
    <t>FALABELLA</t>
  </si>
  <si>
    <t>MULTICENTRO</t>
  </si>
  <si>
    <t>RIPLEY</t>
  </si>
  <si>
    <t>FLEXI PLAZA NORTE</t>
  </si>
  <si>
    <t>PLAZA OESTE</t>
  </si>
  <si>
    <t>Totales</t>
  </si>
  <si>
    <t>3.1.01.103</t>
  </si>
  <si>
    <t>VENTAS CON BOLETA (RPA)</t>
  </si>
  <si>
    <t>DESCUENTOS GIFTCARD</t>
  </si>
  <si>
    <t>3.1.01.300</t>
  </si>
  <si>
    <t>OTROS INGRESOS</t>
  </si>
  <si>
    <t>Total Ing. de Explotación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</si>
  <si>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</si>
  <si>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</si>
  <si>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</si>
  <si>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</si>
  <si>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</si>
  <si>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</si>
  <si>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</si>
  <si>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</si>
  <si>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</si>
  <si>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</si>
  <si>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</si>
  <si>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</si>
  <si>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</si>
  <si>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</si>
  <si>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</si>
  <si>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</si>
  <si>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</si>
  <si>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</si>
  <si>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</si>
  <si>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</si>
  <si>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</si>
  <si>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</si>
  <si>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</si>
  <si>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</si>
  <si>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</si>
  <si>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</si>
  <si>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</si>
  <si>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</si>
  <si>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</si>
  <si>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</si>
  <si>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</si>
  <si>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</si>
  <si>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</si>
  <si>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</si>
  <si>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</si>
  <si>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</si>
  <si>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</si>
  <si>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</si>
  <si>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</si>
  <si>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</si>
  <si>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</si>
  <si>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</si>
  <si>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</si>
  <si>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</si>
  <si>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</si>
  <si>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</si>
  <si>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</si>
  <si>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</si>
  <si>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</si>
  <si>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</si>
  <si>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</si>
  <si>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</si>
  <si>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</si>
  <si>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</si>
  <si>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</si>
  <si>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</si>
  <si>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</si>
  <si>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</si>
  <si>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</si>
  <si>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</si>
  <si>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</si>
  <si>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</si>
  <si>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</si>
  <si>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</si>
  <si>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</si>
  <si>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</si>
  <si>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</si>
  <si>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</si>
  <si>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</si>
  <si>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</si>
  <si>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</si>
  <si>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</si>
  <si>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</si>
  <si>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</si>
  <si>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</si>
  <si>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</si>
  <si>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</si>
  <si>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</si>
  <si>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</si>
  <si>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</si>
  <si>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</si>
  <si>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</si>
  <si>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</si>
  <si>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</si>
  <si>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</si>
  <si>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</si>
  <si>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</si>
  <si>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</si>
  <si>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</si>
  <si>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</si>
  <si>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</si>
  <si>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</si>
  <si>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</si>
  <si>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</si>
  <si>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</si>
  <si>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</si>
  <si>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</si>
  <si>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</si>
  <si>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Total Gasto Administ. y Venta</t>
  </si>
  <si>
    <t>RESULTADO OPERACIONAL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</si>
  <si>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</si>
  <si>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</si>
  <si>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</si>
  <si>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</si>
  <si>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</si>
  <si>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</si>
  <si>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</si>
  <si>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</si>
  <si>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</si>
  <si>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</si>
  <si>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Total Ing. no Operacionales</t>
  </si>
  <si>
    <t>3.1.02.102</t>
  </si>
  <si>
    <t>COSTOS OPERATIVOS - FLETES INTERNOS</t>
  </si>
  <si>
    <t>3.1.02.105</t>
  </si>
  <si>
    <t>FLETES - CANAL DIGITAL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</si>
  <si>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</si>
  <si>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</si>
  <si>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</si>
  <si>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</si>
  <si>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</si>
  <si>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</si>
  <si>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3.1.07.822</t>
  </si>
  <si>
    <t>GASTOS DE PUBLICIDAD Y MARKETING</t>
  </si>
  <si>
    <t>3.1.07.833</t>
  </si>
  <si>
    <t xml:space="preserve">SUMINISTROS VISUAL </t>
  </si>
  <si>
    <t>Total Otros Gastos Fuera de Explot.</t>
  </si>
  <si>
    <t>RESULTADO ANTES DEL IMPUESTO A LA RENTA</t>
  </si>
  <si>
    <t>3.2.13.101</t>
  </si>
  <si>
    <t>CORRECCION MONETARIA ACTIVOS</t>
  </si>
  <si>
    <t>UTILIDAD O PERDIDA DEL EJERCICIO</t>
  </si>
  <si>
    <t>ON LINE</t>
  </si>
  <si>
    <t>DEPARTAMENTAL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</si>
</sst>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Book Antiqua"/>
      <family val="1"/>
    </font>
    <font>
      <b/>
      <sz val="8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2" fillId="0" borderId="0"/>
    <xf numFmtId="0" fontId="21" fillId="0" borderId="0" applyNumberFormat="0" applyFill="0" applyBorder="0">
      <alignment vertical="center"/>
    </xf>
    <xf numFmtId="0" fontId="23" fillId="0" borderId="0"/>
    <xf numFmtId="0" fontId="1" fillId="0" borderId="0"/>
    <xf numFmtId="0" fontId="21" fillId="0" borderId="0" applyNumberFormat="0" applyFill="0" applyBorder="0">
      <alignment vertical="center"/>
    </xf>
    <xf numFmtId="0" fontId="25" fillId="0" borderId="0"/>
    <xf numFmtId="169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4" fillId="4" borderId="0" applyNumberFormat="0" applyBorder="0" applyAlignment="0" applyProtection="0"/>
    <xf numFmtId="169" fontId="19" fillId="0" borderId="0" applyFont="0" applyFill="0" applyBorder="0" applyAlignment="0" applyProtection="0"/>
    <xf numFmtId="169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4" borderId="0" applyNumberFormat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10" fontId="0" fillId="0" borderId="0" xfId="0" applyNumberFormat="1"/>
    <xf numFmtId="0" fontId="17" fillId="0" borderId="10" xfId="0" applyFont="1" applyBorder="1"/>
    <xf numFmtId="0" fontId="18" fillId="0" borderId="0" xfId="0" applyFont="1"/>
    <xf numFmtId="0" fontId="17" fillId="0" borderId="10" xfId="0" applyFont="1" applyBorder="1" applyAlignment="1">
      <alignment horizontal="center" wrapText="1"/>
    </xf>
    <xf numFmtId="0" fontId="27" fillId="37" borderId="10" xfId="0" applyFont="1" applyFill="1" applyBorder="1" applyAlignment="1">
      <alignment horizontal="center" wrapText="1"/>
    </xf>
    <xf numFmtId="0" fontId="17" fillId="37" borderId="10" xfId="0" applyFont="1" applyFill="1" applyBorder="1" applyAlignment="1">
      <alignment horizontal="center" wrapText="1"/>
    </xf>
    <xf numFmtId="10" fontId="0" fillId="36" borderId="0" xfId="0" applyNumberFormat="1" applyFill="1"/>
    <xf numFmtId="0" fontId="0" fillId="36" borderId="0" xfId="0" applyFill="1"/>
    <xf numFmtId="0" fontId="17" fillId="36" borderId="10" xfId="0" applyFont="1" applyFill="1" applyBorder="1" applyAlignment="1">
      <alignment horizontal="center" wrapText="1"/>
    </xf>
    <xf numFmtId="0" fontId="17" fillId="35" borderId="10" xfId="0" applyFont="1" applyFill="1" applyBorder="1" applyAlignment="1">
      <alignment horizontal="center" wrapText="1"/>
    </xf>
    <xf numFmtId="3" fontId="0" fillId="36" borderId="0" xfId="0" applyNumberFormat="1" applyFill="1"/>
    <xf numFmtId="0" fontId="0" fillId="0" borderId="0" xfId="0"/>
    <xf numFmtId="0" fontId="26" fillId="0" borderId="10" xfId="0" applyFont="1" applyBorder="1"/>
    <xf numFmtId="3" fontId="0" fillId="0" borderId="0" xfId="0" applyNumberFormat="1"/>
    <xf numFmtId="10" fontId="0" fillId="0" borderId="0" xfId="0" applyNumberFormat="1"/>
    <xf numFmtId="0" fontId="26" fillId="34" borderId="10" xfId="0" applyFont="1" applyFill="1" applyBorder="1"/>
  </cellXfs>
  <cellStyles count="1448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6F46DBB3-7F38-4BC2-85E5-4FFF25E30350}"/>
    <cellStyle name="60% - Énfasis1 10" xfId="36" xr:uid="{B10E0481-F29C-4126-B084-50A093A721CF}"/>
    <cellStyle name="60% - Énfasis1 2" xfId="64" xr:uid="{193088D5-381B-4C96-B073-8E3020C5765E}"/>
    <cellStyle name="60% - Énfasis1 3" xfId="82" xr:uid="{50778964-46BE-4E3F-BBDF-BFA544115172}"/>
    <cellStyle name="60% - Énfasis1 4" xfId="111" xr:uid="{A9B4B3BA-0494-4B23-BFFF-6BF596176BC2}"/>
    <cellStyle name="60% - Énfasis1 5" xfId="161" xr:uid="{179E3345-2893-4D36-B11F-3EE39941308D}"/>
    <cellStyle name="60% - Énfasis1 6" xfId="250" xr:uid="{425802DE-2F6F-4122-9DBD-4BB7D4B598C8}"/>
    <cellStyle name="60% - Énfasis1 7" xfId="265" xr:uid="{776CBA2D-268E-4C21-BB64-1C8945470D94}"/>
    <cellStyle name="60% - Énfasis1 8" xfId="438" xr:uid="{559E9DFA-1194-4491-AFEC-D0EA3113B8D3}"/>
    <cellStyle name="60% - Énfasis1 9" xfId="777" xr:uid="{81DE70CE-0640-4105-A8FF-B16EBE60420E}"/>
    <cellStyle name="60% - Énfasis2 10" xfId="37" xr:uid="{60243ABB-3B67-4280-B780-A329E805BBCE}"/>
    <cellStyle name="60% - Énfasis2 2" xfId="65" xr:uid="{F0D13C8B-72DE-46BC-A104-4782608611FC}"/>
    <cellStyle name="60% - Énfasis2 3" xfId="83" xr:uid="{D82AB7DD-CACE-4CD3-8F20-F83FB5944D63}"/>
    <cellStyle name="60% - Énfasis2 4" xfId="112" xr:uid="{0AB2C89A-05E3-4EC1-9FE4-AEE099277232}"/>
    <cellStyle name="60% - Énfasis2 5" xfId="162" xr:uid="{E89AE231-43D6-42BE-9276-74B696558546}"/>
    <cellStyle name="60% - Énfasis2 6" xfId="251" xr:uid="{DBC8C1EC-0427-425C-BDE1-2ADF9FFCFB4F}"/>
    <cellStyle name="60% - Énfasis2 7" xfId="266" xr:uid="{E2BF074A-05DE-4078-AA5C-5BC24EC3CA12}"/>
    <cellStyle name="60% - Énfasis2 8" xfId="439" xr:uid="{69275D2A-D07C-4AE4-8E80-BDB3ECADCE78}"/>
    <cellStyle name="60% - Énfasis2 9" xfId="778" xr:uid="{EBE61D0E-3652-421D-971B-D4290B06F68E}"/>
    <cellStyle name="60% - Énfasis3 10" xfId="38" xr:uid="{BA5E7074-5516-4363-A186-8EF8A0A3F450}"/>
    <cellStyle name="60% - Énfasis3 2" xfId="66" xr:uid="{56D21E32-FD62-47CE-9E5C-DD6AEE735519}"/>
    <cellStyle name="60% - Énfasis3 3" xfId="84" xr:uid="{47C97A0C-2660-4592-955D-2B9D59D8BA7D}"/>
    <cellStyle name="60% - Énfasis3 4" xfId="113" xr:uid="{100C4247-DE21-401B-946C-A734467E01B0}"/>
    <cellStyle name="60% - Énfasis3 5" xfId="163" xr:uid="{5395AEFE-33D5-4030-9843-677BEC86891B}"/>
    <cellStyle name="60% - Énfasis3 6" xfId="252" xr:uid="{B8CFA946-076E-45E0-86E8-41372FCEBD1E}"/>
    <cellStyle name="60% - Énfasis3 7" xfId="267" xr:uid="{DD90F43A-FA44-453C-AB39-DC0540DD5DF4}"/>
    <cellStyle name="60% - Énfasis3 8" xfId="440" xr:uid="{0848730B-3BDD-4DD5-8642-DE3B16CD1301}"/>
    <cellStyle name="60% - Énfasis3 9" xfId="779" xr:uid="{F6CB160B-4214-4E53-A173-4DFDC412D982}"/>
    <cellStyle name="60% - Énfasis4 10" xfId="39" xr:uid="{507AD42C-20DA-41E3-8447-E9452FFA82C5}"/>
    <cellStyle name="60% - Énfasis4 2" xfId="67" xr:uid="{AECD39AD-0F22-4193-9BE0-FF76E9390D96}"/>
    <cellStyle name="60% - Énfasis4 3" xfId="85" xr:uid="{03A0149C-FFB3-49F2-8258-45F1CB0834C2}"/>
    <cellStyle name="60% - Énfasis4 4" xfId="114" xr:uid="{AE2C864B-BCB6-4175-8FF6-5C3A148AEE9A}"/>
    <cellStyle name="60% - Énfasis4 5" xfId="164" xr:uid="{C317C425-29BE-493B-8DF2-708A2CDEE07F}"/>
    <cellStyle name="60% - Énfasis4 6" xfId="253" xr:uid="{63D98EE5-8393-4517-9231-64740906ABC4}"/>
    <cellStyle name="60% - Énfasis4 7" xfId="268" xr:uid="{9754283E-67F3-4E26-B8F9-CCC186A41CE0}"/>
    <cellStyle name="60% - Énfasis4 8" xfId="441" xr:uid="{8629D888-BDDF-4381-B961-38AF60F3B66A}"/>
    <cellStyle name="60% - Énfasis4 9" xfId="780" xr:uid="{57888263-1A70-495C-BFCB-27A9DA7908CB}"/>
    <cellStyle name="60% - Énfasis5 10" xfId="40" xr:uid="{31FD4028-D36F-4076-8A4B-7CAEB26271C0}"/>
    <cellStyle name="60% - Énfasis5 2" xfId="68" xr:uid="{8CBA6475-3B23-4C01-BE1B-CFA1BFA40348}"/>
    <cellStyle name="60% - Énfasis5 3" xfId="86" xr:uid="{988647A4-C8C5-494A-BB74-A50CC227C76C}"/>
    <cellStyle name="60% - Énfasis5 4" xfId="115" xr:uid="{2DD75C04-51B6-4BB8-B25B-12B5126C668C}"/>
    <cellStyle name="60% - Énfasis5 5" xfId="165" xr:uid="{422BC0DB-6A60-4A02-A414-FA5948C9A513}"/>
    <cellStyle name="60% - Énfasis5 6" xfId="254" xr:uid="{D3FC828B-EB64-46D9-A207-FF7D69BBA6FA}"/>
    <cellStyle name="60% - Énfasis5 7" xfId="269" xr:uid="{8E2970C4-5093-481B-A923-D1BA7989990A}"/>
    <cellStyle name="60% - Énfasis5 8" xfId="442" xr:uid="{7512C91E-70F9-4A35-A6FA-2D7E4712BA67}"/>
    <cellStyle name="60% - Énfasis5 9" xfId="781" xr:uid="{853D66D1-CF7E-461A-87ED-C2F892F77F1E}"/>
    <cellStyle name="60% - Énfasis6 10" xfId="41" xr:uid="{338F9C36-FD73-4185-B421-6F7C463D7DC5}"/>
    <cellStyle name="60% - Énfasis6 2" xfId="69" xr:uid="{8A5B9BC0-5C01-49AF-9741-8826A9112A7E}"/>
    <cellStyle name="60% - Énfasis6 3" xfId="87" xr:uid="{6DCE4954-7A35-4F40-B356-2A5EBD862419}"/>
    <cellStyle name="60% - Énfasis6 4" xfId="116" xr:uid="{86575378-81DA-4739-86E8-0B1521CB7E6B}"/>
    <cellStyle name="60% - Énfasis6 5" xfId="166" xr:uid="{5DE56DE3-9309-479A-966D-893EDB6FFE06}"/>
    <cellStyle name="60% - Énfasis6 6" xfId="255" xr:uid="{EEA97DFD-302B-4A01-8A60-F0577DC4FA4A}"/>
    <cellStyle name="60% - Énfasis6 7" xfId="270" xr:uid="{74994A0C-3346-4572-9CC5-FB2A96E816A5}"/>
    <cellStyle name="60% - Énfasis6 8" xfId="443" xr:uid="{FBF48A00-0088-442C-9E7D-EEB3B8A26EB3}"/>
    <cellStyle name="60% - Énfasis6 9" xfId="782" xr:uid="{558F657E-5DED-47CC-B406-6065D0654A1A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 [0] 10" xfId="174" xr:uid="{85A36DBA-00C7-450E-B7E1-15CBCE5519A3}"/>
    <cellStyle name="Millares [0] 10 2" xfId="360" xr:uid="{0B4E6B1E-1D4D-48B8-A0F5-212FF81AEA14}"/>
    <cellStyle name="Millares [0] 10 2 2" xfId="699" xr:uid="{1E53D471-A807-4F58-A5E3-8EC7EF30FAD5}"/>
    <cellStyle name="Millares [0] 10 2 2 2" xfId="1370" xr:uid="{5B8809FA-B8A3-4C18-B3DA-0D41BFFB9E04}"/>
    <cellStyle name="Millares [0] 10 2 3" xfId="1038" xr:uid="{D7E0388C-D841-4316-A164-5E55586B0A92}"/>
    <cellStyle name="Millares [0] 10 3" xfId="533" xr:uid="{5B331000-EFF5-49DA-9E09-269E6624B36A}"/>
    <cellStyle name="Millares [0] 10 3 2" xfId="1204" xr:uid="{9CBA6B73-EDB1-454E-91F4-BBD2FF076A45}"/>
    <cellStyle name="Millares [0] 10 4" xfId="872" xr:uid="{1BC86D1D-E29C-4534-918E-350E52335ED3}"/>
    <cellStyle name="Millares [0] 11" xfId="264" xr:uid="{545127B3-CA86-4728-BBEE-C9CB7B7D4EE7}"/>
    <cellStyle name="Millares [0] 11 2" xfId="437" xr:uid="{D4654045-1D9F-4B8B-920C-FE74E127A982}"/>
    <cellStyle name="Millares [0] 11 2 2" xfId="776" xr:uid="{F8F0BBBD-163F-42C2-A933-20B26CBFD20F}"/>
    <cellStyle name="Millares [0] 11 2 2 2" xfId="1447" xr:uid="{2D21EADF-DA81-4435-89E1-971EBD14B828}"/>
    <cellStyle name="Millares [0] 11 2 3" xfId="1115" xr:uid="{D7F4EE5A-F354-49B5-A85B-A9B2BAE95961}"/>
    <cellStyle name="Millares [0] 11 3" xfId="610" xr:uid="{84C89FF2-3928-4A3E-88DD-0DF3913ACEA0}"/>
    <cellStyle name="Millares [0] 11 3 2" xfId="1281" xr:uid="{0DF02CFA-AE35-4C31-A7A8-7892258C2ECF}"/>
    <cellStyle name="Millares [0] 11 4" xfId="949" xr:uid="{45B4EB93-C699-4E6D-8492-D812DF6A49ED}"/>
    <cellStyle name="Millares [0] 12" xfId="278" xr:uid="{1271D6DE-705A-47C2-99B6-17F9E6DEB718}"/>
    <cellStyle name="Millares [0] 12 2" xfId="617" xr:uid="{3E19DE4F-1168-4D86-B200-A7C7DAA5F5FA}"/>
    <cellStyle name="Millares [0] 12 2 2" xfId="1288" xr:uid="{7FE17195-E6FD-46B2-9766-04F9E718B525}"/>
    <cellStyle name="Millares [0] 12 3" xfId="956" xr:uid="{73B01E30-1167-447E-B7C8-B2292CC84523}"/>
    <cellStyle name="Millares [0] 13" xfId="451" xr:uid="{6A005882-06F5-4616-B5F9-0995B97E10D4}"/>
    <cellStyle name="Millares [0] 13 2" xfId="1122" xr:uid="{34CD9CD0-B3FB-49A8-B8C5-07C320278D0D}"/>
    <cellStyle name="Millares [0] 14" xfId="790" xr:uid="{81680355-D34A-4BF1-8904-5EC4590F8132}"/>
    <cellStyle name="Millares [0] 15" xfId="60" xr:uid="{4D31D13A-74DD-4024-9E35-35E4212491F7}"/>
    <cellStyle name="Millares [0] 2" xfId="43" xr:uid="{02EDD43E-9350-4A38-96AD-9BF15194F870}"/>
    <cellStyle name="Millares [0] 2 2" xfId="257" xr:uid="{CB61EDD5-6844-4F51-A090-69F84F22D164}"/>
    <cellStyle name="Millares [0] 3" xfId="44" xr:uid="{BB161BE8-FE6F-482D-80D7-D6F189A0EEB8}"/>
    <cellStyle name="Millares [0] 3 2" xfId="71" xr:uid="{F41237EB-1258-4FB6-8BFD-15990BD9AB01}"/>
    <cellStyle name="Millares [0] 3 2 2" xfId="100" xr:uid="{AD984EEE-4B25-40B1-9FE8-5AA5DB9413FC}"/>
    <cellStyle name="Millares [0] 3 2 2 2" xfId="148" xr:uid="{9FEE3C1E-EEAB-4EE2-AB58-F74E6B0BA025}"/>
    <cellStyle name="Millares [0] 3 2 2 2 2" xfId="237" xr:uid="{543CE91E-29A3-41C9-806A-CE6D8BC5745F}"/>
    <cellStyle name="Millares [0] 3 2 2 2 2 2" xfId="423" xr:uid="{7277DA3E-10EF-4163-9771-0525460C6CAC}"/>
    <cellStyle name="Millares [0] 3 2 2 2 2 2 2" xfId="762" xr:uid="{9AF6B9F0-FAC7-4D31-9EB3-029E0604C201}"/>
    <cellStyle name="Millares [0] 3 2 2 2 2 2 2 2" xfId="1433" xr:uid="{C01A696B-8EA8-4BEC-95A6-A3158F2CD288}"/>
    <cellStyle name="Millares [0] 3 2 2 2 2 2 3" xfId="1101" xr:uid="{AE4482F9-8469-44B8-BB20-22E24DC83544}"/>
    <cellStyle name="Millares [0] 3 2 2 2 2 3" xfId="596" xr:uid="{3547A55B-A7DF-4D0E-9EE1-B6DA3D548C4C}"/>
    <cellStyle name="Millares [0] 3 2 2 2 2 3 2" xfId="1267" xr:uid="{38695F48-BC06-4192-9172-706EBAE243B5}"/>
    <cellStyle name="Millares [0] 3 2 2 2 2 4" xfId="935" xr:uid="{79386D19-353E-4899-9AEA-8B5E363C2D30}"/>
    <cellStyle name="Millares [0] 3 2 2 2 3" xfId="341" xr:uid="{178BD736-0CD6-406B-9342-0D623D8C23E4}"/>
    <cellStyle name="Millares [0] 3 2 2 2 3 2" xfId="680" xr:uid="{F5CF056C-7800-419D-8CD6-985C8AD18858}"/>
    <cellStyle name="Millares [0] 3 2 2 2 3 2 2" xfId="1351" xr:uid="{BFDFDF4C-CE33-4A51-94E4-56F45B8DDE1A}"/>
    <cellStyle name="Millares [0] 3 2 2 2 3 3" xfId="1019" xr:uid="{3D0982E2-40B5-4C2C-9303-E1812ADC9324}"/>
    <cellStyle name="Millares [0] 3 2 2 2 4" xfId="514" xr:uid="{E83CA5DC-2239-4D1A-9F09-CBE04A370E13}"/>
    <cellStyle name="Millares [0] 3 2 2 2 4 2" xfId="1185" xr:uid="{7D30E4B0-5D68-4CF9-A78E-888FE17926A4}"/>
    <cellStyle name="Millares [0] 3 2 2 2 5" xfId="853" xr:uid="{595FDE63-A35E-4916-BACD-1768381ED893}"/>
    <cellStyle name="Millares [0] 3 2 2 3" xfId="197" xr:uid="{AF3D4653-B8B3-4248-A3F0-56F7D2E795D8}"/>
    <cellStyle name="Millares [0] 3 2 2 3 2" xfId="383" xr:uid="{B38A2A90-1911-4A20-8F8A-56967AA4B38A}"/>
    <cellStyle name="Millares [0] 3 2 2 3 2 2" xfId="722" xr:uid="{DED6F6E7-B594-44BE-B8D8-CBEC2E89FF4C}"/>
    <cellStyle name="Millares [0] 3 2 2 3 2 2 2" xfId="1393" xr:uid="{05407240-6632-474A-AE9F-BC41BE94A7D1}"/>
    <cellStyle name="Millares [0] 3 2 2 3 2 3" xfId="1061" xr:uid="{7B2202B2-25A1-4155-BC68-EF7634B71A73}"/>
    <cellStyle name="Millares [0] 3 2 2 3 3" xfId="556" xr:uid="{01D06DA3-E19E-4A90-B9C1-DF9F505B26CC}"/>
    <cellStyle name="Millares [0] 3 2 2 3 3 2" xfId="1227" xr:uid="{5B6B6502-C60A-4F2F-9AC7-FE53D74D2AC4}"/>
    <cellStyle name="Millares [0] 3 2 2 3 4" xfId="895" xr:uid="{F0F30AC8-DBCB-43D5-B139-EC4C2642606D}"/>
    <cellStyle name="Millares [0] 3 2 2 4" xfId="301" xr:uid="{4BEEEC06-BF45-4F9F-BDA4-73DD4725ED06}"/>
    <cellStyle name="Millares [0] 3 2 2 4 2" xfId="640" xr:uid="{94B576F5-4255-4FC0-AD1B-55135749394F}"/>
    <cellStyle name="Millares [0] 3 2 2 4 2 2" xfId="1311" xr:uid="{BD336427-66E8-4C40-ACD7-3018E8778946}"/>
    <cellStyle name="Millares [0] 3 2 2 4 3" xfId="979" xr:uid="{9972616A-15D5-4E3D-9F60-F370FA67E1CB}"/>
    <cellStyle name="Millares [0] 3 2 2 5" xfId="474" xr:uid="{61E79AD0-341E-4225-BCDA-1F98D9327932}"/>
    <cellStyle name="Millares [0] 3 2 2 5 2" xfId="1145" xr:uid="{346D5628-BF1B-46DF-8181-82BD23AEEAE9}"/>
    <cellStyle name="Millares [0] 3 2 2 6" xfId="813" xr:uid="{0372DEC5-E896-4524-8B3C-12FE4B03B889}"/>
    <cellStyle name="Millares [0] 3 2 3" xfId="129" xr:uid="{116FC7F9-723B-493F-A5A5-93025D8AE945}"/>
    <cellStyle name="Millares [0] 3 2 3 2" xfId="218" xr:uid="{CF2A69E1-4266-4CC4-BDF4-EBEA8A46A19F}"/>
    <cellStyle name="Millares [0] 3 2 3 2 2" xfId="404" xr:uid="{CB867788-5447-4B18-9851-743B1B53321E}"/>
    <cellStyle name="Millares [0] 3 2 3 2 2 2" xfId="743" xr:uid="{DE6620BE-EE11-48E5-B034-97182C8BA53A}"/>
    <cellStyle name="Millares [0] 3 2 3 2 2 2 2" xfId="1414" xr:uid="{57910B77-F296-4DC4-8480-A92F9A471398}"/>
    <cellStyle name="Millares [0] 3 2 3 2 2 3" xfId="1082" xr:uid="{934BD1D5-C21E-4CF3-9702-7A2C0CAC0989}"/>
    <cellStyle name="Millares [0] 3 2 3 2 3" xfId="577" xr:uid="{C850F4DF-CE1E-4DCD-90AA-4280780F13F8}"/>
    <cellStyle name="Millares [0] 3 2 3 2 3 2" xfId="1248" xr:uid="{0E55595D-3AB1-40E6-BF49-47C9693060C2}"/>
    <cellStyle name="Millares [0] 3 2 3 2 4" xfId="916" xr:uid="{A9C7D79B-5396-4BB0-9B91-82D697D46336}"/>
    <cellStyle name="Millares [0] 3 2 3 3" xfId="322" xr:uid="{0AAEC6C2-B906-43F7-9EDD-E38E9180BF41}"/>
    <cellStyle name="Millares [0] 3 2 3 3 2" xfId="661" xr:uid="{429B73DD-0420-45CE-9BFE-29C067F86E68}"/>
    <cellStyle name="Millares [0] 3 2 3 3 2 2" xfId="1332" xr:uid="{6CB2C845-11D1-4356-802B-E227017C9ACA}"/>
    <cellStyle name="Millares [0] 3 2 3 3 3" xfId="1000" xr:uid="{5E49B9ED-0180-4336-B287-46B6907F2BB9}"/>
    <cellStyle name="Millares [0] 3 2 3 4" xfId="495" xr:uid="{E79DE256-C02A-4DAC-9EDE-6C788C483071}"/>
    <cellStyle name="Millares [0] 3 2 3 4 2" xfId="1166" xr:uid="{E950ABBF-50FF-467D-A31F-0755895CD3A5}"/>
    <cellStyle name="Millares [0] 3 2 3 5" xfId="834" xr:uid="{2EDAEC42-4E17-4E4D-80BE-112F3FA19C28}"/>
    <cellStyle name="Millares [0] 3 2 4" xfId="178" xr:uid="{0C4DE73B-9835-4CD7-82FE-88B4C94D74DE}"/>
    <cellStyle name="Millares [0] 3 2 4 2" xfId="364" xr:uid="{10B28BC9-2ADA-4AEB-B25F-F9607CDEAB38}"/>
    <cellStyle name="Millares [0] 3 2 4 2 2" xfId="703" xr:uid="{A59D93E5-4983-4355-869E-2D691B4D6960}"/>
    <cellStyle name="Millares [0] 3 2 4 2 2 2" xfId="1374" xr:uid="{045DBA85-EEC2-42C0-9D46-33FF11048B7F}"/>
    <cellStyle name="Millares [0] 3 2 4 2 3" xfId="1042" xr:uid="{EACB95C4-E24B-4EBF-B904-863FF1C9AC93}"/>
    <cellStyle name="Millares [0] 3 2 4 3" xfId="537" xr:uid="{745EE64B-F74C-44E8-9439-BEB33E715586}"/>
    <cellStyle name="Millares [0] 3 2 4 3 2" xfId="1208" xr:uid="{31E6966E-C965-498D-B6BF-9F550A0C0011}"/>
    <cellStyle name="Millares [0] 3 2 4 4" xfId="876" xr:uid="{58E2875B-F41E-42FA-A709-7CB6F65917B4}"/>
    <cellStyle name="Millares [0] 3 2 5" xfId="282" xr:uid="{CA8033B7-33A1-4111-9EC8-D156413B25F0}"/>
    <cellStyle name="Millares [0] 3 2 5 2" xfId="621" xr:uid="{6F102C9D-96DC-417B-BE77-8D54D77ECE3E}"/>
    <cellStyle name="Millares [0] 3 2 5 2 2" xfId="1292" xr:uid="{9FB46D56-1045-40E4-9517-3925334FC74B}"/>
    <cellStyle name="Millares [0] 3 2 5 3" xfId="960" xr:uid="{46C84033-D1C0-45D8-90E6-8C9AF330C3F1}"/>
    <cellStyle name="Millares [0] 3 2 6" xfId="455" xr:uid="{C7717BE9-4E1E-4C42-8ECD-F8B3FD78F225}"/>
    <cellStyle name="Millares [0] 3 2 6 2" xfId="1126" xr:uid="{C22D1477-F281-40FB-A628-61E95CEEF4FA}"/>
    <cellStyle name="Millares [0] 3 2 7" xfId="794" xr:uid="{DA6D03B0-5252-40FC-BD3C-70A2D25A1DAD}"/>
    <cellStyle name="Millares [0] 3 3" xfId="89" xr:uid="{D824D313-DB85-4110-8158-2B0D33431973}"/>
    <cellStyle name="Millares [0] 3 3 2" xfId="139" xr:uid="{5F90FF14-D15A-435D-9704-90C1DA5CFB57}"/>
    <cellStyle name="Millares [0] 3 3 2 2" xfId="228" xr:uid="{0DCCA6CC-34BE-4E61-8847-82B2E59B0DF9}"/>
    <cellStyle name="Millares [0] 3 3 2 2 2" xfId="414" xr:uid="{08027E2F-5C03-4E7C-884F-0C405A16F4B9}"/>
    <cellStyle name="Millares [0] 3 3 2 2 2 2" xfId="753" xr:uid="{E502C3C6-A18B-4236-BA9C-E64923D549EC}"/>
    <cellStyle name="Millares [0] 3 3 2 2 2 2 2" xfId="1424" xr:uid="{09951313-C8E1-4AF2-80A0-2B363683447A}"/>
    <cellStyle name="Millares [0] 3 3 2 2 2 3" xfId="1092" xr:uid="{E8127EFC-4B54-4A83-8088-1CFAAF8B9129}"/>
    <cellStyle name="Millares [0] 3 3 2 2 3" xfId="587" xr:uid="{47A144F4-3FEC-4B09-B922-CE23B675B9FF}"/>
    <cellStyle name="Millares [0] 3 3 2 2 3 2" xfId="1258" xr:uid="{1AAA617F-4D6E-4FCD-B003-2725DDA212A9}"/>
    <cellStyle name="Millares [0] 3 3 2 2 4" xfId="926" xr:uid="{3B623274-FD3B-4BA6-952D-C24D9FD91FCD}"/>
    <cellStyle name="Millares [0] 3 3 2 3" xfId="332" xr:uid="{40067FB2-ECFD-462E-BE5E-8F6ACB23FAB7}"/>
    <cellStyle name="Millares [0] 3 3 2 3 2" xfId="671" xr:uid="{B0687452-83DE-49A4-8670-B9ED205AB456}"/>
    <cellStyle name="Millares [0] 3 3 2 3 2 2" xfId="1342" xr:uid="{E5283AA4-9633-4B4A-B063-F66732DBFF08}"/>
    <cellStyle name="Millares [0] 3 3 2 3 3" xfId="1010" xr:uid="{D3236AFB-8018-4EB9-A1F3-2CD1BB548660}"/>
    <cellStyle name="Millares [0] 3 3 2 4" xfId="505" xr:uid="{991B6927-F8A2-49A2-9963-DFF096F85581}"/>
    <cellStyle name="Millares [0] 3 3 2 4 2" xfId="1176" xr:uid="{531AA7FB-4234-4C2F-A810-6679C6074557}"/>
    <cellStyle name="Millares [0] 3 3 2 5" xfId="844" xr:uid="{29EB179E-69E0-4495-9789-E66890CCDBD2}"/>
    <cellStyle name="Millares [0] 3 3 3" xfId="188" xr:uid="{2A8853E6-C8B6-41CB-AD96-81B7D27C1D1D}"/>
    <cellStyle name="Millares [0] 3 3 3 2" xfId="374" xr:uid="{B5A10423-F3AD-473E-965A-602D48AADEE8}"/>
    <cellStyle name="Millares [0] 3 3 3 2 2" xfId="713" xr:uid="{8975C936-7FE4-46E6-83D2-6EEB8D6870F9}"/>
    <cellStyle name="Millares [0] 3 3 3 2 2 2" xfId="1384" xr:uid="{456B5617-3ED7-4D2D-AD1F-E881705F75B1}"/>
    <cellStyle name="Millares [0] 3 3 3 2 3" xfId="1052" xr:uid="{E26133D2-7468-4D7E-8850-F5F5B53243C6}"/>
    <cellStyle name="Millares [0] 3 3 3 3" xfId="547" xr:uid="{ADF49DEE-D24C-499E-B9BD-8A37DB450784}"/>
    <cellStyle name="Millares [0] 3 3 3 3 2" xfId="1218" xr:uid="{90205D85-364F-4C3A-9047-6C22A04CD9C9}"/>
    <cellStyle name="Millares [0] 3 3 3 4" xfId="886" xr:uid="{8BE43B4F-85EA-49A6-B0D5-30110EC9A339}"/>
    <cellStyle name="Millares [0] 3 3 4" xfId="292" xr:uid="{052E500B-CE2D-42B0-A7BD-8A04D6CB1EC0}"/>
    <cellStyle name="Millares [0] 3 3 4 2" xfId="631" xr:uid="{B83E5881-AA35-4DC6-A988-3B5F2097E8F1}"/>
    <cellStyle name="Millares [0] 3 3 4 2 2" xfId="1302" xr:uid="{4FD79EA9-02B0-4C0B-8FEE-59315238CCD6}"/>
    <cellStyle name="Millares [0] 3 3 4 3" xfId="970" xr:uid="{8DCC226F-7F90-4D4A-A363-3A81EEE9D956}"/>
    <cellStyle name="Millares [0] 3 3 5" xfId="465" xr:uid="{AB3FE4B2-B8E5-49D9-85F4-0A5325FA351B}"/>
    <cellStyle name="Millares [0] 3 3 5 2" xfId="1136" xr:uid="{E039354F-666C-425F-94AF-C01941024965}"/>
    <cellStyle name="Millares [0] 3 3 6" xfId="804" xr:uid="{E021BF1A-42F4-47D6-B367-EFF3FBA37789}"/>
    <cellStyle name="Millares [0] 3 4" xfId="118" xr:uid="{F60988A8-9E7A-44CE-9FB3-59F5280807AB}"/>
    <cellStyle name="Millares [0] 3 4 2" xfId="209" xr:uid="{7C0428C2-6552-4FC5-ABE1-3C933D8EC2B0}"/>
    <cellStyle name="Millares [0] 3 4 2 2" xfId="395" xr:uid="{743B4720-F37C-4826-8CB7-60E4E2A659C3}"/>
    <cellStyle name="Millares [0] 3 4 2 2 2" xfId="734" xr:uid="{A03D3824-68D3-4EC3-BF5B-BDAD18543269}"/>
    <cellStyle name="Millares [0] 3 4 2 2 2 2" xfId="1405" xr:uid="{2DAF4708-247A-4BB8-8023-AE6A1A166487}"/>
    <cellStyle name="Millares [0] 3 4 2 2 3" xfId="1073" xr:uid="{31E2A6F7-B5A1-43BD-AB62-EADFC54967A3}"/>
    <cellStyle name="Millares [0] 3 4 2 3" xfId="568" xr:uid="{A81603B8-1738-437C-8494-919209B787E0}"/>
    <cellStyle name="Millares [0] 3 4 2 3 2" xfId="1239" xr:uid="{5D428B78-7666-4DEE-9760-293F61EC90C3}"/>
    <cellStyle name="Millares [0] 3 4 2 4" xfId="907" xr:uid="{88C04FEC-FE0F-4823-96EE-3766F3F07B9E}"/>
    <cellStyle name="Millares [0] 3 4 3" xfId="313" xr:uid="{7301E1F6-BF2E-4343-848D-D0870BCE07B5}"/>
    <cellStyle name="Millares [0] 3 4 3 2" xfId="652" xr:uid="{373EF969-8348-4430-B7A0-CFE52C1E5C06}"/>
    <cellStyle name="Millares [0] 3 4 3 2 2" xfId="1323" xr:uid="{C9FF488A-839F-4BAC-9323-CF46768C7E2B}"/>
    <cellStyle name="Millares [0] 3 4 3 3" xfId="991" xr:uid="{7C3E85D2-4339-4FEC-B0FB-9F2C506540C9}"/>
    <cellStyle name="Millares [0] 3 4 4" xfId="486" xr:uid="{99F85B55-7CEA-46C4-B6DD-EF555FEC739B}"/>
    <cellStyle name="Millares [0] 3 4 4 2" xfId="1157" xr:uid="{35F87C6E-ACA8-4361-A439-DEBE2DCF2FBD}"/>
    <cellStyle name="Millares [0] 3 4 5" xfId="825" xr:uid="{07966DB5-9CA8-4FBC-97C7-38909ABC25C7}"/>
    <cellStyle name="Millares [0] 3 5" xfId="168" xr:uid="{CBDA797F-31FA-4C86-9B77-92E56983070A}"/>
    <cellStyle name="Millares [0] 3 5 2" xfId="355" xr:uid="{AFC5578E-02DB-40D1-863D-44B11C056B82}"/>
    <cellStyle name="Millares [0] 3 5 2 2" xfId="694" xr:uid="{A733C84C-E203-49AE-9478-D23895FA7A4B}"/>
    <cellStyle name="Millares [0] 3 5 2 2 2" xfId="1365" xr:uid="{CDC14655-C544-40C7-9D8D-2D9995FAA632}"/>
    <cellStyle name="Millares [0] 3 5 2 3" xfId="1033" xr:uid="{2389A290-CB44-4268-A7C4-55E22F270996}"/>
    <cellStyle name="Millares [0] 3 5 3" xfId="528" xr:uid="{4763ADF6-BAFD-49CA-A9CD-F48304851026}"/>
    <cellStyle name="Millares [0] 3 5 3 2" xfId="1199" xr:uid="{1B12AE18-FA40-4933-9298-0C445B53AD30}"/>
    <cellStyle name="Millares [0] 3 5 4" xfId="867" xr:uid="{7811CC9E-A550-406D-BBE1-24670A6AE6F9}"/>
    <cellStyle name="Millares [0] 3 6" xfId="272" xr:uid="{DD3E4B32-B39D-4BF7-94B4-A9D7977CE2A0}"/>
    <cellStyle name="Millares [0] 3 6 2" xfId="612" xr:uid="{0F192DA0-A431-42C0-8980-1DA3E7A749C9}"/>
    <cellStyle name="Millares [0] 3 6 2 2" xfId="1283" xr:uid="{025FAE88-16BF-4A88-95BC-86A43D3F6F1B}"/>
    <cellStyle name="Millares [0] 3 6 3" xfId="951" xr:uid="{98C1A562-B0CF-491B-9654-C7177360408D}"/>
    <cellStyle name="Millares [0] 3 7" xfId="445" xr:uid="{63B6DE0E-E995-43F5-8578-FAD6AD29E7B6}"/>
    <cellStyle name="Millares [0] 3 7 2" xfId="1117" xr:uid="{8C62E395-9678-4506-BECB-7E66A2900ED5}"/>
    <cellStyle name="Millares [0] 3 8" xfId="784" xr:uid="{B897128B-399C-4041-88CF-33A95567F0FD}"/>
    <cellStyle name="Millares [0] 34" xfId="45" xr:uid="{B7525EB2-B539-4C29-B01C-46E4F6684257}"/>
    <cellStyle name="Millares [0] 34 2" xfId="72" xr:uid="{14A4251D-6DE0-4447-8EED-05E14EDD49BB}"/>
    <cellStyle name="Millares [0] 34 2 2" xfId="101" xr:uid="{A1A1912C-4AD2-40F9-8245-2C65DD7D1AFD}"/>
    <cellStyle name="Millares [0] 34 2 2 2" xfId="149" xr:uid="{103BC10A-3F70-4AA6-BA26-21FC1889252E}"/>
    <cellStyle name="Millares [0] 34 2 2 2 2" xfId="238" xr:uid="{AE252186-875C-4C26-A5F4-DF452E81BBEC}"/>
    <cellStyle name="Millares [0] 34 2 2 2 2 2" xfId="424" xr:uid="{24EF5577-5EB8-48E6-BAF3-5AB151C2F7AE}"/>
    <cellStyle name="Millares [0] 34 2 2 2 2 2 2" xfId="763" xr:uid="{CDD5D70D-626B-4777-9ADB-5184B938214F}"/>
    <cellStyle name="Millares [0] 34 2 2 2 2 2 2 2" xfId="1434" xr:uid="{B4979D6B-AE8C-41F2-99C4-B4709C114C6E}"/>
    <cellStyle name="Millares [0] 34 2 2 2 2 2 3" xfId="1102" xr:uid="{15B6AA8D-547F-4B77-AAEF-7DEDB8073D97}"/>
    <cellStyle name="Millares [0] 34 2 2 2 2 3" xfId="597" xr:uid="{C88A1E16-4D06-4365-853D-AFDAAF35EB5E}"/>
    <cellStyle name="Millares [0] 34 2 2 2 2 3 2" xfId="1268" xr:uid="{738FF061-34DE-4843-B275-1766E151365D}"/>
    <cellStyle name="Millares [0] 34 2 2 2 2 4" xfId="936" xr:uid="{FAC98FAE-E53E-495C-B9B7-766350A58178}"/>
    <cellStyle name="Millares [0] 34 2 2 2 3" xfId="342" xr:uid="{8265131D-C381-43B3-9C30-C73573D92831}"/>
    <cellStyle name="Millares [0] 34 2 2 2 3 2" xfId="681" xr:uid="{D888E98C-3346-4522-B869-02800FB51689}"/>
    <cellStyle name="Millares [0] 34 2 2 2 3 2 2" xfId="1352" xr:uid="{FCFDA799-C927-4643-98E2-834D403C6E0E}"/>
    <cellStyle name="Millares [0] 34 2 2 2 3 3" xfId="1020" xr:uid="{E887FB37-B7F9-437C-B0A5-A4C945F78E55}"/>
    <cellStyle name="Millares [0] 34 2 2 2 4" xfId="515" xr:uid="{46483CC5-4138-4056-8F8D-DCD2A3076CF1}"/>
    <cellStyle name="Millares [0] 34 2 2 2 4 2" xfId="1186" xr:uid="{56512ED0-D701-4EB6-A21C-45FAD14D712F}"/>
    <cellStyle name="Millares [0] 34 2 2 2 5" xfId="854" xr:uid="{8572970C-9158-48C8-95F6-D42C2090BAD2}"/>
    <cellStyle name="Millares [0] 34 2 2 3" xfId="198" xr:uid="{703D7F3A-E9D3-40A0-AF1D-ABB127B67464}"/>
    <cellStyle name="Millares [0] 34 2 2 3 2" xfId="384" xr:uid="{08771A03-CB17-4485-949F-F7CD81A9BBA2}"/>
    <cellStyle name="Millares [0] 34 2 2 3 2 2" xfId="723" xr:uid="{4719B67A-EE99-415B-97C1-316635AD6022}"/>
    <cellStyle name="Millares [0] 34 2 2 3 2 2 2" xfId="1394" xr:uid="{C5B8402A-B675-4958-9654-277B53049967}"/>
    <cellStyle name="Millares [0] 34 2 2 3 2 3" xfId="1062" xr:uid="{55717A48-A8D9-4667-9128-277557F68073}"/>
    <cellStyle name="Millares [0] 34 2 2 3 3" xfId="557" xr:uid="{9912A5C6-585A-4B84-AFE4-62A716C26E87}"/>
    <cellStyle name="Millares [0] 34 2 2 3 3 2" xfId="1228" xr:uid="{FFCBD64B-DFD9-4C11-AD57-9365C13C7239}"/>
    <cellStyle name="Millares [0] 34 2 2 3 4" xfId="896" xr:uid="{A4E9AA9A-132C-4A72-A318-2FE7B513E2D2}"/>
    <cellStyle name="Millares [0] 34 2 2 4" xfId="302" xr:uid="{AEAD602F-1940-4DBB-A996-5FCCB50DE09C}"/>
    <cellStyle name="Millares [0] 34 2 2 4 2" xfId="641" xr:uid="{863CF90B-6794-4510-822B-0BB2C9455C97}"/>
    <cellStyle name="Millares [0] 34 2 2 4 2 2" xfId="1312" xr:uid="{9B63E068-5160-4BCA-9638-00A574F34BAE}"/>
    <cellStyle name="Millares [0] 34 2 2 4 3" xfId="980" xr:uid="{433BC740-B9FE-4D06-B3B4-94496A710806}"/>
    <cellStyle name="Millares [0] 34 2 2 5" xfId="475" xr:uid="{E7DCEB77-19F1-44E4-BED2-2B006CD3BE74}"/>
    <cellStyle name="Millares [0] 34 2 2 5 2" xfId="1146" xr:uid="{A6358319-9BCA-42B1-AD8D-6C49D6D3DE1A}"/>
    <cellStyle name="Millares [0] 34 2 2 6" xfId="814" xr:uid="{4433CD0D-AD61-4A2A-9986-9F6257C41722}"/>
    <cellStyle name="Millares [0] 34 2 3" xfId="130" xr:uid="{0D26E3FB-7E4D-4661-A82D-3C4148C7CD10}"/>
    <cellStyle name="Millares [0] 34 2 3 2" xfId="219" xr:uid="{6CE7467D-226A-4591-BC70-FDBE5F8CE5A6}"/>
    <cellStyle name="Millares [0] 34 2 3 2 2" xfId="405" xr:uid="{E0CDDAF2-E993-4B65-8A3A-48AFBADCFB40}"/>
    <cellStyle name="Millares [0] 34 2 3 2 2 2" xfId="744" xr:uid="{85104901-237F-494A-8775-8AEE0A8B01A7}"/>
    <cellStyle name="Millares [0] 34 2 3 2 2 2 2" xfId="1415" xr:uid="{014509AF-6AAD-4CDF-B74F-CC32932E8665}"/>
    <cellStyle name="Millares [0] 34 2 3 2 2 3" xfId="1083" xr:uid="{2603F066-0118-4900-8854-7868CA24C24D}"/>
    <cellStyle name="Millares [0] 34 2 3 2 3" xfId="578" xr:uid="{6585C259-BFB1-43F2-949B-2D944C9EF380}"/>
    <cellStyle name="Millares [0] 34 2 3 2 3 2" xfId="1249" xr:uid="{A8114291-1CC6-4B64-8AB0-75D3E52BFED0}"/>
    <cellStyle name="Millares [0] 34 2 3 2 4" xfId="917" xr:uid="{BC879EC2-B6BC-4B2A-9173-16B2216741CF}"/>
    <cellStyle name="Millares [0] 34 2 3 3" xfId="323" xr:uid="{D5F00336-7415-4B1B-99D6-730A74A680F7}"/>
    <cellStyle name="Millares [0] 34 2 3 3 2" xfId="662" xr:uid="{6A3EF687-118E-4585-8240-1B3B22864655}"/>
    <cellStyle name="Millares [0] 34 2 3 3 2 2" xfId="1333" xr:uid="{FBE4F2AD-C41B-4902-8608-6F5C4E6E1279}"/>
    <cellStyle name="Millares [0] 34 2 3 3 3" xfId="1001" xr:uid="{51B51FFA-AE64-44BD-82E5-8C57C670B7BC}"/>
    <cellStyle name="Millares [0] 34 2 3 4" xfId="496" xr:uid="{6ABC5504-22DA-4FEA-9F9F-F7424B060153}"/>
    <cellStyle name="Millares [0] 34 2 3 4 2" xfId="1167" xr:uid="{EE785058-B6D6-4183-B223-D4416DAB23FE}"/>
    <cellStyle name="Millares [0] 34 2 3 5" xfId="835" xr:uid="{2C59C42E-D9A3-47E6-9624-58991950A5FF}"/>
    <cellStyle name="Millares [0] 34 2 4" xfId="179" xr:uid="{6CECE68A-A38F-4F87-A3A5-04419207FE5C}"/>
    <cellStyle name="Millares [0] 34 2 4 2" xfId="365" xr:uid="{5588BB1E-1C5A-4A0C-AAB2-38816066098D}"/>
    <cellStyle name="Millares [0] 34 2 4 2 2" xfId="704" xr:uid="{9EB34B43-C953-40A4-BC1A-BFB5FEBBFB4A}"/>
    <cellStyle name="Millares [0] 34 2 4 2 2 2" xfId="1375" xr:uid="{E366BFA4-EDE3-4340-ACC5-3EB4EA5CD925}"/>
    <cellStyle name="Millares [0] 34 2 4 2 3" xfId="1043" xr:uid="{C3ACB527-8226-44A1-9564-0873FC5F3644}"/>
    <cellStyle name="Millares [0] 34 2 4 3" xfId="538" xr:uid="{6D805367-2228-4004-B92F-5347C5D4A7A7}"/>
    <cellStyle name="Millares [0] 34 2 4 3 2" xfId="1209" xr:uid="{16F9C88C-18CE-47B2-A3B1-32BB3FBC683E}"/>
    <cellStyle name="Millares [0] 34 2 4 4" xfId="877" xr:uid="{EF7C4B8C-6130-41D5-A86B-8AB224FEED9B}"/>
    <cellStyle name="Millares [0] 34 2 5" xfId="283" xr:uid="{D5F5ED0D-70C5-4DE4-95C3-AB27BD2BAAE3}"/>
    <cellStyle name="Millares [0] 34 2 5 2" xfId="622" xr:uid="{CD1D20ED-9BE4-45E1-8129-AEDDBD974243}"/>
    <cellStyle name="Millares [0] 34 2 5 2 2" xfId="1293" xr:uid="{E117DDDC-F4E7-4254-93E1-797F01FC6339}"/>
    <cellStyle name="Millares [0] 34 2 5 3" xfId="961" xr:uid="{DCD13659-88B5-4DC7-81D9-DAF4434288B6}"/>
    <cellStyle name="Millares [0] 34 2 6" xfId="456" xr:uid="{547C4E79-91A7-40D1-A683-1994437DAC8D}"/>
    <cellStyle name="Millares [0] 34 2 6 2" xfId="1127" xr:uid="{1FB06FE1-85DE-4430-BF3B-51EED7EB3BB3}"/>
    <cellStyle name="Millares [0] 34 2 7" xfId="795" xr:uid="{E17916B2-0950-4586-8194-37EFD307D8B4}"/>
    <cellStyle name="Millares [0] 34 3" xfId="90" xr:uid="{57603B22-1834-4D9D-8E48-A1D1F875A5A3}"/>
    <cellStyle name="Millares [0] 34 3 2" xfId="140" xr:uid="{1A4B5812-E952-4DBE-B4F2-6C0FB89260DB}"/>
    <cellStyle name="Millares [0] 34 3 2 2" xfId="229" xr:uid="{5D8E2F9B-1E50-4C8C-8560-6BC3D59BDE84}"/>
    <cellStyle name="Millares [0] 34 3 2 2 2" xfId="415" xr:uid="{DB7B2889-97DD-42EF-B222-566E8D5EE681}"/>
    <cellStyle name="Millares [0] 34 3 2 2 2 2" xfId="754" xr:uid="{D7DBAE76-0117-48BD-86D1-D44313DE7866}"/>
    <cellStyle name="Millares [0] 34 3 2 2 2 2 2" xfId="1425" xr:uid="{BC108177-7782-4EC3-9894-9391CB940654}"/>
    <cellStyle name="Millares [0] 34 3 2 2 2 3" xfId="1093" xr:uid="{E42EA37F-96C7-432B-92AD-5F35428E009A}"/>
    <cellStyle name="Millares [0] 34 3 2 2 3" xfId="588" xr:uid="{47E2905A-BCC6-4985-AA11-D594C35824F9}"/>
    <cellStyle name="Millares [0] 34 3 2 2 3 2" xfId="1259" xr:uid="{1EA49EB8-C12A-4ACA-BC32-53D1A1EF9F91}"/>
    <cellStyle name="Millares [0] 34 3 2 2 4" xfId="927" xr:uid="{3AF2A0E1-7EBA-4697-9610-85C7CC713120}"/>
    <cellStyle name="Millares [0] 34 3 2 3" xfId="333" xr:uid="{C8111DC5-0185-43BC-9B33-BD1D9F39B082}"/>
    <cellStyle name="Millares [0] 34 3 2 3 2" xfId="672" xr:uid="{EAEF3E87-A14E-473C-874D-72D774A4687D}"/>
    <cellStyle name="Millares [0] 34 3 2 3 2 2" xfId="1343" xr:uid="{8F23C5A7-A74C-4D4F-A484-0EB699E94AB7}"/>
    <cellStyle name="Millares [0] 34 3 2 3 3" xfId="1011" xr:uid="{075DC40F-46B8-48F6-BE16-08C5DB05E0CA}"/>
    <cellStyle name="Millares [0] 34 3 2 4" xfId="506" xr:uid="{A7BC43B8-E935-4706-AC28-4D4EEEEB5A11}"/>
    <cellStyle name="Millares [0] 34 3 2 4 2" xfId="1177" xr:uid="{55B4DACE-DAE8-4579-80F1-69A473C5C6C6}"/>
    <cellStyle name="Millares [0] 34 3 2 5" xfId="845" xr:uid="{103DEB22-E9E9-42A8-B7E5-2253B4004F86}"/>
    <cellStyle name="Millares [0] 34 3 3" xfId="189" xr:uid="{5705F7DA-037E-4E30-B7DA-B57BF567566F}"/>
    <cellStyle name="Millares [0] 34 3 3 2" xfId="375" xr:uid="{24F5AF87-AE99-4998-B543-8351723B1DA6}"/>
    <cellStyle name="Millares [0] 34 3 3 2 2" xfId="714" xr:uid="{C269E770-7FA7-4627-9ED6-FCA3253E6D5E}"/>
    <cellStyle name="Millares [0] 34 3 3 2 2 2" xfId="1385" xr:uid="{9F55DE6F-3CAE-4FC5-AB58-25759882A622}"/>
    <cellStyle name="Millares [0] 34 3 3 2 3" xfId="1053" xr:uid="{B04F730F-83AC-4311-9D2B-A4C37CE82526}"/>
    <cellStyle name="Millares [0] 34 3 3 3" xfId="548" xr:uid="{B84D9DC8-0663-407F-AA9C-73A9030F13FC}"/>
    <cellStyle name="Millares [0] 34 3 3 3 2" xfId="1219" xr:uid="{F72B82AB-2827-41C5-88B3-F2A1D3298C66}"/>
    <cellStyle name="Millares [0] 34 3 3 4" xfId="887" xr:uid="{950821EA-50ED-4128-847C-DEBC600B5CF0}"/>
    <cellStyle name="Millares [0] 34 3 4" xfId="293" xr:uid="{B8EEE2A0-CD56-4E8C-87FD-0EFC0FE40FE3}"/>
    <cellStyle name="Millares [0] 34 3 4 2" xfId="632" xr:uid="{077B0519-3EE6-4C50-9A56-893046ED82A4}"/>
    <cellStyle name="Millares [0] 34 3 4 2 2" xfId="1303" xr:uid="{62E23C4F-739D-4D6C-B942-EBEFBCF288B9}"/>
    <cellStyle name="Millares [0] 34 3 4 3" xfId="971" xr:uid="{AE457BE5-AC9C-4823-AF88-777347D21092}"/>
    <cellStyle name="Millares [0] 34 3 5" xfId="466" xr:uid="{0FCD9120-3342-4D54-B571-B6F80690E6EF}"/>
    <cellStyle name="Millares [0] 34 3 5 2" xfId="1137" xr:uid="{E3F02252-2209-41A6-8336-59E47EFE575F}"/>
    <cellStyle name="Millares [0] 34 3 6" xfId="805" xr:uid="{4D524C25-45CE-4659-B5C9-91C9CA658E8A}"/>
    <cellStyle name="Millares [0] 34 4" xfId="119" xr:uid="{14723F3C-5D9D-4358-B783-8E1D4B44CB33}"/>
    <cellStyle name="Millares [0] 34 4 2" xfId="210" xr:uid="{CE224C64-F227-4EE4-8A79-8D933892A42C}"/>
    <cellStyle name="Millares [0] 34 4 2 2" xfId="396" xr:uid="{617CFA62-F8CD-402F-81EA-B1A0B0C55D57}"/>
    <cellStyle name="Millares [0] 34 4 2 2 2" xfId="735" xr:uid="{5B272B23-E7D9-43A8-B78D-0DA35EC4C716}"/>
    <cellStyle name="Millares [0] 34 4 2 2 2 2" xfId="1406" xr:uid="{6EBA5358-D225-49C1-9008-D5588714B486}"/>
    <cellStyle name="Millares [0] 34 4 2 2 3" xfId="1074" xr:uid="{CF09610D-B9FC-4BC9-9620-BADBD00BA200}"/>
    <cellStyle name="Millares [0] 34 4 2 3" xfId="569" xr:uid="{24A001B9-DE49-4190-8A69-682764BA6624}"/>
    <cellStyle name="Millares [0] 34 4 2 3 2" xfId="1240" xr:uid="{8A5E55E7-0362-47B0-A331-941A00EB527C}"/>
    <cellStyle name="Millares [0] 34 4 2 4" xfId="908" xr:uid="{2C4AAC53-00AA-49CC-95A8-07351C93271B}"/>
    <cellStyle name="Millares [0] 34 4 3" xfId="314" xr:uid="{05FE470E-662D-4323-A8FC-674763A95CE7}"/>
    <cellStyle name="Millares [0] 34 4 3 2" xfId="653" xr:uid="{C4945C2E-0626-4150-82BA-1BF1C10C10EA}"/>
    <cellStyle name="Millares [0] 34 4 3 2 2" xfId="1324" xr:uid="{A8B70356-CC02-4783-94FB-BB020E08BF4D}"/>
    <cellStyle name="Millares [0] 34 4 3 3" xfId="992" xr:uid="{BBE43C8C-0D11-4FA4-BA00-405D27198C62}"/>
    <cellStyle name="Millares [0] 34 4 4" xfId="487" xr:uid="{3CEDCA17-BCF1-4735-A1A7-4EF0051BDD75}"/>
    <cellStyle name="Millares [0] 34 4 4 2" xfId="1158" xr:uid="{B92E2EE2-F85F-4CF8-AE44-EA8CD20811B8}"/>
    <cellStyle name="Millares [0] 34 4 5" xfId="826" xr:uid="{0AF4264B-08EA-4F03-A13A-0E30B11C9A93}"/>
    <cellStyle name="Millares [0] 34 5" xfId="169" xr:uid="{DAEEFB9F-6081-4FE6-8702-9F828EE74DD7}"/>
    <cellStyle name="Millares [0] 34 5 2" xfId="356" xr:uid="{41AE1780-9EE4-479A-A829-5647F04CD95E}"/>
    <cellStyle name="Millares [0] 34 5 2 2" xfId="695" xr:uid="{04BD0760-FF71-433C-B2D0-15BA747AA543}"/>
    <cellStyle name="Millares [0] 34 5 2 2 2" xfId="1366" xr:uid="{704D1390-9089-4BFA-AA1D-0769BC389409}"/>
    <cellStyle name="Millares [0] 34 5 2 3" xfId="1034" xr:uid="{2E1A54AA-53DF-4833-AF90-1F0D9B0A9C5C}"/>
    <cellStyle name="Millares [0] 34 5 3" xfId="529" xr:uid="{4DC4A324-D1A1-463A-8189-C07F3BF31CA4}"/>
    <cellStyle name="Millares [0] 34 5 3 2" xfId="1200" xr:uid="{0440CD85-9237-4FDF-9409-C1A0F0663D35}"/>
    <cellStyle name="Millares [0] 34 5 4" xfId="868" xr:uid="{9CCD1EFA-624B-4D41-BE2D-A3E3F357131B}"/>
    <cellStyle name="Millares [0] 34 6" xfId="273" xr:uid="{75C3EB8F-F229-4D65-9E0A-57900A3FBCBF}"/>
    <cellStyle name="Millares [0] 34 6 2" xfId="613" xr:uid="{94C7ABA6-9048-4AEC-A1F6-956B52E2DD9B}"/>
    <cellStyle name="Millares [0] 34 6 2 2" xfId="1284" xr:uid="{135E19B7-5164-49D7-9E1C-1173A5B969D6}"/>
    <cellStyle name="Millares [0] 34 6 3" xfId="952" xr:uid="{19323951-BA27-4E90-B449-DEE13525AD4A}"/>
    <cellStyle name="Millares [0] 34 7" xfId="446" xr:uid="{64D4889C-02BE-420A-9A9F-D682284B1CC3}"/>
    <cellStyle name="Millares [0] 34 7 2" xfId="1118" xr:uid="{EF6DBD05-98F9-4D52-BD89-33B05104486A}"/>
    <cellStyle name="Millares [0] 34 8" xfId="785" xr:uid="{F4E02767-3023-4D9F-B5F5-7385D601650C}"/>
    <cellStyle name="Millares [0] 4" xfId="77" xr:uid="{1DB6CE8A-86D4-4EBD-A427-6A1C4E431B35}"/>
    <cellStyle name="Millares [0] 4 2" xfId="105" xr:uid="{D51A4A0C-6794-4153-A725-054F2E48F54D}"/>
    <cellStyle name="Millares [0] 4 2 2" xfId="153" xr:uid="{F0689044-A56D-4218-A7E4-423DF1F711D2}"/>
    <cellStyle name="Millares [0] 4 2 2 2" xfId="242" xr:uid="{ABA50558-9C22-4761-9038-EC9962D07437}"/>
    <cellStyle name="Millares [0] 4 2 2 2 2" xfId="428" xr:uid="{4373ACF1-CF3D-48A6-B088-3E72097AFB31}"/>
    <cellStyle name="Millares [0] 4 2 2 2 2 2" xfId="767" xr:uid="{D2CF8F9A-528A-43BF-9E0F-78B4ABE86210}"/>
    <cellStyle name="Millares [0] 4 2 2 2 2 2 2" xfId="1438" xr:uid="{D0E6B32A-A68C-4EDA-9BC6-0F3C406F4C31}"/>
    <cellStyle name="Millares [0] 4 2 2 2 2 3" xfId="1106" xr:uid="{7724373C-9C61-4BE4-BE0D-A2C5A77C4BBF}"/>
    <cellStyle name="Millares [0] 4 2 2 2 3" xfId="601" xr:uid="{79133067-2998-4230-9E7D-422BDCC75D4C}"/>
    <cellStyle name="Millares [0] 4 2 2 2 3 2" xfId="1272" xr:uid="{CA44125A-320D-491E-8422-786D51079C3E}"/>
    <cellStyle name="Millares [0] 4 2 2 2 4" xfId="940" xr:uid="{1DEFD076-E226-4A7A-B580-97F708D8921D}"/>
    <cellStyle name="Millares [0] 4 2 2 3" xfId="346" xr:uid="{0FE248C2-33B3-427A-9E81-AEBDF9B5ACFC}"/>
    <cellStyle name="Millares [0] 4 2 2 3 2" xfId="685" xr:uid="{B61E62C3-F85F-48E1-AA11-B1AD4C6260FC}"/>
    <cellStyle name="Millares [0] 4 2 2 3 2 2" xfId="1356" xr:uid="{0D33E99B-F986-434C-8D6B-65E7DB3A6EFE}"/>
    <cellStyle name="Millares [0] 4 2 2 3 3" xfId="1024" xr:uid="{4D8D77D3-31A9-4537-8FA7-A8C6D8B58350}"/>
    <cellStyle name="Millares [0] 4 2 2 4" xfId="519" xr:uid="{C4031ADF-4526-4EC7-A786-26E47D0BA4B6}"/>
    <cellStyle name="Millares [0] 4 2 2 4 2" xfId="1190" xr:uid="{B02483F8-1467-42EB-9B0E-0EAA66BA5D50}"/>
    <cellStyle name="Millares [0] 4 2 2 5" xfId="858" xr:uid="{B7A035C0-BC6B-450D-9C3C-073AF3770341}"/>
    <cellStyle name="Millares [0] 4 2 3" xfId="202" xr:uid="{8D0474CF-EC33-47E4-99E9-93D1B4B77AFB}"/>
    <cellStyle name="Millares [0] 4 2 3 2" xfId="388" xr:uid="{0A2C81AB-9FE1-4826-9C81-465D7A197E82}"/>
    <cellStyle name="Millares [0] 4 2 3 2 2" xfId="727" xr:uid="{DF4DBED0-D02D-4978-990F-3B1FD7855391}"/>
    <cellStyle name="Millares [0] 4 2 3 2 2 2" xfId="1398" xr:uid="{5E07BF4F-DFA7-4FBF-B520-8157B4C0804B}"/>
    <cellStyle name="Millares [0] 4 2 3 2 3" xfId="1066" xr:uid="{0D49E5F0-128D-46FC-8B07-EBBB2CF8270D}"/>
    <cellStyle name="Millares [0] 4 2 3 3" xfId="561" xr:uid="{D9964B3B-2421-493A-B0F7-BF2384023E9B}"/>
    <cellStyle name="Millares [0] 4 2 3 3 2" xfId="1232" xr:uid="{0CF8BA76-053E-4849-8C96-B6C8396F0461}"/>
    <cellStyle name="Millares [0] 4 2 3 4" xfId="900" xr:uid="{61F1FF45-76A8-4867-BB4F-B78EF3DBA758}"/>
    <cellStyle name="Millares [0] 4 2 4" xfId="306" xr:uid="{C673FC06-7936-4C05-9A94-3203B8474A27}"/>
    <cellStyle name="Millares [0] 4 2 4 2" xfId="645" xr:uid="{D30B0B38-6012-445A-B6D9-8BDD57FB235D}"/>
    <cellStyle name="Millares [0] 4 2 4 2 2" xfId="1316" xr:uid="{84132A49-C430-4E3F-8CE0-673BCAA9456C}"/>
    <cellStyle name="Millares [0] 4 2 4 3" xfId="984" xr:uid="{F22973D1-E571-4B68-A4ED-8AC232B089AA}"/>
    <cellStyle name="Millares [0] 4 2 5" xfId="479" xr:uid="{3A9EE758-29FC-4D17-86A8-061761357EE1}"/>
    <cellStyle name="Millares [0] 4 2 5 2" xfId="1150" xr:uid="{4F91C214-7AFD-42B9-9DA0-FB22A18F0F7E}"/>
    <cellStyle name="Millares [0] 4 2 6" xfId="818" xr:uid="{4C34789F-F12E-456D-8AF2-2D2788EBB82D}"/>
    <cellStyle name="Millares [0] 4 3" xfId="134" xr:uid="{D6B9AABD-C471-4753-A469-87342C1591C2}"/>
    <cellStyle name="Millares [0] 4 3 2" xfId="223" xr:uid="{4DC2D612-0AF8-4B3B-B897-2F6711872D6F}"/>
    <cellStyle name="Millares [0] 4 3 2 2" xfId="409" xr:uid="{26EDE25C-2D60-411C-A8CB-15AF4675F008}"/>
    <cellStyle name="Millares [0] 4 3 2 2 2" xfId="748" xr:uid="{F261666D-610C-4963-A106-F006065DCB3E}"/>
    <cellStyle name="Millares [0] 4 3 2 2 2 2" xfId="1419" xr:uid="{69FE4396-0221-4772-A9E6-6CDD48328B4C}"/>
    <cellStyle name="Millares [0] 4 3 2 2 3" xfId="1087" xr:uid="{CE2B51E7-86BA-4AD4-A7BB-EE1B961628FC}"/>
    <cellStyle name="Millares [0] 4 3 2 3" xfId="582" xr:uid="{E60E5171-2CF7-4341-99F5-917EB23D9245}"/>
    <cellStyle name="Millares [0] 4 3 2 3 2" xfId="1253" xr:uid="{17CE636C-C1AF-48E6-B06D-FF2F5D95C0D6}"/>
    <cellStyle name="Millares [0] 4 3 2 4" xfId="921" xr:uid="{F16F4A00-0184-45A8-96C9-75DDBF268061}"/>
    <cellStyle name="Millares [0] 4 3 3" xfId="327" xr:uid="{23201241-333B-4E15-BA8D-483848ECE1F2}"/>
    <cellStyle name="Millares [0] 4 3 3 2" xfId="666" xr:uid="{480DA5DB-C60D-4F18-885F-7489AA98C6BD}"/>
    <cellStyle name="Millares [0] 4 3 3 2 2" xfId="1337" xr:uid="{18B08028-48B6-4816-B189-5AE4B999DE04}"/>
    <cellStyle name="Millares [0] 4 3 3 3" xfId="1005" xr:uid="{9ECF108D-9FE5-405B-B02A-FF7E37ACF968}"/>
    <cellStyle name="Millares [0] 4 3 4" xfId="500" xr:uid="{3BCC0294-1CE2-4E8D-A244-67DBB8800ADD}"/>
    <cellStyle name="Millares [0] 4 3 4 2" xfId="1171" xr:uid="{CC75F795-56A1-4027-AD31-F6E5BD77B115}"/>
    <cellStyle name="Millares [0] 4 3 5" xfId="839" xr:uid="{452C5A8F-EFB9-46E3-A73E-8CCAB50B5D34}"/>
    <cellStyle name="Millares [0] 4 4" xfId="183" xr:uid="{435088C8-A16E-4EA8-B1AB-904BE83EA140}"/>
    <cellStyle name="Millares [0] 4 4 2" xfId="369" xr:uid="{4A9B3AA5-1002-4780-852F-0D9DFF1AA6E7}"/>
    <cellStyle name="Millares [0] 4 4 2 2" xfId="708" xr:uid="{3136678B-76DF-4AC0-8593-2E5DBBCB176E}"/>
    <cellStyle name="Millares [0] 4 4 2 2 2" xfId="1379" xr:uid="{B1AF691D-5705-4E90-AA76-C5E712B7D3AB}"/>
    <cellStyle name="Millares [0] 4 4 2 3" xfId="1047" xr:uid="{24E33897-7B3F-49B8-8F3B-AE9181AB38EC}"/>
    <cellStyle name="Millares [0] 4 4 3" xfId="542" xr:uid="{BBB53BCD-4612-4062-B76C-F89BA628BD15}"/>
    <cellStyle name="Millares [0] 4 4 3 2" xfId="1213" xr:uid="{44B9B280-C40B-4F70-8982-44BFB222975B}"/>
    <cellStyle name="Millares [0] 4 4 4" xfId="881" xr:uid="{55B8EB9C-C287-4602-9E11-811144930706}"/>
    <cellStyle name="Millares [0] 4 5" xfId="287" xr:uid="{44FD472C-A6A1-48DD-A9E2-BB3CA9EEAFFB}"/>
    <cellStyle name="Millares [0] 4 5 2" xfId="626" xr:uid="{38164D88-225A-47E0-A8EB-B7445A493796}"/>
    <cellStyle name="Millares [0] 4 5 2 2" xfId="1297" xr:uid="{E3EF2C9D-B058-4E12-8455-0BCE87CD8624}"/>
    <cellStyle name="Millares [0] 4 5 3" xfId="965" xr:uid="{DCB10176-20D0-4290-BDD1-BF7B24905F4D}"/>
    <cellStyle name="Millares [0] 4 6" xfId="460" xr:uid="{AD6FB5CB-CF61-4FA0-B900-82F9E8938F82}"/>
    <cellStyle name="Millares [0] 4 6 2" xfId="1131" xr:uid="{7BF3C833-64C2-4985-B4C4-A7FFB87E5DDE}"/>
    <cellStyle name="Millares [0] 4 7" xfId="799" xr:uid="{E531A67B-1762-4659-85F0-EA5F633373E0}"/>
    <cellStyle name="Millares [0] 5" xfId="62" xr:uid="{D859631F-6401-4681-9F27-F46ADE18417A}"/>
    <cellStyle name="Millares [0] 5 2" xfId="97" xr:uid="{B65DA012-9F0B-44B0-B9DF-CE851DD8A594}"/>
    <cellStyle name="Millares [0] 5 2 2" xfId="145" xr:uid="{E4F0FABB-D518-41B1-ADC5-17E36E94F1B3}"/>
    <cellStyle name="Millares [0] 5 2 2 2" xfId="234" xr:uid="{B4078907-79D7-4907-9041-A9979C3FD59C}"/>
    <cellStyle name="Millares [0] 5 2 2 2 2" xfId="420" xr:uid="{8E4B0C41-80BD-45D5-A688-F5938E426A32}"/>
    <cellStyle name="Millares [0] 5 2 2 2 2 2" xfId="759" xr:uid="{A2CF488A-149F-4C79-8371-65DD1910133C}"/>
    <cellStyle name="Millares [0] 5 2 2 2 2 2 2" xfId="1430" xr:uid="{BC7B4DF6-DC2D-4166-9F9C-4DC2002AB6C0}"/>
    <cellStyle name="Millares [0] 5 2 2 2 2 3" xfId="1098" xr:uid="{BD28768C-3E52-4931-B5B8-8E8C573C3DAC}"/>
    <cellStyle name="Millares [0] 5 2 2 2 3" xfId="593" xr:uid="{7E33CA5C-AAA0-4355-8213-C2E12CC85ACA}"/>
    <cellStyle name="Millares [0] 5 2 2 2 3 2" xfId="1264" xr:uid="{C2788A97-FA04-4F47-8158-4DE8A78A3B17}"/>
    <cellStyle name="Millares [0] 5 2 2 2 4" xfId="932" xr:uid="{911B3DFC-C1BC-4FB4-91B1-821F7FA8E0C1}"/>
    <cellStyle name="Millares [0] 5 2 2 3" xfId="338" xr:uid="{735DE6CA-CEB3-4613-885A-DD2664D310CD}"/>
    <cellStyle name="Millares [0] 5 2 2 3 2" xfId="677" xr:uid="{228123D2-3303-4162-9F13-A59E9FEBBFB0}"/>
    <cellStyle name="Millares [0] 5 2 2 3 2 2" xfId="1348" xr:uid="{07DB863B-5927-4077-A1F5-C713B2DF5EF6}"/>
    <cellStyle name="Millares [0] 5 2 2 3 3" xfId="1016" xr:uid="{C2DEFAB2-0C80-40DE-B5F0-0B7996719D85}"/>
    <cellStyle name="Millares [0] 5 2 2 4" xfId="511" xr:uid="{16A1866C-9A96-48B5-9D1C-F13769EFB66F}"/>
    <cellStyle name="Millares [0] 5 2 2 4 2" xfId="1182" xr:uid="{EEABB407-C634-4153-A4B6-455139469DE7}"/>
    <cellStyle name="Millares [0] 5 2 2 5" xfId="850" xr:uid="{03717B62-D750-422C-9542-71C7278D02D7}"/>
    <cellStyle name="Millares [0] 5 2 3" xfId="194" xr:uid="{941AFC44-F56C-465D-8EB3-C0A8B89E8074}"/>
    <cellStyle name="Millares [0] 5 2 3 2" xfId="380" xr:uid="{2099B5B6-B499-4683-9117-B87C777F52D9}"/>
    <cellStyle name="Millares [0] 5 2 3 2 2" xfId="719" xr:uid="{3BF29542-A726-4523-B673-4F708EF00384}"/>
    <cellStyle name="Millares [0] 5 2 3 2 2 2" xfId="1390" xr:uid="{7A864FAD-4E90-486E-912C-94CC02D5D204}"/>
    <cellStyle name="Millares [0] 5 2 3 2 3" xfId="1058" xr:uid="{6830EE3B-E9C4-49BA-9D59-502E0C56D54A}"/>
    <cellStyle name="Millares [0] 5 2 3 3" xfId="553" xr:uid="{544F5590-16D3-4066-B718-51E9418A3E5A}"/>
    <cellStyle name="Millares [0] 5 2 3 3 2" xfId="1224" xr:uid="{5316D91E-E6F3-487F-9282-D316890A4B12}"/>
    <cellStyle name="Millares [0] 5 2 3 4" xfId="892" xr:uid="{DE42D099-07B0-4079-9046-9C6BBD5D62BD}"/>
    <cellStyle name="Millares [0] 5 2 4" xfId="298" xr:uid="{E236924D-2AC3-4B84-8046-543D64717241}"/>
    <cellStyle name="Millares [0] 5 2 4 2" xfId="637" xr:uid="{BED96112-006E-4E25-8086-2A11F5D8C483}"/>
    <cellStyle name="Millares [0] 5 2 4 2 2" xfId="1308" xr:uid="{D8B400EC-9585-4692-93BF-B9A09AF8DBDB}"/>
    <cellStyle name="Millares [0] 5 2 4 3" xfId="976" xr:uid="{DADE50C5-923C-4050-9A07-D76947B632EF}"/>
    <cellStyle name="Millares [0] 5 2 5" xfId="471" xr:uid="{709C66FF-3CFA-412C-B36E-F834AA039CEF}"/>
    <cellStyle name="Millares [0] 5 2 5 2" xfId="1142" xr:uid="{E87DFB52-E10C-4D30-BD78-8E11C6D1674C}"/>
    <cellStyle name="Millares [0] 5 2 6" xfId="810" xr:uid="{0649DE70-B4ED-40BA-B63D-952AA4DF2080}"/>
    <cellStyle name="Millares [0] 5 3" xfId="126" xr:uid="{B633B3D5-95B4-49EF-ADEB-9128F390C007}"/>
    <cellStyle name="Millares [0] 5 3 2" xfId="215" xr:uid="{4951815A-E3B8-4658-AD81-D22A51575C8B}"/>
    <cellStyle name="Millares [0] 5 3 2 2" xfId="401" xr:uid="{45D7902B-BDD7-40CD-83E7-E8A7428CED8C}"/>
    <cellStyle name="Millares [0] 5 3 2 2 2" xfId="740" xr:uid="{F361D64A-EC4A-40B0-8C56-D8FA881687CF}"/>
    <cellStyle name="Millares [0] 5 3 2 2 2 2" xfId="1411" xr:uid="{0557E48D-EFD2-41D8-AA3F-CB1E7E5987EA}"/>
    <cellStyle name="Millares [0] 5 3 2 2 3" xfId="1079" xr:uid="{C1EB3967-688E-4FA4-80A8-E6DBC54473C3}"/>
    <cellStyle name="Millares [0] 5 3 2 3" xfId="574" xr:uid="{E6A8696F-0263-444C-A794-90C6BE8245AE}"/>
    <cellStyle name="Millares [0] 5 3 2 3 2" xfId="1245" xr:uid="{32C784C9-5843-402F-B67F-E73E264FAE5C}"/>
    <cellStyle name="Millares [0] 5 3 2 4" xfId="913" xr:uid="{01F48E9C-DF96-414F-B440-0AC354F4E408}"/>
    <cellStyle name="Millares [0] 5 3 3" xfId="319" xr:uid="{B49943AF-57D3-48AC-86D6-C1C92B11335A}"/>
    <cellStyle name="Millares [0] 5 3 3 2" xfId="658" xr:uid="{5F140C31-CB1E-4AF2-8777-9B8E83FB5805}"/>
    <cellStyle name="Millares [0] 5 3 3 2 2" xfId="1329" xr:uid="{D4D3D6E9-DA8A-4BD0-AB84-D96CDCC9C2AB}"/>
    <cellStyle name="Millares [0] 5 3 3 3" xfId="997" xr:uid="{CDC1FDA4-E828-4625-90DF-811F288F5B43}"/>
    <cellStyle name="Millares [0] 5 3 4" xfId="492" xr:uid="{4E337FB1-9CFE-4462-8A5B-47512EB2F567}"/>
    <cellStyle name="Millares [0] 5 3 4 2" xfId="1163" xr:uid="{1A091560-3739-4401-985A-6622813E8DA5}"/>
    <cellStyle name="Millares [0] 5 3 5" xfId="831" xr:uid="{F7B757EE-EE3B-48F7-B59F-D89F464CEB09}"/>
    <cellStyle name="Millares [0] 5 4" xfId="175" xr:uid="{CE911D75-B830-4A35-8D8E-AC384EE309AD}"/>
    <cellStyle name="Millares [0] 5 4 2" xfId="361" xr:uid="{B448473F-EE76-4C23-9D87-BD976C87061F}"/>
    <cellStyle name="Millares [0] 5 4 2 2" xfId="700" xr:uid="{AC5EA21C-E315-4C07-8CDD-2881AF9C2886}"/>
    <cellStyle name="Millares [0] 5 4 2 2 2" xfId="1371" xr:uid="{7DB469A8-173E-4911-A4AD-C3D642B1861F}"/>
    <cellStyle name="Millares [0] 5 4 2 3" xfId="1039" xr:uid="{8617EF3C-45AE-4AB1-BA86-35EF81528595}"/>
    <cellStyle name="Millares [0] 5 4 3" xfId="534" xr:uid="{5AE4C9FB-F757-497B-8127-16570DC5AE44}"/>
    <cellStyle name="Millares [0] 5 4 3 2" xfId="1205" xr:uid="{82BFBC02-B037-4CEF-B501-D50863C4F33B}"/>
    <cellStyle name="Millares [0] 5 4 4" xfId="873" xr:uid="{909829B7-3D79-4D39-B818-B3B09CDD07E7}"/>
    <cellStyle name="Millares [0] 5 5" xfId="279" xr:uid="{BD1D4B2F-4E06-4B97-8624-630F3C919EB4}"/>
    <cellStyle name="Millares [0] 5 5 2" xfId="618" xr:uid="{A8888831-B85A-41CA-9D2A-1CC97B116AE6}"/>
    <cellStyle name="Millares [0] 5 5 2 2" xfId="1289" xr:uid="{FFD584C7-912A-4174-96EB-FD43C12E8225}"/>
    <cellStyle name="Millares [0] 5 5 3" xfId="957" xr:uid="{EDCE6CBD-7B99-4E4D-8998-F10AE956A170}"/>
    <cellStyle name="Millares [0] 5 6" xfId="452" xr:uid="{C0290868-7B50-46D1-8433-AD2B0DD749B7}"/>
    <cellStyle name="Millares [0] 5 6 2" xfId="1123" xr:uid="{19E68682-E804-42E6-A5A2-8D6B7CA78099}"/>
    <cellStyle name="Millares [0] 5 7" xfId="791" xr:uid="{AC118F84-5DB3-4C4D-8ADD-80F9666575AF}"/>
    <cellStyle name="Millares [0] 6" xfId="95" xr:uid="{1EEE4F76-BD61-4CA9-AC14-D22A27EDFA23}"/>
    <cellStyle name="Millares [0] 6 2" xfId="144" xr:uid="{D2609A9F-E33E-46F0-AFCC-185FACDABB3E}"/>
    <cellStyle name="Millares [0] 6 2 2" xfId="233" xr:uid="{F1A9BA73-32B5-451A-8D58-D295447C8E6D}"/>
    <cellStyle name="Millares [0] 6 2 2 2" xfId="419" xr:uid="{9D8595A8-F737-4CAF-896F-791F0EF0F981}"/>
    <cellStyle name="Millares [0] 6 2 2 2 2" xfId="758" xr:uid="{B60F79CA-C678-4A94-90EB-D75FE519F790}"/>
    <cellStyle name="Millares [0] 6 2 2 2 2 2" xfId="1429" xr:uid="{A4280481-B68A-46FC-946A-BF73992F9927}"/>
    <cellStyle name="Millares [0] 6 2 2 2 3" xfId="1097" xr:uid="{BEF0643F-483A-4903-8FC0-DF7873E46690}"/>
    <cellStyle name="Millares [0] 6 2 2 3" xfId="592" xr:uid="{EB88916A-3661-45C4-BB11-7CC35E655122}"/>
    <cellStyle name="Millares [0] 6 2 2 3 2" xfId="1263" xr:uid="{AF22E924-0FC6-4B28-A103-F52BE7B2F8D8}"/>
    <cellStyle name="Millares [0] 6 2 2 4" xfId="931" xr:uid="{CE5BB748-DE6F-474D-9934-AD3FC91B85AE}"/>
    <cellStyle name="Millares [0] 6 2 3" xfId="337" xr:uid="{5C8EE767-71B8-4BB6-8071-6B2179627969}"/>
    <cellStyle name="Millares [0] 6 2 3 2" xfId="676" xr:uid="{4FB8F9ED-EC58-4C9C-94F9-46FF0C8C437B}"/>
    <cellStyle name="Millares [0] 6 2 3 2 2" xfId="1347" xr:uid="{A873F01A-5AAD-4B3E-88D2-F8CCEE388AFB}"/>
    <cellStyle name="Millares [0] 6 2 3 3" xfId="1015" xr:uid="{83AB1975-A64A-498A-9002-A88380642AC5}"/>
    <cellStyle name="Millares [0] 6 2 4" xfId="510" xr:uid="{73CC66B6-4805-49C3-B345-D381C4CCC6AF}"/>
    <cellStyle name="Millares [0] 6 2 4 2" xfId="1181" xr:uid="{9B55479A-6511-41A5-AF6C-F5698698B9C6}"/>
    <cellStyle name="Millares [0] 6 2 5" xfId="849" xr:uid="{9D935113-418E-4032-B189-0FB8E96777B0}"/>
    <cellStyle name="Millares [0] 6 3" xfId="193" xr:uid="{DF48CE2F-EEAC-48F9-AF51-8F1FE88D4570}"/>
    <cellStyle name="Millares [0] 6 3 2" xfId="379" xr:uid="{FD97A0E8-AA63-42D0-BEE4-219508CEEA7A}"/>
    <cellStyle name="Millares [0] 6 3 2 2" xfId="718" xr:uid="{52929D1B-477A-4E34-8CBA-2101D4955EB9}"/>
    <cellStyle name="Millares [0] 6 3 2 2 2" xfId="1389" xr:uid="{BFC6DCE5-F3A8-4335-962C-AD2DA3B0A887}"/>
    <cellStyle name="Millares [0] 6 3 2 3" xfId="1057" xr:uid="{4927C2BD-E831-4A0F-95E3-4CB5558B230D}"/>
    <cellStyle name="Millares [0] 6 3 3" xfId="552" xr:uid="{FE11609C-D87C-44FD-A4B8-C924A3DAC485}"/>
    <cellStyle name="Millares [0] 6 3 3 2" xfId="1223" xr:uid="{A81D9DA3-EAB3-4768-950C-A8F047446B91}"/>
    <cellStyle name="Millares [0] 6 3 4" xfId="891" xr:uid="{D70155C9-0514-46E9-B3FD-14A1EEAEADF9}"/>
    <cellStyle name="Millares [0] 6 4" xfId="297" xr:uid="{52CD819C-1A68-47EB-9061-92CC4259E99B}"/>
    <cellStyle name="Millares [0] 6 4 2" xfId="636" xr:uid="{C6FC2C8C-CF25-4138-A945-E59BCD437B27}"/>
    <cellStyle name="Millares [0] 6 4 2 2" xfId="1307" xr:uid="{6F16BDEF-1D03-46EF-8BC8-5090FA622D41}"/>
    <cellStyle name="Millares [0] 6 4 3" xfId="975" xr:uid="{E35AC0FD-7BA6-4F10-AFB3-DA95DC60BF02}"/>
    <cellStyle name="Millares [0] 6 5" xfId="470" xr:uid="{58E5A105-8069-4B42-8593-A414F87B48C3}"/>
    <cellStyle name="Millares [0] 6 5 2" xfId="1141" xr:uid="{1C8004D4-4B95-4C58-BD52-F58761701D37}"/>
    <cellStyle name="Millares [0] 6 6" xfId="809" xr:uid="{A79F08CB-D043-4F12-8B35-441E3446E063}"/>
    <cellStyle name="Millares [0] 7" xfId="124" xr:uid="{FF2AC271-DEF0-4493-AB23-5205FCB553E8}"/>
    <cellStyle name="Millares [0] 7 2" xfId="214" xr:uid="{2023B4B9-E997-4C3D-B812-9998D8240953}"/>
    <cellStyle name="Millares [0] 7 2 2" xfId="400" xr:uid="{51D53EB8-7ABC-4151-BB1A-C3B3A2914AEE}"/>
    <cellStyle name="Millares [0] 7 2 2 2" xfId="739" xr:uid="{49D0B442-44F0-4121-B804-905E40B1A8ED}"/>
    <cellStyle name="Millares [0] 7 2 2 2 2" xfId="1410" xr:uid="{58F0DE7F-E9CF-4A1E-BB56-30A2A2172091}"/>
    <cellStyle name="Millares [0] 7 2 2 3" xfId="1078" xr:uid="{7D4991C7-5BD4-4363-A065-7AC57EF2E22B}"/>
    <cellStyle name="Millares [0] 7 2 3" xfId="573" xr:uid="{68B97683-3B8A-4DA4-B25D-2172205B94DA}"/>
    <cellStyle name="Millares [0] 7 2 3 2" xfId="1244" xr:uid="{E95E3055-B58C-4FF1-AE7A-1A1639C45E58}"/>
    <cellStyle name="Millares [0] 7 2 4" xfId="912" xr:uid="{4068EF38-6187-49C7-A283-6BE3C2654999}"/>
    <cellStyle name="Millares [0] 7 3" xfId="318" xr:uid="{82E60C9E-574A-4C10-A794-FDAADCE03F20}"/>
    <cellStyle name="Millares [0] 7 3 2" xfId="657" xr:uid="{927919E6-8036-4139-ADC8-2D1519AD6B44}"/>
    <cellStyle name="Millares [0] 7 3 2 2" xfId="1328" xr:uid="{CD0C4809-5928-45F0-A8E5-6DB2BED1CDBF}"/>
    <cellStyle name="Millares [0] 7 3 3" xfId="996" xr:uid="{26107C9E-D3E2-4930-9F79-265F3BD0D176}"/>
    <cellStyle name="Millares [0] 7 4" xfId="491" xr:uid="{237C2B9E-CB80-433F-817E-5EA7A9A9F639}"/>
    <cellStyle name="Millares [0] 7 4 2" xfId="1162" xr:uid="{BE65EED2-387A-4D06-9FCC-DD914385BA4B}"/>
    <cellStyle name="Millares [0] 7 5" xfId="830" xr:uid="{AFEEC992-CDC7-47C1-89E2-C59DD1D8CB92}"/>
    <cellStyle name="Millares [0] 8" xfId="110" xr:uid="{4E5544B6-1D1D-4A4A-8012-20918600BB36}"/>
    <cellStyle name="Millares [0] 8 2" xfId="207" xr:uid="{33C91BA6-54E0-4831-B67C-A220FCCAA3C9}"/>
    <cellStyle name="Millares [0] 8 2 2" xfId="393" xr:uid="{F397DC0A-57E2-4E83-BAD6-4B8A92FE4F96}"/>
    <cellStyle name="Millares [0] 8 2 2 2" xfId="732" xr:uid="{A7A12FDA-788B-4B47-8DCF-EC7478782CE0}"/>
    <cellStyle name="Millares [0] 8 2 2 2 2" xfId="1403" xr:uid="{FD26A84D-E879-4418-BC10-59C84E0ADC62}"/>
    <cellStyle name="Millares [0] 8 2 2 3" xfId="1071" xr:uid="{33410120-B4B6-4C4C-93BC-D413A961F273}"/>
    <cellStyle name="Millares [0] 8 2 3" xfId="566" xr:uid="{EC9D475A-5783-4D7E-AABB-0D3C8CD7B32E}"/>
    <cellStyle name="Millares [0] 8 2 3 2" xfId="1237" xr:uid="{FC6F4C63-475B-46EC-8938-F45F79FA8B1C}"/>
    <cellStyle name="Millares [0] 8 2 4" xfId="905" xr:uid="{A09DF6B4-CD25-4E28-80F4-E1A242E70808}"/>
    <cellStyle name="Millares [0] 8 3" xfId="311" xr:uid="{65FE9F94-F6C9-4940-B9E1-77B5E7740FC3}"/>
    <cellStyle name="Millares [0] 8 3 2" xfId="650" xr:uid="{1A0358D9-F9FF-4399-A5B2-12AC770637DD}"/>
    <cellStyle name="Millares [0] 8 3 2 2" xfId="1321" xr:uid="{67439992-05FF-49B3-90C9-6D3464B8D4D8}"/>
    <cellStyle name="Millares [0] 8 3 3" xfId="989" xr:uid="{D4EE2979-E73F-4DBE-9F5F-760823328C48}"/>
    <cellStyle name="Millares [0] 8 4" xfId="484" xr:uid="{768FE3D6-DC32-4523-A57E-A193E0138F4C}"/>
    <cellStyle name="Millares [0] 8 4 2" xfId="1155" xr:uid="{CAB11BED-0BA2-451A-91A9-5B77472F2959}"/>
    <cellStyle name="Millares [0] 8 5" xfId="823" xr:uid="{2C0E21A8-6940-4B51-8DAF-0841265A332D}"/>
    <cellStyle name="Millares [0] 9" xfId="160" xr:uid="{631EA2E6-7ABA-4408-A0FF-46E11B70CF8A}"/>
    <cellStyle name="Millares [0] 9 2" xfId="249" xr:uid="{92F786DF-D3DC-4DB1-B385-9C4317A958D7}"/>
    <cellStyle name="Millares [0] 9 2 2" xfId="435" xr:uid="{6C0DC91A-BF53-49A2-974C-BC57F5F1ACA4}"/>
    <cellStyle name="Millares [0] 9 2 2 2" xfId="774" xr:uid="{76940278-A019-49B2-981C-42077E62DFEA}"/>
    <cellStyle name="Millares [0] 9 2 2 2 2" xfId="1445" xr:uid="{BCD1584F-2D3C-455E-97DC-8FF1B35E1B84}"/>
    <cellStyle name="Millares [0] 9 2 2 3" xfId="1113" xr:uid="{B21A82C4-E2D2-44C5-A21C-850B158FE665}"/>
    <cellStyle name="Millares [0] 9 2 3" xfId="608" xr:uid="{0111E955-586D-4D92-8DF5-9931F8E4F7B8}"/>
    <cellStyle name="Millares [0] 9 2 3 2" xfId="1279" xr:uid="{6A2DEAE8-8FBE-443D-92D0-2888BAC910B2}"/>
    <cellStyle name="Millares [0] 9 2 4" xfId="947" xr:uid="{C2EDF4D5-3767-46B0-8E2E-5F028D6D8E72}"/>
    <cellStyle name="Millares [0] 9 3" xfId="353" xr:uid="{7DE56A7B-DFF0-4C6E-BC39-7002D0DDFA00}"/>
    <cellStyle name="Millares [0] 9 3 2" xfId="692" xr:uid="{83983A93-236C-4F18-B10B-5E1535580CC0}"/>
    <cellStyle name="Millares [0] 9 3 2 2" xfId="1363" xr:uid="{C41B86A1-D072-4501-970A-79C6B0D52CDF}"/>
    <cellStyle name="Millares [0] 9 3 3" xfId="1031" xr:uid="{31771BA4-1B04-4570-B05A-E9105FFA7F5A}"/>
    <cellStyle name="Millares [0] 9 4" xfId="526" xr:uid="{648CABEF-7934-4FCC-B5B4-B737B696A4C0}"/>
    <cellStyle name="Millares [0] 9 4 2" xfId="1197" xr:uid="{122C2174-86A4-4100-AC07-50984A8FCF7F}"/>
    <cellStyle name="Millares [0] 9 5" xfId="865" xr:uid="{F4B35056-70D8-432D-B6E1-E13592D42283}"/>
    <cellStyle name="Millares 10" xfId="117" xr:uid="{9C763DC1-0061-4784-8C33-80B5B2B4C135}"/>
    <cellStyle name="Millares 10 2" xfId="208" xr:uid="{B47212CE-D971-493C-8226-9E388FA1C056}"/>
    <cellStyle name="Millares 10 2 2" xfId="394" xr:uid="{C1E62047-2968-470F-AFD4-39F7C5BAFC4C}"/>
    <cellStyle name="Millares 10 2 2 2" xfId="733" xr:uid="{C394466C-215D-4C2F-9645-B8F52EAD5799}"/>
    <cellStyle name="Millares 10 2 2 2 2" xfId="1404" xr:uid="{823E3DCA-36B5-4624-9F56-8F157B8B7425}"/>
    <cellStyle name="Millares 10 2 2 3" xfId="1072" xr:uid="{CF4B4E5A-A1C7-49DA-86BD-E4F65048377D}"/>
    <cellStyle name="Millares 10 2 3" xfId="567" xr:uid="{F5114E2C-F996-49C4-98A1-A4BFE4858169}"/>
    <cellStyle name="Millares 10 2 3 2" xfId="1238" xr:uid="{7A5F8DA9-D03C-4CB5-AC25-30A8343A11B2}"/>
    <cellStyle name="Millares 10 2 4" xfId="906" xr:uid="{AE8D44CF-D6C8-4336-A5FE-211A566E7E2D}"/>
    <cellStyle name="Millares 10 3" xfId="312" xr:uid="{92C753B3-B1C7-4ABA-811C-9004AFCE3874}"/>
    <cellStyle name="Millares 10 3 2" xfId="651" xr:uid="{111F7651-76F8-4B4F-8B3B-99C17EEE0D46}"/>
    <cellStyle name="Millares 10 3 2 2" xfId="1322" xr:uid="{D267D4CC-8687-4735-9E29-29A6592B3356}"/>
    <cellStyle name="Millares 10 3 3" xfId="990" xr:uid="{5378BF12-78D7-45AA-8B0D-94131CEEB6A1}"/>
    <cellStyle name="Millares 10 4" xfId="485" xr:uid="{5CFBE0CC-46D1-4540-9F39-B8F474222FFF}"/>
    <cellStyle name="Millares 10 4 2" xfId="1156" xr:uid="{48C6E3C0-FEE2-4FBA-9B19-5DDE1778C40E}"/>
    <cellStyle name="Millares 10 5" xfId="824" xr:uid="{F3351CBB-7A46-476D-86D8-F46D42EC2A17}"/>
    <cellStyle name="Millares 100 2" xfId="56" xr:uid="{FF138E28-1FC8-4F7E-BBAF-FE2220E22D3F}"/>
    <cellStyle name="Millares 100 2 2" xfId="261" xr:uid="{A7E4E219-5D67-4F24-90D2-495B31F04C4E}"/>
    <cellStyle name="Millares 11" xfId="158" xr:uid="{BC700A9B-B28C-4F71-897F-8163818071CD}"/>
    <cellStyle name="Millares 11 2" xfId="247" xr:uid="{1EC8D43C-B76D-47A5-BBC4-F1AA14115167}"/>
    <cellStyle name="Millares 11 2 2" xfId="433" xr:uid="{D22D0A42-A85D-4091-82EC-C8029129578E}"/>
    <cellStyle name="Millares 11 2 2 2" xfId="772" xr:uid="{35B5807D-2A83-4C00-A59F-D47522A6BE4C}"/>
    <cellStyle name="Millares 11 2 2 2 2" xfId="1443" xr:uid="{52E61BDC-AC97-493E-A6F6-D79828BBAC77}"/>
    <cellStyle name="Millares 11 2 2 3" xfId="1111" xr:uid="{8B8F89BA-DB60-4579-BE89-9E710DC1E427}"/>
    <cellStyle name="Millares 11 2 3" xfId="606" xr:uid="{3F428D3B-77B2-4590-B945-E3BB3D781861}"/>
    <cellStyle name="Millares 11 2 3 2" xfId="1277" xr:uid="{73F0BDD5-4576-4DB5-A6BF-6252D9F36D75}"/>
    <cellStyle name="Millares 11 2 4" xfId="945" xr:uid="{52D6DC32-B459-46A5-9553-F6F0CC195DDF}"/>
    <cellStyle name="Millares 11 3" xfId="351" xr:uid="{CE840568-538F-4169-950D-0337961E0393}"/>
    <cellStyle name="Millares 11 3 2" xfId="690" xr:uid="{EC8A60C4-409B-4F73-8B3B-F6FDBC71E1E3}"/>
    <cellStyle name="Millares 11 3 2 2" xfId="1361" xr:uid="{FBF9E7EC-B286-4A67-93D6-A4169F8F88C6}"/>
    <cellStyle name="Millares 11 3 3" xfId="1029" xr:uid="{EEC17EA6-CD97-40E1-9A13-2EF90D0F1F9F}"/>
    <cellStyle name="Millares 11 4" xfId="524" xr:uid="{22BD1BF7-F6A9-42C3-952F-FFA6EF5F79E5}"/>
    <cellStyle name="Millares 11 4 2" xfId="1195" xr:uid="{F3592B0A-B360-4265-9162-CAD38FC4752D}"/>
    <cellStyle name="Millares 11 5" xfId="863" xr:uid="{87117246-8407-4CB2-85EC-772E6D5EAD6F}"/>
    <cellStyle name="Millares 12" xfId="159" xr:uid="{6F6F1715-3BC1-4267-B8AB-7BB9F0082977}"/>
    <cellStyle name="Millares 12 2" xfId="248" xr:uid="{E47019C1-CAB9-49B2-A3CD-B0C40CAB7B41}"/>
    <cellStyle name="Millares 12 2 2" xfId="434" xr:uid="{74B2BD7B-C580-4D69-A04C-B9153FE2ACB2}"/>
    <cellStyle name="Millares 12 2 2 2" xfId="773" xr:uid="{DB93FFDB-6434-4C5D-9811-520478B68719}"/>
    <cellStyle name="Millares 12 2 2 2 2" xfId="1444" xr:uid="{17A508CC-1242-42A1-8758-095E9E3134C6}"/>
    <cellStyle name="Millares 12 2 2 3" xfId="1112" xr:uid="{4CACECD6-2684-47BD-B0DF-294967BF4172}"/>
    <cellStyle name="Millares 12 2 3" xfId="607" xr:uid="{571F0427-170E-48F6-99E7-32178E86DF27}"/>
    <cellStyle name="Millares 12 2 3 2" xfId="1278" xr:uid="{B7EF829C-BF0F-48BE-B51F-A563F6AD971F}"/>
    <cellStyle name="Millares 12 2 4" xfId="946" xr:uid="{1F736D9E-E730-460C-8DBE-2785074D30AC}"/>
    <cellStyle name="Millares 12 3" xfId="352" xr:uid="{A4829F43-DA84-4B57-92C2-CCAD8D6971BC}"/>
    <cellStyle name="Millares 12 3 2" xfId="691" xr:uid="{7B30BF7E-E9E6-48EA-953A-F216AB1972A7}"/>
    <cellStyle name="Millares 12 3 2 2" xfId="1362" xr:uid="{CEC04F7D-8657-4CE3-816F-9A81B71BBB99}"/>
    <cellStyle name="Millares 12 3 3" xfId="1030" xr:uid="{009DC20C-8E9B-43CD-8960-EF761EDC157E}"/>
    <cellStyle name="Millares 12 4" xfId="525" xr:uid="{A474B9F5-9995-48C1-ADD9-BE8D815DDE5A}"/>
    <cellStyle name="Millares 12 4 2" xfId="1196" xr:uid="{1CB5BB51-8943-4EE4-B369-73E03BE5EBBB}"/>
    <cellStyle name="Millares 12 5" xfId="864" xr:uid="{6566F6A9-D92D-4C79-B5CB-4CDB96047402}"/>
    <cellStyle name="Millares 13" xfId="167" xr:uid="{3AC249E5-76C7-48B0-9CCC-9A3E2C8A3261}"/>
    <cellStyle name="Millares 13 2" xfId="354" xr:uid="{764BF864-15E4-4C25-BA64-72F567EA2510}"/>
    <cellStyle name="Millares 13 2 2" xfId="693" xr:uid="{0D4CA11B-B99E-4AA5-8760-77AE5DE7B1AE}"/>
    <cellStyle name="Millares 13 2 2 2" xfId="1364" xr:uid="{7BE2AC48-1179-491F-8BD7-23D42516D8BA}"/>
    <cellStyle name="Millares 13 2 3" xfId="1032" xr:uid="{5F04381E-F3CC-41A2-AF53-5233169E6A04}"/>
    <cellStyle name="Millares 13 3" xfId="527" xr:uid="{EBA74ED1-D32C-4245-A12B-08AC18C609AE}"/>
    <cellStyle name="Millares 13 3 2" xfId="1198" xr:uid="{0B6F874D-A112-44DE-A494-D520BC4E93CD}"/>
    <cellStyle name="Millares 13 4" xfId="866" xr:uid="{059534C5-E154-4583-B768-ECB271B6AC31}"/>
    <cellStyle name="Millares 14" xfId="256" xr:uid="{C8D22260-5ABC-4757-9A7F-3542161C2B0D}"/>
    <cellStyle name="Millares 14 2" xfId="436" xr:uid="{915484A3-63D3-42C7-BFC4-51E81E1F2F27}"/>
    <cellStyle name="Millares 14 2 2" xfId="775" xr:uid="{F07CD71D-45C1-42E0-9AC1-2ECA28F81EE9}"/>
    <cellStyle name="Millares 14 2 2 2" xfId="1446" xr:uid="{876880DE-3B6D-4EDA-AC82-FD98E5132515}"/>
    <cellStyle name="Millares 14 2 3" xfId="1114" xr:uid="{F0A63B85-CD75-47D4-AA8E-EA329805E3BA}"/>
    <cellStyle name="Millares 14 3" xfId="609" xr:uid="{368EECE6-6AB1-487A-9A5E-CF2BF4E32C87}"/>
    <cellStyle name="Millares 14 3 2" xfId="1280" xr:uid="{78475D6A-3E41-4256-8C03-D24F8C12F2BB}"/>
    <cellStyle name="Millares 14 4" xfId="948" xr:uid="{14F0D027-655B-4EE6-9DA8-96E9E567656B}"/>
    <cellStyle name="Millares 15" xfId="271" xr:uid="{B99E39CD-5609-42AA-8C95-75C4C3D2B171}"/>
    <cellStyle name="Millares 15 2" xfId="611" xr:uid="{B66DBB72-C2D6-4CF4-B66D-D0121AE9E501}"/>
    <cellStyle name="Millares 15 2 2" xfId="1282" xr:uid="{2540A407-5517-402F-B597-6B2AEC20F4E4}"/>
    <cellStyle name="Millares 15 3" xfId="950" xr:uid="{D9768B5C-2D4F-46B5-AE49-FB8AAE16E635}"/>
    <cellStyle name="Millares 16" xfId="444" xr:uid="{B53782DB-040C-4680-90B5-AD66D3B27B02}"/>
    <cellStyle name="Millares 16 2" xfId="1116" xr:uid="{05A3B148-C7D4-4C22-9259-DFEFD948199B}"/>
    <cellStyle name="Millares 17" xfId="783" xr:uid="{D76ED668-BACA-4DFF-B834-DBE1FA70C287}"/>
    <cellStyle name="Millares 18" xfId="58" xr:uid="{51F3EFBA-D541-4408-9A3B-97481ED759B9}"/>
    <cellStyle name="Millares 19" xfId="42" xr:uid="{64D87E07-29F6-4276-A262-2E1627BAEC1F}"/>
    <cellStyle name="Millares 2" xfId="46" xr:uid="{51D17DF4-D12C-406E-8F00-416C7A7C2EB8}"/>
    <cellStyle name="Millares 2 2" xfId="73" xr:uid="{EC2D23D2-7D2A-4E86-AAB1-ACEB0392C624}"/>
    <cellStyle name="Millares 2 2 2" xfId="102" xr:uid="{6C2A969B-F928-49CA-B1D2-520C8EE91CEF}"/>
    <cellStyle name="Millares 2 2 2 2" xfId="150" xr:uid="{C607DA9E-FB9A-446A-88EB-82FE5E1C819E}"/>
    <cellStyle name="Millares 2 2 2 2 2" xfId="239" xr:uid="{1EB26F95-E027-412E-BDAC-B0AFB509B743}"/>
    <cellStyle name="Millares 2 2 2 2 2 2" xfId="425" xr:uid="{120C09CD-0953-42FD-9CA4-F9B7B10F8CAF}"/>
    <cellStyle name="Millares 2 2 2 2 2 2 2" xfId="764" xr:uid="{E9307D49-EF20-42CC-92B3-7E367A293F49}"/>
    <cellStyle name="Millares 2 2 2 2 2 2 2 2" xfId="1435" xr:uid="{0457FA23-8697-4D1D-8FAA-2C2E5E5835D2}"/>
    <cellStyle name="Millares 2 2 2 2 2 2 3" xfId="1103" xr:uid="{CEF3A76B-80CB-450B-A161-2AFA12B6573A}"/>
    <cellStyle name="Millares 2 2 2 2 2 3" xfId="598" xr:uid="{A32A5B76-9360-4713-B82D-E3F7E2F06056}"/>
    <cellStyle name="Millares 2 2 2 2 2 3 2" xfId="1269" xr:uid="{00516DBA-ADA8-4DFE-8BFA-42C241DC1832}"/>
    <cellStyle name="Millares 2 2 2 2 2 4" xfId="937" xr:uid="{5E0CC599-647E-42DB-BBA8-A10EC044385F}"/>
    <cellStyle name="Millares 2 2 2 2 3" xfId="343" xr:uid="{37C42EBA-80E5-4C0D-A871-5C7DF7081DC6}"/>
    <cellStyle name="Millares 2 2 2 2 3 2" xfId="682" xr:uid="{2767DEBA-42C1-4CC0-A635-B784812765CF}"/>
    <cellStyle name="Millares 2 2 2 2 3 2 2" xfId="1353" xr:uid="{D9321CD2-094C-43A0-9714-76D496A58BF2}"/>
    <cellStyle name="Millares 2 2 2 2 3 3" xfId="1021" xr:uid="{200279E2-D0C9-486D-BF95-7C57ECCC6EEB}"/>
    <cellStyle name="Millares 2 2 2 2 4" xfId="516" xr:uid="{B961A6B3-7DB5-49E2-BCB9-86543D48C5F2}"/>
    <cellStyle name="Millares 2 2 2 2 4 2" xfId="1187" xr:uid="{B18889D6-F06D-4BB9-9851-F968B4E8185C}"/>
    <cellStyle name="Millares 2 2 2 2 5" xfId="855" xr:uid="{FF10D3F5-BE09-4F0E-A8C0-C8D228DDCCE2}"/>
    <cellStyle name="Millares 2 2 2 3" xfId="199" xr:uid="{9E54BD5C-4ABC-4725-88F2-2E0F38EBF3BB}"/>
    <cellStyle name="Millares 2 2 2 3 2" xfId="385" xr:uid="{9BCA6E83-EBBA-49EF-9E31-7B35585084DD}"/>
    <cellStyle name="Millares 2 2 2 3 2 2" xfId="724" xr:uid="{EE93FADF-FECB-4D85-A193-7A49CCE5B511}"/>
    <cellStyle name="Millares 2 2 2 3 2 2 2" xfId="1395" xr:uid="{B5C2DCC1-91FF-48EE-B275-13EBEFECA6FB}"/>
    <cellStyle name="Millares 2 2 2 3 2 3" xfId="1063" xr:uid="{1CDD4DAE-64EB-41A4-8D21-7F67E763688A}"/>
    <cellStyle name="Millares 2 2 2 3 3" xfId="558" xr:uid="{0DF870A6-35DF-406E-99D9-93533CC72141}"/>
    <cellStyle name="Millares 2 2 2 3 3 2" xfId="1229" xr:uid="{54E5A573-7088-4D84-BF17-607E5ABC6BA9}"/>
    <cellStyle name="Millares 2 2 2 3 4" xfId="897" xr:uid="{81C8C406-1BB6-455C-8C5A-792C0C5DD434}"/>
    <cellStyle name="Millares 2 2 2 4" xfId="303" xr:uid="{A8D0C0CE-8BF7-4B8D-8A45-772DE5B4714D}"/>
    <cellStyle name="Millares 2 2 2 4 2" xfId="642" xr:uid="{5029D37E-4D4B-44D4-94D7-EBB44C0A5299}"/>
    <cellStyle name="Millares 2 2 2 4 2 2" xfId="1313" xr:uid="{B6A3E294-CD50-4801-9ADF-2B4E96B38F29}"/>
    <cellStyle name="Millares 2 2 2 4 3" xfId="981" xr:uid="{22A62B8A-58B1-413B-84C1-571392BDB92A}"/>
    <cellStyle name="Millares 2 2 2 5" xfId="476" xr:uid="{5B001CED-BD46-4EB3-8B00-D5A8307226CB}"/>
    <cellStyle name="Millares 2 2 2 5 2" xfId="1147" xr:uid="{42A10105-B992-4A3D-B369-B902047D5F3C}"/>
    <cellStyle name="Millares 2 2 2 6" xfId="815" xr:uid="{2E5C14B2-CCF4-4CCF-A8FD-4C9ECDBB13E3}"/>
    <cellStyle name="Millares 2 2 3" xfId="131" xr:uid="{8AF6D58C-7FA0-4DCA-BF1D-F45C8426EA8A}"/>
    <cellStyle name="Millares 2 2 3 2" xfId="220" xr:uid="{472FBA16-DD21-41B9-8654-859B36928882}"/>
    <cellStyle name="Millares 2 2 3 2 2" xfId="406" xr:uid="{675181E9-413B-4D89-AED6-4A4C707809DD}"/>
    <cellStyle name="Millares 2 2 3 2 2 2" xfId="745" xr:uid="{F472ECAF-EBB4-4502-8715-551BD6859E45}"/>
    <cellStyle name="Millares 2 2 3 2 2 2 2" xfId="1416" xr:uid="{8CCCE063-1EF4-428B-9EA5-625BE9CDA4CB}"/>
    <cellStyle name="Millares 2 2 3 2 2 3" xfId="1084" xr:uid="{CCF20192-9E46-4357-80EF-3D06CC147986}"/>
    <cellStyle name="Millares 2 2 3 2 3" xfId="579" xr:uid="{3C205333-B233-4073-987F-3BB941D3FD6E}"/>
    <cellStyle name="Millares 2 2 3 2 3 2" xfId="1250" xr:uid="{4697C625-9E1E-438A-B984-83B1E9A6C120}"/>
    <cellStyle name="Millares 2 2 3 2 4" xfId="918" xr:uid="{0CDCC2A0-2420-4F81-855D-0985D7177B17}"/>
    <cellStyle name="Millares 2 2 3 3" xfId="324" xr:uid="{F8972475-D46E-4C5F-AE57-56A00ED7E17E}"/>
    <cellStyle name="Millares 2 2 3 3 2" xfId="663" xr:uid="{2F4D1B1A-2F21-47CF-A581-962EB46CDB6F}"/>
    <cellStyle name="Millares 2 2 3 3 2 2" xfId="1334" xr:uid="{599ED28C-6DA5-45EA-BFA0-8E6E9FE379E9}"/>
    <cellStyle name="Millares 2 2 3 3 3" xfId="1002" xr:uid="{8868049D-A8B6-4872-98E6-61A3CA0F3AFB}"/>
    <cellStyle name="Millares 2 2 3 4" xfId="497" xr:uid="{CDCF1D5B-0BD3-4243-B5E9-7CB31E3D22A5}"/>
    <cellStyle name="Millares 2 2 3 4 2" xfId="1168" xr:uid="{E2972DCA-2FD5-444E-8B8D-3706CAD19F7D}"/>
    <cellStyle name="Millares 2 2 3 5" xfId="836" xr:uid="{E5341993-5CD3-4B10-BCFA-CBEA386119A9}"/>
    <cellStyle name="Millares 2 2 4" xfId="180" xr:uid="{DF34E793-D9FC-4698-931A-2E65D6A47401}"/>
    <cellStyle name="Millares 2 2 4 2" xfId="366" xr:uid="{DAA5DBFC-1C02-443C-8809-F366C013EE0F}"/>
    <cellStyle name="Millares 2 2 4 2 2" xfId="705" xr:uid="{59BE2CDE-33CE-4940-845D-C0C4B187D241}"/>
    <cellStyle name="Millares 2 2 4 2 2 2" xfId="1376" xr:uid="{FAA5EA9C-BC74-49C7-BBD4-918B3BD43D70}"/>
    <cellStyle name="Millares 2 2 4 2 3" xfId="1044" xr:uid="{8EF3DE7E-C33B-4C13-8BCB-5C275AFCA4D5}"/>
    <cellStyle name="Millares 2 2 4 3" xfId="539" xr:uid="{E8A14216-CF2D-4EC9-A871-AB0A6844B90E}"/>
    <cellStyle name="Millares 2 2 4 3 2" xfId="1210" xr:uid="{86709DC0-5FA4-4D91-ACAE-2C30586C1FB7}"/>
    <cellStyle name="Millares 2 2 4 4" xfId="878" xr:uid="{CB8F3C69-FC85-44A2-B6B1-B1495ED7F6F4}"/>
    <cellStyle name="Millares 2 2 5" xfId="284" xr:uid="{926B1D66-2367-4850-861C-55B7C2CE8909}"/>
    <cellStyle name="Millares 2 2 5 2" xfId="623" xr:uid="{A779BEE0-B3CA-4720-83DE-33EEDDFB8C4A}"/>
    <cellStyle name="Millares 2 2 5 2 2" xfId="1294" xr:uid="{3CE9F9F7-C985-4562-A3CE-CDA5C3ABF41D}"/>
    <cellStyle name="Millares 2 2 5 3" xfId="962" xr:uid="{15C7744B-025F-4E7B-B89A-1344835D20AB}"/>
    <cellStyle name="Millares 2 2 6" xfId="457" xr:uid="{19451C7C-D808-4A41-BB60-91469888D7BC}"/>
    <cellStyle name="Millares 2 2 6 2" xfId="1128" xr:uid="{D0C7F504-B119-4FC1-A04B-F8D0FE12901D}"/>
    <cellStyle name="Millares 2 2 7" xfId="796" xr:uid="{C20164A7-DE46-445E-B273-2B8D6DA797CB}"/>
    <cellStyle name="Millares 2 3" xfId="91" xr:uid="{E2D9B30D-3801-4E4C-A6F1-C9E077983F01}"/>
    <cellStyle name="Millares 2 3 2" xfId="141" xr:uid="{48D2E3CE-5EA0-4BBC-927F-CC0F39FF1762}"/>
    <cellStyle name="Millares 2 3 2 2" xfId="230" xr:uid="{D103884C-AFC5-415D-9CCC-564355FEDEC5}"/>
    <cellStyle name="Millares 2 3 2 2 2" xfId="416" xr:uid="{722FCE20-2D9A-45B5-8A06-FF965BC54FF0}"/>
    <cellStyle name="Millares 2 3 2 2 2 2" xfId="755" xr:uid="{8F9D030E-C1F6-4C3E-BE3A-FDF6720C10E0}"/>
    <cellStyle name="Millares 2 3 2 2 2 2 2" xfId="1426" xr:uid="{393C025C-8C74-4A38-9E56-51407D51593F}"/>
    <cellStyle name="Millares 2 3 2 2 2 3" xfId="1094" xr:uid="{B4F18C9C-3597-4586-BC8C-4A68698B2FDB}"/>
    <cellStyle name="Millares 2 3 2 2 3" xfId="589" xr:uid="{7B53EA74-6FC9-4AE3-89C0-5B8A3049F247}"/>
    <cellStyle name="Millares 2 3 2 2 3 2" xfId="1260" xr:uid="{A6B27FAA-1AC9-433F-B1A0-D465256DD2EE}"/>
    <cellStyle name="Millares 2 3 2 2 4" xfId="928" xr:uid="{435EAF0A-5F39-40C0-9F9F-6332612B4136}"/>
    <cellStyle name="Millares 2 3 2 3" xfId="334" xr:uid="{A3ADF0BC-C1D2-4447-A517-EC35ADB3EF49}"/>
    <cellStyle name="Millares 2 3 2 3 2" xfId="673" xr:uid="{341B720E-99B9-401B-9362-8961256F06B8}"/>
    <cellStyle name="Millares 2 3 2 3 2 2" xfId="1344" xr:uid="{EA0B7D93-97CF-42CF-ABE2-303A1D1F5574}"/>
    <cellStyle name="Millares 2 3 2 3 3" xfId="1012" xr:uid="{C09516AE-B98E-495F-AA0A-F1C922B58F9E}"/>
    <cellStyle name="Millares 2 3 2 4" xfId="507" xr:uid="{9AA03CA8-D7D6-4639-BC6A-7F4F5078E92B}"/>
    <cellStyle name="Millares 2 3 2 4 2" xfId="1178" xr:uid="{637E202A-27BE-4321-B72B-1BE509C48F94}"/>
    <cellStyle name="Millares 2 3 2 5" xfId="846" xr:uid="{20E757B3-46E4-447B-B962-10A02D53397F}"/>
    <cellStyle name="Millares 2 3 3" xfId="190" xr:uid="{D659A810-021A-413C-A97F-7B762582684F}"/>
    <cellStyle name="Millares 2 3 3 2" xfId="376" xr:uid="{B1E01667-6707-46FB-9FF3-B5755871960D}"/>
    <cellStyle name="Millares 2 3 3 2 2" xfId="715" xr:uid="{53C717AB-BEDC-4E1C-96E4-1CFF23307493}"/>
    <cellStyle name="Millares 2 3 3 2 2 2" xfId="1386" xr:uid="{BC27223C-5760-4A78-B3A9-7A3C626D92C6}"/>
    <cellStyle name="Millares 2 3 3 2 3" xfId="1054" xr:uid="{98E3C2D6-9E9A-4220-9A85-4C14D164C31D}"/>
    <cellStyle name="Millares 2 3 3 3" xfId="549" xr:uid="{C84310FC-9212-4DB3-B81A-786612ADA43F}"/>
    <cellStyle name="Millares 2 3 3 3 2" xfId="1220" xr:uid="{2B268A0F-913C-4658-BB3E-593CA4AB5AB0}"/>
    <cellStyle name="Millares 2 3 3 4" xfId="888" xr:uid="{E82281E4-878C-464A-A24C-8D1A6AA38787}"/>
    <cellStyle name="Millares 2 3 4" xfId="294" xr:uid="{FFA5FD7C-D96B-40FF-BC25-5FBC35A2A118}"/>
    <cellStyle name="Millares 2 3 4 2" xfId="633" xr:uid="{C42E052A-4479-46EB-B2D5-59E97FB91C19}"/>
    <cellStyle name="Millares 2 3 4 2 2" xfId="1304" xr:uid="{9A8947BB-E9F7-4BD5-809A-1CD89280F598}"/>
    <cellStyle name="Millares 2 3 4 3" xfId="972" xr:uid="{BAFAEDFF-535F-47BF-8C3A-247EF3A0D8B3}"/>
    <cellStyle name="Millares 2 3 5" xfId="467" xr:uid="{C59B6F69-5084-4CD1-AE82-4C39D19B9A94}"/>
    <cellStyle name="Millares 2 3 5 2" xfId="1138" xr:uid="{F4735FFF-16BE-41C3-A850-6726824FF2A6}"/>
    <cellStyle name="Millares 2 3 6" xfId="806" xr:uid="{40587A5E-AD88-4F87-986A-517494864D0B}"/>
    <cellStyle name="Millares 2 4" xfId="120" xr:uid="{6D25185F-520B-4711-BFEF-0596F042E28B}"/>
    <cellStyle name="Millares 2 4 2" xfId="211" xr:uid="{E96893D6-8540-41A9-A808-9A82BA9B64A4}"/>
    <cellStyle name="Millares 2 4 2 2" xfId="397" xr:uid="{1131DCDB-89BD-47B7-8F8C-4A82692AB21B}"/>
    <cellStyle name="Millares 2 4 2 2 2" xfId="736" xr:uid="{FDDCBBC9-69A6-4DE9-AB64-E6506C23DD1A}"/>
    <cellStyle name="Millares 2 4 2 2 2 2" xfId="1407" xr:uid="{539F0716-CF0D-4558-BB2B-7DB5B47DAB04}"/>
    <cellStyle name="Millares 2 4 2 2 3" xfId="1075" xr:uid="{40435FF2-3D66-44B9-92C9-C0CC58CE26E3}"/>
    <cellStyle name="Millares 2 4 2 3" xfId="570" xr:uid="{8690650E-6B6D-40DB-82C4-09DAB756A648}"/>
    <cellStyle name="Millares 2 4 2 3 2" xfId="1241" xr:uid="{C3A4303C-B8B3-45B0-A970-EEDB41FD020F}"/>
    <cellStyle name="Millares 2 4 2 4" xfId="909" xr:uid="{1DBF3E91-40E0-41E1-BF22-2EE9710AA3BD}"/>
    <cellStyle name="Millares 2 4 3" xfId="315" xr:uid="{C65525F3-009F-4F78-962E-DF65C00A4B23}"/>
    <cellStyle name="Millares 2 4 3 2" xfId="654" xr:uid="{3095F44D-FDAF-4ECE-B11B-C7894C23A94B}"/>
    <cellStyle name="Millares 2 4 3 2 2" xfId="1325" xr:uid="{B8C4FBE7-5F95-4277-B902-DA02DBDB6E53}"/>
    <cellStyle name="Millares 2 4 3 3" xfId="993" xr:uid="{91C20B23-6805-40BC-8B2A-012FF56490C1}"/>
    <cellStyle name="Millares 2 4 4" xfId="488" xr:uid="{621A120B-F82E-4DC4-9CDF-1F975A22B063}"/>
    <cellStyle name="Millares 2 4 4 2" xfId="1159" xr:uid="{99BB820D-11A1-41FB-BAF1-ADA09D7C5AAD}"/>
    <cellStyle name="Millares 2 4 5" xfId="827" xr:uid="{6D52FC75-8F21-4310-8367-FB7C8CB28C04}"/>
    <cellStyle name="Millares 2 5" xfId="170" xr:uid="{6BCC7CD3-2926-4C6F-B9AD-988775CA3616}"/>
    <cellStyle name="Millares 2 5 2" xfId="357" xr:uid="{5400A4F3-FD1C-462C-9B50-74D113592062}"/>
    <cellStyle name="Millares 2 5 2 2" xfId="696" xr:uid="{DBB4E898-64E8-4993-884A-54221694C7D1}"/>
    <cellStyle name="Millares 2 5 2 2 2" xfId="1367" xr:uid="{C3A595E3-3521-4EA4-831F-241DACB7E4D6}"/>
    <cellStyle name="Millares 2 5 2 3" xfId="1035" xr:uid="{B0FC6B0E-B83A-439D-BE2D-673A630C03B4}"/>
    <cellStyle name="Millares 2 5 3" xfId="530" xr:uid="{463FE2A2-11B8-4CB0-9F6A-C985EF4DB882}"/>
    <cellStyle name="Millares 2 5 3 2" xfId="1201" xr:uid="{173A0576-683C-4012-A0A5-57A895D1DFD2}"/>
    <cellStyle name="Millares 2 5 4" xfId="869" xr:uid="{17AE8F64-FD59-4D43-9394-FF77C5E5B439}"/>
    <cellStyle name="Millares 2 6" xfId="258" xr:uid="{1A59BDC0-C166-4246-9B41-70927A9E52F8}"/>
    <cellStyle name="Millares 2 7" xfId="274" xr:uid="{B2FDF93B-91A8-460E-B11F-93C6695F0E83}"/>
    <cellStyle name="Millares 2 7 2" xfId="614" xr:uid="{2523176A-6828-4D4B-B1CF-4069BE243009}"/>
    <cellStyle name="Millares 2 7 2 2" xfId="1285" xr:uid="{9E255E1A-18CD-4D28-8AB5-7A59DA30BDA3}"/>
    <cellStyle name="Millares 2 7 3" xfId="953" xr:uid="{C8F87FD8-1F1A-4AD9-9A14-376355E7DEC2}"/>
    <cellStyle name="Millares 2 8" xfId="447" xr:uid="{66221BBF-7683-4884-A6F2-301AFB8B472E}"/>
    <cellStyle name="Millares 2 8 2" xfId="1119" xr:uid="{FCB7BEA5-928F-48C0-A002-87CDF5C2BB05}"/>
    <cellStyle name="Millares 2 9" xfId="786" xr:uid="{D6AC0248-3EA4-4E3A-B0DB-D65BC70A8678}"/>
    <cellStyle name="Millares 3" xfId="70" xr:uid="{8DE6EE6F-7874-4928-B148-07F386CABEF8}"/>
    <cellStyle name="Millares 3 2" xfId="99" xr:uid="{7B541759-CD17-4D76-910F-68824DA5EF0E}"/>
    <cellStyle name="Millares 3 2 2" xfId="59" xr:uid="{7C8059D7-4A53-4FB8-81F9-6276D8CEC54B}"/>
    <cellStyle name="Millares 3 2 2 2" xfId="263" xr:uid="{DE9A6D38-17E8-43AB-8AAB-0805BE4208AA}"/>
    <cellStyle name="Millares 3 2 3" xfId="147" xr:uid="{8A6E5F7D-F057-4A09-AE2A-2C74E4A8F00E}"/>
    <cellStyle name="Millares 3 2 3 2" xfId="236" xr:uid="{982DC263-267B-4B6E-AA0D-1156B333E4B2}"/>
    <cellStyle name="Millares 3 2 3 2 2" xfId="422" xr:uid="{9D83D37A-F31C-414E-8ED5-F27CA3CB63F8}"/>
    <cellStyle name="Millares 3 2 3 2 2 2" xfId="761" xr:uid="{86179983-C526-494A-B068-E8C293CE7F36}"/>
    <cellStyle name="Millares 3 2 3 2 2 2 2" xfId="1432" xr:uid="{18BC5FAD-8D11-43B1-9548-43F629829E1D}"/>
    <cellStyle name="Millares 3 2 3 2 2 3" xfId="1100" xr:uid="{2B167E0E-86D8-4BBB-B9F8-66B2143A2418}"/>
    <cellStyle name="Millares 3 2 3 2 3" xfId="595" xr:uid="{341250F3-B712-44C1-B5E1-A8BC20D53BA5}"/>
    <cellStyle name="Millares 3 2 3 2 3 2" xfId="1266" xr:uid="{0EB93EC0-4BB7-4547-A21E-200E35BB25B3}"/>
    <cellStyle name="Millares 3 2 3 2 4" xfId="934" xr:uid="{B4ADC534-7A03-4E9F-961D-A260589AFA80}"/>
    <cellStyle name="Millares 3 2 3 3" xfId="340" xr:uid="{4EF83B1B-0002-4C54-B13C-411BA45D6204}"/>
    <cellStyle name="Millares 3 2 3 3 2" xfId="679" xr:uid="{34D33DBB-37A7-4DC3-96D3-8B510D265AE2}"/>
    <cellStyle name="Millares 3 2 3 3 2 2" xfId="1350" xr:uid="{1A88E188-F0F7-4337-B21E-B69DF8B9DFC1}"/>
    <cellStyle name="Millares 3 2 3 3 3" xfId="1018" xr:uid="{C4CF3960-DC46-46CE-ACFC-0E73ED8CA0CE}"/>
    <cellStyle name="Millares 3 2 3 4" xfId="513" xr:uid="{DCBE5903-208A-4114-9030-77A2E10B0987}"/>
    <cellStyle name="Millares 3 2 3 4 2" xfId="1184" xr:uid="{8F457EE0-7C03-437B-9788-6AE5EC358F9B}"/>
    <cellStyle name="Millares 3 2 3 5" xfId="852" xr:uid="{37B1FD20-D8DE-4B4D-9F75-8FA72EF1567A}"/>
    <cellStyle name="Millares 3 2 4" xfId="196" xr:uid="{930D1C51-E3A5-4A0C-9FFC-C101AE839C28}"/>
    <cellStyle name="Millares 3 2 4 2" xfId="382" xr:uid="{623EBE31-92B2-4F58-A3F5-62DCE61A60D7}"/>
    <cellStyle name="Millares 3 2 4 2 2" xfId="721" xr:uid="{DADA0DC6-FA2D-4809-A03B-F5D8187048DA}"/>
    <cellStyle name="Millares 3 2 4 2 2 2" xfId="1392" xr:uid="{11AEC076-CB7B-45D7-967A-9861FAED61E7}"/>
    <cellStyle name="Millares 3 2 4 2 3" xfId="1060" xr:uid="{09157080-22D6-45CB-B103-52E0696BDBEF}"/>
    <cellStyle name="Millares 3 2 4 3" xfId="555" xr:uid="{65E0D1E5-EFB3-4D8F-9888-D2E942703369}"/>
    <cellStyle name="Millares 3 2 4 3 2" xfId="1226" xr:uid="{0C3C8464-8F55-43B2-9D3F-83E4D8315C2F}"/>
    <cellStyle name="Millares 3 2 4 4" xfId="894" xr:uid="{0C1E415B-7759-426A-A58F-3AA274E2ECA1}"/>
    <cellStyle name="Millares 3 2 5" xfId="300" xr:uid="{85B451A5-3F3D-4C43-B7FB-32E5989EC2BB}"/>
    <cellStyle name="Millares 3 2 5 2" xfId="639" xr:uid="{BC9CE808-7B49-4A04-8763-C4F7AEC10B93}"/>
    <cellStyle name="Millares 3 2 5 2 2" xfId="1310" xr:uid="{7E4CCCEA-0F57-40BE-B9CD-3DA9E93A5E17}"/>
    <cellStyle name="Millares 3 2 5 3" xfId="978" xr:uid="{1F89036F-590E-4D1E-BB9F-A3BC224C5BC6}"/>
    <cellStyle name="Millares 3 2 6" xfId="473" xr:uid="{58FD8702-659D-4FC1-9E8F-8478704A27B0}"/>
    <cellStyle name="Millares 3 2 6 2" xfId="1144" xr:uid="{0F1FFEA5-5820-4E61-B640-7041ADD51686}"/>
    <cellStyle name="Millares 3 2 7" xfId="812" xr:uid="{883E537D-57DF-4543-BFD3-8A55E71AC910}"/>
    <cellStyle name="Millares 3 3" xfId="128" xr:uid="{CB937454-CADE-4BA1-B431-6B8EE9FE39FF}"/>
    <cellStyle name="Millares 3 3 2" xfId="217" xr:uid="{3327D460-5FC3-41EA-8013-15B5BB7678E9}"/>
    <cellStyle name="Millares 3 3 2 2" xfId="403" xr:uid="{7DFE66E9-B105-455B-839E-3AB6FC999DDC}"/>
    <cellStyle name="Millares 3 3 2 2 2" xfId="742" xr:uid="{A2202BAD-867D-4A39-A7A1-290D17B53B82}"/>
    <cellStyle name="Millares 3 3 2 2 2 2" xfId="1413" xr:uid="{8F71FC0C-DF8E-45B9-A865-B55035E9AFCA}"/>
    <cellStyle name="Millares 3 3 2 2 3" xfId="1081" xr:uid="{8E71F5D5-461D-4497-8569-8BF03C611317}"/>
    <cellStyle name="Millares 3 3 2 3" xfId="576" xr:uid="{0C3A3846-7331-47A3-BBAC-3F256ED2C39A}"/>
    <cellStyle name="Millares 3 3 2 3 2" xfId="1247" xr:uid="{5FCB45A3-AEF0-4AFD-B4CA-8FF8304C7750}"/>
    <cellStyle name="Millares 3 3 2 4" xfId="915" xr:uid="{DEFF7A27-A8B7-4424-A446-B20AB255BF12}"/>
    <cellStyle name="Millares 3 3 3" xfId="321" xr:uid="{52822DD0-CA6F-4ABD-A508-96814BED2908}"/>
    <cellStyle name="Millares 3 3 3 2" xfId="660" xr:uid="{0A030AF4-FE93-4B06-B0F7-637FB3C0056E}"/>
    <cellStyle name="Millares 3 3 3 2 2" xfId="1331" xr:uid="{1B24134D-D26F-44D7-BD98-F2A7CAF1F31A}"/>
    <cellStyle name="Millares 3 3 3 3" xfId="999" xr:uid="{638A7CC5-CDF8-4EA5-ACCA-D5F61DE1D3E5}"/>
    <cellStyle name="Millares 3 3 4" xfId="494" xr:uid="{865BA0EC-329B-4B16-8C3C-2C47BEF5CE2C}"/>
    <cellStyle name="Millares 3 3 4 2" xfId="1165" xr:uid="{910C5780-5938-498F-8E8C-B006015E68BD}"/>
    <cellStyle name="Millares 3 3 5" xfId="833" xr:uid="{71902F52-FD69-4B0F-AF86-BE5218FA254D}"/>
    <cellStyle name="Millares 3 4" xfId="177" xr:uid="{D26A58E9-1568-472F-8875-D59AEE0D476A}"/>
    <cellStyle name="Millares 3 4 2" xfId="363" xr:uid="{0B3C0C94-653D-4467-A61F-C2B6BB5FBDDB}"/>
    <cellStyle name="Millares 3 4 2 2" xfId="702" xr:uid="{C35818D2-2FC6-49D0-8620-16DAF66A14DB}"/>
    <cellStyle name="Millares 3 4 2 2 2" xfId="1373" xr:uid="{062A886D-B65C-416A-81E1-C377AF52AA65}"/>
    <cellStyle name="Millares 3 4 2 3" xfId="1041" xr:uid="{FDA8EED1-2D1C-4491-850A-570ED997B4F5}"/>
    <cellStyle name="Millares 3 4 3" xfId="536" xr:uid="{D2FAC3E4-41B6-4B99-8100-96DF95C8CCC1}"/>
    <cellStyle name="Millares 3 4 3 2" xfId="1207" xr:uid="{E114B335-E952-4B0D-8009-83F207EAE232}"/>
    <cellStyle name="Millares 3 4 4" xfId="875" xr:uid="{36812EB6-D701-45EE-AF32-6A6F2048E5C6}"/>
    <cellStyle name="Millares 3 5" xfId="281" xr:uid="{F2763B22-7788-46E0-B008-F7D0797F7CDC}"/>
    <cellStyle name="Millares 3 5 2" xfId="620" xr:uid="{911A2101-0018-4481-8BBD-D809592014D2}"/>
    <cellStyle name="Millares 3 5 2 2" xfId="1291" xr:uid="{B7D8AF9A-6439-428C-9DAB-9122783DD2E1}"/>
    <cellStyle name="Millares 3 5 3" xfId="959" xr:uid="{61A99F38-51FB-4359-A7F9-B8CAF879D52D}"/>
    <cellStyle name="Millares 3 6" xfId="454" xr:uid="{D55D0122-CB94-4A9A-BC81-002FB27404C6}"/>
    <cellStyle name="Millares 3 6 2" xfId="1125" xr:uid="{B718EFEE-846C-4B65-8508-F5E2E369411F}"/>
    <cellStyle name="Millares 3 7" xfId="793" xr:uid="{B2C7B684-725B-4B96-9431-250B89866CA7}"/>
    <cellStyle name="Millares 30 2 2" xfId="57" xr:uid="{3BBCB7E6-2D30-4C82-B88A-F913602AB12D}"/>
    <cellStyle name="Millares 30 2 2 2" xfId="76" xr:uid="{98554415-CF2D-419F-B6D9-33CA6F62824C}"/>
    <cellStyle name="Millares 30 2 2 2 2" xfId="104" xr:uid="{9943ECF9-557A-4DFE-91D4-F7A11302632A}"/>
    <cellStyle name="Millares 30 2 2 2 2 2" xfId="152" xr:uid="{C086E41E-CB40-4431-800C-DC066502445F}"/>
    <cellStyle name="Millares 30 2 2 2 2 2 2" xfId="241" xr:uid="{09B8AE17-839D-4194-A8B4-5DE6DF9EA292}"/>
    <cellStyle name="Millares 30 2 2 2 2 2 2 2" xfId="427" xr:uid="{F7E1CDEF-A79C-4504-A606-BFC2B3D76A12}"/>
    <cellStyle name="Millares 30 2 2 2 2 2 2 2 2" xfId="766" xr:uid="{9B7E1053-D538-4314-84E3-CD314E0DDC6B}"/>
    <cellStyle name="Millares 30 2 2 2 2 2 2 2 2 2" xfId="1437" xr:uid="{01EE168A-B93F-4C1C-8960-3094CA96B70A}"/>
    <cellStyle name="Millares 30 2 2 2 2 2 2 2 3" xfId="1105" xr:uid="{D47D8E56-5363-401F-9F90-BE68D0A5C3CC}"/>
    <cellStyle name="Millares 30 2 2 2 2 2 2 3" xfId="600" xr:uid="{96BA711D-D085-401F-A0C0-773CF2617DC6}"/>
    <cellStyle name="Millares 30 2 2 2 2 2 2 3 2" xfId="1271" xr:uid="{0C41DE3D-AFF6-4D73-8B2A-48C8BBE7A6F4}"/>
    <cellStyle name="Millares 30 2 2 2 2 2 2 4" xfId="939" xr:uid="{46003A47-41B1-4594-8833-353E9DF2B51F}"/>
    <cellStyle name="Millares 30 2 2 2 2 2 3" xfId="345" xr:uid="{24845F26-8483-46E2-AA26-5A2DD67FF1D4}"/>
    <cellStyle name="Millares 30 2 2 2 2 2 3 2" xfId="684" xr:uid="{A0AC9385-E845-4C90-9CB6-5FD998124512}"/>
    <cellStyle name="Millares 30 2 2 2 2 2 3 2 2" xfId="1355" xr:uid="{C2AA91CE-51C6-4180-834C-75C6AC4C8CC7}"/>
    <cellStyle name="Millares 30 2 2 2 2 2 3 3" xfId="1023" xr:uid="{6571E0B5-395D-406A-8700-22B1F0064F56}"/>
    <cellStyle name="Millares 30 2 2 2 2 2 4" xfId="518" xr:uid="{7A94BD25-68C7-4157-BE02-42B377A73960}"/>
    <cellStyle name="Millares 30 2 2 2 2 2 4 2" xfId="1189" xr:uid="{DFE8B709-7F58-4E84-A823-384B21F25AC6}"/>
    <cellStyle name="Millares 30 2 2 2 2 2 5" xfId="857" xr:uid="{3FC43896-4D97-41BF-BCC4-49DCDD353748}"/>
    <cellStyle name="Millares 30 2 2 2 2 3" xfId="201" xr:uid="{D8C7F56D-A406-44E0-B14A-A0E5A9A87A3A}"/>
    <cellStyle name="Millares 30 2 2 2 2 3 2" xfId="387" xr:uid="{F7AA87A3-B92B-4B35-A94B-3AD54C7E288F}"/>
    <cellStyle name="Millares 30 2 2 2 2 3 2 2" xfId="726" xr:uid="{7972C66A-10DF-4E1C-8240-10EB1F73279E}"/>
    <cellStyle name="Millares 30 2 2 2 2 3 2 2 2" xfId="1397" xr:uid="{25AAC99E-6CD7-4820-88CD-5789EFA3F9C0}"/>
    <cellStyle name="Millares 30 2 2 2 2 3 2 3" xfId="1065" xr:uid="{57E5D5B5-C4D1-471E-ADE7-4A11B5D174AA}"/>
    <cellStyle name="Millares 30 2 2 2 2 3 3" xfId="560" xr:uid="{20E24E26-C517-4CE0-971F-83C05E2A9841}"/>
    <cellStyle name="Millares 30 2 2 2 2 3 3 2" xfId="1231" xr:uid="{D5987765-CF85-4D92-B91F-9A8750521BB1}"/>
    <cellStyle name="Millares 30 2 2 2 2 3 4" xfId="899" xr:uid="{1E270568-0EC9-4814-AFFD-40C4B599ABEE}"/>
    <cellStyle name="Millares 30 2 2 2 2 4" xfId="305" xr:uid="{C170CCF0-5A6C-4612-88AF-6A514E59B2D7}"/>
    <cellStyle name="Millares 30 2 2 2 2 4 2" xfId="644" xr:uid="{39C527CD-F18D-4F9B-8494-2DE3A9913A50}"/>
    <cellStyle name="Millares 30 2 2 2 2 4 2 2" xfId="1315" xr:uid="{B3E0E217-23BC-444A-9238-C9BC35683FD3}"/>
    <cellStyle name="Millares 30 2 2 2 2 4 3" xfId="983" xr:uid="{9AFCD3DE-1EE2-440E-A761-A8B622DC02E6}"/>
    <cellStyle name="Millares 30 2 2 2 2 5" xfId="478" xr:uid="{8834802A-5350-429D-918A-FA03F0B575CD}"/>
    <cellStyle name="Millares 30 2 2 2 2 5 2" xfId="1149" xr:uid="{6C9B7268-83FC-4C51-B1BE-3F03E9871BBA}"/>
    <cellStyle name="Millares 30 2 2 2 2 6" xfId="817" xr:uid="{DFAB91C1-CE97-40C6-8774-988B28E81EC4}"/>
    <cellStyle name="Millares 30 2 2 2 3" xfId="133" xr:uid="{6D294CD9-EB2E-43C9-BD84-8974117ED620}"/>
    <cellStyle name="Millares 30 2 2 2 3 2" xfId="222" xr:uid="{5EEC3797-66E1-4510-BD95-C2B0FBE0D950}"/>
    <cellStyle name="Millares 30 2 2 2 3 2 2" xfId="408" xr:uid="{7BF2F59E-90FE-4485-AB2F-FFC32297EFEF}"/>
    <cellStyle name="Millares 30 2 2 2 3 2 2 2" xfId="747" xr:uid="{4DAE906D-C6A4-4216-ACB7-B78DCEF9E55B}"/>
    <cellStyle name="Millares 30 2 2 2 3 2 2 2 2" xfId="1418" xr:uid="{83E72555-53D7-4F84-B6B0-CFA4A7B908BB}"/>
    <cellStyle name="Millares 30 2 2 2 3 2 2 3" xfId="1086" xr:uid="{CC98C978-0287-43B0-8457-FF0AB20C228E}"/>
    <cellStyle name="Millares 30 2 2 2 3 2 3" xfId="581" xr:uid="{0A7F9513-F780-4293-8453-1C9E0803E1FC}"/>
    <cellStyle name="Millares 30 2 2 2 3 2 3 2" xfId="1252" xr:uid="{1939376E-509B-48E0-BD19-B7DC64B3F33E}"/>
    <cellStyle name="Millares 30 2 2 2 3 2 4" xfId="920" xr:uid="{67A1F650-9BCD-4777-B336-0084A08375CB}"/>
    <cellStyle name="Millares 30 2 2 2 3 3" xfId="326" xr:uid="{F12D0F9C-2971-48D3-ADA8-9D7AF731E5B2}"/>
    <cellStyle name="Millares 30 2 2 2 3 3 2" xfId="665" xr:uid="{81251496-20D8-498A-BA85-88D82B238979}"/>
    <cellStyle name="Millares 30 2 2 2 3 3 2 2" xfId="1336" xr:uid="{EBB79C00-CB6D-441F-8AB6-6CC12D449286}"/>
    <cellStyle name="Millares 30 2 2 2 3 3 3" xfId="1004" xr:uid="{8C18720F-5CD7-4BA5-BE67-C4E9C3AD1BBA}"/>
    <cellStyle name="Millares 30 2 2 2 3 4" xfId="499" xr:uid="{FE08165B-384B-4019-BAF9-145524CA326E}"/>
    <cellStyle name="Millares 30 2 2 2 3 4 2" xfId="1170" xr:uid="{057F6220-DBBC-4A84-8E13-10A719F8618D}"/>
    <cellStyle name="Millares 30 2 2 2 3 5" xfId="838" xr:uid="{EC3C893F-D2F4-4461-A78F-FB491BC163C7}"/>
    <cellStyle name="Millares 30 2 2 2 4" xfId="182" xr:uid="{B60C2A6C-9718-415D-9FD4-F01F62B34A78}"/>
    <cellStyle name="Millares 30 2 2 2 4 2" xfId="368" xr:uid="{A3D23B6D-3F43-482B-98F7-EA619318EA87}"/>
    <cellStyle name="Millares 30 2 2 2 4 2 2" xfId="707" xr:uid="{94C3BB97-FF40-4E3C-A560-46447E809DA5}"/>
    <cellStyle name="Millares 30 2 2 2 4 2 2 2" xfId="1378" xr:uid="{3BF3B71C-47FC-4A62-B37F-75903FFCF481}"/>
    <cellStyle name="Millares 30 2 2 2 4 2 3" xfId="1046" xr:uid="{B647A6CD-48CF-4596-AA3A-D6D2F36C968F}"/>
    <cellStyle name="Millares 30 2 2 2 4 3" xfId="541" xr:uid="{53FF67D0-A880-4C68-B827-9DBCDD5308C3}"/>
    <cellStyle name="Millares 30 2 2 2 4 3 2" xfId="1212" xr:uid="{03751FE2-4A6A-4C54-B9B3-1C611F72E8DF}"/>
    <cellStyle name="Millares 30 2 2 2 4 4" xfId="880" xr:uid="{9227A986-4E6F-4CA8-B082-7EBF06FD7DDE}"/>
    <cellStyle name="Millares 30 2 2 2 5" xfId="286" xr:uid="{E2690B0B-58E7-40E7-BF89-3BC25178987F}"/>
    <cellStyle name="Millares 30 2 2 2 5 2" xfId="625" xr:uid="{B41EF7BF-CA76-4BB0-9F0F-12554900A3FC}"/>
    <cellStyle name="Millares 30 2 2 2 5 2 2" xfId="1296" xr:uid="{EE4DCA34-C6A9-431B-9759-8A9D3EC077B1}"/>
    <cellStyle name="Millares 30 2 2 2 5 3" xfId="964" xr:uid="{7955829C-22C6-4E42-8C01-D55F125427D8}"/>
    <cellStyle name="Millares 30 2 2 2 6" xfId="459" xr:uid="{A51D3CBD-2554-4812-9035-2A38FD979CCC}"/>
    <cellStyle name="Millares 30 2 2 2 6 2" xfId="1130" xr:uid="{9760D938-FCEC-4E7D-A057-BCE4B0BF9F29}"/>
    <cellStyle name="Millares 30 2 2 2 7" xfId="798" xr:uid="{990DDF39-38A1-4DB1-97C7-D2A7CFD4E50C}"/>
    <cellStyle name="Millares 30 2 2 3" xfId="94" xr:uid="{BE705252-E656-4007-995D-EAEE52787C4B}"/>
    <cellStyle name="Millares 30 2 2 3 2" xfId="143" xr:uid="{7C186AD5-C268-48E9-A242-40ED2704E502}"/>
    <cellStyle name="Millares 30 2 2 3 2 2" xfId="232" xr:uid="{34D5BD98-1D75-46F8-A843-40127907C2F9}"/>
    <cellStyle name="Millares 30 2 2 3 2 2 2" xfId="418" xr:uid="{B4DAEA32-0369-44B7-B11D-37040C5D74D6}"/>
    <cellStyle name="Millares 30 2 2 3 2 2 2 2" xfId="757" xr:uid="{979187D1-315C-4925-A428-DDACFE2CF786}"/>
    <cellStyle name="Millares 30 2 2 3 2 2 2 2 2" xfId="1428" xr:uid="{C472C786-BF19-4964-8212-042D73910C2B}"/>
    <cellStyle name="Millares 30 2 2 3 2 2 2 3" xfId="1096" xr:uid="{0590604F-7EF4-463C-BD49-14E05C141E3D}"/>
    <cellStyle name="Millares 30 2 2 3 2 2 3" xfId="591" xr:uid="{80FDFBA1-2E3A-4F92-975D-D69673F22386}"/>
    <cellStyle name="Millares 30 2 2 3 2 2 3 2" xfId="1262" xr:uid="{AFD4EF73-BBB7-4093-B6F7-8169A05DA989}"/>
    <cellStyle name="Millares 30 2 2 3 2 2 4" xfId="930" xr:uid="{27AFF06F-335E-4948-8F36-A7073FE64D8D}"/>
    <cellStyle name="Millares 30 2 2 3 2 3" xfId="336" xr:uid="{A421F694-037B-463F-864B-F51BF0A76972}"/>
    <cellStyle name="Millares 30 2 2 3 2 3 2" xfId="675" xr:uid="{BDB48343-BC33-4810-B2BC-400ECB40589A}"/>
    <cellStyle name="Millares 30 2 2 3 2 3 2 2" xfId="1346" xr:uid="{CEA2B470-C8FB-4FB4-9B91-E914C6C1E257}"/>
    <cellStyle name="Millares 30 2 2 3 2 3 3" xfId="1014" xr:uid="{F41969E1-D686-4E24-A5B8-8EFDE7212607}"/>
    <cellStyle name="Millares 30 2 2 3 2 4" xfId="509" xr:uid="{0F32D4A0-B38E-4BD8-9557-6D2342B88E77}"/>
    <cellStyle name="Millares 30 2 2 3 2 4 2" xfId="1180" xr:uid="{4F6273AE-E09F-4985-9A37-AE66E6CD8C7C}"/>
    <cellStyle name="Millares 30 2 2 3 2 5" xfId="848" xr:uid="{CC6D2562-71EC-4661-ABCA-DA4D752B94B5}"/>
    <cellStyle name="Millares 30 2 2 3 3" xfId="192" xr:uid="{95A22B47-F1A0-4EE3-866D-805B799CE6B4}"/>
    <cellStyle name="Millares 30 2 2 3 3 2" xfId="378" xr:uid="{C645DE01-FC23-48FF-8899-ED8C09E398F6}"/>
    <cellStyle name="Millares 30 2 2 3 3 2 2" xfId="717" xr:uid="{837B69FF-F1CA-4836-B6BA-D9A569F29126}"/>
    <cellStyle name="Millares 30 2 2 3 3 2 2 2" xfId="1388" xr:uid="{FCB3AF56-2F2D-428F-B17F-A1657C54B218}"/>
    <cellStyle name="Millares 30 2 2 3 3 2 3" xfId="1056" xr:uid="{5D6C80D0-A74C-426D-A757-D111C4AB7C9B}"/>
    <cellStyle name="Millares 30 2 2 3 3 3" xfId="551" xr:uid="{AEFF9EB4-8CD4-4989-A990-BD2A3EE4BF5C}"/>
    <cellStyle name="Millares 30 2 2 3 3 3 2" xfId="1222" xr:uid="{EC8495CB-7CFA-4007-B9B9-4AC274EB4A5E}"/>
    <cellStyle name="Millares 30 2 2 3 3 4" xfId="890" xr:uid="{C150B399-F569-438E-9519-10717684E85B}"/>
    <cellStyle name="Millares 30 2 2 3 4" xfId="296" xr:uid="{923B470C-9AB8-4EC5-ACCA-15CF626E76BB}"/>
    <cellStyle name="Millares 30 2 2 3 4 2" xfId="635" xr:uid="{9A93CE37-7127-4D4E-B351-BE36AE5E6B93}"/>
    <cellStyle name="Millares 30 2 2 3 4 2 2" xfId="1306" xr:uid="{D3AA1E20-56E2-4906-BBF2-C56F55137BFB}"/>
    <cellStyle name="Millares 30 2 2 3 4 3" xfId="974" xr:uid="{D9A66AEC-9BD6-4510-BAE5-594CA023B616}"/>
    <cellStyle name="Millares 30 2 2 3 5" xfId="469" xr:uid="{225CF55F-E057-4FC1-B695-45964A41DF54}"/>
    <cellStyle name="Millares 30 2 2 3 5 2" xfId="1140" xr:uid="{BF48095F-28E6-4CF2-9B4E-B3AE69EAC908}"/>
    <cellStyle name="Millares 30 2 2 3 6" xfId="808" xr:uid="{CF77AC1A-775D-4E35-AC69-4757E0F411C5}"/>
    <cellStyle name="Millares 30 2 2 4" xfId="123" xr:uid="{E54A319E-01A8-4092-A133-FEC4CB251554}"/>
    <cellStyle name="Millares 30 2 2 4 2" xfId="213" xr:uid="{BAED76E2-AF74-49FD-88AD-366CD5E94CFA}"/>
    <cellStyle name="Millares 30 2 2 4 2 2" xfId="399" xr:uid="{988C5E0F-8939-4AC7-B668-985589F10DCC}"/>
    <cellStyle name="Millares 30 2 2 4 2 2 2" xfId="738" xr:uid="{9126B3A9-8970-4EAC-8AB2-ED1CA5BAB686}"/>
    <cellStyle name="Millares 30 2 2 4 2 2 2 2" xfId="1409" xr:uid="{95DC90D0-2C98-4C39-833B-62BBD333E4A0}"/>
    <cellStyle name="Millares 30 2 2 4 2 2 3" xfId="1077" xr:uid="{94246242-41A4-499C-B65F-695291578EA6}"/>
    <cellStyle name="Millares 30 2 2 4 2 3" xfId="572" xr:uid="{B0CF9690-6D17-4D86-9EA8-C3B99C97D5F4}"/>
    <cellStyle name="Millares 30 2 2 4 2 3 2" xfId="1243" xr:uid="{25AA42EB-727A-4970-9CF6-C45B223E86EE}"/>
    <cellStyle name="Millares 30 2 2 4 2 4" xfId="911" xr:uid="{162BC480-7DB9-4A2B-8E14-34D4B1B4C62C}"/>
    <cellStyle name="Millares 30 2 2 4 3" xfId="317" xr:uid="{9DD6A889-6691-4658-9916-2D950D0ADB75}"/>
    <cellStyle name="Millares 30 2 2 4 3 2" xfId="656" xr:uid="{B4DE08A1-F8AF-4F2C-8280-8EA66D658DE6}"/>
    <cellStyle name="Millares 30 2 2 4 3 2 2" xfId="1327" xr:uid="{B3542C67-ADF8-450E-B8C3-D5A7EA312108}"/>
    <cellStyle name="Millares 30 2 2 4 3 3" xfId="995" xr:uid="{A90ACC3C-2D2F-4C0C-91EE-02CA305BEC9F}"/>
    <cellStyle name="Millares 30 2 2 4 4" xfId="490" xr:uid="{8DA6BD6F-70C8-4DCF-A7AE-09FBD53132BB}"/>
    <cellStyle name="Millares 30 2 2 4 4 2" xfId="1161" xr:uid="{3253756E-6A81-4E6B-A93E-29DEE35BAE89}"/>
    <cellStyle name="Millares 30 2 2 4 5" xfId="829" xr:uid="{176D0169-9A23-4DB4-8325-A2EA6DF85644}"/>
    <cellStyle name="Millares 30 2 2 5" xfId="173" xr:uid="{78023B30-57AF-4E06-93FC-8632169A410C}"/>
    <cellStyle name="Millares 30 2 2 5 2" xfId="359" xr:uid="{DDA269AA-80E6-4904-9013-9D1405AD4AF4}"/>
    <cellStyle name="Millares 30 2 2 5 2 2" xfId="698" xr:uid="{CE44E3AF-27B6-44A3-A86C-411313D057D4}"/>
    <cellStyle name="Millares 30 2 2 5 2 2 2" xfId="1369" xr:uid="{FCE78E0E-C4F6-4378-B269-F9E6FD303B3D}"/>
    <cellStyle name="Millares 30 2 2 5 2 3" xfId="1037" xr:uid="{54A5704C-62D2-4FB5-8F9D-D38A3AE3BAE3}"/>
    <cellStyle name="Millares 30 2 2 5 3" xfId="532" xr:uid="{67183021-B2E4-43C0-9E6C-0E74740A8569}"/>
    <cellStyle name="Millares 30 2 2 5 3 2" xfId="1203" xr:uid="{6359508B-E380-4A1C-960D-8B1F74C2C087}"/>
    <cellStyle name="Millares 30 2 2 5 4" xfId="871" xr:uid="{9F3FF38F-6B63-4DF7-A9CF-675C026FBF78}"/>
    <cellStyle name="Millares 30 2 2 6" xfId="262" xr:uid="{5C0AF61E-4B09-417A-A78F-73032E530F39}"/>
    <cellStyle name="Millares 30 2 2 7" xfId="277" xr:uid="{EA306AE7-2B36-441C-B1AF-E39C2B9CA2DA}"/>
    <cellStyle name="Millares 30 2 2 7 2" xfId="616" xr:uid="{4ED82BB8-B8C4-4695-A908-05B96ED90C48}"/>
    <cellStyle name="Millares 30 2 2 7 2 2" xfId="1287" xr:uid="{07C5D792-484C-4E7C-92E8-43036BC72035}"/>
    <cellStyle name="Millares 30 2 2 7 3" xfId="955" xr:uid="{51DA2281-BB8E-40CA-BA4F-8177839B95A1}"/>
    <cellStyle name="Millares 30 2 2 8" xfId="450" xr:uid="{006063E0-AC7A-4218-92C7-E0FE11420232}"/>
    <cellStyle name="Millares 30 2 2 8 2" xfId="1121" xr:uid="{9D4912E1-EB32-45EB-B856-ADF5A3B2EBFA}"/>
    <cellStyle name="Millares 30 2 2 9" xfId="789" xr:uid="{9A134D33-035D-403A-A724-A2AA7BB0F3D2}"/>
    <cellStyle name="Millares 4" xfId="79" xr:uid="{02154009-B814-4F93-B366-1615BA7C03A4}"/>
    <cellStyle name="Millares 4 2" xfId="106" xr:uid="{5D9DCAD1-A0D1-40BA-864B-8991005D5278}"/>
    <cellStyle name="Millares 4 2 2" xfId="154" xr:uid="{9F54D26A-67D4-4281-8F70-A8EE098327FD}"/>
    <cellStyle name="Millares 4 2 2 2" xfId="243" xr:uid="{081949B5-9334-4472-A633-8C63C67E7620}"/>
    <cellStyle name="Millares 4 2 2 2 2" xfId="429" xr:uid="{E46A6962-04FE-4CDF-97E4-5DAD21FD0DCD}"/>
    <cellStyle name="Millares 4 2 2 2 2 2" xfId="768" xr:uid="{4AA7DED4-4D4D-48F9-A8DA-C54781C21FD6}"/>
    <cellStyle name="Millares 4 2 2 2 2 2 2" xfId="1439" xr:uid="{3B0DF344-A9D3-43C2-AE1C-A9B916CFA61E}"/>
    <cellStyle name="Millares 4 2 2 2 2 3" xfId="1107" xr:uid="{AF265C22-68A1-4442-805C-7F746D2B1303}"/>
    <cellStyle name="Millares 4 2 2 2 3" xfId="602" xr:uid="{9FA38B39-C210-4B1D-A268-A6DC551AB1A4}"/>
    <cellStyle name="Millares 4 2 2 2 3 2" xfId="1273" xr:uid="{D0DDA414-8F5C-4031-A544-9EF4D1B7D53F}"/>
    <cellStyle name="Millares 4 2 2 2 4" xfId="941" xr:uid="{D765E1A7-C261-428C-86C5-5C4718F9BC05}"/>
    <cellStyle name="Millares 4 2 2 3" xfId="347" xr:uid="{29113AB3-7C59-4B7A-B6B3-9B778D36D50C}"/>
    <cellStyle name="Millares 4 2 2 3 2" xfId="686" xr:uid="{FEAAE595-EF71-4274-8116-56AA9604A30F}"/>
    <cellStyle name="Millares 4 2 2 3 2 2" xfId="1357" xr:uid="{903E70AE-15D7-4BFE-9C0B-E5E4237D91BC}"/>
    <cellStyle name="Millares 4 2 2 3 3" xfId="1025" xr:uid="{C1C2D062-7125-41C3-9E80-97151EB984C3}"/>
    <cellStyle name="Millares 4 2 2 4" xfId="520" xr:uid="{5BB57E3F-834B-478E-9C46-95C013D4F6F6}"/>
    <cellStyle name="Millares 4 2 2 4 2" xfId="1191" xr:uid="{115AA749-40BE-4624-9BD2-CED2651C1F0A}"/>
    <cellStyle name="Millares 4 2 2 5" xfId="859" xr:uid="{84CADEB1-DF5D-4AA7-929E-B2008D2BCC22}"/>
    <cellStyle name="Millares 4 2 3" xfId="203" xr:uid="{03F370AD-0DD5-4B65-8EEA-2CBE2016156A}"/>
    <cellStyle name="Millares 4 2 3 2" xfId="389" xr:uid="{FD2D5BD6-6F8D-41B9-B703-82896CE2BB19}"/>
    <cellStyle name="Millares 4 2 3 2 2" xfId="728" xr:uid="{FF14F66E-B4F9-4F70-9D01-397595F8F694}"/>
    <cellStyle name="Millares 4 2 3 2 2 2" xfId="1399" xr:uid="{933A5C03-FC99-480E-8C16-F57852B58B3E}"/>
    <cellStyle name="Millares 4 2 3 2 3" xfId="1067" xr:uid="{17CC0B91-E155-448E-A43A-8A6A39E83B6A}"/>
    <cellStyle name="Millares 4 2 3 3" xfId="562" xr:uid="{15F482CE-4852-4D31-A2FA-A906761AD1D9}"/>
    <cellStyle name="Millares 4 2 3 3 2" xfId="1233" xr:uid="{75590127-7D87-412C-BC54-419F1AEEEC65}"/>
    <cellStyle name="Millares 4 2 3 4" xfId="901" xr:uid="{31B4D8D6-D8A1-4AA6-B87C-CF11DAC4C90D}"/>
    <cellStyle name="Millares 4 2 4" xfId="307" xr:uid="{7E184E1C-477D-4FFA-B91B-AAA2ECB39B9B}"/>
    <cellStyle name="Millares 4 2 4 2" xfId="646" xr:uid="{06CBACD4-ACFF-4C09-9679-860F2D255B08}"/>
    <cellStyle name="Millares 4 2 4 2 2" xfId="1317" xr:uid="{8BA7767E-4405-401B-8FB9-87C7CF898471}"/>
    <cellStyle name="Millares 4 2 4 3" xfId="985" xr:uid="{173B6CFB-BA99-4966-9BF3-621F88938C7F}"/>
    <cellStyle name="Millares 4 2 5" xfId="480" xr:uid="{EC1ECAEE-8EB4-40D4-80FC-7B0B79A66AE2}"/>
    <cellStyle name="Millares 4 2 5 2" xfId="1151" xr:uid="{CB6F36C2-A48E-4A0E-BB46-949A7EFAB207}"/>
    <cellStyle name="Millares 4 2 6" xfId="819" xr:uid="{9CA10775-1B25-4C92-A7DF-90894BE13EE1}"/>
    <cellStyle name="Millares 4 3" xfId="135" xr:uid="{C51DE5D1-BF14-4BA7-BF8A-362FA4FEB788}"/>
    <cellStyle name="Millares 4 3 2" xfId="224" xr:uid="{57521C4A-196B-4267-9628-3556E5D598E5}"/>
    <cellStyle name="Millares 4 3 2 2" xfId="410" xr:uid="{F936D393-5AA1-41DD-A11D-FF17C17AC256}"/>
    <cellStyle name="Millares 4 3 2 2 2" xfId="749" xr:uid="{345B4B76-EFCC-45CA-95E0-78CBAED8161C}"/>
    <cellStyle name="Millares 4 3 2 2 2 2" xfId="1420" xr:uid="{B9023B6E-0046-471B-913C-77E3E07BD005}"/>
    <cellStyle name="Millares 4 3 2 2 3" xfId="1088" xr:uid="{F2553007-4673-4A17-A9BC-A3BF8BC50102}"/>
    <cellStyle name="Millares 4 3 2 3" xfId="583" xr:uid="{42E694D6-E8FB-44B7-98F2-B7C94A1313E0}"/>
    <cellStyle name="Millares 4 3 2 3 2" xfId="1254" xr:uid="{3BF8FE07-C989-4D5C-B68E-0EC0FE03B53F}"/>
    <cellStyle name="Millares 4 3 2 4" xfId="922" xr:uid="{A9156A2E-EDD0-4813-A3F9-8E9DCEDE43E2}"/>
    <cellStyle name="Millares 4 3 3" xfId="328" xr:uid="{0130B105-464D-4A4C-858E-1DF52293A56B}"/>
    <cellStyle name="Millares 4 3 3 2" xfId="667" xr:uid="{23CA1E85-8095-4C9C-AE19-829D0D4F1062}"/>
    <cellStyle name="Millares 4 3 3 2 2" xfId="1338" xr:uid="{E8796A7D-A399-4735-8F3F-ED250424EE68}"/>
    <cellStyle name="Millares 4 3 3 3" xfId="1006" xr:uid="{C3B0BFA0-AD9F-46C7-8B1D-E8E338C4CD41}"/>
    <cellStyle name="Millares 4 3 4" xfId="501" xr:uid="{79AE9D39-3B08-42BE-A659-836D642723CF}"/>
    <cellStyle name="Millares 4 3 4 2" xfId="1172" xr:uid="{4F392808-AA48-4838-9888-5D6BE42AA4B6}"/>
    <cellStyle name="Millares 4 3 5" xfId="840" xr:uid="{1F82FE5B-1A12-4014-852F-FB964EF67E5A}"/>
    <cellStyle name="Millares 4 4" xfId="184" xr:uid="{C62B43B4-A0A1-4131-B513-46C07BD7C616}"/>
    <cellStyle name="Millares 4 4 2" xfId="370" xr:uid="{F86D92D7-B307-470E-8858-54C7699FD46A}"/>
    <cellStyle name="Millares 4 4 2 2" xfId="709" xr:uid="{C38DB154-CDC1-4274-9253-E6F2B10100DA}"/>
    <cellStyle name="Millares 4 4 2 2 2" xfId="1380" xr:uid="{A38081CB-F346-4B3C-AB06-0A726D7AC014}"/>
    <cellStyle name="Millares 4 4 2 3" xfId="1048" xr:uid="{3ADE30E1-BF5C-4F8F-A727-8263EFC3697B}"/>
    <cellStyle name="Millares 4 4 3" xfId="543" xr:uid="{1E3A3E5A-B603-483E-9D7C-B05B95DF8517}"/>
    <cellStyle name="Millares 4 4 3 2" xfId="1214" xr:uid="{09FC2F4F-92BE-42DF-976A-B0318F5EA682}"/>
    <cellStyle name="Millares 4 4 4" xfId="882" xr:uid="{D325B67A-A4A8-4E7E-8BDA-9401C5494980}"/>
    <cellStyle name="Millares 4 5" xfId="288" xr:uid="{70A465E8-89BC-4BB7-B9C7-B56FD1DCA207}"/>
    <cellStyle name="Millares 4 5 2" xfId="627" xr:uid="{2C5E28A0-3538-4F5A-8D20-9A6DD094AC0E}"/>
    <cellStyle name="Millares 4 5 2 2" xfId="1298" xr:uid="{B63E73CA-3E93-4352-B003-B691F1D5FA61}"/>
    <cellStyle name="Millares 4 5 3" xfId="966" xr:uid="{930774E4-C0E0-45B3-B306-40D819CB0C6C}"/>
    <cellStyle name="Millares 4 6" xfId="461" xr:uid="{86045F9A-CD94-4637-B9FE-17CCD7AB91C5}"/>
    <cellStyle name="Millares 4 6 2" xfId="1132" xr:uid="{67CAA157-BC37-424C-AC6B-092373198342}"/>
    <cellStyle name="Millares 4 7" xfId="800" xr:uid="{6549D3E9-AA62-42B4-863C-C935027C6D2D}"/>
    <cellStyle name="Millares 5" xfId="63" xr:uid="{8692DAC6-F195-48DE-9597-80FAD9BA0325}"/>
    <cellStyle name="Millares 5 2" xfId="98" xr:uid="{65CE4990-22B6-43AE-95B9-DCFBA06CAB59}"/>
    <cellStyle name="Millares 5 2 2" xfId="146" xr:uid="{CE3E22B3-275E-4949-AC56-5B5ED82CDECB}"/>
    <cellStyle name="Millares 5 2 2 2" xfId="235" xr:uid="{809FAF4E-D18B-4316-B980-DA006284708D}"/>
    <cellStyle name="Millares 5 2 2 2 2" xfId="421" xr:uid="{87BFD811-7044-4805-AAF1-AA50E04ABC50}"/>
    <cellStyle name="Millares 5 2 2 2 2 2" xfId="760" xr:uid="{FFB8D6AE-DF47-46F1-A796-75A30AA69F27}"/>
    <cellStyle name="Millares 5 2 2 2 2 2 2" xfId="1431" xr:uid="{1ECE70DE-1983-4B0F-BAAA-B9E02A1C947C}"/>
    <cellStyle name="Millares 5 2 2 2 2 3" xfId="1099" xr:uid="{08675645-66AA-4DD1-9B91-C465FEF5A3CF}"/>
    <cellStyle name="Millares 5 2 2 2 3" xfId="594" xr:uid="{A321FBF8-51A3-4B94-BFB2-0BDA5043153F}"/>
    <cellStyle name="Millares 5 2 2 2 3 2" xfId="1265" xr:uid="{3CAC6B6E-5063-4A4B-B1B4-6023C2590644}"/>
    <cellStyle name="Millares 5 2 2 2 4" xfId="933" xr:uid="{856ED71C-DFC3-486C-873D-CC4E10F450E3}"/>
    <cellStyle name="Millares 5 2 2 3" xfId="339" xr:uid="{9285B3EC-4068-47DA-B2EE-794CB5FC407F}"/>
    <cellStyle name="Millares 5 2 2 3 2" xfId="678" xr:uid="{D5DAEA91-7706-4045-A59C-B794111BDEF7}"/>
    <cellStyle name="Millares 5 2 2 3 2 2" xfId="1349" xr:uid="{5F6A8211-323C-4511-974D-8F14CCB4FB91}"/>
    <cellStyle name="Millares 5 2 2 3 3" xfId="1017" xr:uid="{AB0112C3-689D-4D01-8ECD-4DD57EB568D9}"/>
    <cellStyle name="Millares 5 2 2 4" xfId="512" xr:uid="{32CEFD7D-BAA5-46AF-A7F7-DBE26DC0568B}"/>
    <cellStyle name="Millares 5 2 2 4 2" xfId="1183" xr:uid="{5A29DE07-1B5E-411C-AAC0-3CD8C5E26796}"/>
    <cellStyle name="Millares 5 2 2 5" xfId="851" xr:uid="{83A7192C-F12F-4728-AB91-F37864BB6ED5}"/>
    <cellStyle name="Millares 5 2 3" xfId="195" xr:uid="{598CC920-6877-4AE0-8ECE-0D9BC242E423}"/>
    <cellStyle name="Millares 5 2 3 2" xfId="381" xr:uid="{19CA2353-1561-4D83-A05F-5D7C0909BDF3}"/>
    <cellStyle name="Millares 5 2 3 2 2" xfId="720" xr:uid="{FAB9B367-5F84-481F-8735-4535AFE790D0}"/>
    <cellStyle name="Millares 5 2 3 2 2 2" xfId="1391" xr:uid="{D7B6C0C8-FFE3-44D4-8640-E1789AE99AAF}"/>
    <cellStyle name="Millares 5 2 3 2 3" xfId="1059" xr:uid="{D2855621-41DC-4BD1-9F4B-0F42556783D3}"/>
    <cellStyle name="Millares 5 2 3 3" xfId="554" xr:uid="{07AF8044-B96D-4070-83FD-DD4FAC6CA892}"/>
    <cellStyle name="Millares 5 2 3 3 2" xfId="1225" xr:uid="{8EA9C3E8-9980-4517-BC69-3652AF9A5D21}"/>
    <cellStyle name="Millares 5 2 3 4" xfId="893" xr:uid="{5759FDD2-F9C1-448E-981E-BEAD2C94FD6D}"/>
    <cellStyle name="Millares 5 2 4" xfId="299" xr:uid="{8478F19E-0639-4031-B421-6D2617D778A6}"/>
    <cellStyle name="Millares 5 2 4 2" xfId="638" xr:uid="{7A309E4D-F824-451C-829D-9D4CD1EC92F7}"/>
    <cellStyle name="Millares 5 2 4 2 2" xfId="1309" xr:uid="{92AC2353-2A94-4DAF-9DC8-6044A414F7FB}"/>
    <cellStyle name="Millares 5 2 4 3" xfId="977" xr:uid="{2A847306-87B7-419D-B217-2EC9D048FBAE}"/>
    <cellStyle name="Millares 5 2 5" xfId="472" xr:uid="{E26DF1FD-4589-43B7-8D64-6F3D8F9D0D44}"/>
    <cellStyle name="Millares 5 2 5 2" xfId="1143" xr:uid="{68346DAF-6F6E-48BD-9040-A851CCEE668E}"/>
    <cellStyle name="Millares 5 2 6" xfId="811" xr:uid="{2059EF1C-F386-45E9-9C77-2CD7433F83A1}"/>
    <cellStyle name="Millares 5 3" xfId="127" xr:uid="{F87B5F62-D933-469F-9F00-1DDD8A5DCFFF}"/>
    <cellStyle name="Millares 5 3 2" xfId="216" xr:uid="{5C7DE9FF-FC10-489F-988D-91F50DC4B1BE}"/>
    <cellStyle name="Millares 5 3 2 2" xfId="402" xr:uid="{614FC2EA-8B65-4BC7-97D9-322E61924074}"/>
    <cellStyle name="Millares 5 3 2 2 2" xfId="741" xr:uid="{E92410DA-98E5-4370-A594-6935F5F292D9}"/>
    <cellStyle name="Millares 5 3 2 2 2 2" xfId="1412" xr:uid="{C5EA0D26-850A-430D-9CCD-0E4637DA3781}"/>
    <cellStyle name="Millares 5 3 2 2 3" xfId="1080" xr:uid="{BA5DB600-9BEC-4A37-BE8F-2670408B35D2}"/>
    <cellStyle name="Millares 5 3 2 3" xfId="575" xr:uid="{19EFA18F-EFE8-47BF-BF19-44F2C6CF8DB1}"/>
    <cellStyle name="Millares 5 3 2 3 2" xfId="1246" xr:uid="{84D5C240-BE96-466F-8BE2-BA3C19A4513C}"/>
    <cellStyle name="Millares 5 3 2 4" xfId="914" xr:uid="{85884C97-6575-4A21-8184-EF644AEE7B70}"/>
    <cellStyle name="Millares 5 3 3" xfId="320" xr:uid="{CEB9BE1E-70F2-4766-9305-8FF7C48CD128}"/>
    <cellStyle name="Millares 5 3 3 2" xfId="659" xr:uid="{4E07C6B1-3F06-4EA1-B32E-622404B9C90E}"/>
    <cellStyle name="Millares 5 3 3 2 2" xfId="1330" xr:uid="{24A3ABFE-A5E5-481D-96D8-0A390E657053}"/>
    <cellStyle name="Millares 5 3 3 3" xfId="998" xr:uid="{07E9850C-2D29-4508-A50A-FC401284B5DB}"/>
    <cellStyle name="Millares 5 3 4" xfId="493" xr:uid="{55E2F283-B6B6-4C2F-AAF5-838F3FEFF279}"/>
    <cellStyle name="Millares 5 3 4 2" xfId="1164" xr:uid="{024EBF4B-516B-488F-869B-5782C664D849}"/>
    <cellStyle name="Millares 5 3 5" xfId="832" xr:uid="{30935F01-7128-48AE-B608-7DD8F4F47BD6}"/>
    <cellStyle name="Millares 5 4" xfId="176" xr:uid="{861E0E0F-BB09-45B6-8892-AE2AC461B8AC}"/>
    <cellStyle name="Millares 5 4 2" xfId="362" xr:uid="{0A00E7A6-CEDE-458C-9B00-4DB39FCEE844}"/>
    <cellStyle name="Millares 5 4 2 2" xfId="701" xr:uid="{FFEFC814-7BD4-448B-8FA0-00BF8FCC6825}"/>
    <cellStyle name="Millares 5 4 2 2 2" xfId="1372" xr:uid="{DFDF183D-228B-4F5C-A930-5ED855B0AC87}"/>
    <cellStyle name="Millares 5 4 2 3" xfId="1040" xr:uid="{7CDF7AA7-9CA3-4FCB-9F00-C9D076939B06}"/>
    <cellStyle name="Millares 5 4 3" xfId="535" xr:uid="{BC1BC8E9-AEAC-461B-90A0-E7CCA5D1926F}"/>
    <cellStyle name="Millares 5 4 3 2" xfId="1206" xr:uid="{3BBE0C1C-DA2B-4C0D-947C-1B2D85D868C2}"/>
    <cellStyle name="Millares 5 4 4" xfId="874" xr:uid="{C1B5A3B8-FE29-4B85-8D4B-0DBD82C21E66}"/>
    <cellStyle name="Millares 5 5" xfId="280" xr:uid="{F1F50751-67EB-476E-AE4A-5104D3C3AD2B}"/>
    <cellStyle name="Millares 5 5 2" xfId="619" xr:uid="{C6E42217-F41E-4F48-8672-4599B7005B27}"/>
    <cellStyle name="Millares 5 5 2 2" xfId="1290" xr:uid="{5240FE37-CA9C-49B3-9ACE-E13AAA626ADB}"/>
    <cellStyle name="Millares 5 5 3" xfId="958" xr:uid="{867328DB-D2A5-4CE5-B440-A392EA6C8995}"/>
    <cellStyle name="Millares 5 6" xfId="453" xr:uid="{C5271399-AE45-42AA-B01C-9C55BD9DE565}"/>
    <cellStyle name="Millares 5 6 2" xfId="1124" xr:uid="{EF4C8284-BA05-486A-A263-A3C766A31C91}"/>
    <cellStyle name="Millares 5 7" xfId="792" xr:uid="{C382F72C-868E-41C4-A07A-4F8F782A97F7}"/>
    <cellStyle name="Millares 6" xfId="80" xr:uid="{E8AD78B8-E14E-4B09-BBC3-1BB73BD509BD}"/>
    <cellStyle name="Millares 6 2" xfId="107" xr:uid="{C66D130E-7DD3-496E-8A37-C3997DC0DF0E}"/>
    <cellStyle name="Millares 6 2 2" xfId="155" xr:uid="{F47D675F-CA73-4C50-A755-8001AEF572D5}"/>
    <cellStyle name="Millares 6 2 2 2" xfId="244" xr:uid="{7634E1CC-A4F4-484F-BF85-6D866894C8EF}"/>
    <cellStyle name="Millares 6 2 2 2 2" xfId="430" xr:uid="{7314AEA8-3B94-46B3-8510-D155D3B8A675}"/>
    <cellStyle name="Millares 6 2 2 2 2 2" xfId="769" xr:uid="{96A33544-552E-405E-8CDB-8694AA22C3CC}"/>
    <cellStyle name="Millares 6 2 2 2 2 2 2" xfId="1440" xr:uid="{7D6F604E-6835-4BC9-853D-030ECC98C1CD}"/>
    <cellStyle name="Millares 6 2 2 2 2 3" xfId="1108" xr:uid="{3837FAF1-25B7-4152-9A45-EB62B43006BC}"/>
    <cellStyle name="Millares 6 2 2 2 3" xfId="603" xr:uid="{A3E5E79C-0443-451F-A5B4-EEE4A8615F18}"/>
    <cellStyle name="Millares 6 2 2 2 3 2" xfId="1274" xr:uid="{299BEDFD-3B92-4FFF-885C-B0172D53B93D}"/>
    <cellStyle name="Millares 6 2 2 2 4" xfId="942" xr:uid="{46ACBF21-7589-485E-BD5E-D9D17C83BF03}"/>
    <cellStyle name="Millares 6 2 2 3" xfId="348" xr:uid="{D9656A98-FC24-4FAE-AF6D-FCC6F0BC1A81}"/>
    <cellStyle name="Millares 6 2 2 3 2" xfId="687" xr:uid="{1F9D5647-CF88-4D32-861F-C0278FC6905C}"/>
    <cellStyle name="Millares 6 2 2 3 2 2" xfId="1358" xr:uid="{A2627BC6-9D36-4031-9CF4-0F050FF00B5B}"/>
    <cellStyle name="Millares 6 2 2 3 3" xfId="1026" xr:uid="{FD0BF1F4-962F-44F9-9EC0-D9C921D25EEB}"/>
    <cellStyle name="Millares 6 2 2 4" xfId="521" xr:uid="{27CDD4BF-98AF-4076-9DB0-63806A9E3675}"/>
    <cellStyle name="Millares 6 2 2 4 2" xfId="1192" xr:uid="{EE2B572C-CD9C-407D-8779-1E7E92E20C05}"/>
    <cellStyle name="Millares 6 2 2 5" xfId="860" xr:uid="{519F05E4-6158-4AE7-B052-400767A02D60}"/>
    <cellStyle name="Millares 6 2 3" xfId="204" xr:uid="{A592F21F-D1A7-43C9-9FD4-477C7E560FC3}"/>
    <cellStyle name="Millares 6 2 3 2" xfId="390" xr:uid="{9065471B-48B6-427C-8433-3B08280A7B33}"/>
    <cellStyle name="Millares 6 2 3 2 2" xfId="729" xr:uid="{0380CA9B-76E4-44C9-B8C0-95E41292DD42}"/>
    <cellStyle name="Millares 6 2 3 2 2 2" xfId="1400" xr:uid="{F67DCF6F-4A2F-4AFE-9367-98F498401FCD}"/>
    <cellStyle name="Millares 6 2 3 2 3" xfId="1068" xr:uid="{AB58D9C6-8262-4B19-980C-4937338A6EE8}"/>
    <cellStyle name="Millares 6 2 3 3" xfId="563" xr:uid="{AC53EC8D-5BA9-4EBF-AD29-625BFEA2BAF0}"/>
    <cellStyle name="Millares 6 2 3 3 2" xfId="1234" xr:uid="{8CE961FB-E6C7-49BB-9D3F-C5B66C0B560D}"/>
    <cellStyle name="Millares 6 2 3 4" xfId="902" xr:uid="{0D7AC639-16A1-4D30-8FAE-6C7E9AFEC51F}"/>
    <cellStyle name="Millares 6 2 4" xfId="308" xr:uid="{0195C3E2-483C-4C69-81BF-318D2F601CD7}"/>
    <cellStyle name="Millares 6 2 4 2" xfId="647" xr:uid="{13C80C3E-8B2A-45B1-BB89-FDABDE65B9DD}"/>
    <cellStyle name="Millares 6 2 4 2 2" xfId="1318" xr:uid="{42C3AB4E-427E-42D9-91D3-8A4B4880B6E1}"/>
    <cellStyle name="Millares 6 2 4 3" xfId="986" xr:uid="{8F19EEBF-8FBB-4758-A88A-D77C1EB9FA5D}"/>
    <cellStyle name="Millares 6 2 5" xfId="481" xr:uid="{4E6164CF-3977-499F-8D2F-B0CAAE593AC8}"/>
    <cellStyle name="Millares 6 2 5 2" xfId="1152" xr:uid="{5A1B9D73-6293-446E-8917-1BDD85520A3C}"/>
    <cellStyle name="Millares 6 2 6" xfId="820" xr:uid="{ECD7BF2E-DF41-4768-A056-AC26532DE5F2}"/>
    <cellStyle name="Millares 6 3" xfId="136" xr:uid="{9CD53E25-F9A2-4F08-BA2C-8CC3D1583358}"/>
    <cellStyle name="Millares 6 3 2" xfId="225" xr:uid="{E802483D-D99B-469E-999B-DE773DD1322D}"/>
    <cellStyle name="Millares 6 3 2 2" xfId="411" xr:uid="{19EE7E18-0ACE-4DF5-8D26-05CA468659A6}"/>
    <cellStyle name="Millares 6 3 2 2 2" xfId="750" xr:uid="{F24DF5FB-D7C2-4C03-82A3-D6C17B3C18CD}"/>
    <cellStyle name="Millares 6 3 2 2 2 2" xfId="1421" xr:uid="{E0C44A39-D6A0-43C5-904C-D8B3C6735110}"/>
    <cellStyle name="Millares 6 3 2 2 3" xfId="1089" xr:uid="{8B5AA6D8-45F0-424C-B8D1-42441F863811}"/>
    <cellStyle name="Millares 6 3 2 3" xfId="584" xr:uid="{D6FA17C9-445D-4976-A466-F2F3109DC5DA}"/>
    <cellStyle name="Millares 6 3 2 3 2" xfId="1255" xr:uid="{F379B74A-D8E3-4881-B3BC-E9760F950397}"/>
    <cellStyle name="Millares 6 3 2 4" xfId="923" xr:uid="{BAC5AAC3-43D8-4C78-80D5-A15783F3B43A}"/>
    <cellStyle name="Millares 6 3 3" xfId="329" xr:uid="{0CC92459-494C-4C2F-AE70-810FBD23AB40}"/>
    <cellStyle name="Millares 6 3 3 2" xfId="668" xr:uid="{BA7D24DD-A5BC-4DF8-BF93-35BF4A5A776B}"/>
    <cellStyle name="Millares 6 3 3 2 2" xfId="1339" xr:uid="{5FD5A9C2-002B-44F7-8002-E4F5717F41C1}"/>
    <cellStyle name="Millares 6 3 3 3" xfId="1007" xr:uid="{F5FE465F-5119-4A1C-AF80-9DA86112DC29}"/>
    <cellStyle name="Millares 6 3 4" xfId="502" xr:uid="{91DF71CD-8F50-47E1-9554-A41AA47FBA91}"/>
    <cellStyle name="Millares 6 3 4 2" xfId="1173" xr:uid="{F331E0E9-FE1E-4A93-9265-90F5911CA5B4}"/>
    <cellStyle name="Millares 6 3 5" xfId="841" xr:uid="{CBF11E59-B880-4FB1-B2FC-DA49996F29EA}"/>
    <cellStyle name="Millares 6 4" xfId="185" xr:uid="{E1775030-5BD9-4972-A9E8-2839E91C6245}"/>
    <cellStyle name="Millares 6 4 2" xfId="371" xr:uid="{94EF3B68-756D-4299-B394-2905B6DDBD6F}"/>
    <cellStyle name="Millares 6 4 2 2" xfId="710" xr:uid="{EBED8C17-91B2-42DA-A529-909AD55CC265}"/>
    <cellStyle name="Millares 6 4 2 2 2" xfId="1381" xr:uid="{766E80D7-35B7-46B6-BF7A-4F56E8E3F22D}"/>
    <cellStyle name="Millares 6 4 2 3" xfId="1049" xr:uid="{8C814943-49AF-491C-B65A-6AD0FF39454D}"/>
    <cellStyle name="Millares 6 4 3" xfId="544" xr:uid="{4A2455D1-24FD-4985-86CD-A99017EE3D18}"/>
    <cellStyle name="Millares 6 4 3 2" xfId="1215" xr:uid="{D2121D24-7860-4970-A50C-59052DE37C71}"/>
    <cellStyle name="Millares 6 4 4" xfId="883" xr:uid="{9E82AB5D-2565-4937-9777-340D543BD0FF}"/>
    <cellStyle name="Millares 6 5" xfId="289" xr:uid="{D0F72989-8383-4607-9DA1-6FC6AD63EEFB}"/>
    <cellStyle name="Millares 6 5 2" xfId="628" xr:uid="{3D26A179-219A-48DE-9113-427E90B9D526}"/>
    <cellStyle name="Millares 6 5 2 2" xfId="1299" xr:uid="{DFE549D6-77FE-4D56-8DFF-2EE3A08C5F4F}"/>
    <cellStyle name="Millares 6 5 3" xfId="967" xr:uid="{466A84DA-5626-4166-AEC1-5A9568D3DF75}"/>
    <cellStyle name="Millares 6 6" xfId="462" xr:uid="{AC19F93C-B0EB-46E0-BFBB-D107C3191878}"/>
    <cellStyle name="Millares 6 6 2" xfId="1133" xr:uid="{DE3970CA-9A22-4DEC-94C2-BB80EF9FBADE}"/>
    <cellStyle name="Millares 6 7" xfId="801" xr:uid="{07CE69C4-F8AB-485B-8D51-937F4C241B54}"/>
    <cellStyle name="Millares 7" xfId="81" xr:uid="{F233F893-2851-48DA-BC76-D3D1A0D3F6FD}"/>
    <cellStyle name="Millares 7 2" xfId="108" xr:uid="{41361367-5219-4C45-90EC-6092C983FC78}"/>
    <cellStyle name="Millares 7 2 2" xfId="156" xr:uid="{DB2547C7-FDFC-4AA8-9F9E-B92C417EC9AF}"/>
    <cellStyle name="Millares 7 2 2 2" xfId="245" xr:uid="{63AEBE85-FBD8-4860-BF30-925435862CE5}"/>
    <cellStyle name="Millares 7 2 2 2 2" xfId="431" xr:uid="{8B2BE3D6-CD64-434C-B436-045A1FE1D77A}"/>
    <cellStyle name="Millares 7 2 2 2 2 2" xfId="770" xr:uid="{7052567B-AD64-4422-89E0-582C3D143C0B}"/>
    <cellStyle name="Millares 7 2 2 2 2 2 2" xfId="1441" xr:uid="{6508D42E-9878-4D6B-81A5-3C5075966BB2}"/>
    <cellStyle name="Millares 7 2 2 2 2 3" xfId="1109" xr:uid="{760B1C8D-4455-45CD-8560-94F7DBDEB001}"/>
    <cellStyle name="Millares 7 2 2 2 3" xfId="604" xr:uid="{6A5FEC87-1921-4F06-8FA2-1DB22D1F4B08}"/>
    <cellStyle name="Millares 7 2 2 2 3 2" xfId="1275" xr:uid="{D108D3C6-9595-4427-9CDD-808D4F899727}"/>
    <cellStyle name="Millares 7 2 2 2 4" xfId="943" xr:uid="{C639D7A0-BBB3-4338-A4A1-F0F625CF0882}"/>
    <cellStyle name="Millares 7 2 2 3" xfId="349" xr:uid="{D0E00C52-8F14-4500-85C6-DDD0D9EFDFEE}"/>
    <cellStyle name="Millares 7 2 2 3 2" xfId="688" xr:uid="{BAFCA13B-4379-4041-8EA1-BAA2EACEC8B6}"/>
    <cellStyle name="Millares 7 2 2 3 2 2" xfId="1359" xr:uid="{62B12474-9243-4A8E-AB63-EB18E85B97D8}"/>
    <cellStyle name="Millares 7 2 2 3 3" xfId="1027" xr:uid="{64A0901D-EFD8-46D9-9B5D-DB6A86538625}"/>
    <cellStyle name="Millares 7 2 2 4" xfId="522" xr:uid="{15DE990B-D1F4-4C32-A473-DF0D1DFE9B55}"/>
    <cellStyle name="Millares 7 2 2 4 2" xfId="1193" xr:uid="{B94E79E8-280E-4740-8344-6A4B4A709D71}"/>
    <cellStyle name="Millares 7 2 2 5" xfId="861" xr:uid="{D398379F-6941-451C-A4CE-AE37E365A1A0}"/>
    <cellStyle name="Millares 7 2 3" xfId="205" xr:uid="{28F7B5A0-C2FB-47E9-A203-0C4F981F95C1}"/>
    <cellStyle name="Millares 7 2 3 2" xfId="391" xr:uid="{BF20F64C-B45D-416D-8AD1-23F173FCA7F8}"/>
    <cellStyle name="Millares 7 2 3 2 2" xfId="730" xr:uid="{716E755F-F7C6-4F4F-9A43-66847CBB520C}"/>
    <cellStyle name="Millares 7 2 3 2 2 2" xfId="1401" xr:uid="{17CB12EA-F540-4769-AD78-4CBE432B94C9}"/>
    <cellStyle name="Millares 7 2 3 2 3" xfId="1069" xr:uid="{B626E853-4DF4-4DBE-A1AD-23CF690096DC}"/>
    <cellStyle name="Millares 7 2 3 3" xfId="564" xr:uid="{2861CEF5-09BA-452C-87A3-15791B2942B7}"/>
    <cellStyle name="Millares 7 2 3 3 2" xfId="1235" xr:uid="{E4294BE9-5FF4-4D49-98C4-0F168A106792}"/>
    <cellStyle name="Millares 7 2 3 4" xfId="903" xr:uid="{3CEBD3AB-358E-4B51-84E8-D7EBC4D4D37B}"/>
    <cellStyle name="Millares 7 2 4" xfId="309" xr:uid="{60FFDE85-B45B-4820-871E-E41EF36E4B52}"/>
    <cellStyle name="Millares 7 2 4 2" xfId="648" xr:uid="{CF17C392-F2E3-4543-93E7-B624544DF1C3}"/>
    <cellStyle name="Millares 7 2 4 2 2" xfId="1319" xr:uid="{D54F2DF8-B7DE-4A1D-B9C2-444BE221A7A3}"/>
    <cellStyle name="Millares 7 2 4 3" xfId="987" xr:uid="{DCE2BFF0-870F-42EA-964D-BD28BD5385A1}"/>
    <cellStyle name="Millares 7 2 5" xfId="482" xr:uid="{D1FB3405-D14C-420D-94E4-A8F1974E16F6}"/>
    <cellStyle name="Millares 7 2 5 2" xfId="1153" xr:uid="{935A963C-E493-4440-BFDE-6A63D9D72AF5}"/>
    <cellStyle name="Millares 7 2 6" xfId="821" xr:uid="{D5444AD9-B6B3-4CB1-B379-2B4926AC840B}"/>
    <cellStyle name="Millares 7 3" xfId="137" xr:uid="{86CE9E12-DB46-4400-946F-62CABB2D7EC5}"/>
    <cellStyle name="Millares 7 3 2" xfId="226" xr:uid="{604994AA-9938-4AD0-AA88-EF4B1235C52B}"/>
    <cellStyle name="Millares 7 3 2 2" xfId="412" xr:uid="{A61BAAFE-C140-4606-BF07-8DBB8876AC88}"/>
    <cellStyle name="Millares 7 3 2 2 2" xfId="751" xr:uid="{9F2A5EB7-5D19-4339-84AA-20D6055F7F0E}"/>
    <cellStyle name="Millares 7 3 2 2 2 2" xfId="1422" xr:uid="{F2E51AA1-538B-4956-BC5A-ABC59E603AC9}"/>
    <cellStyle name="Millares 7 3 2 2 3" xfId="1090" xr:uid="{18572DC7-4D1A-4BC6-A799-FEB5EF999D65}"/>
    <cellStyle name="Millares 7 3 2 3" xfId="585" xr:uid="{C40E57C3-5852-4609-8143-ABC3E2A8A2FE}"/>
    <cellStyle name="Millares 7 3 2 3 2" xfId="1256" xr:uid="{965C546F-28C2-488B-87C4-D66742D34FA7}"/>
    <cellStyle name="Millares 7 3 2 4" xfId="924" xr:uid="{93A6B592-4A0D-49DA-B9E4-71822C25E287}"/>
    <cellStyle name="Millares 7 3 3" xfId="330" xr:uid="{D5DD2741-68C1-43BD-ADB8-31481C6BEF50}"/>
    <cellStyle name="Millares 7 3 3 2" xfId="669" xr:uid="{7C1F21C8-7556-401F-88A4-012A1C3C4914}"/>
    <cellStyle name="Millares 7 3 3 2 2" xfId="1340" xr:uid="{10D07CE1-8B0B-4600-B849-DB915A7D1C96}"/>
    <cellStyle name="Millares 7 3 3 3" xfId="1008" xr:uid="{CA3DCF4E-E681-48C8-A8D1-703AC659BE63}"/>
    <cellStyle name="Millares 7 3 4" xfId="503" xr:uid="{DE03EFC0-AEF3-427C-A765-7F3BD73F79AC}"/>
    <cellStyle name="Millares 7 3 4 2" xfId="1174" xr:uid="{7FA2B859-5B8D-4521-AA4C-58393B98EA77}"/>
    <cellStyle name="Millares 7 3 5" xfId="842" xr:uid="{05491D53-0F1B-443F-929E-5A2446E06553}"/>
    <cellStyle name="Millares 7 4" xfId="186" xr:uid="{460C977E-B3F5-455C-9A67-5CC38F0C1EF9}"/>
    <cellStyle name="Millares 7 4 2" xfId="372" xr:uid="{C4CFD60A-665E-41C9-A9CA-A75EAD49CCE4}"/>
    <cellStyle name="Millares 7 4 2 2" xfId="711" xr:uid="{0D4D1E62-217F-4675-848F-CE71FCDD1242}"/>
    <cellStyle name="Millares 7 4 2 2 2" xfId="1382" xr:uid="{CCBE4726-563C-4DB4-A7D4-A3D08BA8D050}"/>
    <cellStyle name="Millares 7 4 2 3" xfId="1050" xr:uid="{940A9688-D5DB-4B8A-A46F-FD8F3BA52CC0}"/>
    <cellStyle name="Millares 7 4 3" xfId="545" xr:uid="{450A59ED-2871-473D-B50C-233D6FA1E4FE}"/>
    <cellStyle name="Millares 7 4 3 2" xfId="1216" xr:uid="{5D19CF06-03A8-4EFA-8869-DCB027CC2213}"/>
    <cellStyle name="Millares 7 4 4" xfId="884" xr:uid="{4589019B-70FF-4F48-ADA5-22C52C83B09B}"/>
    <cellStyle name="Millares 7 5" xfId="290" xr:uid="{94E582E8-3C68-42BD-8FD1-A17F12C59A45}"/>
    <cellStyle name="Millares 7 5 2" xfId="629" xr:uid="{1A1A8FE5-EA6A-432A-84AC-8E10D801B5BF}"/>
    <cellStyle name="Millares 7 5 2 2" xfId="1300" xr:uid="{09DD7583-7CCD-468A-AD43-83FEFF37AE83}"/>
    <cellStyle name="Millares 7 5 3" xfId="968" xr:uid="{9667143B-41A4-45E9-9E03-7D8AA4FBE5E3}"/>
    <cellStyle name="Millares 7 6" xfId="463" xr:uid="{18F84CF0-758B-4E57-91B2-B6025A3437DE}"/>
    <cellStyle name="Millares 7 6 2" xfId="1134" xr:uid="{9090DE41-1FC6-4F0E-973A-7875D1BB7544}"/>
    <cellStyle name="Millares 7 7" xfId="802" xr:uid="{8063407C-DD39-497D-93B2-43B13666C62B}"/>
    <cellStyle name="Millares 79" xfId="47" xr:uid="{263F7972-2380-45A7-BF3B-2B900068D5F5}"/>
    <cellStyle name="Millares 79 2" xfId="74" xr:uid="{44CF464D-9143-434B-B0A3-D5DFC08614E8}"/>
    <cellStyle name="Millares 79 2 2" xfId="103" xr:uid="{5541E5FA-E5F0-4D33-9705-E54470067DE7}"/>
    <cellStyle name="Millares 79 2 2 2" xfId="151" xr:uid="{CAE63516-1AA3-430D-9175-7176DB680CEC}"/>
    <cellStyle name="Millares 79 2 2 2 2" xfId="240" xr:uid="{D72A469D-D4F3-4203-9CFD-F40056A1D8CE}"/>
    <cellStyle name="Millares 79 2 2 2 2 2" xfId="426" xr:uid="{B3249E6B-DF44-424C-AB24-13C7581FA912}"/>
    <cellStyle name="Millares 79 2 2 2 2 2 2" xfId="765" xr:uid="{456DFD53-9A99-421D-A38D-A6B2DA9E6572}"/>
    <cellStyle name="Millares 79 2 2 2 2 2 2 2" xfId="1436" xr:uid="{63A52734-1956-477E-B089-A3566A8C0A79}"/>
    <cellStyle name="Millares 79 2 2 2 2 2 3" xfId="1104" xr:uid="{44A8B285-1A7E-41C5-AE48-9408DA7BD8A3}"/>
    <cellStyle name="Millares 79 2 2 2 2 3" xfId="599" xr:uid="{A701DDF5-446C-4F63-9DE1-CEAF70D7463C}"/>
    <cellStyle name="Millares 79 2 2 2 2 3 2" xfId="1270" xr:uid="{6A8B3DA7-876D-4839-AB4C-7C43B5AAC911}"/>
    <cellStyle name="Millares 79 2 2 2 2 4" xfId="938" xr:uid="{32167219-45A9-4BD3-8312-3A2F9A24CDB3}"/>
    <cellStyle name="Millares 79 2 2 2 3" xfId="344" xr:uid="{46436487-D2AE-40E5-8EF5-1992E6CE6EE8}"/>
    <cellStyle name="Millares 79 2 2 2 3 2" xfId="683" xr:uid="{94407386-256E-40D4-A944-DC23944E09E0}"/>
    <cellStyle name="Millares 79 2 2 2 3 2 2" xfId="1354" xr:uid="{33F6E486-44F8-4108-A49A-18EB775D5AEC}"/>
    <cellStyle name="Millares 79 2 2 2 3 3" xfId="1022" xr:uid="{E245D8CC-6BD8-4C20-BBCF-30FDE6DA619C}"/>
    <cellStyle name="Millares 79 2 2 2 4" xfId="517" xr:uid="{503E26B2-B855-42E3-A1BB-ED38ABF69D59}"/>
    <cellStyle name="Millares 79 2 2 2 4 2" xfId="1188" xr:uid="{1F74E389-0CF2-4980-9893-2A6693610F44}"/>
    <cellStyle name="Millares 79 2 2 2 5" xfId="856" xr:uid="{683214E4-4044-4A82-A5A3-DD69E8F69CA9}"/>
    <cellStyle name="Millares 79 2 2 3" xfId="200" xr:uid="{78CADB8A-558A-496C-B9D8-7EBE84B87730}"/>
    <cellStyle name="Millares 79 2 2 3 2" xfId="386" xr:uid="{48B9EEFD-5B1B-4462-913A-A7777C120CC6}"/>
    <cellStyle name="Millares 79 2 2 3 2 2" xfId="725" xr:uid="{F3825453-5EFB-4BA7-8B7D-77480FD69A26}"/>
    <cellStyle name="Millares 79 2 2 3 2 2 2" xfId="1396" xr:uid="{B511F389-A73C-4C4E-A143-3893BE74ABCC}"/>
    <cellStyle name="Millares 79 2 2 3 2 3" xfId="1064" xr:uid="{3D617704-8342-4596-B2FD-2D5E7AE68B72}"/>
    <cellStyle name="Millares 79 2 2 3 3" xfId="559" xr:uid="{59E48176-FFDA-456E-A73B-27934C353C44}"/>
    <cellStyle name="Millares 79 2 2 3 3 2" xfId="1230" xr:uid="{7EA138CA-8E53-4CBC-8C12-ED34B21ECD31}"/>
    <cellStyle name="Millares 79 2 2 3 4" xfId="898" xr:uid="{F18069FC-E97C-46A6-ADC3-971813C316F8}"/>
    <cellStyle name="Millares 79 2 2 4" xfId="304" xr:uid="{D0AEEE64-1898-4336-84F9-8AB5F31234D7}"/>
    <cellStyle name="Millares 79 2 2 4 2" xfId="643" xr:uid="{26D1CBA6-C9D4-41E5-869E-01ED884A0A02}"/>
    <cellStyle name="Millares 79 2 2 4 2 2" xfId="1314" xr:uid="{46DC79F3-1768-4AAA-AB9B-4A670831E7CB}"/>
    <cellStyle name="Millares 79 2 2 4 3" xfId="982" xr:uid="{6FDFF153-00CC-4B1B-B8D3-B5DBC0ADCBCF}"/>
    <cellStyle name="Millares 79 2 2 5" xfId="477" xr:uid="{93E91580-77E6-4652-A96F-0C132D5C65F3}"/>
    <cellStyle name="Millares 79 2 2 5 2" xfId="1148" xr:uid="{057DE4DE-97C9-48B7-BBF3-823EAC5E40C3}"/>
    <cellStyle name="Millares 79 2 2 6" xfId="816" xr:uid="{A1BE9E26-EE19-44A5-B307-C6A78D0F2F3F}"/>
    <cellStyle name="Millares 79 2 3" xfId="132" xr:uid="{D3923FBE-D6E4-409F-9F42-A00088B06EA5}"/>
    <cellStyle name="Millares 79 2 3 2" xfId="221" xr:uid="{85E2A0F2-AE7B-4FC6-A009-8EFE6F5099AD}"/>
    <cellStyle name="Millares 79 2 3 2 2" xfId="407" xr:uid="{29C6CC41-77FE-4758-B096-FE3E06D11480}"/>
    <cellStyle name="Millares 79 2 3 2 2 2" xfId="746" xr:uid="{EBF5E88F-288E-4620-BD71-3116ADE938FE}"/>
    <cellStyle name="Millares 79 2 3 2 2 2 2" xfId="1417" xr:uid="{95097142-7CBB-40B3-B834-76884B34CE55}"/>
    <cellStyle name="Millares 79 2 3 2 2 3" xfId="1085" xr:uid="{EEA126E4-0760-48ED-9500-0D8E2CF48767}"/>
    <cellStyle name="Millares 79 2 3 2 3" xfId="580" xr:uid="{8746873B-C04F-4F77-AAE1-91DFD4F86192}"/>
    <cellStyle name="Millares 79 2 3 2 3 2" xfId="1251" xr:uid="{B6093937-AD28-4E18-B566-41A04EEC9C97}"/>
    <cellStyle name="Millares 79 2 3 2 4" xfId="919" xr:uid="{40BEE0A2-443B-4FEF-BE09-D27B510BB8B2}"/>
    <cellStyle name="Millares 79 2 3 3" xfId="325" xr:uid="{BE8BE844-3FD3-47B1-B7B9-F8CD67786A15}"/>
    <cellStyle name="Millares 79 2 3 3 2" xfId="664" xr:uid="{AE036664-96A2-4E55-AB10-5254804AA3D8}"/>
    <cellStyle name="Millares 79 2 3 3 2 2" xfId="1335" xr:uid="{8DE29E10-4F6D-48AD-93FE-EEDC3F859D8B}"/>
    <cellStyle name="Millares 79 2 3 3 3" xfId="1003" xr:uid="{406E26EE-8C4A-4FC0-A6CA-CF02A289EAF2}"/>
    <cellStyle name="Millares 79 2 3 4" xfId="498" xr:uid="{CCC1AB7F-00AC-4900-9C95-2E66F2F9F0DD}"/>
    <cellStyle name="Millares 79 2 3 4 2" xfId="1169" xr:uid="{C3AD8ADC-C344-44C9-A6C5-D899FF1ECD03}"/>
    <cellStyle name="Millares 79 2 3 5" xfId="837" xr:uid="{861613A3-2830-4068-B277-54F20AEDDFB9}"/>
    <cellStyle name="Millares 79 2 4" xfId="181" xr:uid="{C3375039-9CD0-4364-9D12-9D2FF70ABCA7}"/>
    <cellStyle name="Millares 79 2 4 2" xfId="367" xr:uid="{31D02AC2-AA28-498A-9EF3-FCC5E030C4D1}"/>
    <cellStyle name="Millares 79 2 4 2 2" xfId="706" xr:uid="{7FD7A930-678C-45F1-8ACA-F809C0CE0641}"/>
    <cellStyle name="Millares 79 2 4 2 2 2" xfId="1377" xr:uid="{3D322E36-05D2-40A6-87E5-7A3CDBABCA59}"/>
    <cellStyle name="Millares 79 2 4 2 3" xfId="1045" xr:uid="{9C3719C5-62A2-4FA6-931B-64307E194DF4}"/>
    <cellStyle name="Millares 79 2 4 3" xfId="540" xr:uid="{313325C4-D290-46E9-B97B-768800E17B01}"/>
    <cellStyle name="Millares 79 2 4 3 2" xfId="1211" xr:uid="{B8745723-0FC4-45A9-8D8D-6C413F904DC6}"/>
    <cellStyle name="Millares 79 2 4 4" xfId="879" xr:uid="{4447F03C-A24C-4DFB-ADB6-826EB9BD98E5}"/>
    <cellStyle name="Millares 79 2 5" xfId="285" xr:uid="{67DFA1D4-6534-4C25-8D0A-0BF4FF95C786}"/>
    <cellStyle name="Millares 79 2 5 2" xfId="624" xr:uid="{EC1880A5-8D87-4412-9BB3-65FFAFBC9AE0}"/>
    <cellStyle name="Millares 79 2 5 2 2" xfId="1295" xr:uid="{A3315FBE-6347-402D-92F5-DB97EB4266A0}"/>
    <cellStyle name="Millares 79 2 5 3" xfId="963" xr:uid="{4A256AE5-CE24-49FC-A681-933580D8286B}"/>
    <cellStyle name="Millares 79 2 6" xfId="458" xr:uid="{FD074F44-499B-4EF4-AB8C-6BF16A1DBA48}"/>
    <cellStyle name="Millares 79 2 6 2" xfId="1129" xr:uid="{728BB86D-2E5E-48A6-BF3B-12AA26D46D82}"/>
    <cellStyle name="Millares 79 2 7" xfId="797" xr:uid="{24AFDAF9-4FE6-492E-A0E9-23C2EA2F4693}"/>
    <cellStyle name="Millares 79 3" xfId="92" xr:uid="{F675DB06-CEF6-41E1-A868-1A08B6777965}"/>
    <cellStyle name="Millares 79 3 2" xfId="142" xr:uid="{0DEB4B5E-3D66-4AA3-8D5D-0971F502D010}"/>
    <cellStyle name="Millares 79 3 2 2" xfId="231" xr:uid="{3AAB4EEF-5D7D-4C5C-AAC3-709FAAE6A571}"/>
    <cellStyle name="Millares 79 3 2 2 2" xfId="417" xr:uid="{F646306D-3073-4453-B60B-B0E9B987A95C}"/>
    <cellStyle name="Millares 79 3 2 2 2 2" xfId="756" xr:uid="{7B7D76DE-DA2F-4679-A981-CE43F51FE5D5}"/>
    <cellStyle name="Millares 79 3 2 2 2 2 2" xfId="1427" xr:uid="{ACDA491A-1BF5-4673-B31E-E59A701128B6}"/>
    <cellStyle name="Millares 79 3 2 2 2 3" xfId="1095" xr:uid="{7B1A1AC9-79E2-4357-B49A-E9B47FA36D20}"/>
    <cellStyle name="Millares 79 3 2 2 3" xfId="590" xr:uid="{CD83D3C9-2C30-4751-8BD5-E33F481FE8C9}"/>
    <cellStyle name="Millares 79 3 2 2 3 2" xfId="1261" xr:uid="{68E1B9A1-E9CA-4DCB-87B8-CE78AEFADCD9}"/>
    <cellStyle name="Millares 79 3 2 2 4" xfId="929" xr:uid="{4FCB044F-7EB2-4928-B296-2CFB0FE09023}"/>
    <cellStyle name="Millares 79 3 2 3" xfId="335" xr:uid="{4F8EA059-88D5-4594-84AC-EA9467695DDA}"/>
    <cellStyle name="Millares 79 3 2 3 2" xfId="674" xr:uid="{CB24E6E1-31B4-4EAB-BE24-8F2362A2EA06}"/>
    <cellStyle name="Millares 79 3 2 3 2 2" xfId="1345" xr:uid="{316D1509-07AA-4CB8-A92C-D13EF5A10BD3}"/>
    <cellStyle name="Millares 79 3 2 3 3" xfId="1013" xr:uid="{4FD73E2C-67DB-447B-B35F-19AD2AABF03F}"/>
    <cellStyle name="Millares 79 3 2 4" xfId="508" xr:uid="{EBA4C633-7C9A-434F-8959-971E70A6E192}"/>
    <cellStyle name="Millares 79 3 2 4 2" xfId="1179" xr:uid="{0E788496-C642-4320-AAB3-8A1093B00205}"/>
    <cellStyle name="Millares 79 3 2 5" xfId="847" xr:uid="{8C67CFA8-13F3-4F8B-B722-AFA4ABE8BD60}"/>
    <cellStyle name="Millares 79 3 3" xfId="191" xr:uid="{161918E1-D8E3-4410-B680-297CFBF79EB9}"/>
    <cellStyle name="Millares 79 3 3 2" xfId="377" xr:uid="{5B70B58E-6D18-46E0-B140-D80D35DE3987}"/>
    <cellStyle name="Millares 79 3 3 2 2" xfId="716" xr:uid="{F40DBA69-82CB-4501-937C-E5E61B78E69E}"/>
    <cellStyle name="Millares 79 3 3 2 2 2" xfId="1387" xr:uid="{F65E41DB-B36C-4854-9651-6319C6EA034C}"/>
    <cellStyle name="Millares 79 3 3 2 3" xfId="1055" xr:uid="{67E49FB4-6D5F-4C7C-A3B5-5C43636E0835}"/>
    <cellStyle name="Millares 79 3 3 3" xfId="550" xr:uid="{9FFA1E3E-E272-4775-9A62-4B3F701FC888}"/>
    <cellStyle name="Millares 79 3 3 3 2" xfId="1221" xr:uid="{46949CFF-DAB9-4E19-940C-326B612079DA}"/>
    <cellStyle name="Millares 79 3 3 4" xfId="889" xr:uid="{26FE3A50-A64A-45FD-AD03-95455E8F1108}"/>
    <cellStyle name="Millares 79 3 4" xfId="295" xr:uid="{A564E5C0-0C06-4219-83C3-4DC191101E92}"/>
    <cellStyle name="Millares 79 3 4 2" xfId="634" xr:uid="{2BFB545A-6C82-4626-B923-A1022BCE082E}"/>
    <cellStyle name="Millares 79 3 4 2 2" xfId="1305" xr:uid="{35F482D0-449B-46FE-8E66-CB8E6B9F28A4}"/>
    <cellStyle name="Millares 79 3 4 3" xfId="973" xr:uid="{7F7276AE-5333-40B1-839C-83FF53B2D16A}"/>
    <cellStyle name="Millares 79 3 5" xfId="468" xr:uid="{AD3C846A-DD89-4190-BF18-5DB85B8DAB8E}"/>
    <cellStyle name="Millares 79 3 5 2" xfId="1139" xr:uid="{59892B13-ABF6-41AE-BC41-C054FE7181A6}"/>
    <cellStyle name="Millares 79 3 6" xfId="807" xr:uid="{DE946544-25A7-4008-B219-3872027BCDEF}"/>
    <cellStyle name="Millares 79 4" xfId="121" xr:uid="{154C2C6A-FDC2-4DDE-A925-B94BEDF91C83}"/>
    <cellStyle name="Millares 79 4 2" xfId="212" xr:uid="{CD4E1E1C-DBC1-43E7-847A-1229520E62D9}"/>
    <cellStyle name="Millares 79 4 2 2" xfId="398" xr:uid="{4EEA58D0-1180-459D-A2A1-A118BDC682D2}"/>
    <cellStyle name="Millares 79 4 2 2 2" xfId="737" xr:uid="{FE12A26E-EE17-4273-9A56-9B3033DD63A4}"/>
    <cellStyle name="Millares 79 4 2 2 2 2" xfId="1408" xr:uid="{89051A9F-F6B6-4EA7-BA42-812D2F307863}"/>
    <cellStyle name="Millares 79 4 2 2 3" xfId="1076" xr:uid="{5CEED5CC-779F-4969-82DA-7D4CDE3B12DB}"/>
    <cellStyle name="Millares 79 4 2 3" xfId="571" xr:uid="{8A5FAB11-4919-4C1F-938F-68156BA1DD08}"/>
    <cellStyle name="Millares 79 4 2 3 2" xfId="1242" xr:uid="{4B6108EF-16BC-42C1-A677-868DEEAF253B}"/>
    <cellStyle name="Millares 79 4 2 4" xfId="910" xr:uid="{B3A11C0D-8B5B-4CAE-94D6-5E36BBFBA2EA}"/>
    <cellStyle name="Millares 79 4 3" xfId="316" xr:uid="{783BF038-8FBF-4E00-8F34-A00B915B8395}"/>
    <cellStyle name="Millares 79 4 3 2" xfId="655" xr:uid="{0AB06D72-B135-4931-B7D5-52BF90935270}"/>
    <cellStyle name="Millares 79 4 3 2 2" xfId="1326" xr:uid="{EE76FBB8-A363-419D-8F31-CC2AD35CB14C}"/>
    <cellStyle name="Millares 79 4 3 3" xfId="994" xr:uid="{3DAD6FEB-62A0-42C5-AEAA-02DECB07F933}"/>
    <cellStyle name="Millares 79 4 4" xfId="489" xr:uid="{A8479258-3AA1-4F4C-95B7-703ACD7C58F0}"/>
    <cellStyle name="Millares 79 4 4 2" xfId="1160" xr:uid="{BE82A443-0A8D-429B-88D5-0E4FE4D82797}"/>
    <cellStyle name="Millares 79 4 5" xfId="828" xr:uid="{21882124-E4AB-46EE-B8A9-CC4121129DFD}"/>
    <cellStyle name="Millares 79 5" xfId="171" xr:uid="{69BF50C2-41F5-485A-B3F1-639F12FEC7F7}"/>
    <cellStyle name="Millares 79 5 2" xfId="358" xr:uid="{D738F7A8-68DF-401E-B954-8EBCDF9994CC}"/>
    <cellStyle name="Millares 79 5 2 2" xfId="697" xr:uid="{F77F8B28-2F9A-40CF-8913-9A044891D3C8}"/>
    <cellStyle name="Millares 79 5 2 2 2" xfId="1368" xr:uid="{952A908A-E596-4F27-8630-CA3E3049AF52}"/>
    <cellStyle name="Millares 79 5 2 3" xfId="1036" xr:uid="{BE2EDE28-3586-4BD7-A36D-F4C4EFBF91E3}"/>
    <cellStyle name="Millares 79 5 3" xfId="531" xr:uid="{420F1EF0-9A63-4966-85D0-481D4B42335B}"/>
    <cellStyle name="Millares 79 5 3 2" xfId="1202" xr:uid="{138E3C14-F9D3-4DC2-A0C0-6363C9E7B7E5}"/>
    <cellStyle name="Millares 79 5 4" xfId="870" xr:uid="{709D5146-2167-4B96-8D75-107E50224ADF}"/>
    <cellStyle name="Millares 79 6" xfId="259" xr:uid="{31774D5C-18E4-45FE-B7BA-5358EB54DEC4}"/>
    <cellStyle name="Millares 79 7" xfId="275" xr:uid="{4DBEAD07-E437-4CEC-8DB7-380B608ACF04}"/>
    <cellStyle name="Millares 79 7 2" xfId="615" xr:uid="{45FCFA80-3050-49FC-BCB2-17ECF44AB287}"/>
    <cellStyle name="Millares 79 7 2 2" xfId="1286" xr:uid="{EBC7AF5D-8DBD-4562-9242-F11881E7CAD8}"/>
    <cellStyle name="Millares 79 7 3" xfId="954" xr:uid="{D458EC4C-1EE5-4BD1-9681-522BCB87046D}"/>
    <cellStyle name="Millares 79 8" xfId="448" xr:uid="{83DEE0B1-53B2-4B74-B22A-E5C22AC1F4EE}"/>
    <cellStyle name="Millares 79 8 2" xfId="1120" xr:uid="{1D373756-FD3B-42DC-9C62-2424533B2632}"/>
    <cellStyle name="Millares 79 9" xfId="787" xr:uid="{CECEFC9B-CA0B-4463-A090-484256E828D3}"/>
    <cellStyle name="Millares 8" xfId="88" xr:uid="{F21D826C-C151-4D55-96BC-806CEB9C80CA}"/>
    <cellStyle name="Millares 8 2" xfId="138" xr:uid="{04BCF911-9F63-4729-93E8-96B78BF3594A}"/>
    <cellStyle name="Millares 8 2 2" xfId="227" xr:uid="{5D755CA1-63F5-4AF1-8742-B94B68D66CBB}"/>
    <cellStyle name="Millares 8 2 2 2" xfId="413" xr:uid="{1C44752B-8D85-4BE2-A766-41D848A68F35}"/>
    <cellStyle name="Millares 8 2 2 2 2" xfId="752" xr:uid="{243A13B6-C1AB-450C-9648-213A471912F0}"/>
    <cellStyle name="Millares 8 2 2 2 2 2" xfId="1423" xr:uid="{36035A79-0D9D-4E83-9CD6-BFDE7D144B81}"/>
    <cellStyle name="Millares 8 2 2 2 3" xfId="1091" xr:uid="{21785524-4AAA-4CEB-9639-2C6854618041}"/>
    <cellStyle name="Millares 8 2 2 3" xfId="586" xr:uid="{1AA9FEE9-F39F-42A6-8831-BA4B40A83A08}"/>
    <cellStyle name="Millares 8 2 2 3 2" xfId="1257" xr:uid="{88D4CCA8-4C84-42A2-9DED-840AC8A7CD67}"/>
    <cellStyle name="Millares 8 2 2 4" xfId="925" xr:uid="{6FA3C7AB-AA45-41D5-9F9A-0398DFE25595}"/>
    <cellStyle name="Millares 8 2 3" xfId="331" xr:uid="{A7B68F9C-1F30-4791-916F-AF67977BE9E9}"/>
    <cellStyle name="Millares 8 2 3 2" xfId="670" xr:uid="{7C1FFCF4-7112-4C69-9E40-5193103F39AB}"/>
    <cellStyle name="Millares 8 2 3 2 2" xfId="1341" xr:uid="{C034DCC7-4A54-4848-AB0A-3627364DE554}"/>
    <cellStyle name="Millares 8 2 3 3" xfId="1009" xr:uid="{755C5711-6037-43CC-97CD-52A04B190B30}"/>
    <cellStyle name="Millares 8 2 4" xfId="504" xr:uid="{5A16E97D-C0FA-4003-90BC-D748F5DDD045}"/>
    <cellStyle name="Millares 8 2 4 2" xfId="1175" xr:uid="{CF34E45B-39C4-440C-817F-A9CDC744FDF6}"/>
    <cellStyle name="Millares 8 2 5" xfId="843" xr:uid="{CC06B990-EB01-4A5E-86DE-745085A2D316}"/>
    <cellStyle name="Millares 8 3" xfId="187" xr:uid="{BA96BF2A-152B-4ABC-93CC-9315D01C61BF}"/>
    <cellStyle name="Millares 8 3 2" xfId="373" xr:uid="{26B25FB1-4A8B-467C-998C-DE05AD52F824}"/>
    <cellStyle name="Millares 8 3 2 2" xfId="712" xr:uid="{2FF0C540-D102-4849-A7DE-6A58D13B3721}"/>
    <cellStyle name="Millares 8 3 2 2 2" xfId="1383" xr:uid="{3F16B6B2-01FC-4384-ADBC-3EA10C5C4E0B}"/>
    <cellStyle name="Millares 8 3 2 3" xfId="1051" xr:uid="{490BEA1C-28F7-472B-89B3-D2AAA4DD94D7}"/>
    <cellStyle name="Millares 8 3 3" xfId="546" xr:uid="{9608D8D4-BBA6-441B-88BD-8FEDD6A37796}"/>
    <cellStyle name="Millares 8 3 3 2" xfId="1217" xr:uid="{57D0D466-C57A-4639-94D3-6A95FCC597C4}"/>
    <cellStyle name="Millares 8 3 4" xfId="885" xr:uid="{E46BA214-0772-442A-992D-DB6D69C485ED}"/>
    <cellStyle name="Millares 8 4" xfId="291" xr:uid="{25C10A00-EF82-46B8-B20F-79F4D825DED7}"/>
    <cellStyle name="Millares 8 4 2" xfId="630" xr:uid="{3CDB42F2-8367-49A3-9487-94AF9DD090D3}"/>
    <cellStyle name="Millares 8 4 2 2" xfId="1301" xr:uid="{556AFD6E-9665-4317-988D-07B0BBF838B2}"/>
    <cellStyle name="Millares 8 4 3" xfId="969" xr:uid="{0F3A8D37-D228-4291-9CD5-1CD69831A2CB}"/>
    <cellStyle name="Millares 8 5" xfId="464" xr:uid="{6E10F5D0-FB61-4603-B6CB-4F7B606F82BE}"/>
    <cellStyle name="Millares 8 5 2" xfId="1135" xr:uid="{077E6201-480F-4DED-8563-321208FACD96}"/>
    <cellStyle name="Millares 8 6" xfId="803" xr:uid="{8596F214-97C4-4A0C-B10D-BDE4CC66ECB9}"/>
    <cellStyle name="Millares 9" xfId="109" xr:uid="{11F3D2EE-0859-48F1-BF6F-F17AD69DED53}"/>
    <cellStyle name="Millares 9 2" xfId="157" xr:uid="{3B40DC0B-946D-43C4-957C-ABF1EC7FD042}"/>
    <cellStyle name="Millares 9 2 2" xfId="246" xr:uid="{CBF860AD-E7A3-4288-B8F8-58DB65465402}"/>
    <cellStyle name="Millares 9 2 2 2" xfId="432" xr:uid="{CBCCEA4A-6671-4AEB-8550-FF859AC2EF47}"/>
    <cellStyle name="Millares 9 2 2 2 2" xfId="771" xr:uid="{3206094C-790F-4496-9AEB-A63A5CF131A8}"/>
    <cellStyle name="Millares 9 2 2 2 2 2" xfId="1442" xr:uid="{20341259-C7FB-461B-968A-2891EACEA30A}"/>
    <cellStyle name="Millares 9 2 2 2 3" xfId="1110" xr:uid="{234A29DA-53E0-4CE5-813F-CF154EC04C84}"/>
    <cellStyle name="Millares 9 2 2 3" xfId="605" xr:uid="{96489E9D-51E3-403C-A56D-3484F88B79A0}"/>
    <cellStyle name="Millares 9 2 2 3 2" xfId="1276" xr:uid="{A9CA3814-2D65-4A50-AE3E-0370F5CBFD66}"/>
    <cellStyle name="Millares 9 2 2 4" xfId="944" xr:uid="{36925EE5-B5FF-4D71-9E80-E935B1AEA387}"/>
    <cellStyle name="Millares 9 2 3" xfId="350" xr:uid="{F083D6C3-0FEF-4A90-A89C-375AEBAD416A}"/>
    <cellStyle name="Millares 9 2 3 2" xfId="689" xr:uid="{FDC5EE43-BD4E-4B02-8A27-A740393C6248}"/>
    <cellStyle name="Millares 9 2 3 2 2" xfId="1360" xr:uid="{E9F68016-44BD-4E86-95D8-F5F5E6F99BD4}"/>
    <cellStyle name="Millares 9 2 3 3" xfId="1028" xr:uid="{546EC1A8-8E7B-46DE-B331-F750D580CDF3}"/>
    <cellStyle name="Millares 9 2 4" xfId="523" xr:uid="{A0808D7E-26E3-408F-AD66-1B4D397C7603}"/>
    <cellStyle name="Millares 9 2 4 2" xfId="1194" xr:uid="{4F479EA0-4A44-4842-B540-FAF4C40F10FD}"/>
    <cellStyle name="Millares 9 2 5" xfId="862" xr:uid="{DE726D5E-D9BB-4C5E-B257-785E1803556A}"/>
    <cellStyle name="Millares 9 3" xfId="206" xr:uid="{3F677997-A028-407A-96C0-19B710DF4823}"/>
    <cellStyle name="Millares 9 3 2" xfId="392" xr:uid="{71FEA4FA-96B1-453B-91FF-28BDCDDA776A}"/>
    <cellStyle name="Millares 9 3 2 2" xfId="731" xr:uid="{BF092A8F-BC33-4089-A05B-54D67D7107E3}"/>
    <cellStyle name="Millares 9 3 2 2 2" xfId="1402" xr:uid="{F4850C0E-BF48-465E-B95E-B44B9575DB20}"/>
    <cellStyle name="Millares 9 3 2 3" xfId="1070" xr:uid="{BCF77B1F-BBCB-47A1-85E7-97BAA08AE080}"/>
    <cellStyle name="Millares 9 3 3" xfId="565" xr:uid="{8C1EF357-3F6B-4B6E-BCFC-64D86455336F}"/>
    <cellStyle name="Millares 9 3 3 2" xfId="1236" xr:uid="{FD3B65A0-916C-4DC0-8020-34C3D6F623D3}"/>
    <cellStyle name="Millares 9 3 4" xfId="904" xr:uid="{F1A0CB12-AA2F-4AD9-B096-25AE48A97DEB}"/>
    <cellStyle name="Millares 9 4" xfId="310" xr:uid="{D0D7C956-5855-4B08-8B79-85D0E17994B8}"/>
    <cellStyle name="Millares 9 4 2" xfId="649" xr:uid="{A4CE30B4-EF0C-4B60-9203-F49E45A90023}"/>
    <cellStyle name="Millares 9 4 2 2" xfId="1320" xr:uid="{978FF936-DDB9-4199-87C1-536C4FC3923A}"/>
    <cellStyle name="Millares 9 4 3" xfId="988" xr:uid="{B5752B16-0CDA-463D-BC7F-82981FF6D5AB}"/>
    <cellStyle name="Millares 9 5" xfId="483" xr:uid="{8FAC8122-2A8F-4AAA-AFBC-F610AD6DFBAD}"/>
    <cellStyle name="Millares 9 5 2" xfId="1154" xr:uid="{199FE0CF-B7D3-490D-BDB1-A635E7F693C8}"/>
    <cellStyle name="Millares 9 6" xfId="822" xr:uid="{7CACCC13-BC89-4FF4-83B8-CD102A0730CF}"/>
    <cellStyle name="Neutral 10" xfId="48" xr:uid="{1D4325D7-80DE-4131-AD3A-0A0E53A19E90}"/>
    <cellStyle name="Neutral 2" xfId="75" xr:uid="{0156C5CF-974B-4D5D-9481-AD8918A35F9E}"/>
    <cellStyle name="Neutral 3" xfId="93" xr:uid="{50528507-4AFD-4613-A688-05644ED8BA9F}"/>
    <cellStyle name="Neutral 4" xfId="122" xr:uid="{B518D5AC-8B4B-4A2A-B66C-4A4DFF89BB72}"/>
    <cellStyle name="Neutral 5" xfId="172" xr:uid="{24E57E8D-1A78-43F9-A1B3-9262AD727F3C}"/>
    <cellStyle name="Neutral 6" xfId="260" xr:uid="{384DD21A-4294-4607-9E1E-25E9ADB6EF63}"/>
    <cellStyle name="Neutral 7" xfId="276" xr:uid="{0B9A69A3-9AC7-4FAA-B27E-2685698DC464}"/>
    <cellStyle name="Neutral 8" xfId="449" xr:uid="{B3D4E620-E896-48CA-B94C-22B98A70C670}"/>
    <cellStyle name="Neutral 9" xfId="788" xr:uid="{7DB47F04-0581-4D6F-8CAE-10B61525382A}"/>
    <cellStyle name="Normal" xfId="0" builtinId="0"/>
    <cellStyle name="Normal 15" xfId="49" xr:uid="{F1761069-B324-4E8A-B6EF-F3AFF97A05AA}"/>
    <cellStyle name="Normal 2" xfId="50" xr:uid="{61FC39DF-239C-455A-A55B-F997624F19DF}"/>
    <cellStyle name="Normal 2 10" xfId="51" xr:uid="{8F8A1794-E33C-4E57-BCCB-BEA1E9D6552C}"/>
    <cellStyle name="Normal 3" xfId="52" xr:uid="{8532EA6A-AC3B-464B-9E88-AAFB8C294433}"/>
    <cellStyle name="Normal 3 57" xfId="61" xr:uid="{2E9CF1CE-3D88-4586-B022-8D5DA4890F94}"/>
    <cellStyle name="Normal 4" xfId="53" xr:uid="{4C3196E5-F95B-43AF-BFF3-21EDE390A54A}"/>
    <cellStyle name="Normal 4 10" xfId="54" xr:uid="{939460C2-D013-4752-A040-1F7ECC26A658}"/>
    <cellStyle name="Normal 5" xfId="55" xr:uid="{B2DC8BAD-8B5C-4880-9EBF-87BA80895BE2}"/>
    <cellStyle name="Notas" xfId="14" builtinId="10" customBuiltin="1"/>
    <cellStyle name="Porcentaje 2" xfId="78" xr:uid="{92781D53-9CEB-4FB0-B0F0-835B73702328}"/>
    <cellStyle name="Porcentaje 3" xfId="96" xr:uid="{52D2587A-DCFC-4FE9-93B9-6F0C5E9CBB70}"/>
    <cellStyle name="Porcentaje 4" xfId="125" xr:uid="{6DDA8C02-75C6-4819-89A5-5096392158FB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1374-0431-4AD4-9567-0A0696E8E812}">
  <dimension ref="A1:AE90"/>
  <sheetViews>
    <sheetView tabSelected="1" zoomScale="90" zoomScaleNormal="90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S2" sqref="S2"/>
    </sheetView>
  </sheetViews>
  <sheetFormatPr baseColWidth="10" defaultRowHeight="14"/>
  <cols>
    <col min="1" max="2" width="0" hidden="1" customWidth="1"/>
    <col min="5" max="6" width="10.796875" bestFit="1" customWidth="1"/>
    <col min="7" max="7" width="9.3984375" bestFit="1" customWidth="1"/>
    <col min="8" max="8" width="10.796875" bestFit="1" customWidth="1"/>
    <col min="9" max="9" width="10.796875" style="13" bestFit="1" customWidth="1"/>
    <col min="10" max="10" width="11.09765625" bestFit="1" customWidth="1"/>
    <col min="11" max="11" width="13.5" bestFit="1" customWidth="1"/>
    <col min="12" max="12" width="11" bestFit="1" customWidth="1"/>
    <col min="13" max="13" width="10.8984375" bestFit="1" customWidth="1"/>
    <col min="14" max="14" width="11.09765625" style="13" bestFit="1" customWidth="1"/>
    <col min="15" max="18" width="10.796875" bestFit="1" customWidth="1"/>
    <col min="19" max="19" width="11.796875" style="9" bestFit="1" customWidth="1"/>
    <col min="30" max="30" width="11.796875" bestFit="1" customWidth="1"/>
  </cols>
  <sheetData>
    <row r="1" spans="1:31" s="4" customFormat="1" ht="37.1">
      <c r="C1" s="3" t="s">
        <v>0</v>
      </c>
      <c r="D1" s="5" t="s">
        <v>1</v>
      </c>
      <c r="E1" s="5" t="s">
        <v>14</v>
      </c>
      <c r="F1" s="5" t="s">
        <v>6</v>
      </c>
      <c r="G1" s="5" t="s">
        <v>7</v>
      </c>
      <c r="H1" s="5" t="s">
        <v>8</v>
      </c>
      <c r="I1" s="11" t="s">
        <v>162</v>
      </c>
      <c r="J1" s="5" t="s">
        <v>2</v>
      </c>
      <c r="K1" s="5" t="s">
        <v>9</v>
      </c>
      <c r="L1" s="5" t="s">
        <v>10</v>
      </c>
      <c r="M1" s="5" t="s">
        <v>11</v>
      </c>
      <c r="N1" s="6" t="s">
        <v>163</v>
      </c>
      <c r="O1" s="5" t="s">
        <v>12</v>
      </c>
      <c r="P1" s="5" t="s">
        <v>13</v>
      </c>
      <c r="Q1" s="5" t="s">
        <v>23</v>
      </c>
      <c r="R1" s="5" t="s">
        <v>24</v>
      </c>
      <c r="S1" s="10" t="s">
        <v>3</v>
      </c>
      <c r="T1" s="11" t="s">
        <v>4</v>
      </c>
      <c r="U1" s="11" t="s">
        <v>5</v>
      </c>
      <c r="V1" s="11" t="s">
        <v>15</v>
      </c>
      <c r="W1" s="11" t="s">
        <v>19</v>
      </c>
      <c r="X1" s="7" t="s">
        <v>16</v>
      </c>
      <c r="Y1" s="7" t="s">
        <v>17</v>
      </c>
      <c r="Z1" s="7" t="s">
        <v>18</v>
      </c>
      <c r="AA1" s="7" t="s">
        <v>20</v>
      </c>
      <c r="AB1" s="7" t="s">
        <v>21</v>
      </c>
      <c r="AC1" s="7" t="s">
        <v>22</v>
      </c>
      <c r="AD1" s="5" t="s">
        <v>25</v>
      </c>
    </row>
    <row r="2" spans="1:31">
      <c r="C2" t="s">
        <v>26</v>
      </c>
      <c r="D2" t="s">
        <v>27</v>
      </c>
      <c r="E2" s="1">
        <v>-8184789</v>
      </c>
      <c r="F2" s="1">
        <v>32964864</v>
      </c>
      <c r="G2">
        <v>0</v>
      </c>
      <c r="H2" s="1">
        <v>23111537</v>
      </c>
      <c r="I2" s="15">
        <f>+T2+U2+V2+W2</f>
        <v>35498033</v>
      </c>
      <c r="J2">
        <v>0</v>
      </c>
      <c r="K2" s="1">
        <v>47457079</v>
      </c>
      <c r="L2" s="1">
        <v>21001665</v>
      </c>
      <c r="M2">
        <v>0</v>
      </c>
      <c r="N2" s="1">
        <f>+X2+Y2+Z2+AB2+AC2</f>
        <v>176430</v>
      </c>
      <c r="O2" s="1">
        <v>35890391</v>
      </c>
      <c r="P2" s="1">
        <v>16930023</v>
      </c>
      <c r="Q2" s="1">
        <v>16796815</v>
      </c>
      <c r="R2" s="1">
        <v>24972244</v>
      </c>
      <c r="S2" s="12">
        <f>SUM(E2:R2)</f>
        <v>246614292</v>
      </c>
      <c r="T2">
        <v>0</v>
      </c>
      <c r="U2" s="1">
        <v>35498033</v>
      </c>
      <c r="V2">
        <v>0</v>
      </c>
      <c r="W2">
        <v>0</v>
      </c>
      <c r="X2">
        <v>0</v>
      </c>
      <c r="Y2" s="1">
        <v>176430</v>
      </c>
      <c r="Z2">
        <v>0</v>
      </c>
      <c r="AA2">
        <v>0</v>
      </c>
      <c r="AB2">
        <v>0</v>
      </c>
      <c r="AC2">
        <v>0</v>
      </c>
      <c r="AD2" s="1">
        <v>246614292</v>
      </c>
      <c r="AE2" s="15">
        <f>S2-AD2</f>
        <v>0</v>
      </c>
    </row>
    <row r="3" spans="1:31">
      <c r="C3" t="s">
        <v>32</v>
      </c>
      <c r="D3" t="s">
        <v>33</v>
      </c>
      <c r="E3" s="1">
        <v>5408771</v>
      </c>
      <c r="F3" s="1">
        <v>-17793331</v>
      </c>
      <c r="G3">
        <v>0</v>
      </c>
      <c r="H3" s="1">
        <v>-11944357</v>
      </c>
      <c r="I3" s="15">
        <f t="shared" ref="I3:I63" si="0">+T3+U3+V3+W3</f>
        <v>-22854624</v>
      </c>
      <c r="J3">
        <v>0</v>
      </c>
      <c r="K3" s="1">
        <v>-25211214</v>
      </c>
      <c r="L3" s="1">
        <v>-11190542</v>
      </c>
      <c r="M3">
        <v>0</v>
      </c>
      <c r="N3" s="15">
        <f t="shared" ref="N3:N64" si="1">+X3+Y3+Z3+AB3+AC3</f>
        <v>0</v>
      </c>
      <c r="O3" s="1">
        <v>-19343670</v>
      </c>
      <c r="P3" s="1">
        <v>-9135162</v>
      </c>
      <c r="Q3" s="1">
        <v>-9119820</v>
      </c>
      <c r="R3" s="1">
        <v>-13655123</v>
      </c>
      <c r="S3" s="12">
        <f t="shared" ref="S3:S63" si="2">SUM(E3:R3)</f>
        <v>-134839072</v>
      </c>
      <c r="T3">
        <v>0</v>
      </c>
      <c r="U3" s="1">
        <v>-22854624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s="1">
        <v>-134839072</v>
      </c>
      <c r="AE3" s="15">
        <f t="shared" ref="AE3:AE64" si="3">S3-AD3</f>
        <v>0</v>
      </c>
    </row>
    <row r="4" spans="1:31">
      <c r="A4" t="b">
        <f>EXACT(C4,B4)</f>
        <v>1</v>
      </c>
      <c r="B4" t="str">
        <f>+Hoja2!A1</f>
        <v>3.1.01.300</v>
      </c>
      <c r="C4" t="s">
        <v>29</v>
      </c>
      <c r="D4" t="s">
        <v>30</v>
      </c>
      <c r="E4">
        <v>0</v>
      </c>
      <c r="F4">
        <v>0</v>
      </c>
      <c r="G4">
        <v>0</v>
      </c>
      <c r="H4">
        <v>0</v>
      </c>
      <c r="I4" s="15">
        <f t="shared" si="0"/>
        <v>3751074</v>
      </c>
      <c r="J4">
        <v>0</v>
      </c>
      <c r="K4">
        <v>0</v>
      </c>
      <c r="L4">
        <v>0</v>
      </c>
      <c r="M4">
        <v>0</v>
      </c>
      <c r="N4" s="15">
        <f t="shared" si="1"/>
        <v>0</v>
      </c>
      <c r="O4">
        <v>0</v>
      </c>
      <c r="P4">
        <v>0</v>
      </c>
      <c r="Q4">
        <v>0</v>
      </c>
      <c r="R4">
        <v>0</v>
      </c>
      <c r="S4" s="12">
        <f t="shared" si="2"/>
        <v>3751074</v>
      </c>
      <c r="T4" s="1">
        <v>3751074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s="1">
        <v>3751074</v>
      </c>
      <c r="AE4" s="15">
        <f t="shared" si="3"/>
        <v>0</v>
      </c>
    </row>
    <row r="5" spans="1:31">
      <c r="A5" s="13" t="b">
        <f t="shared" ref="A5:A36" si="4">EXACT(C5,B5)</f>
        <v>1</v>
      </c>
      <c r="B5" s="13" t="str">
        <f>+Hoja2!A2</f>
        <v>3.1.02.102</v>
      </c>
      <c r="C5" t="s">
        <v>143</v>
      </c>
      <c r="D5" t="s">
        <v>144</v>
      </c>
      <c r="E5" s="1">
        <v>-2164695</v>
      </c>
      <c r="F5" s="1">
        <v>21780</v>
      </c>
      <c r="G5">
        <v>0</v>
      </c>
      <c r="H5" s="1">
        <v>21780</v>
      </c>
      <c r="I5" s="15">
        <f t="shared" si="0"/>
        <v>150000</v>
      </c>
      <c r="J5">
        <v>0</v>
      </c>
      <c r="K5" s="1">
        <v>21780</v>
      </c>
      <c r="L5" s="1">
        <v>21780</v>
      </c>
      <c r="M5">
        <v>0</v>
      </c>
      <c r="N5" s="15">
        <f t="shared" si="1"/>
        <v>0</v>
      </c>
      <c r="O5" s="1">
        <v>21780</v>
      </c>
      <c r="P5" s="1">
        <v>21780</v>
      </c>
      <c r="Q5" s="1">
        <v>21780</v>
      </c>
      <c r="R5" s="1">
        <v>21780</v>
      </c>
      <c r="S5" s="12">
        <f t="shared" si="2"/>
        <v>-1840455</v>
      </c>
      <c r="T5">
        <v>0</v>
      </c>
      <c r="U5" s="1">
        <v>150000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s="1">
        <v>-1840455</v>
      </c>
      <c r="AE5" s="15">
        <f t="shared" si="3"/>
        <v>0</v>
      </c>
    </row>
    <row r="6" spans="1:31">
      <c r="A6" s="13" t="b">
        <f t="shared" si="4"/>
        <v>1</v>
      </c>
      <c r="B6" s="13" t="str">
        <f>+Hoja2!A3</f>
        <v>3.1.02.104</v>
      </c>
      <c r="C6" t="s">
        <v>34</v>
      </c>
      <c r="D6" t="s">
        <v>35</v>
      </c>
      <c r="E6">
        <v>0</v>
      </c>
      <c r="F6">
        <v>0</v>
      </c>
      <c r="G6">
        <v>0</v>
      </c>
      <c r="H6">
        <v>0</v>
      </c>
      <c r="I6" s="15">
        <f t="shared" si="0"/>
        <v>-3004368</v>
      </c>
      <c r="J6">
        <v>0</v>
      </c>
      <c r="K6">
        <v>0</v>
      </c>
      <c r="L6">
        <v>0</v>
      </c>
      <c r="M6">
        <v>0</v>
      </c>
      <c r="N6" s="15">
        <f>+X6+Y6+Z6+AB6+AC6</f>
        <v>304544</v>
      </c>
      <c r="O6">
        <v>0</v>
      </c>
      <c r="P6">
        <v>0</v>
      </c>
      <c r="Q6">
        <v>0</v>
      </c>
      <c r="R6">
        <v>0</v>
      </c>
      <c r="S6" s="12">
        <f t="shared" si="2"/>
        <v>-2699824</v>
      </c>
      <c r="T6">
        <v>0</v>
      </c>
      <c r="U6" s="1">
        <v>-2241874</v>
      </c>
      <c r="V6" s="1">
        <v>-539421</v>
      </c>
      <c r="W6" s="1">
        <v>-223073</v>
      </c>
      <c r="X6">
        <v>0</v>
      </c>
      <c r="Y6" s="1">
        <v>304544</v>
      </c>
      <c r="Z6">
        <v>0</v>
      </c>
      <c r="AA6">
        <v>0</v>
      </c>
      <c r="AB6">
        <v>0</v>
      </c>
      <c r="AC6">
        <v>0</v>
      </c>
      <c r="AD6" s="1">
        <v>-2699824</v>
      </c>
      <c r="AE6" s="15">
        <f t="shared" si="3"/>
        <v>0</v>
      </c>
    </row>
    <row r="7" spans="1:31">
      <c r="A7" s="13" t="b">
        <f t="shared" si="4"/>
        <v>1</v>
      </c>
      <c r="B7" s="13" t="str">
        <f>+Hoja2!A4</f>
        <v>3.1.02.105</v>
      </c>
      <c r="C7" t="s">
        <v>145</v>
      </c>
      <c r="D7" t="s">
        <v>146</v>
      </c>
      <c r="E7">
        <v>0</v>
      </c>
      <c r="F7">
        <v>0</v>
      </c>
      <c r="G7">
        <v>0</v>
      </c>
      <c r="H7">
        <v>0</v>
      </c>
      <c r="I7" s="15">
        <f t="shared" si="0"/>
        <v>2066127</v>
      </c>
      <c r="J7">
        <v>0</v>
      </c>
      <c r="K7">
        <v>0</v>
      </c>
      <c r="L7">
        <v>0</v>
      </c>
      <c r="M7">
        <v>0</v>
      </c>
      <c r="N7" s="15">
        <f>+X7+Y7+Z7+AB7+AC7+AA7</f>
        <v>-2866174</v>
      </c>
      <c r="O7">
        <v>0</v>
      </c>
      <c r="P7">
        <v>0</v>
      </c>
      <c r="Q7">
        <v>0</v>
      </c>
      <c r="R7">
        <v>0</v>
      </c>
      <c r="S7" s="12">
        <f t="shared" si="2"/>
        <v>-800047</v>
      </c>
      <c r="T7">
        <v>0</v>
      </c>
      <c r="U7" s="1">
        <v>2241874</v>
      </c>
      <c r="V7">
        <v>0</v>
      </c>
      <c r="W7" s="1">
        <v>-175747</v>
      </c>
      <c r="X7">
        <v>0</v>
      </c>
      <c r="Y7">
        <v>0</v>
      </c>
      <c r="Z7">
        <v>0</v>
      </c>
      <c r="AA7" s="1">
        <v>-2866174</v>
      </c>
      <c r="AB7">
        <v>0</v>
      </c>
      <c r="AC7">
        <v>0</v>
      </c>
      <c r="AD7" s="1">
        <v>-800047</v>
      </c>
      <c r="AE7" s="15">
        <f t="shared" si="3"/>
        <v>0</v>
      </c>
    </row>
    <row r="8" spans="1:31">
      <c r="A8" s="13" t="b">
        <f t="shared" si="4"/>
        <v>1</v>
      </c>
      <c r="B8" s="13" t="str">
        <f>+Hoja2!A5</f>
        <v>3.1.02.108</v>
      </c>
      <c r="C8" t="s">
        <v>36</v>
      </c>
      <c r="D8" t="s">
        <v>37</v>
      </c>
      <c r="E8">
        <v>0</v>
      </c>
      <c r="F8">
        <v>0</v>
      </c>
      <c r="G8">
        <v>0</v>
      </c>
      <c r="H8">
        <v>0</v>
      </c>
      <c r="I8" s="15">
        <f t="shared" si="0"/>
        <v>-129245</v>
      </c>
      <c r="J8">
        <v>0</v>
      </c>
      <c r="K8">
        <v>0</v>
      </c>
      <c r="L8">
        <v>0</v>
      </c>
      <c r="M8">
        <v>0</v>
      </c>
      <c r="N8" s="15">
        <f t="shared" si="1"/>
        <v>-1846777</v>
      </c>
      <c r="O8">
        <v>0</v>
      </c>
      <c r="P8">
        <v>0</v>
      </c>
      <c r="Q8">
        <v>0</v>
      </c>
      <c r="R8">
        <v>0</v>
      </c>
      <c r="S8" s="12">
        <f t="shared" si="2"/>
        <v>-1976022</v>
      </c>
      <c r="T8">
        <v>0</v>
      </c>
      <c r="U8">
        <v>0</v>
      </c>
      <c r="V8" s="1">
        <v>-15497</v>
      </c>
      <c r="W8" s="1">
        <v>-113748</v>
      </c>
      <c r="X8">
        <v>0</v>
      </c>
      <c r="Y8" s="1">
        <v>-1846777</v>
      </c>
      <c r="Z8">
        <v>0</v>
      </c>
      <c r="AA8">
        <v>0</v>
      </c>
      <c r="AB8">
        <v>0</v>
      </c>
      <c r="AC8">
        <v>0</v>
      </c>
      <c r="AD8" s="1">
        <v>-1976022</v>
      </c>
      <c r="AE8" s="15">
        <f t="shared" si="3"/>
        <v>0</v>
      </c>
    </row>
    <row r="9" spans="1:31">
      <c r="A9" s="13" t="b">
        <f t="shared" si="4"/>
        <v>1</v>
      </c>
      <c r="B9" s="13" t="str">
        <f>+Hoja2!A6</f>
        <v>3.1.02.109</v>
      </c>
      <c r="C9" t="s">
        <v>38</v>
      </c>
      <c r="D9" t="s">
        <v>28</v>
      </c>
      <c r="E9">
        <v>0</v>
      </c>
      <c r="F9">
        <v>0</v>
      </c>
      <c r="G9">
        <v>0</v>
      </c>
      <c r="H9">
        <v>0</v>
      </c>
      <c r="I9" s="15">
        <f t="shared" si="0"/>
        <v>0</v>
      </c>
      <c r="J9">
        <v>0</v>
      </c>
      <c r="K9">
        <v>0</v>
      </c>
      <c r="L9">
        <v>0</v>
      </c>
      <c r="M9">
        <v>0</v>
      </c>
      <c r="N9" s="15">
        <f t="shared" si="1"/>
        <v>0</v>
      </c>
      <c r="O9" s="1">
        <v>-44990</v>
      </c>
      <c r="P9">
        <v>0</v>
      </c>
      <c r="Q9">
        <v>0</v>
      </c>
      <c r="R9">
        <v>0</v>
      </c>
      <c r="S9" s="12">
        <f t="shared" si="2"/>
        <v>-44990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1">
        <v>-44990</v>
      </c>
      <c r="AE9" s="15">
        <f t="shared" si="3"/>
        <v>0</v>
      </c>
    </row>
    <row r="10" spans="1:31">
      <c r="A10" s="13" t="b">
        <f t="shared" si="4"/>
        <v>1</v>
      </c>
      <c r="B10" s="13" t="str">
        <f>+Hoja2!A7</f>
        <v>3.1.02.110</v>
      </c>
      <c r="C10" t="s">
        <v>39</v>
      </c>
      <c r="D10" t="s">
        <v>40</v>
      </c>
      <c r="E10">
        <v>0</v>
      </c>
      <c r="F10">
        <v>0</v>
      </c>
      <c r="G10">
        <v>0</v>
      </c>
      <c r="H10">
        <v>0</v>
      </c>
      <c r="I10" s="15">
        <f t="shared" si="0"/>
        <v>0</v>
      </c>
      <c r="J10">
        <v>0</v>
      </c>
      <c r="K10" s="1">
        <v>-14372</v>
      </c>
      <c r="L10" s="1">
        <v>-27334</v>
      </c>
      <c r="M10">
        <v>0</v>
      </c>
      <c r="N10" s="15">
        <f t="shared" si="1"/>
        <v>0</v>
      </c>
      <c r="O10" s="1">
        <v>-4801</v>
      </c>
      <c r="P10">
        <v>0</v>
      </c>
      <c r="Q10">
        <v>0</v>
      </c>
      <c r="R10">
        <v>0</v>
      </c>
      <c r="S10" s="12">
        <f t="shared" si="2"/>
        <v>-46507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s="1">
        <v>-46507</v>
      </c>
      <c r="AE10" s="15">
        <f t="shared" si="3"/>
        <v>0</v>
      </c>
    </row>
    <row r="11" spans="1:31">
      <c r="A11" s="13" t="b">
        <f t="shared" si="4"/>
        <v>1</v>
      </c>
      <c r="B11" s="13" t="str">
        <f>+Hoja2!A8</f>
        <v>3.1.05.101</v>
      </c>
      <c r="C11" t="s">
        <v>44</v>
      </c>
      <c r="D11" t="s">
        <v>45</v>
      </c>
      <c r="E11">
        <v>0</v>
      </c>
      <c r="F11" s="1">
        <v>-5471370</v>
      </c>
      <c r="G11" s="1">
        <v>47363</v>
      </c>
      <c r="H11" s="1">
        <v>-5105142</v>
      </c>
      <c r="I11" s="15">
        <f t="shared" si="0"/>
        <v>-3360231</v>
      </c>
      <c r="J11">
        <v>0</v>
      </c>
      <c r="K11" s="1">
        <v>-6163578</v>
      </c>
      <c r="L11" s="1">
        <v>-4432782</v>
      </c>
      <c r="M11" s="1">
        <v>-637144</v>
      </c>
      <c r="N11" s="15">
        <f t="shared" si="1"/>
        <v>-1429576</v>
      </c>
      <c r="O11" s="1">
        <v>-5819291</v>
      </c>
      <c r="P11" s="1">
        <v>-3991543</v>
      </c>
      <c r="Q11" s="1">
        <v>-4129167</v>
      </c>
      <c r="R11" s="1">
        <v>-4624690</v>
      </c>
      <c r="S11" s="12">
        <f t="shared" si="2"/>
        <v>-45117151</v>
      </c>
      <c r="T11">
        <v>0</v>
      </c>
      <c r="U11" s="1">
        <v>-3360231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1">
        <v>-1429576</v>
      </c>
      <c r="AC11">
        <v>0</v>
      </c>
      <c r="AD11" s="1">
        <v>-45117151</v>
      </c>
      <c r="AE11" s="15">
        <f t="shared" si="3"/>
        <v>0</v>
      </c>
    </row>
    <row r="12" spans="1:31">
      <c r="A12" s="13" t="b">
        <f t="shared" si="4"/>
        <v>1</v>
      </c>
      <c r="B12" s="13" t="str">
        <f>+Hoja2!A9</f>
        <v>3.1.05.102</v>
      </c>
      <c r="C12" t="s">
        <v>46</v>
      </c>
      <c r="D12" t="s">
        <v>47</v>
      </c>
      <c r="E12">
        <v>0</v>
      </c>
      <c r="F12" s="1">
        <v>-273846</v>
      </c>
      <c r="G12">
        <v>0</v>
      </c>
      <c r="H12" s="1">
        <v>-183785</v>
      </c>
      <c r="I12" s="15">
        <f t="shared" si="0"/>
        <v>-127312</v>
      </c>
      <c r="J12">
        <v>0</v>
      </c>
      <c r="K12" s="1">
        <v>-295071</v>
      </c>
      <c r="L12" s="1">
        <v>-167527</v>
      </c>
      <c r="M12">
        <v>0</v>
      </c>
      <c r="N12" s="15">
        <f t="shared" si="1"/>
        <v>0</v>
      </c>
      <c r="O12" s="1">
        <v>-668574</v>
      </c>
      <c r="P12" s="1">
        <v>-17293</v>
      </c>
      <c r="Q12" s="1">
        <v>805918</v>
      </c>
      <c r="R12" s="1">
        <v>-803000</v>
      </c>
      <c r="S12" s="12">
        <f t="shared" si="2"/>
        <v>-1730490</v>
      </c>
      <c r="T12">
        <v>0</v>
      </c>
      <c r="U12" s="1">
        <v>-127312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1">
        <v>-1730490</v>
      </c>
      <c r="AE12" s="15">
        <f t="shared" si="3"/>
        <v>0</v>
      </c>
    </row>
    <row r="13" spans="1:31">
      <c r="A13" s="13" t="b">
        <f t="shared" si="4"/>
        <v>1</v>
      </c>
      <c r="B13" s="13" t="str">
        <f>+Hoja2!A10</f>
        <v>3.1.05.103</v>
      </c>
      <c r="C13" t="s">
        <v>48</v>
      </c>
      <c r="D13" t="s">
        <v>49</v>
      </c>
      <c r="E13">
        <v>0</v>
      </c>
      <c r="F13" s="1">
        <v>-190943</v>
      </c>
      <c r="G13" s="1">
        <v>-17338</v>
      </c>
      <c r="H13" s="1">
        <v>-203449</v>
      </c>
      <c r="I13" s="15">
        <f t="shared" si="0"/>
        <v>-92175</v>
      </c>
      <c r="J13">
        <v>0</v>
      </c>
      <c r="K13" s="1">
        <v>-226386</v>
      </c>
      <c r="L13" s="1">
        <v>-163670</v>
      </c>
      <c r="M13" s="1">
        <v>-26805</v>
      </c>
      <c r="N13" s="15">
        <f t="shared" si="1"/>
        <v>-34952</v>
      </c>
      <c r="O13" s="1">
        <v>-219642</v>
      </c>
      <c r="P13" s="1">
        <v>-149355</v>
      </c>
      <c r="Q13" s="1">
        <v>-149071</v>
      </c>
      <c r="R13" s="1">
        <v>-181297</v>
      </c>
      <c r="S13" s="12">
        <f t="shared" si="2"/>
        <v>-1655083</v>
      </c>
      <c r="T13">
        <v>0</v>
      </c>
      <c r="U13" s="1">
        <v>-92175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s="1">
        <v>-34952</v>
      </c>
      <c r="AC13">
        <v>0</v>
      </c>
      <c r="AD13" s="1">
        <v>-1655083</v>
      </c>
      <c r="AE13" s="15">
        <f t="shared" si="3"/>
        <v>0</v>
      </c>
    </row>
    <row r="14" spans="1:31">
      <c r="A14" s="13" t="b">
        <f t="shared" si="4"/>
        <v>1</v>
      </c>
      <c r="B14" s="13" t="str">
        <f>+Hoja2!A11</f>
        <v>3.1.05.104</v>
      </c>
      <c r="C14" t="s">
        <v>50</v>
      </c>
      <c r="D14" t="s">
        <v>51</v>
      </c>
      <c r="E14">
        <v>0</v>
      </c>
      <c r="F14" s="1">
        <v>-1260847</v>
      </c>
      <c r="G14" s="1">
        <v>-11561</v>
      </c>
      <c r="H14" s="1">
        <v>-1345486</v>
      </c>
      <c r="I14" s="15">
        <f t="shared" si="0"/>
        <v>-460102</v>
      </c>
      <c r="J14">
        <v>0</v>
      </c>
      <c r="K14" s="1">
        <v>-1419780</v>
      </c>
      <c r="L14" s="1">
        <v>-1136975</v>
      </c>
      <c r="M14" s="1">
        <v>-203747</v>
      </c>
      <c r="N14" s="15">
        <f t="shared" si="1"/>
        <v>-147415</v>
      </c>
      <c r="O14" s="1">
        <v>-1338001</v>
      </c>
      <c r="P14" s="1">
        <v>-1000642</v>
      </c>
      <c r="Q14" s="1">
        <v>-1039174</v>
      </c>
      <c r="R14" s="1">
        <v>-1220422</v>
      </c>
      <c r="S14" s="12">
        <f t="shared" si="2"/>
        <v>-10584152</v>
      </c>
      <c r="T14">
        <v>0</v>
      </c>
      <c r="U14" s="1">
        <v>-460102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s="1">
        <v>-147415</v>
      </c>
      <c r="AC14">
        <v>0</v>
      </c>
      <c r="AD14" s="1">
        <v>-10584152</v>
      </c>
      <c r="AE14" s="15">
        <f t="shared" si="3"/>
        <v>0</v>
      </c>
    </row>
    <row r="15" spans="1:31">
      <c r="A15" s="13" t="b">
        <f t="shared" si="4"/>
        <v>1</v>
      </c>
      <c r="B15" s="13" t="str">
        <f>+Hoja2!A12</f>
        <v>3.1.05.107</v>
      </c>
      <c r="C15" t="s">
        <v>52</v>
      </c>
      <c r="D15" t="s">
        <v>53</v>
      </c>
      <c r="E15">
        <v>0</v>
      </c>
      <c r="F15">
        <v>0</v>
      </c>
      <c r="G15">
        <v>0</v>
      </c>
      <c r="H15">
        <v>0</v>
      </c>
      <c r="I15" s="15">
        <f t="shared" si="0"/>
        <v>0</v>
      </c>
      <c r="J15" s="1">
        <v>-4000</v>
      </c>
      <c r="K15">
        <v>0</v>
      </c>
      <c r="L15">
        <v>0</v>
      </c>
      <c r="M15">
        <v>0</v>
      </c>
      <c r="N15" s="15">
        <f t="shared" si="1"/>
        <v>0</v>
      </c>
      <c r="O15">
        <v>0</v>
      </c>
      <c r="P15">
        <v>0</v>
      </c>
      <c r="Q15">
        <v>0</v>
      </c>
      <c r="R15">
        <v>0</v>
      </c>
      <c r="S15" s="12">
        <f t="shared" si="2"/>
        <v>-4000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1">
        <v>-4000</v>
      </c>
      <c r="AE15" s="15">
        <f t="shared" si="3"/>
        <v>0</v>
      </c>
    </row>
    <row r="16" spans="1:31">
      <c r="A16" s="13" t="b">
        <f t="shared" si="4"/>
        <v>1</v>
      </c>
      <c r="B16" s="13" t="str">
        <f>+Hoja2!A13</f>
        <v>3.1.05.110</v>
      </c>
      <c r="C16" t="s">
        <v>54</v>
      </c>
      <c r="D16" t="s">
        <v>55</v>
      </c>
      <c r="E16">
        <v>0</v>
      </c>
      <c r="F16" s="1">
        <v>-71936</v>
      </c>
      <c r="G16">
        <v>-737</v>
      </c>
      <c r="H16" s="1">
        <v>-73997</v>
      </c>
      <c r="I16" s="15">
        <f t="shared" si="0"/>
        <v>-34371</v>
      </c>
      <c r="J16">
        <v>0</v>
      </c>
      <c r="K16" s="1">
        <v>-84795</v>
      </c>
      <c r="L16" s="1">
        <v>-58447</v>
      </c>
      <c r="M16" s="1">
        <v>-10387</v>
      </c>
      <c r="N16" s="15">
        <f t="shared" si="1"/>
        <v>-12025</v>
      </c>
      <c r="O16" s="1">
        <v>-82866</v>
      </c>
      <c r="P16" s="1">
        <v>-51899</v>
      </c>
      <c r="Q16" s="1">
        <v>-52421</v>
      </c>
      <c r="R16" s="1">
        <v>-66273</v>
      </c>
      <c r="S16" s="12">
        <f t="shared" si="2"/>
        <v>-600154</v>
      </c>
      <c r="T16">
        <v>0</v>
      </c>
      <c r="U16" s="1">
        <v>-34371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1">
        <v>-12025</v>
      </c>
      <c r="AC16">
        <v>0</v>
      </c>
      <c r="AD16" s="1">
        <v>-600154</v>
      </c>
      <c r="AE16" s="15">
        <f t="shared" si="3"/>
        <v>0</v>
      </c>
    </row>
    <row r="17" spans="1:31">
      <c r="A17" s="13" t="b">
        <f t="shared" si="4"/>
        <v>1</v>
      </c>
      <c r="B17" s="13" t="str">
        <f>+Hoja2!A14</f>
        <v>3.1.05.111</v>
      </c>
      <c r="C17" t="s">
        <v>56</v>
      </c>
      <c r="D17" t="s">
        <v>57</v>
      </c>
      <c r="E17">
        <v>0</v>
      </c>
      <c r="F17" s="1">
        <v>-119119</v>
      </c>
      <c r="G17" s="1">
        <v>-11125</v>
      </c>
      <c r="H17" s="1">
        <v>-124090</v>
      </c>
      <c r="I17" s="15">
        <f t="shared" si="0"/>
        <v>-56916</v>
      </c>
      <c r="J17">
        <v>0</v>
      </c>
      <c r="K17" s="1">
        <v>-140414</v>
      </c>
      <c r="L17" s="1">
        <v>-100092</v>
      </c>
      <c r="M17" s="1">
        <v>-17200</v>
      </c>
      <c r="N17" s="15">
        <f t="shared" si="1"/>
        <v>-19912</v>
      </c>
      <c r="O17" s="1">
        <v>-137221</v>
      </c>
      <c r="P17" s="1">
        <v>-89846</v>
      </c>
      <c r="Q17" s="1">
        <v>-86806</v>
      </c>
      <c r="R17" s="1">
        <v>-109740</v>
      </c>
      <c r="S17" s="12">
        <f t="shared" si="2"/>
        <v>-1012481</v>
      </c>
      <c r="T17">
        <v>0</v>
      </c>
      <c r="U17" s="1">
        <v>-56916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1">
        <v>-19912</v>
      </c>
      <c r="AC17">
        <v>0</v>
      </c>
      <c r="AD17" s="1">
        <v>-1012481</v>
      </c>
      <c r="AE17" s="15">
        <f t="shared" si="3"/>
        <v>0</v>
      </c>
    </row>
    <row r="18" spans="1:31">
      <c r="A18" s="13" t="b">
        <f t="shared" si="4"/>
        <v>1</v>
      </c>
      <c r="B18" s="13" t="str">
        <f>+Hoja2!A15</f>
        <v>3.1.05.112</v>
      </c>
      <c r="C18" t="s">
        <v>58</v>
      </c>
      <c r="D18" t="s">
        <v>59</v>
      </c>
      <c r="E18">
        <v>0</v>
      </c>
      <c r="F18" s="1">
        <v>-7736</v>
      </c>
      <c r="G18">
        <v>-58</v>
      </c>
      <c r="H18" s="1">
        <v>-7952</v>
      </c>
      <c r="I18" s="15">
        <f t="shared" si="0"/>
        <v>-3696</v>
      </c>
      <c r="J18">
        <v>0</v>
      </c>
      <c r="K18" s="1">
        <v>-9119</v>
      </c>
      <c r="L18" s="1">
        <v>-6279</v>
      </c>
      <c r="M18" s="1">
        <v>-1117</v>
      </c>
      <c r="N18" s="15">
        <f t="shared" si="1"/>
        <v>-1293</v>
      </c>
      <c r="O18" s="1">
        <v>-8910</v>
      </c>
      <c r="P18" s="1">
        <v>-5572</v>
      </c>
      <c r="Q18" s="1">
        <v>-5637</v>
      </c>
      <c r="R18" s="1">
        <v>-7126</v>
      </c>
      <c r="S18" s="12">
        <f t="shared" si="2"/>
        <v>-64495</v>
      </c>
      <c r="T18">
        <v>0</v>
      </c>
      <c r="U18" s="1">
        <v>-3696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s="1">
        <v>-1293</v>
      </c>
      <c r="AC18">
        <v>0</v>
      </c>
      <c r="AD18" s="1">
        <v>-64495</v>
      </c>
      <c r="AE18" s="15">
        <f t="shared" si="3"/>
        <v>0</v>
      </c>
    </row>
    <row r="19" spans="1:31">
      <c r="A19" s="13" t="b">
        <f t="shared" si="4"/>
        <v>1</v>
      </c>
      <c r="B19" s="13" t="str">
        <f>+Hoja2!A16</f>
        <v>3.1.05.113</v>
      </c>
      <c r="C19" t="s">
        <v>60</v>
      </c>
      <c r="D19" t="s">
        <v>61</v>
      </c>
      <c r="E19">
        <v>0</v>
      </c>
      <c r="F19" s="1">
        <v>-69616</v>
      </c>
      <c r="G19" s="1">
        <v>-6502</v>
      </c>
      <c r="H19" s="1">
        <v>-72523</v>
      </c>
      <c r="I19" s="15">
        <f t="shared" si="0"/>
        <v>-33262</v>
      </c>
      <c r="J19">
        <v>0</v>
      </c>
      <c r="K19" s="1">
        <v>-82059</v>
      </c>
      <c r="L19" s="1">
        <v>-58497</v>
      </c>
      <c r="M19" s="1">
        <v>-10052</v>
      </c>
      <c r="N19" s="15">
        <f t="shared" si="1"/>
        <v>-11637</v>
      </c>
      <c r="O19" s="1">
        <v>-80194</v>
      </c>
      <c r="P19" s="1">
        <v>-52509</v>
      </c>
      <c r="Q19" s="1">
        <v>-50733</v>
      </c>
      <c r="R19" s="1">
        <v>-64134</v>
      </c>
      <c r="S19" s="12">
        <f t="shared" si="2"/>
        <v>-591718</v>
      </c>
      <c r="T19">
        <v>0</v>
      </c>
      <c r="U19" s="1">
        <v>-33262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s="1">
        <v>-11637</v>
      </c>
      <c r="AC19">
        <v>0</v>
      </c>
      <c r="AD19" s="1">
        <v>-591718</v>
      </c>
      <c r="AE19" s="15">
        <f t="shared" si="3"/>
        <v>0</v>
      </c>
    </row>
    <row r="20" spans="1:31">
      <c r="A20" s="13" t="b">
        <f t="shared" si="4"/>
        <v>1</v>
      </c>
      <c r="B20" s="13" t="str">
        <f>+Hoja2!A17</f>
        <v>3.1.05.114</v>
      </c>
      <c r="C20" t="s">
        <v>62</v>
      </c>
      <c r="D20" t="s">
        <v>63</v>
      </c>
      <c r="E20">
        <v>0</v>
      </c>
      <c r="F20">
        <v>0</v>
      </c>
      <c r="G20">
        <v>0</v>
      </c>
      <c r="H20">
        <v>0</v>
      </c>
      <c r="I20" s="15">
        <f t="shared" si="0"/>
        <v>0</v>
      </c>
      <c r="J20">
        <v>0</v>
      </c>
      <c r="K20">
        <v>0</v>
      </c>
      <c r="L20">
        <v>0</v>
      </c>
      <c r="M20">
        <v>0</v>
      </c>
      <c r="N20" s="15">
        <f t="shared" si="1"/>
        <v>0</v>
      </c>
      <c r="O20">
        <v>0</v>
      </c>
      <c r="P20">
        <v>0</v>
      </c>
      <c r="Q20">
        <v>0</v>
      </c>
      <c r="R20">
        <v>0</v>
      </c>
      <c r="S20" s="12">
        <f t="shared" si="2"/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s="15">
        <f t="shared" si="3"/>
        <v>0</v>
      </c>
    </row>
    <row r="21" spans="1:31">
      <c r="A21" s="13" t="b">
        <f t="shared" si="4"/>
        <v>1</v>
      </c>
      <c r="B21" s="13" t="str">
        <f>+Hoja2!A18</f>
        <v>3.1.05.117</v>
      </c>
      <c r="C21" t="s">
        <v>64</v>
      </c>
      <c r="D21" t="s">
        <v>65</v>
      </c>
      <c r="E21">
        <v>0</v>
      </c>
      <c r="F21" s="1">
        <v>-54023</v>
      </c>
      <c r="G21">
        <v>0</v>
      </c>
      <c r="H21" s="1">
        <v>-246963</v>
      </c>
      <c r="I21" s="15">
        <f t="shared" si="0"/>
        <v>0</v>
      </c>
      <c r="J21">
        <v>0</v>
      </c>
      <c r="K21" s="1">
        <v>-138917</v>
      </c>
      <c r="L21" s="1">
        <v>-77176</v>
      </c>
      <c r="M21" s="1">
        <v>-7718</v>
      </c>
      <c r="N21" s="15">
        <f t="shared" si="1"/>
        <v>0</v>
      </c>
      <c r="O21">
        <v>0</v>
      </c>
      <c r="P21" s="1">
        <v>-84893</v>
      </c>
      <c r="Q21" s="1">
        <v>-100328</v>
      </c>
      <c r="R21" s="1">
        <v>-46306</v>
      </c>
      <c r="S21" s="12">
        <f t="shared" si="2"/>
        <v>-756324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s="1">
        <v>-756324</v>
      </c>
      <c r="AE21" s="15">
        <f t="shared" si="3"/>
        <v>0</v>
      </c>
    </row>
    <row r="22" spans="1:31">
      <c r="A22" s="13" t="b">
        <f t="shared" si="4"/>
        <v>1</v>
      </c>
      <c r="B22" s="13" t="str">
        <f>+Hoja2!A19</f>
        <v>3.1.05.121</v>
      </c>
      <c r="C22" t="s">
        <v>66</v>
      </c>
      <c r="D22" t="s">
        <v>67</v>
      </c>
      <c r="E22">
        <v>0</v>
      </c>
      <c r="F22" s="1">
        <v>-180943</v>
      </c>
      <c r="G22">
        <v>0</v>
      </c>
      <c r="H22" s="1">
        <v>-133838</v>
      </c>
      <c r="I22" s="15">
        <f t="shared" si="0"/>
        <v>0</v>
      </c>
      <c r="J22">
        <v>0</v>
      </c>
      <c r="K22" s="1">
        <v>-299778</v>
      </c>
      <c r="L22" s="1">
        <v>-135476</v>
      </c>
      <c r="M22" s="1">
        <v>-51590</v>
      </c>
      <c r="N22" s="15">
        <f t="shared" si="1"/>
        <v>0</v>
      </c>
      <c r="O22" s="1">
        <v>-289276</v>
      </c>
      <c r="P22" s="1">
        <v>-129339</v>
      </c>
      <c r="Q22" s="1">
        <v>-90282</v>
      </c>
      <c r="R22" s="1">
        <v>-137030</v>
      </c>
      <c r="S22" s="12">
        <f t="shared" si="2"/>
        <v>-1447552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s="1">
        <v>-1447552</v>
      </c>
      <c r="AE22" s="15">
        <f t="shared" si="3"/>
        <v>0</v>
      </c>
    </row>
    <row r="23" spans="1:31">
      <c r="A23" s="13" t="b">
        <f t="shared" si="4"/>
        <v>1</v>
      </c>
      <c r="B23" s="13" t="str">
        <f>+Hoja2!A20</f>
        <v>3.1.05.122</v>
      </c>
      <c r="C23" t="s">
        <v>68</v>
      </c>
      <c r="D23" t="s">
        <v>69</v>
      </c>
      <c r="E23">
        <v>0</v>
      </c>
      <c r="F23" s="1">
        <v>-878119</v>
      </c>
      <c r="G23" s="1">
        <v>-46242</v>
      </c>
      <c r="H23" s="1">
        <v>-573217</v>
      </c>
      <c r="I23" s="15">
        <f t="shared" si="0"/>
        <v>0</v>
      </c>
      <c r="J23">
        <v>0</v>
      </c>
      <c r="K23" s="1">
        <v>-1348315</v>
      </c>
      <c r="L23" s="1">
        <v>-606114</v>
      </c>
      <c r="M23" s="1">
        <v>-216679</v>
      </c>
      <c r="N23" s="15">
        <f t="shared" si="1"/>
        <v>0</v>
      </c>
      <c r="O23" s="1">
        <v>-1214957</v>
      </c>
      <c r="P23" s="1">
        <v>-549390</v>
      </c>
      <c r="Q23" s="1">
        <v>-419677</v>
      </c>
      <c r="R23" s="1">
        <v>-592611</v>
      </c>
      <c r="S23" s="12">
        <f t="shared" si="2"/>
        <v>-6445321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s="1">
        <v>-6445321</v>
      </c>
      <c r="AE23" s="15">
        <f t="shared" si="3"/>
        <v>0</v>
      </c>
    </row>
    <row r="24" spans="1:31">
      <c r="A24" s="13" t="b">
        <f t="shared" si="4"/>
        <v>1</v>
      </c>
      <c r="B24" s="13" t="str">
        <f>+Hoja2!A21</f>
        <v>3.1.06.108</v>
      </c>
      <c r="C24" t="s">
        <v>70</v>
      </c>
      <c r="D24" t="s">
        <v>71</v>
      </c>
      <c r="E24">
        <v>0</v>
      </c>
      <c r="F24" s="1">
        <v>-320101</v>
      </c>
      <c r="G24">
        <v>0</v>
      </c>
      <c r="H24" s="1">
        <v>-252135</v>
      </c>
      <c r="I24" s="15">
        <f t="shared" si="0"/>
        <v>-107297</v>
      </c>
      <c r="J24">
        <v>0</v>
      </c>
      <c r="K24" s="1">
        <v>-337155</v>
      </c>
      <c r="L24" s="1">
        <v>-227921</v>
      </c>
      <c r="M24" s="1">
        <v>-50000</v>
      </c>
      <c r="N24" s="15">
        <f t="shared" si="1"/>
        <v>-69560</v>
      </c>
      <c r="O24" s="1">
        <v>-322795</v>
      </c>
      <c r="P24" s="1">
        <v>-199224</v>
      </c>
      <c r="Q24" s="1">
        <v>-202307</v>
      </c>
      <c r="R24" s="1">
        <v>-238005</v>
      </c>
      <c r="S24" s="12">
        <f t="shared" si="2"/>
        <v>-2326500</v>
      </c>
      <c r="T24">
        <v>0</v>
      </c>
      <c r="U24" s="1">
        <v>-107297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s="1">
        <v>-69560</v>
      </c>
      <c r="AC24">
        <v>0</v>
      </c>
      <c r="AD24" s="1">
        <v>-2326500</v>
      </c>
      <c r="AE24" s="15">
        <f t="shared" si="3"/>
        <v>0</v>
      </c>
    </row>
    <row r="25" spans="1:31">
      <c r="A25" s="13" t="b">
        <f t="shared" si="4"/>
        <v>1</v>
      </c>
      <c r="B25" s="13" t="str">
        <f>+Hoja2!A22</f>
        <v>3.1.06.109</v>
      </c>
      <c r="C25" t="s">
        <v>72</v>
      </c>
      <c r="D25" t="s">
        <v>73</v>
      </c>
      <c r="E25">
        <v>0</v>
      </c>
      <c r="F25" s="1">
        <v>-320101</v>
      </c>
      <c r="G25">
        <v>0</v>
      </c>
      <c r="H25" s="1">
        <v>-252135</v>
      </c>
      <c r="I25" s="15">
        <f t="shared" si="0"/>
        <v>-107297</v>
      </c>
      <c r="J25">
        <v>0</v>
      </c>
      <c r="K25" s="1">
        <v>-337155</v>
      </c>
      <c r="L25" s="1">
        <v>-227921</v>
      </c>
      <c r="M25" s="1">
        <v>-50000</v>
      </c>
      <c r="N25" s="15">
        <f t="shared" si="1"/>
        <v>-69560</v>
      </c>
      <c r="O25" s="1">
        <v>-322795</v>
      </c>
      <c r="P25" s="1">
        <v>-199224</v>
      </c>
      <c r="Q25" s="1">
        <v>-202307</v>
      </c>
      <c r="R25" s="1">
        <v>-238005</v>
      </c>
      <c r="S25" s="12">
        <f t="shared" si="2"/>
        <v>-2326500</v>
      </c>
      <c r="T25">
        <v>0</v>
      </c>
      <c r="U25" s="1">
        <v>-107297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s="1">
        <v>-69560</v>
      </c>
      <c r="AC25">
        <v>0</v>
      </c>
      <c r="AD25" s="1">
        <v>-2326500</v>
      </c>
      <c r="AE25" s="15">
        <f t="shared" si="3"/>
        <v>0</v>
      </c>
    </row>
    <row r="26" spans="1:31">
      <c r="A26" s="13" t="b">
        <f t="shared" si="4"/>
        <v>1</v>
      </c>
      <c r="B26" s="13" t="str">
        <f>+Hoja2!A23</f>
        <v>3.1.06.116</v>
      </c>
      <c r="C26" t="s">
        <v>74</v>
      </c>
      <c r="D26" t="s">
        <v>75</v>
      </c>
      <c r="E26">
        <v>0</v>
      </c>
      <c r="F26" s="1">
        <v>-29875</v>
      </c>
      <c r="G26">
        <v>0</v>
      </c>
      <c r="H26" s="1">
        <v>96155</v>
      </c>
      <c r="I26" s="15">
        <f t="shared" si="0"/>
        <v>0</v>
      </c>
      <c r="J26">
        <v>0</v>
      </c>
      <c r="K26" s="1">
        <v>312025</v>
      </c>
      <c r="L26" s="1">
        <v>-29875</v>
      </c>
      <c r="M26" s="1">
        <v>139930</v>
      </c>
      <c r="N26" s="15">
        <f t="shared" si="1"/>
        <v>0</v>
      </c>
      <c r="O26" s="1">
        <v>-29875</v>
      </c>
      <c r="P26" s="1">
        <v>153295</v>
      </c>
      <c r="Q26" s="1">
        <v>214574</v>
      </c>
      <c r="R26" s="1">
        <v>312035</v>
      </c>
      <c r="S26" s="12">
        <f t="shared" si="2"/>
        <v>1138389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s="1">
        <v>1138389</v>
      </c>
      <c r="AE26" s="15">
        <f t="shared" si="3"/>
        <v>0</v>
      </c>
    </row>
    <row r="27" spans="1:31">
      <c r="A27" s="13" t="b">
        <f t="shared" si="4"/>
        <v>1</v>
      </c>
      <c r="B27" s="13" t="str">
        <f>+Hoja2!A24</f>
        <v>3.1.06.201</v>
      </c>
      <c r="C27" t="s">
        <v>76</v>
      </c>
      <c r="D27" t="s">
        <v>77</v>
      </c>
      <c r="E27">
        <v>0</v>
      </c>
      <c r="F27" s="1">
        <v>-62500</v>
      </c>
      <c r="G27">
        <v>0</v>
      </c>
      <c r="H27" s="1">
        <v>-62500</v>
      </c>
      <c r="I27" s="15">
        <f t="shared" si="0"/>
        <v>0</v>
      </c>
      <c r="J27" s="1">
        <v>-5000</v>
      </c>
      <c r="K27" s="1">
        <v>-62500</v>
      </c>
      <c r="L27" s="1">
        <v>-62500</v>
      </c>
      <c r="M27">
        <v>0</v>
      </c>
      <c r="N27" s="15">
        <f t="shared" si="1"/>
        <v>0</v>
      </c>
      <c r="O27" s="1">
        <v>-62500</v>
      </c>
      <c r="P27" s="1">
        <v>-62500</v>
      </c>
      <c r="Q27" s="1">
        <v>-62500</v>
      </c>
      <c r="R27" s="1">
        <v>-62500</v>
      </c>
      <c r="S27" s="12">
        <f t="shared" si="2"/>
        <v>-505000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s="1">
        <v>-505000</v>
      </c>
      <c r="AE27" s="15">
        <f t="shared" si="3"/>
        <v>0</v>
      </c>
    </row>
    <row r="28" spans="1:31">
      <c r="A28" s="13" t="b">
        <f t="shared" si="4"/>
        <v>1</v>
      </c>
      <c r="B28" s="13" t="str">
        <f>+Hoja2!A25</f>
        <v>3.1.06.206</v>
      </c>
      <c r="C28" t="s">
        <v>78</v>
      </c>
      <c r="D28" t="s">
        <v>79</v>
      </c>
      <c r="E28">
        <v>0</v>
      </c>
      <c r="F28">
        <v>0</v>
      </c>
      <c r="G28">
        <v>0</v>
      </c>
      <c r="H28">
        <v>0</v>
      </c>
      <c r="I28" s="15">
        <f t="shared" si="0"/>
        <v>0</v>
      </c>
      <c r="J28" s="1">
        <v>-3101478</v>
      </c>
      <c r="K28">
        <v>0</v>
      </c>
      <c r="L28">
        <v>0</v>
      </c>
      <c r="M28">
        <v>0</v>
      </c>
      <c r="N28" s="15">
        <f t="shared" si="1"/>
        <v>0</v>
      </c>
      <c r="O28">
        <v>0</v>
      </c>
      <c r="P28">
        <v>0</v>
      </c>
      <c r="Q28">
        <v>0</v>
      </c>
      <c r="R28">
        <v>0</v>
      </c>
      <c r="S28" s="12">
        <f t="shared" si="2"/>
        <v>-3101478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s="1">
        <v>-3101478</v>
      </c>
      <c r="AE28" s="15">
        <f t="shared" si="3"/>
        <v>0</v>
      </c>
    </row>
    <row r="29" spans="1:31">
      <c r="A29" s="13" t="b">
        <f t="shared" si="4"/>
        <v>1</v>
      </c>
      <c r="B29" s="13" t="str">
        <f>+Hoja2!A26</f>
        <v>3.1.06.209</v>
      </c>
      <c r="C29" t="s">
        <v>80</v>
      </c>
      <c r="D29" t="s">
        <v>81</v>
      </c>
      <c r="E29">
        <v>0</v>
      </c>
      <c r="F29">
        <v>0</v>
      </c>
      <c r="G29">
        <v>0</v>
      </c>
      <c r="H29">
        <v>0</v>
      </c>
      <c r="I29" s="15">
        <f t="shared" si="0"/>
        <v>0</v>
      </c>
      <c r="J29">
        <v>0</v>
      </c>
      <c r="K29">
        <v>0</v>
      </c>
      <c r="L29">
        <v>0</v>
      </c>
      <c r="M29">
        <v>0</v>
      </c>
      <c r="N29" s="15">
        <f t="shared" si="1"/>
        <v>0</v>
      </c>
      <c r="O29">
        <v>0</v>
      </c>
      <c r="P29">
        <v>0</v>
      </c>
      <c r="Q29">
        <v>0</v>
      </c>
      <c r="R29">
        <v>0</v>
      </c>
      <c r="S29" s="12">
        <f t="shared" si="2"/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s="15">
        <f t="shared" si="3"/>
        <v>0</v>
      </c>
    </row>
    <row r="30" spans="1:31">
      <c r="A30" s="13" t="b">
        <f t="shared" si="4"/>
        <v>1</v>
      </c>
      <c r="B30" s="13" t="str">
        <f>+Hoja2!A27</f>
        <v>3.1.06.301</v>
      </c>
      <c r="C30" t="s">
        <v>82</v>
      </c>
      <c r="D30" t="s">
        <v>83</v>
      </c>
      <c r="E30">
        <v>0</v>
      </c>
      <c r="F30" s="1">
        <v>-8066624</v>
      </c>
      <c r="G30">
        <v>0</v>
      </c>
      <c r="H30" s="1">
        <v>-8153293</v>
      </c>
      <c r="I30" s="15">
        <f t="shared" si="0"/>
        <v>0</v>
      </c>
      <c r="J30">
        <v>0</v>
      </c>
      <c r="K30" s="1">
        <v>-18996289</v>
      </c>
      <c r="L30" s="1">
        <v>-10520512</v>
      </c>
      <c r="M30" s="1">
        <v>-134481</v>
      </c>
      <c r="N30" s="15">
        <f t="shared" si="1"/>
        <v>0</v>
      </c>
      <c r="O30" s="1">
        <v>-7349940</v>
      </c>
      <c r="P30" s="1">
        <v>-3774269</v>
      </c>
      <c r="Q30" s="1">
        <v>-7172077</v>
      </c>
      <c r="R30" s="1">
        <v>-8330411</v>
      </c>
      <c r="S30" s="12">
        <f t="shared" si="2"/>
        <v>-72497896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1">
        <v>-72497896</v>
      </c>
      <c r="AE30" s="15">
        <f t="shared" si="3"/>
        <v>0</v>
      </c>
    </row>
    <row r="31" spans="1:31">
      <c r="A31" s="13" t="b">
        <f t="shared" si="4"/>
        <v>1</v>
      </c>
      <c r="B31" s="13" t="str">
        <f>+Hoja2!A28</f>
        <v>3.1.06.302</v>
      </c>
      <c r="C31" t="s">
        <v>84</v>
      </c>
      <c r="D31" t="s">
        <v>85</v>
      </c>
      <c r="E31" s="1">
        <v>-3126087</v>
      </c>
      <c r="F31">
        <v>0</v>
      </c>
      <c r="G31">
        <v>0</v>
      </c>
      <c r="H31">
        <v>0</v>
      </c>
      <c r="I31" s="15">
        <f t="shared" si="0"/>
        <v>0</v>
      </c>
      <c r="J31">
        <v>0</v>
      </c>
      <c r="K31">
        <v>0</v>
      </c>
      <c r="L31">
        <v>0</v>
      </c>
      <c r="M31">
        <v>0</v>
      </c>
      <c r="N31" s="15">
        <f t="shared" si="1"/>
        <v>0</v>
      </c>
      <c r="O31">
        <v>0</v>
      </c>
      <c r="P31">
        <v>0</v>
      </c>
      <c r="Q31">
        <v>0</v>
      </c>
      <c r="R31">
        <v>0</v>
      </c>
      <c r="S31" s="12">
        <f t="shared" si="2"/>
        <v>-3126087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s="1">
        <v>-3126087</v>
      </c>
      <c r="AE31" s="15">
        <f t="shared" si="3"/>
        <v>0</v>
      </c>
    </row>
    <row r="32" spans="1:31">
      <c r="A32" s="13" t="b">
        <f t="shared" si="4"/>
        <v>1</v>
      </c>
      <c r="B32" s="13" t="str">
        <f>+Hoja2!A29</f>
        <v>3.1.06.305</v>
      </c>
      <c r="C32" t="s">
        <v>86</v>
      </c>
      <c r="D32" t="s">
        <v>87</v>
      </c>
      <c r="E32" s="1">
        <v>-272096</v>
      </c>
      <c r="F32" s="1">
        <v>-46886</v>
      </c>
      <c r="G32">
        <v>0</v>
      </c>
      <c r="H32" s="1">
        <v>-88896</v>
      </c>
      <c r="I32" s="15">
        <f t="shared" si="0"/>
        <v>0</v>
      </c>
      <c r="J32" s="1">
        <v>-5938</v>
      </c>
      <c r="K32" s="1">
        <v>-74708</v>
      </c>
      <c r="L32" s="1">
        <v>-8578</v>
      </c>
      <c r="M32" s="1">
        <v>-31490</v>
      </c>
      <c r="N32" s="15">
        <f t="shared" si="1"/>
        <v>0</v>
      </c>
      <c r="O32" s="1">
        <v>-19728</v>
      </c>
      <c r="P32" s="1">
        <v>-62573</v>
      </c>
      <c r="Q32" s="1">
        <v>-13578</v>
      </c>
      <c r="R32" s="1">
        <v>-6578</v>
      </c>
      <c r="S32" s="12">
        <f t="shared" si="2"/>
        <v>-631049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s="1">
        <v>-631049</v>
      </c>
      <c r="AE32" s="15">
        <f t="shared" si="3"/>
        <v>0</v>
      </c>
    </row>
    <row r="33" spans="1:31">
      <c r="A33" s="13" t="b">
        <f t="shared" si="4"/>
        <v>1</v>
      </c>
      <c r="B33" s="13" t="str">
        <f>+Hoja2!A30</f>
        <v>3.1.06.306</v>
      </c>
      <c r="C33" t="s">
        <v>88</v>
      </c>
      <c r="D33" t="s">
        <v>89</v>
      </c>
      <c r="E33">
        <v>0</v>
      </c>
      <c r="F33">
        <v>0</v>
      </c>
      <c r="G33">
        <v>0</v>
      </c>
      <c r="H33">
        <v>0</v>
      </c>
      <c r="I33" s="15">
        <f t="shared" si="0"/>
        <v>0</v>
      </c>
      <c r="J33">
        <v>0</v>
      </c>
      <c r="K33">
        <v>0</v>
      </c>
      <c r="L33">
        <v>0</v>
      </c>
      <c r="M33">
        <v>0</v>
      </c>
      <c r="N33" s="15">
        <f t="shared" si="1"/>
        <v>0</v>
      </c>
      <c r="O33">
        <v>0</v>
      </c>
      <c r="P33">
        <v>0</v>
      </c>
      <c r="Q33">
        <v>0</v>
      </c>
      <c r="R33">
        <v>0</v>
      </c>
      <c r="S33" s="12">
        <f t="shared" si="2"/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s="15">
        <f t="shared" si="3"/>
        <v>0</v>
      </c>
    </row>
    <row r="34" spans="1:31">
      <c r="A34" s="13" t="b">
        <f t="shared" si="4"/>
        <v>1</v>
      </c>
      <c r="B34" s="13" t="str">
        <f>+Hoja2!A31</f>
        <v>3.1.06.401</v>
      </c>
      <c r="C34" t="s">
        <v>90</v>
      </c>
      <c r="D34" t="s">
        <v>91</v>
      </c>
      <c r="E34" s="1">
        <v>-61064</v>
      </c>
      <c r="F34" s="1">
        <v>-61066</v>
      </c>
      <c r="G34">
        <v>0</v>
      </c>
      <c r="H34" s="1">
        <v>-61066</v>
      </c>
      <c r="I34" s="15">
        <f t="shared" si="0"/>
        <v>-61064</v>
      </c>
      <c r="J34" s="1">
        <v>587357</v>
      </c>
      <c r="K34" s="1">
        <v>-61065</v>
      </c>
      <c r="L34" s="1">
        <v>-61065</v>
      </c>
      <c r="M34" s="1">
        <v>-93361</v>
      </c>
      <c r="N34" s="15">
        <f t="shared" si="1"/>
        <v>-61064</v>
      </c>
      <c r="O34" s="1">
        <v>-61065</v>
      </c>
      <c r="P34" s="1">
        <v>-61064</v>
      </c>
      <c r="Q34" s="1">
        <v>-61064</v>
      </c>
      <c r="R34" s="1">
        <v>-61064</v>
      </c>
      <c r="S34" s="12">
        <f t="shared" si="2"/>
        <v>-177715</v>
      </c>
      <c r="T34">
        <v>0</v>
      </c>
      <c r="U34" s="1">
        <v>-61064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s="1">
        <v>-61064</v>
      </c>
      <c r="AC34">
        <v>0</v>
      </c>
      <c r="AD34" s="1">
        <v>-177715</v>
      </c>
      <c r="AE34" s="15">
        <f t="shared" si="3"/>
        <v>0</v>
      </c>
    </row>
    <row r="35" spans="1:31">
      <c r="A35" s="13" t="b">
        <f t="shared" si="4"/>
        <v>1</v>
      </c>
      <c r="B35" s="13" t="str">
        <f>+Hoja2!A32</f>
        <v>3.1.06.406</v>
      </c>
      <c r="C35" t="s">
        <v>92</v>
      </c>
      <c r="D35" t="s">
        <v>93</v>
      </c>
      <c r="E35">
        <v>0</v>
      </c>
      <c r="F35" s="1">
        <v>-14581</v>
      </c>
      <c r="G35">
        <v>0</v>
      </c>
      <c r="H35" s="1">
        <v>-14581</v>
      </c>
      <c r="I35" s="15">
        <f t="shared" si="0"/>
        <v>0</v>
      </c>
      <c r="J35" s="1">
        <v>-14581</v>
      </c>
      <c r="K35" s="1">
        <v>-14581</v>
      </c>
      <c r="L35" s="1">
        <v>-14581</v>
      </c>
      <c r="M35">
        <v>0</v>
      </c>
      <c r="N35" s="15">
        <f t="shared" si="1"/>
        <v>0</v>
      </c>
      <c r="O35" s="1">
        <v>-14581</v>
      </c>
      <c r="P35" s="1">
        <v>-14581</v>
      </c>
      <c r="Q35" s="1">
        <v>-14581</v>
      </c>
      <c r="R35" s="1">
        <v>-14581</v>
      </c>
      <c r="S35" s="12">
        <f t="shared" si="2"/>
        <v>-131229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s="1">
        <v>-131229</v>
      </c>
      <c r="AE35" s="15">
        <f t="shared" si="3"/>
        <v>0</v>
      </c>
    </row>
    <row r="36" spans="1:31">
      <c r="A36" s="13" t="b">
        <f t="shared" si="4"/>
        <v>1</v>
      </c>
      <c r="B36" s="13" t="str">
        <f>+Hoja2!A33</f>
        <v>3.1.06.501</v>
      </c>
      <c r="C36" t="s">
        <v>94</v>
      </c>
      <c r="D36" t="s">
        <v>95</v>
      </c>
      <c r="E36">
        <v>0</v>
      </c>
      <c r="F36" s="1">
        <v>-9564</v>
      </c>
      <c r="G36" s="1">
        <v>-11619</v>
      </c>
      <c r="H36" s="1">
        <v>-44873</v>
      </c>
      <c r="I36" s="15">
        <f t="shared" si="0"/>
        <v>0</v>
      </c>
      <c r="J36" s="1">
        <v>-75024</v>
      </c>
      <c r="K36" s="1">
        <v>-55219</v>
      </c>
      <c r="L36" s="1">
        <v>-11619</v>
      </c>
      <c r="M36">
        <v>0</v>
      </c>
      <c r="N36" s="15">
        <f t="shared" si="1"/>
        <v>0</v>
      </c>
      <c r="O36" s="1">
        <v>-536239</v>
      </c>
      <c r="P36" s="1">
        <v>-4258</v>
      </c>
      <c r="Q36" s="1">
        <v>-37862</v>
      </c>
      <c r="R36" s="1">
        <v>-52980</v>
      </c>
      <c r="S36" s="12">
        <f t="shared" si="2"/>
        <v>-839257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s="1">
        <v>-839257</v>
      </c>
      <c r="AE36" s="15">
        <f t="shared" si="3"/>
        <v>0</v>
      </c>
    </row>
    <row r="37" spans="1:31">
      <c r="A37" s="13" t="b">
        <f t="shared" ref="A37:A63" si="5">EXACT(C37,B37)</f>
        <v>1</v>
      </c>
      <c r="B37" s="13" t="str">
        <f>+Hoja2!A34</f>
        <v>3.1.06.504</v>
      </c>
      <c r="C37" t="s">
        <v>96</v>
      </c>
      <c r="D37" t="s">
        <v>97</v>
      </c>
      <c r="E37">
        <v>0</v>
      </c>
      <c r="F37">
        <v>0</v>
      </c>
      <c r="G37">
        <v>0</v>
      </c>
      <c r="H37">
        <v>0</v>
      </c>
      <c r="I37" s="15">
        <f t="shared" si="0"/>
        <v>0</v>
      </c>
      <c r="J37" s="1">
        <v>-1065119</v>
      </c>
      <c r="K37">
        <v>0</v>
      </c>
      <c r="L37">
        <v>0</v>
      </c>
      <c r="M37">
        <v>0</v>
      </c>
      <c r="N37" s="15">
        <f t="shared" si="1"/>
        <v>0</v>
      </c>
      <c r="O37">
        <v>0</v>
      </c>
      <c r="P37">
        <v>0</v>
      </c>
      <c r="Q37">
        <v>0</v>
      </c>
      <c r="R37">
        <v>0</v>
      </c>
      <c r="S37" s="12">
        <f t="shared" si="2"/>
        <v>-1065119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s="1">
        <v>-1065119</v>
      </c>
      <c r="AE37" s="15">
        <f t="shared" si="3"/>
        <v>0</v>
      </c>
    </row>
    <row r="38" spans="1:31">
      <c r="A38" s="13" t="b">
        <f t="shared" si="5"/>
        <v>1</v>
      </c>
      <c r="B38" s="13" t="str">
        <f>+Hoja2!A35</f>
        <v>3.1.06.505</v>
      </c>
      <c r="C38" t="s">
        <v>98</v>
      </c>
      <c r="D38" t="s">
        <v>99</v>
      </c>
      <c r="E38">
        <v>0</v>
      </c>
      <c r="F38">
        <v>0</v>
      </c>
      <c r="G38">
        <v>0</v>
      </c>
      <c r="H38">
        <v>0</v>
      </c>
      <c r="I38" s="15">
        <f t="shared" si="0"/>
        <v>0</v>
      </c>
      <c r="J38" s="1">
        <v>-420710</v>
      </c>
      <c r="K38">
        <v>0</v>
      </c>
      <c r="L38">
        <v>0</v>
      </c>
      <c r="M38">
        <v>0</v>
      </c>
      <c r="N38" s="15">
        <f t="shared" si="1"/>
        <v>0</v>
      </c>
      <c r="O38">
        <v>0</v>
      </c>
      <c r="P38">
        <v>0</v>
      </c>
      <c r="Q38">
        <v>0</v>
      </c>
      <c r="R38">
        <v>0</v>
      </c>
      <c r="S38" s="12">
        <f t="shared" si="2"/>
        <v>-420710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s="1">
        <v>-420710</v>
      </c>
      <c r="AE38" s="15">
        <f t="shared" si="3"/>
        <v>0</v>
      </c>
    </row>
    <row r="39" spans="1:31">
      <c r="A39" s="13" t="b">
        <f t="shared" si="5"/>
        <v>1</v>
      </c>
      <c r="B39" s="13" t="str">
        <f>+Hoja2!A36</f>
        <v>3.1.06.506</v>
      </c>
      <c r="C39" t="s">
        <v>100</v>
      </c>
      <c r="D39" t="s">
        <v>101</v>
      </c>
      <c r="E39" s="1">
        <v>-226385</v>
      </c>
      <c r="F39" s="1">
        <v>-47536</v>
      </c>
      <c r="G39" s="1">
        <v>-42728</v>
      </c>
      <c r="H39" s="1">
        <v>-46439</v>
      </c>
      <c r="I39" s="15">
        <f t="shared" si="0"/>
        <v>0</v>
      </c>
      <c r="J39">
        <v>0</v>
      </c>
      <c r="K39" s="1">
        <v>-44696</v>
      </c>
      <c r="L39" s="1">
        <v>-40307</v>
      </c>
      <c r="M39" s="1">
        <v>-35499</v>
      </c>
      <c r="N39" s="15">
        <f t="shared" si="1"/>
        <v>0</v>
      </c>
      <c r="O39" s="1">
        <v>-44599</v>
      </c>
      <c r="P39" s="1">
        <v>-41685</v>
      </c>
      <c r="Q39" s="1">
        <v>-46770</v>
      </c>
      <c r="R39" s="1">
        <v>-46770</v>
      </c>
      <c r="S39" s="12">
        <f t="shared" si="2"/>
        <v>-663414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s="1">
        <v>-663414</v>
      </c>
      <c r="AE39" s="15">
        <f t="shared" si="3"/>
        <v>0</v>
      </c>
    </row>
    <row r="40" spans="1:31">
      <c r="A40" s="13" t="b">
        <f t="shared" si="5"/>
        <v>1</v>
      </c>
      <c r="B40" s="13" t="str">
        <f>+Hoja2!A37</f>
        <v>3.1.06.507</v>
      </c>
      <c r="C40" t="s">
        <v>102</v>
      </c>
      <c r="D40" t="s">
        <v>103</v>
      </c>
      <c r="E40">
        <v>0</v>
      </c>
      <c r="F40">
        <v>0</v>
      </c>
      <c r="G40">
        <v>0</v>
      </c>
      <c r="H40">
        <v>0</v>
      </c>
      <c r="I40" s="15">
        <f t="shared" si="0"/>
        <v>0</v>
      </c>
      <c r="J40">
        <v>0</v>
      </c>
      <c r="K40">
        <v>0</v>
      </c>
      <c r="L40">
        <v>0</v>
      </c>
      <c r="M40">
        <v>0</v>
      </c>
      <c r="N40" s="15">
        <f t="shared" si="1"/>
        <v>0</v>
      </c>
      <c r="O40">
        <v>1</v>
      </c>
      <c r="P40">
        <v>0</v>
      </c>
      <c r="Q40">
        <v>0</v>
      </c>
      <c r="R40">
        <v>0</v>
      </c>
      <c r="S40" s="12">
        <f t="shared" si="2"/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 s="15">
        <f t="shared" si="3"/>
        <v>0</v>
      </c>
    </row>
    <row r="41" spans="1:31">
      <c r="A41" s="13" t="b">
        <f t="shared" si="5"/>
        <v>1</v>
      </c>
      <c r="B41" s="13" t="str">
        <f>+Hoja2!A38</f>
        <v>3.1.06.601</v>
      </c>
      <c r="C41" t="s">
        <v>104</v>
      </c>
      <c r="D41" t="s">
        <v>105</v>
      </c>
      <c r="E41" s="1">
        <v>-319960</v>
      </c>
      <c r="F41" s="1">
        <v>-89676</v>
      </c>
      <c r="G41">
        <v>0</v>
      </c>
      <c r="H41" s="1">
        <v>-97699</v>
      </c>
      <c r="I41" s="15">
        <f t="shared" si="0"/>
        <v>0</v>
      </c>
      <c r="J41">
        <v>0</v>
      </c>
      <c r="K41" s="1">
        <v>-47198</v>
      </c>
      <c r="L41" s="1">
        <v>-17699</v>
      </c>
      <c r="M41">
        <v>0</v>
      </c>
      <c r="N41" s="15">
        <f t="shared" si="1"/>
        <v>0</v>
      </c>
      <c r="O41" s="1">
        <v>-374446</v>
      </c>
      <c r="P41" s="1">
        <v>-40936</v>
      </c>
      <c r="Q41" s="1">
        <v>-23599</v>
      </c>
      <c r="R41" s="1">
        <v>-94396</v>
      </c>
      <c r="S41" s="12">
        <f t="shared" si="2"/>
        <v>-1105609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s="1">
        <v>-1105609</v>
      </c>
      <c r="AE41" s="15">
        <f t="shared" si="3"/>
        <v>0</v>
      </c>
    </row>
    <row r="42" spans="1:31">
      <c r="A42" s="13" t="b">
        <f t="shared" si="5"/>
        <v>1</v>
      </c>
      <c r="B42" s="13" t="str">
        <f>+Hoja2!A39</f>
        <v>3.1.06.602</v>
      </c>
      <c r="C42" t="s">
        <v>106</v>
      </c>
      <c r="D42" t="s">
        <v>107</v>
      </c>
      <c r="E42">
        <v>0</v>
      </c>
      <c r="F42" s="1">
        <v>-71352</v>
      </c>
      <c r="G42">
        <v>0</v>
      </c>
      <c r="H42" s="1">
        <v>-71352</v>
      </c>
      <c r="I42" s="15">
        <f t="shared" si="0"/>
        <v>-71351</v>
      </c>
      <c r="J42">
        <v>0</v>
      </c>
      <c r="K42" s="1">
        <v>-71352</v>
      </c>
      <c r="L42" s="1">
        <v>-71353</v>
      </c>
      <c r="M42">
        <v>0</v>
      </c>
      <c r="N42" s="15">
        <f t="shared" si="1"/>
        <v>0</v>
      </c>
      <c r="O42" s="1">
        <v>-71352</v>
      </c>
      <c r="P42" s="1">
        <v>-71352</v>
      </c>
      <c r="Q42" s="1">
        <v>-71352</v>
      </c>
      <c r="R42" s="1">
        <v>-71352</v>
      </c>
      <c r="S42" s="12">
        <f t="shared" si="2"/>
        <v>-642168</v>
      </c>
      <c r="T42">
        <v>0</v>
      </c>
      <c r="U42" s="1">
        <v>-71351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s="1">
        <v>-642168</v>
      </c>
      <c r="AE42" s="15">
        <f t="shared" si="3"/>
        <v>0</v>
      </c>
    </row>
    <row r="43" spans="1:31">
      <c r="A43" s="13" t="b">
        <f t="shared" si="5"/>
        <v>1</v>
      </c>
      <c r="B43" s="13" t="str">
        <f>+Hoja2!A40</f>
        <v>3.1.06.603</v>
      </c>
      <c r="C43" t="s">
        <v>108</v>
      </c>
      <c r="D43" t="s">
        <v>109</v>
      </c>
      <c r="E43">
        <v>0</v>
      </c>
      <c r="F43">
        <v>0</v>
      </c>
      <c r="G43">
        <v>0</v>
      </c>
      <c r="H43">
        <v>0</v>
      </c>
      <c r="I43" s="15">
        <f t="shared" si="0"/>
        <v>0</v>
      </c>
      <c r="J43">
        <v>0</v>
      </c>
      <c r="K43">
        <v>0</v>
      </c>
      <c r="L43">
        <v>0</v>
      </c>
      <c r="M43">
        <v>0</v>
      </c>
      <c r="N43" s="15">
        <f t="shared" si="1"/>
        <v>0</v>
      </c>
      <c r="O43">
        <v>0</v>
      </c>
      <c r="P43">
        <v>0</v>
      </c>
      <c r="Q43">
        <v>0</v>
      </c>
      <c r="R43">
        <v>0</v>
      </c>
      <c r="S43" s="12">
        <f t="shared" si="2"/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s="15">
        <f t="shared" si="3"/>
        <v>0</v>
      </c>
    </row>
    <row r="44" spans="1:31">
      <c r="A44" s="13" t="b">
        <f t="shared" si="5"/>
        <v>1</v>
      </c>
      <c r="B44" s="13" t="str">
        <f>+Hoja2!A41</f>
        <v>3.1.06.802</v>
      </c>
      <c r="C44" t="s">
        <v>110</v>
      </c>
      <c r="D44" t="s">
        <v>111</v>
      </c>
      <c r="E44">
        <v>0</v>
      </c>
      <c r="F44">
        <v>0</v>
      </c>
      <c r="G44">
        <v>0</v>
      </c>
      <c r="H44">
        <v>0</v>
      </c>
      <c r="I44" s="15">
        <f t="shared" si="0"/>
        <v>0</v>
      </c>
      <c r="J44">
        <v>0</v>
      </c>
      <c r="K44">
        <v>0</v>
      </c>
      <c r="L44">
        <v>0</v>
      </c>
      <c r="M44">
        <v>0</v>
      </c>
      <c r="N44" s="15">
        <f t="shared" si="1"/>
        <v>0</v>
      </c>
      <c r="O44">
        <v>0</v>
      </c>
      <c r="P44">
        <v>0</v>
      </c>
      <c r="Q44">
        <v>0</v>
      </c>
      <c r="R44">
        <v>0</v>
      </c>
      <c r="S44" s="12">
        <f t="shared" si="2"/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s="15">
        <f t="shared" si="3"/>
        <v>0</v>
      </c>
    </row>
    <row r="45" spans="1:31">
      <c r="A45" s="13" t="b">
        <f t="shared" si="5"/>
        <v>1</v>
      </c>
      <c r="B45" s="13" t="str">
        <f>+Hoja2!A42</f>
        <v>3.1.06.803</v>
      </c>
      <c r="C45" t="s">
        <v>112</v>
      </c>
      <c r="D45" t="s">
        <v>113</v>
      </c>
      <c r="E45">
        <v>0</v>
      </c>
      <c r="F45" s="1">
        <v>-46452</v>
      </c>
      <c r="G45">
        <v>0</v>
      </c>
      <c r="H45" s="1">
        <v>-46451</v>
      </c>
      <c r="I45" s="15">
        <f t="shared" si="0"/>
        <v>0</v>
      </c>
      <c r="J45">
        <v>0</v>
      </c>
      <c r="K45" s="1">
        <v>-46450</v>
      </c>
      <c r="L45" s="1">
        <v>-46450</v>
      </c>
      <c r="M45">
        <v>0</v>
      </c>
      <c r="N45" s="15">
        <f t="shared" si="1"/>
        <v>0</v>
      </c>
      <c r="O45" s="1">
        <v>-46449</v>
      </c>
      <c r="P45" s="1">
        <v>-46447</v>
      </c>
      <c r="Q45" s="1">
        <v>-46447</v>
      </c>
      <c r="R45" s="1">
        <v>-46444</v>
      </c>
      <c r="S45" s="12">
        <f t="shared" si="2"/>
        <v>-371590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s="1">
        <v>-371590</v>
      </c>
      <c r="AE45" s="15">
        <f t="shared" si="3"/>
        <v>0</v>
      </c>
    </row>
    <row r="46" spans="1:31">
      <c r="A46" s="13" t="b">
        <f t="shared" si="5"/>
        <v>1</v>
      </c>
      <c r="B46" s="13" t="str">
        <f>+Hoja2!A43</f>
        <v>3.1.06.805</v>
      </c>
      <c r="C46" t="s">
        <v>114</v>
      </c>
      <c r="D46" t="s">
        <v>115</v>
      </c>
      <c r="E46">
        <v>0</v>
      </c>
      <c r="F46">
        <v>0</v>
      </c>
      <c r="G46">
        <v>0</v>
      </c>
      <c r="H46">
        <v>0</v>
      </c>
      <c r="I46" s="15">
        <f t="shared" si="0"/>
        <v>0</v>
      </c>
      <c r="J46">
        <v>0</v>
      </c>
      <c r="K46">
        <v>0</v>
      </c>
      <c r="L46">
        <v>0</v>
      </c>
      <c r="M46">
        <v>0</v>
      </c>
      <c r="N46" s="15">
        <f t="shared" si="1"/>
        <v>0</v>
      </c>
      <c r="O46">
        <v>0</v>
      </c>
      <c r="P46">
        <v>0</v>
      </c>
      <c r="Q46">
        <v>0</v>
      </c>
      <c r="R46">
        <v>0</v>
      </c>
      <c r="S46" s="12">
        <f t="shared" si="2"/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s="15">
        <f t="shared" si="3"/>
        <v>0</v>
      </c>
    </row>
    <row r="47" spans="1:31">
      <c r="A47" s="13" t="b">
        <f t="shared" si="5"/>
        <v>1</v>
      </c>
      <c r="B47" s="13" t="str">
        <f>+Hoja2!A44</f>
        <v>3.1.06.806</v>
      </c>
      <c r="C47" t="s">
        <v>116</v>
      </c>
      <c r="D47" t="s">
        <v>117</v>
      </c>
      <c r="E47">
        <v>0</v>
      </c>
      <c r="F47">
        <v>0</v>
      </c>
      <c r="G47">
        <v>0</v>
      </c>
      <c r="H47">
        <v>0</v>
      </c>
      <c r="I47" s="15">
        <f t="shared" si="0"/>
        <v>0</v>
      </c>
      <c r="J47" s="1">
        <v>-502259</v>
      </c>
      <c r="K47">
        <v>0</v>
      </c>
      <c r="L47">
        <v>0</v>
      </c>
      <c r="M47">
        <v>0</v>
      </c>
      <c r="N47" s="15">
        <f t="shared" si="1"/>
        <v>0</v>
      </c>
      <c r="O47">
        <v>0</v>
      </c>
      <c r="P47">
        <v>0</v>
      </c>
      <c r="Q47">
        <v>0</v>
      </c>
      <c r="R47">
        <v>0</v>
      </c>
      <c r="S47" s="12">
        <f t="shared" si="2"/>
        <v>-502259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s="1">
        <v>-502259</v>
      </c>
      <c r="AE47" s="15">
        <f t="shared" si="3"/>
        <v>0</v>
      </c>
    </row>
    <row r="48" spans="1:31">
      <c r="A48" s="13" t="b">
        <f t="shared" si="5"/>
        <v>1</v>
      </c>
      <c r="B48" s="13" t="str">
        <f>+Hoja2!A45</f>
        <v>3.1.06.812</v>
      </c>
      <c r="C48" t="s">
        <v>118</v>
      </c>
      <c r="D48" t="s">
        <v>119</v>
      </c>
      <c r="E48">
        <v>0</v>
      </c>
      <c r="F48" s="1">
        <v>-407680</v>
      </c>
      <c r="G48">
        <v>0</v>
      </c>
      <c r="H48" s="1">
        <v>-407680</v>
      </c>
      <c r="I48" s="15">
        <f t="shared" si="0"/>
        <v>-407680</v>
      </c>
      <c r="J48">
        <v>0</v>
      </c>
      <c r="K48" s="1">
        <v>-407679</v>
      </c>
      <c r="L48" s="1">
        <v>-407679</v>
      </c>
      <c r="M48">
        <v>0</v>
      </c>
      <c r="N48" s="15">
        <f t="shared" si="1"/>
        <v>0</v>
      </c>
      <c r="O48" s="1">
        <v>-407679</v>
      </c>
      <c r="P48" s="1">
        <v>-407679</v>
      </c>
      <c r="Q48">
        <v>0</v>
      </c>
      <c r="R48">
        <v>0</v>
      </c>
      <c r="S48" s="12">
        <f t="shared" si="2"/>
        <v>-2853756</v>
      </c>
      <c r="T48">
        <v>0</v>
      </c>
      <c r="U48" s="1">
        <v>-407680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s="1">
        <v>-2853756</v>
      </c>
      <c r="AE48" s="15">
        <f t="shared" si="3"/>
        <v>0</v>
      </c>
    </row>
    <row r="49" spans="1:31">
      <c r="A49" s="13" t="b">
        <f t="shared" si="5"/>
        <v>1</v>
      </c>
      <c r="B49" s="13" t="str">
        <f>+Hoja2!A46</f>
        <v>3.1.06.813</v>
      </c>
      <c r="C49" t="s">
        <v>120</v>
      </c>
      <c r="D49" t="s">
        <v>121</v>
      </c>
      <c r="E49">
        <v>0</v>
      </c>
      <c r="F49">
        <v>0</v>
      </c>
      <c r="G49">
        <v>0</v>
      </c>
      <c r="H49">
        <v>0</v>
      </c>
      <c r="I49" s="15">
        <f t="shared" si="0"/>
        <v>0</v>
      </c>
      <c r="J49">
        <v>0</v>
      </c>
      <c r="K49">
        <v>0</v>
      </c>
      <c r="L49">
        <v>0</v>
      </c>
      <c r="M49">
        <v>0</v>
      </c>
      <c r="N49" s="15">
        <f t="shared" si="1"/>
        <v>0</v>
      </c>
      <c r="O49">
        <v>0</v>
      </c>
      <c r="P49">
        <v>0</v>
      </c>
      <c r="Q49" s="1">
        <v>-235050</v>
      </c>
      <c r="R49" s="1">
        <v>-362408</v>
      </c>
      <c r="S49" s="12">
        <f t="shared" si="2"/>
        <v>-597458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s="1">
        <v>-597458</v>
      </c>
      <c r="AE49" s="15">
        <f t="shared" si="3"/>
        <v>0</v>
      </c>
    </row>
    <row r="50" spans="1:31">
      <c r="A50" s="13" t="b">
        <f t="shared" si="5"/>
        <v>1</v>
      </c>
      <c r="B50" s="13" t="str">
        <f>+Hoja2!A47</f>
        <v>3.1.06.817</v>
      </c>
      <c r="C50" t="s">
        <v>122</v>
      </c>
      <c r="D50" t="s">
        <v>123</v>
      </c>
      <c r="E50">
        <v>0</v>
      </c>
      <c r="F50">
        <v>0</v>
      </c>
      <c r="G50">
        <v>0</v>
      </c>
      <c r="H50">
        <v>0</v>
      </c>
      <c r="I50" s="15">
        <f t="shared" si="0"/>
        <v>0</v>
      </c>
      <c r="J50" s="1">
        <v>-868786</v>
      </c>
      <c r="K50">
        <v>0</v>
      </c>
      <c r="L50">
        <v>0</v>
      </c>
      <c r="M50">
        <v>0</v>
      </c>
      <c r="N50" s="15">
        <f t="shared" si="1"/>
        <v>0</v>
      </c>
      <c r="O50">
        <v>0</v>
      </c>
      <c r="P50">
        <v>0</v>
      </c>
      <c r="Q50">
        <v>0</v>
      </c>
      <c r="R50">
        <v>0</v>
      </c>
      <c r="S50" s="12">
        <f t="shared" si="2"/>
        <v>-868786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s="1">
        <v>-868786</v>
      </c>
      <c r="AE50" s="15">
        <f t="shared" si="3"/>
        <v>0</v>
      </c>
    </row>
    <row r="51" spans="1:31">
      <c r="A51" s="13" t="b">
        <f t="shared" si="5"/>
        <v>1</v>
      </c>
      <c r="B51" s="13" t="str">
        <f>+Hoja2!A48</f>
        <v>3.1.06.818</v>
      </c>
      <c r="C51" t="s">
        <v>124</v>
      </c>
      <c r="D51" t="s">
        <v>125</v>
      </c>
      <c r="E51" s="1">
        <v>-127008</v>
      </c>
      <c r="F51" s="1">
        <v>-127008</v>
      </c>
      <c r="G51">
        <v>0</v>
      </c>
      <c r="H51" s="1">
        <v>-127008</v>
      </c>
      <c r="I51" s="15">
        <f t="shared" si="0"/>
        <v>-1193343</v>
      </c>
      <c r="J51" s="1">
        <v>-455898</v>
      </c>
      <c r="K51" s="1">
        <v>-127008</v>
      </c>
      <c r="L51" s="1">
        <v>-127008</v>
      </c>
      <c r="M51">
        <v>0</v>
      </c>
      <c r="N51" s="15">
        <f t="shared" si="1"/>
        <v>-127008</v>
      </c>
      <c r="O51" s="1">
        <v>-127008</v>
      </c>
      <c r="P51" s="1">
        <v>-127008</v>
      </c>
      <c r="Q51" s="1">
        <v>-127008</v>
      </c>
      <c r="R51" s="1">
        <v>-127008</v>
      </c>
      <c r="S51" s="12">
        <f t="shared" si="2"/>
        <v>-2919321</v>
      </c>
      <c r="T51">
        <v>0</v>
      </c>
      <c r="U51" s="1">
        <v>-1193343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s="1">
        <v>-127008</v>
      </c>
      <c r="AC51">
        <v>0</v>
      </c>
      <c r="AD51" s="1">
        <v>-2919321</v>
      </c>
      <c r="AE51" s="15">
        <f t="shared" si="3"/>
        <v>0</v>
      </c>
    </row>
    <row r="52" spans="1:31">
      <c r="A52" s="13" t="b">
        <f t="shared" si="5"/>
        <v>1</v>
      </c>
      <c r="B52" s="13" t="str">
        <f>+Hoja2!A49</f>
        <v>3.1.06.831</v>
      </c>
      <c r="C52" t="s">
        <v>126</v>
      </c>
      <c r="D52" t="s">
        <v>127</v>
      </c>
      <c r="E52">
        <v>0</v>
      </c>
      <c r="F52">
        <v>0</v>
      </c>
      <c r="G52">
        <v>0</v>
      </c>
      <c r="H52">
        <v>0</v>
      </c>
      <c r="I52" s="15">
        <f t="shared" si="0"/>
        <v>0</v>
      </c>
      <c r="J52" s="1">
        <v>-268190</v>
      </c>
      <c r="K52">
        <v>0</v>
      </c>
      <c r="L52">
        <v>0</v>
      </c>
      <c r="M52">
        <v>0</v>
      </c>
      <c r="N52" s="15">
        <f t="shared" si="1"/>
        <v>0</v>
      </c>
      <c r="O52">
        <v>0</v>
      </c>
      <c r="P52">
        <v>0</v>
      </c>
      <c r="Q52">
        <v>0</v>
      </c>
      <c r="R52">
        <v>0</v>
      </c>
      <c r="S52" s="12">
        <f t="shared" si="2"/>
        <v>-268190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s="1">
        <v>-268190</v>
      </c>
      <c r="AE52" s="15">
        <f t="shared" si="3"/>
        <v>0</v>
      </c>
    </row>
    <row r="53" spans="1:31">
      <c r="A53" s="13" t="b">
        <f t="shared" si="5"/>
        <v>1</v>
      </c>
      <c r="B53" s="13" t="str">
        <f>+Hoja2!A50</f>
        <v>3.1.06.837</v>
      </c>
      <c r="C53" t="s">
        <v>128</v>
      </c>
      <c r="D53" t="s">
        <v>129</v>
      </c>
      <c r="E53">
        <v>0</v>
      </c>
      <c r="F53" s="1">
        <v>-73533</v>
      </c>
      <c r="G53">
        <v>0</v>
      </c>
      <c r="H53" s="1">
        <v>-73533</v>
      </c>
      <c r="I53" s="15">
        <f t="shared" si="0"/>
        <v>0</v>
      </c>
      <c r="J53">
        <v>0</v>
      </c>
      <c r="K53" s="1">
        <v>-73532</v>
      </c>
      <c r="L53" s="1">
        <v>-73532</v>
      </c>
      <c r="M53">
        <v>0</v>
      </c>
      <c r="N53" s="15">
        <f t="shared" si="1"/>
        <v>0</v>
      </c>
      <c r="O53" s="1">
        <v>-73532</v>
      </c>
      <c r="P53" s="1">
        <v>-73532</v>
      </c>
      <c r="Q53" s="1">
        <v>-73532</v>
      </c>
      <c r="R53" s="1">
        <v>-73532</v>
      </c>
      <c r="S53" s="12">
        <f t="shared" si="2"/>
        <v>-588258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s="1">
        <v>-588258</v>
      </c>
      <c r="AE53" s="15">
        <f t="shared" si="3"/>
        <v>0</v>
      </c>
    </row>
    <row r="54" spans="1:31">
      <c r="A54" s="13" t="b">
        <f t="shared" si="5"/>
        <v>1</v>
      </c>
      <c r="B54" s="13" t="str">
        <f>+Hoja2!A51</f>
        <v>3.1.07.822</v>
      </c>
      <c r="C54" t="s">
        <v>153</v>
      </c>
      <c r="D54" t="s">
        <v>154</v>
      </c>
      <c r="E54">
        <v>0</v>
      </c>
      <c r="F54">
        <v>0</v>
      </c>
      <c r="G54">
        <v>0</v>
      </c>
      <c r="H54">
        <v>0</v>
      </c>
      <c r="I54" s="15">
        <f t="shared" si="0"/>
        <v>-2086868</v>
      </c>
      <c r="J54">
        <v>0</v>
      </c>
      <c r="K54">
        <v>0</v>
      </c>
      <c r="L54">
        <v>0</v>
      </c>
      <c r="M54">
        <v>0</v>
      </c>
      <c r="N54" s="15">
        <f t="shared" si="1"/>
        <v>0</v>
      </c>
      <c r="O54">
        <v>0</v>
      </c>
      <c r="P54">
        <v>0</v>
      </c>
      <c r="Q54">
        <v>0</v>
      </c>
      <c r="R54">
        <v>0</v>
      </c>
      <c r="S54" s="12">
        <f t="shared" si="2"/>
        <v>-2086868</v>
      </c>
      <c r="T54" s="1">
        <v>-2086868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s="1">
        <v>-2086868</v>
      </c>
      <c r="AE54" s="15">
        <f t="shared" si="3"/>
        <v>0</v>
      </c>
    </row>
    <row r="55" spans="1:31">
      <c r="A55" s="13" t="b">
        <f t="shared" si="5"/>
        <v>1</v>
      </c>
      <c r="B55" s="13" t="str">
        <f>+Hoja2!A52</f>
        <v>3.1.07.833</v>
      </c>
      <c r="C55" t="s">
        <v>155</v>
      </c>
      <c r="D55" t="s">
        <v>156</v>
      </c>
      <c r="E55">
        <v>0</v>
      </c>
      <c r="F55" s="1">
        <v>-198798</v>
      </c>
      <c r="G55">
        <v>0</v>
      </c>
      <c r="H55" s="1">
        <v>-198798</v>
      </c>
      <c r="I55" s="15">
        <f t="shared" si="0"/>
        <v>0</v>
      </c>
      <c r="J55" s="1">
        <v>-240703</v>
      </c>
      <c r="K55" s="1">
        <v>-198798</v>
      </c>
      <c r="L55" s="1">
        <v>-198798</v>
      </c>
      <c r="M55">
        <v>0</v>
      </c>
      <c r="N55" s="15">
        <f t="shared" si="1"/>
        <v>0</v>
      </c>
      <c r="O55" s="1">
        <v>-198795</v>
      </c>
      <c r="P55" s="1">
        <v>-198794</v>
      </c>
      <c r="Q55" s="1">
        <v>-198794</v>
      </c>
      <c r="R55" s="1">
        <v>-198794</v>
      </c>
      <c r="S55" s="12">
        <f t="shared" si="2"/>
        <v>-1831072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s="1">
        <v>-1831072</v>
      </c>
      <c r="AE55" s="15">
        <f t="shared" si="3"/>
        <v>0</v>
      </c>
    </row>
    <row r="56" spans="1:31">
      <c r="A56" s="13" t="b">
        <f t="shared" si="5"/>
        <v>1</v>
      </c>
      <c r="B56" s="13" t="str">
        <f>+Hoja2!A53</f>
        <v>3.1.08.701</v>
      </c>
      <c r="C56" t="s">
        <v>147</v>
      </c>
      <c r="D56" t="s">
        <v>148</v>
      </c>
      <c r="E56" s="1">
        <v>-2536839</v>
      </c>
      <c r="F56" s="1">
        <v>-7755</v>
      </c>
      <c r="G56">
        <v>0</v>
      </c>
      <c r="H56" s="1">
        <v>-21504</v>
      </c>
      <c r="I56" s="15">
        <f t="shared" si="0"/>
        <v>0</v>
      </c>
      <c r="J56" s="1">
        <v>-487541</v>
      </c>
      <c r="K56" s="1">
        <v>-1254276</v>
      </c>
      <c r="L56" s="1">
        <v>-360194</v>
      </c>
      <c r="M56">
        <v>0</v>
      </c>
      <c r="N56" s="15">
        <f t="shared" si="1"/>
        <v>0</v>
      </c>
      <c r="O56" s="1">
        <v>-1240499</v>
      </c>
      <c r="P56" s="1">
        <v>-1149838</v>
      </c>
      <c r="Q56" s="1">
        <v>-1025687</v>
      </c>
      <c r="R56" s="1">
        <v>-762204</v>
      </c>
      <c r="S56" s="12">
        <f t="shared" si="2"/>
        <v>-8846337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s="1">
        <v>-8846337</v>
      </c>
      <c r="AE56" s="15">
        <f t="shared" si="3"/>
        <v>0</v>
      </c>
    </row>
    <row r="57" spans="1:31">
      <c r="A57" s="13" t="b">
        <f t="shared" si="5"/>
        <v>1</v>
      </c>
      <c r="B57" s="13" t="str">
        <f>+Hoja2!A54</f>
        <v>3.2.08.105</v>
      </c>
      <c r="C57" t="s">
        <v>132</v>
      </c>
      <c r="D57" t="s">
        <v>133</v>
      </c>
      <c r="E57">
        <v>0</v>
      </c>
      <c r="F57">
        <v>0</v>
      </c>
      <c r="G57">
        <v>0</v>
      </c>
      <c r="H57">
        <v>0</v>
      </c>
      <c r="I57" s="15">
        <f t="shared" si="0"/>
        <v>0</v>
      </c>
      <c r="J57">
        <v>0</v>
      </c>
      <c r="K57" s="1">
        <v>-8446</v>
      </c>
      <c r="L57">
        <v>0</v>
      </c>
      <c r="M57">
        <v>0</v>
      </c>
      <c r="N57" s="15">
        <f t="shared" si="1"/>
        <v>0</v>
      </c>
      <c r="O57">
        <v>0</v>
      </c>
      <c r="P57">
        <v>0</v>
      </c>
      <c r="Q57" s="1">
        <v>-4101</v>
      </c>
      <c r="R57" s="1">
        <v>-6758</v>
      </c>
      <c r="S57" s="12">
        <f t="shared" si="2"/>
        <v>-19305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s="1">
        <v>-19305</v>
      </c>
      <c r="AE57" s="15">
        <f t="shared" si="3"/>
        <v>0</v>
      </c>
    </row>
    <row r="58" spans="1:31">
      <c r="A58" s="13" t="b">
        <f t="shared" si="5"/>
        <v>1</v>
      </c>
      <c r="B58" s="13" t="str">
        <f>+Hoja2!A55</f>
        <v>3.2.08.114</v>
      </c>
      <c r="C58" t="s">
        <v>134</v>
      </c>
      <c r="D58" t="s">
        <v>135</v>
      </c>
      <c r="E58">
        <v>0</v>
      </c>
      <c r="F58">
        <v>0</v>
      </c>
      <c r="G58">
        <v>0</v>
      </c>
      <c r="H58">
        <v>0</v>
      </c>
      <c r="I58" s="15">
        <f t="shared" si="0"/>
        <v>0</v>
      </c>
      <c r="J58">
        <v>0</v>
      </c>
      <c r="K58">
        <v>0</v>
      </c>
      <c r="L58">
        <v>0</v>
      </c>
      <c r="M58">
        <v>0</v>
      </c>
      <c r="N58" s="15">
        <f t="shared" si="1"/>
        <v>0</v>
      </c>
      <c r="O58">
        <v>0</v>
      </c>
      <c r="P58">
        <v>0</v>
      </c>
      <c r="S58" s="12">
        <f t="shared" si="2"/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s="15">
        <f t="shared" si="3"/>
        <v>0</v>
      </c>
    </row>
    <row r="59" spans="1:31">
      <c r="A59" s="13" t="b">
        <f t="shared" si="5"/>
        <v>1</v>
      </c>
      <c r="B59" s="13" t="str">
        <f>+Hoja2!A56</f>
        <v>3.2.08.116</v>
      </c>
      <c r="C59" t="s">
        <v>136</v>
      </c>
      <c r="D59" t="s">
        <v>137</v>
      </c>
      <c r="E59">
        <v>0</v>
      </c>
      <c r="F59">
        <v>0</v>
      </c>
      <c r="G59">
        <v>0</v>
      </c>
      <c r="H59">
        <v>0</v>
      </c>
      <c r="I59" s="15">
        <f t="shared" si="0"/>
        <v>0</v>
      </c>
      <c r="J59" s="1">
        <v>5791</v>
      </c>
      <c r="K59">
        <v>0</v>
      </c>
      <c r="L59">
        <v>0</v>
      </c>
      <c r="M59">
        <v>0</v>
      </c>
      <c r="N59" s="15">
        <f t="shared" si="1"/>
        <v>0</v>
      </c>
      <c r="O59">
        <v>0</v>
      </c>
      <c r="P59">
        <v>0</v>
      </c>
      <c r="Q59">
        <v>0</v>
      </c>
      <c r="R59">
        <v>0</v>
      </c>
      <c r="S59" s="12">
        <f t="shared" si="2"/>
        <v>5791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s="1">
        <v>5791</v>
      </c>
      <c r="AE59" s="15">
        <f t="shared" si="3"/>
        <v>0</v>
      </c>
    </row>
    <row r="60" spans="1:31">
      <c r="A60" s="13" t="b">
        <f t="shared" si="5"/>
        <v>1</v>
      </c>
      <c r="B60" s="13" t="str">
        <f>+Hoja2!A57</f>
        <v>3.2.08.117</v>
      </c>
      <c r="C60" t="s">
        <v>138</v>
      </c>
      <c r="D60" t="s">
        <v>139</v>
      </c>
      <c r="E60">
        <v>0</v>
      </c>
      <c r="F60">
        <v>0</v>
      </c>
      <c r="G60">
        <v>0</v>
      </c>
      <c r="H60">
        <v>0</v>
      </c>
      <c r="I60" s="15">
        <f t="shared" si="0"/>
        <v>0</v>
      </c>
      <c r="J60">
        <v>0</v>
      </c>
      <c r="K60">
        <v>0</v>
      </c>
      <c r="L60">
        <v>0</v>
      </c>
      <c r="M60">
        <v>0</v>
      </c>
      <c r="N60" s="15">
        <f t="shared" si="1"/>
        <v>0</v>
      </c>
      <c r="O60">
        <v>0</v>
      </c>
      <c r="P60">
        <v>0</v>
      </c>
      <c r="S60" s="12">
        <f t="shared" si="2"/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s="15">
        <f t="shared" si="3"/>
        <v>0</v>
      </c>
    </row>
    <row r="61" spans="1:31">
      <c r="A61" s="13" t="b">
        <f t="shared" si="5"/>
        <v>1</v>
      </c>
      <c r="B61" s="13" t="str">
        <f>+Hoja2!A58</f>
        <v>3.2.11.158</v>
      </c>
      <c r="C61" t="s">
        <v>140</v>
      </c>
      <c r="D61" t="s">
        <v>141</v>
      </c>
      <c r="I61" s="15">
        <f t="shared" si="0"/>
        <v>0</v>
      </c>
      <c r="J61" s="1">
        <v>24026172</v>
      </c>
      <c r="N61" s="15">
        <f t="shared" si="1"/>
        <v>0</v>
      </c>
      <c r="S61" s="12">
        <f t="shared" si="2"/>
        <v>24026172</v>
      </c>
      <c r="AD61" s="1">
        <v>24026172</v>
      </c>
      <c r="AE61" s="15">
        <f t="shared" si="3"/>
        <v>0</v>
      </c>
    </row>
    <row r="62" spans="1:31">
      <c r="A62" s="13" t="b">
        <f t="shared" si="5"/>
        <v>1</v>
      </c>
      <c r="B62" s="13" t="str">
        <f>+Hoja2!A59</f>
        <v>3.2.13.101</v>
      </c>
      <c r="C62" t="s">
        <v>159</v>
      </c>
      <c r="D62" t="s">
        <v>160</v>
      </c>
      <c r="E62">
        <v>0</v>
      </c>
      <c r="F62">
        <v>0</v>
      </c>
      <c r="G62">
        <v>0</v>
      </c>
      <c r="H62">
        <v>0</v>
      </c>
      <c r="I62" s="15">
        <f t="shared" si="0"/>
        <v>0</v>
      </c>
      <c r="J62" s="1">
        <v>-623797</v>
      </c>
      <c r="K62">
        <v>0</v>
      </c>
      <c r="L62">
        <v>0</v>
      </c>
      <c r="M62">
        <v>0</v>
      </c>
      <c r="N62" s="15">
        <f t="shared" si="1"/>
        <v>0</v>
      </c>
      <c r="O62">
        <v>0</v>
      </c>
      <c r="P62">
        <v>0</v>
      </c>
      <c r="Q62">
        <v>0</v>
      </c>
      <c r="R62">
        <v>0</v>
      </c>
      <c r="S62" s="12">
        <f t="shared" si="2"/>
        <v>-623797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s="1">
        <v>-623797</v>
      </c>
      <c r="AE62" s="15">
        <f t="shared" si="3"/>
        <v>0</v>
      </c>
    </row>
    <row r="63" spans="1:31">
      <c r="A63" s="13" t="b">
        <f t="shared" si="5"/>
        <v>1</v>
      </c>
      <c r="B63" s="13" t="str">
        <f>+Hoja2!A60</f>
        <v>3.2.13.109</v>
      </c>
      <c r="C63" t="s">
        <v>149</v>
      </c>
      <c r="D63" t="s">
        <v>150</v>
      </c>
      <c r="E63">
        <v>0</v>
      </c>
      <c r="F63">
        <v>0</v>
      </c>
      <c r="G63">
        <v>0</v>
      </c>
      <c r="H63">
        <v>0</v>
      </c>
      <c r="I63" s="15">
        <f t="shared" si="0"/>
        <v>0</v>
      </c>
      <c r="J63">
        <v>-34</v>
      </c>
      <c r="K63">
        <v>0</v>
      </c>
      <c r="L63">
        <v>0</v>
      </c>
      <c r="M63">
        <v>0</v>
      </c>
      <c r="N63" s="15">
        <f t="shared" si="1"/>
        <v>0</v>
      </c>
      <c r="O63">
        <v>0</v>
      </c>
      <c r="P63">
        <v>0</v>
      </c>
      <c r="Q63">
        <v>0</v>
      </c>
      <c r="R63">
        <v>0</v>
      </c>
      <c r="S63" s="12">
        <f t="shared" si="2"/>
        <v>-34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-34</v>
      </c>
      <c r="AE63" s="15">
        <f t="shared" si="3"/>
        <v>0</v>
      </c>
    </row>
    <row r="64" spans="1:31">
      <c r="A64" s="13"/>
      <c r="B64" s="13"/>
      <c r="D64" t="s">
        <v>31</v>
      </c>
      <c r="E64" s="1">
        <v>-8184789</v>
      </c>
      <c r="F64" s="1">
        <v>32964864</v>
      </c>
      <c r="G64">
        <v>0</v>
      </c>
      <c r="H64" s="1">
        <v>23111537</v>
      </c>
      <c r="I64" s="15"/>
      <c r="J64">
        <v>0</v>
      </c>
      <c r="K64" s="1">
        <v>47457079</v>
      </c>
      <c r="L64" s="1">
        <v>21001665</v>
      </c>
      <c r="M64">
        <v>0</v>
      </c>
      <c r="N64" s="15">
        <f t="shared" si="1"/>
        <v>176430</v>
      </c>
      <c r="O64" s="1">
        <v>35890391</v>
      </c>
      <c r="P64" s="1">
        <v>16930023</v>
      </c>
      <c r="Q64" s="1">
        <v>16796815</v>
      </c>
      <c r="R64" s="1">
        <v>24972244</v>
      </c>
      <c r="S64" s="9">
        <v>0</v>
      </c>
      <c r="T64" s="1">
        <v>3751074</v>
      </c>
      <c r="U64" s="1">
        <v>35498033</v>
      </c>
      <c r="V64">
        <v>0</v>
      </c>
      <c r="W64">
        <v>0</v>
      </c>
      <c r="X64">
        <v>0</v>
      </c>
      <c r="Y64" s="1">
        <v>176430</v>
      </c>
      <c r="Z64">
        <v>0</v>
      </c>
      <c r="AA64">
        <v>0</v>
      </c>
      <c r="AB64">
        <v>0</v>
      </c>
      <c r="AC64">
        <v>0</v>
      </c>
      <c r="AD64" s="1">
        <v>250365366</v>
      </c>
      <c r="AE64" s="15"/>
    </row>
    <row r="67" spans="4:30">
      <c r="D67" t="s">
        <v>41</v>
      </c>
      <c r="E67" s="1">
        <v>5408771</v>
      </c>
      <c r="F67" s="1">
        <v>-17793331</v>
      </c>
      <c r="G67">
        <v>0</v>
      </c>
      <c r="H67" s="1">
        <v>-11944357</v>
      </c>
      <c r="I67" s="15"/>
      <c r="J67">
        <v>0</v>
      </c>
      <c r="K67" s="1">
        <v>-25225586</v>
      </c>
      <c r="L67" s="1">
        <v>-11217876</v>
      </c>
      <c r="M67">
        <v>0</v>
      </c>
      <c r="O67" s="1">
        <v>-19393461</v>
      </c>
      <c r="P67" s="1">
        <v>-9135162</v>
      </c>
      <c r="Q67" s="1">
        <v>-9119820</v>
      </c>
      <c r="R67" s="1">
        <v>-13655123</v>
      </c>
      <c r="S67" s="9">
        <v>0</v>
      </c>
      <c r="T67">
        <v>0</v>
      </c>
      <c r="U67" s="1">
        <v>-25096498</v>
      </c>
      <c r="V67" s="1">
        <v>-554918</v>
      </c>
      <c r="W67" s="1">
        <v>-336821</v>
      </c>
      <c r="X67">
        <v>0</v>
      </c>
      <c r="Y67" s="1">
        <v>-1542233</v>
      </c>
      <c r="Z67">
        <v>0</v>
      </c>
      <c r="AA67">
        <v>0</v>
      </c>
      <c r="AB67">
        <v>0</v>
      </c>
      <c r="AC67">
        <v>0</v>
      </c>
      <c r="AD67" s="1">
        <v>-139606415</v>
      </c>
    </row>
    <row r="69" spans="4:30">
      <c r="D69" t="s">
        <v>42</v>
      </c>
      <c r="E69" s="2">
        <v>0.3392</v>
      </c>
      <c r="F69" s="2">
        <v>0.4602</v>
      </c>
      <c r="G69" s="2">
        <v>0</v>
      </c>
      <c r="H69" s="2">
        <v>0.48320000000000002</v>
      </c>
      <c r="I69" s="16"/>
      <c r="J69" s="2">
        <v>0</v>
      </c>
      <c r="K69" s="2">
        <v>0.46850000000000003</v>
      </c>
      <c r="L69" s="2">
        <v>0.46589999999999998</v>
      </c>
      <c r="M69" s="2">
        <v>0</v>
      </c>
      <c r="N69" s="16"/>
      <c r="O69" s="2">
        <v>0.45960000000000001</v>
      </c>
      <c r="P69" s="2">
        <v>0.46039999999999998</v>
      </c>
      <c r="Q69" s="2">
        <v>0.45710000000000001</v>
      </c>
      <c r="R69" s="2">
        <v>0.45319999999999999</v>
      </c>
      <c r="S69" s="8">
        <v>0</v>
      </c>
      <c r="T69" s="2">
        <v>1</v>
      </c>
      <c r="U69" s="2">
        <v>0.29299999999999998</v>
      </c>
      <c r="V69" s="2">
        <v>0</v>
      </c>
      <c r="W69" s="2">
        <v>0</v>
      </c>
      <c r="X69" s="2">
        <v>0</v>
      </c>
      <c r="Y69" s="2">
        <v>7.7412999999999998</v>
      </c>
      <c r="Z69" s="2">
        <v>0</v>
      </c>
      <c r="AA69" s="2">
        <v>0</v>
      </c>
      <c r="AB69" s="2">
        <v>0</v>
      </c>
      <c r="AC69" s="2">
        <v>0</v>
      </c>
      <c r="AD69" s="2">
        <v>0.44240000000000002</v>
      </c>
    </row>
    <row r="70" spans="4:30">
      <c r="D70" t="s">
        <v>43</v>
      </c>
      <c r="E70" s="1">
        <v>-2776018</v>
      </c>
      <c r="F70" s="1">
        <v>15171533</v>
      </c>
      <c r="G70">
        <v>0</v>
      </c>
      <c r="H70" s="1">
        <v>11167180</v>
      </c>
      <c r="I70" s="15"/>
      <c r="J70">
        <v>0</v>
      </c>
      <c r="K70" s="1">
        <v>22231493</v>
      </c>
      <c r="L70" s="1">
        <v>9783789</v>
      </c>
      <c r="M70">
        <v>0</v>
      </c>
      <c r="O70" s="1">
        <v>16496930</v>
      </c>
      <c r="P70" s="1">
        <v>7794861</v>
      </c>
      <c r="Q70" s="1">
        <v>7676995</v>
      </c>
      <c r="R70" s="1">
        <v>11317121</v>
      </c>
      <c r="S70" s="9">
        <v>0</v>
      </c>
      <c r="T70" s="1">
        <v>3751074</v>
      </c>
      <c r="U70" s="1">
        <v>10401535</v>
      </c>
      <c r="V70" s="1">
        <v>-554918</v>
      </c>
      <c r="W70" s="1">
        <v>-336821</v>
      </c>
      <c r="X70">
        <v>0</v>
      </c>
      <c r="Y70" s="1">
        <v>-1365803</v>
      </c>
      <c r="Z70">
        <v>0</v>
      </c>
      <c r="AA70">
        <v>0</v>
      </c>
      <c r="AB70">
        <v>0</v>
      </c>
      <c r="AC70">
        <v>0</v>
      </c>
      <c r="AD70" s="1">
        <v>110758951</v>
      </c>
    </row>
    <row r="72" spans="4:30">
      <c r="D72" t="s">
        <v>130</v>
      </c>
      <c r="E72" s="1">
        <v>-4132600</v>
      </c>
      <c r="F72" s="1">
        <v>-18373033</v>
      </c>
      <c r="G72" s="1">
        <v>-100547</v>
      </c>
      <c r="H72" s="1">
        <v>-17773928</v>
      </c>
      <c r="I72" s="15"/>
      <c r="J72" s="1">
        <v>-6199626</v>
      </c>
      <c r="K72" s="1">
        <v>-30652774</v>
      </c>
      <c r="L72" s="1">
        <v>-18891635</v>
      </c>
      <c r="M72" s="1">
        <v>-1437340</v>
      </c>
      <c r="N72" s="15"/>
      <c r="O72" s="1">
        <v>-19723514</v>
      </c>
      <c r="P72" s="1">
        <v>-11155318</v>
      </c>
      <c r="Q72" s="1">
        <v>-13492838</v>
      </c>
      <c r="R72" s="1">
        <v>-17366628</v>
      </c>
      <c r="S72" s="9">
        <v>0</v>
      </c>
      <c r="T72">
        <v>0</v>
      </c>
      <c r="U72" s="1">
        <v>-6116097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s="1">
        <v>-1984002</v>
      </c>
      <c r="AC72">
        <v>0</v>
      </c>
      <c r="AD72" s="1">
        <v>-167399880</v>
      </c>
    </row>
    <row r="74" spans="4:30">
      <c r="D74" t="s">
        <v>131</v>
      </c>
      <c r="E74" s="1">
        <v>-6908618</v>
      </c>
      <c r="F74" s="1">
        <v>-3201500</v>
      </c>
      <c r="G74" s="1">
        <v>-100547</v>
      </c>
      <c r="H74" s="1">
        <v>-6606748</v>
      </c>
      <c r="I74" s="15"/>
      <c r="J74" s="1">
        <v>-6199626</v>
      </c>
      <c r="K74" s="1">
        <v>-8421281</v>
      </c>
      <c r="L74" s="1">
        <v>-9107846</v>
      </c>
      <c r="M74" s="1">
        <v>-1437340</v>
      </c>
      <c r="N74" s="15"/>
      <c r="O74" s="1">
        <v>-3226584</v>
      </c>
      <c r="P74" s="1">
        <v>-3360457</v>
      </c>
      <c r="Q74" s="1">
        <v>-5815843</v>
      </c>
      <c r="R74" s="1">
        <v>-6049507</v>
      </c>
      <c r="S74" s="9">
        <v>0</v>
      </c>
      <c r="T74" s="1">
        <v>3751074</v>
      </c>
      <c r="U74" s="1">
        <v>4285438</v>
      </c>
      <c r="V74" s="1">
        <v>-554918</v>
      </c>
      <c r="W74" s="1">
        <v>-336821</v>
      </c>
      <c r="X74">
        <v>0</v>
      </c>
      <c r="Y74" s="1">
        <v>-1365803</v>
      </c>
      <c r="Z74">
        <v>0</v>
      </c>
      <c r="AA74">
        <v>0</v>
      </c>
      <c r="AB74" s="1">
        <v>-1984002</v>
      </c>
      <c r="AC74">
        <v>0</v>
      </c>
      <c r="AD74" s="1">
        <v>-56640929</v>
      </c>
    </row>
    <row r="76" spans="4:30">
      <c r="D76" t="s">
        <v>142</v>
      </c>
      <c r="E76">
        <v>0</v>
      </c>
      <c r="F76">
        <v>0</v>
      </c>
      <c r="G76">
        <v>0</v>
      </c>
      <c r="H76">
        <v>0</v>
      </c>
      <c r="J76" s="1">
        <v>24031963</v>
      </c>
      <c r="K76" s="1">
        <v>-8446</v>
      </c>
      <c r="L76">
        <v>0</v>
      </c>
      <c r="M76">
        <v>0</v>
      </c>
      <c r="O76">
        <v>0</v>
      </c>
      <c r="P76">
        <v>0</v>
      </c>
      <c r="Q76" s="1">
        <v>-4101</v>
      </c>
      <c r="R76" s="1">
        <v>-6758</v>
      </c>
      <c r="S76" s="9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s="1">
        <v>24012658</v>
      </c>
    </row>
    <row r="79" spans="4:30">
      <c r="D79" t="s">
        <v>151</v>
      </c>
      <c r="E79" s="1">
        <v>-4701534</v>
      </c>
      <c r="F79" s="1">
        <v>14025</v>
      </c>
      <c r="G79">
        <v>0</v>
      </c>
      <c r="H79">
        <v>276</v>
      </c>
      <c r="J79" s="1">
        <v>-487575</v>
      </c>
      <c r="K79" s="1">
        <v>-1232496</v>
      </c>
      <c r="L79" s="1">
        <v>-338414</v>
      </c>
      <c r="M79">
        <v>0</v>
      </c>
      <c r="O79" s="1">
        <v>-1218719</v>
      </c>
      <c r="P79" s="1">
        <v>-1128058</v>
      </c>
      <c r="Q79" s="1">
        <v>-1003907</v>
      </c>
      <c r="R79" s="1">
        <v>-740424</v>
      </c>
      <c r="S79" s="9">
        <v>0</v>
      </c>
      <c r="T79">
        <v>0</v>
      </c>
      <c r="U79" s="1">
        <v>2391874</v>
      </c>
      <c r="V79">
        <v>0</v>
      </c>
      <c r="W79" s="1">
        <v>-175747</v>
      </c>
      <c r="X79">
        <v>0</v>
      </c>
      <c r="Y79">
        <v>0</v>
      </c>
      <c r="Z79">
        <v>0</v>
      </c>
      <c r="AA79" s="1">
        <v>-2866174</v>
      </c>
      <c r="AB79">
        <v>0</v>
      </c>
      <c r="AC79">
        <v>0</v>
      </c>
      <c r="AD79" s="1">
        <v>-11486873</v>
      </c>
    </row>
    <row r="81" spans="4:30">
      <c r="D81" t="s">
        <v>152</v>
      </c>
      <c r="E81" s="1">
        <v>-4701534</v>
      </c>
      <c r="F81" s="1">
        <v>14025</v>
      </c>
      <c r="G81">
        <v>0</v>
      </c>
      <c r="H81">
        <v>276</v>
      </c>
      <c r="J81" s="1">
        <v>23544388</v>
      </c>
      <c r="K81" s="1">
        <v>-1240942</v>
      </c>
      <c r="L81" s="1">
        <v>-338414</v>
      </c>
      <c r="M81">
        <v>0</v>
      </c>
      <c r="O81" s="1">
        <v>-1218719</v>
      </c>
      <c r="P81" s="1">
        <v>-1128058</v>
      </c>
      <c r="Q81" s="1">
        <v>-1008008</v>
      </c>
      <c r="R81" s="1">
        <v>-747182</v>
      </c>
      <c r="S81" s="9">
        <v>0</v>
      </c>
      <c r="T81">
        <v>0</v>
      </c>
      <c r="U81" s="1">
        <v>2391874</v>
      </c>
      <c r="V81">
        <v>0</v>
      </c>
      <c r="W81" s="1">
        <v>-175747</v>
      </c>
      <c r="X81">
        <v>0</v>
      </c>
      <c r="Y81">
        <v>0</v>
      </c>
      <c r="Z81">
        <v>0</v>
      </c>
      <c r="AA81" s="1">
        <v>-2866174</v>
      </c>
      <c r="AB81">
        <v>0</v>
      </c>
      <c r="AC81">
        <v>0</v>
      </c>
      <c r="AD81" s="1">
        <v>12525785</v>
      </c>
    </row>
    <row r="83" spans="4:30">
      <c r="D83" t="s">
        <v>157</v>
      </c>
      <c r="E83">
        <v>0</v>
      </c>
      <c r="F83" s="1">
        <v>-198798</v>
      </c>
      <c r="G83">
        <v>0</v>
      </c>
      <c r="H83" s="1">
        <v>-198798</v>
      </c>
      <c r="I83" s="15"/>
      <c r="J83" s="1">
        <v>-240703</v>
      </c>
      <c r="K83" s="1">
        <v>-198798</v>
      </c>
      <c r="L83" s="1">
        <v>-198798</v>
      </c>
      <c r="M83">
        <v>0</v>
      </c>
      <c r="O83" s="1">
        <v>-198795</v>
      </c>
      <c r="P83" s="1">
        <v>-198794</v>
      </c>
      <c r="Q83" s="1">
        <v>-198794</v>
      </c>
      <c r="R83" s="1">
        <v>-198794</v>
      </c>
      <c r="S83" s="9">
        <v>0</v>
      </c>
      <c r="T83" s="1">
        <v>-2086868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s="1">
        <v>-3917940</v>
      </c>
    </row>
    <row r="85" spans="4:30">
      <c r="D85" t="s">
        <v>158</v>
      </c>
      <c r="E85" s="1">
        <v>-11610152</v>
      </c>
      <c r="F85" s="1">
        <v>-3386273</v>
      </c>
      <c r="G85" s="1">
        <v>-100547</v>
      </c>
      <c r="H85" s="1">
        <v>-6805270</v>
      </c>
      <c r="I85" s="15"/>
      <c r="J85" s="1">
        <v>17104059</v>
      </c>
      <c r="K85" s="1">
        <v>-9861021</v>
      </c>
      <c r="L85" s="1">
        <v>-9645058</v>
      </c>
      <c r="M85" s="1">
        <v>-1437340</v>
      </c>
      <c r="N85" s="15"/>
      <c r="O85" s="1">
        <v>-4644098</v>
      </c>
      <c r="P85" s="1">
        <v>-4687309</v>
      </c>
      <c r="Q85" s="1">
        <v>-7022645</v>
      </c>
      <c r="R85" s="1">
        <v>-6995483</v>
      </c>
      <c r="S85" s="9">
        <v>0</v>
      </c>
      <c r="T85" s="1">
        <v>1664206</v>
      </c>
      <c r="U85" s="1">
        <v>6677312</v>
      </c>
      <c r="V85" s="1">
        <v>-554918</v>
      </c>
      <c r="W85" s="1">
        <v>-512568</v>
      </c>
      <c r="X85">
        <v>0</v>
      </c>
      <c r="Y85" s="1">
        <v>-1365803</v>
      </c>
      <c r="Z85">
        <v>0</v>
      </c>
      <c r="AA85" s="1">
        <v>-2866174</v>
      </c>
      <c r="AB85" s="1">
        <v>-1984002</v>
      </c>
      <c r="AC85">
        <v>0</v>
      </c>
      <c r="AD85" s="1">
        <v>-48033084</v>
      </c>
    </row>
    <row r="87" spans="4:30">
      <c r="E87">
        <v>0</v>
      </c>
      <c r="F87">
        <v>0</v>
      </c>
      <c r="G87">
        <v>0</v>
      </c>
      <c r="H87">
        <v>0</v>
      </c>
      <c r="J87" s="1">
        <v>-623797</v>
      </c>
      <c r="K87">
        <v>0</v>
      </c>
      <c r="L87">
        <v>0</v>
      </c>
      <c r="M87">
        <v>0</v>
      </c>
      <c r="O87">
        <v>0</v>
      </c>
      <c r="P87">
        <v>0</v>
      </c>
      <c r="Q87">
        <v>0</v>
      </c>
      <c r="R87">
        <v>0</v>
      </c>
      <c r="S87" s="9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s="1">
        <v>-623797</v>
      </c>
    </row>
    <row r="90" spans="4:30">
      <c r="D90" t="s">
        <v>161</v>
      </c>
      <c r="E90" s="1">
        <v>-11610152</v>
      </c>
      <c r="F90" s="1">
        <v>-3386273</v>
      </c>
      <c r="G90" s="1">
        <v>-100547</v>
      </c>
      <c r="H90" s="1">
        <v>-6805270</v>
      </c>
      <c r="I90" s="15"/>
      <c r="J90" s="1">
        <v>16480262</v>
      </c>
      <c r="K90" s="1">
        <v>-9861021</v>
      </c>
      <c r="L90" s="1">
        <v>-9645058</v>
      </c>
      <c r="M90" s="1">
        <v>-1437340</v>
      </c>
      <c r="N90" s="15"/>
      <c r="O90" s="1">
        <v>-4644098</v>
      </c>
      <c r="P90" s="1">
        <v>-4687309</v>
      </c>
      <c r="Q90" s="1">
        <v>-7022645</v>
      </c>
      <c r="R90" s="1">
        <v>-6995483</v>
      </c>
      <c r="S90" s="9">
        <v>0</v>
      </c>
      <c r="T90" s="1">
        <v>1664206</v>
      </c>
      <c r="U90" s="1">
        <v>6677312</v>
      </c>
      <c r="V90" s="1">
        <v>-554918</v>
      </c>
      <c r="W90" s="1">
        <v>-512568</v>
      </c>
      <c r="X90">
        <v>0</v>
      </c>
      <c r="Y90" s="1">
        <v>-1365803</v>
      </c>
      <c r="Z90">
        <v>0</v>
      </c>
      <c r="AA90" s="1">
        <v>-2866174</v>
      </c>
      <c r="AB90" s="1">
        <v>-1984002</v>
      </c>
      <c r="AC90">
        <v>0</v>
      </c>
      <c r="AD90" s="1">
        <v>-48656881</v>
      </c>
    </row>
  </sheetData>
  <sortState xmlns:xlrd2="http://schemas.microsoft.com/office/spreadsheetml/2017/richdata2" ref="C2:AD93">
    <sortCondition ref="C2:C93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31D3-3FF4-4FA3-8B14-CBE3A59AC742}">
  <dimension ref="A1:A60"/>
  <sheetViews>
    <sheetView workbookViewId="0">
      <selection sqref="A1:A60"/>
    </sheetView>
  </sheetViews>
  <sheetFormatPr baseColWidth="10" defaultRowHeight="14"/>
  <sheetData>
    <row r="1" spans="1:1">
      <c r="A1" s="14" t="s">
        <v>29</v>
      </c>
    </row>
    <row r="2" spans="1:1">
      <c r="A2" s="14" t="s">
        <v>143</v>
      </c>
    </row>
    <row r="3" spans="1:1">
      <c r="A3" s="14" t="s">
        <v>34</v>
      </c>
    </row>
    <row r="4" spans="1:1">
      <c r="A4" s="14" t="s">
        <v>145</v>
      </c>
    </row>
    <row r="5" spans="1:1">
      <c r="A5" s="14" t="s">
        <v>36</v>
      </c>
    </row>
    <row r="6" spans="1:1">
      <c r="A6" s="14" t="s">
        <v>38</v>
      </c>
    </row>
    <row r="7" spans="1:1">
      <c r="A7" s="14" t="s">
        <v>39</v>
      </c>
    </row>
    <row r="8" spans="1:1">
      <c r="A8" s="14" t="s">
        <v>44</v>
      </c>
    </row>
    <row r="9" spans="1:1">
      <c r="A9" s="17" t="s">
        <v>46</v>
      </c>
    </row>
    <row r="10" spans="1:1">
      <c r="A10" s="17" t="s">
        <v>48</v>
      </c>
    </row>
    <row r="11" spans="1:1">
      <c r="A11" s="17" t="s">
        <v>50</v>
      </c>
    </row>
    <row r="12" spans="1:1">
      <c r="A12" s="17" t="s">
        <v>52</v>
      </c>
    </row>
    <row r="13" spans="1:1">
      <c r="A13" s="17" t="s">
        <v>54</v>
      </c>
    </row>
    <row r="14" spans="1:1">
      <c r="A14" s="17" t="s">
        <v>56</v>
      </c>
    </row>
    <row r="15" spans="1:1">
      <c r="A15" s="17" t="s">
        <v>58</v>
      </c>
    </row>
    <row r="16" spans="1:1">
      <c r="A16" s="17" t="s">
        <v>60</v>
      </c>
    </row>
    <row r="17" spans="1:1">
      <c r="A17" s="17" t="s">
        <v>62</v>
      </c>
    </row>
    <row r="18" spans="1:1">
      <c r="A18" s="17" t="s">
        <v>64</v>
      </c>
    </row>
    <row r="19" spans="1:1">
      <c r="A19" s="14" t="s">
        <v>66</v>
      </c>
    </row>
    <row r="20" spans="1:1">
      <c r="A20" s="14" t="s">
        <v>68</v>
      </c>
    </row>
    <row r="21" spans="1:1">
      <c r="A21" s="14" t="s">
        <v>70</v>
      </c>
    </row>
    <row r="22" spans="1:1">
      <c r="A22" s="14" t="s">
        <v>72</v>
      </c>
    </row>
    <row r="23" spans="1:1">
      <c r="A23" s="14" t="s">
        <v>74</v>
      </c>
    </row>
    <row r="24" spans="1:1">
      <c r="A24" s="14" t="s">
        <v>76</v>
      </c>
    </row>
    <row r="25" spans="1:1">
      <c r="A25" s="14" t="s">
        <v>78</v>
      </c>
    </row>
    <row r="26" spans="1:1">
      <c r="A26" s="14" t="s">
        <v>80</v>
      </c>
    </row>
    <row r="27" spans="1:1">
      <c r="A27" s="17" t="s">
        <v>82</v>
      </c>
    </row>
    <row r="28" spans="1:1">
      <c r="A28" s="14" t="s">
        <v>84</v>
      </c>
    </row>
    <row r="29" spans="1:1">
      <c r="A29" s="14" t="s">
        <v>86</v>
      </c>
    </row>
    <row r="30" spans="1:1">
      <c r="A30" s="14" t="s">
        <v>88</v>
      </c>
    </row>
    <row r="31" spans="1:1">
      <c r="A31" s="14" t="s">
        <v>90</v>
      </c>
    </row>
    <row r="32" spans="1:1">
      <c r="A32" s="14" t="s">
        <v>92</v>
      </c>
    </row>
    <row r="33" spans="1:1">
      <c r="A33" s="17" t="s">
        <v>94</v>
      </c>
    </row>
    <row r="34" spans="1:1">
      <c r="A34" s="17" t="s">
        <v>96</v>
      </c>
    </row>
    <row r="35" spans="1:1">
      <c r="A35" s="14" t="s">
        <v>98</v>
      </c>
    </row>
    <row r="36" spans="1:1">
      <c r="A36" s="14" t="s">
        <v>100</v>
      </c>
    </row>
    <row r="37" spans="1:1">
      <c r="A37" s="14" t="s">
        <v>102</v>
      </c>
    </row>
    <row r="38" spans="1:1">
      <c r="A38" s="14" t="s">
        <v>104</v>
      </c>
    </row>
    <row r="39" spans="1:1">
      <c r="A39" s="14" t="s">
        <v>106</v>
      </c>
    </row>
    <row r="40" spans="1:1">
      <c r="A40" s="14" t="s">
        <v>108</v>
      </c>
    </row>
    <row r="41" spans="1:1">
      <c r="A41" s="14" t="s">
        <v>110</v>
      </c>
    </row>
    <row r="42" spans="1:1">
      <c r="A42" s="14" t="s">
        <v>112</v>
      </c>
    </row>
    <row r="43" spans="1:1">
      <c r="A43" s="14" t="s">
        <v>114</v>
      </c>
    </row>
    <row r="44" spans="1:1">
      <c r="A44" s="14" t="s">
        <v>116</v>
      </c>
    </row>
    <row r="45" spans="1:1">
      <c r="A45" s="14" t="s">
        <v>118</v>
      </c>
    </row>
    <row r="46" spans="1:1">
      <c r="A46" s="14" t="s">
        <v>120</v>
      </c>
    </row>
    <row r="47" spans="1:1">
      <c r="A47" s="14" t="s">
        <v>122</v>
      </c>
    </row>
    <row r="48" spans="1:1">
      <c r="A48" s="14" t="s">
        <v>124</v>
      </c>
    </row>
    <row r="49" spans="1:1">
      <c r="A49" s="14" t="s">
        <v>126</v>
      </c>
    </row>
    <row r="50" spans="1:1">
      <c r="A50" s="14" t="s">
        <v>128</v>
      </c>
    </row>
    <row r="51" spans="1:1">
      <c r="A51" s="14" t="s">
        <v>153</v>
      </c>
    </row>
    <row r="52" spans="1:1">
      <c r="A52" s="14" t="s">
        <v>155</v>
      </c>
    </row>
    <row r="53" spans="1:1">
      <c r="A53" s="14" t="s">
        <v>147</v>
      </c>
    </row>
    <row r="54" spans="1:1">
      <c r="A54" s="14" t="s">
        <v>132</v>
      </c>
    </row>
    <row r="55" spans="1:1">
      <c r="A55" s="14" t="s">
        <v>134</v>
      </c>
    </row>
    <row r="56" spans="1:1">
      <c r="A56" s="14" t="s">
        <v>136</v>
      </c>
    </row>
    <row r="57" spans="1:1">
      <c r="A57" s="14" t="s">
        <v>138</v>
      </c>
    </row>
    <row r="58" spans="1:1">
      <c r="A58" s="14" t="s">
        <v>140</v>
      </c>
    </row>
    <row r="59" spans="1:1">
      <c r="A59" s="14" t="s">
        <v>159</v>
      </c>
    </row>
    <row r="60" spans="1:1">
      <c r="A60" s="14" t="s">
        <v>149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6559-803E-455D-B02D-C7F65770FFFF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6ACAB8-AE9E-4E10-84FA-07312AA6D68D}"/>
</file>

<file path=customXml/itemProps2.xml><?xml version="1.0" encoding="utf-8"?>
<ds:datastoreItem xmlns:ds="http://schemas.openxmlformats.org/officeDocument/2006/customXml" ds:itemID="{17C10DFB-3E38-47E7-A847-B6BF3EE70CF7}"/>
</file>

<file path=customXml/itemProps3.xml><?xml version="1.0" encoding="utf-8"?>
<ds:datastoreItem xmlns:ds="http://schemas.openxmlformats.org/officeDocument/2006/customXml" ds:itemID="{535AB518-AFD8-46A3-B3BB-0C1BA51CD150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2026-02-17T15:56:33Z</dcterms:created>
  <dcterms:modified xsi:type="dcterms:W3CDTF">2026-02-17T16:45:08Z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