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91E54414-BFC4-41F0-BCC3-0EAC0BB9B714}" xr6:coauthVersionLast="47" xr6:coauthVersionMax="47" xr10:uidLastSave="{00000000-0000-0000-0000-000000000000}"/>
  <bookViews>
    <workbookView xWindow="0" yWindow="86" windowWidth="15475" windowHeight="6319" xr2:uid="{3BA0F2F2-CA12-432E-B126-A248CA31545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1" l="1"/>
  <c r="I68" i="1"/>
  <c r="H68" i="1"/>
</calcChain>
</file>

<file path=xl/sharedStrings.xml><?xml version="1.0" encoding="utf-8"?>
<sst xmlns="http://schemas.openxmlformats.org/spreadsheetml/2006/main" count="223" uniqueCount="70">
  <si>
    <t>DIA</t>
  </si>
  <si>
    <t>TIPO</t>
  </si>
  <si>
    <t>COMPROBANTE</t>
  </si>
  <si>
    <t>IMPUTACION</t>
  </si>
  <si>
    <t>CENTRO COSTO</t>
  </si>
  <si>
    <t>GLOSA</t>
  </si>
  <si>
    <t>REFERENCIA</t>
  </si>
  <si>
    <t>DEBITOS</t>
  </si>
  <si>
    <t>CREDITOS</t>
  </si>
  <si>
    <t>PERIODO</t>
  </si>
  <si>
    <t>AP -APERTURA</t>
  </si>
  <si>
    <t>APERTURA 2026</t>
  </si>
  <si>
    <t>EG -EGRESO</t>
  </si>
  <si>
    <t>77.227.317-7</t>
  </si>
  <si>
    <t>FINIQUITOS SUSANA ROJA</t>
  </si>
  <si>
    <t>FINIQUITO LUIS SAN MARTIN</t>
  </si>
  <si>
    <t>FINIQUITO FERNANDA M</t>
  </si>
  <si>
    <t>FINIQUITO NAYELI ALBA</t>
  </si>
  <si>
    <t>FINIQUITO KIMBERLY</t>
  </si>
  <si>
    <t>FINIQUITO CLEIRYS</t>
  </si>
  <si>
    <t>14.158.626-2</t>
  </si>
  <si>
    <t>FINIQUITO BAT SEBA</t>
  </si>
  <si>
    <t>20.668.106-3</t>
  </si>
  <si>
    <t>FINIQUITO GABRIEL SOTO</t>
  </si>
  <si>
    <t>IN -INGRESO</t>
  </si>
  <si>
    <t>96.689.310-9</t>
  </si>
  <si>
    <t>0966893109 ABN CRD DB TRA</t>
  </si>
  <si>
    <t>CO -COMPRA</t>
  </si>
  <si>
    <t>76.199.043-8</t>
  </si>
  <si>
    <t>FAC. NRO.2904</t>
  </si>
  <si>
    <t>76.376.315-3</t>
  </si>
  <si>
    <t>FAC. NRO.17083</t>
  </si>
  <si>
    <t>FAC. NRO.57003685</t>
  </si>
  <si>
    <t>76.976.740-1</t>
  </si>
  <si>
    <t>FAC. NRO.16947</t>
  </si>
  <si>
    <t>76.139.477-0</t>
  </si>
  <si>
    <t>FAC. NRO.60671</t>
  </si>
  <si>
    <t>N/C NRO. 330</t>
  </si>
  <si>
    <t>TR -TRASPASO</t>
  </si>
  <si>
    <t>PATENTE ADMINISTRACION 1</t>
  </si>
  <si>
    <t>PATENTE EGAÑA 1 SEM 2026</t>
  </si>
  <si>
    <t>PATENTE VESPUCIO 1 SEM 20</t>
  </si>
  <si>
    <t>PATENTE FLORIDA CENTER 1</t>
  </si>
  <si>
    <t>PATENTE TREBOL 1 SEM 2026</t>
  </si>
  <si>
    <t>PATENTE PROVIDENCIA 1 SEM</t>
  </si>
  <si>
    <t>PATENTE BARROS ARANA 1 SE</t>
  </si>
  <si>
    <t>PATENTE TALCA 1 SEM 2026</t>
  </si>
  <si>
    <t>99.225.000-3</t>
  </si>
  <si>
    <t>PROVISION CHUBB SEGUROS C</t>
  </si>
  <si>
    <t>76.360.903-0</t>
  </si>
  <si>
    <t>PROVISION RENTOKIL INITIA</t>
  </si>
  <si>
    <t>96.805.690-5</t>
  </si>
  <si>
    <t>PROVISION COSCO SHIPPING</t>
  </si>
  <si>
    <t>78.921.690-8</t>
  </si>
  <si>
    <t>PROVISION WOM S.A.</t>
  </si>
  <si>
    <t>81.201.000-K</t>
  </si>
  <si>
    <t>PROVISION CENCOSUD RETAIL</t>
  </si>
  <si>
    <t>76.110.436-5</t>
  </si>
  <si>
    <t>PROVISION JACH TECHNOLOGY</t>
  </si>
  <si>
    <t>PROVISION VTEX CHILE SPA</t>
  </si>
  <si>
    <t>10.853.224-6</t>
  </si>
  <si>
    <t>PROVISION AGENCIA DE ADUA</t>
  </si>
  <si>
    <t>78.124.998-K</t>
  </si>
  <si>
    <t>PROVISION ME CONECTO SPA</t>
  </si>
  <si>
    <t>PROVISION TRANSBANK S.A</t>
  </si>
  <si>
    <t>PROVISION LATAMFIT CHILE</t>
  </si>
  <si>
    <t>97.036.000-k</t>
  </si>
  <si>
    <t>PROVISION GASTOS ENERO EN</t>
  </si>
  <si>
    <t>TDC ENERO</t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</si>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</sst>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F9D5-C045-4CC0-8582-F8A96D2D97BE}">
  <dimension ref="A1:J75"/>
  <sheetViews>
    <sheetView tabSelected="1" topLeftCell="A66" workbookViewId="0">
      <selection activeCell="J68" sqref="J68"/>
    </sheetView>
  </sheetViews>
  <sheetFormatPr baseColWidth="10" defaultRowHeight="14" x14ac:dyDescent="0.3"/>
  <cols>
    <col min="6" max="6" width="17.898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31</v>
      </c>
      <c r="B2" t="s">
        <v>38</v>
      </c>
      <c r="C2">
        <v>786</v>
      </c>
      <c r="D2" t="s">
        <v>60</v>
      </c>
      <c r="E2">
        <v>0</v>
      </c>
      <c r="F2" t="s">
        <v>61</v>
      </c>
      <c r="G2">
        <v>57313</v>
      </c>
      <c r="H2">
        <v>0</v>
      </c>
      <c r="I2" s="2">
        <v>159232</v>
      </c>
      <c r="J2">
        <v>202601</v>
      </c>
    </row>
    <row r="3" spans="1:10" x14ac:dyDescent="0.3">
      <c r="A3">
        <v>12</v>
      </c>
      <c r="B3" t="s">
        <v>12</v>
      </c>
      <c r="C3">
        <v>136</v>
      </c>
      <c r="D3" t="s">
        <v>20</v>
      </c>
      <c r="E3">
        <v>100</v>
      </c>
      <c r="F3" t="s">
        <v>21</v>
      </c>
      <c r="G3">
        <v>31122025</v>
      </c>
      <c r="H3" s="2">
        <v>9534979</v>
      </c>
      <c r="I3">
        <v>0</v>
      </c>
      <c r="J3">
        <v>202601</v>
      </c>
    </row>
    <row r="4" spans="1:10" x14ac:dyDescent="0.3">
      <c r="A4">
        <v>21</v>
      </c>
      <c r="B4" t="s">
        <v>12</v>
      </c>
      <c r="C4">
        <v>148</v>
      </c>
      <c r="D4" t="s">
        <v>22</v>
      </c>
      <c r="E4">
        <v>170</v>
      </c>
      <c r="F4" t="s">
        <v>23</v>
      </c>
      <c r="G4">
        <v>21012026</v>
      </c>
      <c r="H4" s="2">
        <v>1987018</v>
      </c>
      <c r="I4">
        <v>0</v>
      </c>
      <c r="J4">
        <v>202601</v>
      </c>
    </row>
    <row r="5" spans="1:10" x14ac:dyDescent="0.3">
      <c r="A5">
        <v>31</v>
      </c>
      <c r="B5" t="s">
        <v>38</v>
      </c>
      <c r="C5">
        <v>786</v>
      </c>
      <c r="D5" t="s">
        <v>57</v>
      </c>
      <c r="E5">
        <v>0</v>
      </c>
      <c r="F5" t="s">
        <v>58</v>
      </c>
      <c r="G5">
        <v>15429</v>
      </c>
      <c r="H5">
        <v>0</v>
      </c>
      <c r="I5" s="2">
        <v>651853</v>
      </c>
      <c r="J5">
        <v>202601</v>
      </c>
    </row>
    <row r="6" spans="1:10" x14ac:dyDescent="0.3">
      <c r="A6">
        <v>31</v>
      </c>
      <c r="B6" t="s">
        <v>38</v>
      </c>
      <c r="C6">
        <v>786</v>
      </c>
      <c r="D6" t="s">
        <v>57</v>
      </c>
      <c r="E6">
        <v>0</v>
      </c>
      <c r="F6" t="s">
        <v>58</v>
      </c>
      <c r="G6">
        <v>15434</v>
      </c>
      <c r="H6">
        <v>0</v>
      </c>
      <c r="I6" s="2">
        <v>588258</v>
      </c>
      <c r="J6">
        <v>202601</v>
      </c>
    </row>
    <row r="7" spans="1:10" x14ac:dyDescent="0.3">
      <c r="A7">
        <v>31</v>
      </c>
      <c r="B7" t="s">
        <v>38</v>
      </c>
      <c r="C7">
        <v>786</v>
      </c>
      <c r="D7" t="s">
        <v>57</v>
      </c>
      <c r="E7">
        <v>0</v>
      </c>
      <c r="F7" t="s">
        <v>58</v>
      </c>
      <c r="G7">
        <v>2370</v>
      </c>
      <c r="H7" s="2">
        <v>651853</v>
      </c>
      <c r="I7">
        <v>0</v>
      </c>
      <c r="J7">
        <v>202601</v>
      </c>
    </row>
    <row r="8" spans="1:10" x14ac:dyDescent="0.3">
      <c r="A8">
        <v>31</v>
      </c>
      <c r="B8" t="s">
        <v>27</v>
      </c>
      <c r="C8">
        <v>32</v>
      </c>
      <c r="D8" t="s">
        <v>35</v>
      </c>
      <c r="E8">
        <v>0</v>
      </c>
      <c r="F8" t="s">
        <v>36</v>
      </c>
      <c r="G8">
        <v>60671</v>
      </c>
      <c r="H8" s="2">
        <v>534226</v>
      </c>
      <c r="I8">
        <v>0</v>
      </c>
      <c r="J8">
        <v>202601</v>
      </c>
    </row>
    <row r="9" spans="1:10" x14ac:dyDescent="0.3">
      <c r="A9">
        <v>31</v>
      </c>
      <c r="B9" t="s">
        <v>27</v>
      </c>
      <c r="C9">
        <v>8</v>
      </c>
      <c r="D9" t="s">
        <v>28</v>
      </c>
      <c r="E9">
        <v>0</v>
      </c>
      <c r="F9" t="s">
        <v>29</v>
      </c>
      <c r="G9">
        <v>2904</v>
      </c>
      <c r="H9">
        <v>3</v>
      </c>
      <c r="I9">
        <v>0</v>
      </c>
      <c r="J9">
        <v>202601</v>
      </c>
    </row>
    <row r="10" spans="1:10" x14ac:dyDescent="0.3">
      <c r="A10">
        <v>31</v>
      </c>
      <c r="B10" t="s">
        <v>27</v>
      </c>
      <c r="C10">
        <v>38</v>
      </c>
      <c r="D10" t="s">
        <v>28</v>
      </c>
      <c r="E10">
        <v>0</v>
      </c>
      <c r="F10" t="s">
        <v>37</v>
      </c>
      <c r="G10">
        <v>2904</v>
      </c>
      <c r="H10">
        <v>0</v>
      </c>
      <c r="I10">
        <v>3</v>
      </c>
      <c r="J10">
        <v>202601</v>
      </c>
    </row>
    <row r="11" spans="1:10" x14ac:dyDescent="0.3">
      <c r="A11">
        <v>31</v>
      </c>
      <c r="B11" t="s">
        <v>38</v>
      </c>
      <c r="C11">
        <v>786</v>
      </c>
      <c r="D11" t="s">
        <v>49</v>
      </c>
      <c r="E11">
        <v>0</v>
      </c>
      <c r="F11" t="s">
        <v>50</v>
      </c>
      <c r="G11">
        <v>760433</v>
      </c>
      <c r="H11">
        <v>0</v>
      </c>
      <c r="I11" s="2">
        <v>104803</v>
      </c>
      <c r="J11">
        <v>202601</v>
      </c>
    </row>
    <row r="12" spans="1:10" x14ac:dyDescent="0.3">
      <c r="A12">
        <v>31</v>
      </c>
      <c r="B12" t="s">
        <v>27</v>
      </c>
      <c r="C12">
        <v>11</v>
      </c>
      <c r="D12" t="s">
        <v>30</v>
      </c>
      <c r="E12">
        <v>0</v>
      </c>
      <c r="F12" t="s">
        <v>31</v>
      </c>
      <c r="G12">
        <v>17083</v>
      </c>
      <c r="H12" s="2">
        <v>1419049</v>
      </c>
      <c r="I12">
        <v>0</v>
      </c>
      <c r="J12">
        <v>202601</v>
      </c>
    </row>
    <row r="13" spans="1:10" x14ac:dyDescent="0.3">
      <c r="A13">
        <v>31</v>
      </c>
      <c r="B13" t="s">
        <v>38</v>
      </c>
      <c r="C13">
        <v>786</v>
      </c>
      <c r="D13" t="s">
        <v>30</v>
      </c>
      <c r="E13">
        <v>0</v>
      </c>
      <c r="F13" t="s">
        <v>59</v>
      </c>
      <c r="G13">
        <v>17252</v>
      </c>
      <c r="H13">
        <v>0</v>
      </c>
      <c r="I13" s="2">
        <v>1097655</v>
      </c>
      <c r="J13">
        <v>202601</v>
      </c>
    </row>
    <row r="14" spans="1:10" x14ac:dyDescent="0.3">
      <c r="A14">
        <v>31</v>
      </c>
      <c r="B14" t="s">
        <v>27</v>
      </c>
      <c r="C14">
        <v>31</v>
      </c>
      <c r="D14" t="s">
        <v>33</v>
      </c>
      <c r="E14">
        <v>0</v>
      </c>
      <c r="F14" t="s">
        <v>34</v>
      </c>
      <c r="G14">
        <v>16947</v>
      </c>
      <c r="H14" s="2">
        <v>265331</v>
      </c>
      <c r="I14">
        <v>0</v>
      </c>
      <c r="J14">
        <v>202601</v>
      </c>
    </row>
    <row r="15" spans="1:10" x14ac:dyDescent="0.3">
      <c r="A15">
        <v>31</v>
      </c>
      <c r="B15" t="s">
        <v>27</v>
      </c>
      <c r="C15">
        <v>31</v>
      </c>
      <c r="D15" t="s">
        <v>33</v>
      </c>
      <c r="E15">
        <v>0</v>
      </c>
      <c r="F15" t="s">
        <v>34</v>
      </c>
      <c r="G15">
        <v>16947</v>
      </c>
      <c r="H15" s="2">
        <v>50413</v>
      </c>
      <c r="I15">
        <v>0</v>
      </c>
      <c r="J15">
        <v>202601</v>
      </c>
    </row>
    <row r="16" spans="1:10" x14ac:dyDescent="0.3">
      <c r="A16">
        <v>31</v>
      </c>
      <c r="B16" t="s">
        <v>38</v>
      </c>
      <c r="C16">
        <v>786</v>
      </c>
      <c r="D16" t="s">
        <v>33</v>
      </c>
      <c r="E16">
        <v>0</v>
      </c>
      <c r="F16" t="s">
        <v>65</v>
      </c>
      <c r="G16">
        <v>17263</v>
      </c>
      <c r="H16">
        <v>0</v>
      </c>
      <c r="I16" s="2">
        <v>315744</v>
      </c>
      <c r="J16">
        <v>202601</v>
      </c>
    </row>
    <row r="17" spans="1:10" x14ac:dyDescent="0.3">
      <c r="A17">
        <v>9</v>
      </c>
      <c r="B17" t="s">
        <v>12</v>
      </c>
      <c r="C17">
        <v>134</v>
      </c>
      <c r="D17" t="s">
        <v>13</v>
      </c>
      <c r="E17">
        <v>185</v>
      </c>
      <c r="F17" t="s">
        <v>14</v>
      </c>
      <c r="G17">
        <v>31122025</v>
      </c>
      <c r="H17" s="2">
        <v>1315079</v>
      </c>
      <c r="I17">
        <v>0</v>
      </c>
      <c r="J17">
        <v>202601</v>
      </c>
    </row>
    <row r="18" spans="1:10" x14ac:dyDescent="0.3">
      <c r="A18">
        <v>9</v>
      </c>
      <c r="B18" t="s">
        <v>12</v>
      </c>
      <c r="C18">
        <v>134</v>
      </c>
      <c r="D18" t="s">
        <v>13</v>
      </c>
      <c r="E18">
        <v>185</v>
      </c>
      <c r="F18" t="s">
        <v>15</v>
      </c>
      <c r="G18">
        <v>31122025</v>
      </c>
      <c r="H18" s="2">
        <v>74942</v>
      </c>
      <c r="I18">
        <v>0</v>
      </c>
      <c r="J18">
        <v>202601</v>
      </c>
    </row>
    <row r="19" spans="1:10" x14ac:dyDescent="0.3">
      <c r="A19">
        <v>9</v>
      </c>
      <c r="B19" t="s">
        <v>12</v>
      </c>
      <c r="C19">
        <v>134</v>
      </c>
      <c r="D19" t="s">
        <v>13</v>
      </c>
      <c r="E19">
        <v>0</v>
      </c>
      <c r="F19" t="s">
        <v>16</v>
      </c>
      <c r="G19">
        <v>31122025</v>
      </c>
      <c r="H19" s="2">
        <v>28830</v>
      </c>
      <c r="I19">
        <v>0</v>
      </c>
      <c r="J19">
        <v>202601</v>
      </c>
    </row>
    <row r="20" spans="1:10" x14ac:dyDescent="0.3">
      <c r="A20">
        <v>9</v>
      </c>
      <c r="B20" t="s">
        <v>12</v>
      </c>
      <c r="C20">
        <v>135</v>
      </c>
      <c r="D20" t="s">
        <v>13</v>
      </c>
      <c r="E20">
        <v>185</v>
      </c>
      <c r="F20" t="s">
        <v>17</v>
      </c>
      <c r="G20">
        <v>31122025</v>
      </c>
      <c r="H20" s="2">
        <v>34064</v>
      </c>
      <c r="I20">
        <v>0</v>
      </c>
      <c r="J20">
        <v>202601</v>
      </c>
    </row>
    <row r="21" spans="1:10" x14ac:dyDescent="0.3">
      <c r="A21">
        <v>12</v>
      </c>
      <c r="B21" t="s">
        <v>12</v>
      </c>
      <c r="C21">
        <v>136</v>
      </c>
      <c r="D21" t="s">
        <v>13</v>
      </c>
      <c r="E21">
        <v>185</v>
      </c>
      <c r="F21" t="s">
        <v>18</v>
      </c>
      <c r="G21">
        <v>31122025</v>
      </c>
      <c r="H21" s="2">
        <v>3836083</v>
      </c>
      <c r="I21">
        <v>0</v>
      </c>
      <c r="J21">
        <v>202601</v>
      </c>
    </row>
    <row r="22" spans="1:10" x14ac:dyDescent="0.3">
      <c r="A22">
        <v>12</v>
      </c>
      <c r="B22" t="s">
        <v>12</v>
      </c>
      <c r="C22">
        <v>136</v>
      </c>
      <c r="D22" t="s">
        <v>13</v>
      </c>
      <c r="E22">
        <v>185</v>
      </c>
      <c r="F22" t="s">
        <v>19</v>
      </c>
      <c r="G22">
        <v>31122025</v>
      </c>
      <c r="H22" s="2">
        <v>3833918</v>
      </c>
      <c r="I22">
        <v>0</v>
      </c>
      <c r="J22">
        <v>202601</v>
      </c>
    </row>
    <row r="23" spans="1:10" x14ac:dyDescent="0.3">
      <c r="A23">
        <v>31</v>
      </c>
      <c r="B23" t="s">
        <v>38</v>
      </c>
      <c r="C23">
        <v>785</v>
      </c>
      <c r="D23" t="s">
        <v>13</v>
      </c>
      <c r="E23">
        <v>0</v>
      </c>
      <c r="F23" t="s">
        <v>39</v>
      </c>
      <c r="G23">
        <v>20260131</v>
      </c>
      <c r="H23">
        <v>0</v>
      </c>
      <c r="I23" s="2">
        <v>408370</v>
      </c>
      <c r="J23">
        <v>202601</v>
      </c>
    </row>
    <row r="24" spans="1:10" x14ac:dyDescent="0.3">
      <c r="A24">
        <v>31</v>
      </c>
      <c r="B24" t="s">
        <v>38</v>
      </c>
      <c r="C24">
        <v>785</v>
      </c>
      <c r="D24" t="s">
        <v>13</v>
      </c>
      <c r="E24">
        <v>0</v>
      </c>
      <c r="F24" t="s">
        <v>40</v>
      </c>
      <c r="G24">
        <v>20260131</v>
      </c>
      <c r="H24">
        <v>0</v>
      </c>
      <c r="I24" s="2">
        <v>57384</v>
      </c>
      <c r="J24">
        <v>202601</v>
      </c>
    </row>
    <row r="25" spans="1:10" x14ac:dyDescent="0.3">
      <c r="A25">
        <v>31</v>
      </c>
      <c r="B25" t="s">
        <v>38</v>
      </c>
      <c r="C25">
        <v>785</v>
      </c>
      <c r="D25" t="s">
        <v>13</v>
      </c>
      <c r="E25">
        <v>0</v>
      </c>
      <c r="F25" t="s">
        <v>41</v>
      </c>
      <c r="G25">
        <v>20260131</v>
      </c>
      <c r="H25">
        <v>0</v>
      </c>
      <c r="I25" s="2">
        <v>69714</v>
      </c>
      <c r="J25">
        <v>202601</v>
      </c>
    </row>
    <row r="26" spans="1:10" x14ac:dyDescent="0.3">
      <c r="A26">
        <v>31</v>
      </c>
      <c r="B26" t="s">
        <v>38</v>
      </c>
      <c r="C26">
        <v>785</v>
      </c>
      <c r="D26" t="s">
        <v>13</v>
      </c>
      <c r="E26">
        <v>0</v>
      </c>
      <c r="F26" t="s">
        <v>42</v>
      </c>
      <c r="G26">
        <v>20260131</v>
      </c>
      <c r="H26">
        <v>0</v>
      </c>
      <c r="I26" s="2">
        <v>69714</v>
      </c>
      <c r="J26">
        <v>202601</v>
      </c>
    </row>
    <row r="27" spans="1:10" x14ac:dyDescent="0.3">
      <c r="A27">
        <v>31</v>
      </c>
      <c r="B27" t="s">
        <v>38</v>
      </c>
      <c r="C27">
        <v>785</v>
      </c>
      <c r="D27" t="s">
        <v>13</v>
      </c>
      <c r="E27">
        <v>0</v>
      </c>
      <c r="F27" t="s">
        <v>43</v>
      </c>
      <c r="G27">
        <v>20260131</v>
      </c>
      <c r="H27">
        <v>0</v>
      </c>
      <c r="I27" s="2">
        <v>269237</v>
      </c>
      <c r="J27">
        <v>202601</v>
      </c>
    </row>
    <row r="28" spans="1:10" x14ac:dyDescent="0.3">
      <c r="A28">
        <v>31</v>
      </c>
      <c r="B28" t="s">
        <v>38</v>
      </c>
      <c r="C28">
        <v>785</v>
      </c>
      <c r="D28" t="s">
        <v>13</v>
      </c>
      <c r="E28">
        <v>0</v>
      </c>
      <c r="F28" t="s">
        <v>44</v>
      </c>
      <c r="G28">
        <v>20260131</v>
      </c>
      <c r="H28">
        <v>0</v>
      </c>
      <c r="I28" s="2">
        <v>331316</v>
      </c>
      <c r="J28">
        <v>202601</v>
      </c>
    </row>
    <row r="29" spans="1:10" x14ac:dyDescent="0.3">
      <c r="A29">
        <v>31</v>
      </c>
      <c r="B29" t="s">
        <v>38</v>
      </c>
      <c r="C29">
        <v>785</v>
      </c>
      <c r="D29" t="s">
        <v>13</v>
      </c>
      <c r="E29">
        <v>0</v>
      </c>
      <c r="F29" t="s">
        <v>45</v>
      </c>
      <c r="G29">
        <v>20260131</v>
      </c>
      <c r="H29">
        <v>0</v>
      </c>
      <c r="I29" s="2">
        <v>41773</v>
      </c>
      <c r="J29">
        <v>202601</v>
      </c>
    </row>
    <row r="30" spans="1:10" x14ac:dyDescent="0.3">
      <c r="A30">
        <v>31</v>
      </c>
      <c r="B30" t="s">
        <v>38</v>
      </c>
      <c r="C30">
        <v>785</v>
      </c>
      <c r="D30" t="s">
        <v>13</v>
      </c>
      <c r="E30">
        <v>0</v>
      </c>
      <c r="F30" t="s">
        <v>46</v>
      </c>
      <c r="G30">
        <v>20260131</v>
      </c>
      <c r="H30">
        <v>0</v>
      </c>
      <c r="I30" s="2">
        <v>25545</v>
      </c>
      <c r="J30">
        <v>202601</v>
      </c>
    </row>
    <row r="31" spans="1:10" x14ac:dyDescent="0.3">
      <c r="A31">
        <v>31</v>
      </c>
      <c r="B31" t="s">
        <v>38</v>
      </c>
      <c r="C31">
        <v>786</v>
      </c>
      <c r="D31" t="s">
        <v>62</v>
      </c>
      <c r="E31">
        <v>0</v>
      </c>
      <c r="F31" t="s">
        <v>63</v>
      </c>
      <c r="G31">
        <v>42</v>
      </c>
      <c r="H31">
        <v>0</v>
      </c>
      <c r="I31" s="2">
        <v>500000</v>
      </c>
      <c r="J31">
        <v>202601</v>
      </c>
    </row>
    <row r="32" spans="1:10" x14ac:dyDescent="0.3">
      <c r="A32">
        <v>31</v>
      </c>
      <c r="B32" t="s">
        <v>38</v>
      </c>
      <c r="C32">
        <v>786</v>
      </c>
      <c r="D32" t="s">
        <v>53</v>
      </c>
      <c r="E32">
        <v>0</v>
      </c>
      <c r="F32" t="s">
        <v>54</v>
      </c>
      <c r="G32">
        <v>17531334</v>
      </c>
      <c r="H32">
        <v>0</v>
      </c>
      <c r="I32" s="2">
        <v>131229</v>
      </c>
      <c r="J32">
        <v>202601</v>
      </c>
    </row>
    <row r="33" spans="1:10" x14ac:dyDescent="0.3">
      <c r="A33">
        <v>31</v>
      </c>
      <c r="B33" t="s">
        <v>38</v>
      </c>
      <c r="C33">
        <v>786</v>
      </c>
      <c r="D33" t="s">
        <v>55</v>
      </c>
      <c r="E33">
        <v>0</v>
      </c>
      <c r="F33" t="s">
        <v>56</v>
      </c>
      <c r="G33">
        <v>25565063</v>
      </c>
      <c r="H33">
        <v>0</v>
      </c>
      <c r="I33" s="2">
        <v>539421</v>
      </c>
      <c r="J33">
        <v>202601</v>
      </c>
    </row>
    <row r="34" spans="1:10" x14ac:dyDescent="0.3">
      <c r="I34" s="2"/>
    </row>
    <row r="35" spans="1:10" x14ac:dyDescent="0.3">
      <c r="A35">
        <v>31</v>
      </c>
      <c r="B35" t="s">
        <v>24</v>
      </c>
      <c r="C35">
        <v>1</v>
      </c>
      <c r="D35" t="s">
        <v>25</v>
      </c>
      <c r="E35">
        <v>2</v>
      </c>
      <c r="F35" t="s">
        <v>26</v>
      </c>
      <c r="G35">
        <v>11</v>
      </c>
      <c r="H35">
        <v>0</v>
      </c>
      <c r="I35">
        <v>0</v>
      </c>
      <c r="J35">
        <v>202601</v>
      </c>
    </row>
    <row r="36" spans="1:10" x14ac:dyDescent="0.3">
      <c r="A36">
        <v>31</v>
      </c>
      <c r="B36" t="s">
        <v>24</v>
      </c>
      <c r="C36">
        <v>1</v>
      </c>
      <c r="D36" t="s">
        <v>25</v>
      </c>
      <c r="E36">
        <v>2</v>
      </c>
      <c r="F36" t="s">
        <v>26</v>
      </c>
      <c r="G36">
        <v>21</v>
      </c>
      <c r="H36">
        <v>0</v>
      </c>
      <c r="I36">
        <v>0</v>
      </c>
      <c r="J36">
        <v>202601</v>
      </c>
    </row>
    <row r="37" spans="1:10" x14ac:dyDescent="0.3">
      <c r="A37">
        <v>31</v>
      </c>
      <c r="B37" t="s">
        <v>24</v>
      </c>
      <c r="C37">
        <v>1</v>
      </c>
      <c r="D37" t="s">
        <v>25</v>
      </c>
      <c r="E37">
        <v>2</v>
      </c>
      <c r="F37" t="s">
        <v>26</v>
      </c>
      <c r="G37">
        <v>31</v>
      </c>
      <c r="H37">
        <v>0</v>
      </c>
      <c r="I37">
        <v>0</v>
      </c>
      <c r="J37">
        <v>202601</v>
      </c>
    </row>
    <row r="38" spans="1:10" x14ac:dyDescent="0.3">
      <c r="A38">
        <v>31</v>
      </c>
      <c r="B38" t="s">
        <v>24</v>
      </c>
      <c r="C38">
        <v>1</v>
      </c>
      <c r="D38" t="s">
        <v>25</v>
      </c>
      <c r="E38">
        <v>2</v>
      </c>
      <c r="F38" t="s">
        <v>26</v>
      </c>
      <c r="G38">
        <v>41</v>
      </c>
      <c r="H38">
        <v>0</v>
      </c>
      <c r="I38">
        <v>0</v>
      </c>
      <c r="J38">
        <v>202601</v>
      </c>
    </row>
    <row r="39" spans="1:10" x14ac:dyDescent="0.3">
      <c r="A39">
        <v>31</v>
      </c>
      <c r="B39" t="s">
        <v>24</v>
      </c>
      <c r="C39">
        <v>1</v>
      </c>
      <c r="D39" t="s">
        <v>25</v>
      </c>
      <c r="E39">
        <v>2</v>
      </c>
      <c r="F39" t="s">
        <v>26</v>
      </c>
      <c r="G39">
        <v>51</v>
      </c>
      <c r="H39">
        <v>5</v>
      </c>
      <c r="I39">
        <v>0</v>
      </c>
      <c r="J39">
        <v>202601</v>
      </c>
    </row>
    <row r="40" spans="1:10" x14ac:dyDescent="0.3">
      <c r="A40">
        <v>31</v>
      </c>
      <c r="B40" t="s">
        <v>24</v>
      </c>
      <c r="C40">
        <v>1</v>
      </c>
      <c r="D40" t="s">
        <v>25</v>
      </c>
      <c r="E40">
        <v>2</v>
      </c>
      <c r="F40" t="s">
        <v>26</v>
      </c>
      <c r="G40">
        <v>61</v>
      </c>
      <c r="H40">
        <v>0</v>
      </c>
      <c r="I40">
        <v>1</v>
      </c>
      <c r="J40">
        <v>202601</v>
      </c>
    </row>
    <row r="41" spans="1:10" x14ac:dyDescent="0.3">
      <c r="A41">
        <v>31</v>
      </c>
      <c r="B41" t="s">
        <v>24</v>
      </c>
      <c r="C41">
        <v>1</v>
      </c>
      <c r="D41" t="s">
        <v>25</v>
      </c>
      <c r="E41">
        <v>2</v>
      </c>
      <c r="F41" t="s">
        <v>26</v>
      </c>
      <c r="G41">
        <v>71</v>
      </c>
      <c r="H41">
        <v>1</v>
      </c>
      <c r="I41">
        <v>0</v>
      </c>
      <c r="J41">
        <v>202601</v>
      </c>
    </row>
    <row r="42" spans="1:10" x14ac:dyDescent="0.3">
      <c r="A42">
        <v>31</v>
      </c>
      <c r="B42" t="s">
        <v>24</v>
      </c>
      <c r="C42">
        <v>1</v>
      </c>
      <c r="D42" t="s">
        <v>25</v>
      </c>
      <c r="E42">
        <v>2</v>
      </c>
      <c r="F42" t="s">
        <v>26</v>
      </c>
      <c r="G42">
        <v>81</v>
      </c>
      <c r="H42">
        <v>0</v>
      </c>
      <c r="I42">
        <v>12</v>
      </c>
      <c r="J42">
        <v>202601</v>
      </c>
    </row>
    <row r="43" spans="1:10" x14ac:dyDescent="0.3">
      <c r="A43">
        <v>31</v>
      </c>
      <c r="B43" t="s">
        <v>24</v>
      </c>
      <c r="C43">
        <v>1</v>
      </c>
      <c r="D43" t="s">
        <v>25</v>
      </c>
      <c r="E43">
        <v>2</v>
      </c>
      <c r="F43" t="s">
        <v>26</v>
      </c>
      <c r="G43">
        <v>91</v>
      </c>
      <c r="H43">
        <v>0</v>
      </c>
      <c r="I43">
        <v>7</v>
      </c>
      <c r="J43">
        <v>202601</v>
      </c>
    </row>
    <row r="44" spans="1:10" x14ac:dyDescent="0.3">
      <c r="A44">
        <v>31</v>
      </c>
      <c r="B44" t="s">
        <v>24</v>
      </c>
      <c r="C44">
        <v>1</v>
      </c>
      <c r="D44" t="s">
        <v>25</v>
      </c>
      <c r="E44">
        <v>2</v>
      </c>
      <c r="F44" t="s">
        <v>26</v>
      </c>
      <c r="G44">
        <v>101</v>
      </c>
      <c r="H44">
        <v>0</v>
      </c>
      <c r="I44">
        <v>0</v>
      </c>
      <c r="J44">
        <v>202601</v>
      </c>
    </row>
    <row r="45" spans="1:10" x14ac:dyDescent="0.3">
      <c r="A45">
        <v>31</v>
      </c>
      <c r="B45" t="s">
        <v>24</v>
      </c>
      <c r="C45">
        <v>1</v>
      </c>
      <c r="D45" t="s">
        <v>25</v>
      </c>
      <c r="E45">
        <v>2</v>
      </c>
      <c r="F45" t="s">
        <v>26</v>
      </c>
      <c r="G45">
        <v>111</v>
      </c>
      <c r="H45">
        <v>0</v>
      </c>
      <c r="I45">
        <v>0</v>
      </c>
      <c r="J45">
        <v>202601</v>
      </c>
    </row>
    <row r="46" spans="1:10" x14ac:dyDescent="0.3">
      <c r="A46">
        <v>31</v>
      </c>
      <c r="B46" t="s">
        <v>24</v>
      </c>
      <c r="C46">
        <v>1</v>
      </c>
      <c r="D46" t="s">
        <v>25</v>
      </c>
      <c r="E46">
        <v>2</v>
      </c>
      <c r="F46" t="s">
        <v>26</v>
      </c>
      <c r="G46">
        <v>121</v>
      </c>
      <c r="H46">
        <v>0</v>
      </c>
      <c r="I46">
        <v>5</v>
      </c>
      <c r="J46">
        <v>202601</v>
      </c>
    </row>
    <row r="47" spans="1:10" x14ac:dyDescent="0.3">
      <c r="A47">
        <v>31</v>
      </c>
      <c r="B47" t="s">
        <v>24</v>
      </c>
      <c r="C47">
        <v>1</v>
      </c>
      <c r="D47" t="s">
        <v>25</v>
      </c>
      <c r="E47">
        <v>2</v>
      </c>
      <c r="F47" t="s">
        <v>26</v>
      </c>
      <c r="G47">
        <v>131</v>
      </c>
      <c r="H47">
        <v>0</v>
      </c>
      <c r="I47">
        <v>9</v>
      </c>
      <c r="J47">
        <v>202601</v>
      </c>
    </row>
    <row r="48" spans="1:10" x14ac:dyDescent="0.3">
      <c r="A48">
        <v>31</v>
      </c>
      <c r="B48" t="s">
        <v>24</v>
      </c>
      <c r="C48">
        <v>1</v>
      </c>
      <c r="D48" t="s">
        <v>25</v>
      </c>
      <c r="E48">
        <v>2</v>
      </c>
      <c r="F48" t="s">
        <v>26</v>
      </c>
      <c r="G48">
        <v>141</v>
      </c>
      <c r="H48">
        <v>0</v>
      </c>
      <c r="I48">
        <v>15</v>
      </c>
      <c r="J48">
        <v>202601</v>
      </c>
    </row>
    <row r="49" spans="1:10" x14ac:dyDescent="0.3">
      <c r="A49">
        <v>31</v>
      </c>
      <c r="B49" t="s">
        <v>24</v>
      </c>
      <c r="C49">
        <v>1</v>
      </c>
      <c r="D49" t="s">
        <v>25</v>
      </c>
      <c r="E49">
        <v>2</v>
      </c>
      <c r="F49" t="s">
        <v>26</v>
      </c>
      <c r="G49">
        <v>151</v>
      </c>
      <c r="H49">
        <v>5</v>
      </c>
      <c r="I49">
        <v>0</v>
      </c>
      <c r="J49">
        <v>202601</v>
      </c>
    </row>
    <row r="50" spans="1:10" x14ac:dyDescent="0.3">
      <c r="A50">
        <v>31</v>
      </c>
      <c r="B50" t="s">
        <v>24</v>
      </c>
      <c r="C50">
        <v>1</v>
      </c>
      <c r="D50" t="s">
        <v>25</v>
      </c>
      <c r="E50">
        <v>2</v>
      </c>
      <c r="F50" t="s">
        <v>26</v>
      </c>
      <c r="G50">
        <v>161</v>
      </c>
      <c r="H50">
        <v>0</v>
      </c>
      <c r="I50">
        <v>3</v>
      </c>
      <c r="J50">
        <v>202601</v>
      </c>
    </row>
    <row r="51" spans="1:10" x14ac:dyDescent="0.3">
      <c r="A51">
        <v>31</v>
      </c>
      <c r="B51" t="s">
        <v>24</v>
      </c>
      <c r="C51">
        <v>1</v>
      </c>
      <c r="D51" t="s">
        <v>25</v>
      </c>
      <c r="E51">
        <v>2</v>
      </c>
      <c r="F51" t="s">
        <v>26</v>
      </c>
      <c r="G51">
        <v>171</v>
      </c>
      <c r="H51">
        <v>0</v>
      </c>
      <c r="I51">
        <v>0</v>
      </c>
      <c r="J51">
        <v>202601</v>
      </c>
    </row>
    <row r="52" spans="1:10" x14ac:dyDescent="0.3">
      <c r="A52">
        <v>31</v>
      </c>
      <c r="B52" t="s">
        <v>24</v>
      </c>
      <c r="C52">
        <v>1</v>
      </c>
      <c r="D52" t="s">
        <v>25</v>
      </c>
      <c r="E52">
        <v>2</v>
      </c>
      <c r="F52" t="s">
        <v>26</v>
      </c>
      <c r="G52">
        <v>181</v>
      </c>
      <c r="H52">
        <v>0</v>
      </c>
      <c r="I52">
        <v>0</v>
      </c>
      <c r="J52">
        <v>202601</v>
      </c>
    </row>
    <row r="53" spans="1:10" x14ac:dyDescent="0.3">
      <c r="A53">
        <v>31</v>
      </c>
      <c r="B53" t="s">
        <v>24</v>
      </c>
      <c r="C53">
        <v>1</v>
      </c>
      <c r="D53" t="s">
        <v>25</v>
      </c>
      <c r="E53">
        <v>2</v>
      </c>
      <c r="F53" t="s">
        <v>26</v>
      </c>
      <c r="G53">
        <v>191</v>
      </c>
      <c r="H53">
        <v>0</v>
      </c>
      <c r="I53">
        <v>14</v>
      </c>
      <c r="J53">
        <v>202601</v>
      </c>
    </row>
    <row r="54" spans="1:10" x14ac:dyDescent="0.3">
      <c r="A54">
        <v>31</v>
      </c>
      <c r="B54" t="s">
        <v>24</v>
      </c>
      <c r="C54">
        <v>1</v>
      </c>
      <c r="D54" t="s">
        <v>25</v>
      </c>
      <c r="E54">
        <v>2</v>
      </c>
      <c r="F54" t="s">
        <v>26</v>
      </c>
      <c r="G54">
        <v>201</v>
      </c>
      <c r="H54">
        <v>0</v>
      </c>
      <c r="I54">
        <v>20</v>
      </c>
      <c r="J54">
        <v>202601</v>
      </c>
    </row>
    <row r="55" spans="1:10" x14ac:dyDescent="0.3">
      <c r="A55">
        <v>31</v>
      </c>
      <c r="B55" t="s">
        <v>24</v>
      </c>
      <c r="C55">
        <v>1</v>
      </c>
      <c r="D55" t="s">
        <v>25</v>
      </c>
      <c r="E55">
        <v>2</v>
      </c>
      <c r="F55" t="s">
        <v>26</v>
      </c>
      <c r="G55">
        <v>211</v>
      </c>
      <c r="H55">
        <v>8</v>
      </c>
      <c r="I55">
        <v>0</v>
      </c>
      <c r="J55">
        <v>202601</v>
      </c>
    </row>
    <row r="56" spans="1:10" x14ac:dyDescent="0.3">
      <c r="A56">
        <v>31</v>
      </c>
      <c r="B56" t="s">
        <v>24</v>
      </c>
      <c r="C56">
        <v>1</v>
      </c>
      <c r="D56" t="s">
        <v>25</v>
      </c>
      <c r="E56">
        <v>2</v>
      </c>
      <c r="F56" t="s">
        <v>26</v>
      </c>
      <c r="G56">
        <v>221</v>
      </c>
      <c r="H56">
        <v>0</v>
      </c>
      <c r="I56">
        <v>10</v>
      </c>
      <c r="J56">
        <v>202601</v>
      </c>
    </row>
    <row r="57" spans="1:10" x14ac:dyDescent="0.3">
      <c r="A57">
        <v>31</v>
      </c>
      <c r="B57" t="s">
        <v>24</v>
      </c>
      <c r="C57">
        <v>1</v>
      </c>
      <c r="D57" t="s">
        <v>25</v>
      </c>
      <c r="E57">
        <v>2</v>
      </c>
      <c r="F57" t="s">
        <v>26</v>
      </c>
      <c r="G57">
        <v>231</v>
      </c>
      <c r="H57">
        <v>6</v>
      </c>
      <c r="I57">
        <v>0</v>
      </c>
      <c r="J57">
        <v>202601</v>
      </c>
    </row>
    <row r="58" spans="1:10" x14ac:dyDescent="0.3">
      <c r="A58">
        <v>31</v>
      </c>
      <c r="B58" t="s">
        <v>24</v>
      </c>
      <c r="C58">
        <v>1</v>
      </c>
      <c r="D58" t="s">
        <v>25</v>
      </c>
      <c r="E58">
        <v>2</v>
      </c>
      <c r="F58" t="s">
        <v>26</v>
      </c>
      <c r="G58">
        <v>241</v>
      </c>
      <c r="H58">
        <v>0</v>
      </c>
      <c r="I58">
        <v>0</v>
      </c>
      <c r="J58">
        <v>202601</v>
      </c>
    </row>
    <row r="59" spans="1:10" x14ac:dyDescent="0.3">
      <c r="A59">
        <v>31</v>
      </c>
      <c r="B59" t="s">
        <v>24</v>
      </c>
      <c r="C59">
        <v>1</v>
      </c>
      <c r="D59" t="s">
        <v>25</v>
      </c>
      <c r="E59">
        <v>2</v>
      </c>
      <c r="F59" t="s">
        <v>26</v>
      </c>
      <c r="G59">
        <v>251</v>
      </c>
      <c r="H59">
        <v>0</v>
      </c>
      <c r="I59">
        <v>0</v>
      </c>
      <c r="J59">
        <v>202601</v>
      </c>
    </row>
    <row r="60" spans="1:10" x14ac:dyDescent="0.3">
      <c r="A60">
        <v>31</v>
      </c>
      <c r="B60" t="s">
        <v>24</v>
      </c>
      <c r="C60">
        <v>1</v>
      </c>
      <c r="D60" t="s">
        <v>25</v>
      </c>
      <c r="E60">
        <v>2</v>
      </c>
      <c r="F60" t="s">
        <v>26</v>
      </c>
      <c r="G60">
        <v>261</v>
      </c>
      <c r="H60">
        <v>0</v>
      </c>
      <c r="I60">
        <v>5</v>
      </c>
      <c r="J60">
        <v>202601</v>
      </c>
    </row>
    <row r="61" spans="1:10" x14ac:dyDescent="0.3">
      <c r="A61">
        <v>31</v>
      </c>
      <c r="B61" t="s">
        <v>24</v>
      </c>
      <c r="C61">
        <v>1</v>
      </c>
      <c r="D61" t="s">
        <v>25</v>
      </c>
      <c r="E61">
        <v>2</v>
      </c>
      <c r="F61" t="s">
        <v>26</v>
      </c>
      <c r="G61">
        <v>271</v>
      </c>
      <c r="H61">
        <v>0</v>
      </c>
      <c r="I61">
        <v>12</v>
      </c>
      <c r="J61">
        <v>202601</v>
      </c>
    </row>
    <row r="62" spans="1:10" x14ac:dyDescent="0.3">
      <c r="A62">
        <v>31</v>
      </c>
      <c r="B62" t="s">
        <v>24</v>
      </c>
      <c r="C62">
        <v>1</v>
      </c>
      <c r="D62" t="s">
        <v>25</v>
      </c>
      <c r="E62">
        <v>2</v>
      </c>
      <c r="F62" t="s">
        <v>26</v>
      </c>
      <c r="G62">
        <v>281</v>
      </c>
      <c r="H62">
        <v>12</v>
      </c>
      <c r="I62">
        <v>0</v>
      </c>
      <c r="J62">
        <v>202601</v>
      </c>
    </row>
    <row r="63" spans="1:10" x14ac:dyDescent="0.3">
      <c r="A63">
        <v>31</v>
      </c>
      <c r="B63" t="s">
        <v>24</v>
      </c>
      <c r="C63">
        <v>1</v>
      </c>
      <c r="D63" t="s">
        <v>25</v>
      </c>
      <c r="E63">
        <v>2</v>
      </c>
      <c r="F63" t="s">
        <v>26</v>
      </c>
      <c r="G63">
        <v>291</v>
      </c>
      <c r="H63">
        <v>0</v>
      </c>
      <c r="I63">
        <v>4</v>
      </c>
      <c r="J63">
        <v>202601</v>
      </c>
    </row>
    <row r="64" spans="1:10" x14ac:dyDescent="0.3">
      <c r="A64">
        <v>31</v>
      </c>
      <c r="B64" t="s">
        <v>24</v>
      </c>
      <c r="C64">
        <v>1</v>
      </c>
      <c r="D64" t="s">
        <v>25</v>
      </c>
      <c r="E64">
        <v>2</v>
      </c>
      <c r="F64" t="s">
        <v>26</v>
      </c>
      <c r="G64">
        <v>301</v>
      </c>
      <c r="H64">
        <v>2</v>
      </c>
      <c r="I64">
        <v>0</v>
      </c>
      <c r="J64">
        <v>202601</v>
      </c>
    </row>
    <row r="65" spans="1:10" x14ac:dyDescent="0.3">
      <c r="A65">
        <v>31</v>
      </c>
      <c r="B65" t="s">
        <v>24</v>
      </c>
      <c r="C65">
        <v>1</v>
      </c>
      <c r="D65" t="s">
        <v>25</v>
      </c>
      <c r="E65">
        <v>2</v>
      </c>
      <c r="F65" t="s">
        <v>26</v>
      </c>
      <c r="G65">
        <v>311</v>
      </c>
      <c r="H65">
        <v>0</v>
      </c>
      <c r="I65">
        <v>0</v>
      </c>
      <c r="J65">
        <v>202601</v>
      </c>
    </row>
    <row r="66" spans="1:10" x14ac:dyDescent="0.3">
      <c r="A66">
        <v>31</v>
      </c>
      <c r="B66" t="s">
        <v>27</v>
      </c>
      <c r="C66">
        <v>21</v>
      </c>
      <c r="D66" t="s">
        <v>25</v>
      </c>
      <c r="E66">
        <v>0</v>
      </c>
      <c r="F66" t="s">
        <v>32</v>
      </c>
      <c r="G66">
        <v>57003685</v>
      </c>
      <c r="H66" s="2">
        <v>1653696</v>
      </c>
      <c r="I66">
        <v>0</v>
      </c>
      <c r="J66">
        <v>202601</v>
      </c>
    </row>
    <row r="67" spans="1:10" x14ac:dyDescent="0.3">
      <c r="A67">
        <v>31</v>
      </c>
      <c r="B67" t="s">
        <v>38</v>
      </c>
      <c r="C67">
        <v>786</v>
      </c>
      <c r="D67" t="s">
        <v>25</v>
      </c>
      <c r="E67">
        <v>0</v>
      </c>
      <c r="F67" t="s">
        <v>64</v>
      </c>
      <c r="G67">
        <v>57187637</v>
      </c>
      <c r="H67">
        <v>0</v>
      </c>
      <c r="I67" s="2">
        <v>855191</v>
      </c>
      <c r="J67">
        <v>202601</v>
      </c>
    </row>
    <row r="68" spans="1:10" x14ac:dyDescent="0.3">
      <c r="H68">
        <f>SUM(H35:H67)</f>
        <v>1653735</v>
      </c>
      <c r="I68">
        <f>SUM(I35:I67)</f>
        <v>855308</v>
      </c>
      <c r="J68">
        <f>H68-I68</f>
        <v>798427</v>
      </c>
    </row>
    <row r="69" spans="1:10" x14ac:dyDescent="0.3">
      <c r="A69">
        <v>31</v>
      </c>
      <c r="B69" t="s">
        <v>38</v>
      </c>
      <c r="C69">
        <v>786</v>
      </c>
      <c r="D69" t="s">
        <v>51</v>
      </c>
      <c r="E69">
        <v>0</v>
      </c>
      <c r="F69" t="s">
        <v>52</v>
      </c>
      <c r="G69">
        <v>369481</v>
      </c>
      <c r="H69">
        <v>0</v>
      </c>
      <c r="I69" s="2">
        <v>55000</v>
      </c>
      <c r="J69">
        <v>202601</v>
      </c>
    </row>
    <row r="70" spans="1:10" x14ac:dyDescent="0.3">
      <c r="A70">
        <v>31</v>
      </c>
      <c r="B70" t="s">
        <v>38</v>
      </c>
      <c r="C70">
        <v>797</v>
      </c>
      <c r="D70" t="s">
        <v>66</v>
      </c>
      <c r="E70">
        <v>0</v>
      </c>
      <c r="F70" t="s">
        <v>67</v>
      </c>
      <c r="G70">
        <v>31012026</v>
      </c>
      <c r="H70">
        <v>0</v>
      </c>
      <c r="I70" s="2">
        <v>1379880</v>
      </c>
      <c r="J70">
        <v>202601</v>
      </c>
    </row>
    <row r="71" spans="1:10" x14ac:dyDescent="0.3">
      <c r="A71">
        <v>31</v>
      </c>
      <c r="B71" t="s">
        <v>38</v>
      </c>
      <c r="C71">
        <v>797</v>
      </c>
      <c r="D71" t="s">
        <v>66</v>
      </c>
      <c r="E71">
        <v>0</v>
      </c>
      <c r="F71" t="s">
        <v>68</v>
      </c>
      <c r="G71">
        <v>31012026</v>
      </c>
      <c r="H71" s="2">
        <v>1379880</v>
      </c>
      <c r="I71">
        <v>0</v>
      </c>
      <c r="J71">
        <v>202601</v>
      </c>
    </row>
    <row r="72" spans="1:10" x14ac:dyDescent="0.3">
      <c r="A72">
        <v>31</v>
      </c>
      <c r="B72" t="s">
        <v>38</v>
      </c>
      <c r="C72">
        <v>786</v>
      </c>
      <c r="D72" t="s">
        <v>47</v>
      </c>
      <c r="E72">
        <v>0</v>
      </c>
      <c r="F72" t="s">
        <v>48</v>
      </c>
      <c r="G72">
        <v>3992187</v>
      </c>
      <c r="H72">
        <v>0</v>
      </c>
      <c r="I72" s="2">
        <v>309353</v>
      </c>
      <c r="J72">
        <v>202601</v>
      </c>
    </row>
    <row r="73" spans="1:10" x14ac:dyDescent="0.3">
      <c r="A73">
        <v>31</v>
      </c>
      <c r="B73" t="s">
        <v>38</v>
      </c>
      <c r="C73">
        <v>786</v>
      </c>
      <c r="D73" t="s">
        <v>47</v>
      </c>
      <c r="E73">
        <v>0</v>
      </c>
      <c r="F73" t="s">
        <v>48</v>
      </c>
      <c r="G73">
        <v>3992438</v>
      </c>
      <c r="H73">
        <v>0</v>
      </c>
      <c r="I73" s="2">
        <v>240608</v>
      </c>
      <c r="J73">
        <v>202601</v>
      </c>
    </row>
    <row r="74" spans="1:10" x14ac:dyDescent="0.3">
      <c r="A74">
        <v>1</v>
      </c>
      <c r="B74" t="s">
        <v>10</v>
      </c>
      <c r="C74">
        <v>1</v>
      </c>
      <c r="E74">
        <v>0</v>
      </c>
      <c r="F74" t="s">
        <v>11</v>
      </c>
      <c r="G74">
        <v>0</v>
      </c>
      <c r="H74">
        <v>0</v>
      </c>
      <c r="I74" s="2">
        <v>125973366</v>
      </c>
      <c r="J74">
        <v>202601</v>
      </c>
    </row>
    <row r="75" spans="1:10" x14ac:dyDescent="0.3">
      <c r="F75" t="s">
        <v>69</v>
      </c>
      <c r="H75" s="2">
        <v>26599403</v>
      </c>
      <c r="I75" s="2">
        <v>134174766</v>
      </c>
    </row>
  </sheetData>
  <sortState xmlns:xlrd2="http://schemas.microsoft.com/office/spreadsheetml/2017/richdata2" ref="A2:J78">
    <sortCondition ref="D2:D78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F2D6-D4DF-4836-AFB4-95B708845494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E359-4A79-416B-A065-4AAC37717026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65B275-C9DE-421B-A95D-C18527DA56CF}"/>
</file>

<file path=customXml/itemProps2.xml><?xml version="1.0" encoding="utf-8"?>
<ds:datastoreItem xmlns:ds="http://schemas.openxmlformats.org/officeDocument/2006/customXml" ds:itemID="{A5011CDA-F8A6-473A-AB13-8F5CFE6D1B10}"/>
</file>

<file path=customXml/itemProps3.xml><?xml version="1.0" encoding="utf-8"?>
<ds:datastoreItem xmlns:ds="http://schemas.openxmlformats.org/officeDocument/2006/customXml" ds:itemID="{4E027D97-51E9-4F08-B334-AFE5ACA87F3A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2026-02-16T03:13:35Z</dcterms:created>
  <dcterms:modified xsi:type="dcterms:W3CDTF">2026-02-16T03:39:09Z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