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comments11.xml" ContentType="application/vnd.openxmlformats-officedocument.spreadsheetml.comments+xml"/>
  <Override PartName="/xl/drawings/drawing14.xml" ContentType="application/vnd.openxmlformats-officedocument.drawing+xml"/>
  <Override PartName="/xl/comments12.xml" ContentType="application/vnd.openxmlformats-officedocument.spreadsheetml.comments+xml"/>
  <Override PartName="/xl/drawings/drawing15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0" documentId="11_7D8FEDC51ED0E6AF13F7FCB4734E4BCF93378D3E" xr6:coauthVersionLast="47" xr6:coauthVersionMax="47" xr10:uidLastSave="{00000000-0000-0000-0000-000000000000}"/>
  <bookViews>
    <workbookView xWindow="-107" yWindow="-107" windowWidth="20847" windowHeight="11111" firstSheet="10" activeTab="14" xr2:uid="{00000000-000D-0000-FFFF-FFFF00000000}"/>
  </bookViews>
  <sheets>
    <sheet name="OCT" sheetId="2" r:id="rId1"/>
    <sheet name="NOV" sheetId="1" r:id="rId2"/>
    <sheet name="DIC" sheetId="3" r:id="rId3"/>
    <sheet name="historico" sheetId="10" state="hidden" r:id="rId4"/>
    <sheet name="ENE 25" sheetId="4" r:id="rId5"/>
    <sheet name="FEB 25" sheetId="5" r:id="rId6"/>
    <sheet name="MAR 25" sheetId="6" r:id="rId7"/>
    <sheet name="ABR 25" sheetId="7" r:id="rId8"/>
    <sheet name="MAY 25" sheetId="8" r:id="rId9"/>
    <sheet name="JUN 25" sheetId="9" r:id="rId10"/>
    <sheet name="JUL 25" sheetId="14" r:id="rId11"/>
    <sheet name="OCT 25" sheetId="13" r:id="rId12"/>
    <sheet name="NOV 25" sheetId="15" r:id="rId13"/>
    <sheet name="DIC 25 " sheetId="16" r:id="rId14"/>
    <sheet name="ENE 26" sheetId="17" r:id="rId15"/>
    <sheet name="Hoja2" sheetId="18" r:id="rId16"/>
    <sheet name="Hoja3" sheetId="19" r:id="rId17"/>
    <sheet name="Hoja4" sheetId="20" r:id="rId18"/>
    <sheet name="Hoja5" sheetId="21" r:id="rId19"/>
  </sheets>
  <definedNames>
    <definedName name="_xlnm.Print_Area" localSheetId="7">'ABR 25'!$A$1:$H$28</definedName>
    <definedName name="_xlnm.Print_Area" localSheetId="2">DIC!$A$1:$H$28</definedName>
    <definedName name="_xlnm.Print_Area" localSheetId="13">'DIC 25 '!$A$1:$H$28</definedName>
    <definedName name="_xlnm.Print_Area" localSheetId="4">'ENE 25'!$A$1:$H$28</definedName>
    <definedName name="_xlnm.Print_Area" localSheetId="5">'FEB 25'!$A$1:$H$28</definedName>
    <definedName name="_xlnm.Print_Area" localSheetId="10">'JUL 25'!$A$1:$H$28</definedName>
    <definedName name="_xlnm.Print_Area" localSheetId="9">'JUN 25'!$A$1:$H$28</definedName>
    <definedName name="_xlnm.Print_Area" localSheetId="6">'MAR 25'!$A$1:$H$28</definedName>
    <definedName name="_xlnm.Print_Area" localSheetId="8">'MAY 25'!$A$1:$H$28</definedName>
    <definedName name="_xlnm.Print_Area" localSheetId="1">NOV!$A$1:$H$28</definedName>
    <definedName name="_xlnm.Print_Area" localSheetId="12">'NOV 25'!$A$1:$H$28</definedName>
    <definedName name="_xlnm.Print_Area" localSheetId="11">'OCT 25'!$A$1:$H$28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7" l="1"/>
  <c r="E8" i="17"/>
  <c r="E7" i="17"/>
  <c r="H8" i="17" s="1"/>
  <c r="G27" i="16" l="1"/>
  <c r="E8" i="16" s="1"/>
  <c r="E7" i="16"/>
  <c r="H8" i="16" l="1"/>
  <c r="G27" i="15"/>
  <c r="E8" i="15" s="1"/>
  <c r="E7" i="15"/>
  <c r="H8" i="15" l="1"/>
  <c r="G27" i="14"/>
  <c r="E7" i="14"/>
  <c r="H8" i="14" s="1"/>
  <c r="G27" i="13" l="1"/>
  <c r="E8" i="13" s="1"/>
  <c r="E7" i="13"/>
  <c r="H8" i="13" l="1"/>
  <c r="F35" i="10" l="1"/>
  <c r="C34" i="10"/>
  <c r="D34" i="10" s="1"/>
  <c r="D5" i="10"/>
  <c r="B20" i="10"/>
  <c r="E5" i="10"/>
  <c r="D12" i="10"/>
  <c r="D11" i="10"/>
  <c r="D9" i="10"/>
  <c r="D8" i="10"/>
  <c r="D7" i="10"/>
  <c r="C11" i="10"/>
  <c r="B10" i="10"/>
  <c r="D10" i="10" s="1"/>
  <c r="C6" i="10"/>
  <c r="D6" i="10" s="1"/>
  <c r="G27" i="9"/>
  <c r="E8" i="9" s="1"/>
  <c r="G27" i="8"/>
  <c r="E8" i="8" s="1"/>
  <c r="G27" i="7"/>
  <c r="E8" i="7" s="1"/>
  <c r="G27" i="6"/>
  <c r="E8" i="6" s="1"/>
  <c r="G27" i="5"/>
  <c r="E8" i="5" s="1"/>
  <c r="G27" i="4"/>
  <c r="E8" i="4" s="1"/>
  <c r="G27" i="3"/>
  <c r="E8" i="3" s="1"/>
  <c r="G16" i="2"/>
  <c r="E8" i="2" s="1"/>
  <c r="E7" i="2"/>
  <c r="G27" i="1"/>
  <c r="E8" i="1" s="1"/>
  <c r="E6" i="10" l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34" i="10"/>
  <c r="H8" i="2"/>
  <c r="E4" i="1" s="1"/>
  <c r="E7" i="1" s="1"/>
  <c r="H8" i="1" s="1"/>
  <c r="E4" i="3" s="1"/>
  <c r="E7" i="3" s="1"/>
  <c r="H8" i="3" s="1"/>
  <c r="E4" i="4" s="1"/>
  <c r="E7" i="4" s="1"/>
  <c r="H8" i="4" s="1"/>
  <c r="E4" i="5" s="1"/>
  <c r="E7" i="5" s="1"/>
  <c r="H8" i="5" s="1"/>
  <c r="E4" i="6" s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  <comment ref="E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ACA SE PUEDE AGREGAR CUANDO RAUL DEPOSITA PAR AUNIFORMES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  <comment ref="E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quizas falta incluir algo por uniformes para que fondo fijo llegue a 100 mil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sharedStrings.xml><?xml version="1.0" encoding="utf-8"?>
<sst xmlns="http://schemas.openxmlformats.org/spreadsheetml/2006/main" count="508" uniqueCount="94">
  <si>
    <t xml:space="preserve">RENDICION CAJA CHICA  </t>
  </si>
  <si>
    <t>COSTANERA CENTER</t>
  </si>
  <si>
    <t>MES</t>
  </si>
  <si>
    <t>NOVIEMBRE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</si>
  <si>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</si>
  <si>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</si>
  <si>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</si>
  <si>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</si>
  <si>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</si>
  <si>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</si>
  <si>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</si>
  <si>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</si>
  <si>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</si>
  <si>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</si>
  <si>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</si>
  <si>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</si>
  <si>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</si>
  <si>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170</t>
  </si>
  <si>
    <t>Boleta de venta</t>
  </si>
  <si>
    <t>77093957-7</t>
  </si>
  <si>
    <t xml:space="preserve">RECARGA AGUA 20LTS </t>
  </si>
  <si>
    <t>80478200-1</t>
  </si>
  <si>
    <t>ARCHIVADOR</t>
  </si>
  <si>
    <t>81201000-k</t>
  </si>
  <si>
    <t>BOLSAS PARA BASURA</t>
  </si>
  <si>
    <t>76568660-1</t>
  </si>
  <si>
    <t>TORNILLOS+TAPA TORNILLOS</t>
  </si>
  <si>
    <t>TOTALES</t>
  </si>
  <si>
    <t>OCTUBRE</t>
  </si>
  <si>
    <t>Boleta Venta</t>
  </si>
  <si>
    <t>77.093.957-7</t>
  </si>
  <si>
    <t>RECARGA AGUA POTABLE</t>
  </si>
  <si>
    <t>77.093.957-8</t>
  </si>
  <si>
    <t>Boleta Honorarios</t>
  </si>
  <si>
    <t>5.666.822-6</t>
  </si>
  <si>
    <t>LIMPIEZA DE VIDIRIOS</t>
  </si>
  <si>
    <t>DICIEMBRE</t>
  </si>
  <si>
    <t>ENERO</t>
  </si>
  <si>
    <t>77.115.570-7</t>
  </si>
  <si>
    <t>Desayuno Recepción de Mercaderia</t>
  </si>
  <si>
    <t>Recarga Agua 20Lts</t>
  </si>
  <si>
    <t>39.193.934</t>
  </si>
  <si>
    <t>76.076.630-5</t>
  </si>
  <si>
    <t>38.453.583</t>
  </si>
  <si>
    <t>92.642.000-3</t>
  </si>
  <si>
    <t>Cintas (ventas para regalo)</t>
  </si>
  <si>
    <t>Desayuno Recepción de Mercaderia (4 personas)(llenado)</t>
  </si>
  <si>
    <t>81.201.000-k</t>
  </si>
  <si>
    <t>RESPONSABLE FONDO FIJO</t>
  </si>
  <si>
    <t>Maria Fernanda Pérez</t>
  </si>
  <si>
    <t>FEBRERO</t>
  </si>
  <si>
    <t>MARZO</t>
  </si>
  <si>
    <t>ABRIL</t>
  </si>
  <si>
    <t>MAYO</t>
  </si>
  <si>
    <t>JUNIO</t>
  </si>
  <si>
    <t>Cinta para embalaje/Cinta adhesiva</t>
  </si>
  <si>
    <t>Corchetes</t>
  </si>
  <si>
    <t>76.568.660-1</t>
  </si>
  <si>
    <t>Terminales para conexión(reparación equipo de sonido)</t>
  </si>
  <si>
    <t>SALDOS MES</t>
  </si>
  <si>
    <t>JULIO</t>
  </si>
  <si>
    <t>AGOSTO</t>
  </si>
  <si>
    <t>SEPTIEMBRE</t>
  </si>
  <si>
    <t>DEBITO/PAGO RAUL</t>
  </si>
  <si>
    <t>CREDITOS/REND LOCAL</t>
  </si>
  <si>
    <t>ACUMULADO</t>
  </si>
  <si>
    <t>OBSERVACIONES: NO SE GENRERARON GASTOS EN ESTE MES.</t>
  </si>
  <si>
    <t>05/032025</t>
  </si>
  <si>
    <t>RECARGA CON BOTELLÓN</t>
  </si>
  <si>
    <t>81.201.000-K</t>
  </si>
  <si>
    <t>TORTA AGASAJO DIA DE LA MUJER</t>
  </si>
  <si>
    <t>96.811.130-2</t>
  </si>
  <si>
    <t>DESAYUNO LLENADO DE CANAL AM</t>
  </si>
  <si>
    <t>76076630-5</t>
  </si>
  <si>
    <t>OBSERVACIONES: NINGUNA</t>
  </si>
  <si>
    <t>BOLETA DE VENTA</t>
  </si>
  <si>
    <t xml:space="preserve">REUNIÓN INICIO DE MES </t>
  </si>
  <si>
    <t>80.478.200-1</t>
  </si>
  <si>
    <t>RESMA HOJAS BLANCAS</t>
  </si>
  <si>
    <t>DESAYUNO RECEPCIÓN LLENADO</t>
  </si>
  <si>
    <t>PITILLA(RAFIA OVILLO)</t>
  </si>
  <si>
    <t xml:space="preserve"> ARTICULOS DE ASEO</t>
  </si>
  <si>
    <t>PLUMON PIZARRA</t>
  </si>
  <si>
    <t>ADHESIVO LA GOTITA</t>
  </si>
  <si>
    <t>MARCADOR SHARPIE</t>
  </si>
  <si>
    <t>RECARGA AGUA</t>
  </si>
  <si>
    <t>5.666.822-5</t>
  </si>
  <si>
    <t>LIMPIEZA DE FACHADA Y SLAON DE VENTAS</t>
  </si>
  <si>
    <t>RAFIA OVILLO 800GR</t>
  </si>
  <si>
    <t>LIMPIEZA DE FACHADA Y SALÓN DE VENTAS</t>
  </si>
  <si>
    <t>PACK TINTAS PARA IMPRESORA BTCMYBK 4</t>
  </si>
  <si>
    <t>boleta venta</t>
  </si>
  <si>
    <t>INSUMOS REUNIÓN INICIO AÑO</t>
  </si>
  <si>
    <t>76.847.631-4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</si>
</sst>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i/>
      <sz val="12"/>
      <name val="Segoe UI"/>
      <family val="2"/>
      <charset val="1"/>
    </font>
    <font>
      <b/>
      <i/>
      <sz val="10"/>
      <name val="Segoe UI"/>
      <family val="2"/>
    </font>
    <font>
      <b/>
      <i/>
      <sz val="12"/>
      <name val="Segoe UI"/>
      <family val="2"/>
      <charset val="1"/>
    </font>
    <font>
      <b/>
      <i/>
      <sz val="12"/>
      <color rgb="FF0070C0"/>
      <name val="Segoe UI"/>
      <family val="2"/>
      <charset val="1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  <charset val="1"/>
    </font>
    <font>
      <b/>
      <i/>
      <sz val="11"/>
      <color rgb="FFFF0000"/>
      <name val="Segoe UI"/>
      <family val="2"/>
    </font>
    <font>
      <i/>
      <sz val="16"/>
      <name val="Segoe UI"/>
      <family val="2"/>
      <charset val="1"/>
    </font>
    <font>
      <b/>
      <i/>
      <sz val="10"/>
      <name val="Segoe UI"/>
      <family val="2"/>
      <charset val="1"/>
    </font>
    <font>
      <sz val="12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9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0"/>
      <color rgb="FFC00000"/>
      <name val="Segoe UI"/>
      <family val="2"/>
    </font>
    <font>
      <sz val="11"/>
      <color rgb="FF2424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49" fontId="2" fillId="2" borderId="0" xfId="0" applyNumberFormat="1" applyFont="1" applyFill="1"/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right" vertical="center"/>
    </xf>
    <xf numFmtId="165" fontId="11" fillId="2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165" fontId="13" fillId="2" borderId="1" xfId="1" applyNumberFormat="1" applyFont="1" applyFill="1" applyBorder="1" applyAlignment="1">
      <alignment horizontal="center" vertical="center"/>
    </xf>
    <xf numFmtId="0" fontId="14" fillId="2" borderId="0" xfId="0" applyFont="1" applyFill="1"/>
    <xf numFmtId="1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1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 wrapText="1"/>
    </xf>
    <xf numFmtId="0" fontId="15" fillId="2" borderId="0" xfId="0" applyFont="1" applyFill="1"/>
    <xf numFmtId="3" fontId="17" fillId="2" borderId="4" xfId="0" applyNumberFormat="1" applyFont="1" applyFill="1" applyBorder="1" applyAlignment="1">
      <alignment horizontal="center" vertical="center"/>
    </xf>
    <xf numFmtId="14" fontId="16" fillId="2" borderId="4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166" fontId="17" fillId="2" borderId="4" xfId="1" applyNumberFormat="1" applyFont="1" applyFill="1" applyBorder="1" applyAlignment="1">
      <alignment horizontal="right"/>
    </xf>
    <xf numFmtId="0" fontId="9" fillId="3" borderId="4" xfId="0" applyFont="1" applyFill="1" applyBorder="1" applyAlignment="1">
      <alignment horizontal="center" vertical="center" wrapText="1"/>
    </xf>
    <xf numFmtId="14" fontId="17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vertical="center"/>
    </xf>
    <xf numFmtId="3" fontId="17" fillId="2" borderId="3" xfId="0" applyNumberFormat="1" applyFont="1" applyFill="1" applyBorder="1" applyAlignment="1">
      <alignment horizontal="center" wrapText="1"/>
    </xf>
    <xf numFmtId="166" fontId="17" fillId="2" borderId="2" xfId="1" applyNumberFormat="1" applyFont="1" applyFill="1" applyBorder="1" applyAlignment="1">
      <alignment horizontal="right"/>
    </xf>
    <xf numFmtId="0" fontId="17" fillId="3" borderId="2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wrapText="1"/>
    </xf>
    <xf numFmtId="0" fontId="9" fillId="2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166" fontId="18" fillId="2" borderId="2" xfId="1" applyNumberFormat="1" applyFont="1" applyFill="1" applyBorder="1" applyAlignment="1">
      <alignment horizontal="right"/>
    </xf>
    <xf numFmtId="0" fontId="9" fillId="2" borderId="6" xfId="0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3" fontId="9" fillId="2" borderId="6" xfId="0" applyNumberFormat="1" applyFont="1" applyFill="1" applyBorder="1"/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9" fillId="2" borderId="0" xfId="0" applyNumberFormat="1" applyFont="1" applyFill="1"/>
    <xf numFmtId="0" fontId="9" fillId="2" borderId="0" xfId="0" applyFont="1" applyFill="1"/>
    <xf numFmtId="0" fontId="15" fillId="2" borderId="0" xfId="0" applyFont="1" applyFill="1" applyAlignment="1">
      <alignment horizontal="center"/>
    </xf>
    <xf numFmtId="0" fontId="19" fillId="2" borderId="0" xfId="0" applyFont="1" applyFill="1"/>
    <xf numFmtId="3" fontId="2" fillId="2" borderId="0" xfId="0" applyNumberFormat="1" applyFont="1" applyFill="1"/>
    <xf numFmtId="14" fontId="17" fillId="2" borderId="4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5" fontId="8" fillId="4" borderId="1" xfId="1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14" fontId="17" fillId="2" borderId="2" xfId="0" applyNumberFormat="1" applyFont="1" applyFill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41" fontId="0" fillId="0" borderId="0" xfId="2" applyFont="1"/>
    <xf numFmtId="0" fontId="23" fillId="0" borderId="2" xfId="0" applyFont="1" applyBorder="1"/>
    <xf numFmtId="3" fontId="0" fillId="0" borderId="0" xfId="0" applyNumberFormat="1"/>
    <xf numFmtId="41" fontId="0" fillId="0" borderId="0" xfId="0" applyNumberFormat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3" fontId="0" fillId="9" borderId="0" xfId="0" applyNumberForma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3" fontId="0" fillId="13" borderId="0" xfId="0" applyNumberFormat="1" applyFill="1"/>
    <xf numFmtId="3" fontId="25" fillId="0" borderId="0" xfId="0" applyNumberFormat="1" applyFont="1"/>
    <xf numFmtId="0" fontId="24" fillId="0" borderId="0" xfId="0" applyFont="1"/>
    <xf numFmtId="3" fontId="24" fillId="0" borderId="0" xfId="0" applyNumberFormat="1" applyFont="1"/>
    <xf numFmtId="41" fontId="22" fillId="0" borderId="0" xfId="2" applyFont="1"/>
    <xf numFmtId="165" fontId="26" fillId="2" borderId="1" xfId="1" applyNumberFormat="1" applyFont="1" applyFill="1" applyBorder="1" applyAlignment="1">
      <alignment horizontal="center" vertical="center"/>
    </xf>
    <xf numFmtId="165" fontId="8" fillId="6" borderId="1" xfId="1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wrapText="1"/>
    </xf>
    <xf numFmtId="14" fontId="16" fillId="2" borderId="2" xfId="0" applyNumberFormat="1" applyFont="1" applyFill="1" applyBorder="1" applyAlignment="1">
      <alignment horizontal="left"/>
    </xf>
    <xf numFmtId="0" fontId="27" fillId="0" borderId="0" xfId="0" applyFont="1"/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7" fillId="2" borderId="0" xfId="0" applyFont="1" applyFill="1"/>
    <xf numFmtId="0" fontId="2" fillId="2" borderId="0" xfId="0" applyFont="1" applyFill="1"/>
    <xf numFmtId="0" fontId="15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146050</xdr:rowOff>
    </xdr:from>
    <xdr:to>
      <xdr:col>1</xdr:col>
      <xdr:colOff>603250</xdr:colOff>
      <xdr:row>2</xdr:row>
      <xdr:rowOff>40939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75FB2D-4A7E-4F63-958F-98CDCCBC4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517" y="146050"/>
          <a:ext cx="565150" cy="932056"/>
        </a:xfrm>
        <a:prstGeom prst="rect">
          <a:avLst/>
        </a:prstGeom>
      </xdr:spPr>
    </xdr:pic>
    <xdr:clientData/>
  </xdr:twoCellAnchor>
  <xdr:twoCellAnchor editAs="oneCell">
    <xdr:from>
      <xdr:col>8</xdr:col>
      <xdr:colOff>359834</xdr:colOff>
      <xdr:row>0</xdr:row>
      <xdr:rowOff>63501</xdr:rowOff>
    </xdr:from>
    <xdr:to>
      <xdr:col>16</xdr:col>
      <xdr:colOff>46316</xdr:colOff>
      <xdr:row>16</xdr:row>
      <xdr:rowOff>185771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2C014-2241-46DB-BDAD-C440A937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1" y="63501"/>
          <a:ext cx="5782482" cy="5339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BF008F-F619-4A35-BF15-153318DE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8</xdr:row>
      <xdr:rowOff>52917</xdr:rowOff>
    </xdr:from>
    <xdr:to>
      <xdr:col>15</xdr:col>
      <xdr:colOff>638982</xdr:colOff>
      <xdr:row>21</xdr:row>
      <xdr:rowOff>199528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03B501-7480-F678-C00B-983E131E8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5083" y="2508250"/>
          <a:ext cx="5782482" cy="4020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7EB2C4-C3D8-4DB4-BCF2-253B57E53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306915</xdr:colOff>
      <xdr:row>7</xdr:row>
      <xdr:rowOff>63500</xdr:rowOff>
    </xdr:from>
    <xdr:to>
      <xdr:col>16</xdr:col>
      <xdr:colOff>288713</xdr:colOff>
      <xdr:row>17</xdr:row>
      <xdr:rowOff>132869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FBD123-DFC9-62A9-6CC4-4AB23623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1498" y="2296583"/>
          <a:ext cx="6077798" cy="41439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24</xdr:row>
      <xdr:rowOff>38100</xdr:rowOff>
    </xdr:from>
    <xdr:to>
      <xdr:col>13</xdr:col>
      <xdr:colOff>619953</xdr:colOff>
      <xdr:row>45</xdr:row>
      <xdr:rowOff>48185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E0531-4B48-9795-AD53-38EF323F6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610100"/>
          <a:ext cx="5934903" cy="401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51D436-F2A7-4C74-9660-BE273C587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1FB5A9-072F-4638-8A07-3405B69CA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275167</xdr:colOff>
      <xdr:row>8</xdr:row>
      <xdr:rowOff>296333</xdr:rowOff>
    </xdr:from>
    <xdr:to>
      <xdr:col>16</xdr:col>
      <xdr:colOff>152176</xdr:colOff>
      <xdr:row>15</xdr:row>
      <xdr:rowOff>78643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D0AD0-3D31-8B91-7187-61A894DE5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0" y="2751666"/>
          <a:ext cx="5973009" cy="23434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30CDE0-157D-459B-8B5F-7BAFAD852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ECA694-502B-460F-8751-E4D3DC4A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5CA748-880D-4E5C-A8B8-54A5874F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127000</xdr:rowOff>
    </xdr:from>
    <xdr:ext cx="676275" cy="1120122"/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676275" cy="11201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5.69921875" style="4" bestFit="1" customWidth="1"/>
    <col min="6" max="6" width="26.296875" style="51" customWidth="1"/>
    <col min="7" max="7" width="12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28</v>
      </c>
    </row>
    <row r="4" spans="1:15" ht="17.75" x14ac:dyDescent="0.45">
      <c r="B4" s="84" t="s">
        <v>4</v>
      </c>
      <c r="C4" s="84"/>
      <c r="D4" s="84"/>
      <c r="E4" s="54">
        <v>-89315</v>
      </c>
      <c r="F4" s="9"/>
      <c r="G4" s="10"/>
    </row>
    <row r="5" spans="1:15" ht="17.75" x14ac:dyDescent="0.45">
      <c r="B5" s="11" t="s">
        <v>5</v>
      </c>
      <c r="C5" s="11"/>
      <c r="D5" s="11"/>
      <c r="E5" s="8">
        <v>75545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-13770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+G16</f>
        <v>44000</v>
      </c>
      <c r="F8" s="9"/>
      <c r="G8" s="14" t="s">
        <v>9</v>
      </c>
      <c r="H8" s="15">
        <f>E7-E8</f>
        <v>-57770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45573</v>
      </c>
      <c r="C11" s="52" t="s">
        <v>29</v>
      </c>
      <c r="D11" s="27">
        <v>18262</v>
      </c>
      <c r="E11" s="28" t="s">
        <v>30</v>
      </c>
      <c r="F11" s="25" t="s">
        <v>31</v>
      </c>
      <c r="G11" s="29">
        <v>7000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45586</v>
      </c>
      <c r="C12" s="52" t="s">
        <v>29</v>
      </c>
      <c r="D12" s="27">
        <v>18403</v>
      </c>
      <c r="E12" s="28" t="s">
        <v>32</v>
      </c>
      <c r="F12" s="25" t="s">
        <v>31</v>
      </c>
      <c r="G12" s="29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>
        <v>45589</v>
      </c>
      <c r="C13" s="52" t="s">
        <v>33</v>
      </c>
      <c r="D13" s="32">
        <v>1068</v>
      </c>
      <c r="E13" s="53" t="s">
        <v>34</v>
      </c>
      <c r="F13" s="34" t="s">
        <v>35</v>
      </c>
      <c r="G13" s="35">
        <v>30000</v>
      </c>
      <c r="H13" s="36"/>
      <c r="I13" s="24"/>
      <c r="J13" s="24"/>
      <c r="K13" s="24"/>
      <c r="L13" s="24"/>
      <c r="M13" s="24"/>
      <c r="N13" s="24"/>
      <c r="O13" s="24"/>
    </row>
    <row r="14" spans="1:15" ht="17.2" x14ac:dyDescent="0.45">
      <c r="A14" s="20">
        <v>4</v>
      </c>
      <c r="B14" s="31"/>
      <c r="C14" s="31"/>
      <c r="D14" s="32"/>
      <c r="E14" s="33"/>
      <c r="F14" s="37"/>
      <c r="G14" s="35"/>
      <c r="H14" s="36"/>
    </row>
    <row r="15" spans="1:15" ht="17.2" x14ac:dyDescent="0.45">
      <c r="A15" s="20">
        <v>5</v>
      </c>
      <c r="B15" s="31"/>
      <c r="C15" s="31"/>
      <c r="D15" s="32"/>
      <c r="E15" s="33"/>
      <c r="F15" s="37"/>
      <c r="G15" s="35"/>
      <c r="H15" s="36"/>
    </row>
    <row r="16" spans="1:15" s="24" customFormat="1" ht="17.75" x14ac:dyDescent="0.45">
      <c r="B16" s="38" t="s">
        <v>27</v>
      </c>
      <c r="C16" s="39"/>
      <c r="D16" s="40"/>
      <c r="E16" s="40"/>
      <c r="F16" s="40"/>
      <c r="G16" s="41">
        <f>SUM(G11:G15)</f>
        <v>44000</v>
      </c>
    </row>
    <row r="17" spans="2:7" s="24" customFormat="1" ht="17.75" x14ac:dyDescent="0.45">
      <c r="B17" s="42"/>
      <c r="C17" s="42"/>
      <c r="D17" s="43"/>
      <c r="E17" s="43"/>
      <c r="F17" s="43"/>
      <c r="G17" s="44"/>
    </row>
    <row r="18" spans="2:7" s="24" customFormat="1" ht="17.75" x14ac:dyDescent="0.45">
      <c r="B18" s="45"/>
      <c r="C18" s="45"/>
      <c r="D18" s="46"/>
      <c r="E18" s="46"/>
      <c r="F18" s="46"/>
      <c r="G18" s="47"/>
    </row>
    <row r="19" spans="2:7" ht="17.75" x14ac:dyDescent="0.45">
      <c r="B19" s="84"/>
      <c r="C19" s="84"/>
      <c r="D19" s="89"/>
      <c r="E19" s="90"/>
      <c r="F19" s="91"/>
    </row>
    <row r="20" spans="2:7" ht="17.75" x14ac:dyDescent="0.45">
      <c r="B20" s="85"/>
      <c r="C20" s="85"/>
      <c r="D20" s="92"/>
      <c r="E20" s="48"/>
      <c r="F20" s="24"/>
      <c r="G20" s="49"/>
    </row>
    <row r="21" spans="2:7" s="24" customFormat="1" ht="17.75" x14ac:dyDescent="0.45">
      <c r="B21" s="45"/>
      <c r="C21" s="45"/>
      <c r="D21" s="46"/>
      <c r="E21" s="46"/>
      <c r="G21" s="47"/>
    </row>
    <row r="22" spans="2:7" s="24" customFormat="1" ht="17.75" x14ac:dyDescent="0.45">
      <c r="B22" s="45"/>
      <c r="C22" s="45"/>
      <c r="D22" s="46"/>
      <c r="E22" s="46"/>
      <c r="F22" s="46"/>
      <c r="G22" s="47"/>
    </row>
    <row r="23" spans="2:7" s="24" customFormat="1" ht="17.75" x14ac:dyDescent="0.45">
      <c r="B23" s="45"/>
      <c r="C23" s="45"/>
      <c r="D23" s="46"/>
      <c r="E23" s="46"/>
      <c r="F23" s="46"/>
      <c r="G23" s="47"/>
    </row>
    <row r="24" spans="2:7" s="24" customFormat="1" ht="17.75" x14ac:dyDescent="0.45">
      <c r="B24" s="45"/>
      <c r="C24" s="45"/>
      <c r="D24" s="46"/>
      <c r="E24" s="46"/>
      <c r="F24" s="46"/>
      <c r="G24" s="47"/>
    </row>
    <row r="25" spans="2:7" s="24" customFormat="1" ht="17.75" x14ac:dyDescent="0.45">
      <c r="B25" s="45"/>
      <c r="C25" s="45"/>
      <c r="D25" s="46"/>
      <c r="E25" s="46"/>
      <c r="F25" s="46"/>
      <c r="G25" s="47"/>
    </row>
    <row r="26" spans="2:7" s="24" customFormat="1" ht="17.75" x14ac:dyDescent="0.45">
      <c r="B26" s="45"/>
      <c r="C26" s="45"/>
      <c r="D26" s="46"/>
      <c r="E26" s="46"/>
      <c r="F26" s="46"/>
      <c r="G26" s="47"/>
    </row>
    <row r="27" spans="2:7" s="24" customFormat="1" ht="17.75" x14ac:dyDescent="0.45">
      <c r="B27" s="45"/>
      <c r="C27" s="45"/>
      <c r="D27" s="46"/>
      <c r="E27" s="46"/>
      <c r="F27" s="46"/>
      <c r="G27" s="47"/>
    </row>
    <row r="28" spans="2:7" s="24" customFormat="1" ht="17.75" x14ac:dyDescent="0.45">
      <c r="B28" s="45"/>
      <c r="C28" s="45"/>
      <c r="D28" s="46"/>
      <c r="E28" s="46"/>
      <c r="F28" s="46"/>
      <c r="G28" s="47"/>
    </row>
    <row r="29" spans="2:7" s="24" customFormat="1" ht="17.75" x14ac:dyDescent="0.45">
      <c r="B29" s="45"/>
      <c r="C29" s="45"/>
      <c r="D29" s="46"/>
      <c r="E29" s="46"/>
      <c r="F29" s="46"/>
      <c r="G29" s="47"/>
    </row>
    <row r="30" spans="2:7" s="24" customFormat="1" ht="17.75" x14ac:dyDescent="0.45">
      <c r="B30" s="45"/>
      <c r="C30" s="45"/>
      <c r="D30" s="46"/>
      <c r="E30" s="46"/>
      <c r="F30" s="46"/>
      <c r="G30" s="47"/>
    </row>
    <row r="31" spans="2:7" s="24" customFormat="1" ht="17.75" x14ac:dyDescent="0.45">
      <c r="B31" s="45"/>
      <c r="C31" s="45"/>
      <c r="D31" s="46"/>
      <c r="E31" s="46"/>
      <c r="F31" s="46"/>
      <c r="G31" s="47"/>
    </row>
    <row r="32" spans="2:7" s="24" customFormat="1" ht="17.75" x14ac:dyDescent="0.45">
      <c r="B32" s="45"/>
      <c r="C32" s="45"/>
      <c r="D32" s="46"/>
      <c r="E32" s="46"/>
      <c r="F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</sheetData>
  <mergeCells count="9">
    <mergeCell ref="B19:D19"/>
    <mergeCell ref="E19:F19"/>
    <mergeCell ref="B20:D2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topLeftCell="A4" zoomScale="90" zoomScaleNormal="90" workbookViewId="0">
      <selection activeCell="G11" sqref="G11:G1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</v>
      </c>
    </row>
    <row r="4" spans="1:15" ht="17.75" x14ac:dyDescent="0.45">
      <c r="B4" s="84" t="s">
        <v>4</v>
      </c>
      <c r="C4" s="84"/>
      <c r="D4" s="84"/>
      <c r="E4" s="54">
        <f>+OCT!$H$8</f>
        <v>-57770</v>
      </c>
      <c r="F4" s="9"/>
      <c r="G4" s="10"/>
    </row>
    <row r="5" spans="1:15" ht="17.75" x14ac:dyDescent="0.45">
      <c r="B5" s="11" t="s">
        <v>5</v>
      </c>
      <c r="C5" s="11"/>
      <c r="D5" s="11"/>
      <c r="E5" s="8">
        <v>44000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-13770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23115</v>
      </c>
      <c r="F8" s="9"/>
      <c r="G8" s="14" t="s">
        <v>9</v>
      </c>
      <c r="H8" s="15">
        <f>E7-E8</f>
        <v>-36885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45604</v>
      </c>
      <c r="C11" s="52" t="s">
        <v>18</v>
      </c>
      <c r="D11" s="27">
        <v>18640</v>
      </c>
      <c r="E11" s="28" t="s">
        <v>19</v>
      </c>
      <c r="F11" s="25" t="s">
        <v>20</v>
      </c>
      <c r="G11" s="29">
        <v>7000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45623</v>
      </c>
      <c r="C12" s="52" t="s">
        <v>18</v>
      </c>
      <c r="D12" s="27">
        <v>18881</v>
      </c>
      <c r="E12" s="28" t="s">
        <v>19</v>
      </c>
      <c r="F12" s="25" t="s">
        <v>20</v>
      </c>
      <c r="G12" s="29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>
        <v>45626</v>
      </c>
      <c r="C13" s="52" t="s">
        <v>18</v>
      </c>
      <c r="D13" s="32">
        <v>53151890</v>
      </c>
      <c r="E13" s="53" t="s">
        <v>21</v>
      </c>
      <c r="F13" s="34" t="s">
        <v>22</v>
      </c>
      <c r="G13" s="35">
        <v>3790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>
        <v>45626</v>
      </c>
      <c r="C14" s="52" t="s">
        <v>18</v>
      </c>
      <c r="D14" s="32">
        <v>2930005733</v>
      </c>
      <c r="E14" s="53" t="s">
        <v>23</v>
      </c>
      <c r="F14" s="34" t="s">
        <v>24</v>
      </c>
      <c r="G14" s="35">
        <v>1325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>
        <v>45628</v>
      </c>
      <c r="C15" s="52" t="s">
        <v>18</v>
      </c>
      <c r="D15" s="32">
        <v>242754234</v>
      </c>
      <c r="E15" s="53" t="s">
        <v>25</v>
      </c>
      <c r="F15" s="34" t="s">
        <v>26</v>
      </c>
      <c r="G15" s="35">
        <v>4000</v>
      </c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23115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46"/>
      <c r="G29" s="47"/>
    </row>
    <row r="30" spans="1:15" ht="17.75" x14ac:dyDescent="0.45">
      <c r="B30" s="84"/>
      <c r="C30" s="84"/>
      <c r="D30" s="89"/>
      <c r="E30" s="90"/>
      <c r="F30" s="91"/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9">
    <mergeCell ref="B30:D30"/>
    <mergeCell ref="E30:F30"/>
    <mergeCell ref="B31:D31"/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"/>
  <sheetViews>
    <sheetView topLeftCell="A10" zoomScale="90" zoomScaleNormal="90" workbookViewId="0">
      <selection activeCell="K4" sqref="K4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36</v>
      </c>
    </row>
    <row r="4" spans="1:15" ht="17.75" x14ac:dyDescent="0.45">
      <c r="B4" s="84" t="s">
        <v>4</v>
      </c>
      <c r="C4" s="84"/>
      <c r="D4" s="84"/>
      <c r="E4" s="54">
        <f>+NOV!H8</f>
        <v>-36885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23115</v>
      </c>
      <c r="F5" s="9"/>
      <c r="G5" s="10"/>
    </row>
    <row r="6" spans="1:15" ht="17.75" x14ac:dyDescent="0.45">
      <c r="B6" s="84" t="s">
        <v>6</v>
      </c>
      <c r="C6" s="84"/>
      <c r="D6" s="84"/>
      <c r="E6" s="77">
        <v>49980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36210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45868</v>
      </c>
      <c r="F8" s="9"/>
      <c r="G8" s="14" t="s">
        <v>9</v>
      </c>
      <c r="H8" s="15">
        <f>E7-E8</f>
        <v>-9658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45640</v>
      </c>
      <c r="C11" s="52" t="s">
        <v>18</v>
      </c>
      <c r="D11" s="27">
        <v>159790521</v>
      </c>
      <c r="E11" s="28" t="s">
        <v>38</v>
      </c>
      <c r="F11" s="25" t="s">
        <v>39</v>
      </c>
      <c r="G11" s="29">
        <v>3980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35.5" x14ac:dyDescent="0.45">
      <c r="A12" s="20">
        <v>2</v>
      </c>
      <c r="B12" s="26">
        <v>45643</v>
      </c>
      <c r="C12" s="52" t="s">
        <v>18</v>
      </c>
      <c r="D12" s="27">
        <v>19152</v>
      </c>
      <c r="E12" s="28" t="s">
        <v>30</v>
      </c>
      <c r="F12" s="25" t="s">
        <v>40</v>
      </c>
      <c r="G12" s="29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>
        <v>45645</v>
      </c>
      <c r="C13" s="52" t="s">
        <v>18</v>
      </c>
      <c r="D13" s="32" t="s">
        <v>41</v>
      </c>
      <c r="E13" s="53" t="s">
        <v>42</v>
      </c>
      <c r="F13" s="34" t="s">
        <v>39</v>
      </c>
      <c r="G13" s="35">
        <v>4790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>
        <v>45646</v>
      </c>
      <c r="C14" s="52" t="s">
        <v>18</v>
      </c>
      <c r="D14" s="32" t="s">
        <v>43</v>
      </c>
      <c r="E14" s="53" t="s">
        <v>42</v>
      </c>
      <c r="F14" s="34" t="s">
        <v>39</v>
      </c>
      <c r="G14" s="35">
        <v>2990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>
        <v>45647</v>
      </c>
      <c r="C15" s="52" t="s">
        <v>18</v>
      </c>
      <c r="D15" s="32">
        <v>15219130</v>
      </c>
      <c r="E15" s="53" t="s">
        <v>44</v>
      </c>
      <c r="F15" s="34" t="s">
        <v>45</v>
      </c>
      <c r="G15" s="35">
        <v>7560</v>
      </c>
      <c r="H15" s="36"/>
      <c r="I15" s="24"/>
      <c r="J15" s="24"/>
      <c r="K15" s="24"/>
      <c r="L15" s="24"/>
      <c r="M15" s="24"/>
      <c r="N15" s="24"/>
      <c r="O15" s="24"/>
    </row>
    <row r="16" spans="1:15" ht="34.4" x14ac:dyDescent="0.45">
      <c r="A16" s="20">
        <v>7</v>
      </c>
      <c r="B16" s="31">
        <v>45648</v>
      </c>
      <c r="C16" s="31" t="s">
        <v>18</v>
      </c>
      <c r="D16" s="32">
        <v>160857037</v>
      </c>
      <c r="E16" s="53" t="s">
        <v>38</v>
      </c>
      <c r="F16" s="34" t="s">
        <v>46</v>
      </c>
      <c r="G16" s="35">
        <v>5190</v>
      </c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>
        <v>45648</v>
      </c>
      <c r="C17" s="31" t="s">
        <v>18</v>
      </c>
      <c r="D17" s="32">
        <v>2962352814</v>
      </c>
      <c r="E17" s="53" t="s">
        <v>47</v>
      </c>
      <c r="F17" s="34"/>
      <c r="G17" s="35">
        <v>7358</v>
      </c>
      <c r="H17" s="36"/>
      <c r="I17" s="24"/>
      <c r="J17" s="24"/>
      <c r="K17" s="24"/>
      <c r="L17" s="24"/>
      <c r="M17" s="24"/>
      <c r="N17" s="24"/>
      <c r="O17" s="24"/>
    </row>
    <row r="18" spans="1:15" ht="17.75" x14ac:dyDescent="0.45">
      <c r="A18" s="20">
        <v>9</v>
      </c>
      <c r="B18" s="31">
        <v>45657</v>
      </c>
      <c r="C18" s="31" t="s">
        <v>18</v>
      </c>
      <c r="D18" s="32">
        <v>19308</v>
      </c>
      <c r="E18" s="53" t="s">
        <v>30</v>
      </c>
      <c r="F18" s="37" t="s">
        <v>20</v>
      </c>
      <c r="G18" s="35">
        <v>7000</v>
      </c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45868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46"/>
      <c r="G29" s="47"/>
    </row>
    <row r="30" spans="1:15" ht="17.75" x14ac:dyDescent="0.45">
      <c r="B30" s="84"/>
      <c r="C30" s="84"/>
      <c r="D30" s="89"/>
      <c r="E30" s="90"/>
      <c r="F30" s="91"/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9">
    <mergeCell ref="B30:D30"/>
    <mergeCell ref="E30:F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topLeftCell="A25" workbookViewId="0">
      <selection activeCell="E44" sqref="E44"/>
    </sheetView>
  </sheetViews>
  <sheetFormatPr baseColWidth="10" defaultRowHeight="14" x14ac:dyDescent="0.3"/>
  <cols>
    <col min="2" max="2" width="18.69921875" bestFit="1" customWidth="1"/>
    <col min="3" max="3" width="21.59765625" bestFit="1" customWidth="1"/>
    <col min="6" max="6" width="11.3984375" style="74"/>
  </cols>
  <sheetData>
    <row r="1" spans="1:6" x14ac:dyDescent="0.3">
      <c r="A1">
        <v>2022</v>
      </c>
      <c r="E1">
        <v>2740</v>
      </c>
      <c r="F1" s="74">
        <v>2740</v>
      </c>
    </row>
    <row r="2" spans="1:6" x14ac:dyDescent="0.3">
      <c r="A2">
        <v>2023</v>
      </c>
    </row>
    <row r="3" spans="1:6" x14ac:dyDescent="0.3">
      <c r="A3" s="61" t="s">
        <v>2</v>
      </c>
      <c r="B3" s="61" t="s">
        <v>63</v>
      </c>
      <c r="C3" s="61" t="s">
        <v>64</v>
      </c>
      <c r="D3" s="61" t="s">
        <v>59</v>
      </c>
      <c r="E3" s="61" t="s">
        <v>65</v>
      </c>
    </row>
    <row r="5" spans="1:6" x14ac:dyDescent="0.3">
      <c r="A5" t="s">
        <v>37</v>
      </c>
      <c r="B5" s="64">
        <v>97260</v>
      </c>
      <c r="C5" s="64">
        <v>97260</v>
      </c>
      <c r="D5">
        <f>+B5-C5</f>
        <v>0</v>
      </c>
      <c r="E5" s="60">
        <f>E1+B5-C5</f>
        <v>2740</v>
      </c>
    </row>
    <row r="6" spans="1:6" x14ac:dyDescent="0.3">
      <c r="A6" t="s">
        <v>50</v>
      </c>
      <c r="B6" s="65">
        <v>96190</v>
      </c>
      <c r="C6" s="65">
        <f>96190+86570</f>
        <v>182760</v>
      </c>
      <c r="D6">
        <f t="shared" ref="D6:D12" si="0">+B6-C6</f>
        <v>-86570</v>
      </c>
      <c r="E6" s="63">
        <f>E5+B6-C6</f>
        <v>-83830</v>
      </c>
    </row>
    <row r="7" spans="1:6" x14ac:dyDescent="0.3">
      <c r="A7" t="s">
        <v>51</v>
      </c>
      <c r="B7" s="65">
        <v>86570</v>
      </c>
      <c r="C7">
        <v>99500</v>
      </c>
      <c r="D7">
        <f t="shared" si="0"/>
        <v>-12930</v>
      </c>
      <c r="E7" s="63">
        <f>E6+B7-C7</f>
        <v>-96760</v>
      </c>
      <c r="F7" s="74">
        <v>-99500</v>
      </c>
    </row>
    <row r="8" spans="1:6" x14ac:dyDescent="0.3">
      <c r="A8" t="s">
        <v>52</v>
      </c>
      <c r="B8" s="66">
        <v>94630</v>
      </c>
      <c r="C8" s="66">
        <v>94630</v>
      </c>
      <c r="D8">
        <f t="shared" si="0"/>
        <v>0</v>
      </c>
      <c r="E8" s="63">
        <f t="shared" ref="E8:E16" si="1">E7+B8-C8</f>
        <v>-96760</v>
      </c>
    </row>
    <row r="9" spans="1:6" x14ac:dyDescent="0.3">
      <c r="A9" t="s">
        <v>53</v>
      </c>
      <c r="B9">
        <v>0</v>
      </c>
      <c r="C9" s="67">
        <v>87540</v>
      </c>
      <c r="D9">
        <f t="shared" si="0"/>
        <v>-87540</v>
      </c>
      <c r="E9" s="63">
        <f t="shared" si="1"/>
        <v>-184300</v>
      </c>
    </row>
    <row r="10" spans="1:6" x14ac:dyDescent="0.3">
      <c r="A10" t="s">
        <v>54</v>
      </c>
      <c r="B10" s="67">
        <f>87540+93730</f>
        <v>181270</v>
      </c>
      <c r="C10" s="67">
        <v>93730</v>
      </c>
      <c r="D10">
        <f t="shared" si="0"/>
        <v>87540</v>
      </c>
      <c r="E10" s="63">
        <f t="shared" si="1"/>
        <v>-96760</v>
      </c>
      <c r="F10" s="74">
        <v>-87540</v>
      </c>
    </row>
    <row r="11" spans="1:6" x14ac:dyDescent="0.3">
      <c r="A11" t="s">
        <v>60</v>
      </c>
      <c r="B11">
        <v>0</v>
      </c>
      <c r="C11" s="62">
        <f>76510+66715</f>
        <v>143225</v>
      </c>
      <c r="D11">
        <f t="shared" si="0"/>
        <v>-143225</v>
      </c>
      <c r="E11" s="63">
        <f t="shared" si="1"/>
        <v>-239985</v>
      </c>
      <c r="F11" s="74">
        <v>181270</v>
      </c>
    </row>
    <row r="12" spans="1:6" x14ac:dyDescent="0.3">
      <c r="A12" t="s">
        <v>61</v>
      </c>
      <c r="B12" s="62">
        <v>66715</v>
      </c>
      <c r="C12" s="62">
        <v>112980</v>
      </c>
      <c r="D12">
        <f t="shared" si="0"/>
        <v>-46265</v>
      </c>
      <c r="E12" s="63">
        <f t="shared" si="1"/>
        <v>-286250</v>
      </c>
      <c r="F12" s="74">
        <v>-93730</v>
      </c>
    </row>
    <row r="13" spans="1:6" x14ac:dyDescent="0.3">
      <c r="A13" t="s">
        <v>62</v>
      </c>
      <c r="B13" s="62">
        <v>276527</v>
      </c>
      <c r="C13" s="62">
        <v>83547</v>
      </c>
      <c r="D13" s="62">
        <v>192980</v>
      </c>
      <c r="E13" s="63">
        <f t="shared" si="1"/>
        <v>-93270</v>
      </c>
      <c r="F13" s="75">
        <v>-143225</v>
      </c>
    </row>
    <row r="14" spans="1:6" x14ac:dyDescent="0.3">
      <c r="A14" t="s">
        <v>28</v>
      </c>
      <c r="B14" s="62">
        <v>183927</v>
      </c>
      <c r="C14" s="68">
        <v>91066</v>
      </c>
      <c r="D14" s="62">
        <v>92861</v>
      </c>
      <c r="E14" s="63">
        <f t="shared" si="1"/>
        <v>-409</v>
      </c>
      <c r="F14" s="74">
        <v>66715</v>
      </c>
    </row>
    <row r="15" spans="1:6" x14ac:dyDescent="0.3">
      <c r="A15" t="s">
        <v>3</v>
      </c>
      <c r="B15" s="68">
        <v>91066</v>
      </c>
      <c r="C15" s="69">
        <v>97878</v>
      </c>
      <c r="D15" s="62">
        <v>-6812</v>
      </c>
      <c r="E15" s="63">
        <f t="shared" si="1"/>
        <v>-7221</v>
      </c>
      <c r="F15" s="74">
        <v>-112980</v>
      </c>
    </row>
    <row r="16" spans="1:6" x14ac:dyDescent="0.3">
      <c r="A16" t="s">
        <v>36</v>
      </c>
      <c r="B16" s="69">
        <v>97878</v>
      </c>
      <c r="C16" s="72">
        <v>65443</v>
      </c>
      <c r="D16" s="62">
        <v>32435</v>
      </c>
      <c r="E16" s="63">
        <f t="shared" si="1"/>
        <v>25214</v>
      </c>
      <c r="F16" s="74">
        <v>276527</v>
      </c>
    </row>
    <row r="17" spans="1:6" x14ac:dyDescent="0.3">
      <c r="A17">
        <v>2024</v>
      </c>
      <c r="F17" s="74">
        <v>-83547</v>
      </c>
    </row>
    <row r="18" spans="1:6" x14ac:dyDescent="0.3">
      <c r="A18" s="61" t="s">
        <v>2</v>
      </c>
      <c r="B18" s="61" t="s">
        <v>63</v>
      </c>
      <c r="C18" s="61" t="s">
        <v>64</v>
      </c>
      <c r="D18" s="61" t="s">
        <v>59</v>
      </c>
      <c r="E18" s="61" t="s">
        <v>65</v>
      </c>
      <c r="F18" s="74">
        <v>183927</v>
      </c>
    </row>
    <row r="20" spans="1:6" x14ac:dyDescent="0.3">
      <c r="A20" t="s">
        <v>37</v>
      </c>
      <c r="B20" s="72">
        <f>90657-25214</f>
        <v>65443</v>
      </c>
      <c r="C20" s="69">
        <v>75606</v>
      </c>
      <c r="D20" s="62">
        <v>15051</v>
      </c>
      <c r="E20" s="62">
        <v>15051</v>
      </c>
    </row>
    <row r="21" spans="1:6" x14ac:dyDescent="0.3">
      <c r="A21" t="s">
        <v>50</v>
      </c>
      <c r="B21" s="69">
        <v>75606</v>
      </c>
      <c r="C21">
        <v>0</v>
      </c>
      <c r="D21" s="62">
        <v>75606</v>
      </c>
      <c r="E21" s="62">
        <v>90657</v>
      </c>
    </row>
    <row r="22" spans="1:6" x14ac:dyDescent="0.3">
      <c r="A22" t="s">
        <v>51</v>
      </c>
      <c r="B22" s="62">
        <v>38000</v>
      </c>
      <c r="C22" s="70">
        <v>67057</v>
      </c>
      <c r="D22" s="62">
        <v>-29057</v>
      </c>
      <c r="E22" s="62">
        <v>61600</v>
      </c>
      <c r="F22" s="75"/>
    </row>
    <row r="23" spans="1:6" x14ac:dyDescent="0.3">
      <c r="A23" t="s">
        <v>52</v>
      </c>
      <c r="B23" s="70">
        <v>148301</v>
      </c>
      <c r="C23" s="70">
        <v>81244</v>
      </c>
      <c r="D23" s="62">
        <v>67057</v>
      </c>
      <c r="E23" s="62">
        <v>128657</v>
      </c>
      <c r="F23" s="74">
        <v>-65443</v>
      </c>
    </row>
    <row r="24" spans="1:6" x14ac:dyDescent="0.3">
      <c r="A24" t="s">
        <v>53</v>
      </c>
      <c r="B24" s="62">
        <v>105232</v>
      </c>
      <c r="C24">
        <v>0</v>
      </c>
      <c r="D24" s="62">
        <v>105232</v>
      </c>
      <c r="E24" s="62">
        <v>233889</v>
      </c>
      <c r="F24" s="75">
        <v>38000</v>
      </c>
    </row>
    <row r="25" spans="1:6" x14ac:dyDescent="0.3">
      <c r="A25" t="s">
        <v>54</v>
      </c>
      <c r="B25" s="62">
        <v>93908</v>
      </c>
      <c r="C25" s="62">
        <v>291587</v>
      </c>
      <c r="D25" s="62">
        <v>-197679</v>
      </c>
      <c r="E25" s="62">
        <v>36210</v>
      </c>
      <c r="F25" s="75">
        <v>105232</v>
      </c>
    </row>
    <row r="26" spans="1:6" x14ac:dyDescent="0.3">
      <c r="A26" t="s">
        <v>60</v>
      </c>
      <c r="B26">
        <v>0</v>
      </c>
      <c r="C26" s="71">
        <v>42070</v>
      </c>
      <c r="D26" s="62">
        <v>-42070</v>
      </c>
      <c r="E26" s="62">
        <v>-5860</v>
      </c>
      <c r="F26" s="75">
        <v>93908</v>
      </c>
    </row>
    <row r="27" spans="1:6" x14ac:dyDescent="0.3">
      <c r="A27" t="s">
        <v>61</v>
      </c>
      <c r="B27" s="71">
        <v>42070</v>
      </c>
      <c r="C27" s="71">
        <v>50370</v>
      </c>
      <c r="D27" s="62">
        <v>-8300</v>
      </c>
      <c r="E27" s="62">
        <v>-14160</v>
      </c>
      <c r="F27" s="75">
        <v>-291587</v>
      </c>
    </row>
    <row r="28" spans="1:6" x14ac:dyDescent="0.3">
      <c r="A28" t="s">
        <v>62</v>
      </c>
      <c r="B28" s="71">
        <v>50370</v>
      </c>
      <c r="C28" s="62">
        <v>125525</v>
      </c>
      <c r="D28" s="62">
        <v>-75155</v>
      </c>
      <c r="E28" s="73">
        <v>-89315</v>
      </c>
      <c r="F28" s="75">
        <v>-125525</v>
      </c>
    </row>
    <row r="29" spans="1:6" x14ac:dyDescent="0.3">
      <c r="A29" t="s">
        <v>28</v>
      </c>
      <c r="B29" s="62">
        <v>75545</v>
      </c>
      <c r="C29" s="71">
        <v>44000</v>
      </c>
      <c r="D29" s="62">
        <v>31545</v>
      </c>
      <c r="E29" s="73">
        <v>-57770</v>
      </c>
      <c r="F29" s="75">
        <v>75545</v>
      </c>
    </row>
    <row r="30" spans="1:6" x14ac:dyDescent="0.3">
      <c r="A30" t="s">
        <v>3</v>
      </c>
      <c r="B30" s="71">
        <v>44000</v>
      </c>
      <c r="C30" s="62">
        <v>23115</v>
      </c>
      <c r="D30" s="62">
        <v>20885</v>
      </c>
      <c r="E30" s="73">
        <v>-36885</v>
      </c>
      <c r="F30" s="75">
        <v>73095</v>
      </c>
    </row>
    <row r="31" spans="1:6" x14ac:dyDescent="0.3">
      <c r="A31" t="s">
        <v>36</v>
      </c>
      <c r="B31" s="62">
        <v>73095</v>
      </c>
      <c r="C31" s="62">
        <v>45868</v>
      </c>
      <c r="D31" s="62">
        <v>27227</v>
      </c>
      <c r="E31" s="62">
        <v>-9658</v>
      </c>
      <c r="F31" s="75">
        <v>-23115</v>
      </c>
    </row>
    <row r="32" spans="1:6" x14ac:dyDescent="0.3">
      <c r="A32">
        <v>2025</v>
      </c>
      <c r="F32" s="75">
        <v>-27240</v>
      </c>
    </row>
    <row r="33" spans="1:6" x14ac:dyDescent="0.3">
      <c r="A33" s="61" t="s">
        <v>2</v>
      </c>
      <c r="B33" s="61" t="s">
        <v>63</v>
      </c>
      <c r="C33" s="61" t="s">
        <v>64</v>
      </c>
      <c r="D33" s="61" t="s">
        <v>59</v>
      </c>
      <c r="E33" s="61" t="s">
        <v>65</v>
      </c>
      <c r="F33" s="75"/>
    </row>
    <row r="34" spans="1:6" x14ac:dyDescent="0.3">
      <c r="A34" t="s">
        <v>37</v>
      </c>
      <c r="B34" s="62">
        <v>45868</v>
      </c>
      <c r="C34" s="62">
        <f>36898-9658</f>
        <v>27240</v>
      </c>
      <c r="D34" s="62">
        <f>+B34-C34</f>
        <v>18628</v>
      </c>
      <c r="E34" s="62">
        <f>+E31+B34-C34</f>
        <v>8970</v>
      </c>
    </row>
    <row r="35" spans="1:6" x14ac:dyDescent="0.3">
      <c r="A35" t="s">
        <v>50</v>
      </c>
      <c r="F35" s="76">
        <f>SUM(F1:F32)</f>
        <v>-56473</v>
      </c>
    </row>
    <row r="36" spans="1:6" x14ac:dyDescent="0.3">
      <c r="A36" t="s">
        <v>51</v>
      </c>
    </row>
    <row r="37" spans="1:6" x14ac:dyDescent="0.3">
      <c r="A37" t="s">
        <v>52</v>
      </c>
    </row>
    <row r="38" spans="1:6" x14ac:dyDescent="0.3">
      <c r="A38" t="s">
        <v>53</v>
      </c>
    </row>
    <row r="39" spans="1:6" x14ac:dyDescent="0.3">
      <c r="A39" t="s">
        <v>54</v>
      </c>
    </row>
    <row r="40" spans="1:6" x14ac:dyDescent="0.3">
      <c r="A40" t="s">
        <v>60</v>
      </c>
    </row>
    <row r="41" spans="1:6" x14ac:dyDescent="0.3">
      <c r="A41" t="s">
        <v>61</v>
      </c>
    </row>
    <row r="42" spans="1:6" x14ac:dyDescent="0.3">
      <c r="A42" t="s">
        <v>62</v>
      </c>
    </row>
    <row r="43" spans="1:6" x14ac:dyDescent="0.3">
      <c r="A43" t="s">
        <v>28</v>
      </c>
    </row>
    <row r="44" spans="1:6" x14ac:dyDescent="0.3">
      <c r="A44" t="s">
        <v>3</v>
      </c>
    </row>
    <row r="45" spans="1:6" x14ac:dyDescent="0.3">
      <c r="A45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5"/>
  <sheetViews>
    <sheetView zoomScale="90" zoomScaleNormal="90" workbookViewId="0">
      <selection activeCell="C11" sqref="C11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5.69921875" style="4" bestFit="1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37</v>
      </c>
    </row>
    <row r="4" spans="1:15" ht="17.75" x14ac:dyDescent="0.45">
      <c r="B4" s="84" t="s">
        <v>4</v>
      </c>
      <c r="C4" s="84"/>
      <c r="D4" s="84"/>
      <c r="E4" s="54">
        <f>+DIC!H8</f>
        <v>-9658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45868</v>
      </c>
      <c r="F5" s="9"/>
      <c r="G5" s="10"/>
    </row>
    <row r="6" spans="1:15" ht="17.75" x14ac:dyDescent="0.45">
      <c r="B6" s="84" t="s">
        <v>6</v>
      </c>
      <c r="C6" s="84"/>
      <c r="D6" s="84"/>
      <c r="E6" s="78">
        <v>63790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27240</v>
      </c>
      <c r="F8" s="9"/>
      <c r="G8" s="14" t="s">
        <v>9</v>
      </c>
      <c r="H8" s="15">
        <f>E7-E8</f>
        <v>72760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45694</v>
      </c>
      <c r="C11" s="52" t="s">
        <v>18</v>
      </c>
      <c r="D11" s="27">
        <v>19762</v>
      </c>
      <c r="E11" s="28" t="s">
        <v>30</v>
      </c>
      <c r="F11" s="25" t="s">
        <v>40</v>
      </c>
      <c r="G11" s="29">
        <v>7000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45697</v>
      </c>
      <c r="C12" s="52" t="s">
        <v>18</v>
      </c>
      <c r="D12" s="27">
        <v>15351327</v>
      </c>
      <c r="E12" s="28" t="s">
        <v>44</v>
      </c>
      <c r="F12" s="25" t="s">
        <v>55</v>
      </c>
      <c r="G12" s="29">
        <v>7680</v>
      </c>
      <c r="H12" s="30"/>
      <c r="I12" s="24"/>
      <c r="J12" s="24"/>
      <c r="K12" s="24"/>
      <c r="L12" s="24"/>
      <c r="M12" s="24"/>
      <c r="N12" s="24"/>
      <c r="O12" s="24"/>
    </row>
    <row r="13" spans="1:15" ht="34.4" x14ac:dyDescent="0.45">
      <c r="A13" s="20">
        <v>3</v>
      </c>
      <c r="B13" s="59">
        <v>45704</v>
      </c>
      <c r="C13" s="52" t="s">
        <v>18</v>
      </c>
      <c r="D13" s="32">
        <v>246937624</v>
      </c>
      <c r="E13" s="28" t="s">
        <v>57</v>
      </c>
      <c r="F13" s="34" t="s">
        <v>58</v>
      </c>
      <c r="G13" s="35">
        <v>1580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59">
        <v>45675</v>
      </c>
      <c r="C14" s="52" t="s">
        <v>18</v>
      </c>
      <c r="D14" s="32">
        <v>15386689</v>
      </c>
      <c r="E14" s="28" t="s">
        <v>44</v>
      </c>
      <c r="F14" s="34" t="s">
        <v>56</v>
      </c>
      <c r="G14" s="35">
        <v>3980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59">
        <v>45677</v>
      </c>
      <c r="C15" s="52" t="s">
        <v>18</v>
      </c>
      <c r="D15" s="27">
        <v>19546</v>
      </c>
      <c r="E15" s="28" t="s">
        <v>30</v>
      </c>
      <c r="F15" s="25" t="s">
        <v>40</v>
      </c>
      <c r="G15" s="29">
        <v>7000</v>
      </c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58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58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58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58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27240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50</v>
      </c>
    </row>
    <row r="4" spans="1:15" ht="17.75" x14ac:dyDescent="0.45">
      <c r="B4" s="84" t="s">
        <v>4</v>
      </c>
      <c r="C4" s="84"/>
      <c r="D4" s="84"/>
      <c r="E4" s="54">
        <f>+'ENE 25'!H8</f>
        <v>72760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27240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0</v>
      </c>
      <c r="F8" s="9"/>
      <c r="G8" s="14" t="s">
        <v>9</v>
      </c>
      <c r="H8" s="15">
        <f>E7-E8</f>
        <v>100000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/>
      <c r="C11" s="52"/>
      <c r="D11" s="27"/>
      <c r="E11" s="28"/>
      <c r="F11" s="25"/>
      <c r="G11" s="29"/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/>
      <c r="C12" s="52"/>
      <c r="D12" s="27"/>
      <c r="E12" s="28"/>
      <c r="F12" s="25"/>
      <c r="G12" s="29"/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/>
      <c r="C13" s="52"/>
      <c r="D13" s="32"/>
      <c r="E13" s="53"/>
      <c r="F13" s="34"/>
      <c r="G13" s="35"/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/>
      <c r="C14" s="52"/>
      <c r="D14" s="32"/>
      <c r="E14" s="53"/>
      <c r="F14" s="34"/>
      <c r="G14" s="35"/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0</v>
      </c>
    </row>
    <row r="28" spans="1:15" s="24" customFormat="1" ht="17.75" x14ac:dyDescent="0.35">
      <c r="B28" s="38" t="s">
        <v>66</v>
      </c>
      <c r="C28" s="39"/>
      <c r="D28" s="40"/>
      <c r="E28" s="40"/>
      <c r="F28" s="40"/>
      <c r="G28" s="79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5"/>
  <sheetViews>
    <sheetView zoomScale="90" zoomScaleNormal="90" workbookViewId="0">
      <selection activeCell="F15" sqref="F1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5.69921875" style="4" bestFit="1" customWidth="1"/>
    <col min="6" max="6" width="36.5976562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51</v>
      </c>
    </row>
    <row r="4" spans="1:15" ht="17.75" x14ac:dyDescent="0.45">
      <c r="B4" s="84" t="s">
        <v>4</v>
      </c>
      <c r="C4" s="84"/>
      <c r="D4" s="84"/>
      <c r="E4" s="54">
        <f>+'FEB 25'!H8</f>
        <v>100000</v>
      </c>
      <c r="F4" s="9"/>
      <c r="G4" s="10"/>
    </row>
    <row r="5" spans="1:15" ht="17.75" x14ac:dyDescent="0.45">
      <c r="B5" s="11" t="s">
        <v>5</v>
      </c>
      <c r="C5" s="11"/>
      <c r="D5" s="11"/>
      <c r="E5" s="55"/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47250</v>
      </c>
      <c r="F8" s="9"/>
      <c r="G8" s="14" t="s">
        <v>9</v>
      </c>
      <c r="H8" s="15">
        <f>E7-E8</f>
        <v>52750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 t="s">
        <v>67</v>
      </c>
      <c r="C11" s="52" t="s">
        <v>18</v>
      </c>
      <c r="D11" s="27">
        <v>20105</v>
      </c>
      <c r="E11" s="28" t="s">
        <v>30</v>
      </c>
      <c r="F11" s="25" t="s">
        <v>68</v>
      </c>
      <c r="G11" s="29">
        <v>14000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45724</v>
      </c>
      <c r="C12" s="52" t="s">
        <v>18</v>
      </c>
      <c r="D12" s="27">
        <v>3016610916</v>
      </c>
      <c r="E12" s="28" t="s">
        <v>69</v>
      </c>
      <c r="F12" s="25" t="s">
        <v>70</v>
      </c>
      <c r="G12" s="29">
        <v>19780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26">
        <v>45735</v>
      </c>
      <c r="C13" s="52" t="s">
        <v>18</v>
      </c>
      <c r="D13" s="32">
        <v>81902563</v>
      </c>
      <c r="E13" s="53" t="s">
        <v>71</v>
      </c>
      <c r="F13" s="34" t="s">
        <v>72</v>
      </c>
      <c r="G13" s="35">
        <v>3480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26">
        <v>45736</v>
      </c>
      <c r="C14" s="52" t="s">
        <v>18</v>
      </c>
      <c r="D14" s="32">
        <v>41365901</v>
      </c>
      <c r="E14" s="53" t="s">
        <v>73</v>
      </c>
      <c r="F14" s="34" t="s">
        <v>72</v>
      </c>
      <c r="G14" s="35">
        <v>2990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6">
        <v>45742</v>
      </c>
      <c r="C15" s="52" t="s">
        <v>18</v>
      </c>
      <c r="D15" s="32">
        <v>20371</v>
      </c>
      <c r="E15" s="28" t="s">
        <v>30</v>
      </c>
      <c r="F15" s="34" t="s">
        <v>31</v>
      </c>
      <c r="G15" s="35">
        <v>7000</v>
      </c>
      <c r="H15" s="36"/>
      <c r="I15" s="24"/>
      <c r="J15" s="24"/>
      <c r="K15" s="24"/>
      <c r="L15" s="24"/>
      <c r="M15" s="24"/>
      <c r="N15" s="24"/>
      <c r="O15" s="24"/>
    </row>
    <row r="16" spans="1:15" ht="17.75" x14ac:dyDescent="0.45">
      <c r="A16" s="20">
        <v>7</v>
      </c>
      <c r="B16" s="26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6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75" x14ac:dyDescent="0.45">
      <c r="A18" s="20">
        <v>9</v>
      </c>
      <c r="B18" s="26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75" x14ac:dyDescent="0.45">
      <c r="A19" s="20">
        <v>10</v>
      </c>
      <c r="B19" s="26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75" x14ac:dyDescent="0.45">
      <c r="A20" s="20">
        <v>11</v>
      </c>
      <c r="B20" s="26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75" x14ac:dyDescent="0.45">
      <c r="A21" s="20">
        <v>12</v>
      </c>
      <c r="B21" s="26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75" x14ac:dyDescent="0.45">
      <c r="A22" s="20">
        <v>13</v>
      </c>
      <c r="B22" s="26"/>
      <c r="C22" s="31"/>
      <c r="D22" s="32"/>
      <c r="E22" s="33"/>
      <c r="F22" s="37"/>
      <c r="G22" s="35"/>
      <c r="H22" s="36"/>
    </row>
    <row r="23" spans="1:15" ht="17.75" x14ac:dyDescent="0.45">
      <c r="A23" s="20">
        <v>14</v>
      </c>
      <c r="B23" s="26"/>
      <c r="C23" s="31"/>
      <c r="D23" s="32"/>
      <c r="E23" s="33"/>
      <c r="F23" s="37"/>
      <c r="G23" s="35"/>
      <c r="H23" s="36"/>
    </row>
    <row r="24" spans="1:15" ht="17.75" x14ac:dyDescent="0.45">
      <c r="A24" s="20">
        <v>15</v>
      </c>
      <c r="B24" s="26"/>
      <c r="C24" s="31"/>
      <c r="D24" s="32"/>
      <c r="E24" s="33"/>
      <c r="F24" s="37"/>
      <c r="G24" s="35"/>
      <c r="H24" s="36"/>
    </row>
    <row r="25" spans="1:15" ht="17.75" x14ac:dyDescent="0.45">
      <c r="A25" s="20">
        <v>16</v>
      </c>
      <c r="B25" s="26"/>
      <c r="C25" s="31"/>
      <c r="D25" s="32"/>
      <c r="E25" s="33"/>
      <c r="F25" s="37"/>
      <c r="G25" s="35"/>
      <c r="H25" s="36"/>
    </row>
    <row r="26" spans="1:15" ht="17.75" x14ac:dyDescent="0.45">
      <c r="A26" s="20">
        <v>17</v>
      </c>
      <c r="B26" s="26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47250</v>
      </c>
    </row>
    <row r="28" spans="1:15" s="24" customFormat="1" ht="17.75" x14ac:dyDescent="0.35">
      <c r="B28" s="93" t="s">
        <v>74</v>
      </c>
      <c r="C28" s="94"/>
      <c r="D28" s="94"/>
      <c r="E28" s="94"/>
      <c r="F28" s="94"/>
      <c r="G28" s="95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9">
    <mergeCell ref="B30:D30"/>
    <mergeCell ref="B31:D31"/>
    <mergeCell ref="C1:H1"/>
    <mergeCell ref="C2:H2"/>
    <mergeCell ref="B4:D4"/>
    <mergeCell ref="B6:D6"/>
    <mergeCell ref="B7:D7"/>
    <mergeCell ref="B8:D8"/>
    <mergeCell ref="B28:G2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5"/>
  <sheetViews>
    <sheetView zoomScale="90" zoomScaleNormal="90" workbookViewId="0">
      <selection activeCell="F24" sqref="F24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6.39843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52</v>
      </c>
    </row>
    <row r="4" spans="1:15" ht="17.75" x14ac:dyDescent="0.45">
      <c r="B4" s="84" t="s">
        <v>4</v>
      </c>
      <c r="C4" s="84"/>
      <c r="D4" s="84"/>
      <c r="E4" s="54">
        <f>+'MAR 25'!H8</f>
        <v>52750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47250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39340</v>
      </c>
      <c r="F8" s="9"/>
      <c r="G8" s="14" t="s">
        <v>9</v>
      </c>
      <c r="H8" s="15">
        <f>E7-E8</f>
        <v>60660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45750</v>
      </c>
      <c r="C11" s="52" t="s">
        <v>75</v>
      </c>
      <c r="D11" s="27">
        <v>3035595283</v>
      </c>
      <c r="E11" s="28" t="s">
        <v>69</v>
      </c>
      <c r="F11" s="25" t="s">
        <v>76</v>
      </c>
      <c r="G11" s="29">
        <v>5970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45756</v>
      </c>
      <c r="C12" s="52" t="s">
        <v>75</v>
      </c>
      <c r="D12" s="27">
        <v>20549</v>
      </c>
      <c r="E12" s="28" t="s">
        <v>30</v>
      </c>
      <c r="F12" s="34" t="s">
        <v>31</v>
      </c>
      <c r="G12" s="29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>
        <v>45764</v>
      </c>
      <c r="C13" s="52" t="s">
        <v>75</v>
      </c>
      <c r="D13" s="32">
        <v>54461288</v>
      </c>
      <c r="E13" s="53" t="s">
        <v>77</v>
      </c>
      <c r="F13" s="34" t="s">
        <v>78</v>
      </c>
      <c r="G13" s="35">
        <v>5990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>
        <v>45771</v>
      </c>
      <c r="C14" s="52" t="s">
        <v>75</v>
      </c>
      <c r="D14" s="32">
        <v>20739</v>
      </c>
      <c r="E14" s="28" t="s">
        <v>30</v>
      </c>
      <c r="F14" s="34" t="s">
        <v>31</v>
      </c>
      <c r="G14" s="35">
        <v>7000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>
        <v>45773</v>
      </c>
      <c r="C15" s="52" t="s">
        <v>75</v>
      </c>
      <c r="D15" s="32">
        <v>167994496</v>
      </c>
      <c r="E15" s="53" t="s">
        <v>38</v>
      </c>
      <c r="F15" s="34" t="s">
        <v>79</v>
      </c>
      <c r="G15" s="35">
        <v>3390</v>
      </c>
      <c r="H15" s="36"/>
      <c r="I15" s="24"/>
      <c r="J15" s="24"/>
      <c r="K15" s="24"/>
      <c r="L15" s="24"/>
      <c r="M15" s="24"/>
      <c r="N15" s="24"/>
      <c r="O15" s="24"/>
    </row>
    <row r="16" spans="1:15" ht="17.75" x14ac:dyDescent="0.45">
      <c r="A16" s="20">
        <v>6</v>
      </c>
      <c r="B16" s="31">
        <v>45776</v>
      </c>
      <c r="C16" s="52" t="s">
        <v>75</v>
      </c>
      <c r="D16" s="32">
        <v>253572908</v>
      </c>
      <c r="E16" s="53" t="s">
        <v>25</v>
      </c>
      <c r="F16" s="34" t="s">
        <v>80</v>
      </c>
      <c r="G16" s="35">
        <v>9990</v>
      </c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7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8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9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10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11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12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13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14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15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16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39340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5"/>
  <sheetViews>
    <sheetView zoomScale="90" zoomScaleNormal="90" workbookViewId="0">
      <selection activeCell="F22" sqref="F22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9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53</v>
      </c>
    </row>
    <row r="4" spans="1:15" ht="17.75" x14ac:dyDescent="0.45">
      <c r="B4" s="84" t="s">
        <v>4</v>
      </c>
      <c r="C4" s="84"/>
      <c r="D4" s="84"/>
      <c r="E4" s="54">
        <f>+'ABR 25'!H8</f>
        <v>60660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39340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25790</v>
      </c>
      <c r="F8" s="9"/>
      <c r="G8" s="14" t="s">
        <v>9</v>
      </c>
      <c r="H8" s="15">
        <f>E7-E8</f>
        <v>74210</v>
      </c>
    </row>
    <row r="9" spans="1:15" s="16" customFormat="1" ht="24.2" x14ac:dyDescent="0.6">
      <c r="E9" s="17"/>
      <c r="F9" s="18"/>
      <c r="G9" s="19"/>
    </row>
    <row r="10" spans="1:15" s="19" customFormat="1" ht="81" customHeight="1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7.75" x14ac:dyDescent="0.45">
      <c r="A11" s="20">
        <v>1</v>
      </c>
      <c r="B11" s="26">
        <v>45423</v>
      </c>
      <c r="C11" s="52" t="s">
        <v>75</v>
      </c>
      <c r="D11" s="80">
        <v>3074347253</v>
      </c>
      <c r="E11" s="28" t="s">
        <v>69</v>
      </c>
      <c r="F11" s="25" t="s">
        <v>81</v>
      </c>
      <c r="G11" s="29">
        <v>7020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45423</v>
      </c>
      <c r="C12" s="52" t="s">
        <v>75</v>
      </c>
      <c r="D12" s="80">
        <v>54734244</v>
      </c>
      <c r="E12" s="53" t="s">
        <v>77</v>
      </c>
      <c r="F12" s="34" t="s">
        <v>82</v>
      </c>
      <c r="G12" s="29">
        <v>2290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>
        <v>45804</v>
      </c>
      <c r="C13" s="52" t="s">
        <v>75</v>
      </c>
      <c r="D13" s="81">
        <v>255127474</v>
      </c>
      <c r="E13" s="53" t="s">
        <v>57</v>
      </c>
      <c r="F13" s="34" t="s">
        <v>83</v>
      </c>
      <c r="G13" s="35">
        <v>5490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>
        <v>45789</v>
      </c>
      <c r="C14" s="52" t="s">
        <v>75</v>
      </c>
      <c r="D14" s="81">
        <v>3074124491</v>
      </c>
      <c r="E14" s="28" t="s">
        <v>69</v>
      </c>
      <c r="F14" s="34" t="s">
        <v>84</v>
      </c>
      <c r="G14" s="35">
        <v>3990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>
        <v>45791</v>
      </c>
      <c r="C15" s="52" t="s">
        <v>75</v>
      </c>
      <c r="D15" s="81">
        <v>20966</v>
      </c>
      <c r="E15" s="53" t="s">
        <v>30</v>
      </c>
      <c r="F15" s="34" t="s">
        <v>85</v>
      </c>
      <c r="G15" s="35">
        <v>7000</v>
      </c>
      <c r="H15" s="36"/>
      <c r="I15" s="24"/>
      <c r="J15" s="24"/>
      <c r="K15" s="24"/>
      <c r="L15" s="24"/>
      <c r="M15" s="24"/>
      <c r="N15" s="24"/>
      <c r="O15" s="24"/>
    </row>
    <row r="16" spans="1:15" ht="17.75" x14ac:dyDescent="0.45">
      <c r="A16" s="20">
        <v>7</v>
      </c>
      <c r="B16" s="31"/>
      <c r="C16" s="52"/>
      <c r="D16" s="32"/>
      <c r="E16" s="5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25790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5"/>
  <sheetViews>
    <sheetView zoomScale="90" zoomScaleNormal="90" workbookViewId="0">
      <selection activeCell="H8" sqref="H8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54</v>
      </c>
    </row>
    <row r="4" spans="1:15" ht="17.75" x14ac:dyDescent="0.45">
      <c r="B4" s="84" t="s">
        <v>4</v>
      </c>
      <c r="C4" s="84"/>
      <c r="D4" s="84"/>
      <c r="E4" s="54">
        <f>+'MAY 25'!H8</f>
        <v>74210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25790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14000</v>
      </c>
      <c r="F8" s="9"/>
      <c r="G8" s="14" t="s">
        <v>9</v>
      </c>
      <c r="H8" s="15">
        <f>E7-E8</f>
        <v>86000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45810</v>
      </c>
      <c r="C11" s="52" t="s">
        <v>75</v>
      </c>
      <c r="D11" s="81">
        <v>21158</v>
      </c>
      <c r="E11" s="53" t="s">
        <v>30</v>
      </c>
      <c r="F11" s="34" t="s">
        <v>85</v>
      </c>
      <c r="G11" s="35">
        <v>7000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45831</v>
      </c>
      <c r="C12" s="52" t="s">
        <v>75</v>
      </c>
      <c r="D12" s="81">
        <v>21392</v>
      </c>
      <c r="E12" s="53" t="s">
        <v>30</v>
      </c>
      <c r="F12" s="34" t="s">
        <v>85</v>
      </c>
      <c r="G12" s="35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/>
      <c r="C13" s="52"/>
      <c r="D13" s="32"/>
      <c r="E13" s="53"/>
      <c r="F13" s="34"/>
      <c r="G13" s="35"/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/>
      <c r="C14" s="52"/>
      <c r="D14" s="32"/>
      <c r="E14" s="53"/>
      <c r="F14" s="34"/>
      <c r="G14" s="35"/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14000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5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35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62</v>
      </c>
    </row>
    <row r="4" spans="1:15" ht="17.75" x14ac:dyDescent="0.45">
      <c r="B4" s="84" t="s">
        <v>4</v>
      </c>
      <c r="C4" s="84"/>
      <c r="D4" s="84"/>
      <c r="E4" s="54">
        <v>86000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14000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v>12000</v>
      </c>
      <c r="F8" s="9"/>
      <c r="G8" s="14" t="s">
        <v>9</v>
      </c>
      <c r="H8" s="15">
        <f>E7-E8</f>
        <v>88000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45908</v>
      </c>
      <c r="C11" s="52" t="s">
        <v>75</v>
      </c>
      <c r="D11" s="81">
        <v>22230</v>
      </c>
      <c r="E11" s="53" t="s">
        <v>30</v>
      </c>
      <c r="F11" s="34" t="s">
        <v>85</v>
      </c>
      <c r="G11" s="35">
        <v>12000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/>
      <c r="C12" s="52"/>
      <c r="D12" s="81"/>
      <c r="E12" s="53"/>
      <c r="F12" s="34"/>
      <c r="G12" s="35"/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31"/>
      <c r="C13" s="52"/>
      <c r="D13" s="32"/>
      <c r="E13" s="53"/>
      <c r="F13" s="34"/>
      <c r="G13" s="35"/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31"/>
      <c r="C14" s="52"/>
      <c r="D14" s="32"/>
      <c r="E14" s="53"/>
      <c r="F14" s="34"/>
      <c r="G14" s="35"/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12000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5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42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28</v>
      </c>
    </row>
    <row r="4" spans="1:15" ht="17.75" x14ac:dyDescent="0.45">
      <c r="B4" s="84" t="s">
        <v>4</v>
      </c>
      <c r="C4" s="84"/>
      <c r="D4" s="84"/>
      <c r="E4" s="54">
        <v>88000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12000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63990</v>
      </c>
      <c r="F8" s="9"/>
      <c r="G8" s="14" t="s">
        <v>9</v>
      </c>
      <c r="H8" s="15">
        <f>E7-E8</f>
        <v>36010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18.8" customHeight="1" x14ac:dyDescent="0.45">
      <c r="A11" s="20">
        <v>1</v>
      </c>
      <c r="B11" s="26">
        <v>45938</v>
      </c>
      <c r="C11" s="52" t="s">
        <v>75</v>
      </c>
      <c r="D11" s="81">
        <v>22545</v>
      </c>
      <c r="E11" s="53" t="s">
        <v>30</v>
      </c>
      <c r="F11" s="34" t="s">
        <v>85</v>
      </c>
      <c r="G11" s="35">
        <v>7000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17.75" x14ac:dyDescent="0.45">
      <c r="A12" s="20">
        <v>2</v>
      </c>
      <c r="B12" s="26">
        <v>45940</v>
      </c>
      <c r="C12" s="52" t="s">
        <v>75</v>
      </c>
      <c r="D12" s="81">
        <v>1338</v>
      </c>
      <c r="E12" s="53" t="s">
        <v>86</v>
      </c>
      <c r="F12" s="34" t="s">
        <v>87</v>
      </c>
      <c r="G12" s="35">
        <v>40000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9">
        <v>45957</v>
      </c>
      <c r="C13" s="52" t="s">
        <v>75</v>
      </c>
      <c r="D13" s="81">
        <v>260732131</v>
      </c>
      <c r="E13" s="53" t="s">
        <v>57</v>
      </c>
      <c r="F13" s="34" t="s">
        <v>88</v>
      </c>
      <c r="G13" s="35">
        <v>9990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82">
        <v>45958</v>
      </c>
      <c r="C14" s="52" t="s">
        <v>75</v>
      </c>
      <c r="D14" s="81">
        <v>22770</v>
      </c>
      <c r="E14" s="53" t="s">
        <v>30</v>
      </c>
      <c r="F14" s="34" t="s">
        <v>85</v>
      </c>
      <c r="G14" s="35">
        <v>7000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63990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5"/>
  <sheetViews>
    <sheetView zoomScale="90" zoomScaleNormal="90" workbookViewId="0">
      <selection activeCell="J21" sqref="J21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42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</v>
      </c>
    </row>
    <row r="4" spans="1:15" ht="17.75" x14ac:dyDescent="0.45">
      <c r="B4" s="84" t="s">
        <v>4</v>
      </c>
      <c r="C4" s="84"/>
      <c r="D4" s="84"/>
      <c r="E4" s="54">
        <v>88000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12000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87990</v>
      </c>
      <c r="F8" s="9"/>
      <c r="G8" s="14" t="s">
        <v>9</v>
      </c>
      <c r="H8" s="15">
        <f>E7-E8</f>
        <v>12010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6">
        <v>45974</v>
      </c>
      <c r="C11" s="52" t="s">
        <v>75</v>
      </c>
      <c r="D11" s="81">
        <v>1364</v>
      </c>
      <c r="E11" s="53" t="s">
        <v>86</v>
      </c>
      <c r="F11" s="34" t="s">
        <v>89</v>
      </c>
      <c r="G11" s="35">
        <v>40000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9">
        <v>45978</v>
      </c>
      <c r="C12" s="52" t="s">
        <v>75</v>
      </c>
      <c r="D12" s="81">
        <v>22770</v>
      </c>
      <c r="E12" s="53" t="s">
        <v>30</v>
      </c>
      <c r="F12" s="34" t="s">
        <v>85</v>
      </c>
      <c r="G12" s="35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9">
        <v>45986</v>
      </c>
      <c r="C13" s="52" t="s">
        <v>75</v>
      </c>
      <c r="D13" s="81">
        <v>56762567</v>
      </c>
      <c r="E13" s="53" t="s">
        <v>77</v>
      </c>
      <c r="F13" s="34" t="s">
        <v>90</v>
      </c>
      <c r="G13" s="35">
        <v>40990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82"/>
      <c r="C14" s="52"/>
      <c r="D14" s="81"/>
      <c r="E14" s="53"/>
      <c r="F14" s="34"/>
      <c r="G14" s="35"/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87990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5"/>
  <sheetViews>
    <sheetView topLeftCell="B1" zoomScale="90" zoomScaleNormal="90" workbookViewId="0">
      <selection activeCell="J10" sqref="J10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42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37</v>
      </c>
    </row>
    <row r="4" spans="1:15" ht="17.75" x14ac:dyDescent="0.45">
      <c r="B4" s="84" t="s">
        <v>4</v>
      </c>
      <c r="C4" s="84"/>
      <c r="D4" s="84"/>
      <c r="E4" s="54">
        <v>12010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87990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108130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/>
      <c r="B11" s="26">
        <v>46043</v>
      </c>
      <c r="C11" s="52" t="s">
        <v>91</v>
      </c>
      <c r="D11" s="81">
        <v>1423</v>
      </c>
      <c r="E11" s="53" t="s">
        <v>86</v>
      </c>
      <c r="F11" s="83" t="s">
        <v>89</v>
      </c>
      <c r="G11" s="35">
        <v>40000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/>
      <c r="B12" s="59">
        <v>46034</v>
      </c>
      <c r="C12" s="52" t="s">
        <v>91</v>
      </c>
      <c r="D12" s="81">
        <v>23562</v>
      </c>
      <c r="E12" s="53" t="s">
        <v>30</v>
      </c>
      <c r="F12" s="34" t="s">
        <v>85</v>
      </c>
      <c r="G12" s="35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9">
        <v>46032</v>
      </c>
      <c r="C13" s="52" t="s">
        <v>91</v>
      </c>
      <c r="D13" s="81">
        <v>3275696374</v>
      </c>
      <c r="E13" s="53" t="s">
        <v>47</v>
      </c>
      <c r="F13" s="34" t="s">
        <v>92</v>
      </c>
      <c r="G13" s="35">
        <v>40140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82">
        <v>46032</v>
      </c>
      <c r="C14" s="52" t="s">
        <v>91</v>
      </c>
      <c r="D14" s="81">
        <v>25004</v>
      </c>
      <c r="E14" s="53" t="s">
        <v>93</v>
      </c>
      <c r="F14" s="34" t="s">
        <v>92</v>
      </c>
      <c r="G14" s="35">
        <v>20990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108130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9"/>
      <c r="E30" s="19"/>
      <c r="F30" s="56" t="s">
        <v>49</v>
      </c>
    </row>
    <row r="31" spans="1:15" ht="17.75" x14ac:dyDescent="0.45">
      <c r="B31" s="85"/>
      <c r="C31" s="85"/>
      <c r="D31" s="92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5"/>
  <sheetViews>
    <sheetView tabSelected="1" topLeftCell="A3" workbookViewId="0">
      <selection activeCell="F6" sqref="F6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50" customWidth="1"/>
    <col min="5" max="5" width="14.69921875" style="4" customWidth="1"/>
    <col min="6" max="6" width="42" style="51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86" t="s">
        <v>0</v>
      </c>
      <c r="D1" s="86"/>
      <c r="E1" s="86"/>
      <c r="F1" s="86"/>
      <c r="G1" s="86"/>
      <c r="H1" s="86"/>
    </row>
    <row r="2" spans="1:15" ht="38.950000000000003" customHeight="1" x14ac:dyDescent="0.6">
      <c r="B2" s="1"/>
      <c r="C2" s="86" t="s">
        <v>1</v>
      </c>
      <c r="D2" s="86"/>
      <c r="E2" s="86"/>
      <c r="F2" s="86"/>
      <c r="G2" s="86"/>
      <c r="H2" s="86"/>
    </row>
    <row r="3" spans="1:15" ht="24.05" customHeight="1" x14ac:dyDescent="0.55000000000000004">
      <c r="D3" s="3"/>
      <c r="F3" s="5"/>
      <c r="G3" s="6" t="s">
        <v>2</v>
      </c>
      <c r="H3" s="7" t="s">
        <v>37</v>
      </c>
    </row>
    <row r="4" spans="1:15" ht="17.75" x14ac:dyDescent="0.45">
      <c r="B4" s="84" t="s">
        <v>4</v>
      </c>
      <c r="C4" s="84"/>
      <c r="D4" s="84"/>
      <c r="E4" s="54">
        <v>12010</v>
      </c>
      <c r="F4" s="9"/>
      <c r="G4" s="10"/>
    </row>
    <row r="5" spans="1:15" ht="17.75" x14ac:dyDescent="0.45">
      <c r="B5" s="11" t="s">
        <v>5</v>
      </c>
      <c r="C5" s="11"/>
      <c r="D5" s="11"/>
      <c r="E5" s="55">
        <v>87990</v>
      </c>
      <c r="F5" s="9"/>
      <c r="G5" s="10"/>
    </row>
    <row r="6" spans="1:15" ht="17.75" x14ac:dyDescent="0.45">
      <c r="B6" s="84" t="s">
        <v>6</v>
      </c>
      <c r="C6" s="84"/>
      <c r="D6" s="84"/>
      <c r="E6" s="8">
        <v>0</v>
      </c>
      <c r="F6" s="9"/>
    </row>
    <row r="7" spans="1:15" ht="17.75" x14ac:dyDescent="0.45">
      <c r="B7" s="87" t="s">
        <v>7</v>
      </c>
      <c r="C7" s="87"/>
      <c r="D7" s="87"/>
      <c r="E7" s="8">
        <f>SUM(E4:E6)</f>
        <v>100000</v>
      </c>
      <c r="F7" s="9"/>
      <c r="G7" s="12"/>
    </row>
    <row r="8" spans="1:15" ht="17.75" x14ac:dyDescent="0.45">
      <c r="B8" s="88" t="s">
        <v>8</v>
      </c>
      <c r="C8" s="88"/>
      <c r="D8" s="88"/>
      <c r="E8" s="13">
        <f>+G27</f>
        <v>108130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/>
      <c r="B11" s="26">
        <v>46043</v>
      </c>
      <c r="C11" s="52" t="s">
        <v>91</v>
      </c>
      <c r="D11" s="81">
        <v>1423</v>
      </c>
      <c r="E11" s="53" t="s">
        <v>86</v>
      </c>
      <c r="F11" s="83" t="s">
        <v>89</v>
      </c>
      <c r="G11" s="35">
        <v>40000</v>
      </c>
      <c r="H11" s="30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/>
      <c r="B12" s="59">
        <v>46034</v>
      </c>
      <c r="C12" s="52" t="s">
        <v>91</v>
      </c>
      <c r="D12" s="81">
        <v>23562</v>
      </c>
      <c r="E12" s="53" t="s">
        <v>30</v>
      </c>
      <c r="F12" s="34" t="s">
        <v>85</v>
      </c>
      <c r="G12" s="35">
        <v>7000</v>
      </c>
      <c r="H12" s="30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9">
        <v>46032</v>
      </c>
      <c r="C13" s="52" t="s">
        <v>91</v>
      </c>
      <c r="D13" s="81">
        <v>3275696374</v>
      </c>
      <c r="E13" s="53" t="s">
        <v>47</v>
      </c>
      <c r="F13" s="34" t="s">
        <v>92</v>
      </c>
      <c r="G13" s="35">
        <v>40140</v>
      </c>
      <c r="H13" s="36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82">
        <v>46032</v>
      </c>
      <c r="C14" s="52" t="s">
        <v>91</v>
      </c>
      <c r="D14" s="81">
        <v>25004</v>
      </c>
      <c r="E14" s="53" t="s">
        <v>93</v>
      </c>
      <c r="F14" s="34" t="s">
        <v>92</v>
      </c>
      <c r="G14" s="35">
        <v>20990</v>
      </c>
      <c r="H14" s="36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31"/>
      <c r="C15" s="52"/>
      <c r="D15" s="32"/>
      <c r="E15" s="53"/>
      <c r="F15" s="34"/>
      <c r="G15" s="35"/>
      <c r="H15" s="36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31"/>
      <c r="C16" s="31"/>
      <c r="D16" s="32"/>
      <c r="E16" s="33"/>
      <c r="F16" s="34"/>
      <c r="G16" s="35"/>
      <c r="H16" s="36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31"/>
      <c r="C17" s="31"/>
      <c r="D17" s="32"/>
      <c r="E17" s="33"/>
      <c r="F17" s="34"/>
      <c r="G17" s="35"/>
      <c r="H17" s="36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31"/>
      <c r="C18" s="31"/>
      <c r="D18" s="32"/>
      <c r="E18" s="33"/>
      <c r="F18" s="37"/>
      <c r="G18" s="35"/>
      <c r="H18" s="36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31"/>
      <c r="C19" s="31"/>
      <c r="D19" s="32"/>
      <c r="E19" s="33"/>
      <c r="F19" s="37"/>
      <c r="G19" s="35"/>
      <c r="H19" s="36"/>
      <c r="I19" s="24"/>
      <c r="J19" s="24"/>
      <c r="K19" s="24"/>
      <c r="L19" s="24"/>
      <c r="M19" s="24"/>
      <c r="N19" s="24"/>
      <c r="O19" s="24"/>
    </row>
    <row r="20" spans="1:15" ht="17.2" x14ac:dyDescent="0.45">
      <c r="A20" s="20">
        <v>11</v>
      </c>
      <c r="B20" s="31"/>
      <c r="C20" s="31"/>
      <c r="D20" s="32"/>
      <c r="E20" s="33"/>
      <c r="F20" s="37"/>
      <c r="G20" s="35"/>
      <c r="H20" s="36"/>
      <c r="I20" s="24"/>
      <c r="J20" s="24"/>
      <c r="K20" s="24"/>
      <c r="L20" s="24"/>
      <c r="M20" s="24"/>
      <c r="N20" s="24"/>
      <c r="O20" s="24"/>
    </row>
    <row r="21" spans="1:15" ht="17.2" x14ac:dyDescent="0.45">
      <c r="A21" s="20">
        <v>12</v>
      </c>
      <c r="B21" s="31"/>
      <c r="C21" s="31"/>
      <c r="D21" s="32"/>
      <c r="E21" s="33"/>
      <c r="F21" s="37"/>
      <c r="G21" s="35"/>
      <c r="H21" s="36"/>
      <c r="I21" s="24"/>
      <c r="J21" s="24"/>
      <c r="K21" s="24"/>
      <c r="L21" s="24"/>
      <c r="M21" s="24"/>
      <c r="N21" s="24"/>
      <c r="O21" s="24"/>
    </row>
    <row r="22" spans="1:15" ht="17.2" x14ac:dyDescent="0.45">
      <c r="A22" s="20">
        <v>13</v>
      </c>
      <c r="B22" s="31"/>
      <c r="C22" s="31"/>
      <c r="D22" s="32"/>
      <c r="E22" s="33"/>
      <c r="F22" s="37"/>
      <c r="G22" s="35"/>
      <c r="H22" s="36"/>
    </row>
    <row r="23" spans="1:15" ht="17.2" x14ac:dyDescent="0.45">
      <c r="A23" s="20">
        <v>14</v>
      </c>
      <c r="B23" s="31"/>
      <c r="C23" s="31"/>
      <c r="D23" s="32"/>
      <c r="E23" s="33"/>
      <c r="F23" s="37"/>
      <c r="G23" s="35"/>
      <c r="H23" s="36"/>
    </row>
    <row r="24" spans="1:15" ht="17.2" x14ac:dyDescent="0.45">
      <c r="A24" s="20">
        <v>15</v>
      </c>
      <c r="B24" s="31"/>
      <c r="C24" s="31"/>
      <c r="D24" s="32"/>
      <c r="E24" s="33"/>
      <c r="F24" s="37"/>
      <c r="G24" s="35"/>
      <c r="H24" s="36"/>
    </row>
    <row r="25" spans="1:15" ht="17.2" x14ac:dyDescent="0.45">
      <c r="A25" s="20">
        <v>16</v>
      </c>
      <c r="B25" s="31"/>
      <c r="C25" s="31"/>
      <c r="D25" s="32"/>
      <c r="E25" s="33"/>
      <c r="F25" s="37"/>
      <c r="G25" s="35"/>
      <c r="H25" s="36"/>
    </row>
    <row r="26" spans="1:15" ht="17.2" x14ac:dyDescent="0.45">
      <c r="A26" s="20">
        <v>17</v>
      </c>
      <c r="B26" s="31"/>
      <c r="C26" s="31"/>
      <c r="D26" s="32"/>
      <c r="E26" s="33"/>
      <c r="F26" s="37"/>
      <c r="G26" s="35"/>
      <c r="H26" s="36"/>
    </row>
    <row r="27" spans="1:15" s="24" customFormat="1" ht="17.75" x14ac:dyDescent="0.45">
      <c r="B27" s="38" t="s">
        <v>27</v>
      </c>
      <c r="C27" s="39"/>
      <c r="D27" s="40"/>
      <c r="E27" s="40"/>
      <c r="F27" s="40"/>
      <c r="G27" s="41">
        <f>SUM(G11:G26)</f>
        <v>108130</v>
      </c>
    </row>
    <row r="28" spans="1:15" s="24" customFormat="1" ht="17.75" x14ac:dyDescent="0.45">
      <c r="B28" s="42"/>
      <c r="C28" s="42"/>
      <c r="D28" s="43"/>
      <c r="E28" s="43"/>
      <c r="F28" s="43"/>
      <c r="G28" s="44"/>
    </row>
    <row r="29" spans="1:15" s="24" customFormat="1" ht="17.75" x14ac:dyDescent="0.45">
      <c r="B29" s="45"/>
      <c r="C29" s="45"/>
      <c r="D29" s="46"/>
      <c r="E29" s="46"/>
      <c r="F29" s="57" t="s">
        <v>48</v>
      </c>
      <c r="G29" s="47"/>
    </row>
    <row r="30" spans="1:15" ht="17.75" x14ac:dyDescent="0.45">
      <c r="B30" s="84"/>
      <c r="C30" s="84"/>
      <c r="D30" s="84"/>
      <c r="E30" s="19"/>
      <c r="F30" s="56" t="s">
        <v>49</v>
      </c>
    </row>
    <row r="31" spans="1:15" ht="17.75" x14ac:dyDescent="0.45">
      <c r="B31" s="85"/>
      <c r="C31" s="85"/>
      <c r="D31" s="85"/>
      <c r="E31" s="48"/>
      <c r="F31" s="24"/>
      <c r="G31" s="49"/>
    </row>
    <row r="32" spans="1:15" s="24" customFormat="1" ht="17.75" x14ac:dyDescent="0.45">
      <c r="B32" s="45"/>
      <c r="C32" s="45"/>
      <c r="D32" s="46"/>
      <c r="E32" s="46"/>
      <c r="G32" s="47"/>
    </row>
    <row r="33" spans="2:7" s="24" customFormat="1" ht="17.75" x14ac:dyDescent="0.45">
      <c r="B33" s="45"/>
      <c r="C33" s="45"/>
      <c r="D33" s="46"/>
      <c r="E33" s="46"/>
      <c r="F33" s="46"/>
      <c r="G33" s="47"/>
    </row>
    <row r="34" spans="2:7" s="24" customFormat="1" ht="17.75" x14ac:dyDescent="0.45">
      <c r="B34" s="45"/>
      <c r="C34" s="45"/>
      <c r="D34" s="46"/>
      <c r="E34" s="46"/>
      <c r="F34" s="46"/>
      <c r="G34" s="47"/>
    </row>
    <row r="35" spans="2:7" s="24" customFormat="1" ht="17.75" x14ac:dyDescent="0.45">
      <c r="B35" s="45"/>
      <c r="C35" s="45"/>
      <c r="D35" s="46"/>
      <c r="E35" s="46"/>
      <c r="F35" s="46"/>
      <c r="G35" s="47"/>
    </row>
    <row r="36" spans="2:7" s="24" customFormat="1" ht="17.75" x14ac:dyDescent="0.45">
      <c r="B36" s="45"/>
      <c r="C36" s="45"/>
      <c r="D36" s="46"/>
      <c r="E36" s="46"/>
      <c r="F36" s="46"/>
      <c r="G36" s="47"/>
    </row>
    <row r="37" spans="2:7" s="24" customFormat="1" ht="17.75" x14ac:dyDescent="0.45">
      <c r="B37" s="45"/>
      <c r="C37" s="45"/>
      <c r="D37" s="46"/>
      <c r="E37" s="46"/>
      <c r="F37" s="46"/>
      <c r="G37" s="47"/>
    </row>
    <row r="38" spans="2:7" s="24" customFormat="1" ht="17.75" x14ac:dyDescent="0.45">
      <c r="B38" s="45"/>
      <c r="C38" s="45"/>
      <c r="D38" s="46"/>
      <c r="E38" s="46"/>
      <c r="F38" s="46"/>
      <c r="G38" s="47"/>
    </row>
    <row r="39" spans="2:7" s="24" customFormat="1" ht="17.75" x14ac:dyDescent="0.45">
      <c r="B39" s="45"/>
      <c r="C39" s="45"/>
      <c r="D39" s="46"/>
      <c r="E39" s="46"/>
      <c r="F39" s="46"/>
      <c r="G39" s="47"/>
    </row>
    <row r="40" spans="2:7" s="24" customFormat="1" ht="17.75" x14ac:dyDescent="0.45">
      <c r="B40" s="45"/>
      <c r="C40" s="45"/>
      <c r="D40" s="46"/>
      <c r="E40" s="46"/>
      <c r="F40" s="46"/>
      <c r="G40" s="47"/>
    </row>
    <row r="41" spans="2:7" s="24" customFormat="1" ht="17.75" x14ac:dyDescent="0.45">
      <c r="B41" s="45"/>
      <c r="C41" s="45"/>
      <c r="D41" s="46"/>
      <c r="E41" s="46"/>
      <c r="F41" s="46"/>
      <c r="G41" s="47"/>
    </row>
    <row r="42" spans="2:7" s="24" customFormat="1" ht="17.75" x14ac:dyDescent="0.45">
      <c r="B42" s="45"/>
      <c r="C42" s="45"/>
      <c r="D42" s="46"/>
      <c r="E42" s="46"/>
      <c r="F42" s="46"/>
      <c r="G42" s="47"/>
    </row>
    <row r="43" spans="2:7" s="24" customFormat="1" ht="17.75" x14ac:dyDescent="0.45">
      <c r="B43" s="45"/>
      <c r="C43" s="45"/>
      <c r="D43" s="46"/>
      <c r="E43" s="46"/>
      <c r="F43" s="46"/>
      <c r="G43" s="47"/>
    </row>
    <row r="44" spans="2:7" s="24" customFormat="1" ht="17.75" x14ac:dyDescent="0.45">
      <c r="B44" s="45"/>
      <c r="C44" s="45"/>
      <c r="D44" s="46"/>
      <c r="E44" s="46"/>
      <c r="F44" s="46"/>
      <c r="G44" s="47"/>
    </row>
    <row r="45" spans="2:7" s="24" customFormat="1" ht="17.75" x14ac:dyDescent="0.45">
      <c r="B45" s="45"/>
      <c r="C45" s="45"/>
      <c r="D45" s="46"/>
      <c r="E45" s="46"/>
      <c r="F45" s="46"/>
      <c r="G45" s="47"/>
    </row>
  </sheetData>
  <mergeCells count="8">
    <mergeCell ref="B30:D30"/>
    <mergeCell ref="B31:D31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E55BE1-BAAD-4426-968D-B7F3E08C78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07D5A4-19F0-41A9-BDC5-1CB180AEAE7D}">
  <ds:schemaRefs>
    <ds:schemaRef ds:uri="http://schemas.microsoft.com/sharepoint/v3"/>
    <ds:schemaRef ds:uri="http://purl.org/dc/terms/"/>
    <ds:schemaRef ds:uri="fa8ec313-c772-4af8-8363-8ff52de2e6b8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6a7ff2fa-cd4c-4111-a6ab-75351164d87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6158DE-F734-466B-83EC-7ED162BE3B7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12</vt:i4>
      </vt:variant>
    </vt:vector>
  </HeadingPairs>
  <TitlesOfParts>
    <vt:vector size="31" baseType="lpstr">
      <vt:lpstr>OCT</vt:lpstr>
      <vt:lpstr>NOV</vt:lpstr>
      <vt:lpstr>DIC</vt:lpstr>
      <vt:lpstr>historico</vt:lpstr>
      <vt:lpstr>ENE 25</vt:lpstr>
      <vt:lpstr>FEB 25</vt:lpstr>
      <vt:lpstr>MAR 25</vt:lpstr>
      <vt:lpstr>ABR 25</vt:lpstr>
      <vt:lpstr>MAY 25</vt:lpstr>
      <vt:lpstr>JUN 25</vt:lpstr>
      <vt:lpstr>JUL 25</vt:lpstr>
      <vt:lpstr>OCT 25</vt:lpstr>
      <vt:lpstr>NOV 25</vt:lpstr>
      <vt:lpstr>DIC 25 </vt:lpstr>
      <vt:lpstr>ENE 26</vt:lpstr>
      <vt:lpstr>Hoja2</vt:lpstr>
      <vt:lpstr>Hoja3</vt:lpstr>
      <vt:lpstr>Hoja4</vt:lpstr>
      <vt:lpstr>Hoja5</vt:lpstr>
      <vt:lpstr>'ABR 25'!Área_de_impresión</vt:lpstr>
      <vt:lpstr>DIC!Área_de_impresión</vt:lpstr>
      <vt:lpstr>'DIC 25 '!Área_de_impresión</vt:lpstr>
      <vt:lpstr>'ENE 25'!Área_de_impresión</vt:lpstr>
      <vt:lpstr>'FEB 25'!Área_de_impresión</vt:lpstr>
      <vt:lpstr>'JUL 25'!Área_de_impresión</vt:lpstr>
      <vt:lpstr>'JUN 25'!Área_de_impresión</vt:lpstr>
      <vt:lpstr>'MAR 25'!Área_de_impresión</vt:lpstr>
      <vt:lpstr>'MAY 25'!Área_de_impresión</vt:lpstr>
      <vt:lpstr>NOV!Área_de_impresión</vt:lpstr>
      <vt:lpstr>'NOV 25'!Área_de_impresión</vt:lpstr>
      <vt:lpstr>'OCT 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Costanera</dc:creator>
  <cp:keywords/>
  <dc:description/>
  <cp:lastModifiedBy>Carolina Cabrera</cp:lastModifiedBy>
  <cp:revision/>
  <dcterms:created xsi:type="dcterms:W3CDTF">2024-10-05T00:14:32Z</dcterms:created>
  <dcterms:modified xsi:type="dcterms:W3CDTF">2026-02-13T21:23:05Z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