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21" documentId="11_1920F19E175EE21FE4025212B3B6171F5E17AEB3" xr6:coauthVersionLast="47" xr6:coauthVersionMax="47" xr10:uidLastSave="{283527BF-85A4-4174-9CD6-C69E4272025C}"/>
  <bookViews>
    <workbookView xWindow="20525" yWindow="-107" windowWidth="20848" windowHeight="11111" tabRatio="864" firstSheet="14" activeTab="15" xr2:uid="{00000000-000D-0000-FFFF-FFFF00000000}"/>
  </bookViews>
  <sheets>
    <sheet name="OCTUBRE" sheetId="4" state="hidden" r:id="rId1"/>
    <sheet name="NOVIEMBRE" sheetId="5" state="hidden" r:id="rId2"/>
    <sheet name="DICIEMBRE" sheetId="6" state="hidden" r:id="rId3"/>
    <sheet name="ENERO" sheetId="7" state="hidden" r:id="rId4"/>
    <sheet name="FEBRERO" sheetId="8" state="hidden" r:id="rId5"/>
    <sheet name="MARZO" sheetId="9" state="hidden" r:id="rId6"/>
    <sheet name="ABRIL" sheetId="10" state="hidden" r:id="rId7"/>
    <sheet name="MAYO" sheetId="11" state="hidden" r:id="rId8"/>
    <sheet name="JUNIO" sheetId="12" state="hidden" r:id="rId9"/>
    <sheet name="JULIO" sheetId="13" state="hidden" r:id="rId10"/>
    <sheet name="AGOSTO" sheetId="14" state="hidden" r:id="rId11"/>
    <sheet name="SEPTIEMBRE" sheetId="15" state="hidden" r:id="rId12"/>
    <sheet name="OCTUBRE25" sheetId="16" state="hidden" r:id="rId13"/>
    <sheet name="NOVIEMBRE25" sheetId="17" state="hidden" r:id="rId14"/>
    <sheet name="DICIEMBRE25" sheetId="18" r:id="rId15"/>
    <sheet name="ENERO26" sheetId="20" r:id="rId16"/>
  </sheets>
  <definedNames>
    <definedName name="_xlnm.Print_Area" localSheetId="2">DICIEMBRE!$A$1:$H$27</definedName>
    <definedName name="_xlnm.Print_Area" localSheetId="1">NOVIEMBRE!$A$1:$H$27</definedName>
    <definedName name="_xlnm.Print_Area" localSheetId="0">OCTUBRE!$A$1:$H$27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0" l="1"/>
  <c r="E8" i="20" s="1"/>
  <c r="G26" i="18" l="1"/>
  <c r="E8" i="18" s="1"/>
  <c r="G26" i="17" l="1"/>
  <c r="E8" i="17" s="1"/>
  <c r="G26" i="16" l="1"/>
  <c r="E8" i="16" s="1"/>
  <c r="G26" i="15" l="1"/>
  <c r="E8" i="15" s="1"/>
  <c r="G26" i="14" l="1"/>
  <c r="E8" i="14" s="1"/>
  <c r="G26" i="13" l="1"/>
  <c r="E8" i="13" s="1"/>
  <c r="G26" i="12" l="1"/>
  <c r="E8" i="12" s="1"/>
  <c r="G26" i="11" l="1"/>
  <c r="E8" i="11"/>
  <c r="G26" i="10" l="1"/>
  <c r="E8" i="10" s="1"/>
  <c r="G26" i="9" l="1"/>
  <c r="E8" i="9" s="1"/>
  <c r="G26" i="8" l="1"/>
  <c r="E8" i="8" l="1"/>
  <c r="G26" i="7" l="1"/>
  <c r="E8" i="7" s="1"/>
  <c r="G26" i="4" l="1"/>
  <c r="E8" i="4" s="1"/>
  <c r="G26" i="6"/>
  <c r="E8" i="6" s="1"/>
  <c r="G26" i="5"/>
  <c r="E8" i="5" s="1"/>
  <c r="E7" i="4" l="1"/>
  <c r="H8" i="4" s="1"/>
  <c r="E4" i="5" s="1"/>
  <c r="E7" i="5" s="1"/>
  <c r="H8" i="5" s="1"/>
  <c r="E4" i="6" s="1"/>
  <c r="E7" i="6" s="1"/>
  <c r="H8" i="6" s="1"/>
  <c r="E4" i="7" s="1"/>
  <c r="E7" i="7" s="1"/>
  <c r="H8" i="7" s="1"/>
  <c r="E4" i="8" s="1"/>
  <c r="E7" i="8" s="1"/>
  <c r="H8" i="8" s="1"/>
  <c r="E4" i="9" s="1"/>
  <c r="E7" i="9" s="1"/>
  <c r="H8" i="9" s="1"/>
  <c r="E4" i="10" s="1"/>
  <c r="E7" i="10" s="1"/>
  <c r="H8" i="10" s="1"/>
  <c r="E4" i="11" s="1"/>
  <c r="E7" i="11" s="1"/>
  <c r="H8" i="11" s="1"/>
  <c r="E4" i="12" s="1"/>
  <c r="E7" i="12" s="1"/>
  <c r="H8" i="12" s="1"/>
  <c r="E4" i="13" s="1"/>
  <c r="E7" i="13" s="1"/>
  <c r="H8" i="13" s="1"/>
  <c r="E4" i="14" s="1"/>
  <c r="E7" i="14" l="1"/>
  <c r="H8" i="14" s="1"/>
  <c r="E4" i="15" s="1"/>
  <c r="E7" i="15" s="1"/>
  <c r="H8" i="15" s="1"/>
  <c r="E4" i="16" s="1"/>
  <c r="E7" i="16" s="1"/>
  <c r="H8" i="16" s="1"/>
  <c r="E4" i="17" s="1"/>
  <c r="E7" i="17" s="1"/>
  <c r="H8" i="17" s="1"/>
  <c r="E4" i="18" s="1"/>
  <c r="E7" i="18" s="1"/>
  <c r="H8" i="18" s="1"/>
  <c r="E4" i="20" s="1"/>
  <c r="E7" i="20" s="1"/>
  <c r="H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sharedStrings.xml><?xml version="1.0" encoding="utf-8"?>
<sst xmlns="http://schemas.openxmlformats.org/spreadsheetml/2006/main" count="531" uniqueCount="119">
  <si>
    <t xml:space="preserve">RENDICION CAJA CHICA  </t>
  </si>
  <si>
    <t>MallPlaza Norte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</si>
  <si>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</si>
  <si>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</si>
  <si>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</si>
  <si>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</si>
  <si>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</si>
  <si>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</si>
  <si>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</si>
  <si>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</si>
  <si>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</si>
  <si>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</si>
  <si>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</si>
  <si>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</si>
  <si>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</si>
  <si>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</si>
  <si>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200</t>
  </si>
  <si>
    <t>TOTALES</t>
  </si>
  <si>
    <t>OCTUBRE</t>
  </si>
  <si>
    <t>BOLETA</t>
  </si>
  <si>
    <t>76457708-6</t>
  </si>
  <si>
    <t>EXTENSION CABLE USB</t>
  </si>
  <si>
    <t>96792430-K</t>
  </si>
  <si>
    <t>SOPORTE PC/ CINTA AISLDORA</t>
  </si>
  <si>
    <t>BIDON AGUA Y VASOS</t>
  </si>
  <si>
    <t>96811130-2</t>
  </si>
  <si>
    <t>DESAYUNO BIENVENIDA</t>
  </si>
  <si>
    <t>TORTA CUMPLEAÑOS LUIS</t>
  </si>
  <si>
    <t>76722559-K</t>
  </si>
  <si>
    <t xml:space="preserve">CABLE USB </t>
  </si>
  <si>
    <t>83030600-5</t>
  </si>
  <si>
    <t>ADAPTADOR PISTOLA</t>
  </si>
  <si>
    <t>ASPIRADORA</t>
  </si>
  <si>
    <t>83030600-K</t>
  </si>
  <si>
    <t>MINICOMPONENTE AUDIO</t>
  </si>
  <si>
    <t>VIAJE JONA</t>
  </si>
  <si>
    <t>NOVIEMBRE</t>
  </si>
  <si>
    <t>DICIEMBRE</t>
  </si>
  <si>
    <t>OC017366</t>
  </si>
  <si>
    <t>77093957-7</t>
  </si>
  <si>
    <t>BIDONES DE AGUA Y BOMBA</t>
  </si>
  <si>
    <t>CAJAS OGANIZADORA</t>
  </si>
  <si>
    <t>PERFORADORA</t>
  </si>
  <si>
    <t xml:space="preserve">CAJERO </t>
  </si>
  <si>
    <t>ESPUMANTE EVENTO INAUGURACION</t>
  </si>
  <si>
    <t>JUEGO DE HERRAMIENTAS</t>
  </si>
  <si>
    <t>77261280-K</t>
  </si>
  <si>
    <t>JEANS LU</t>
  </si>
  <si>
    <t>10172852-8</t>
  </si>
  <si>
    <t>LIMPIEZA VITRINA</t>
  </si>
  <si>
    <t>96.792.430-K</t>
  </si>
  <si>
    <t>ESCALERA PEQUEÑA Y COLGADORES</t>
  </si>
  <si>
    <t>CHIP ENTEL</t>
  </si>
  <si>
    <t>NOVA Y BOLSAS BASURA</t>
  </si>
  <si>
    <t>76.322.590-9</t>
  </si>
  <si>
    <t>CINTAS REGALO</t>
  </si>
  <si>
    <t>92.642.000-3</t>
  </si>
  <si>
    <t>LIMPIEZA VIDRIOS</t>
  </si>
  <si>
    <t>PAPEL IMPRESORA</t>
  </si>
  <si>
    <t>10.172.852-8</t>
  </si>
  <si>
    <t>DESAYUNO RECEPCION MERCADERIA</t>
  </si>
  <si>
    <t>UBER NOCHE</t>
  </si>
  <si>
    <t>COPIA CONTROL</t>
  </si>
  <si>
    <t>ATRIL</t>
  </si>
  <si>
    <t>BIDONES AGUA</t>
  </si>
  <si>
    <t>PERFORADORA CINTURON</t>
  </si>
  <si>
    <t>UBER DE BODEGA</t>
  </si>
  <si>
    <t>BIDEONES DE AGUA</t>
  </si>
  <si>
    <t>UBER A NORTE</t>
  </si>
  <si>
    <t>UBER A OESTE</t>
  </si>
  <si>
    <t>UBER A VESPUCIO</t>
  </si>
  <si>
    <t>MARZO</t>
  </si>
  <si>
    <t>TRASLADO GAEL</t>
  </si>
  <si>
    <t>TORTA DIA DE LA MUJER</t>
  </si>
  <si>
    <t>21321577-9</t>
  </si>
  <si>
    <t>UBER REUNION</t>
  </si>
  <si>
    <t>CUMPLEAÑOS MAURICIO</t>
  </si>
  <si>
    <t>76134941-4</t>
  </si>
  <si>
    <t>77.093.957-7</t>
  </si>
  <si>
    <t>HERVIDOR Y LIJA</t>
  </si>
  <si>
    <t>77.115.570-7</t>
  </si>
  <si>
    <t>DESAYUNO POR MERCADERIA</t>
  </si>
  <si>
    <t>21.321.577-9</t>
  </si>
  <si>
    <t>77.099.010-6</t>
  </si>
  <si>
    <t>HERRAMIENTAS</t>
  </si>
  <si>
    <t>MAYO</t>
  </si>
  <si>
    <t>96.811.130-2</t>
  </si>
  <si>
    <t>DESAYUNO REUNION</t>
  </si>
  <si>
    <t>JUNIO</t>
  </si>
  <si>
    <t>BIDONES DE AGUA</t>
  </si>
  <si>
    <t xml:space="preserve">DESAYUNO BIENVENIDA YARITZA </t>
  </si>
  <si>
    <t>JULIO</t>
  </si>
  <si>
    <t>77.261.280-k</t>
  </si>
  <si>
    <t xml:space="preserve">PANTALONES YARITZA </t>
  </si>
  <si>
    <t>83.030.600-5</t>
  </si>
  <si>
    <t>FUENTE DE PODER (ESTEBAN)</t>
  </si>
  <si>
    <t>AGOSTO</t>
  </si>
  <si>
    <t>76.076.630-5</t>
  </si>
  <si>
    <t xml:space="preserve">PILAS TECLADO </t>
  </si>
  <si>
    <t>78.885.550-8</t>
  </si>
  <si>
    <t>PENDRIVE TELEVISION</t>
  </si>
  <si>
    <t>93.640.000-0</t>
  </si>
  <si>
    <t>AGUJA PISTOLA ETIQUETADORA</t>
  </si>
  <si>
    <t>76.134.941-4</t>
  </si>
  <si>
    <t>ASADO 18</t>
  </si>
  <si>
    <t>21.321.577-7</t>
  </si>
  <si>
    <t>SEPTIEMBRE</t>
  </si>
  <si>
    <t>BIDEONES AGUA</t>
  </si>
  <si>
    <t>77.322.070-0</t>
  </si>
  <si>
    <t>CAMBIO EXTINTORES</t>
  </si>
  <si>
    <t>FACTURA</t>
  </si>
  <si>
    <t>77.261.280-K</t>
  </si>
  <si>
    <t>PANTALONES PEDRO</t>
  </si>
  <si>
    <t>CINTAS DE REGALO</t>
  </si>
  <si>
    <t>77.209.443-4</t>
  </si>
  <si>
    <t>VIAJE UBER REPOSICION NOCHE</t>
  </si>
  <si>
    <t>83.382.700-6</t>
  </si>
  <si>
    <t>PANTALONES LILY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</si>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</sst>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2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b/>
      <i/>
      <sz val="10"/>
      <color rgb="FFFF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4" fontId="17" fillId="4" borderId="3" xfId="0" applyNumberFormat="1" applyFont="1" applyFill="1" applyBorder="1" applyAlignment="1">
      <alignment horizontal="left"/>
    </xf>
    <xf numFmtId="0" fontId="17" fillId="4" borderId="3" xfId="0" applyFont="1" applyFill="1" applyBorder="1" applyAlignment="1">
      <alignment horizontal="left" wrapText="1"/>
    </xf>
    <xf numFmtId="3" fontId="17" fillId="4" borderId="4" xfId="0" applyNumberFormat="1" applyFont="1" applyFill="1" applyBorder="1" applyAlignment="1">
      <alignment horizontal="left" wrapText="1"/>
    </xf>
    <xf numFmtId="166" fontId="17" fillId="4" borderId="3" xfId="1" applyNumberFormat="1" applyFont="1" applyFill="1" applyBorder="1" applyAlignment="1">
      <alignment horizontal="right"/>
    </xf>
    <xf numFmtId="165" fontId="13" fillId="5" borderId="1" xfId="1" applyNumberFormat="1" applyFont="1" applyFill="1" applyBorder="1" applyAlignment="1">
      <alignment horizontal="center" vertical="center"/>
    </xf>
    <xf numFmtId="165" fontId="19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16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333EB-1F8C-4453-8AC3-96EC0501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730250</xdr:colOff>
      <xdr:row>9</xdr:row>
      <xdr:rowOff>105833</xdr:rowOff>
    </xdr:from>
    <xdr:to>
      <xdr:col>16</xdr:col>
      <xdr:colOff>456435</xdr:colOff>
      <xdr:row>21</xdr:row>
      <xdr:rowOff>71981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B318AC-EDF9-534F-892B-183C4143F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6917" y="2889250"/>
          <a:ext cx="5822185" cy="4072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B21F3F-382C-4EFE-BD92-88755903F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9</xdr:col>
      <xdr:colOff>21167</xdr:colOff>
      <xdr:row>9</xdr:row>
      <xdr:rowOff>95250</xdr:rowOff>
    </xdr:from>
    <xdr:to>
      <xdr:col>16</xdr:col>
      <xdr:colOff>509352</xdr:colOff>
      <xdr:row>23</xdr:row>
      <xdr:rowOff>103731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470BDC-B082-4854-8ED5-F7A3E3FC6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67334" y="2878667"/>
          <a:ext cx="5822185" cy="4072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1178983</xdr:colOff>
      <xdr:row>5</xdr:row>
      <xdr:rowOff>13825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0"/>
          <a:ext cx="1083733" cy="1518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0</xdr:col>
      <xdr:colOff>1114425</xdr:colOff>
      <xdr:row>4</xdr:row>
      <xdr:rowOff>161926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1019175" cy="1447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</xdr:rowOff>
    </xdr:from>
    <xdr:to>
      <xdr:col>0</xdr:col>
      <xdr:colOff>838201</xdr:colOff>
      <xdr:row>4</xdr:row>
      <xdr:rowOff>213913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"/>
          <a:ext cx="742950" cy="14997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</xdr:rowOff>
    </xdr:from>
    <xdr:to>
      <xdr:col>1</xdr:col>
      <xdr:colOff>9526</xdr:colOff>
      <xdr:row>7</xdr:row>
      <xdr:rowOff>166288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"/>
          <a:ext cx="742950" cy="14997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0</xdr:col>
      <xdr:colOff>971549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876299" cy="13715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1</xdr:col>
      <xdr:colOff>190499</xdr:colOff>
      <xdr:row>7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876299" cy="13715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1</xdr:col>
      <xdr:colOff>28575</xdr:colOff>
      <xdr:row>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962025" cy="17716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0</xdr:col>
      <xdr:colOff>771525</xdr:colOff>
      <xdr:row>6</xdr:row>
      <xdr:rowOff>63752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676275" cy="178777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</xdr:rowOff>
    </xdr:from>
    <xdr:to>
      <xdr:col>1</xdr:col>
      <xdr:colOff>38100</xdr:colOff>
      <xdr:row>6</xdr:row>
      <xdr:rowOff>42255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"/>
          <a:ext cx="781050" cy="17662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2</xdr:rowOff>
    </xdr:from>
    <xdr:to>
      <xdr:col>0</xdr:col>
      <xdr:colOff>866774</xdr:colOff>
      <xdr:row>6</xdr:row>
      <xdr:rowOff>71008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2"/>
          <a:ext cx="771525" cy="179503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2</xdr:rowOff>
    </xdr:from>
    <xdr:to>
      <xdr:col>0</xdr:col>
      <xdr:colOff>771524</xdr:colOff>
      <xdr:row>6</xdr:row>
      <xdr:rowOff>18704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2"/>
          <a:ext cx="676275" cy="174272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2</xdr:rowOff>
    </xdr:from>
    <xdr:to>
      <xdr:col>0</xdr:col>
      <xdr:colOff>771524</xdr:colOff>
      <xdr:row>9</xdr:row>
      <xdr:rowOff>28229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2"/>
          <a:ext cx="676275" cy="174272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3</xdr:rowOff>
    </xdr:from>
    <xdr:to>
      <xdr:col>1</xdr:col>
      <xdr:colOff>166806</xdr:colOff>
      <xdr:row>2</xdr:row>
      <xdr:rowOff>358890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3"/>
          <a:ext cx="617467" cy="980618"/>
        </a:xfrm>
        <a:prstGeom prst="rect">
          <a:avLst/>
        </a:prstGeom>
      </xdr:spPr>
    </xdr:pic>
    <xdr:clientData/>
  </xdr:twoCellAnchor>
  <xdr:twoCellAnchor editAs="oneCell">
    <xdr:from>
      <xdr:col>7</xdr:col>
      <xdr:colOff>238836</xdr:colOff>
      <xdr:row>4</xdr:row>
      <xdr:rowOff>98288</xdr:rowOff>
    </xdr:from>
    <xdr:to>
      <xdr:col>11</xdr:col>
      <xdr:colOff>96508</xdr:colOff>
      <xdr:row>5</xdr:row>
      <xdr:rowOff>26618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BF785A-2B14-CD79-6173-AA2CE1B5A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5009" y="1340234"/>
          <a:ext cx="3180901" cy="153518"/>
        </a:xfrm>
        <a:prstGeom prst="rect">
          <a:avLst/>
        </a:prstGeom>
      </xdr:spPr>
    </xdr:pic>
    <xdr:clientData/>
  </xdr:twoCellAnchor>
  <xdr:twoCellAnchor editAs="oneCell">
    <xdr:from>
      <xdr:col>8</xdr:col>
      <xdr:colOff>257792</xdr:colOff>
      <xdr:row>9</xdr:row>
      <xdr:rowOff>90263</xdr:rowOff>
    </xdr:from>
    <xdr:to>
      <xdr:col>15</xdr:col>
      <xdr:colOff>260246</xdr:colOff>
      <xdr:row>9</xdr:row>
      <xdr:rowOff>1005126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B64634-88E8-14C6-4FCF-B4CE16A8E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13254" y="2562024"/>
          <a:ext cx="5362992" cy="914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7" zoomScale="90" zoomScaleNormal="90" workbookViewId="0">
      <selection activeCell="G20" sqref="G20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2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4"/>
      <c r="F3" s="24"/>
      <c r="G3" s="32" t="s">
        <v>2</v>
      </c>
      <c r="H3" s="27" t="s">
        <v>18</v>
      </c>
    </row>
    <row r="4" spans="1:15" ht="17.75" x14ac:dyDescent="0.45">
      <c r="B4" s="55" t="s">
        <v>3</v>
      </c>
      <c r="C4" s="55"/>
      <c r="D4" s="55"/>
      <c r="E4" s="35">
        <v>250000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55" t="s">
        <v>5</v>
      </c>
      <c r="C6" s="55"/>
      <c r="D6" s="55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250000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+G26</f>
        <v>335405</v>
      </c>
      <c r="F8" s="7"/>
      <c r="G8" s="29" t="s">
        <v>8</v>
      </c>
      <c r="H8" s="36">
        <f>E7-E8</f>
        <v>-85405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45586</v>
      </c>
      <c r="C11" s="39" t="s">
        <v>19</v>
      </c>
      <c r="D11" s="40">
        <v>424063</v>
      </c>
      <c r="E11" s="41" t="s">
        <v>20</v>
      </c>
      <c r="F11" s="42" t="s">
        <v>21</v>
      </c>
      <c r="G11" s="44">
        <v>3900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45586</v>
      </c>
      <c r="C12" s="39" t="s">
        <v>19</v>
      </c>
      <c r="D12" s="40">
        <v>757213043</v>
      </c>
      <c r="E12" s="41" t="s">
        <v>22</v>
      </c>
      <c r="F12" s="42" t="s">
        <v>23</v>
      </c>
      <c r="G12" s="44">
        <v>27980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45586</v>
      </c>
      <c r="C13" s="39" t="s">
        <v>19</v>
      </c>
      <c r="D13" s="40">
        <v>2277013759</v>
      </c>
      <c r="E13" s="41"/>
      <c r="F13" s="42" t="s">
        <v>24</v>
      </c>
      <c r="G13" s="44">
        <v>3880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45586</v>
      </c>
      <c r="C14" s="39" t="s">
        <v>19</v>
      </c>
      <c r="D14" s="40">
        <v>73142614</v>
      </c>
      <c r="E14" s="41" t="s">
        <v>25</v>
      </c>
      <c r="F14" s="42" t="s">
        <v>26</v>
      </c>
      <c r="G14" s="44">
        <v>33190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45587</v>
      </c>
      <c r="C15" s="39" t="s">
        <v>19</v>
      </c>
      <c r="D15" s="40">
        <v>2356240380</v>
      </c>
      <c r="E15" s="41"/>
      <c r="F15" s="42" t="s">
        <v>27</v>
      </c>
      <c r="G15" s="44">
        <v>6495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45587</v>
      </c>
      <c r="C16" s="39" t="s">
        <v>19</v>
      </c>
      <c r="D16" s="40">
        <v>77460</v>
      </c>
      <c r="E16" s="41" t="s">
        <v>28</v>
      </c>
      <c r="F16" s="42" t="s">
        <v>29</v>
      </c>
      <c r="G16" s="44">
        <v>4990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45588</v>
      </c>
      <c r="C17" s="39" t="s">
        <v>19</v>
      </c>
      <c r="D17" s="40">
        <v>13887510</v>
      </c>
      <c r="E17" s="41" t="s">
        <v>30</v>
      </c>
      <c r="F17" s="42" t="s">
        <v>31</v>
      </c>
      <c r="G17" s="44">
        <v>4990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45589</v>
      </c>
      <c r="C18" s="39" t="s">
        <v>19</v>
      </c>
      <c r="D18" s="40">
        <v>757212058</v>
      </c>
      <c r="E18" s="41" t="s">
        <v>22</v>
      </c>
      <c r="F18" s="42" t="s">
        <v>32</v>
      </c>
      <c r="G18" s="44">
        <v>109990</v>
      </c>
      <c r="H18" s="43"/>
      <c r="I18" s="12"/>
      <c r="J18" s="12"/>
      <c r="K18" s="12"/>
      <c r="L18" s="12"/>
      <c r="M18" s="12"/>
      <c r="N18" s="12"/>
      <c r="O18" s="12"/>
    </row>
    <row r="19" spans="1:15" ht="34.4" x14ac:dyDescent="0.45">
      <c r="A19" s="15">
        <v>9</v>
      </c>
      <c r="B19" s="39">
        <v>45589</v>
      </c>
      <c r="C19" s="39" t="s">
        <v>19</v>
      </c>
      <c r="D19" s="40">
        <v>13885599</v>
      </c>
      <c r="E19" s="41" t="s">
        <v>33</v>
      </c>
      <c r="F19" s="42" t="s">
        <v>34</v>
      </c>
      <c r="G19" s="44">
        <v>119990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>
        <v>45590</v>
      </c>
      <c r="C20" s="39" t="s">
        <v>19</v>
      </c>
      <c r="D20" s="40">
        <v>2591301</v>
      </c>
      <c r="E20" s="41"/>
      <c r="F20" s="42" t="s">
        <v>35</v>
      </c>
      <c r="G20" s="44">
        <v>20000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17</v>
      </c>
      <c r="C26" s="33"/>
      <c r="D26" s="17"/>
      <c r="E26" s="17"/>
      <c r="F26" s="17"/>
      <c r="G26" s="45">
        <f>SUM(G11:G25)</f>
        <v>335405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5"/>
      <c r="C29" s="55"/>
      <c r="D29" s="57"/>
      <c r="E29" s="58"/>
      <c r="F29" s="59"/>
    </row>
    <row r="30" spans="1:15" ht="17.75" x14ac:dyDescent="0.45">
      <c r="B30" s="60"/>
      <c r="C30" s="60"/>
      <c r="D30" s="61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zoomScale="90" zoomScaleNormal="90" workbookViewId="0">
      <selection activeCell="G17" sqref="G17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9.89843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2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4"/>
      <c r="F3" s="24"/>
      <c r="G3" s="32" t="s">
        <v>2</v>
      </c>
      <c r="H3" s="27" t="s">
        <v>36</v>
      </c>
    </row>
    <row r="4" spans="1:15" ht="17.75" x14ac:dyDescent="0.45">
      <c r="B4" s="55" t="s">
        <v>3</v>
      </c>
      <c r="C4" s="55"/>
      <c r="D4" s="55"/>
      <c r="E4" s="50">
        <f>+OCTUBRE!H8</f>
        <v>-85405</v>
      </c>
      <c r="F4" s="7"/>
      <c r="G4" s="31"/>
    </row>
    <row r="5" spans="1:15" ht="17.75" x14ac:dyDescent="0.45">
      <c r="B5" s="25" t="s">
        <v>4</v>
      </c>
      <c r="C5" s="25"/>
      <c r="D5" s="25"/>
      <c r="E5" s="51">
        <v>181505</v>
      </c>
      <c r="F5" s="7"/>
      <c r="G5" s="31"/>
    </row>
    <row r="6" spans="1:15" ht="17.75" x14ac:dyDescent="0.45">
      <c r="B6" s="55" t="s">
        <v>5</v>
      </c>
      <c r="C6" s="55"/>
      <c r="D6" s="55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96100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+G26</f>
        <v>126020</v>
      </c>
      <c r="F8" s="7"/>
      <c r="G8" s="29" t="s">
        <v>8</v>
      </c>
      <c r="H8" s="36">
        <f>E7-E8</f>
        <v>-29920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45601</v>
      </c>
      <c r="C11" s="39" t="s">
        <v>19</v>
      </c>
      <c r="D11" s="40" t="s">
        <v>38</v>
      </c>
      <c r="E11" s="41" t="s">
        <v>39</v>
      </c>
      <c r="F11" s="42" t="s">
        <v>40</v>
      </c>
      <c r="G11" s="44">
        <v>29000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45602</v>
      </c>
      <c r="C12" s="39" t="s">
        <v>19</v>
      </c>
      <c r="D12" s="40">
        <v>759284949</v>
      </c>
      <c r="E12" s="41" t="s">
        <v>22</v>
      </c>
      <c r="F12" s="42" t="s">
        <v>41</v>
      </c>
      <c r="G12" s="44">
        <v>7980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45604</v>
      </c>
      <c r="C13" s="39" t="s">
        <v>19</v>
      </c>
      <c r="D13" s="40">
        <v>2277016277</v>
      </c>
      <c r="E13" s="41"/>
      <c r="F13" s="42" t="s">
        <v>42</v>
      </c>
      <c r="G13" s="44">
        <v>6390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45604</v>
      </c>
      <c r="C14" s="39" t="s">
        <v>19</v>
      </c>
      <c r="D14" s="40">
        <v>760187559</v>
      </c>
      <c r="E14" s="41" t="s">
        <v>22</v>
      </c>
      <c r="F14" s="42" t="s">
        <v>43</v>
      </c>
      <c r="G14" s="44">
        <v>10490</v>
      </c>
      <c r="H14" s="43"/>
      <c r="I14" s="12"/>
      <c r="J14" s="12"/>
      <c r="K14" s="12"/>
      <c r="L14" s="12"/>
      <c r="M14" s="12"/>
      <c r="N14" s="12"/>
      <c r="O14" s="12"/>
    </row>
    <row r="15" spans="1:15" ht="34.4" x14ac:dyDescent="0.45">
      <c r="A15" s="15">
        <v>5</v>
      </c>
      <c r="B15" s="39">
        <v>45604</v>
      </c>
      <c r="C15" s="39" t="s">
        <v>19</v>
      </c>
      <c r="D15" s="40">
        <v>2356138687</v>
      </c>
      <c r="E15" s="41"/>
      <c r="F15" s="42" t="s">
        <v>44</v>
      </c>
      <c r="G15" s="44">
        <v>13180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45608</v>
      </c>
      <c r="C16" s="39" t="s">
        <v>19</v>
      </c>
      <c r="D16" s="40">
        <v>759775922</v>
      </c>
      <c r="E16" s="41" t="s">
        <v>22</v>
      </c>
      <c r="F16" s="42" t="s">
        <v>45</v>
      </c>
      <c r="G16" s="44">
        <v>10990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46">
        <v>45610</v>
      </c>
      <c r="C17" s="46" t="s">
        <v>19</v>
      </c>
      <c r="D17" s="47">
        <v>842925242</v>
      </c>
      <c r="E17" s="47" t="s">
        <v>46</v>
      </c>
      <c r="F17" s="48" t="s">
        <v>47</v>
      </c>
      <c r="G17" s="49">
        <v>29990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45616</v>
      </c>
      <c r="C18" s="39" t="s">
        <v>19</v>
      </c>
      <c r="D18" s="40">
        <v>6873</v>
      </c>
      <c r="E18" s="41" t="s">
        <v>48</v>
      </c>
      <c r="F18" s="42" t="s">
        <v>49</v>
      </c>
      <c r="G18" s="44">
        <v>18000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17</v>
      </c>
      <c r="C26" s="33"/>
      <c r="D26" s="17"/>
      <c r="E26" s="17"/>
      <c r="F26" s="17"/>
      <c r="G26" s="45">
        <f>SUM(G11:G25)</f>
        <v>126020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5"/>
      <c r="C29" s="55"/>
      <c r="D29" s="57"/>
      <c r="E29" s="58"/>
      <c r="F29" s="59"/>
    </row>
    <row r="30" spans="1:15" ht="17.75" x14ac:dyDescent="0.45">
      <c r="B30" s="60"/>
      <c r="C30" s="60"/>
      <c r="D30" s="61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2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4"/>
      <c r="F3" s="24"/>
      <c r="G3" s="32" t="s">
        <v>2</v>
      </c>
      <c r="H3" s="27" t="s">
        <v>37</v>
      </c>
    </row>
    <row r="4" spans="1:15" ht="17.75" x14ac:dyDescent="0.45">
      <c r="B4" s="55" t="s">
        <v>3</v>
      </c>
      <c r="C4" s="55"/>
      <c r="D4" s="55"/>
      <c r="E4" s="50">
        <f>+NOVIEMBRE!H8</f>
        <v>-29920</v>
      </c>
      <c r="F4" s="7"/>
      <c r="G4" s="31"/>
    </row>
    <row r="5" spans="1:15" ht="17.75" x14ac:dyDescent="0.45">
      <c r="B5" s="25" t="s">
        <v>4</v>
      </c>
      <c r="C5" s="25"/>
      <c r="D5" s="25"/>
      <c r="E5" s="51">
        <v>126020</v>
      </c>
      <c r="F5" s="7"/>
      <c r="G5" s="31"/>
    </row>
    <row r="6" spans="1:15" ht="17.75" x14ac:dyDescent="0.45">
      <c r="B6" s="55" t="s">
        <v>5</v>
      </c>
      <c r="C6" s="55"/>
      <c r="D6" s="55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96100</v>
      </c>
      <c r="F7" s="7"/>
      <c r="G7" s="26"/>
    </row>
    <row r="8" spans="1:15" ht="17.75" x14ac:dyDescent="0.45">
      <c r="B8" s="53" t="s">
        <v>7</v>
      </c>
      <c r="C8" s="53"/>
      <c r="D8" s="53"/>
      <c r="E8" s="38">
        <f>+G26</f>
        <v>74710</v>
      </c>
      <c r="F8" s="7"/>
      <c r="G8" s="29" t="s">
        <v>8</v>
      </c>
      <c r="H8" s="36">
        <f>E7-E8</f>
        <v>21390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34.4" x14ac:dyDescent="0.45">
      <c r="A11" s="15">
        <v>1</v>
      </c>
      <c r="B11" s="39">
        <v>45625</v>
      </c>
      <c r="C11" s="39" t="s">
        <v>19</v>
      </c>
      <c r="D11" s="40">
        <v>761782847</v>
      </c>
      <c r="E11" s="41" t="s">
        <v>50</v>
      </c>
      <c r="F11" s="42" t="s">
        <v>51</v>
      </c>
      <c r="G11" s="44">
        <v>37970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45624</v>
      </c>
      <c r="C12" s="39" t="s">
        <v>19</v>
      </c>
      <c r="D12" s="40">
        <v>153550</v>
      </c>
      <c r="E12" s="41"/>
      <c r="F12" s="42" t="s">
        <v>52</v>
      </c>
      <c r="G12" s="44">
        <v>3000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45634</v>
      </c>
      <c r="C13" s="39" t="s">
        <v>19</v>
      </c>
      <c r="D13" s="40">
        <v>2351942837</v>
      </c>
      <c r="E13" s="41"/>
      <c r="F13" s="42" t="s">
        <v>53</v>
      </c>
      <c r="G13" s="44">
        <v>4670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45640</v>
      </c>
      <c r="C14" s="39" t="s">
        <v>19</v>
      </c>
      <c r="D14" s="40">
        <v>63952458</v>
      </c>
      <c r="E14" s="41" t="s">
        <v>54</v>
      </c>
      <c r="F14" s="42" t="s">
        <v>55</v>
      </c>
      <c r="G14" s="44">
        <v>5080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45643</v>
      </c>
      <c r="C15" s="39" t="s">
        <v>19</v>
      </c>
      <c r="D15" s="40">
        <v>15139549</v>
      </c>
      <c r="E15" s="41" t="s">
        <v>56</v>
      </c>
      <c r="F15" s="42" t="s">
        <v>58</v>
      </c>
      <c r="G15" s="44">
        <v>5990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45644</v>
      </c>
      <c r="C16" s="39" t="s">
        <v>19</v>
      </c>
      <c r="D16" s="40">
        <v>6893</v>
      </c>
      <c r="E16" s="41" t="s">
        <v>59</v>
      </c>
      <c r="F16" s="42" t="s">
        <v>57</v>
      </c>
      <c r="G16" s="44">
        <v>18000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17</v>
      </c>
      <c r="C26" s="33"/>
      <c r="D26" s="17"/>
      <c r="E26" s="17"/>
      <c r="F26" s="17"/>
      <c r="G26" s="45">
        <f>SUM(G11:G25)</f>
        <v>74710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5"/>
      <c r="C29" s="55"/>
      <c r="D29" s="57"/>
      <c r="E29" s="58"/>
      <c r="F29" s="59"/>
    </row>
    <row r="30" spans="1:15" ht="17.75" x14ac:dyDescent="0.45">
      <c r="B30" s="60"/>
      <c r="C30" s="60"/>
      <c r="D30" s="61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>
      <selection activeCell="E5" sqref="E5"/>
    </sheetView>
  </sheetViews>
  <sheetFormatPr baseColWidth="10" defaultRowHeight="14" x14ac:dyDescent="0.3"/>
  <cols>
    <col min="1" max="1" width="20" customWidth="1"/>
    <col min="2" max="2" width="15.69921875" customWidth="1"/>
    <col min="3" max="3" width="20.69921875" customWidth="1"/>
    <col min="4" max="4" width="15.296875" customWidth="1"/>
    <col min="5" max="5" width="14.09765625" customWidth="1"/>
    <col min="6" max="6" width="23.59765625" customWidth="1"/>
    <col min="7" max="7" width="22.8984375" customWidth="1"/>
    <col min="8" max="8" width="18.69921875" customWidth="1"/>
  </cols>
  <sheetData>
    <row r="1" spans="1:9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9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37</v>
      </c>
      <c r="I3" s="2"/>
    </row>
    <row r="4" spans="1:9" ht="17.75" x14ac:dyDescent="0.45">
      <c r="A4" s="2"/>
      <c r="B4" s="55" t="s">
        <v>3</v>
      </c>
      <c r="C4" s="55"/>
      <c r="D4" s="55"/>
      <c r="E4" s="50">
        <f>+DICIEMBRE!H8</f>
        <v>21390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74710</v>
      </c>
      <c r="F5" s="7"/>
      <c r="G5" s="31"/>
      <c r="H5" s="2"/>
      <c r="I5" s="2"/>
    </row>
    <row r="6" spans="1:9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9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3" t="s">
        <v>7</v>
      </c>
      <c r="C8" s="53"/>
      <c r="D8" s="53"/>
      <c r="E8" s="38">
        <f>+G26</f>
        <v>56427</v>
      </c>
      <c r="F8" s="7"/>
      <c r="G8" s="29" t="s">
        <v>8</v>
      </c>
      <c r="H8" s="36">
        <f>E7-E8</f>
        <v>39673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03.6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34.4" x14ac:dyDescent="0.45">
      <c r="A11" s="15">
        <v>1</v>
      </c>
      <c r="B11" s="39">
        <v>45667</v>
      </c>
      <c r="C11" s="39" t="s">
        <v>19</v>
      </c>
      <c r="D11" s="40">
        <v>161892081</v>
      </c>
      <c r="E11" s="41"/>
      <c r="F11" s="42" t="s">
        <v>60</v>
      </c>
      <c r="G11" s="44">
        <v>3950</v>
      </c>
      <c r="H11" s="43"/>
      <c r="I11" s="12"/>
    </row>
    <row r="12" spans="1:9" ht="34.4" x14ac:dyDescent="0.45">
      <c r="A12" s="15">
        <v>2</v>
      </c>
      <c r="B12" s="39">
        <v>45667</v>
      </c>
      <c r="C12" s="39" t="s">
        <v>19</v>
      </c>
      <c r="D12" s="40">
        <v>161892082</v>
      </c>
      <c r="E12" s="41"/>
      <c r="F12" s="42" t="s">
        <v>60</v>
      </c>
      <c r="G12" s="44">
        <v>1990</v>
      </c>
      <c r="H12" s="43"/>
      <c r="I12" s="12"/>
    </row>
    <row r="13" spans="1:9" ht="17.2" x14ac:dyDescent="0.45">
      <c r="A13" s="15">
        <v>3</v>
      </c>
      <c r="B13" s="39">
        <v>45667</v>
      </c>
      <c r="C13" s="39" t="s">
        <v>19</v>
      </c>
      <c r="D13" s="40"/>
      <c r="E13" s="41"/>
      <c r="F13" s="42" t="s">
        <v>61</v>
      </c>
      <c r="G13" s="44">
        <v>6597</v>
      </c>
      <c r="H13" s="43"/>
      <c r="I13" s="12"/>
    </row>
    <row r="14" spans="1:9" ht="17.2" x14ac:dyDescent="0.45">
      <c r="A14" s="15">
        <v>4</v>
      </c>
      <c r="B14" s="39">
        <v>45668</v>
      </c>
      <c r="C14" s="39" t="s">
        <v>19</v>
      </c>
      <c r="D14" s="40">
        <v>234850</v>
      </c>
      <c r="E14" s="41"/>
      <c r="F14" s="42" t="s">
        <v>62</v>
      </c>
      <c r="G14" s="44">
        <v>20000</v>
      </c>
      <c r="H14" s="43"/>
      <c r="I14" s="12"/>
    </row>
    <row r="15" spans="1:9" ht="17.2" x14ac:dyDescent="0.45">
      <c r="A15" s="15">
        <v>5</v>
      </c>
      <c r="B15" s="39">
        <v>45680</v>
      </c>
      <c r="C15" s="39" t="s">
        <v>19</v>
      </c>
      <c r="D15" s="40">
        <v>909867</v>
      </c>
      <c r="E15" s="41"/>
      <c r="F15" s="42" t="s">
        <v>63</v>
      </c>
      <c r="G15" s="44">
        <v>12900</v>
      </c>
      <c r="H15" s="43"/>
      <c r="I15" s="12"/>
    </row>
    <row r="16" spans="1:9" ht="17.2" x14ac:dyDescent="0.45">
      <c r="A16" s="15">
        <v>6</v>
      </c>
      <c r="B16" s="39">
        <v>45665</v>
      </c>
      <c r="C16" s="39" t="s">
        <v>19</v>
      </c>
      <c r="D16" s="40">
        <v>19412</v>
      </c>
      <c r="E16" s="41"/>
      <c r="F16" s="42" t="s">
        <v>64</v>
      </c>
      <c r="G16" s="44">
        <v>7000</v>
      </c>
      <c r="H16" s="43"/>
      <c r="I16" s="12"/>
    </row>
    <row r="17" spans="1:9" ht="34.4" x14ac:dyDescent="0.45">
      <c r="A17" s="15">
        <v>7</v>
      </c>
      <c r="B17" s="39">
        <v>45687</v>
      </c>
      <c r="C17" s="39" t="s">
        <v>19</v>
      </c>
      <c r="D17" s="40">
        <v>775336167</v>
      </c>
      <c r="E17" s="41"/>
      <c r="F17" s="42" t="s">
        <v>65</v>
      </c>
      <c r="G17" s="44">
        <v>3990</v>
      </c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56427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>
      <selection activeCell="E4" sqref="E4"/>
    </sheetView>
  </sheetViews>
  <sheetFormatPr baseColWidth="10" defaultRowHeight="14" x14ac:dyDescent="0.3"/>
  <cols>
    <col min="1" max="1" width="18.09765625" customWidth="1"/>
    <col min="2" max="2" width="23" customWidth="1"/>
    <col min="3" max="3" width="17" customWidth="1"/>
    <col min="4" max="4" width="18" customWidth="1"/>
    <col min="5" max="5" width="20" customWidth="1"/>
    <col min="6" max="6" width="25" customWidth="1"/>
    <col min="7" max="7" width="18.3984375" customWidth="1"/>
    <col min="9" max="9" width="13.59765625" customWidth="1"/>
  </cols>
  <sheetData>
    <row r="1" spans="1:9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9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37</v>
      </c>
      <c r="I3" s="2"/>
    </row>
    <row r="4" spans="1:9" ht="17.75" x14ac:dyDescent="0.45">
      <c r="A4" s="2"/>
      <c r="B4" s="55" t="s">
        <v>3</v>
      </c>
      <c r="C4" s="55"/>
      <c r="D4" s="55"/>
      <c r="E4" s="50">
        <f>+ENERO!H8</f>
        <v>39673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56427</v>
      </c>
      <c r="F5" s="7"/>
      <c r="G5" s="31"/>
      <c r="H5" s="2"/>
      <c r="I5" s="2"/>
    </row>
    <row r="6" spans="1:9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9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3" t="s">
        <v>7</v>
      </c>
      <c r="C8" s="53"/>
      <c r="D8" s="53"/>
      <c r="E8" s="38">
        <f>+G26</f>
        <v>73377</v>
      </c>
      <c r="F8" s="7"/>
      <c r="G8" s="29" t="s">
        <v>8</v>
      </c>
      <c r="H8" s="36">
        <f>E7-E8</f>
        <v>22723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02.8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5.05" customHeight="1" x14ac:dyDescent="0.45">
      <c r="A11" s="15">
        <v>1</v>
      </c>
      <c r="B11" s="39">
        <v>45694</v>
      </c>
      <c r="C11" s="39" t="s">
        <v>19</v>
      </c>
      <c r="D11" s="40"/>
      <c r="E11" s="41"/>
      <c r="F11" s="42" t="s">
        <v>66</v>
      </c>
      <c r="G11" s="44">
        <v>11774</v>
      </c>
      <c r="H11" s="43"/>
      <c r="I11" s="12"/>
    </row>
    <row r="12" spans="1:9" ht="15.75" customHeight="1" x14ac:dyDescent="0.45">
      <c r="A12" s="15">
        <v>2</v>
      </c>
      <c r="B12" s="39">
        <v>45699</v>
      </c>
      <c r="C12" s="39" t="s">
        <v>19</v>
      </c>
      <c r="D12" s="40">
        <v>19823</v>
      </c>
      <c r="E12" s="41"/>
      <c r="F12" s="42" t="s">
        <v>67</v>
      </c>
      <c r="G12" s="44">
        <v>7000</v>
      </c>
      <c r="H12" s="43"/>
      <c r="I12" s="12"/>
    </row>
    <row r="13" spans="1:9" ht="17.2" x14ac:dyDescent="0.45">
      <c r="A13" s="15">
        <v>3</v>
      </c>
      <c r="B13" s="39">
        <v>45707</v>
      </c>
      <c r="C13" s="39" t="s">
        <v>19</v>
      </c>
      <c r="D13" s="40"/>
      <c r="E13" s="41"/>
      <c r="F13" s="42" t="s">
        <v>68</v>
      </c>
      <c r="G13" s="44">
        <v>8187</v>
      </c>
      <c r="H13" s="43"/>
      <c r="I13" s="12"/>
    </row>
    <row r="14" spans="1:9" ht="17.2" x14ac:dyDescent="0.45">
      <c r="A14" s="15">
        <v>4</v>
      </c>
      <c r="B14" s="39">
        <v>45707</v>
      </c>
      <c r="C14" s="39" t="s">
        <v>19</v>
      </c>
      <c r="D14" s="40"/>
      <c r="E14" s="41"/>
      <c r="F14" s="42" t="s">
        <v>69</v>
      </c>
      <c r="G14" s="44">
        <v>10991</v>
      </c>
      <c r="H14" s="43"/>
      <c r="I14" s="12"/>
    </row>
    <row r="15" spans="1:9" ht="17.2" x14ac:dyDescent="0.45">
      <c r="A15" s="15">
        <v>5</v>
      </c>
      <c r="B15" s="39">
        <v>45708</v>
      </c>
      <c r="C15" s="39" t="s">
        <v>19</v>
      </c>
      <c r="D15" s="40"/>
      <c r="E15" s="41"/>
      <c r="F15" s="42" t="s">
        <v>70</v>
      </c>
      <c r="G15" s="44">
        <v>17425</v>
      </c>
      <c r="H15" s="43"/>
      <c r="I15" s="12"/>
    </row>
    <row r="16" spans="1:9" ht="17.2" x14ac:dyDescent="0.45">
      <c r="A16" s="15">
        <v>6</v>
      </c>
      <c r="B16" s="39">
        <v>45713</v>
      </c>
      <c r="C16" s="39" t="s">
        <v>19</v>
      </c>
      <c r="D16" s="40">
        <v>2680</v>
      </c>
      <c r="E16" s="41"/>
      <c r="F16" s="42" t="s">
        <v>57</v>
      </c>
      <c r="G16" s="44">
        <v>18000</v>
      </c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73377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>
      <selection activeCell="E4" sqref="E4"/>
    </sheetView>
  </sheetViews>
  <sheetFormatPr baseColWidth="10" defaultRowHeight="14" x14ac:dyDescent="0.3"/>
  <cols>
    <col min="1" max="1" width="14.296875" customWidth="1"/>
    <col min="2" max="2" width="17.69921875" customWidth="1"/>
    <col min="3" max="3" width="17.8984375" customWidth="1"/>
    <col min="4" max="4" width="14.8984375" customWidth="1"/>
    <col min="5" max="5" width="17.09765625" customWidth="1"/>
    <col min="6" max="6" width="28.09765625" customWidth="1"/>
    <col min="8" max="8" width="17.296875" customWidth="1"/>
  </cols>
  <sheetData>
    <row r="1" spans="1:9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9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71</v>
      </c>
      <c r="I3" s="2"/>
    </row>
    <row r="4" spans="1:9" ht="17.75" x14ac:dyDescent="0.45">
      <c r="A4" s="2"/>
      <c r="B4" s="55" t="s">
        <v>3</v>
      </c>
      <c r="C4" s="55"/>
      <c r="D4" s="55"/>
      <c r="E4" s="50">
        <f>+FEBRERO!H8</f>
        <v>22723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73377</v>
      </c>
      <c r="F5" s="7"/>
      <c r="G5" s="31"/>
      <c r="H5" s="2"/>
      <c r="I5" s="2"/>
    </row>
    <row r="6" spans="1:9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9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3" t="s">
        <v>7</v>
      </c>
      <c r="C8" s="53"/>
      <c r="D8" s="53"/>
      <c r="E8" s="38">
        <f>+G26</f>
        <v>62459</v>
      </c>
      <c r="F8" s="7"/>
      <c r="G8" s="29" t="s">
        <v>8</v>
      </c>
      <c r="H8" s="36">
        <f>E7-E8</f>
        <v>33641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06.4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45723</v>
      </c>
      <c r="C11" s="39"/>
      <c r="D11" s="40"/>
      <c r="E11" s="41"/>
      <c r="F11" s="42" t="s">
        <v>72</v>
      </c>
      <c r="G11" s="44">
        <v>3000</v>
      </c>
      <c r="H11" s="43"/>
      <c r="I11" s="12"/>
    </row>
    <row r="12" spans="1:9" ht="17.2" x14ac:dyDescent="0.45">
      <c r="A12" s="15">
        <v>2</v>
      </c>
      <c r="B12" s="39">
        <v>45724</v>
      </c>
      <c r="C12" s="39" t="s">
        <v>19</v>
      </c>
      <c r="D12" s="40">
        <v>2362449973</v>
      </c>
      <c r="E12" s="41" t="s">
        <v>77</v>
      </c>
      <c r="F12" s="42" t="s">
        <v>73</v>
      </c>
      <c r="G12" s="44">
        <v>10990</v>
      </c>
      <c r="H12" s="43"/>
      <c r="I12" s="12"/>
    </row>
    <row r="13" spans="1:9" ht="17.2" x14ac:dyDescent="0.45">
      <c r="A13" s="15">
        <v>3</v>
      </c>
      <c r="B13" s="39">
        <v>45742</v>
      </c>
      <c r="C13" s="39" t="s">
        <v>19</v>
      </c>
      <c r="D13" s="40">
        <v>2780</v>
      </c>
      <c r="E13" s="41" t="s">
        <v>74</v>
      </c>
      <c r="F13" s="42" t="s">
        <v>57</v>
      </c>
      <c r="G13" s="44">
        <v>18000</v>
      </c>
      <c r="H13" s="43"/>
      <c r="I13" s="12"/>
    </row>
    <row r="14" spans="1:9" ht="17.2" x14ac:dyDescent="0.45">
      <c r="A14" s="15">
        <v>4</v>
      </c>
      <c r="B14" s="39">
        <v>45730</v>
      </c>
      <c r="C14" s="39" t="s">
        <v>19</v>
      </c>
      <c r="D14" s="40">
        <v>20219</v>
      </c>
      <c r="E14" s="41" t="s">
        <v>39</v>
      </c>
      <c r="F14" s="42" t="s">
        <v>64</v>
      </c>
      <c r="G14" s="44">
        <v>7000</v>
      </c>
      <c r="H14" s="43"/>
      <c r="I14" s="12"/>
    </row>
    <row r="15" spans="1:9" ht="17.2" x14ac:dyDescent="0.45">
      <c r="A15" s="15">
        <v>5</v>
      </c>
      <c r="B15" s="39">
        <v>45743</v>
      </c>
      <c r="C15" s="39" t="s">
        <v>19</v>
      </c>
      <c r="D15" s="40"/>
      <c r="E15" s="41"/>
      <c r="F15" s="42" t="s">
        <v>75</v>
      </c>
      <c r="G15" s="44">
        <v>9699</v>
      </c>
      <c r="H15" s="43"/>
      <c r="I15" s="12"/>
    </row>
    <row r="16" spans="1:9" ht="17.2" x14ac:dyDescent="0.45">
      <c r="A16" s="15">
        <v>6</v>
      </c>
      <c r="B16" s="39">
        <v>45745</v>
      </c>
      <c r="C16" s="39" t="s">
        <v>19</v>
      </c>
      <c r="D16" s="40">
        <v>23241667552</v>
      </c>
      <c r="E16" s="41" t="s">
        <v>77</v>
      </c>
      <c r="F16" s="42" t="s">
        <v>76</v>
      </c>
      <c r="G16" s="44">
        <v>13770</v>
      </c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62459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workbookViewId="0">
      <selection activeCell="E4" sqref="E4"/>
    </sheetView>
  </sheetViews>
  <sheetFormatPr baseColWidth="10" defaultRowHeight="14" x14ac:dyDescent="0.3"/>
  <cols>
    <col min="1" max="1" width="12.3984375" customWidth="1"/>
    <col min="2" max="3" width="21" customWidth="1"/>
    <col min="4" max="4" width="15" customWidth="1"/>
    <col min="5" max="5" width="17.3984375" customWidth="1"/>
    <col min="6" max="6" width="28.59765625" customWidth="1"/>
    <col min="7" max="7" width="15.296875" customWidth="1"/>
    <col min="8" max="8" width="17.8984375" customWidth="1"/>
  </cols>
  <sheetData>
    <row r="1" spans="1:10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10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10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71</v>
      </c>
      <c r="I3" s="2"/>
    </row>
    <row r="4" spans="1:10" ht="17.75" x14ac:dyDescent="0.45">
      <c r="A4" s="2"/>
      <c r="B4" s="55" t="s">
        <v>3</v>
      </c>
      <c r="C4" s="55"/>
      <c r="D4" s="55"/>
      <c r="E4" s="50">
        <f>+MARZO!H8</f>
        <v>33641</v>
      </c>
      <c r="F4" s="7"/>
      <c r="G4" s="31"/>
      <c r="H4" s="2"/>
      <c r="I4" s="2"/>
    </row>
    <row r="5" spans="1:10" ht="17.75" x14ac:dyDescent="0.45">
      <c r="A5" s="2"/>
      <c r="B5" s="25" t="s">
        <v>4</v>
      </c>
      <c r="C5" s="25"/>
      <c r="D5" s="25"/>
      <c r="E5" s="51">
        <v>62459</v>
      </c>
      <c r="F5" s="7"/>
      <c r="G5" s="31"/>
      <c r="H5" s="2"/>
      <c r="I5" s="2"/>
    </row>
    <row r="6" spans="1:10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10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10" ht="17.75" x14ac:dyDescent="0.45">
      <c r="A8" s="2"/>
      <c r="B8" s="53" t="s">
        <v>7</v>
      </c>
      <c r="C8" s="53"/>
      <c r="D8" s="53"/>
      <c r="E8" s="38">
        <f>+G26</f>
        <v>53374</v>
      </c>
      <c r="F8" s="7"/>
      <c r="G8" s="29" t="s">
        <v>8</v>
      </c>
      <c r="H8" s="36">
        <f>E7-E8</f>
        <v>42726</v>
      </c>
      <c r="I8" s="2"/>
    </row>
    <row r="9" spans="1:10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10" ht="126.8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10" ht="17.2" x14ac:dyDescent="0.45">
      <c r="A11" s="15">
        <v>1</v>
      </c>
      <c r="B11" s="39">
        <v>45755</v>
      </c>
      <c r="C11" s="39" t="s">
        <v>19</v>
      </c>
      <c r="D11" s="40">
        <v>20541</v>
      </c>
      <c r="E11" s="41" t="s">
        <v>78</v>
      </c>
      <c r="F11" s="42" t="s">
        <v>64</v>
      </c>
      <c r="G11" s="44">
        <v>7000</v>
      </c>
      <c r="H11" s="43"/>
      <c r="I11" s="12"/>
    </row>
    <row r="12" spans="1:10" ht="17.2" x14ac:dyDescent="0.45">
      <c r="A12" s="15">
        <v>2</v>
      </c>
      <c r="B12" s="39">
        <v>45775</v>
      </c>
      <c r="C12" s="39" t="s">
        <v>19</v>
      </c>
      <c r="D12" s="40">
        <v>785652971</v>
      </c>
      <c r="E12" s="41" t="s">
        <v>50</v>
      </c>
      <c r="F12" s="42" t="s">
        <v>79</v>
      </c>
      <c r="G12" s="44">
        <v>17380</v>
      </c>
      <c r="H12" s="43"/>
      <c r="I12" s="12"/>
    </row>
    <row r="13" spans="1:10" ht="17.2" x14ac:dyDescent="0.45">
      <c r="A13" s="15">
        <v>3</v>
      </c>
      <c r="B13" s="39">
        <v>45776</v>
      </c>
      <c r="C13" s="39" t="s">
        <v>19</v>
      </c>
      <c r="D13" s="40">
        <v>167644031</v>
      </c>
      <c r="E13" s="41" t="s">
        <v>80</v>
      </c>
      <c r="F13" s="42" t="s">
        <v>81</v>
      </c>
      <c r="G13" s="44">
        <v>8960</v>
      </c>
      <c r="H13" s="43"/>
      <c r="I13" s="12"/>
    </row>
    <row r="14" spans="1:10" ht="17.2" x14ac:dyDescent="0.45">
      <c r="A14" s="15">
        <v>4</v>
      </c>
      <c r="B14" s="39">
        <v>45777</v>
      </c>
      <c r="C14" s="39" t="s">
        <v>19</v>
      </c>
      <c r="D14" s="40">
        <v>2886</v>
      </c>
      <c r="E14" s="41" t="s">
        <v>82</v>
      </c>
      <c r="F14" s="42" t="s">
        <v>57</v>
      </c>
      <c r="G14" s="44">
        <v>18000</v>
      </c>
      <c r="H14" s="43"/>
      <c r="I14" s="12"/>
      <c r="J14" s="52"/>
    </row>
    <row r="15" spans="1:10" ht="17.2" x14ac:dyDescent="0.45">
      <c r="A15" s="15">
        <v>5</v>
      </c>
      <c r="B15" s="39">
        <v>45777</v>
      </c>
      <c r="C15" s="39" t="s">
        <v>19</v>
      </c>
      <c r="D15" s="40">
        <v>785797857</v>
      </c>
      <c r="E15" s="41" t="s">
        <v>83</v>
      </c>
      <c r="F15" s="42" t="s">
        <v>84</v>
      </c>
      <c r="G15" s="44">
        <v>2034</v>
      </c>
      <c r="H15" s="43"/>
      <c r="I15" s="12"/>
    </row>
    <row r="16" spans="1:10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53374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>
      <selection activeCell="E4" sqref="E4"/>
    </sheetView>
  </sheetViews>
  <sheetFormatPr baseColWidth="10" defaultRowHeight="14" x14ac:dyDescent="0.3"/>
  <cols>
    <col min="1" max="1" width="15.296875" customWidth="1"/>
    <col min="2" max="2" width="15.59765625" customWidth="1"/>
    <col min="3" max="3" width="17" customWidth="1"/>
    <col min="4" max="4" width="14.8984375" customWidth="1"/>
    <col min="5" max="5" width="20" customWidth="1"/>
    <col min="6" max="6" width="27" customWidth="1"/>
    <col min="7" max="7" width="15" customWidth="1"/>
    <col min="8" max="8" width="17.09765625" customWidth="1"/>
  </cols>
  <sheetData>
    <row r="1" spans="1:9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9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85</v>
      </c>
      <c r="I3" s="2"/>
    </row>
    <row r="4" spans="1:9" ht="17.75" x14ac:dyDescent="0.45">
      <c r="A4" s="2"/>
      <c r="B4" s="55" t="s">
        <v>3</v>
      </c>
      <c r="C4" s="55"/>
      <c r="D4" s="55"/>
      <c r="E4" s="50">
        <f>+ABRIL!H8</f>
        <v>42726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53374</v>
      </c>
      <c r="F5" s="7"/>
      <c r="G5" s="31"/>
      <c r="H5" s="2"/>
      <c r="I5" s="2"/>
    </row>
    <row r="6" spans="1:9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9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3" t="s">
        <v>7</v>
      </c>
      <c r="C8" s="53"/>
      <c r="D8" s="53"/>
      <c r="E8" s="38">
        <f>+G26</f>
        <v>48978</v>
      </c>
      <c r="F8" s="7"/>
      <c r="G8" s="29" t="s">
        <v>8</v>
      </c>
      <c r="H8" s="36">
        <f>E7-E8</f>
        <v>47122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97.55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45782</v>
      </c>
      <c r="C11" s="39" t="s">
        <v>19</v>
      </c>
      <c r="D11" s="40">
        <v>20864</v>
      </c>
      <c r="E11" s="41" t="s">
        <v>78</v>
      </c>
      <c r="F11" s="42" t="s">
        <v>64</v>
      </c>
      <c r="G11" s="44">
        <v>7000</v>
      </c>
      <c r="H11" s="43"/>
      <c r="I11" s="12"/>
    </row>
    <row r="12" spans="1:9" ht="17.2" x14ac:dyDescent="0.45">
      <c r="A12" s="15">
        <v>2</v>
      </c>
      <c r="B12" s="39">
        <v>45801</v>
      </c>
      <c r="C12" s="39" t="s">
        <v>19</v>
      </c>
      <c r="D12" s="40">
        <v>82171958</v>
      </c>
      <c r="E12" s="41" t="s">
        <v>86</v>
      </c>
      <c r="F12" s="42" t="s">
        <v>87</v>
      </c>
      <c r="G12" s="44">
        <v>16978</v>
      </c>
      <c r="H12" s="43"/>
      <c r="I12" s="12"/>
    </row>
    <row r="13" spans="1:9" ht="17.2" x14ac:dyDescent="0.45">
      <c r="A13" s="15">
        <v>3</v>
      </c>
      <c r="B13" s="39">
        <v>45803</v>
      </c>
      <c r="C13" s="39" t="s">
        <v>19</v>
      </c>
      <c r="D13" s="40">
        <v>21096</v>
      </c>
      <c r="E13" s="41" t="s">
        <v>78</v>
      </c>
      <c r="F13" s="42" t="s">
        <v>64</v>
      </c>
      <c r="G13" s="44">
        <v>7000</v>
      </c>
      <c r="H13" s="43"/>
      <c r="I13" s="12"/>
    </row>
    <row r="14" spans="1:9" ht="17.2" x14ac:dyDescent="0.45">
      <c r="A14" s="15">
        <v>4</v>
      </c>
      <c r="B14" s="39">
        <v>45805</v>
      </c>
      <c r="C14" s="39" t="s">
        <v>19</v>
      </c>
      <c r="D14" s="40">
        <v>2966</v>
      </c>
      <c r="E14" s="41" t="s">
        <v>82</v>
      </c>
      <c r="F14" s="42" t="s">
        <v>57</v>
      </c>
      <c r="G14" s="44">
        <v>18000</v>
      </c>
      <c r="H14" s="43"/>
      <c r="I14" s="12"/>
    </row>
    <row r="15" spans="1:9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</row>
    <row r="16" spans="1:9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48978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>
      <selection activeCell="G14" sqref="B14:G14"/>
    </sheetView>
  </sheetViews>
  <sheetFormatPr baseColWidth="10" defaultRowHeight="14" x14ac:dyDescent="0.3"/>
  <cols>
    <col min="1" max="1" width="11.69921875" customWidth="1"/>
    <col min="2" max="2" width="14.69921875" customWidth="1"/>
    <col min="3" max="3" width="22.09765625" customWidth="1"/>
    <col min="4" max="4" width="14.69921875" customWidth="1"/>
    <col min="5" max="5" width="15.3984375" customWidth="1"/>
    <col min="6" max="6" width="29.69921875" customWidth="1"/>
    <col min="7" max="7" width="13.3984375" customWidth="1"/>
  </cols>
  <sheetData>
    <row r="1" spans="1:9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9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88</v>
      </c>
      <c r="I3" s="2"/>
    </row>
    <row r="4" spans="1:9" ht="17.75" x14ac:dyDescent="0.45">
      <c r="A4" s="2"/>
      <c r="B4" s="55" t="s">
        <v>3</v>
      </c>
      <c r="C4" s="55"/>
      <c r="D4" s="55"/>
      <c r="E4" s="50">
        <f>+MAYO!H8</f>
        <v>47122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48978</v>
      </c>
      <c r="F5" s="7"/>
      <c r="G5" s="31"/>
      <c r="H5" s="2"/>
      <c r="I5" s="2"/>
    </row>
    <row r="6" spans="1:9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9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3" t="s">
        <v>7</v>
      </c>
      <c r="C8" s="53"/>
      <c r="D8" s="53"/>
      <c r="E8" s="38">
        <f>+G26</f>
        <v>39032</v>
      </c>
      <c r="F8" s="7"/>
      <c r="G8" s="29" t="s">
        <v>8</v>
      </c>
      <c r="H8" s="36">
        <f>E7-E8</f>
        <v>57068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18.5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45822</v>
      </c>
      <c r="C11" s="39" t="s">
        <v>19</v>
      </c>
      <c r="D11" s="40">
        <v>21315</v>
      </c>
      <c r="E11" s="41" t="s">
        <v>78</v>
      </c>
      <c r="F11" s="42" t="s">
        <v>89</v>
      </c>
      <c r="G11" s="44">
        <v>7000</v>
      </c>
      <c r="H11" s="43"/>
      <c r="I11" s="12"/>
    </row>
    <row r="12" spans="1:9" ht="34.4" x14ac:dyDescent="0.45">
      <c r="A12" s="15">
        <v>2</v>
      </c>
      <c r="B12" s="39">
        <v>45825</v>
      </c>
      <c r="C12" s="39" t="s">
        <v>19</v>
      </c>
      <c r="D12" s="40">
        <v>85627454</v>
      </c>
      <c r="E12" s="41" t="s">
        <v>86</v>
      </c>
      <c r="F12" s="42" t="s">
        <v>90</v>
      </c>
      <c r="G12" s="44">
        <v>7032</v>
      </c>
      <c r="H12" s="43"/>
      <c r="I12" s="12"/>
    </row>
    <row r="13" spans="1:9" ht="17.2" x14ac:dyDescent="0.45">
      <c r="A13" s="15">
        <v>3</v>
      </c>
      <c r="B13" s="39">
        <v>45833</v>
      </c>
      <c r="C13" s="39" t="s">
        <v>19</v>
      </c>
      <c r="D13" s="40">
        <v>3011</v>
      </c>
      <c r="E13" s="41" t="s">
        <v>82</v>
      </c>
      <c r="F13" s="42" t="s">
        <v>57</v>
      </c>
      <c r="G13" s="44">
        <v>18000</v>
      </c>
      <c r="H13" s="43"/>
      <c r="I13" s="12"/>
    </row>
    <row r="14" spans="1:9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</row>
    <row r="15" spans="1:9" ht="17.2" x14ac:dyDescent="0.45">
      <c r="A15" s="15">
        <v>5</v>
      </c>
      <c r="B15" s="39">
        <v>45838</v>
      </c>
      <c r="C15" s="39" t="s">
        <v>19</v>
      </c>
      <c r="D15" s="40">
        <v>21467</v>
      </c>
      <c r="E15" s="41" t="s">
        <v>78</v>
      </c>
      <c r="F15" s="42" t="s">
        <v>89</v>
      </c>
      <c r="G15" s="44">
        <v>7000</v>
      </c>
      <c r="H15" s="43"/>
      <c r="I15" s="12"/>
    </row>
    <row r="16" spans="1:9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39032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topLeftCell="A7" workbookViewId="0">
      <selection activeCell="K14" sqref="K14"/>
    </sheetView>
  </sheetViews>
  <sheetFormatPr baseColWidth="10" defaultRowHeight="14" x14ac:dyDescent="0.3"/>
  <cols>
    <col min="1" max="1" width="15.3984375" customWidth="1"/>
    <col min="2" max="2" width="17" customWidth="1"/>
    <col min="3" max="3" width="17.69921875" customWidth="1"/>
    <col min="4" max="4" width="17.09765625" customWidth="1"/>
    <col min="5" max="5" width="15.59765625" customWidth="1"/>
    <col min="6" max="6" width="24.8984375" customWidth="1"/>
    <col min="8" max="8" width="15.3984375" customWidth="1"/>
  </cols>
  <sheetData>
    <row r="1" spans="1:9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9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91</v>
      </c>
      <c r="I3" s="2"/>
    </row>
    <row r="4" spans="1:9" ht="17.75" x14ac:dyDescent="0.45">
      <c r="A4" s="2"/>
      <c r="B4" s="55" t="s">
        <v>3</v>
      </c>
      <c r="C4" s="55"/>
      <c r="D4" s="55"/>
      <c r="E4" s="50">
        <f>+JUNIO!H8</f>
        <v>57068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39032</v>
      </c>
      <c r="F5" s="7"/>
      <c r="G5" s="31"/>
      <c r="H5" s="2"/>
      <c r="I5" s="2"/>
    </row>
    <row r="6" spans="1:9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9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3" t="s">
        <v>7</v>
      </c>
      <c r="C8" s="53"/>
      <c r="D8" s="53"/>
      <c r="E8" s="38">
        <f>+G26</f>
        <v>92970</v>
      </c>
      <c r="F8" s="7"/>
      <c r="G8" s="29" t="s">
        <v>8</v>
      </c>
      <c r="H8" s="36">
        <f>E7-E8</f>
        <v>3130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06.4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45852</v>
      </c>
      <c r="C11" s="39" t="s">
        <v>19</v>
      </c>
      <c r="D11" s="40">
        <v>20219</v>
      </c>
      <c r="E11" s="41" t="s">
        <v>78</v>
      </c>
      <c r="F11" s="42" t="s">
        <v>89</v>
      </c>
      <c r="G11" s="44">
        <v>7000</v>
      </c>
      <c r="H11" s="43"/>
      <c r="I11" s="12"/>
    </row>
    <row r="12" spans="1:9" ht="17.2" x14ac:dyDescent="0.45">
      <c r="A12" s="15">
        <v>2</v>
      </c>
      <c r="B12" s="39">
        <v>45847</v>
      </c>
      <c r="C12" s="39" t="s">
        <v>19</v>
      </c>
      <c r="D12" s="40">
        <v>5300916</v>
      </c>
      <c r="E12" s="41" t="s">
        <v>92</v>
      </c>
      <c r="F12" s="42" t="s">
        <v>93</v>
      </c>
      <c r="G12" s="44">
        <v>49980</v>
      </c>
      <c r="H12" s="43"/>
      <c r="I12" s="12"/>
    </row>
    <row r="13" spans="1:9" ht="34.4" x14ac:dyDescent="0.45">
      <c r="A13" s="15">
        <v>3</v>
      </c>
      <c r="B13" s="39">
        <v>45860</v>
      </c>
      <c r="C13" s="39" t="s">
        <v>19</v>
      </c>
      <c r="D13" s="40">
        <v>14862173</v>
      </c>
      <c r="E13" s="41" t="s">
        <v>94</v>
      </c>
      <c r="F13" s="42" t="s">
        <v>95</v>
      </c>
      <c r="G13" s="44">
        <v>17990</v>
      </c>
      <c r="H13" s="43"/>
      <c r="I13" s="12"/>
    </row>
    <row r="14" spans="1:9" ht="17.2" x14ac:dyDescent="0.45">
      <c r="A14" s="15">
        <v>4</v>
      </c>
      <c r="B14" s="39">
        <v>45868</v>
      </c>
      <c r="C14" s="39" t="s">
        <v>19</v>
      </c>
      <c r="D14" s="40">
        <v>3119</v>
      </c>
      <c r="E14" s="41" t="s">
        <v>82</v>
      </c>
      <c r="F14" s="42" t="s">
        <v>57</v>
      </c>
      <c r="G14" s="44">
        <v>18000</v>
      </c>
      <c r="H14" s="43"/>
      <c r="I14" s="12"/>
    </row>
    <row r="15" spans="1:9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</row>
    <row r="16" spans="1:9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92970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0"/>
  <sheetViews>
    <sheetView workbookViewId="0">
      <selection activeCell="I30" sqref="A1:I30"/>
    </sheetView>
  </sheetViews>
  <sheetFormatPr baseColWidth="10" defaultRowHeight="14" x14ac:dyDescent="0.3"/>
  <cols>
    <col min="1" max="1" width="12.3984375" customWidth="1"/>
    <col min="2" max="2" width="16.59765625" customWidth="1"/>
    <col min="3" max="3" width="20.8984375" customWidth="1"/>
    <col min="4" max="4" width="17" customWidth="1"/>
    <col min="5" max="5" width="23.8984375" customWidth="1"/>
    <col min="6" max="6" width="27.59765625" customWidth="1"/>
    <col min="7" max="7" width="19.296875" customWidth="1"/>
    <col min="8" max="8" width="15.59765625" customWidth="1"/>
  </cols>
  <sheetData>
    <row r="1" spans="1:9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9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96</v>
      </c>
      <c r="I3" s="2"/>
    </row>
    <row r="4" spans="1:9" ht="17.75" x14ac:dyDescent="0.45">
      <c r="A4" s="2"/>
      <c r="B4" s="55" t="s">
        <v>3</v>
      </c>
      <c r="C4" s="55"/>
      <c r="D4" s="55"/>
      <c r="E4" s="50">
        <f>+JULIO!H8</f>
        <v>3130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92970</v>
      </c>
      <c r="F5" s="7"/>
      <c r="G5" s="31"/>
      <c r="H5" s="2"/>
      <c r="I5" s="2"/>
    </row>
    <row r="6" spans="1:9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9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3" t="s">
        <v>7</v>
      </c>
      <c r="C8" s="53"/>
      <c r="D8" s="53"/>
      <c r="E8" s="38">
        <f>+G26</f>
        <v>25000</v>
      </c>
      <c r="F8" s="7"/>
      <c r="G8" s="29" t="s">
        <v>8</v>
      </c>
      <c r="H8" s="36">
        <f>E7-E8</f>
        <v>71100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70.95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45880</v>
      </c>
      <c r="C11" s="39" t="s">
        <v>19</v>
      </c>
      <c r="D11" s="40">
        <v>21912</v>
      </c>
      <c r="E11" s="41" t="s">
        <v>78</v>
      </c>
      <c r="F11" s="42" t="s">
        <v>64</v>
      </c>
      <c r="G11" s="44">
        <v>7000</v>
      </c>
      <c r="H11" s="43"/>
      <c r="I11" s="12"/>
    </row>
    <row r="12" spans="1:9" ht="17.2" x14ac:dyDescent="0.45">
      <c r="A12" s="15">
        <v>2</v>
      </c>
      <c r="B12" s="39">
        <v>45896</v>
      </c>
      <c r="C12" s="39" t="s">
        <v>19</v>
      </c>
      <c r="D12" s="40">
        <v>3188</v>
      </c>
      <c r="E12" s="41" t="s">
        <v>74</v>
      </c>
      <c r="F12" s="42" t="s">
        <v>57</v>
      </c>
      <c r="G12" s="44">
        <v>18000</v>
      </c>
      <c r="H12" s="43"/>
      <c r="I12" s="12"/>
    </row>
    <row r="13" spans="1:9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</row>
    <row r="14" spans="1:9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</row>
    <row r="15" spans="1:9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</row>
    <row r="16" spans="1:9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25000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0"/>
  <sheetViews>
    <sheetView workbookViewId="0">
      <selection activeCell="H3" sqref="H3"/>
    </sheetView>
  </sheetViews>
  <sheetFormatPr baseColWidth="10" defaultRowHeight="14" x14ac:dyDescent="0.3"/>
  <cols>
    <col min="1" max="1" width="12.59765625" customWidth="1"/>
    <col min="2" max="2" width="21.8984375" customWidth="1"/>
    <col min="3" max="3" width="18.8984375" customWidth="1"/>
    <col min="4" max="4" width="19.59765625" customWidth="1"/>
    <col min="5" max="5" width="18.3984375" customWidth="1"/>
    <col min="6" max="6" width="27.8984375" customWidth="1"/>
    <col min="7" max="7" width="14" customWidth="1"/>
    <col min="8" max="8" width="15" customWidth="1"/>
  </cols>
  <sheetData>
    <row r="1" spans="1:9" ht="24.2" x14ac:dyDescent="0.6">
      <c r="A1" s="2"/>
      <c r="B1" s="3"/>
      <c r="C1" s="54" t="s">
        <v>0</v>
      </c>
      <c r="D1" s="54"/>
      <c r="E1" s="54"/>
      <c r="F1" s="54"/>
      <c r="G1" s="54"/>
      <c r="H1" s="54"/>
      <c r="I1" s="2"/>
    </row>
    <row r="2" spans="1:9" ht="24.2" x14ac:dyDescent="0.6">
      <c r="A2" s="2"/>
      <c r="B2" s="2"/>
      <c r="C2" s="54" t="s">
        <v>1</v>
      </c>
      <c r="D2" s="54"/>
      <c r="E2" s="54"/>
      <c r="F2" s="54"/>
      <c r="G2" s="54"/>
      <c r="H2" s="54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106</v>
      </c>
      <c r="I3" s="2"/>
    </row>
    <row r="4" spans="1:9" ht="17.75" x14ac:dyDescent="0.45">
      <c r="A4" s="2"/>
      <c r="B4" s="55" t="s">
        <v>3</v>
      </c>
      <c r="C4" s="55"/>
      <c r="D4" s="55"/>
      <c r="E4" s="50">
        <f>+AGOSTO!H8</f>
        <v>71100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25000</v>
      </c>
      <c r="F5" s="7"/>
      <c r="G5" s="31"/>
      <c r="H5" s="2"/>
      <c r="I5" s="2"/>
    </row>
    <row r="6" spans="1:9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  <c r="I6" s="2"/>
    </row>
    <row r="7" spans="1:9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3" t="s">
        <v>7</v>
      </c>
      <c r="C8" s="53"/>
      <c r="D8" s="53"/>
      <c r="E8" s="38">
        <f>+G26</f>
        <v>77431</v>
      </c>
      <c r="F8" s="7"/>
      <c r="G8" s="29" t="s">
        <v>8</v>
      </c>
      <c r="H8" s="36">
        <f>E7-E8</f>
        <v>18669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88.7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45897</v>
      </c>
      <c r="C11" s="39" t="s">
        <v>19</v>
      </c>
      <c r="D11" s="40">
        <v>22083</v>
      </c>
      <c r="E11" s="41" t="s">
        <v>78</v>
      </c>
      <c r="F11" s="42" t="s">
        <v>64</v>
      </c>
      <c r="G11" s="44">
        <v>7000</v>
      </c>
      <c r="H11" s="43"/>
      <c r="I11" s="12"/>
    </row>
    <row r="12" spans="1:9" ht="17.2" x14ac:dyDescent="0.45">
      <c r="A12" s="15">
        <v>2</v>
      </c>
      <c r="B12" s="39">
        <v>45900</v>
      </c>
      <c r="C12" s="39" t="s">
        <v>19</v>
      </c>
      <c r="D12" s="40">
        <v>42236664</v>
      </c>
      <c r="E12" s="41" t="s">
        <v>97</v>
      </c>
      <c r="F12" s="42" t="s">
        <v>98</v>
      </c>
      <c r="G12" s="44">
        <v>6490</v>
      </c>
      <c r="H12" s="43"/>
      <c r="I12" s="12"/>
    </row>
    <row r="13" spans="1:9" ht="34.4" x14ac:dyDescent="0.45">
      <c r="A13" s="15">
        <v>3</v>
      </c>
      <c r="B13" s="39">
        <v>45905</v>
      </c>
      <c r="C13" s="39" t="s">
        <v>19</v>
      </c>
      <c r="D13" s="40">
        <v>26128</v>
      </c>
      <c r="E13" s="41" t="s">
        <v>101</v>
      </c>
      <c r="F13" s="42" t="s">
        <v>102</v>
      </c>
      <c r="G13" s="44">
        <v>5212</v>
      </c>
      <c r="H13" s="43"/>
      <c r="I13" s="12"/>
    </row>
    <row r="14" spans="1:9" ht="17.2" x14ac:dyDescent="0.45">
      <c r="A14" s="15">
        <v>4</v>
      </c>
      <c r="B14" s="39">
        <v>45910</v>
      </c>
      <c r="C14" s="39" t="s">
        <v>19</v>
      </c>
      <c r="D14" s="40">
        <v>22261</v>
      </c>
      <c r="E14" s="41" t="s">
        <v>78</v>
      </c>
      <c r="F14" s="42" t="s">
        <v>64</v>
      </c>
      <c r="G14" s="44">
        <v>7000</v>
      </c>
      <c r="H14" s="43"/>
      <c r="I14" s="12"/>
    </row>
    <row r="15" spans="1:9" ht="17.2" x14ac:dyDescent="0.45">
      <c r="A15" s="15">
        <v>5</v>
      </c>
      <c r="B15" s="39">
        <v>45915</v>
      </c>
      <c r="C15" s="39" t="s">
        <v>19</v>
      </c>
      <c r="D15" s="40">
        <v>15932934</v>
      </c>
      <c r="E15" s="41" t="s">
        <v>99</v>
      </c>
      <c r="F15" s="42" t="s">
        <v>100</v>
      </c>
      <c r="G15" s="44">
        <v>7490</v>
      </c>
      <c r="H15" s="43"/>
      <c r="I15" s="12"/>
    </row>
    <row r="16" spans="1:9" ht="17.2" x14ac:dyDescent="0.45">
      <c r="A16" s="15">
        <v>6</v>
      </c>
      <c r="B16" s="39">
        <v>45917</v>
      </c>
      <c r="C16" s="39" t="s">
        <v>19</v>
      </c>
      <c r="D16" s="40">
        <v>2448365749</v>
      </c>
      <c r="E16" s="41" t="s">
        <v>103</v>
      </c>
      <c r="F16" s="42" t="s">
        <v>104</v>
      </c>
      <c r="G16" s="44">
        <v>26239</v>
      </c>
      <c r="H16" s="43"/>
      <c r="I16" s="12"/>
    </row>
    <row r="17" spans="1:9" ht="17.2" x14ac:dyDescent="0.45">
      <c r="A17" s="15">
        <v>7</v>
      </c>
      <c r="B17" s="39">
        <v>45924</v>
      </c>
      <c r="C17" s="39" t="s">
        <v>19</v>
      </c>
      <c r="D17" s="40">
        <v>3321</v>
      </c>
      <c r="E17" s="41" t="s">
        <v>105</v>
      </c>
      <c r="F17" s="42" t="s">
        <v>57</v>
      </c>
      <c r="G17" s="44">
        <v>18000</v>
      </c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77431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5"/>
      <c r="C29" s="55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7"/>
  <sheetViews>
    <sheetView topLeftCell="A7" workbookViewId="0">
      <selection activeCell="G31" sqref="G31"/>
    </sheetView>
  </sheetViews>
  <sheetFormatPr baseColWidth="10" defaultRowHeight="14" x14ac:dyDescent="0.3"/>
  <cols>
    <col min="1" max="1" width="13.3984375" customWidth="1"/>
    <col min="2" max="2" width="13.09765625" customWidth="1"/>
    <col min="3" max="3" width="20.296875" customWidth="1"/>
    <col min="4" max="4" width="14.09765625" customWidth="1"/>
    <col min="5" max="5" width="16.8984375" customWidth="1"/>
    <col min="6" max="6" width="30" customWidth="1"/>
    <col min="7" max="7" width="12.69921875" customWidth="1"/>
    <col min="8" max="8" width="14.8984375" customWidth="1"/>
  </cols>
  <sheetData>
    <row r="1" spans="1:8" ht="24.2" x14ac:dyDescent="0.6">
      <c r="A1" s="2"/>
      <c r="B1" s="3"/>
      <c r="C1" s="54" t="s">
        <v>0</v>
      </c>
      <c r="D1" s="54"/>
      <c r="E1" s="54"/>
      <c r="F1" s="54"/>
      <c r="G1" s="54"/>
      <c r="H1" s="54"/>
    </row>
    <row r="2" spans="1:8" ht="24.2" x14ac:dyDescent="0.6">
      <c r="A2" s="2"/>
      <c r="B2" s="2"/>
      <c r="C2" s="54" t="s">
        <v>1</v>
      </c>
      <c r="D2" s="54"/>
      <c r="E2" s="54"/>
      <c r="F2" s="54"/>
      <c r="G2" s="54"/>
      <c r="H2" s="54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18</v>
      </c>
    </row>
    <row r="4" spans="1:8" ht="17.75" x14ac:dyDescent="0.45">
      <c r="A4" s="2"/>
      <c r="B4" s="55" t="s">
        <v>3</v>
      </c>
      <c r="C4" s="55"/>
      <c r="D4" s="55"/>
      <c r="E4" s="50">
        <f>+SEPTIEMBRE!H8</f>
        <v>18669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77431</v>
      </c>
      <c r="F5" s="7"/>
      <c r="G5" s="31"/>
      <c r="H5" s="2"/>
    </row>
    <row r="6" spans="1:8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</row>
    <row r="7" spans="1:8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</row>
    <row r="8" spans="1:8" ht="17.75" x14ac:dyDescent="0.45">
      <c r="A8" s="2"/>
      <c r="B8" s="53" t="s">
        <v>7</v>
      </c>
      <c r="C8" s="53"/>
      <c r="D8" s="53"/>
      <c r="E8" s="38">
        <f>+G26</f>
        <v>32000</v>
      </c>
      <c r="F8" s="7"/>
      <c r="G8" s="29" t="s">
        <v>8</v>
      </c>
      <c r="H8" s="36">
        <f>E7-E8</f>
        <v>64100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70.95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45931</v>
      </c>
      <c r="C11" s="39" t="s">
        <v>19</v>
      </c>
      <c r="D11" s="40">
        <v>22446</v>
      </c>
      <c r="E11" s="41" t="s">
        <v>78</v>
      </c>
      <c r="F11" s="42" t="s">
        <v>107</v>
      </c>
      <c r="G11" s="44">
        <v>7000</v>
      </c>
      <c r="H11" s="43"/>
    </row>
    <row r="12" spans="1:8" ht="17.2" x14ac:dyDescent="0.45">
      <c r="A12" s="15">
        <v>2</v>
      </c>
      <c r="B12" s="39">
        <v>45948</v>
      </c>
      <c r="C12" s="39" t="s">
        <v>19</v>
      </c>
      <c r="D12" s="40">
        <v>22668</v>
      </c>
      <c r="E12" s="41" t="s">
        <v>78</v>
      </c>
      <c r="F12" s="42" t="s">
        <v>107</v>
      </c>
      <c r="G12" s="44">
        <v>7000</v>
      </c>
      <c r="H12" s="43"/>
    </row>
    <row r="13" spans="1:8" ht="17.2" x14ac:dyDescent="0.45">
      <c r="A13" s="15">
        <v>3</v>
      </c>
      <c r="B13" s="39">
        <v>45959</v>
      </c>
      <c r="C13" s="39" t="s">
        <v>19</v>
      </c>
      <c r="D13" s="40">
        <v>3391</v>
      </c>
      <c r="E13" s="41" t="s">
        <v>82</v>
      </c>
      <c r="F13" s="42" t="s">
        <v>57</v>
      </c>
      <c r="G13" s="44">
        <v>18000</v>
      </c>
      <c r="H13" s="43"/>
    </row>
    <row r="14" spans="1:8" ht="17.2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17.2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32000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"/>
  <sheetViews>
    <sheetView topLeftCell="A7" workbookViewId="0">
      <selection activeCell="C17" sqref="C17"/>
    </sheetView>
  </sheetViews>
  <sheetFormatPr baseColWidth="10" defaultRowHeight="14" x14ac:dyDescent="0.3"/>
  <cols>
    <col min="1" max="1" width="12.3984375" customWidth="1"/>
    <col min="2" max="2" width="14.69921875" customWidth="1"/>
    <col min="3" max="3" width="15.296875" customWidth="1"/>
    <col min="4" max="4" width="14.59765625" customWidth="1"/>
    <col min="5" max="5" width="14.09765625" customWidth="1"/>
    <col min="6" max="6" width="39.09765625" customWidth="1"/>
    <col min="8" max="8" width="13.296875" customWidth="1"/>
  </cols>
  <sheetData>
    <row r="1" spans="1:8" ht="24.2" x14ac:dyDescent="0.6">
      <c r="A1" s="2"/>
      <c r="B1" s="3"/>
      <c r="C1" s="54" t="s">
        <v>0</v>
      </c>
      <c r="D1" s="54"/>
      <c r="E1" s="54"/>
      <c r="F1" s="54"/>
      <c r="G1" s="54"/>
      <c r="H1" s="54"/>
    </row>
    <row r="2" spans="1:8" ht="24.2" x14ac:dyDescent="0.6">
      <c r="A2" s="2"/>
      <c r="B2" s="2"/>
      <c r="C2" s="54" t="s">
        <v>1</v>
      </c>
      <c r="D2" s="54"/>
      <c r="E2" s="54"/>
      <c r="F2" s="54"/>
      <c r="G2" s="54"/>
      <c r="H2" s="54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36</v>
      </c>
    </row>
    <row r="4" spans="1:8" ht="17.75" x14ac:dyDescent="0.45">
      <c r="A4" s="2"/>
      <c r="B4" s="55" t="s">
        <v>3</v>
      </c>
      <c r="C4" s="55"/>
      <c r="D4" s="55"/>
      <c r="E4" s="50">
        <f>+OCTUBRE25!H8</f>
        <v>64100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32000</v>
      </c>
      <c r="F5" s="7"/>
      <c r="G5" s="31"/>
      <c r="H5" s="2"/>
    </row>
    <row r="6" spans="1:8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</row>
    <row r="7" spans="1:8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</row>
    <row r="8" spans="1:8" ht="17.75" x14ac:dyDescent="0.45">
      <c r="A8" s="2"/>
      <c r="B8" s="53" t="s">
        <v>7</v>
      </c>
      <c r="C8" s="53"/>
      <c r="D8" s="53"/>
      <c r="E8" s="38">
        <f>+G26</f>
        <v>78485</v>
      </c>
      <c r="F8" s="7"/>
      <c r="G8" s="29" t="s">
        <v>8</v>
      </c>
      <c r="H8" s="36">
        <f>E7-E8</f>
        <v>17615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26" customHeight="1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45964</v>
      </c>
      <c r="C11" s="39" t="s">
        <v>19</v>
      </c>
      <c r="D11" s="40">
        <v>22815</v>
      </c>
      <c r="E11" s="41" t="s">
        <v>78</v>
      </c>
      <c r="F11" s="42" t="s">
        <v>64</v>
      </c>
      <c r="G11" s="44">
        <v>7000</v>
      </c>
      <c r="H11" s="43"/>
    </row>
    <row r="12" spans="1:8" ht="17.2" x14ac:dyDescent="0.45">
      <c r="A12" s="15">
        <v>2</v>
      </c>
      <c r="B12" s="39">
        <v>45975</v>
      </c>
      <c r="C12" s="39" t="s">
        <v>19</v>
      </c>
      <c r="D12" s="40">
        <v>7972</v>
      </c>
      <c r="E12" s="41" t="s">
        <v>108</v>
      </c>
      <c r="F12" s="42" t="s">
        <v>109</v>
      </c>
      <c r="G12" s="44">
        <v>64485</v>
      </c>
      <c r="H12" s="43"/>
    </row>
    <row r="13" spans="1:8" ht="17.2" x14ac:dyDescent="0.45">
      <c r="A13" s="15">
        <v>3</v>
      </c>
      <c r="B13" s="39">
        <v>45979</v>
      </c>
      <c r="C13" s="39" t="s">
        <v>19</v>
      </c>
      <c r="D13" s="40">
        <v>22994</v>
      </c>
      <c r="E13" s="41" t="s">
        <v>78</v>
      </c>
      <c r="F13" s="42" t="s">
        <v>64</v>
      </c>
      <c r="G13" s="44">
        <v>7000</v>
      </c>
      <c r="H13" s="43"/>
    </row>
    <row r="14" spans="1:8" ht="17.2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17.2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78485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7"/>
  <sheetViews>
    <sheetView workbookViewId="0">
      <selection activeCell="F15" sqref="F15"/>
    </sheetView>
  </sheetViews>
  <sheetFormatPr baseColWidth="10" defaultRowHeight="14" x14ac:dyDescent="0.3"/>
  <cols>
    <col min="1" max="1" width="11.8984375" customWidth="1"/>
    <col min="2" max="2" width="17.09765625" customWidth="1"/>
    <col min="3" max="3" width="14.296875" customWidth="1"/>
    <col min="4" max="4" width="14.8984375" customWidth="1"/>
    <col min="5" max="5" width="14.69921875" customWidth="1"/>
    <col min="6" max="6" width="34.59765625" customWidth="1"/>
  </cols>
  <sheetData>
    <row r="1" spans="1:8" ht="24.2" x14ac:dyDescent="0.6">
      <c r="A1" s="2"/>
      <c r="B1" s="3"/>
      <c r="C1" s="54" t="s">
        <v>0</v>
      </c>
      <c r="D1" s="54"/>
      <c r="E1" s="54"/>
      <c r="F1" s="54"/>
      <c r="G1" s="54"/>
      <c r="H1" s="54"/>
    </row>
    <row r="2" spans="1:8" ht="24.2" x14ac:dyDescent="0.6">
      <c r="A2" s="2"/>
      <c r="B2" s="2"/>
      <c r="C2" s="54" t="s">
        <v>1</v>
      </c>
      <c r="D2" s="54"/>
      <c r="E2" s="54"/>
      <c r="F2" s="54"/>
      <c r="G2" s="54"/>
      <c r="H2" s="54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36</v>
      </c>
    </row>
    <row r="4" spans="1:8" ht="17.75" x14ac:dyDescent="0.45">
      <c r="A4" s="2"/>
      <c r="B4" s="55" t="s">
        <v>3</v>
      </c>
      <c r="C4" s="55"/>
      <c r="D4" s="55"/>
      <c r="E4" s="50">
        <f>+NOVIEMBRE25!H8</f>
        <v>17615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78485</v>
      </c>
      <c r="F5" s="7"/>
      <c r="G5" s="31"/>
      <c r="H5" s="2"/>
    </row>
    <row r="6" spans="1:8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</row>
    <row r="7" spans="1:8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</row>
    <row r="8" spans="1:8" ht="17.75" x14ac:dyDescent="0.45">
      <c r="A8" s="2"/>
      <c r="B8" s="53" t="s">
        <v>7</v>
      </c>
      <c r="C8" s="53"/>
      <c r="D8" s="53"/>
      <c r="E8" s="38">
        <f>+G26</f>
        <v>74701</v>
      </c>
      <c r="F8" s="7"/>
      <c r="G8" s="29" t="s">
        <v>8</v>
      </c>
      <c r="H8" s="36">
        <f>E7-E8</f>
        <v>21399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24.15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45987</v>
      </c>
      <c r="C11" s="39" t="s">
        <v>19</v>
      </c>
      <c r="D11" s="40">
        <v>3465</v>
      </c>
      <c r="E11" s="41" t="s">
        <v>82</v>
      </c>
      <c r="F11" s="42" t="s">
        <v>57</v>
      </c>
      <c r="G11" s="44">
        <v>18000</v>
      </c>
      <c r="H11" s="43"/>
    </row>
    <row r="12" spans="1:8" ht="17.2" x14ac:dyDescent="0.45">
      <c r="A12" s="15">
        <v>2</v>
      </c>
      <c r="B12" s="39">
        <v>45993</v>
      </c>
      <c r="C12" s="39" t="s">
        <v>110</v>
      </c>
      <c r="D12" s="40">
        <v>5482703</v>
      </c>
      <c r="E12" s="41" t="s">
        <v>111</v>
      </c>
      <c r="F12" s="42" t="s">
        <v>112</v>
      </c>
      <c r="G12" s="44">
        <v>29990</v>
      </c>
      <c r="H12" s="43"/>
    </row>
    <row r="13" spans="1:8" ht="17.2" x14ac:dyDescent="0.45">
      <c r="A13" s="15">
        <v>3</v>
      </c>
      <c r="B13" s="39">
        <v>46002</v>
      </c>
      <c r="C13" s="39" t="s">
        <v>19</v>
      </c>
      <c r="D13" s="40">
        <v>23243</v>
      </c>
      <c r="E13" s="41" t="s">
        <v>78</v>
      </c>
      <c r="F13" s="42" t="s">
        <v>64</v>
      </c>
      <c r="G13" s="44">
        <v>7000</v>
      </c>
      <c r="H13" s="43"/>
    </row>
    <row r="14" spans="1:8" ht="17.2" x14ac:dyDescent="0.45">
      <c r="A14" s="15">
        <v>4</v>
      </c>
      <c r="B14" s="39">
        <v>46007</v>
      </c>
      <c r="C14" s="39" t="s">
        <v>19</v>
      </c>
      <c r="D14" s="40">
        <v>71028883</v>
      </c>
      <c r="E14" s="41" t="s">
        <v>54</v>
      </c>
      <c r="F14" s="42" t="s">
        <v>113</v>
      </c>
      <c r="G14" s="44">
        <v>5980</v>
      </c>
      <c r="H14" s="43"/>
    </row>
    <row r="15" spans="1:8" ht="17.2" x14ac:dyDescent="0.45">
      <c r="A15" s="15">
        <v>5</v>
      </c>
      <c r="B15" s="39">
        <v>46010</v>
      </c>
      <c r="C15" s="39" t="s">
        <v>19</v>
      </c>
      <c r="D15" s="40">
        <v>20251226</v>
      </c>
      <c r="E15" s="41" t="s">
        <v>114</v>
      </c>
      <c r="F15" s="42" t="s">
        <v>115</v>
      </c>
      <c r="G15" s="44">
        <v>13731</v>
      </c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74701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7"/>
  <sheetViews>
    <sheetView tabSelected="1" zoomScale="90" zoomScaleNormal="90" workbookViewId="0">
      <selection activeCell="J14" sqref="J14"/>
    </sheetView>
  </sheetViews>
  <sheetFormatPr baseColWidth="10" defaultRowHeight="14" x14ac:dyDescent="0.3"/>
  <cols>
    <col min="1" max="1" width="8" customWidth="1"/>
    <col min="2" max="2" width="15.3984375" customWidth="1"/>
    <col min="3" max="3" width="16.8984375" customWidth="1"/>
    <col min="4" max="4" width="15.296875" customWidth="1"/>
    <col min="5" max="5" width="16.8984375" customWidth="1"/>
    <col min="6" max="6" width="23.5" customWidth="1"/>
    <col min="8" max="8" width="15.09765625" customWidth="1"/>
  </cols>
  <sheetData>
    <row r="1" spans="1:8" ht="24.2" x14ac:dyDescent="0.6">
      <c r="A1" s="2"/>
      <c r="B1" s="3"/>
      <c r="C1" s="54" t="s">
        <v>0</v>
      </c>
      <c r="D1" s="54"/>
      <c r="E1" s="54"/>
      <c r="F1" s="54"/>
      <c r="G1" s="54"/>
      <c r="H1" s="54"/>
    </row>
    <row r="2" spans="1:8" ht="24.2" x14ac:dyDescent="0.6">
      <c r="A2" s="2"/>
      <c r="B2" s="2"/>
      <c r="C2" s="54" t="s">
        <v>1</v>
      </c>
      <c r="D2" s="54"/>
      <c r="E2" s="54"/>
      <c r="F2" s="54"/>
      <c r="G2" s="54"/>
      <c r="H2" s="54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118</v>
      </c>
    </row>
    <row r="4" spans="1:8" ht="17.75" x14ac:dyDescent="0.45">
      <c r="A4" s="2"/>
      <c r="B4" s="55" t="s">
        <v>3</v>
      </c>
      <c r="C4" s="55"/>
      <c r="D4" s="55"/>
      <c r="E4" s="50">
        <f>+DICIEMBRE25!H8</f>
        <v>21399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74701</v>
      </c>
      <c r="F5" s="7"/>
      <c r="G5" s="31"/>
      <c r="H5" s="2"/>
    </row>
    <row r="6" spans="1:8" ht="17.75" x14ac:dyDescent="0.45">
      <c r="A6" s="2"/>
      <c r="B6" s="55" t="s">
        <v>5</v>
      </c>
      <c r="C6" s="55"/>
      <c r="D6" s="55"/>
      <c r="E6" s="35">
        <v>0</v>
      </c>
      <c r="F6" s="7"/>
      <c r="G6" s="2"/>
      <c r="H6" s="2"/>
    </row>
    <row r="7" spans="1:8" ht="17.75" x14ac:dyDescent="0.45">
      <c r="A7" s="2"/>
      <c r="B7" s="56" t="s">
        <v>6</v>
      </c>
      <c r="C7" s="56"/>
      <c r="D7" s="56"/>
      <c r="E7" s="35">
        <f>SUM(E4:E6)</f>
        <v>96100</v>
      </c>
      <c r="F7" s="7"/>
      <c r="G7" s="26"/>
      <c r="H7" s="2"/>
    </row>
    <row r="8" spans="1:8" ht="17.75" x14ac:dyDescent="0.45">
      <c r="A8" s="2"/>
      <c r="B8" s="53" t="s">
        <v>7</v>
      </c>
      <c r="C8" s="53"/>
      <c r="D8" s="53"/>
      <c r="E8" s="38">
        <f>+G26</f>
        <v>48980</v>
      </c>
      <c r="F8" s="7"/>
      <c r="G8" s="29" t="s">
        <v>8</v>
      </c>
      <c r="H8" s="36">
        <f>E7-E8</f>
        <v>47120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06.4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46015</v>
      </c>
      <c r="C11" s="39" t="s">
        <v>19</v>
      </c>
      <c r="D11" s="40">
        <v>3553</v>
      </c>
      <c r="E11" s="41" t="s">
        <v>82</v>
      </c>
      <c r="F11" s="42" t="s">
        <v>57</v>
      </c>
      <c r="G11" s="44">
        <v>20000</v>
      </c>
      <c r="H11" s="43"/>
    </row>
    <row r="12" spans="1:8" ht="17.2" x14ac:dyDescent="0.45">
      <c r="A12" s="15">
        <v>2</v>
      </c>
      <c r="B12" s="39">
        <v>46029</v>
      </c>
      <c r="C12" s="39" t="s">
        <v>19</v>
      </c>
      <c r="D12" s="40">
        <v>23510</v>
      </c>
      <c r="E12" s="41" t="s">
        <v>78</v>
      </c>
      <c r="F12" s="42" t="s">
        <v>107</v>
      </c>
      <c r="G12" s="44">
        <v>7000</v>
      </c>
      <c r="H12" s="43"/>
    </row>
    <row r="13" spans="1:8" ht="17.2" x14ac:dyDescent="0.45">
      <c r="A13" s="15">
        <v>3</v>
      </c>
      <c r="B13" s="39">
        <v>46042</v>
      </c>
      <c r="C13" s="39" t="s">
        <v>110</v>
      </c>
      <c r="D13" s="40">
        <v>2226374</v>
      </c>
      <c r="E13" s="41" t="s">
        <v>116</v>
      </c>
      <c r="F13" s="42" t="s">
        <v>117</v>
      </c>
      <c r="G13" s="44">
        <v>21980</v>
      </c>
      <c r="H13" s="43"/>
    </row>
    <row r="14" spans="1:8" ht="17.2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17.2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48980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27968C33-CA1E-49DD-891D-A390BB2966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F7AFD1-1D5B-46E4-BF07-8AB1BAC45F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727CEC-1910-4ECC-8040-43E0545BBBC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6a7ff2fa-cd4c-4111-a6ab-75351164d87f"/>
    <ds:schemaRef ds:uri="fa8ec313-c772-4af8-8363-8ff52de2e6b8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3</vt:i4>
      </vt:variant>
    </vt:vector>
  </HeadingPairs>
  <TitlesOfParts>
    <vt:vector size="19" baseType="lpstr">
      <vt:lpstr>OCTUBRE</vt:lpstr>
      <vt:lpstr>NOVIEMBRE</vt:lpstr>
      <vt:lpstr>DICIEMBRE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OCTUBRE25</vt:lpstr>
      <vt:lpstr>NOVIEMBRE25</vt:lpstr>
      <vt:lpstr>DICIEMBRE25</vt:lpstr>
      <vt:lpstr>ENERO26</vt:lpstr>
      <vt:lpstr>DICIEMBRE!Área_de_impresión</vt:lpstr>
      <vt:lpstr>NOVIEMBRE!Área_de_impresión</vt:lpstr>
      <vt:lpstr>OCTUBRE!Área_de_impresión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2026-02-13T23:35:21Z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