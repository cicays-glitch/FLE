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drawings/drawing15.xml" ContentType="application/vnd.openxmlformats-officedocument.drawing+xml"/>
  <Override PartName="/xl/comments12.xml" ContentType="application/vnd.openxmlformats-officedocument.spreadsheetml.comments+xml"/>
  <Override PartName="/xl/drawings/drawing16.xml" ContentType="application/vnd.openxmlformats-officedocument.drawing+xml"/>
  <Override PartName="/xl/comments13.xml" ContentType="application/vnd.openxmlformats-officedocument.spreadsheetml.comments+xml"/>
  <Override PartName="/xl/drawings/drawing17.xml" ContentType="application/vnd.openxmlformats-officedocument.drawing+xml"/>
  <Override PartName="/xl/comments14.xml" ContentType="application/vnd.openxmlformats-officedocument.spreadsheetml.comments+xml"/>
  <Override PartName="/xl/drawings/drawing18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1" documentId="11_A85532B7278E4E5CD40717DD00E90B744EC9CCDF" xr6:coauthVersionLast="47" xr6:coauthVersionMax="47" xr10:uidLastSave="{32761843-ED90-48A1-BB84-00F2CE6937A4}"/>
  <workbookProtection workbookAlgorithmName="SHA-512" workbookHashValue="BREiv5i5zqJg4rKo6Mm+8yCMxF8m8nywDzyRG4hV4OYn9C3mLg2lXulWP0MFfBDNvWf3bM6bQs0BRxnprVKXeg==" workbookSaltValue="5qqf6QwnyyvzsKTHl4Ouzw==" workbookSpinCount="100000" lockStructure="1"/>
  <bookViews>
    <workbookView xWindow="-107" yWindow="-107" windowWidth="20847" windowHeight="11111" firstSheet="9" activeTab="17" xr2:uid="{00000000-000D-0000-FFFF-FFFF00000000}"/>
  </bookViews>
  <sheets>
    <sheet name="JULIO " sheetId="1" r:id="rId1"/>
    <sheet name="AGOSTO" sheetId="2" r:id="rId2"/>
    <sheet name="SEPTIEMBRE" sheetId="3" r:id="rId3"/>
    <sheet name="OCTUBRE" sheetId="4" r:id="rId4"/>
    <sheet name="NOVIEMBRE" sheetId="5" r:id="rId5"/>
    <sheet name="DICIEMBRE" sheetId="6" r:id="rId6"/>
    <sheet name="ENERO 25" sheetId="8" r:id="rId7"/>
    <sheet name="FEB25" sheetId="9" r:id="rId8"/>
    <sheet name="MAR25" sheetId="10" r:id="rId9"/>
    <sheet name="ABR25" sheetId="11" r:id="rId10"/>
    <sheet name="MAY25" sheetId="12" r:id="rId11"/>
    <sheet name="JUN25" sheetId="13" r:id="rId12"/>
    <sheet name="JUL25 " sheetId="14" r:id="rId13"/>
    <sheet name="AGO25" sheetId="15" r:id="rId14"/>
    <sheet name="SEPT25" sheetId="16" r:id="rId15"/>
    <sheet name="OCT25" sheetId="17" r:id="rId16"/>
    <sheet name="NOV25" sheetId="18" r:id="rId17"/>
    <sheet name="DIC25" sheetId="19" r:id="rId18"/>
  </sheets>
  <definedNames>
    <definedName name="_xlnm.Print_Area" localSheetId="9">'ABR25'!$A$1:$H$25</definedName>
    <definedName name="_xlnm.Print_Area" localSheetId="13">'AGO25'!$A$1:$H$27</definedName>
    <definedName name="_xlnm.Print_Area" localSheetId="1">AGOSTO!$A$1:$H$27</definedName>
    <definedName name="_xlnm.Print_Area" localSheetId="17">'DIC25'!$A$1:$H$27</definedName>
    <definedName name="_xlnm.Print_Area" localSheetId="5">DICIEMBRE!$A$1:$H$27</definedName>
    <definedName name="_xlnm.Print_Area" localSheetId="6">'ENERO 25'!$B$1:$I$27</definedName>
    <definedName name="_xlnm.Print_Area" localSheetId="7">'FEB25'!$A$1:$H$27</definedName>
    <definedName name="_xlnm.Print_Area" localSheetId="12">'JUL25 '!$A$1:$H$28</definedName>
    <definedName name="_xlnm.Print_Area" localSheetId="0">'JULIO '!$A$1:$H$28</definedName>
    <definedName name="_xlnm.Print_Area" localSheetId="11">'JUN25'!$A$1:$H$27</definedName>
    <definedName name="_xlnm.Print_Area" localSheetId="8">'MAR25'!$A$1:$H$31</definedName>
    <definedName name="_xlnm.Print_Area" localSheetId="10">'MAY25'!$A$1:$H$27</definedName>
    <definedName name="_xlnm.Print_Area" localSheetId="16">'NOV25'!$A$1:$H$28</definedName>
    <definedName name="_xlnm.Print_Area" localSheetId="4">NOVIEMBRE!$A$1:$H$27</definedName>
    <definedName name="_xlnm.Print_Area" localSheetId="15">'OCT25'!$A$1:$H$27</definedName>
    <definedName name="_xlnm.Print_Area" localSheetId="3">OCTUBRE!$A$1:$H$31</definedName>
    <definedName name="_xlnm.Print_Area" localSheetId="14">SEPT25!$A$1:$H$27</definedName>
    <definedName name="_xlnm.Print_Area" localSheetId="2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4" l="1"/>
  <c r="G26" i="19" l="1"/>
  <c r="E8" i="19" s="1"/>
  <c r="G27" i="18"/>
  <c r="E8" i="18" s="1"/>
  <c r="G26" i="17"/>
  <c r="E8" i="17" s="1"/>
  <c r="G26" i="16"/>
  <c r="E8" i="16" s="1"/>
  <c r="G26" i="15"/>
  <c r="E8" i="15" s="1"/>
  <c r="E8" i="14"/>
  <c r="G26" i="13" l="1"/>
  <c r="E8" i="13" s="1"/>
  <c r="G26" i="12"/>
  <c r="E8" i="12" s="1"/>
  <c r="G24" i="11"/>
  <c r="E8" i="11" s="1"/>
  <c r="G30" i="10"/>
  <c r="E8" i="10" s="1"/>
  <c r="G26" i="9"/>
  <c r="E8" i="9" s="1"/>
  <c r="H26" i="8"/>
  <c r="F8" i="8" s="1"/>
  <c r="G26" i="6"/>
  <c r="E8" i="6" s="1"/>
  <c r="G26" i="5"/>
  <c r="E8" i="5" s="1"/>
  <c r="G30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l="1"/>
  <c r="E7" i="4" s="1"/>
  <c r="H8" i="4" s="1"/>
  <c r="E4" i="5" s="1"/>
  <c r="E7" i="5" s="1"/>
  <c r="H8" i="5" s="1"/>
  <c r="E4" i="6" s="1"/>
  <c r="E7" i="6" s="1"/>
  <c r="H8" i="6" s="1"/>
  <c r="I8" i="8" l="1"/>
  <c r="E4" i="9" s="1"/>
  <c r="E7" i="9" s="1"/>
  <c r="H8" i="9" s="1"/>
  <c r="E4" i="10" l="1"/>
  <c r="E7" i="10" s="1"/>
  <c r="H8" i="10" s="1"/>
  <c r="E4" i="11" s="1"/>
  <c r="E7" i="11" s="1"/>
  <c r="H8" i="11" s="1"/>
  <c r="E4" i="12" l="1"/>
  <c r="E7" i="12" s="1"/>
  <c r="H8" i="12" s="1"/>
  <c r="E4" i="13" s="1"/>
  <c r="E7" i="13" s="1"/>
  <c r="H8" i="13" s="1"/>
  <c r="E4" i="14" s="1"/>
  <c r="E7" i="14" s="1"/>
  <c r="H8" i="14" s="1"/>
  <c r="E4" i="15" l="1"/>
  <c r="E7" i="15" s="1"/>
  <c r="H8" i="15" s="1"/>
  <c r="E4" i="16" l="1"/>
  <c r="E7" i="16" s="1"/>
  <c r="H8" i="16" s="1"/>
  <c r="E7" i="17" s="1"/>
  <c r="H8" i="17" s="1"/>
  <c r="E4" i="18" s="1"/>
  <c r="E7" i="18" s="1"/>
  <c r="H8" i="18" s="1"/>
  <c r="E4" i="19" s="1"/>
  <c r="E7" i="19" s="1"/>
  <c r="H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  <comment ref="E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manualmente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F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F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sharedStrings.xml><?xml version="1.0" encoding="utf-8"?>
<sst xmlns="http://schemas.openxmlformats.org/spreadsheetml/2006/main" count="732" uniqueCount="191">
  <si>
    <t xml:space="preserve">RENDICION CAJA CHICA  </t>
  </si>
  <si>
    <t>TALCA</t>
  </si>
  <si>
    <t>MES</t>
  </si>
  <si>
    <t>JULIO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</si>
  <si>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</si>
  <si>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</si>
  <si>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</si>
  <si>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</si>
  <si>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</si>
  <si>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</si>
  <si>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</si>
  <si>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</si>
  <si>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</si>
  <si>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</si>
  <si>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</si>
  <si>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</si>
  <si>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</si>
  <si>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195</t>
  </si>
  <si>
    <t>boleta venta</t>
  </si>
  <si>
    <t>-</t>
  </si>
  <si>
    <t>DESAYUNO EQUIPO</t>
  </si>
  <si>
    <t>AGUA</t>
  </si>
  <si>
    <t>PAN DESAYUNO</t>
  </si>
  <si>
    <t>TOTALES</t>
  </si>
  <si>
    <t>AGOSTO</t>
  </si>
  <si>
    <t>boleta</t>
  </si>
  <si>
    <t>dulces</t>
  </si>
  <si>
    <t>pecera</t>
  </si>
  <si>
    <t>agua</t>
  </si>
  <si>
    <t>lisoform + pan</t>
  </si>
  <si>
    <t>SEPTIEMBRE</t>
  </si>
  <si>
    <t xml:space="preserve">BOLETA </t>
  </si>
  <si>
    <t>cordoneria</t>
  </si>
  <si>
    <t>colectivo</t>
  </si>
  <si>
    <t>banderin</t>
  </si>
  <si>
    <t>desayuno con Mafer</t>
  </si>
  <si>
    <t>FACTURA</t>
  </si>
  <si>
    <t>LIMPIEZA VITRINA</t>
  </si>
  <si>
    <t>desayuno equipo</t>
  </si>
  <si>
    <t>maskin</t>
  </si>
  <si>
    <t xml:space="preserve">2 pizza reunion Mafer </t>
  </si>
  <si>
    <t>OCTUBRE</t>
  </si>
  <si>
    <t>lavaloza+bolsas</t>
  </si>
  <si>
    <t>pilas</t>
  </si>
  <si>
    <t>desayuno</t>
  </si>
  <si>
    <t xml:space="preserve">2 da boleta </t>
  </si>
  <si>
    <t>desayuno continuación</t>
  </si>
  <si>
    <t>agua+ vaso</t>
  </si>
  <si>
    <t>agua bidon</t>
  </si>
  <si>
    <t>cinta embalaje</t>
  </si>
  <si>
    <t>colectivo municipalidad</t>
  </si>
  <si>
    <t>despacho chileexpress</t>
  </si>
  <si>
    <t>detalle guante</t>
  </si>
  <si>
    <t>almuerzo día de reposicion Seba</t>
  </si>
  <si>
    <t>almuerzo dia de llenado Belén</t>
  </si>
  <si>
    <t>bidon de agua + repuesto</t>
  </si>
  <si>
    <t xml:space="preserve">factura </t>
  </si>
  <si>
    <t>limpieza vitrina</t>
  </si>
  <si>
    <t>NOVIEMBRE</t>
  </si>
  <si>
    <t>cintas de regalo</t>
  </si>
  <si>
    <t>ganchos</t>
  </si>
  <si>
    <t>agua de bidon</t>
  </si>
  <si>
    <t>insumos</t>
  </si>
  <si>
    <t>panaderia</t>
  </si>
  <si>
    <t>paqueteria</t>
  </si>
  <si>
    <t>DICIEMBRE</t>
  </si>
  <si>
    <t>ENERO 25</t>
  </si>
  <si>
    <t xml:space="preserve">boleta lider/ desayuno </t>
  </si>
  <si>
    <t>boleta almacen/ pan desayuno</t>
  </si>
  <si>
    <t>agua bollenes</t>
  </si>
  <si>
    <t xml:space="preserve">librería/ cintas de regalo para ventas </t>
  </si>
  <si>
    <t>boleta honorario</t>
  </si>
  <si>
    <t xml:space="preserve">limpieza de vidrios </t>
  </si>
  <si>
    <t>boleta tucan / scotch</t>
  </si>
  <si>
    <t>boleta lider</t>
  </si>
  <si>
    <t xml:space="preserve">dulces para clientes en navidad </t>
  </si>
  <si>
    <t>dulces para clientes en navidad</t>
  </si>
  <si>
    <t xml:space="preserve">boleta </t>
  </si>
  <si>
    <t xml:space="preserve">barra de helados y dulce clientes </t>
  </si>
  <si>
    <t>FEBRERO</t>
  </si>
  <si>
    <t>MARZO</t>
  </si>
  <si>
    <t>RESPONSABLE FONDO FIJO</t>
  </si>
  <si>
    <t>Belen Gatica</t>
  </si>
  <si>
    <t>ABRIL</t>
  </si>
  <si>
    <t>MAYO</t>
  </si>
  <si>
    <t>JUNIO</t>
  </si>
  <si>
    <t>utiles de aseo</t>
  </si>
  <si>
    <t>vitrina</t>
  </si>
  <si>
    <t>BOLETA</t>
  </si>
  <si>
    <t>agua (imprevisto)</t>
  </si>
  <si>
    <t xml:space="preserve">agua y parte del desayuno </t>
  </si>
  <si>
    <t xml:space="preserve">boleta colectivo </t>
  </si>
  <si>
    <t>colectivo por pedido de chileexpress - Belen</t>
  </si>
  <si>
    <t>colectivo por pedido de chileexpress - Belén</t>
  </si>
  <si>
    <t>colectivo sector nor oriente (chileexpress) - Delfina</t>
  </si>
  <si>
    <t>boleta uber</t>
  </si>
  <si>
    <t>Boleta honorarios</t>
  </si>
  <si>
    <t>VITRINA</t>
  </si>
  <si>
    <t>20/02/20225</t>
  </si>
  <si>
    <t xml:space="preserve">didi entrega chileexpress </t>
  </si>
  <si>
    <t>uber entrega chileexpress - Sarita</t>
  </si>
  <si>
    <t>DESAYUNO 08/03</t>
  </si>
  <si>
    <t>pie de limon, dia de la mujer</t>
  </si>
  <si>
    <t>entrega en Chile express Benjamin</t>
  </si>
  <si>
    <t>cinta adhesiva</t>
  </si>
  <si>
    <t>flores decorativas</t>
  </si>
  <si>
    <t>cuaderno</t>
  </si>
  <si>
    <t>27/02/205</t>
  </si>
  <si>
    <t>pilas teclado</t>
  </si>
  <si>
    <t>pasaje ida Santiago</t>
  </si>
  <si>
    <t>uber Santiago</t>
  </si>
  <si>
    <t>uber a bodega</t>
  </si>
  <si>
    <t>pasaje vuelta a Talca</t>
  </si>
  <si>
    <t>uber en Talca</t>
  </si>
  <si>
    <t>pie de otro sabor para Sara (alergia)</t>
  </si>
  <si>
    <t xml:space="preserve">plasti flechas / Compra Esteban </t>
  </si>
  <si>
    <t>enchufes cuadros vitrina / compra Esteban</t>
  </si>
  <si>
    <t>31/04/2025</t>
  </si>
  <si>
    <t>PASAJE</t>
  </si>
  <si>
    <t>RECIBO</t>
  </si>
  <si>
    <t>HONORARIO</t>
  </si>
  <si>
    <t>toalla nova</t>
  </si>
  <si>
    <t>envio de precios (Esteban)</t>
  </si>
  <si>
    <t>Comprobante Banco</t>
  </si>
  <si>
    <t>billete falso</t>
  </si>
  <si>
    <t>S/N</t>
  </si>
  <si>
    <t>toallas de papel</t>
  </si>
  <si>
    <t>BOLETO</t>
  </si>
  <si>
    <t xml:space="preserve">colectivo para envio chileexpress </t>
  </si>
  <si>
    <t>agua purificada</t>
  </si>
  <si>
    <t>bidones de agua purificada</t>
  </si>
  <si>
    <t>Desayuno Cassi</t>
  </si>
  <si>
    <t>Limpieza Vitrina</t>
  </si>
  <si>
    <t>SODIMAC - ALAMBRE</t>
  </si>
  <si>
    <t xml:space="preserve">LIDER - PILAS </t>
  </si>
  <si>
    <t>AGUA PURIFICADA</t>
  </si>
  <si>
    <t>MINISO- BOTELLAS SPRAY</t>
  </si>
  <si>
    <t>cajas organizadoras</t>
  </si>
  <si>
    <t>boleto</t>
  </si>
  <si>
    <t>colectivo para chilexpress</t>
  </si>
  <si>
    <t>DESAYUNO REUNION</t>
  </si>
  <si>
    <t xml:space="preserve">bidones de agua </t>
  </si>
  <si>
    <t>Bus Talca - Paris - Londres</t>
  </si>
  <si>
    <t>Bus Altas Cumbres</t>
  </si>
  <si>
    <t>187-16645776</t>
  </si>
  <si>
    <t>comprobante</t>
  </si>
  <si>
    <t>DIDI</t>
  </si>
  <si>
    <t>recarga metro</t>
  </si>
  <si>
    <t xml:space="preserve">Uber </t>
  </si>
  <si>
    <t>marco para patente</t>
  </si>
  <si>
    <t>boleta lider - desayuno</t>
  </si>
  <si>
    <t>caja plasticas</t>
  </si>
  <si>
    <t>cable USB</t>
  </si>
  <si>
    <t>guirnaldas</t>
  </si>
  <si>
    <t>escarapelas</t>
  </si>
  <si>
    <t>uber delfina</t>
  </si>
  <si>
    <t>celebracion fiestas patrias</t>
  </si>
  <si>
    <t>organizador de plastico</t>
  </si>
  <si>
    <t>boletta</t>
  </si>
  <si>
    <t>s/n</t>
  </si>
  <si>
    <t xml:space="preserve">bebida </t>
  </si>
  <si>
    <t>honorarios</t>
  </si>
  <si>
    <t>limpieza de vitrina</t>
  </si>
  <si>
    <t>colectivo entrega chileexpress</t>
  </si>
  <si>
    <t>ENTREVISTAS recursos humanos</t>
  </si>
  <si>
    <t>scotch</t>
  </si>
  <si>
    <t>toallas humedas de limpieza</t>
  </si>
  <si>
    <t>Vitrina</t>
  </si>
  <si>
    <t>Locomocion entrega starken</t>
  </si>
  <si>
    <t>Carpeta documentos + dulces</t>
  </si>
  <si>
    <t>Desayuno Equipo - reunión</t>
  </si>
  <si>
    <t>desayuno paltas</t>
  </si>
  <si>
    <t xml:space="preserve">reunion </t>
  </si>
  <si>
    <t>cinta</t>
  </si>
  <si>
    <t>cinta de regalo</t>
  </si>
  <si>
    <t xml:space="preserve">scotch </t>
  </si>
  <si>
    <t>toalla papel</t>
  </si>
  <si>
    <t>toallas de limpieza humedas</t>
  </si>
  <si>
    <t>caja organizadora</t>
  </si>
  <si>
    <t>agua + dulces</t>
  </si>
  <si>
    <t>reunion fin de año</t>
  </si>
  <si>
    <t>boleto venta</t>
  </si>
  <si>
    <t>pasaje a Santiago (reunión)</t>
  </si>
  <si>
    <t>uber terminal Talca</t>
  </si>
  <si>
    <t>uber hacia renunion Stgo</t>
  </si>
  <si>
    <t>metro de Santiago</t>
  </si>
  <si>
    <t>00NX7WTB</t>
  </si>
  <si>
    <t>pasaje a Talca (devuelta)</t>
  </si>
  <si>
    <t xml:space="preserve">uber desde terminal </t>
  </si>
  <si>
    <t>cafes desayuno equipo</t>
  </si>
  <si>
    <t>comida desayuno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</si>
</sst>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7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b/>
      <i/>
      <sz val="11"/>
      <name val="Segoe UI"/>
      <family val="2"/>
      <charset val="1"/>
    </font>
    <font>
      <sz val="11"/>
      <name val="Segoe UI"/>
      <family val="2"/>
      <charset val="1"/>
    </font>
    <font>
      <b/>
      <sz val="11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Segoe UI"/>
      <family val="2"/>
    </font>
    <font>
      <b/>
      <i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42" fontId="12" fillId="0" borderId="0" applyFont="0" applyFill="0" applyBorder="0" applyAlignment="0" applyProtection="0"/>
  </cellStyleXfs>
  <cellXfs count="183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0" fontId="17" fillId="3" borderId="3" xfId="0" applyFont="1" applyFill="1" applyBorder="1" applyAlignment="1">
      <alignment horizontal="center"/>
    </xf>
    <xf numFmtId="1" fontId="20" fillId="2" borderId="3" xfId="0" applyNumberFormat="1" applyFont="1" applyFill="1" applyBorder="1" applyAlignment="1">
      <alignment horizontal="center" vertical="center"/>
    </xf>
    <xf numFmtId="14" fontId="21" fillId="2" borderId="3" xfId="0" applyNumberFormat="1" applyFont="1" applyFill="1" applyBorder="1" applyAlignment="1">
      <alignment horizontal="left"/>
    </xf>
    <xf numFmtId="0" fontId="21" fillId="2" borderId="3" xfId="0" applyFont="1" applyFill="1" applyBorder="1" applyAlignment="1">
      <alignment horizontal="left" wrapText="1"/>
    </xf>
    <xf numFmtId="0" fontId="21" fillId="2" borderId="3" xfId="0" applyFont="1" applyFill="1" applyBorder="1" applyAlignment="1">
      <alignment vertical="center"/>
    </xf>
    <xf numFmtId="3" fontId="21" fillId="2" borderId="4" xfId="0" applyNumberFormat="1" applyFont="1" applyFill="1" applyBorder="1" applyAlignment="1">
      <alignment horizontal="left" wrapText="1"/>
    </xf>
    <xf numFmtId="166" fontId="21" fillId="2" borderId="3" xfId="1" applyNumberFormat="1" applyFont="1" applyFill="1" applyBorder="1" applyAlignment="1">
      <alignment horizontal="right"/>
    </xf>
    <xf numFmtId="1" fontId="20" fillId="2" borderId="3" xfId="0" applyNumberFormat="1" applyFont="1" applyFill="1" applyBorder="1" applyAlignment="1">
      <alignment horizontal="center"/>
    </xf>
    <xf numFmtId="0" fontId="20" fillId="2" borderId="0" xfId="0" applyFont="1" applyFill="1"/>
    <xf numFmtId="0" fontId="20" fillId="2" borderId="4" xfId="0" applyFont="1" applyFill="1" applyBorder="1" applyAlignment="1">
      <alignment vertical="center"/>
    </xf>
    <xf numFmtId="0" fontId="20" fillId="2" borderId="5" xfId="0" applyFont="1" applyFill="1" applyBorder="1" applyAlignment="1">
      <alignment vertical="center"/>
    </xf>
    <xf numFmtId="166" fontId="22" fillId="2" borderId="3" xfId="1" applyNumberFormat="1" applyFont="1" applyFill="1" applyBorder="1" applyAlignment="1">
      <alignment horizontal="right"/>
    </xf>
    <xf numFmtId="165" fontId="13" fillId="4" borderId="1" xfId="1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/>
    </xf>
    <xf numFmtId="0" fontId="17" fillId="2" borderId="3" xfId="0" applyFont="1" applyFill="1" applyBorder="1"/>
    <xf numFmtId="0" fontId="10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/>
    </xf>
    <xf numFmtId="49" fontId="8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7" fillId="2" borderId="3" xfId="0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left"/>
    </xf>
    <xf numFmtId="0" fontId="10" fillId="2" borderId="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65" fontId="14" fillId="2" borderId="1" xfId="1" applyNumberFormat="1" applyFont="1" applyFill="1" applyBorder="1" applyAlignment="1" applyProtection="1">
      <alignment horizontal="center" vertical="center"/>
      <protection locked="0"/>
    </xf>
    <xf numFmtId="165" fontId="13" fillId="2" borderId="1" xfId="1" applyNumberFormat="1" applyFont="1" applyFill="1" applyBorder="1" applyAlignment="1" applyProtection="1">
      <alignment horizontal="center" vertical="center"/>
      <protection locked="0"/>
    </xf>
    <xf numFmtId="14" fontId="17" fillId="2" borderId="3" xfId="0" applyNumberFormat="1" applyFont="1" applyFill="1" applyBorder="1" applyAlignment="1" applyProtection="1">
      <alignment horizontal="left"/>
      <protection locked="0"/>
    </xf>
    <xf numFmtId="0" fontId="17" fillId="2" borderId="3" xfId="0" applyFont="1" applyFill="1" applyBorder="1" applyAlignment="1" applyProtection="1">
      <alignment horizontal="left" wrapText="1"/>
      <protection locked="0"/>
    </xf>
    <xf numFmtId="0" fontId="17" fillId="2" borderId="3" xfId="0" applyFont="1" applyFill="1" applyBorder="1" applyAlignment="1" applyProtection="1">
      <alignment vertical="center"/>
      <protection locked="0"/>
    </xf>
    <xf numFmtId="3" fontId="17" fillId="2" borderId="4" xfId="0" applyNumberFormat="1" applyFont="1" applyFill="1" applyBorder="1" applyAlignment="1" applyProtection="1">
      <alignment horizontal="left" wrapText="1"/>
      <protection locked="0"/>
    </xf>
    <xf numFmtId="166" fontId="17" fillId="2" borderId="3" xfId="1" applyNumberFormat="1" applyFont="1" applyFill="1" applyBorder="1" applyAlignment="1" applyProtection="1">
      <alignment horizontal="right"/>
      <protection locked="0"/>
    </xf>
    <xf numFmtId="0" fontId="17" fillId="2" borderId="3" xfId="0" applyFont="1" applyFill="1" applyBorder="1" applyProtection="1">
      <protection locked="0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3" fontId="17" fillId="2" borderId="4" xfId="0" applyNumberFormat="1" applyFont="1" applyFill="1" applyBorder="1" applyAlignment="1" applyProtection="1">
      <alignment horizontal="left" vertical="center" wrapText="1"/>
      <protection locked="0"/>
    </xf>
    <xf numFmtId="166" fontId="17" fillId="2" borderId="3" xfId="1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  <xf numFmtId="1" fontId="1" fillId="2" borderId="0" xfId="0" applyNumberFormat="1" applyFont="1" applyFill="1" applyAlignment="1" applyProtection="1">
      <alignment vertical="center"/>
      <protection locked="0"/>
    </xf>
    <xf numFmtId="3" fontId="5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/>
      <protection locked="0"/>
    </xf>
    <xf numFmtId="49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49" fontId="1" fillId="2" borderId="0" xfId="0" applyNumberFormat="1" applyFont="1" applyFill="1" applyProtection="1">
      <protection locked="0"/>
    </xf>
    <xf numFmtId="49" fontId="8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3" fontId="8" fillId="2" borderId="0" xfId="0" applyNumberFormat="1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3" fontId="7" fillId="2" borderId="4" xfId="0" applyNumberFormat="1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 wrapText="1"/>
      <protection locked="0"/>
    </xf>
    <xf numFmtId="0" fontId="10" fillId="2" borderId="0" xfId="0" applyFont="1" applyFill="1" applyProtection="1">
      <protection locked="0"/>
    </xf>
    <xf numFmtId="1" fontId="10" fillId="2" borderId="3" xfId="0" applyNumberFormat="1" applyFont="1" applyFill="1" applyBorder="1" applyAlignment="1" applyProtection="1">
      <alignment horizontal="center" vertical="center"/>
      <protection locked="0"/>
    </xf>
    <xf numFmtId="0" fontId="17" fillId="3" borderId="3" xfId="0" applyFont="1" applyFill="1" applyBorder="1" applyAlignment="1" applyProtection="1">
      <alignment horizontal="center" vertical="center"/>
      <protection locked="0"/>
    </xf>
    <xf numFmtId="1" fontId="10" fillId="2" borderId="3" xfId="0" applyNumberFormat="1" applyFont="1" applyFill="1" applyBorder="1" applyAlignment="1" applyProtection="1">
      <alignment horizontal="center"/>
      <protection locked="0"/>
    </xf>
    <xf numFmtId="0" fontId="17" fillId="3" borderId="3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10" fillId="2" borderId="5" xfId="0" applyFont="1" applyFill="1" applyBorder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horizontal="right" vertical="center"/>
      <protection locked="0"/>
    </xf>
    <xf numFmtId="0" fontId="10" fillId="2" borderId="2" xfId="0" applyFont="1" applyFill="1" applyBorder="1" applyAlignment="1" applyProtection="1">
      <alignment horizontal="right" vertical="center"/>
      <protection locked="0"/>
    </xf>
    <xf numFmtId="3" fontId="7" fillId="2" borderId="2" xfId="0" applyNumberFormat="1" applyFont="1" applyFill="1" applyBorder="1" applyProtection="1">
      <protection locked="0"/>
    </xf>
    <xf numFmtId="0" fontId="7" fillId="2" borderId="0" xfId="0" applyFont="1" applyFill="1" applyAlignment="1" applyProtection="1">
      <alignment horizontal="right" vertical="center"/>
      <protection locked="0"/>
    </xf>
    <xf numFmtId="0" fontId="10" fillId="2" borderId="0" xfId="0" applyFont="1" applyFill="1" applyAlignment="1" applyProtection="1">
      <alignment horizontal="right" vertical="center"/>
      <protection locked="0"/>
    </xf>
    <xf numFmtId="3" fontId="7" fillId="2" borderId="0" xfId="0" applyNumberFormat="1" applyFont="1" applyFill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Protection="1">
      <protection locked="0"/>
    </xf>
    <xf numFmtId="0" fontId="11" fillId="2" borderId="0" xfId="0" applyFont="1" applyFill="1" applyProtection="1">
      <protection locked="0"/>
    </xf>
    <xf numFmtId="3" fontId="1" fillId="2" borderId="0" xfId="0" applyNumberFormat="1" applyFont="1" applyFill="1" applyProtection="1">
      <protection locked="0"/>
    </xf>
    <xf numFmtId="165" fontId="13" fillId="4" borderId="1" xfId="1" applyNumberFormat="1" applyFont="1" applyFill="1" applyBorder="1" applyAlignment="1" applyProtection="1">
      <alignment horizontal="center" vertical="center"/>
    </xf>
    <xf numFmtId="165" fontId="13" fillId="2" borderId="1" xfId="1" applyNumberFormat="1" applyFont="1" applyFill="1" applyBorder="1" applyAlignment="1" applyProtection="1">
      <alignment horizontal="center" vertical="center"/>
    </xf>
    <xf numFmtId="165" fontId="15" fillId="2" borderId="1" xfId="1" applyNumberFormat="1" applyFont="1" applyFill="1" applyBorder="1" applyAlignment="1" applyProtection="1">
      <alignment horizontal="center" vertical="center"/>
    </xf>
    <xf numFmtId="165" fontId="14" fillId="2" borderId="1" xfId="1" applyNumberFormat="1" applyFont="1" applyFill="1" applyBorder="1" applyAlignment="1" applyProtection="1">
      <alignment horizontal="center" vertical="center"/>
    </xf>
    <xf numFmtId="166" fontId="18" fillId="2" borderId="3" xfId="1" applyNumberFormat="1" applyFont="1" applyFill="1" applyBorder="1" applyAlignment="1" applyProtection="1">
      <alignment horizontal="right"/>
    </xf>
    <xf numFmtId="0" fontId="2" fillId="2" borderId="0" xfId="0" applyFont="1" applyFill="1" applyAlignment="1">
      <alignment horizontal="left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/>
    </xf>
    <xf numFmtId="14" fontId="25" fillId="2" borderId="3" xfId="0" applyNumberFormat="1" applyFont="1" applyFill="1" applyBorder="1" applyAlignment="1" applyProtection="1">
      <alignment horizontal="left"/>
      <protection locked="0"/>
    </xf>
    <xf numFmtId="0" fontId="25" fillId="2" borderId="3" xfId="0" applyFont="1" applyFill="1" applyBorder="1" applyAlignment="1" applyProtection="1">
      <alignment horizontal="left" wrapText="1"/>
      <protection locked="0"/>
    </xf>
    <xf numFmtId="3" fontId="25" fillId="2" borderId="4" xfId="0" applyNumberFormat="1" applyFont="1" applyFill="1" applyBorder="1" applyAlignment="1" applyProtection="1">
      <alignment horizontal="left" wrapText="1"/>
      <protection locked="0"/>
    </xf>
    <xf numFmtId="14" fontId="25" fillId="2" borderId="3" xfId="0" applyNumberFormat="1" applyFont="1" applyFill="1" applyBorder="1" applyAlignment="1" applyProtection="1">
      <alignment horizontal="left" vertical="center" wrapText="1"/>
      <protection locked="0"/>
    </xf>
    <xf numFmtId="0" fontId="26" fillId="2" borderId="3" xfId="0" applyFont="1" applyFill="1" applyBorder="1" applyAlignment="1" applyProtection="1">
      <alignment horizontal="left" vertical="center" wrapText="1"/>
      <protection locked="0"/>
    </xf>
    <xf numFmtId="0" fontId="25" fillId="2" borderId="3" xfId="0" applyFont="1" applyFill="1" applyBorder="1" applyAlignment="1" applyProtection="1">
      <alignment horizontal="left" vertical="center"/>
      <protection locked="0"/>
    </xf>
    <xf numFmtId="0" fontId="25" fillId="2" borderId="3" xfId="0" applyFont="1" applyFill="1" applyBorder="1" applyAlignment="1" applyProtection="1">
      <alignment horizontal="left"/>
      <protection locked="0"/>
    </xf>
    <xf numFmtId="0" fontId="25" fillId="2" borderId="3" xfId="0" applyFont="1" applyFill="1" applyBorder="1" applyAlignment="1" applyProtection="1">
      <alignment horizontal="left" vertical="center" wrapText="1"/>
      <protection locked="0"/>
    </xf>
    <xf numFmtId="3" fontId="25" fillId="2" borderId="4" xfId="0" applyNumberFormat="1" applyFont="1" applyFill="1" applyBorder="1" applyAlignment="1" applyProtection="1">
      <alignment horizontal="left" vertical="center"/>
      <protection locked="0"/>
    </xf>
    <xf numFmtId="42" fontId="6" fillId="2" borderId="0" xfId="4" applyFont="1" applyFill="1" applyAlignment="1" applyProtection="1">
      <alignment horizontal="left"/>
      <protection locked="0"/>
    </xf>
    <xf numFmtId="42" fontId="8" fillId="2" borderId="0" xfId="4" applyFont="1" applyFill="1" applyAlignment="1" applyProtection="1">
      <alignment horizontal="left"/>
      <protection locked="0"/>
    </xf>
    <xf numFmtId="42" fontId="1" fillId="2" borderId="0" xfId="4" applyFont="1" applyFill="1" applyAlignment="1" applyProtection="1">
      <alignment horizontal="left"/>
      <protection locked="0"/>
    </xf>
    <xf numFmtId="42" fontId="9" fillId="2" borderId="0" xfId="4" applyFont="1" applyFill="1" applyAlignment="1" applyProtection="1">
      <alignment horizontal="left"/>
      <protection locked="0"/>
    </xf>
    <xf numFmtId="42" fontId="7" fillId="2" borderId="3" xfId="4" applyFont="1" applyFill="1" applyBorder="1" applyAlignment="1" applyProtection="1">
      <alignment horizontal="left" wrapText="1"/>
      <protection locked="0"/>
    </xf>
    <xf numFmtId="42" fontId="25" fillId="2" borderId="3" xfId="4" applyFont="1" applyFill="1" applyBorder="1" applyAlignment="1" applyProtection="1">
      <alignment horizontal="left" wrapText="1"/>
      <protection locked="0"/>
    </xf>
    <xf numFmtId="42" fontId="25" fillId="2" borderId="3" xfId="4" applyFont="1" applyFill="1" applyBorder="1" applyAlignment="1" applyProtection="1">
      <alignment horizontal="left"/>
      <protection locked="0"/>
    </xf>
    <xf numFmtId="42" fontId="17" fillId="2" borderId="3" xfId="4" applyFont="1" applyFill="1" applyBorder="1" applyAlignment="1" applyProtection="1">
      <alignment horizontal="left"/>
      <protection locked="0"/>
    </xf>
    <xf numFmtId="42" fontId="18" fillId="2" borderId="3" xfId="4" applyFont="1" applyFill="1" applyBorder="1" applyAlignment="1" applyProtection="1">
      <alignment horizontal="left"/>
    </xf>
    <xf numFmtId="42" fontId="7" fillId="2" borderId="2" xfId="4" applyFont="1" applyFill="1" applyBorder="1" applyAlignment="1" applyProtection="1">
      <alignment horizontal="left"/>
      <protection locked="0"/>
    </xf>
    <xf numFmtId="42" fontId="7" fillId="2" borderId="0" xfId="4" applyFont="1" applyFill="1" applyAlignment="1" applyProtection="1">
      <alignment horizontal="left"/>
      <protection locked="0"/>
    </xf>
    <xf numFmtId="42" fontId="10" fillId="2" borderId="0" xfId="4" applyFont="1" applyFill="1" applyAlignment="1" applyProtection="1">
      <alignment horizontal="left"/>
      <protection locked="0"/>
    </xf>
    <xf numFmtId="0" fontId="17" fillId="2" borderId="3" xfId="0" applyFont="1" applyFill="1" applyBorder="1" applyAlignment="1" applyProtection="1">
      <alignment horizontal="left"/>
      <protection locked="0"/>
    </xf>
    <xf numFmtId="1" fontId="17" fillId="2" borderId="3" xfId="0" applyNumberFormat="1" applyFont="1" applyFill="1" applyBorder="1" applyAlignment="1">
      <alignment horizontal="left" wrapText="1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8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16" fillId="2" borderId="0" xfId="0" applyFont="1" applyFill="1" applyAlignment="1" applyProtection="1">
      <alignment horizontal="left"/>
      <protection locked="0"/>
    </xf>
  </cellXfs>
  <cellStyles count="5">
    <cellStyle name="Millares" xfId="1" builtinId="3"/>
    <cellStyle name="Moneda [0]" xfId="4" builtinId="7"/>
    <cellStyle name="Moneda 2" xfId="3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07925F-A4F2-A3EF-67C8-DC7787E4F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3D337-45B6-4816-8571-9DF21FBC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BF008F-F619-4A35-BF15-153318DE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864658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17</xdr:col>
      <xdr:colOff>682298</xdr:colOff>
      <xdr:row>27</xdr:row>
      <xdr:rowOff>74083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DC08A-5601-4530-21CE-8CE9134A2686}"/>
            </a:ext>
            <a:ext uri="{147F2762-F138-4A5C-976F-8EAC2B608ADB}">
              <a16:predDERef xmlns:a16="http://schemas.microsoft.com/office/drawing/2014/main" pre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0" y="2783417"/>
          <a:ext cx="6778298" cy="48154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B21F3F-382C-4EFE-BD92-88755903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8</xdr:row>
      <xdr:rowOff>222251</xdr:rowOff>
    </xdr:from>
    <xdr:to>
      <xdr:col>17</xdr:col>
      <xdr:colOff>21165</xdr:colOff>
      <xdr:row>24</xdr:row>
      <xdr:rowOff>79199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508B0-4B2F-EE4E-265E-D4FD94D16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3917" y="2677584"/>
          <a:ext cx="6021915" cy="42913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127000</xdr:rowOff>
    </xdr:from>
    <xdr:to>
      <xdr:col>2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15AD53-B370-41D5-81E5-5F866230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4577B3-70BA-45ED-9DAB-4671700C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6B78F9-DF4E-4C0B-94BE-45E75FEBE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5</xdr:col>
      <xdr:colOff>2023271</xdr:colOff>
      <xdr:row>48</xdr:row>
      <xdr:rowOff>22569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C84F6-7528-BCC6-19C7-4233159C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333" y="9398000"/>
          <a:ext cx="5706271" cy="24673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36AE9A-0791-4A86-91BF-85BA4A53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1653B7-F6A7-47E0-A058-A97B78B6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C34419-2F57-475E-8351-CAD92CE3D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8</xdr:row>
      <xdr:rowOff>317500</xdr:rowOff>
    </xdr:from>
    <xdr:to>
      <xdr:col>15</xdr:col>
      <xdr:colOff>594535</xdr:colOff>
      <xdr:row>18</xdr:row>
      <xdr:rowOff>62841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A30941-CD5F-A8AF-7CCA-A664FE18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3167" y="2772833"/>
          <a:ext cx="5801535" cy="28674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E1ADF-7D87-4C74-A820-820EAE2C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7DFB25-E3FE-4398-BEC3-2B9FA841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211667</xdr:colOff>
      <xdr:row>5</xdr:row>
      <xdr:rowOff>42334</xdr:rowOff>
    </xdr:from>
    <xdr:to>
      <xdr:col>16</xdr:col>
      <xdr:colOff>41044</xdr:colOff>
      <xdr:row>16</xdr:row>
      <xdr:rowOff>20576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74A2C2-2E99-CD81-9A5C-A1D3F3A4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7834" y="1830917"/>
          <a:ext cx="5925377" cy="334374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DED9C-893C-47CB-A66C-0B20FF564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A1DFF6-765A-4E65-8A0F-4D7C61C3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4D56CB-20A3-4F57-8C2C-1951F711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ED6CDF-F04B-49A7-B7A9-42EB10A4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44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3</v>
      </c>
    </row>
    <row r="4" spans="1:15" ht="17.75" x14ac:dyDescent="0.45">
      <c r="B4" s="165" t="s">
        <v>4</v>
      </c>
      <c r="C4" s="165"/>
      <c r="D4" s="165"/>
      <c r="E4" s="35">
        <v>49830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50170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100000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22760</v>
      </c>
      <c r="F8" s="7"/>
      <c r="G8" s="29" t="s">
        <v>9</v>
      </c>
      <c r="H8" s="36">
        <f>E7-E8</f>
        <v>77240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45503</v>
      </c>
      <c r="C11" s="39" t="s">
        <v>18</v>
      </c>
      <c r="D11" s="40">
        <v>1117884534</v>
      </c>
      <c r="E11" s="41" t="s">
        <v>19</v>
      </c>
      <c r="F11" s="42" t="s">
        <v>20</v>
      </c>
      <c r="G11" s="44">
        <v>17880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45505</v>
      </c>
      <c r="C12" s="39" t="s">
        <v>19</v>
      </c>
      <c r="D12" s="40" t="s">
        <v>19</v>
      </c>
      <c r="E12" s="41" t="s">
        <v>19</v>
      </c>
      <c r="F12" s="42" t="s">
        <v>21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45505</v>
      </c>
      <c r="C13" s="39" t="s">
        <v>19</v>
      </c>
      <c r="D13" s="40" t="s">
        <v>19</v>
      </c>
      <c r="E13" s="41" t="s">
        <v>19</v>
      </c>
      <c r="F13" s="42" t="s">
        <v>22</v>
      </c>
      <c r="G13" s="44">
        <v>2880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22760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4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24</v>
      </c>
    </row>
    <row r="4" spans="1:15" ht="17.75" x14ac:dyDescent="0.45">
      <c r="B4" s="165" t="s">
        <v>4</v>
      </c>
      <c r="C4" s="165"/>
      <c r="D4" s="165"/>
      <c r="E4" s="35">
        <f>+'JULIO '!H8</f>
        <v>77240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26750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103990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19080</v>
      </c>
      <c r="F8" s="7"/>
      <c r="G8" s="29" t="s">
        <v>9</v>
      </c>
      <c r="H8" s="36">
        <f>E7-E8</f>
        <v>84910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45512</v>
      </c>
      <c r="C11" s="39" t="s">
        <v>25</v>
      </c>
      <c r="D11" s="40">
        <v>17886144</v>
      </c>
      <c r="E11" s="41"/>
      <c r="F11" s="42" t="s">
        <v>26</v>
      </c>
      <c r="G11" s="44">
        <v>4150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45512</v>
      </c>
      <c r="C12" s="39" t="s">
        <v>25</v>
      </c>
      <c r="D12" s="40">
        <v>10182397</v>
      </c>
      <c r="E12" s="41"/>
      <c r="F12" s="42" t="s">
        <v>27</v>
      </c>
      <c r="G12" s="44">
        <v>2990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45518</v>
      </c>
      <c r="C13" s="39" t="s">
        <v>25</v>
      </c>
      <c r="D13" s="40">
        <v>1126736506</v>
      </c>
      <c r="E13" s="41"/>
      <c r="F13" s="42" t="s">
        <v>26</v>
      </c>
      <c r="G13" s="44">
        <v>3990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45528</v>
      </c>
      <c r="C14" s="39" t="s">
        <v>25</v>
      </c>
      <c r="D14" s="40">
        <v>2777327</v>
      </c>
      <c r="E14" s="41"/>
      <c r="F14" s="42" t="s">
        <v>28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45527</v>
      </c>
      <c r="C15" s="39" t="s">
        <v>25</v>
      </c>
      <c r="D15" s="40">
        <v>1117724436</v>
      </c>
      <c r="E15" s="41"/>
      <c r="F15" s="42" t="s">
        <v>29</v>
      </c>
      <c r="G15" s="44">
        <v>3750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45532</v>
      </c>
      <c r="C16" s="39" t="s">
        <v>25</v>
      </c>
      <c r="D16" s="40">
        <v>277327</v>
      </c>
      <c r="E16" s="41"/>
      <c r="F16" s="42" t="s">
        <v>28</v>
      </c>
      <c r="G16" s="44">
        <v>2200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19080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44"/>
  <sheetViews>
    <sheetView zoomScale="90" zoomScaleNormal="90" workbookViewId="0">
      <selection activeCell="E7" sqref="E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30</v>
      </c>
    </row>
    <row r="4" spans="1:15" ht="17.75" x14ac:dyDescent="0.45">
      <c r="B4" s="165" t="s">
        <v>4</v>
      </c>
      <c r="C4" s="165"/>
      <c r="D4" s="165"/>
      <c r="E4" s="35">
        <f>+AGOSTO!H8</f>
        <v>84910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19080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103990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100398</v>
      </c>
      <c r="F8" s="7"/>
      <c r="G8" s="29" t="s">
        <v>9</v>
      </c>
      <c r="H8" s="36">
        <f>E7-E8</f>
        <v>3592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/>
      <c r="C11" s="39" t="s">
        <v>31</v>
      </c>
      <c r="D11" s="40"/>
      <c r="E11" s="41"/>
      <c r="F11" s="42" t="s">
        <v>28</v>
      </c>
      <c r="G11" s="44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 t="s">
        <v>31</v>
      </c>
      <c r="D12" s="40"/>
      <c r="E12" s="41"/>
      <c r="F12" s="42" t="s">
        <v>28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 t="s">
        <v>31</v>
      </c>
      <c r="D13" s="40"/>
      <c r="E13" s="41"/>
      <c r="F13" s="42" t="s">
        <v>28</v>
      </c>
      <c r="G13" s="44">
        <v>2000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 t="s">
        <v>31</v>
      </c>
      <c r="D14" s="40"/>
      <c r="E14" s="41"/>
      <c r="F14" s="42" t="s">
        <v>28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 t="s">
        <v>31</v>
      </c>
      <c r="D15" s="40"/>
      <c r="E15" s="41"/>
      <c r="F15" s="42" t="s">
        <v>32</v>
      </c>
      <c r="G15" s="44">
        <v>2750</v>
      </c>
      <c r="H15" s="43"/>
      <c r="I15" s="12"/>
      <c r="J15" s="12"/>
      <c r="K15" s="12"/>
      <c r="L15" s="12"/>
      <c r="M15" s="12"/>
      <c r="N15" s="12"/>
      <c r="O15" s="12"/>
    </row>
    <row r="16" spans="1:15" ht="18.8" customHeight="1" x14ac:dyDescent="0.45">
      <c r="A16" s="15">
        <v>6</v>
      </c>
      <c r="B16" s="39"/>
      <c r="C16" s="39"/>
      <c r="D16" s="40"/>
      <c r="E16" s="41"/>
      <c r="F16" s="42" t="s">
        <v>33</v>
      </c>
      <c r="G16" s="44">
        <v>1600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 t="s">
        <v>31</v>
      </c>
      <c r="D17" s="40"/>
      <c r="E17" s="41"/>
      <c r="F17" s="42" t="s">
        <v>34</v>
      </c>
      <c r="G17" s="44">
        <v>1000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 t="s">
        <v>31</v>
      </c>
      <c r="D18" s="40"/>
      <c r="E18" s="41"/>
      <c r="F18" s="42" t="s">
        <v>35</v>
      </c>
      <c r="G18" s="44">
        <v>6330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 t="s">
        <v>36</v>
      </c>
      <c r="D19" s="40"/>
      <c r="E19" s="41"/>
      <c r="F19" s="42" t="s">
        <v>37</v>
      </c>
      <c r="G19" s="44">
        <v>35000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 t="s">
        <v>31</v>
      </c>
      <c r="D20" s="40"/>
      <c r="E20" s="41"/>
      <c r="F20" s="42" t="s">
        <v>38</v>
      </c>
      <c r="G20" s="44">
        <v>9378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 t="s">
        <v>31</v>
      </c>
      <c r="D21" s="40"/>
      <c r="E21" s="41"/>
      <c r="F21" s="42" t="s">
        <v>39</v>
      </c>
      <c r="G21" s="44">
        <v>6380</v>
      </c>
      <c r="H21" s="43"/>
    </row>
    <row r="22" spans="1:15" ht="17.2" x14ac:dyDescent="0.45">
      <c r="A22" s="15">
        <v>12</v>
      </c>
      <c r="B22" s="39"/>
      <c r="C22" s="39" t="s">
        <v>31</v>
      </c>
      <c r="D22" s="40"/>
      <c r="E22" s="41"/>
      <c r="F22" s="42" t="s">
        <v>40</v>
      </c>
      <c r="G22" s="44">
        <v>16080</v>
      </c>
      <c r="H22" s="43"/>
    </row>
    <row r="23" spans="1:15" ht="17.2" x14ac:dyDescent="0.45">
      <c r="A23" s="15">
        <v>13</v>
      </c>
      <c r="B23" s="39"/>
      <c r="C23" s="39" t="s">
        <v>31</v>
      </c>
      <c r="D23" s="40"/>
      <c r="E23" s="41"/>
      <c r="F23" s="42" t="s">
        <v>40</v>
      </c>
      <c r="G23" s="44">
        <v>13880</v>
      </c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100398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48"/>
  <sheetViews>
    <sheetView zoomScale="90" zoomScaleNormal="90" workbookViewId="0">
      <selection activeCell="J23" sqref="J23"/>
    </sheetView>
  </sheetViews>
  <sheetFormatPr baseColWidth="10" defaultColWidth="11.3984375" defaultRowHeight="14.55" x14ac:dyDescent="0.35"/>
  <cols>
    <col min="1" max="1" width="4.69921875" style="2" bestFit="1" customWidth="1"/>
    <col min="2" max="2" width="14.29687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4" style="6" customWidth="1"/>
    <col min="7" max="8" width="19.3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41</v>
      </c>
    </row>
    <row r="4" spans="1:15" ht="17.75" x14ac:dyDescent="0.45">
      <c r="B4" s="165" t="s">
        <v>4</v>
      </c>
      <c r="C4" s="165"/>
      <c r="D4" s="165"/>
      <c r="E4" s="35">
        <f>+SEPTIEMBRE!H8</f>
        <v>3592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100398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103990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+G30</f>
        <v>130883</v>
      </c>
      <c r="F8" s="7"/>
      <c r="G8" s="29" t="s">
        <v>9</v>
      </c>
      <c r="H8" s="36">
        <f>E7-E8</f>
        <v>-26893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47">
        <v>1</v>
      </c>
      <c r="B11" s="48">
        <v>45569</v>
      </c>
      <c r="C11" s="48" t="s">
        <v>25</v>
      </c>
      <c r="D11" s="49"/>
      <c r="E11" s="50"/>
      <c r="F11" s="51" t="s">
        <v>21</v>
      </c>
      <c r="G11" s="52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47">
        <v>2</v>
      </c>
      <c r="B12" s="48">
        <v>45569</v>
      </c>
      <c r="C12" s="48" t="s">
        <v>25</v>
      </c>
      <c r="D12" s="49"/>
      <c r="E12" s="50"/>
      <c r="F12" s="51" t="s">
        <v>42</v>
      </c>
      <c r="G12" s="52">
        <v>3340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47">
        <v>3</v>
      </c>
      <c r="B13" s="48">
        <v>45570</v>
      </c>
      <c r="C13" s="48" t="s">
        <v>25</v>
      </c>
      <c r="D13" s="49"/>
      <c r="E13" s="50"/>
      <c r="F13" s="51" t="s">
        <v>43</v>
      </c>
      <c r="G13" s="52">
        <v>3050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47">
        <v>4</v>
      </c>
      <c r="B14" s="48">
        <v>45570</v>
      </c>
      <c r="C14" s="48" t="s">
        <v>25</v>
      </c>
      <c r="D14" s="49"/>
      <c r="E14" s="50"/>
      <c r="F14" s="51" t="s">
        <v>44</v>
      </c>
      <c r="G14" s="52">
        <v>17256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47">
        <v>5</v>
      </c>
      <c r="B15" s="48">
        <v>45570</v>
      </c>
      <c r="C15" s="48" t="s">
        <v>45</v>
      </c>
      <c r="D15" s="49"/>
      <c r="E15" s="50"/>
      <c r="F15" s="51" t="s">
        <v>46</v>
      </c>
      <c r="G15" s="52">
        <v>6255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47">
        <v>6</v>
      </c>
      <c r="B16" s="48">
        <v>45572</v>
      </c>
      <c r="C16" s="48" t="s">
        <v>25</v>
      </c>
      <c r="D16" s="49"/>
      <c r="E16" s="50"/>
      <c r="F16" s="51" t="s">
        <v>47</v>
      </c>
      <c r="G16" s="52">
        <v>2240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47">
        <v>7</v>
      </c>
      <c r="B17" s="48">
        <v>45577</v>
      </c>
      <c r="C17" s="48" t="s">
        <v>25</v>
      </c>
      <c r="D17" s="49"/>
      <c r="E17" s="50"/>
      <c r="F17" s="51" t="s">
        <v>48</v>
      </c>
      <c r="G17" s="52">
        <v>2000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47">
        <v>8</v>
      </c>
      <c r="B18" s="48">
        <v>45580</v>
      </c>
      <c r="C18" s="48" t="s">
        <v>25</v>
      </c>
      <c r="D18" s="49"/>
      <c r="E18" s="50"/>
      <c r="F18" s="51" t="s">
        <v>26</v>
      </c>
      <c r="G18" s="52">
        <v>4000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47">
        <v>9</v>
      </c>
      <c r="B19" s="48">
        <v>45582</v>
      </c>
      <c r="C19" s="48" t="s">
        <v>25</v>
      </c>
      <c r="D19" s="49"/>
      <c r="E19" s="50"/>
      <c r="F19" s="51" t="s">
        <v>49</v>
      </c>
      <c r="G19" s="52">
        <v>3780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47">
        <v>10</v>
      </c>
      <c r="B20" s="48">
        <v>45583</v>
      </c>
      <c r="C20" s="48" t="s">
        <v>25</v>
      </c>
      <c r="D20" s="49"/>
      <c r="E20" s="50"/>
      <c r="F20" s="51" t="s">
        <v>49</v>
      </c>
      <c r="G20" s="52">
        <v>3780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47">
        <v>11</v>
      </c>
      <c r="B21" s="48">
        <v>45585</v>
      </c>
      <c r="C21" s="48" t="s">
        <v>25</v>
      </c>
      <c r="D21" s="49"/>
      <c r="E21" s="50"/>
      <c r="F21" s="51" t="s">
        <v>50</v>
      </c>
      <c r="G21" s="52">
        <v>3200</v>
      </c>
      <c r="H21" s="43"/>
    </row>
    <row r="22" spans="1:15" ht="17.2" x14ac:dyDescent="0.45">
      <c r="A22" s="47">
        <v>12</v>
      </c>
      <c r="B22" s="48">
        <v>45588</v>
      </c>
      <c r="C22" s="48" t="s">
        <v>25</v>
      </c>
      <c r="D22" s="49"/>
      <c r="E22" s="50"/>
      <c r="F22" s="51" t="s">
        <v>51</v>
      </c>
      <c r="G22" s="52">
        <v>13832</v>
      </c>
      <c r="H22" s="43"/>
    </row>
    <row r="23" spans="1:15" ht="17.2" x14ac:dyDescent="0.45">
      <c r="A23" s="47">
        <v>13</v>
      </c>
      <c r="B23" s="48">
        <v>45590</v>
      </c>
      <c r="C23" s="48" t="s">
        <v>25</v>
      </c>
      <c r="D23" s="49"/>
      <c r="E23" s="50"/>
      <c r="F23" s="51" t="s">
        <v>52</v>
      </c>
      <c r="G23" s="52">
        <v>2000</v>
      </c>
      <c r="H23" s="43"/>
    </row>
    <row r="24" spans="1:15" ht="17.2" x14ac:dyDescent="0.45">
      <c r="A24" s="47">
        <v>14</v>
      </c>
      <c r="B24" s="48">
        <v>45583</v>
      </c>
      <c r="C24" s="48" t="s">
        <v>25</v>
      </c>
      <c r="D24" s="49"/>
      <c r="E24" s="50"/>
      <c r="F24" s="51" t="s">
        <v>28</v>
      </c>
      <c r="G24" s="52">
        <v>2000</v>
      </c>
      <c r="H24" s="43"/>
    </row>
    <row r="25" spans="1:15" ht="17.2" x14ac:dyDescent="0.45">
      <c r="A25" s="47">
        <v>15</v>
      </c>
      <c r="B25" s="48">
        <v>45589</v>
      </c>
      <c r="C25" s="48" t="s">
        <v>25</v>
      </c>
      <c r="D25" s="49"/>
      <c r="E25" s="50"/>
      <c r="F25" s="51" t="s">
        <v>28</v>
      </c>
      <c r="G25" s="52">
        <v>2000</v>
      </c>
      <c r="H25" s="43"/>
    </row>
    <row r="26" spans="1:15" ht="17.2" x14ac:dyDescent="0.45">
      <c r="A26" s="47">
        <v>16</v>
      </c>
      <c r="B26" s="48">
        <v>45595</v>
      </c>
      <c r="C26" s="48" t="s">
        <v>25</v>
      </c>
      <c r="D26" s="49"/>
      <c r="E26" s="50"/>
      <c r="F26" s="51" t="s">
        <v>53</v>
      </c>
      <c r="G26" s="52">
        <v>8850</v>
      </c>
      <c r="H26" s="43"/>
    </row>
    <row r="27" spans="1:15" ht="17.2" x14ac:dyDescent="0.45">
      <c r="A27" s="47">
        <v>17</v>
      </c>
      <c r="B27" s="48">
        <v>45595</v>
      </c>
      <c r="C27" s="48" t="s">
        <v>25</v>
      </c>
      <c r="D27" s="49"/>
      <c r="E27" s="50"/>
      <c r="F27" s="51" t="s">
        <v>54</v>
      </c>
      <c r="G27" s="52">
        <v>6300</v>
      </c>
      <c r="H27" s="43"/>
    </row>
    <row r="28" spans="1:15" ht="17.2" x14ac:dyDescent="0.45">
      <c r="A28" s="53">
        <v>18</v>
      </c>
      <c r="B28" s="48">
        <v>45595</v>
      </c>
      <c r="C28" s="48" t="s">
        <v>25</v>
      </c>
      <c r="D28" s="48"/>
      <c r="E28" s="48"/>
      <c r="F28" s="48" t="s">
        <v>55</v>
      </c>
      <c r="G28" s="52">
        <v>10000</v>
      </c>
      <c r="H28" s="46"/>
    </row>
    <row r="29" spans="1:15" ht="17.2" x14ac:dyDescent="0.45">
      <c r="A29" s="47">
        <v>19</v>
      </c>
      <c r="B29" s="48">
        <v>45595</v>
      </c>
      <c r="C29" s="48" t="s">
        <v>56</v>
      </c>
      <c r="D29" s="49"/>
      <c r="E29" s="50"/>
      <c r="F29" s="51" t="s">
        <v>57</v>
      </c>
      <c r="G29" s="52">
        <v>35000</v>
      </c>
      <c r="H29" s="43"/>
    </row>
    <row r="30" spans="1:15" s="12" customFormat="1" ht="17.2" x14ac:dyDescent="0.45">
      <c r="A30" s="54"/>
      <c r="B30" s="55" t="s">
        <v>23</v>
      </c>
      <c r="C30" s="56"/>
      <c r="D30" s="56"/>
      <c r="E30" s="56"/>
      <c r="F30" s="56"/>
      <c r="G30" s="57">
        <f>SUM(G11:G29)</f>
        <v>130883</v>
      </c>
    </row>
    <row r="31" spans="1:15" s="12" customFormat="1" ht="17.75" x14ac:dyDescent="0.45">
      <c r="B31" s="18"/>
      <c r="C31" s="18"/>
      <c r="D31" s="19"/>
      <c r="E31" s="19"/>
      <c r="F31" s="19"/>
      <c r="G31" s="20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ht="17.75" x14ac:dyDescent="0.45">
      <c r="B33" s="165"/>
      <c r="C33" s="165"/>
      <c r="D33" s="166"/>
      <c r="E33" s="167"/>
      <c r="F33" s="168"/>
    </row>
    <row r="34" spans="2:7" ht="17.75" x14ac:dyDescent="0.45">
      <c r="B34" s="169"/>
      <c r="C34" s="169"/>
      <c r="D34" s="170"/>
      <c r="E34" s="37"/>
      <c r="F34" s="12"/>
      <c r="G34" s="28"/>
    </row>
    <row r="35" spans="2:7" s="12" customFormat="1" ht="17.75" x14ac:dyDescent="0.45">
      <c r="B35" s="21"/>
      <c r="C35" s="21"/>
      <c r="D35" s="22"/>
      <c r="E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  <row r="45" spans="2:7" s="12" customFormat="1" ht="17.75" x14ac:dyDescent="0.45">
      <c r="B45" s="21"/>
      <c r="C45" s="21"/>
      <c r="D45" s="22"/>
      <c r="E45" s="22"/>
      <c r="F45" s="22"/>
      <c r="G45" s="8"/>
    </row>
    <row r="46" spans="2:7" s="12" customFormat="1" ht="17.75" x14ac:dyDescent="0.45">
      <c r="B46" s="21"/>
      <c r="C46" s="21"/>
      <c r="D46" s="22"/>
      <c r="E46" s="22"/>
      <c r="F46" s="22"/>
      <c r="G46" s="8"/>
    </row>
    <row r="47" spans="2:7" s="12" customFormat="1" ht="17.75" x14ac:dyDescent="0.45">
      <c r="B47" s="21"/>
      <c r="C47" s="21"/>
      <c r="D47" s="22"/>
      <c r="E47" s="22"/>
      <c r="F47" s="22"/>
      <c r="G47" s="8"/>
    </row>
    <row r="48" spans="2:7" s="12" customFormat="1" ht="17.75" x14ac:dyDescent="0.45">
      <c r="B48" s="21"/>
      <c r="C48" s="21"/>
      <c r="D48" s="22"/>
      <c r="E48" s="22"/>
      <c r="F48" s="22"/>
      <c r="G48" s="8"/>
    </row>
  </sheetData>
  <mergeCells count="9">
    <mergeCell ref="B33:D33"/>
    <mergeCell ref="E33:F33"/>
    <mergeCell ref="B34:D3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O44"/>
  <sheetViews>
    <sheetView topLeftCell="A10"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58</v>
      </c>
    </row>
    <row r="4" spans="1:15" ht="17.75" x14ac:dyDescent="0.45">
      <c r="B4" s="165" t="s">
        <v>4</v>
      </c>
      <c r="C4" s="165"/>
      <c r="D4" s="165"/>
      <c r="E4" s="58">
        <f>+OCTUBRE!H8</f>
        <v>-26893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130883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103990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59700</v>
      </c>
      <c r="F8" s="7"/>
      <c r="G8" s="29" t="s">
        <v>9</v>
      </c>
      <c r="H8" s="36">
        <f>E7-E8</f>
        <v>44290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45607</v>
      </c>
      <c r="C11" s="39" t="s">
        <v>25</v>
      </c>
      <c r="D11" s="40"/>
      <c r="E11" s="41"/>
      <c r="F11" s="42" t="s">
        <v>59</v>
      </c>
      <c r="G11" s="44">
        <v>690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45607</v>
      </c>
      <c r="C12" s="39" t="s">
        <v>25</v>
      </c>
      <c r="D12" s="40"/>
      <c r="E12" s="41"/>
      <c r="F12" s="42" t="s">
        <v>48</v>
      </c>
      <c r="G12" s="44">
        <v>6000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45617</v>
      </c>
      <c r="C13" s="39" t="s">
        <v>25</v>
      </c>
      <c r="D13" s="40"/>
      <c r="E13" s="41"/>
      <c r="F13" s="42" t="s">
        <v>57</v>
      </c>
      <c r="G13" s="44">
        <v>35000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45621</v>
      </c>
      <c r="C14" s="39" t="s">
        <v>25</v>
      </c>
      <c r="D14" s="40"/>
      <c r="E14" s="41"/>
      <c r="F14" s="42" t="s">
        <v>60</v>
      </c>
      <c r="G14" s="44">
        <v>1290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45617</v>
      </c>
      <c r="C15" s="39" t="s">
        <v>25</v>
      </c>
      <c r="D15" s="40"/>
      <c r="E15" s="41"/>
      <c r="F15" s="42" t="s">
        <v>61</v>
      </c>
      <c r="G15" s="44">
        <v>6000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45617</v>
      </c>
      <c r="C16" s="39" t="s">
        <v>25</v>
      </c>
      <c r="D16" s="40"/>
      <c r="E16" s="41"/>
      <c r="F16" s="42" t="s">
        <v>28</v>
      </c>
      <c r="G16" s="44">
        <v>1000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45619</v>
      </c>
      <c r="C17" s="39" t="s">
        <v>25</v>
      </c>
      <c r="D17" s="40"/>
      <c r="E17" s="41"/>
      <c r="F17" s="42" t="s">
        <v>62</v>
      </c>
      <c r="G17" s="44">
        <v>4000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45615</v>
      </c>
      <c r="C18" s="39" t="s">
        <v>25</v>
      </c>
      <c r="D18" s="40"/>
      <c r="E18" s="41"/>
      <c r="F18" s="42" t="s">
        <v>63</v>
      </c>
      <c r="G18" s="44">
        <v>3240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>
        <v>45610</v>
      </c>
      <c r="C19" s="39" t="s">
        <v>25</v>
      </c>
      <c r="D19" s="40"/>
      <c r="E19" s="41"/>
      <c r="F19" s="42" t="s">
        <v>64</v>
      </c>
      <c r="G19" s="44">
        <v>2480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59700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65</v>
      </c>
    </row>
    <row r="4" spans="1:15" ht="17.75" x14ac:dyDescent="0.45">
      <c r="B4" s="165" t="s">
        <v>4</v>
      </c>
      <c r="C4" s="165"/>
      <c r="D4" s="165"/>
      <c r="E4" s="58">
        <f>+NOVIEMBRE!H8</f>
        <v>44290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59700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103990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85383</v>
      </c>
      <c r="F8" s="7"/>
      <c r="G8" s="29" t="s">
        <v>9</v>
      </c>
      <c r="H8" s="36">
        <f>E7-E8</f>
        <v>18607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45633</v>
      </c>
      <c r="C11" s="39" t="s">
        <v>25</v>
      </c>
      <c r="D11" s="40"/>
      <c r="E11" s="41"/>
      <c r="F11" s="42" t="s">
        <v>67</v>
      </c>
      <c r="G11" s="44">
        <v>18661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45631</v>
      </c>
      <c r="C12" s="39" t="s">
        <v>25</v>
      </c>
      <c r="D12" s="40"/>
      <c r="E12" s="41"/>
      <c r="F12" s="42" t="s">
        <v>68</v>
      </c>
      <c r="G12" s="44">
        <v>2760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45631</v>
      </c>
      <c r="C13" s="39" t="s">
        <v>25</v>
      </c>
      <c r="D13" s="40"/>
      <c r="E13" s="41"/>
      <c r="F13" s="42" t="s">
        <v>69</v>
      </c>
      <c r="G13" s="44">
        <v>6000</v>
      </c>
      <c r="H13" s="43"/>
      <c r="I13" s="12"/>
      <c r="J13" s="12"/>
      <c r="K13" s="12"/>
      <c r="L13" s="12"/>
      <c r="M13" s="12"/>
      <c r="N13" s="12"/>
      <c r="O13" s="12"/>
    </row>
    <row r="14" spans="1:15" ht="34.4" x14ac:dyDescent="0.45">
      <c r="A14" s="15">
        <v>4</v>
      </c>
      <c r="B14" s="39">
        <v>45637</v>
      </c>
      <c r="C14" s="39" t="s">
        <v>25</v>
      </c>
      <c r="D14" s="40"/>
      <c r="E14" s="41"/>
      <c r="F14" s="42" t="s">
        <v>76</v>
      </c>
      <c r="G14" s="44">
        <v>3440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45643</v>
      </c>
      <c r="C15" s="39" t="s">
        <v>25</v>
      </c>
      <c r="D15" s="40"/>
      <c r="E15" s="41"/>
      <c r="F15" s="42" t="s">
        <v>69</v>
      </c>
      <c r="G15" s="44">
        <v>6000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45637</v>
      </c>
      <c r="C16" s="39" t="s">
        <v>25</v>
      </c>
      <c r="D16" s="40"/>
      <c r="E16" s="41"/>
      <c r="F16" s="42" t="s">
        <v>70</v>
      </c>
      <c r="G16" s="44">
        <v>3930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45645</v>
      </c>
      <c r="C17" s="39" t="s">
        <v>71</v>
      </c>
      <c r="D17" s="40"/>
      <c r="E17" s="41"/>
      <c r="F17" s="42" t="s">
        <v>72</v>
      </c>
      <c r="G17" s="44">
        <v>35000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45648</v>
      </c>
      <c r="C18" s="39" t="s">
        <v>25</v>
      </c>
      <c r="D18" s="40"/>
      <c r="E18" s="41"/>
      <c r="F18" s="42" t="s">
        <v>73</v>
      </c>
      <c r="G18" s="44">
        <v>462</v>
      </c>
      <c r="H18" s="43"/>
      <c r="I18" s="12"/>
      <c r="J18" s="12"/>
      <c r="K18" s="12"/>
      <c r="L18" s="12"/>
      <c r="M18" s="12"/>
      <c r="N18" s="12"/>
      <c r="O18" s="12"/>
    </row>
    <row r="19" spans="1:15" ht="34.4" x14ac:dyDescent="0.45">
      <c r="A19" s="15">
        <v>9</v>
      </c>
      <c r="B19" s="39">
        <v>45648</v>
      </c>
      <c r="C19" s="39" t="s">
        <v>74</v>
      </c>
      <c r="D19" s="40"/>
      <c r="E19" s="41"/>
      <c r="F19" s="42" t="s">
        <v>75</v>
      </c>
      <c r="G19" s="44">
        <v>2990</v>
      </c>
      <c r="H19" s="43"/>
      <c r="I19" s="12"/>
      <c r="J19" s="12"/>
      <c r="K19" s="12"/>
      <c r="L19" s="12"/>
      <c r="M19" s="12"/>
      <c r="N19" s="12"/>
      <c r="O19" s="12"/>
    </row>
    <row r="20" spans="1:15" ht="34.4" x14ac:dyDescent="0.45">
      <c r="A20" s="15">
        <v>10</v>
      </c>
      <c r="B20" s="39">
        <v>45648</v>
      </c>
      <c r="C20" s="39" t="s">
        <v>74</v>
      </c>
      <c r="D20" s="40"/>
      <c r="E20" s="41"/>
      <c r="F20" s="42" t="s">
        <v>78</v>
      </c>
      <c r="G20" s="44">
        <v>6140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>
        <v>45293</v>
      </c>
      <c r="C21" s="39" t="s">
        <v>77</v>
      </c>
      <c r="D21" s="40"/>
      <c r="E21" s="41"/>
      <c r="F21" s="42" t="s">
        <v>69</v>
      </c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85383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1:P44"/>
  <sheetViews>
    <sheetView zoomScale="90" zoomScaleNormal="90" workbookViewId="0">
      <selection activeCell="F4" sqref="F4"/>
    </sheetView>
  </sheetViews>
  <sheetFormatPr baseColWidth="10" defaultColWidth="11.3984375" defaultRowHeight="14.55" x14ac:dyDescent="0.35"/>
  <cols>
    <col min="1" max="1" width="11.3984375" style="2"/>
    <col min="2" max="2" width="3.69921875" style="2" bestFit="1" customWidth="1"/>
    <col min="3" max="3" width="14.09765625" style="3" bestFit="1" customWidth="1"/>
    <col min="4" max="4" width="19.8984375" style="3" customWidth="1"/>
    <col min="5" max="5" width="15.09765625" style="23" customWidth="1"/>
    <col min="6" max="6" width="14.69921875" style="5" customWidth="1"/>
    <col min="7" max="7" width="35.59765625" style="6" customWidth="1"/>
    <col min="8" max="8" width="19.3984375" style="2" customWidth="1"/>
    <col min="9" max="9" width="20.8984375" style="2" customWidth="1"/>
    <col min="10" max="248" width="11.3984375" style="2"/>
    <col min="249" max="249" width="3.69921875" style="2" bestFit="1" customWidth="1"/>
    <col min="250" max="250" width="19.3984375" style="2" customWidth="1"/>
    <col min="251" max="251" width="0" style="2" hidden="1" customWidth="1"/>
    <col min="252" max="252" width="2" style="2" customWidth="1"/>
    <col min="253" max="253" width="4.09765625" style="2" customWidth="1"/>
    <col min="254" max="254" width="13.3984375" style="2" customWidth="1"/>
    <col min="255" max="255" width="8.69921875" style="2" customWidth="1"/>
    <col min="256" max="257" width="20.3984375" style="2" customWidth="1"/>
    <col min="258" max="258" width="1.8984375" style="2" customWidth="1"/>
    <col min="259" max="259" width="15.69921875" style="2" customWidth="1"/>
    <col min="260" max="260" width="1.3984375" style="2" customWidth="1"/>
    <col min="261" max="261" width="8.8984375" style="2" customWidth="1"/>
    <col min="262" max="262" width="18.8984375" style="2" customWidth="1"/>
    <col min="263" max="504" width="11.3984375" style="2"/>
    <col min="505" max="505" width="3.69921875" style="2" bestFit="1" customWidth="1"/>
    <col min="506" max="506" width="19.3984375" style="2" customWidth="1"/>
    <col min="507" max="507" width="0" style="2" hidden="1" customWidth="1"/>
    <col min="508" max="508" width="2" style="2" customWidth="1"/>
    <col min="509" max="509" width="4.09765625" style="2" customWidth="1"/>
    <col min="510" max="510" width="13.3984375" style="2" customWidth="1"/>
    <col min="511" max="511" width="8.69921875" style="2" customWidth="1"/>
    <col min="512" max="513" width="20.3984375" style="2" customWidth="1"/>
    <col min="514" max="514" width="1.8984375" style="2" customWidth="1"/>
    <col min="515" max="515" width="15.69921875" style="2" customWidth="1"/>
    <col min="516" max="516" width="1.3984375" style="2" customWidth="1"/>
    <col min="517" max="517" width="8.8984375" style="2" customWidth="1"/>
    <col min="518" max="518" width="18.8984375" style="2" customWidth="1"/>
    <col min="519" max="760" width="11.3984375" style="2"/>
    <col min="761" max="761" width="3.69921875" style="2" bestFit="1" customWidth="1"/>
    <col min="762" max="762" width="19.3984375" style="2" customWidth="1"/>
    <col min="763" max="763" width="0" style="2" hidden="1" customWidth="1"/>
    <col min="764" max="764" width="2" style="2" customWidth="1"/>
    <col min="765" max="765" width="4.09765625" style="2" customWidth="1"/>
    <col min="766" max="766" width="13.3984375" style="2" customWidth="1"/>
    <col min="767" max="767" width="8.69921875" style="2" customWidth="1"/>
    <col min="768" max="769" width="20.3984375" style="2" customWidth="1"/>
    <col min="770" max="770" width="1.8984375" style="2" customWidth="1"/>
    <col min="771" max="771" width="15.69921875" style="2" customWidth="1"/>
    <col min="772" max="772" width="1.3984375" style="2" customWidth="1"/>
    <col min="773" max="773" width="8.8984375" style="2" customWidth="1"/>
    <col min="774" max="774" width="18.8984375" style="2" customWidth="1"/>
    <col min="775" max="1016" width="11.3984375" style="2"/>
    <col min="1017" max="1017" width="3.69921875" style="2" bestFit="1" customWidth="1"/>
    <col min="1018" max="1018" width="19.3984375" style="2" customWidth="1"/>
    <col min="1019" max="1019" width="0" style="2" hidden="1" customWidth="1"/>
    <col min="1020" max="1020" width="2" style="2" customWidth="1"/>
    <col min="1021" max="1021" width="4.09765625" style="2" customWidth="1"/>
    <col min="1022" max="1022" width="13.3984375" style="2" customWidth="1"/>
    <col min="1023" max="1023" width="8.69921875" style="2" customWidth="1"/>
    <col min="1024" max="1025" width="20.3984375" style="2" customWidth="1"/>
    <col min="1026" max="1026" width="1.8984375" style="2" customWidth="1"/>
    <col min="1027" max="1027" width="15.69921875" style="2" customWidth="1"/>
    <col min="1028" max="1028" width="1.3984375" style="2" customWidth="1"/>
    <col min="1029" max="1029" width="8.8984375" style="2" customWidth="1"/>
    <col min="1030" max="1030" width="18.8984375" style="2" customWidth="1"/>
    <col min="1031" max="1272" width="11.3984375" style="2"/>
    <col min="1273" max="1273" width="3.69921875" style="2" bestFit="1" customWidth="1"/>
    <col min="1274" max="1274" width="19.3984375" style="2" customWidth="1"/>
    <col min="1275" max="1275" width="0" style="2" hidden="1" customWidth="1"/>
    <col min="1276" max="1276" width="2" style="2" customWidth="1"/>
    <col min="1277" max="1277" width="4.09765625" style="2" customWidth="1"/>
    <col min="1278" max="1278" width="13.3984375" style="2" customWidth="1"/>
    <col min="1279" max="1279" width="8.69921875" style="2" customWidth="1"/>
    <col min="1280" max="1281" width="20.3984375" style="2" customWidth="1"/>
    <col min="1282" max="1282" width="1.8984375" style="2" customWidth="1"/>
    <col min="1283" max="1283" width="15.69921875" style="2" customWidth="1"/>
    <col min="1284" max="1284" width="1.3984375" style="2" customWidth="1"/>
    <col min="1285" max="1285" width="8.8984375" style="2" customWidth="1"/>
    <col min="1286" max="1286" width="18.8984375" style="2" customWidth="1"/>
    <col min="1287" max="1528" width="11.3984375" style="2"/>
    <col min="1529" max="1529" width="3.69921875" style="2" bestFit="1" customWidth="1"/>
    <col min="1530" max="1530" width="19.3984375" style="2" customWidth="1"/>
    <col min="1531" max="1531" width="0" style="2" hidden="1" customWidth="1"/>
    <col min="1532" max="1532" width="2" style="2" customWidth="1"/>
    <col min="1533" max="1533" width="4.09765625" style="2" customWidth="1"/>
    <col min="1534" max="1534" width="13.3984375" style="2" customWidth="1"/>
    <col min="1535" max="1535" width="8.69921875" style="2" customWidth="1"/>
    <col min="1536" max="1537" width="20.3984375" style="2" customWidth="1"/>
    <col min="1538" max="1538" width="1.8984375" style="2" customWidth="1"/>
    <col min="1539" max="1539" width="15.69921875" style="2" customWidth="1"/>
    <col min="1540" max="1540" width="1.3984375" style="2" customWidth="1"/>
    <col min="1541" max="1541" width="8.8984375" style="2" customWidth="1"/>
    <col min="1542" max="1542" width="18.8984375" style="2" customWidth="1"/>
    <col min="1543" max="1784" width="11.3984375" style="2"/>
    <col min="1785" max="1785" width="3.69921875" style="2" bestFit="1" customWidth="1"/>
    <col min="1786" max="1786" width="19.3984375" style="2" customWidth="1"/>
    <col min="1787" max="1787" width="0" style="2" hidden="1" customWidth="1"/>
    <col min="1788" max="1788" width="2" style="2" customWidth="1"/>
    <col min="1789" max="1789" width="4.09765625" style="2" customWidth="1"/>
    <col min="1790" max="1790" width="13.3984375" style="2" customWidth="1"/>
    <col min="1791" max="1791" width="8.69921875" style="2" customWidth="1"/>
    <col min="1792" max="1793" width="20.3984375" style="2" customWidth="1"/>
    <col min="1794" max="1794" width="1.8984375" style="2" customWidth="1"/>
    <col min="1795" max="1795" width="15.69921875" style="2" customWidth="1"/>
    <col min="1796" max="1796" width="1.3984375" style="2" customWidth="1"/>
    <col min="1797" max="1797" width="8.8984375" style="2" customWidth="1"/>
    <col min="1798" max="1798" width="18.8984375" style="2" customWidth="1"/>
    <col min="1799" max="2040" width="11.3984375" style="2"/>
    <col min="2041" max="2041" width="3.69921875" style="2" bestFit="1" customWidth="1"/>
    <col min="2042" max="2042" width="19.3984375" style="2" customWidth="1"/>
    <col min="2043" max="2043" width="0" style="2" hidden="1" customWidth="1"/>
    <col min="2044" max="2044" width="2" style="2" customWidth="1"/>
    <col min="2045" max="2045" width="4.09765625" style="2" customWidth="1"/>
    <col min="2046" max="2046" width="13.3984375" style="2" customWidth="1"/>
    <col min="2047" max="2047" width="8.69921875" style="2" customWidth="1"/>
    <col min="2048" max="2049" width="20.3984375" style="2" customWidth="1"/>
    <col min="2050" max="2050" width="1.8984375" style="2" customWidth="1"/>
    <col min="2051" max="2051" width="15.69921875" style="2" customWidth="1"/>
    <col min="2052" max="2052" width="1.3984375" style="2" customWidth="1"/>
    <col min="2053" max="2053" width="8.8984375" style="2" customWidth="1"/>
    <col min="2054" max="2054" width="18.8984375" style="2" customWidth="1"/>
    <col min="2055" max="2296" width="11.3984375" style="2"/>
    <col min="2297" max="2297" width="3.69921875" style="2" bestFit="1" customWidth="1"/>
    <col min="2298" max="2298" width="19.3984375" style="2" customWidth="1"/>
    <col min="2299" max="2299" width="0" style="2" hidden="1" customWidth="1"/>
    <col min="2300" max="2300" width="2" style="2" customWidth="1"/>
    <col min="2301" max="2301" width="4.09765625" style="2" customWidth="1"/>
    <col min="2302" max="2302" width="13.3984375" style="2" customWidth="1"/>
    <col min="2303" max="2303" width="8.69921875" style="2" customWidth="1"/>
    <col min="2304" max="2305" width="20.3984375" style="2" customWidth="1"/>
    <col min="2306" max="2306" width="1.8984375" style="2" customWidth="1"/>
    <col min="2307" max="2307" width="15.69921875" style="2" customWidth="1"/>
    <col min="2308" max="2308" width="1.3984375" style="2" customWidth="1"/>
    <col min="2309" max="2309" width="8.8984375" style="2" customWidth="1"/>
    <col min="2310" max="2310" width="18.8984375" style="2" customWidth="1"/>
    <col min="2311" max="2552" width="11.3984375" style="2"/>
    <col min="2553" max="2553" width="3.69921875" style="2" bestFit="1" customWidth="1"/>
    <col min="2554" max="2554" width="19.3984375" style="2" customWidth="1"/>
    <col min="2555" max="2555" width="0" style="2" hidden="1" customWidth="1"/>
    <col min="2556" max="2556" width="2" style="2" customWidth="1"/>
    <col min="2557" max="2557" width="4.09765625" style="2" customWidth="1"/>
    <col min="2558" max="2558" width="13.3984375" style="2" customWidth="1"/>
    <col min="2559" max="2559" width="8.69921875" style="2" customWidth="1"/>
    <col min="2560" max="2561" width="20.3984375" style="2" customWidth="1"/>
    <col min="2562" max="2562" width="1.8984375" style="2" customWidth="1"/>
    <col min="2563" max="2563" width="15.69921875" style="2" customWidth="1"/>
    <col min="2564" max="2564" width="1.3984375" style="2" customWidth="1"/>
    <col min="2565" max="2565" width="8.8984375" style="2" customWidth="1"/>
    <col min="2566" max="2566" width="18.8984375" style="2" customWidth="1"/>
    <col min="2567" max="2808" width="11.3984375" style="2"/>
    <col min="2809" max="2809" width="3.69921875" style="2" bestFit="1" customWidth="1"/>
    <col min="2810" max="2810" width="19.3984375" style="2" customWidth="1"/>
    <col min="2811" max="2811" width="0" style="2" hidden="1" customWidth="1"/>
    <col min="2812" max="2812" width="2" style="2" customWidth="1"/>
    <col min="2813" max="2813" width="4.09765625" style="2" customWidth="1"/>
    <col min="2814" max="2814" width="13.3984375" style="2" customWidth="1"/>
    <col min="2815" max="2815" width="8.69921875" style="2" customWidth="1"/>
    <col min="2816" max="2817" width="20.3984375" style="2" customWidth="1"/>
    <col min="2818" max="2818" width="1.8984375" style="2" customWidth="1"/>
    <col min="2819" max="2819" width="15.69921875" style="2" customWidth="1"/>
    <col min="2820" max="2820" width="1.3984375" style="2" customWidth="1"/>
    <col min="2821" max="2821" width="8.8984375" style="2" customWidth="1"/>
    <col min="2822" max="2822" width="18.8984375" style="2" customWidth="1"/>
    <col min="2823" max="3064" width="11.3984375" style="2"/>
    <col min="3065" max="3065" width="3.69921875" style="2" bestFit="1" customWidth="1"/>
    <col min="3066" max="3066" width="19.3984375" style="2" customWidth="1"/>
    <col min="3067" max="3067" width="0" style="2" hidden="1" customWidth="1"/>
    <col min="3068" max="3068" width="2" style="2" customWidth="1"/>
    <col min="3069" max="3069" width="4.09765625" style="2" customWidth="1"/>
    <col min="3070" max="3070" width="13.3984375" style="2" customWidth="1"/>
    <col min="3071" max="3071" width="8.69921875" style="2" customWidth="1"/>
    <col min="3072" max="3073" width="20.3984375" style="2" customWidth="1"/>
    <col min="3074" max="3074" width="1.8984375" style="2" customWidth="1"/>
    <col min="3075" max="3075" width="15.69921875" style="2" customWidth="1"/>
    <col min="3076" max="3076" width="1.3984375" style="2" customWidth="1"/>
    <col min="3077" max="3077" width="8.8984375" style="2" customWidth="1"/>
    <col min="3078" max="3078" width="18.8984375" style="2" customWidth="1"/>
    <col min="3079" max="3320" width="11.3984375" style="2"/>
    <col min="3321" max="3321" width="3.69921875" style="2" bestFit="1" customWidth="1"/>
    <col min="3322" max="3322" width="19.3984375" style="2" customWidth="1"/>
    <col min="3323" max="3323" width="0" style="2" hidden="1" customWidth="1"/>
    <col min="3324" max="3324" width="2" style="2" customWidth="1"/>
    <col min="3325" max="3325" width="4.09765625" style="2" customWidth="1"/>
    <col min="3326" max="3326" width="13.3984375" style="2" customWidth="1"/>
    <col min="3327" max="3327" width="8.69921875" style="2" customWidth="1"/>
    <col min="3328" max="3329" width="20.3984375" style="2" customWidth="1"/>
    <col min="3330" max="3330" width="1.8984375" style="2" customWidth="1"/>
    <col min="3331" max="3331" width="15.69921875" style="2" customWidth="1"/>
    <col min="3332" max="3332" width="1.3984375" style="2" customWidth="1"/>
    <col min="3333" max="3333" width="8.8984375" style="2" customWidth="1"/>
    <col min="3334" max="3334" width="18.8984375" style="2" customWidth="1"/>
    <col min="3335" max="3576" width="11.3984375" style="2"/>
    <col min="3577" max="3577" width="3.69921875" style="2" bestFit="1" customWidth="1"/>
    <col min="3578" max="3578" width="19.3984375" style="2" customWidth="1"/>
    <col min="3579" max="3579" width="0" style="2" hidden="1" customWidth="1"/>
    <col min="3580" max="3580" width="2" style="2" customWidth="1"/>
    <col min="3581" max="3581" width="4.09765625" style="2" customWidth="1"/>
    <col min="3582" max="3582" width="13.3984375" style="2" customWidth="1"/>
    <col min="3583" max="3583" width="8.69921875" style="2" customWidth="1"/>
    <col min="3584" max="3585" width="20.3984375" style="2" customWidth="1"/>
    <col min="3586" max="3586" width="1.8984375" style="2" customWidth="1"/>
    <col min="3587" max="3587" width="15.69921875" style="2" customWidth="1"/>
    <col min="3588" max="3588" width="1.3984375" style="2" customWidth="1"/>
    <col min="3589" max="3589" width="8.8984375" style="2" customWidth="1"/>
    <col min="3590" max="3590" width="18.8984375" style="2" customWidth="1"/>
    <col min="3591" max="3832" width="11.3984375" style="2"/>
    <col min="3833" max="3833" width="3.69921875" style="2" bestFit="1" customWidth="1"/>
    <col min="3834" max="3834" width="19.3984375" style="2" customWidth="1"/>
    <col min="3835" max="3835" width="0" style="2" hidden="1" customWidth="1"/>
    <col min="3836" max="3836" width="2" style="2" customWidth="1"/>
    <col min="3837" max="3837" width="4.09765625" style="2" customWidth="1"/>
    <col min="3838" max="3838" width="13.3984375" style="2" customWidth="1"/>
    <col min="3839" max="3839" width="8.69921875" style="2" customWidth="1"/>
    <col min="3840" max="3841" width="20.3984375" style="2" customWidth="1"/>
    <col min="3842" max="3842" width="1.8984375" style="2" customWidth="1"/>
    <col min="3843" max="3843" width="15.69921875" style="2" customWidth="1"/>
    <col min="3844" max="3844" width="1.3984375" style="2" customWidth="1"/>
    <col min="3845" max="3845" width="8.8984375" style="2" customWidth="1"/>
    <col min="3846" max="3846" width="18.8984375" style="2" customWidth="1"/>
    <col min="3847" max="4088" width="11.3984375" style="2"/>
    <col min="4089" max="4089" width="3.69921875" style="2" bestFit="1" customWidth="1"/>
    <col min="4090" max="4090" width="19.3984375" style="2" customWidth="1"/>
    <col min="4091" max="4091" width="0" style="2" hidden="1" customWidth="1"/>
    <col min="4092" max="4092" width="2" style="2" customWidth="1"/>
    <col min="4093" max="4093" width="4.09765625" style="2" customWidth="1"/>
    <col min="4094" max="4094" width="13.3984375" style="2" customWidth="1"/>
    <col min="4095" max="4095" width="8.69921875" style="2" customWidth="1"/>
    <col min="4096" max="4097" width="20.3984375" style="2" customWidth="1"/>
    <col min="4098" max="4098" width="1.8984375" style="2" customWidth="1"/>
    <col min="4099" max="4099" width="15.69921875" style="2" customWidth="1"/>
    <col min="4100" max="4100" width="1.3984375" style="2" customWidth="1"/>
    <col min="4101" max="4101" width="8.8984375" style="2" customWidth="1"/>
    <col min="4102" max="4102" width="18.8984375" style="2" customWidth="1"/>
    <col min="4103" max="4344" width="11.3984375" style="2"/>
    <col min="4345" max="4345" width="3.69921875" style="2" bestFit="1" customWidth="1"/>
    <col min="4346" max="4346" width="19.3984375" style="2" customWidth="1"/>
    <col min="4347" max="4347" width="0" style="2" hidden="1" customWidth="1"/>
    <col min="4348" max="4348" width="2" style="2" customWidth="1"/>
    <col min="4349" max="4349" width="4.09765625" style="2" customWidth="1"/>
    <col min="4350" max="4350" width="13.3984375" style="2" customWidth="1"/>
    <col min="4351" max="4351" width="8.69921875" style="2" customWidth="1"/>
    <col min="4352" max="4353" width="20.3984375" style="2" customWidth="1"/>
    <col min="4354" max="4354" width="1.8984375" style="2" customWidth="1"/>
    <col min="4355" max="4355" width="15.69921875" style="2" customWidth="1"/>
    <col min="4356" max="4356" width="1.3984375" style="2" customWidth="1"/>
    <col min="4357" max="4357" width="8.8984375" style="2" customWidth="1"/>
    <col min="4358" max="4358" width="18.8984375" style="2" customWidth="1"/>
    <col min="4359" max="4600" width="11.3984375" style="2"/>
    <col min="4601" max="4601" width="3.69921875" style="2" bestFit="1" customWidth="1"/>
    <col min="4602" max="4602" width="19.3984375" style="2" customWidth="1"/>
    <col min="4603" max="4603" width="0" style="2" hidden="1" customWidth="1"/>
    <col min="4604" max="4604" width="2" style="2" customWidth="1"/>
    <col min="4605" max="4605" width="4.09765625" style="2" customWidth="1"/>
    <col min="4606" max="4606" width="13.3984375" style="2" customWidth="1"/>
    <col min="4607" max="4607" width="8.69921875" style="2" customWidth="1"/>
    <col min="4608" max="4609" width="20.3984375" style="2" customWidth="1"/>
    <col min="4610" max="4610" width="1.8984375" style="2" customWidth="1"/>
    <col min="4611" max="4611" width="15.69921875" style="2" customWidth="1"/>
    <col min="4612" max="4612" width="1.3984375" style="2" customWidth="1"/>
    <col min="4613" max="4613" width="8.8984375" style="2" customWidth="1"/>
    <col min="4614" max="4614" width="18.8984375" style="2" customWidth="1"/>
    <col min="4615" max="4856" width="11.3984375" style="2"/>
    <col min="4857" max="4857" width="3.69921875" style="2" bestFit="1" customWidth="1"/>
    <col min="4858" max="4858" width="19.3984375" style="2" customWidth="1"/>
    <col min="4859" max="4859" width="0" style="2" hidden="1" customWidth="1"/>
    <col min="4860" max="4860" width="2" style="2" customWidth="1"/>
    <col min="4861" max="4861" width="4.09765625" style="2" customWidth="1"/>
    <col min="4862" max="4862" width="13.3984375" style="2" customWidth="1"/>
    <col min="4863" max="4863" width="8.69921875" style="2" customWidth="1"/>
    <col min="4864" max="4865" width="20.3984375" style="2" customWidth="1"/>
    <col min="4866" max="4866" width="1.8984375" style="2" customWidth="1"/>
    <col min="4867" max="4867" width="15.69921875" style="2" customWidth="1"/>
    <col min="4868" max="4868" width="1.3984375" style="2" customWidth="1"/>
    <col min="4869" max="4869" width="8.8984375" style="2" customWidth="1"/>
    <col min="4870" max="4870" width="18.8984375" style="2" customWidth="1"/>
    <col min="4871" max="5112" width="11.3984375" style="2"/>
    <col min="5113" max="5113" width="3.69921875" style="2" bestFit="1" customWidth="1"/>
    <col min="5114" max="5114" width="19.3984375" style="2" customWidth="1"/>
    <col min="5115" max="5115" width="0" style="2" hidden="1" customWidth="1"/>
    <col min="5116" max="5116" width="2" style="2" customWidth="1"/>
    <col min="5117" max="5117" width="4.09765625" style="2" customWidth="1"/>
    <col min="5118" max="5118" width="13.3984375" style="2" customWidth="1"/>
    <col min="5119" max="5119" width="8.69921875" style="2" customWidth="1"/>
    <col min="5120" max="5121" width="20.3984375" style="2" customWidth="1"/>
    <col min="5122" max="5122" width="1.8984375" style="2" customWidth="1"/>
    <col min="5123" max="5123" width="15.69921875" style="2" customWidth="1"/>
    <col min="5124" max="5124" width="1.3984375" style="2" customWidth="1"/>
    <col min="5125" max="5125" width="8.8984375" style="2" customWidth="1"/>
    <col min="5126" max="5126" width="18.8984375" style="2" customWidth="1"/>
    <col min="5127" max="5368" width="11.3984375" style="2"/>
    <col min="5369" max="5369" width="3.69921875" style="2" bestFit="1" customWidth="1"/>
    <col min="5370" max="5370" width="19.3984375" style="2" customWidth="1"/>
    <col min="5371" max="5371" width="0" style="2" hidden="1" customWidth="1"/>
    <col min="5372" max="5372" width="2" style="2" customWidth="1"/>
    <col min="5373" max="5373" width="4.09765625" style="2" customWidth="1"/>
    <col min="5374" max="5374" width="13.3984375" style="2" customWidth="1"/>
    <col min="5375" max="5375" width="8.69921875" style="2" customWidth="1"/>
    <col min="5376" max="5377" width="20.3984375" style="2" customWidth="1"/>
    <col min="5378" max="5378" width="1.8984375" style="2" customWidth="1"/>
    <col min="5379" max="5379" width="15.69921875" style="2" customWidth="1"/>
    <col min="5380" max="5380" width="1.3984375" style="2" customWidth="1"/>
    <col min="5381" max="5381" width="8.8984375" style="2" customWidth="1"/>
    <col min="5382" max="5382" width="18.8984375" style="2" customWidth="1"/>
    <col min="5383" max="5624" width="11.3984375" style="2"/>
    <col min="5625" max="5625" width="3.69921875" style="2" bestFit="1" customWidth="1"/>
    <col min="5626" max="5626" width="19.3984375" style="2" customWidth="1"/>
    <col min="5627" max="5627" width="0" style="2" hidden="1" customWidth="1"/>
    <col min="5628" max="5628" width="2" style="2" customWidth="1"/>
    <col min="5629" max="5629" width="4.09765625" style="2" customWidth="1"/>
    <col min="5630" max="5630" width="13.3984375" style="2" customWidth="1"/>
    <col min="5631" max="5631" width="8.69921875" style="2" customWidth="1"/>
    <col min="5632" max="5633" width="20.3984375" style="2" customWidth="1"/>
    <col min="5634" max="5634" width="1.8984375" style="2" customWidth="1"/>
    <col min="5635" max="5635" width="15.69921875" style="2" customWidth="1"/>
    <col min="5636" max="5636" width="1.3984375" style="2" customWidth="1"/>
    <col min="5637" max="5637" width="8.8984375" style="2" customWidth="1"/>
    <col min="5638" max="5638" width="18.8984375" style="2" customWidth="1"/>
    <col min="5639" max="5880" width="11.3984375" style="2"/>
    <col min="5881" max="5881" width="3.69921875" style="2" bestFit="1" customWidth="1"/>
    <col min="5882" max="5882" width="19.3984375" style="2" customWidth="1"/>
    <col min="5883" max="5883" width="0" style="2" hidden="1" customWidth="1"/>
    <col min="5884" max="5884" width="2" style="2" customWidth="1"/>
    <col min="5885" max="5885" width="4.09765625" style="2" customWidth="1"/>
    <col min="5886" max="5886" width="13.3984375" style="2" customWidth="1"/>
    <col min="5887" max="5887" width="8.69921875" style="2" customWidth="1"/>
    <col min="5888" max="5889" width="20.3984375" style="2" customWidth="1"/>
    <col min="5890" max="5890" width="1.8984375" style="2" customWidth="1"/>
    <col min="5891" max="5891" width="15.69921875" style="2" customWidth="1"/>
    <col min="5892" max="5892" width="1.3984375" style="2" customWidth="1"/>
    <col min="5893" max="5893" width="8.8984375" style="2" customWidth="1"/>
    <col min="5894" max="5894" width="18.8984375" style="2" customWidth="1"/>
    <col min="5895" max="6136" width="11.3984375" style="2"/>
    <col min="6137" max="6137" width="3.69921875" style="2" bestFit="1" customWidth="1"/>
    <col min="6138" max="6138" width="19.3984375" style="2" customWidth="1"/>
    <col min="6139" max="6139" width="0" style="2" hidden="1" customWidth="1"/>
    <col min="6140" max="6140" width="2" style="2" customWidth="1"/>
    <col min="6141" max="6141" width="4.09765625" style="2" customWidth="1"/>
    <col min="6142" max="6142" width="13.3984375" style="2" customWidth="1"/>
    <col min="6143" max="6143" width="8.69921875" style="2" customWidth="1"/>
    <col min="6144" max="6145" width="20.3984375" style="2" customWidth="1"/>
    <col min="6146" max="6146" width="1.8984375" style="2" customWidth="1"/>
    <col min="6147" max="6147" width="15.69921875" style="2" customWidth="1"/>
    <col min="6148" max="6148" width="1.3984375" style="2" customWidth="1"/>
    <col min="6149" max="6149" width="8.8984375" style="2" customWidth="1"/>
    <col min="6150" max="6150" width="18.8984375" style="2" customWidth="1"/>
    <col min="6151" max="6392" width="11.3984375" style="2"/>
    <col min="6393" max="6393" width="3.69921875" style="2" bestFit="1" customWidth="1"/>
    <col min="6394" max="6394" width="19.3984375" style="2" customWidth="1"/>
    <col min="6395" max="6395" width="0" style="2" hidden="1" customWidth="1"/>
    <col min="6396" max="6396" width="2" style="2" customWidth="1"/>
    <col min="6397" max="6397" width="4.09765625" style="2" customWidth="1"/>
    <col min="6398" max="6398" width="13.3984375" style="2" customWidth="1"/>
    <col min="6399" max="6399" width="8.69921875" style="2" customWidth="1"/>
    <col min="6400" max="6401" width="20.3984375" style="2" customWidth="1"/>
    <col min="6402" max="6402" width="1.8984375" style="2" customWidth="1"/>
    <col min="6403" max="6403" width="15.69921875" style="2" customWidth="1"/>
    <col min="6404" max="6404" width="1.3984375" style="2" customWidth="1"/>
    <col min="6405" max="6405" width="8.8984375" style="2" customWidth="1"/>
    <col min="6406" max="6406" width="18.8984375" style="2" customWidth="1"/>
    <col min="6407" max="6648" width="11.3984375" style="2"/>
    <col min="6649" max="6649" width="3.69921875" style="2" bestFit="1" customWidth="1"/>
    <col min="6650" max="6650" width="19.3984375" style="2" customWidth="1"/>
    <col min="6651" max="6651" width="0" style="2" hidden="1" customWidth="1"/>
    <col min="6652" max="6652" width="2" style="2" customWidth="1"/>
    <col min="6653" max="6653" width="4.09765625" style="2" customWidth="1"/>
    <col min="6654" max="6654" width="13.3984375" style="2" customWidth="1"/>
    <col min="6655" max="6655" width="8.69921875" style="2" customWidth="1"/>
    <col min="6656" max="6657" width="20.3984375" style="2" customWidth="1"/>
    <col min="6658" max="6658" width="1.8984375" style="2" customWidth="1"/>
    <col min="6659" max="6659" width="15.69921875" style="2" customWidth="1"/>
    <col min="6660" max="6660" width="1.3984375" style="2" customWidth="1"/>
    <col min="6661" max="6661" width="8.8984375" style="2" customWidth="1"/>
    <col min="6662" max="6662" width="18.8984375" style="2" customWidth="1"/>
    <col min="6663" max="6904" width="11.3984375" style="2"/>
    <col min="6905" max="6905" width="3.69921875" style="2" bestFit="1" customWidth="1"/>
    <col min="6906" max="6906" width="19.3984375" style="2" customWidth="1"/>
    <col min="6907" max="6907" width="0" style="2" hidden="1" customWidth="1"/>
    <col min="6908" max="6908" width="2" style="2" customWidth="1"/>
    <col min="6909" max="6909" width="4.09765625" style="2" customWidth="1"/>
    <col min="6910" max="6910" width="13.3984375" style="2" customWidth="1"/>
    <col min="6911" max="6911" width="8.69921875" style="2" customWidth="1"/>
    <col min="6912" max="6913" width="20.3984375" style="2" customWidth="1"/>
    <col min="6914" max="6914" width="1.8984375" style="2" customWidth="1"/>
    <col min="6915" max="6915" width="15.69921875" style="2" customWidth="1"/>
    <col min="6916" max="6916" width="1.3984375" style="2" customWidth="1"/>
    <col min="6917" max="6917" width="8.8984375" style="2" customWidth="1"/>
    <col min="6918" max="6918" width="18.8984375" style="2" customWidth="1"/>
    <col min="6919" max="7160" width="11.3984375" style="2"/>
    <col min="7161" max="7161" width="3.69921875" style="2" bestFit="1" customWidth="1"/>
    <col min="7162" max="7162" width="19.3984375" style="2" customWidth="1"/>
    <col min="7163" max="7163" width="0" style="2" hidden="1" customWidth="1"/>
    <col min="7164" max="7164" width="2" style="2" customWidth="1"/>
    <col min="7165" max="7165" width="4.09765625" style="2" customWidth="1"/>
    <col min="7166" max="7166" width="13.3984375" style="2" customWidth="1"/>
    <col min="7167" max="7167" width="8.69921875" style="2" customWidth="1"/>
    <col min="7168" max="7169" width="20.3984375" style="2" customWidth="1"/>
    <col min="7170" max="7170" width="1.8984375" style="2" customWidth="1"/>
    <col min="7171" max="7171" width="15.69921875" style="2" customWidth="1"/>
    <col min="7172" max="7172" width="1.3984375" style="2" customWidth="1"/>
    <col min="7173" max="7173" width="8.8984375" style="2" customWidth="1"/>
    <col min="7174" max="7174" width="18.8984375" style="2" customWidth="1"/>
    <col min="7175" max="7416" width="11.3984375" style="2"/>
    <col min="7417" max="7417" width="3.69921875" style="2" bestFit="1" customWidth="1"/>
    <col min="7418" max="7418" width="19.3984375" style="2" customWidth="1"/>
    <col min="7419" max="7419" width="0" style="2" hidden="1" customWidth="1"/>
    <col min="7420" max="7420" width="2" style="2" customWidth="1"/>
    <col min="7421" max="7421" width="4.09765625" style="2" customWidth="1"/>
    <col min="7422" max="7422" width="13.3984375" style="2" customWidth="1"/>
    <col min="7423" max="7423" width="8.69921875" style="2" customWidth="1"/>
    <col min="7424" max="7425" width="20.3984375" style="2" customWidth="1"/>
    <col min="7426" max="7426" width="1.8984375" style="2" customWidth="1"/>
    <col min="7427" max="7427" width="15.69921875" style="2" customWidth="1"/>
    <col min="7428" max="7428" width="1.3984375" style="2" customWidth="1"/>
    <col min="7429" max="7429" width="8.8984375" style="2" customWidth="1"/>
    <col min="7430" max="7430" width="18.8984375" style="2" customWidth="1"/>
    <col min="7431" max="7672" width="11.3984375" style="2"/>
    <col min="7673" max="7673" width="3.69921875" style="2" bestFit="1" customWidth="1"/>
    <col min="7674" max="7674" width="19.3984375" style="2" customWidth="1"/>
    <col min="7675" max="7675" width="0" style="2" hidden="1" customWidth="1"/>
    <col min="7676" max="7676" width="2" style="2" customWidth="1"/>
    <col min="7677" max="7677" width="4.09765625" style="2" customWidth="1"/>
    <col min="7678" max="7678" width="13.3984375" style="2" customWidth="1"/>
    <col min="7679" max="7679" width="8.69921875" style="2" customWidth="1"/>
    <col min="7680" max="7681" width="20.3984375" style="2" customWidth="1"/>
    <col min="7682" max="7682" width="1.8984375" style="2" customWidth="1"/>
    <col min="7683" max="7683" width="15.69921875" style="2" customWidth="1"/>
    <col min="7684" max="7684" width="1.3984375" style="2" customWidth="1"/>
    <col min="7685" max="7685" width="8.8984375" style="2" customWidth="1"/>
    <col min="7686" max="7686" width="18.8984375" style="2" customWidth="1"/>
    <col min="7687" max="7928" width="11.3984375" style="2"/>
    <col min="7929" max="7929" width="3.69921875" style="2" bestFit="1" customWidth="1"/>
    <col min="7930" max="7930" width="19.3984375" style="2" customWidth="1"/>
    <col min="7931" max="7931" width="0" style="2" hidden="1" customWidth="1"/>
    <col min="7932" max="7932" width="2" style="2" customWidth="1"/>
    <col min="7933" max="7933" width="4.09765625" style="2" customWidth="1"/>
    <col min="7934" max="7934" width="13.3984375" style="2" customWidth="1"/>
    <col min="7935" max="7935" width="8.69921875" style="2" customWidth="1"/>
    <col min="7936" max="7937" width="20.3984375" style="2" customWidth="1"/>
    <col min="7938" max="7938" width="1.8984375" style="2" customWidth="1"/>
    <col min="7939" max="7939" width="15.69921875" style="2" customWidth="1"/>
    <col min="7940" max="7940" width="1.3984375" style="2" customWidth="1"/>
    <col min="7941" max="7941" width="8.8984375" style="2" customWidth="1"/>
    <col min="7942" max="7942" width="18.8984375" style="2" customWidth="1"/>
    <col min="7943" max="8184" width="11.3984375" style="2"/>
    <col min="8185" max="8185" width="3.69921875" style="2" bestFit="1" customWidth="1"/>
    <col min="8186" max="8186" width="19.3984375" style="2" customWidth="1"/>
    <col min="8187" max="8187" width="0" style="2" hidden="1" customWidth="1"/>
    <col min="8188" max="8188" width="2" style="2" customWidth="1"/>
    <col min="8189" max="8189" width="4.09765625" style="2" customWidth="1"/>
    <col min="8190" max="8190" width="13.3984375" style="2" customWidth="1"/>
    <col min="8191" max="8191" width="8.69921875" style="2" customWidth="1"/>
    <col min="8192" max="8193" width="20.3984375" style="2" customWidth="1"/>
    <col min="8194" max="8194" width="1.8984375" style="2" customWidth="1"/>
    <col min="8195" max="8195" width="15.69921875" style="2" customWidth="1"/>
    <col min="8196" max="8196" width="1.3984375" style="2" customWidth="1"/>
    <col min="8197" max="8197" width="8.8984375" style="2" customWidth="1"/>
    <col min="8198" max="8198" width="18.8984375" style="2" customWidth="1"/>
    <col min="8199" max="8440" width="11.3984375" style="2"/>
    <col min="8441" max="8441" width="3.69921875" style="2" bestFit="1" customWidth="1"/>
    <col min="8442" max="8442" width="19.3984375" style="2" customWidth="1"/>
    <col min="8443" max="8443" width="0" style="2" hidden="1" customWidth="1"/>
    <col min="8444" max="8444" width="2" style="2" customWidth="1"/>
    <col min="8445" max="8445" width="4.09765625" style="2" customWidth="1"/>
    <col min="8446" max="8446" width="13.3984375" style="2" customWidth="1"/>
    <col min="8447" max="8447" width="8.69921875" style="2" customWidth="1"/>
    <col min="8448" max="8449" width="20.3984375" style="2" customWidth="1"/>
    <col min="8450" max="8450" width="1.8984375" style="2" customWidth="1"/>
    <col min="8451" max="8451" width="15.69921875" style="2" customWidth="1"/>
    <col min="8452" max="8452" width="1.3984375" style="2" customWidth="1"/>
    <col min="8453" max="8453" width="8.8984375" style="2" customWidth="1"/>
    <col min="8454" max="8454" width="18.8984375" style="2" customWidth="1"/>
    <col min="8455" max="8696" width="11.3984375" style="2"/>
    <col min="8697" max="8697" width="3.69921875" style="2" bestFit="1" customWidth="1"/>
    <col min="8698" max="8698" width="19.3984375" style="2" customWidth="1"/>
    <col min="8699" max="8699" width="0" style="2" hidden="1" customWidth="1"/>
    <col min="8700" max="8700" width="2" style="2" customWidth="1"/>
    <col min="8701" max="8701" width="4.09765625" style="2" customWidth="1"/>
    <col min="8702" max="8702" width="13.3984375" style="2" customWidth="1"/>
    <col min="8703" max="8703" width="8.69921875" style="2" customWidth="1"/>
    <col min="8704" max="8705" width="20.3984375" style="2" customWidth="1"/>
    <col min="8706" max="8706" width="1.8984375" style="2" customWidth="1"/>
    <col min="8707" max="8707" width="15.69921875" style="2" customWidth="1"/>
    <col min="8708" max="8708" width="1.3984375" style="2" customWidth="1"/>
    <col min="8709" max="8709" width="8.8984375" style="2" customWidth="1"/>
    <col min="8710" max="8710" width="18.8984375" style="2" customWidth="1"/>
    <col min="8711" max="8952" width="11.3984375" style="2"/>
    <col min="8953" max="8953" width="3.69921875" style="2" bestFit="1" customWidth="1"/>
    <col min="8954" max="8954" width="19.3984375" style="2" customWidth="1"/>
    <col min="8955" max="8955" width="0" style="2" hidden="1" customWidth="1"/>
    <col min="8956" max="8956" width="2" style="2" customWidth="1"/>
    <col min="8957" max="8957" width="4.09765625" style="2" customWidth="1"/>
    <col min="8958" max="8958" width="13.3984375" style="2" customWidth="1"/>
    <col min="8959" max="8959" width="8.69921875" style="2" customWidth="1"/>
    <col min="8960" max="8961" width="20.3984375" style="2" customWidth="1"/>
    <col min="8962" max="8962" width="1.8984375" style="2" customWidth="1"/>
    <col min="8963" max="8963" width="15.69921875" style="2" customWidth="1"/>
    <col min="8964" max="8964" width="1.3984375" style="2" customWidth="1"/>
    <col min="8965" max="8965" width="8.8984375" style="2" customWidth="1"/>
    <col min="8966" max="8966" width="18.8984375" style="2" customWidth="1"/>
    <col min="8967" max="9208" width="11.3984375" style="2"/>
    <col min="9209" max="9209" width="3.69921875" style="2" bestFit="1" customWidth="1"/>
    <col min="9210" max="9210" width="19.3984375" style="2" customWidth="1"/>
    <col min="9211" max="9211" width="0" style="2" hidden="1" customWidth="1"/>
    <col min="9212" max="9212" width="2" style="2" customWidth="1"/>
    <col min="9213" max="9213" width="4.09765625" style="2" customWidth="1"/>
    <col min="9214" max="9214" width="13.3984375" style="2" customWidth="1"/>
    <col min="9215" max="9215" width="8.69921875" style="2" customWidth="1"/>
    <col min="9216" max="9217" width="20.3984375" style="2" customWidth="1"/>
    <col min="9218" max="9218" width="1.8984375" style="2" customWidth="1"/>
    <col min="9219" max="9219" width="15.69921875" style="2" customWidth="1"/>
    <col min="9220" max="9220" width="1.3984375" style="2" customWidth="1"/>
    <col min="9221" max="9221" width="8.8984375" style="2" customWidth="1"/>
    <col min="9222" max="9222" width="18.8984375" style="2" customWidth="1"/>
    <col min="9223" max="9464" width="11.3984375" style="2"/>
    <col min="9465" max="9465" width="3.69921875" style="2" bestFit="1" customWidth="1"/>
    <col min="9466" max="9466" width="19.3984375" style="2" customWidth="1"/>
    <col min="9467" max="9467" width="0" style="2" hidden="1" customWidth="1"/>
    <col min="9468" max="9468" width="2" style="2" customWidth="1"/>
    <col min="9469" max="9469" width="4.09765625" style="2" customWidth="1"/>
    <col min="9470" max="9470" width="13.3984375" style="2" customWidth="1"/>
    <col min="9471" max="9471" width="8.69921875" style="2" customWidth="1"/>
    <col min="9472" max="9473" width="20.3984375" style="2" customWidth="1"/>
    <col min="9474" max="9474" width="1.8984375" style="2" customWidth="1"/>
    <col min="9475" max="9475" width="15.69921875" style="2" customWidth="1"/>
    <col min="9476" max="9476" width="1.3984375" style="2" customWidth="1"/>
    <col min="9477" max="9477" width="8.8984375" style="2" customWidth="1"/>
    <col min="9478" max="9478" width="18.8984375" style="2" customWidth="1"/>
    <col min="9479" max="9720" width="11.3984375" style="2"/>
    <col min="9721" max="9721" width="3.69921875" style="2" bestFit="1" customWidth="1"/>
    <col min="9722" max="9722" width="19.3984375" style="2" customWidth="1"/>
    <col min="9723" max="9723" width="0" style="2" hidden="1" customWidth="1"/>
    <col min="9724" max="9724" width="2" style="2" customWidth="1"/>
    <col min="9725" max="9725" width="4.09765625" style="2" customWidth="1"/>
    <col min="9726" max="9726" width="13.3984375" style="2" customWidth="1"/>
    <col min="9727" max="9727" width="8.69921875" style="2" customWidth="1"/>
    <col min="9728" max="9729" width="20.3984375" style="2" customWidth="1"/>
    <col min="9730" max="9730" width="1.8984375" style="2" customWidth="1"/>
    <col min="9731" max="9731" width="15.69921875" style="2" customWidth="1"/>
    <col min="9732" max="9732" width="1.3984375" style="2" customWidth="1"/>
    <col min="9733" max="9733" width="8.8984375" style="2" customWidth="1"/>
    <col min="9734" max="9734" width="18.8984375" style="2" customWidth="1"/>
    <col min="9735" max="9976" width="11.3984375" style="2"/>
    <col min="9977" max="9977" width="3.69921875" style="2" bestFit="1" customWidth="1"/>
    <col min="9978" max="9978" width="19.3984375" style="2" customWidth="1"/>
    <col min="9979" max="9979" width="0" style="2" hidden="1" customWidth="1"/>
    <col min="9980" max="9980" width="2" style="2" customWidth="1"/>
    <col min="9981" max="9981" width="4.09765625" style="2" customWidth="1"/>
    <col min="9982" max="9982" width="13.3984375" style="2" customWidth="1"/>
    <col min="9983" max="9983" width="8.69921875" style="2" customWidth="1"/>
    <col min="9984" max="9985" width="20.3984375" style="2" customWidth="1"/>
    <col min="9986" max="9986" width="1.8984375" style="2" customWidth="1"/>
    <col min="9987" max="9987" width="15.69921875" style="2" customWidth="1"/>
    <col min="9988" max="9988" width="1.3984375" style="2" customWidth="1"/>
    <col min="9989" max="9989" width="8.8984375" style="2" customWidth="1"/>
    <col min="9990" max="9990" width="18.8984375" style="2" customWidth="1"/>
    <col min="9991" max="10232" width="11.3984375" style="2"/>
    <col min="10233" max="10233" width="3.69921875" style="2" bestFit="1" customWidth="1"/>
    <col min="10234" max="10234" width="19.3984375" style="2" customWidth="1"/>
    <col min="10235" max="10235" width="0" style="2" hidden="1" customWidth="1"/>
    <col min="10236" max="10236" width="2" style="2" customWidth="1"/>
    <col min="10237" max="10237" width="4.09765625" style="2" customWidth="1"/>
    <col min="10238" max="10238" width="13.3984375" style="2" customWidth="1"/>
    <col min="10239" max="10239" width="8.69921875" style="2" customWidth="1"/>
    <col min="10240" max="10241" width="20.3984375" style="2" customWidth="1"/>
    <col min="10242" max="10242" width="1.8984375" style="2" customWidth="1"/>
    <col min="10243" max="10243" width="15.69921875" style="2" customWidth="1"/>
    <col min="10244" max="10244" width="1.3984375" style="2" customWidth="1"/>
    <col min="10245" max="10245" width="8.8984375" style="2" customWidth="1"/>
    <col min="10246" max="10246" width="18.8984375" style="2" customWidth="1"/>
    <col min="10247" max="10488" width="11.3984375" style="2"/>
    <col min="10489" max="10489" width="3.69921875" style="2" bestFit="1" customWidth="1"/>
    <col min="10490" max="10490" width="19.3984375" style="2" customWidth="1"/>
    <col min="10491" max="10491" width="0" style="2" hidden="1" customWidth="1"/>
    <col min="10492" max="10492" width="2" style="2" customWidth="1"/>
    <col min="10493" max="10493" width="4.09765625" style="2" customWidth="1"/>
    <col min="10494" max="10494" width="13.3984375" style="2" customWidth="1"/>
    <col min="10495" max="10495" width="8.69921875" style="2" customWidth="1"/>
    <col min="10496" max="10497" width="20.3984375" style="2" customWidth="1"/>
    <col min="10498" max="10498" width="1.8984375" style="2" customWidth="1"/>
    <col min="10499" max="10499" width="15.69921875" style="2" customWidth="1"/>
    <col min="10500" max="10500" width="1.3984375" style="2" customWidth="1"/>
    <col min="10501" max="10501" width="8.8984375" style="2" customWidth="1"/>
    <col min="10502" max="10502" width="18.8984375" style="2" customWidth="1"/>
    <col min="10503" max="10744" width="11.3984375" style="2"/>
    <col min="10745" max="10745" width="3.69921875" style="2" bestFit="1" customWidth="1"/>
    <col min="10746" max="10746" width="19.3984375" style="2" customWidth="1"/>
    <col min="10747" max="10747" width="0" style="2" hidden="1" customWidth="1"/>
    <col min="10748" max="10748" width="2" style="2" customWidth="1"/>
    <col min="10749" max="10749" width="4.09765625" style="2" customWidth="1"/>
    <col min="10750" max="10750" width="13.3984375" style="2" customWidth="1"/>
    <col min="10751" max="10751" width="8.69921875" style="2" customWidth="1"/>
    <col min="10752" max="10753" width="20.3984375" style="2" customWidth="1"/>
    <col min="10754" max="10754" width="1.8984375" style="2" customWidth="1"/>
    <col min="10755" max="10755" width="15.69921875" style="2" customWidth="1"/>
    <col min="10756" max="10756" width="1.3984375" style="2" customWidth="1"/>
    <col min="10757" max="10757" width="8.8984375" style="2" customWidth="1"/>
    <col min="10758" max="10758" width="18.8984375" style="2" customWidth="1"/>
    <col min="10759" max="11000" width="11.3984375" style="2"/>
    <col min="11001" max="11001" width="3.69921875" style="2" bestFit="1" customWidth="1"/>
    <col min="11002" max="11002" width="19.3984375" style="2" customWidth="1"/>
    <col min="11003" max="11003" width="0" style="2" hidden="1" customWidth="1"/>
    <col min="11004" max="11004" width="2" style="2" customWidth="1"/>
    <col min="11005" max="11005" width="4.09765625" style="2" customWidth="1"/>
    <col min="11006" max="11006" width="13.3984375" style="2" customWidth="1"/>
    <col min="11007" max="11007" width="8.69921875" style="2" customWidth="1"/>
    <col min="11008" max="11009" width="20.3984375" style="2" customWidth="1"/>
    <col min="11010" max="11010" width="1.8984375" style="2" customWidth="1"/>
    <col min="11011" max="11011" width="15.69921875" style="2" customWidth="1"/>
    <col min="11012" max="11012" width="1.3984375" style="2" customWidth="1"/>
    <col min="11013" max="11013" width="8.8984375" style="2" customWidth="1"/>
    <col min="11014" max="11014" width="18.8984375" style="2" customWidth="1"/>
    <col min="11015" max="11256" width="11.3984375" style="2"/>
    <col min="11257" max="11257" width="3.69921875" style="2" bestFit="1" customWidth="1"/>
    <col min="11258" max="11258" width="19.3984375" style="2" customWidth="1"/>
    <col min="11259" max="11259" width="0" style="2" hidden="1" customWidth="1"/>
    <col min="11260" max="11260" width="2" style="2" customWidth="1"/>
    <col min="11261" max="11261" width="4.09765625" style="2" customWidth="1"/>
    <col min="11262" max="11262" width="13.3984375" style="2" customWidth="1"/>
    <col min="11263" max="11263" width="8.69921875" style="2" customWidth="1"/>
    <col min="11264" max="11265" width="20.3984375" style="2" customWidth="1"/>
    <col min="11266" max="11266" width="1.8984375" style="2" customWidth="1"/>
    <col min="11267" max="11267" width="15.69921875" style="2" customWidth="1"/>
    <col min="11268" max="11268" width="1.3984375" style="2" customWidth="1"/>
    <col min="11269" max="11269" width="8.8984375" style="2" customWidth="1"/>
    <col min="11270" max="11270" width="18.8984375" style="2" customWidth="1"/>
    <col min="11271" max="11512" width="11.3984375" style="2"/>
    <col min="11513" max="11513" width="3.69921875" style="2" bestFit="1" customWidth="1"/>
    <col min="11514" max="11514" width="19.3984375" style="2" customWidth="1"/>
    <col min="11515" max="11515" width="0" style="2" hidden="1" customWidth="1"/>
    <col min="11516" max="11516" width="2" style="2" customWidth="1"/>
    <col min="11517" max="11517" width="4.09765625" style="2" customWidth="1"/>
    <col min="11518" max="11518" width="13.3984375" style="2" customWidth="1"/>
    <col min="11519" max="11519" width="8.69921875" style="2" customWidth="1"/>
    <col min="11520" max="11521" width="20.3984375" style="2" customWidth="1"/>
    <col min="11522" max="11522" width="1.8984375" style="2" customWidth="1"/>
    <col min="11523" max="11523" width="15.69921875" style="2" customWidth="1"/>
    <col min="11524" max="11524" width="1.3984375" style="2" customWidth="1"/>
    <col min="11525" max="11525" width="8.8984375" style="2" customWidth="1"/>
    <col min="11526" max="11526" width="18.8984375" style="2" customWidth="1"/>
    <col min="11527" max="11768" width="11.3984375" style="2"/>
    <col min="11769" max="11769" width="3.69921875" style="2" bestFit="1" customWidth="1"/>
    <col min="11770" max="11770" width="19.3984375" style="2" customWidth="1"/>
    <col min="11771" max="11771" width="0" style="2" hidden="1" customWidth="1"/>
    <col min="11772" max="11772" width="2" style="2" customWidth="1"/>
    <col min="11773" max="11773" width="4.09765625" style="2" customWidth="1"/>
    <col min="11774" max="11774" width="13.3984375" style="2" customWidth="1"/>
    <col min="11775" max="11775" width="8.69921875" style="2" customWidth="1"/>
    <col min="11776" max="11777" width="20.3984375" style="2" customWidth="1"/>
    <col min="11778" max="11778" width="1.8984375" style="2" customWidth="1"/>
    <col min="11779" max="11779" width="15.69921875" style="2" customWidth="1"/>
    <col min="11780" max="11780" width="1.3984375" style="2" customWidth="1"/>
    <col min="11781" max="11781" width="8.8984375" style="2" customWidth="1"/>
    <col min="11782" max="11782" width="18.8984375" style="2" customWidth="1"/>
    <col min="11783" max="12024" width="11.3984375" style="2"/>
    <col min="12025" max="12025" width="3.69921875" style="2" bestFit="1" customWidth="1"/>
    <col min="12026" max="12026" width="19.3984375" style="2" customWidth="1"/>
    <col min="12027" max="12027" width="0" style="2" hidden="1" customWidth="1"/>
    <col min="12028" max="12028" width="2" style="2" customWidth="1"/>
    <col min="12029" max="12029" width="4.09765625" style="2" customWidth="1"/>
    <col min="12030" max="12030" width="13.3984375" style="2" customWidth="1"/>
    <col min="12031" max="12031" width="8.69921875" style="2" customWidth="1"/>
    <col min="12032" max="12033" width="20.3984375" style="2" customWidth="1"/>
    <col min="12034" max="12034" width="1.8984375" style="2" customWidth="1"/>
    <col min="12035" max="12035" width="15.69921875" style="2" customWidth="1"/>
    <col min="12036" max="12036" width="1.3984375" style="2" customWidth="1"/>
    <col min="12037" max="12037" width="8.8984375" style="2" customWidth="1"/>
    <col min="12038" max="12038" width="18.8984375" style="2" customWidth="1"/>
    <col min="12039" max="12280" width="11.3984375" style="2"/>
    <col min="12281" max="12281" width="3.69921875" style="2" bestFit="1" customWidth="1"/>
    <col min="12282" max="12282" width="19.3984375" style="2" customWidth="1"/>
    <col min="12283" max="12283" width="0" style="2" hidden="1" customWidth="1"/>
    <col min="12284" max="12284" width="2" style="2" customWidth="1"/>
    <col min="12285" max="12285" width="4.09765625" style="2" customWidth="1"/>
    <col min="12286" max="12286" width="13.3984375" style="2" customWidth="1"/>
    <col min="12287" max="12287" width="8.69921875" style="2" customWidth="1"/>
    <col min="12288" max="12289" width="20.3984375" style="2" customWidth="1"/>
    <col min="12290" max="12290" width="1.8984375" style="2" customWidth="1"/>
    <col min="12291" max="12291" width="15.69921875" style="2" customWidth="1"/>
    <col min="12292" max="12292" width="1.3984375" style="2" customWidth="1"/>
    <col min="12293" max="12293" width="8.8984375" style="2" customWidth="1"/>
    <col min="12294" max="12294" width="18.8984375" style="2" customWidth="1"/>
    <col min="12295" max="12536" width="11.3984375" style="2"/>
    <col min="12537" max="12537" width="3.69921875" style="2" bestFit="1" customWidth="1"/>
    <col min="12538" max="12538" width="19.3984375" style="2" customWidth="1"/>
    <col min="12539" max="12539" width="0" style="2" hidden="1" customWidth="1"/>
    <col min="12540" max="12540" width="2" style="2" customWidth="1"/>
    <col min="12541" max="12541" width="4.09765625" style="2" customWidth="1"/>
    <col min="12542" max="12542" width="13.3984375" style="2" customWidth="1"/>
    <col min="12543" max="12543" width="8.69921875" style="2" customWidth="1"/>
    <col min="12544" max="12545" width="20.3984375" style="2" customWidth="1"/>
    <col min="12546" max="12546" width="1.8984375" style="2" customWidth="1"/>
    <col min="12547" max="12547" width="15.69921875" style="2" customWidth="1"/>
    <col min="12548" max="12548" width="1.3984375" style="2" customWidth="1"/>
    <col min="12549" max="12549" width="8.8984375" style="2" customWidth="1"/>
    <col min="12550" max="12550" width="18.8984375" style="2" customWidth="1"/>
    <col min="12551" max="12792" width="11.3984375" style="2"/>
    <col min="12793" max="12793" width="3.69921875" style="2" bestFit="1" customWidth="1"/>
    <col min="12794" max="12794" width="19.3984375" style="2" customWidth="1"/>
    <col min="12795" max="12795" width="0" style="2" hidden="1" customWidth="1"/>
    <col min="12796" max="12796" width="2" style="2" customWidth="1"/>
    <col min="12797" max="12797" width="4.09765625" style="2" customWidth="1"/>
    <col min="12798" max="12798" width="13.3984375" style="2" customWidth="1"/>
    <col min="12799" max="12799" width="8.69921875" style="2" customWidth="1"/>
    <col min="12800" max="12801" width="20.3984375" style="2" customWidth="1"/>
    <col min="12802" max="12802" width="1.8984375" style="2" customWidth="1"/>
    <col min="12803" max="12803" width="15.69921875" style="2" customWidth="1"/>
    <col min="12804" max="12804" width="1.3984375" style="2" customWidth="1"/>
    <col min="12805" max="12805" width="8.8984375" style="2" customWidth="1"/>
    <col min="12806" max="12806" width="18.8984375" style="2" customWidth="1"/>
    <col min="12807" max="13048" width="11.3984375" style="2"/>
    <col min="13049" max="13049" width="3.69921875" style="2" bestFit="1" customWidth="1"/>
    <col min="13050" max="13050" width="19.3984375" style="2" customWidth="1"/>
    <col min="13051" max="13051" width="0" style="2" hidden="1" customWidth="1"/>
    <col min="13052" max="13052" width="2" style="2" customWidth="1"/>
    <col min="13053" max="13053" width="4.09765625" style="2" customWidth="1"/>
    <col min="13054" max="13054" width="13.3984375" style="2" customWidth="1"/>
    <col min="13055" max="13055" width="8.69921875" style="2" customWidth="1"/>
    <col min="13056" max="13057" width="20.3984375" style="2" customWidth="1"/>
    <col min="13058" max="13058" width="1.8984375" style="2" customWidth="1"/>
    <col min="13059" max="13059" width="15.69921875" style="2" customWidth="1"/>
    <col min="13060" max="13060" width="1.3984375" style="2" customWidth="1"/>
    <col min="13061" max="13061" width="8.8984375" style="2" customWidth="1"/>
    <col min="13062" max="13062" width="18.8984375" style="2" customWidth="1"/>
    <col min="13063" max="13304" width="11.3984375" style="2"/>
    <col min="13305" max="13305" width="3.69921875" style="2" bestFit="1" customWidth="1"/>
    <col min="13306" max="13306" width="19.3984375" style="2" customWidth="1"/>
    <col min="13307" max="13307" width="0" style="2" hidden="1" customWidth="1"/>
    <col min="13308" max="13308" width="2" style="2" customWidth="1"/>
    <col min="13309" max="13309" width="4.09765625" style="2" customWidth="1"/>
    <col min="13310" max="13310" width="13.3984375" style="2" customWidth="1"/>
    <col min="13311" max="13311" width="8.69921875" style="2" customWidth="1"/>
    <col min="13312" max="13313" width="20.3984375" style="2" customWidth="1"/>
    <col min="13314" max="13314" width="1.8984375" style="2" customWidth="1"/>
    <col min="13315" max="13315" width="15.69921875" style="2" customWidth="1"/>
    <col min="13316" max="13316" width="1.3984375" style="2" customWidth="1"/>
    <col min="13317" max="13317" width="8.8984375" style="2" customWidth="1"/>
    <col min="13318" max="13318" width="18.8984375" style="2" customWidth="1"/>
    <col min="13319" max="13560" width="11.3984375" style="2"/>
    <col min="13561" max="13561" width="3.69921875" style="2" bestFit="1" customWidth="1"/>
    <col min="13562" max="13562" width="19.3984375" style="2" customWidth="1"/>
    <col min="13563" max="13563" width="0" style="2" hidden="1" customWidth="1"/>
    <col min="13564" max="13564" width="2" style="2" customWidth="1"/>
    <col min="13565" max="13565" width="4.09765625" style="2" customWidth="1"/>
    <col min="13566" max="13566" width="13.3984375" style="2" customWidth="1"/>
    <col min="13567" max="13567" width="8.69921875" style="2" customWidth="1"/>
    <col min="13568" max="13569" width="20.3984375" style="2" customWidth="1"/>
    <col min="13570" max="13570" width="1.8984375" style="2" customWidth="1"/>
    <col min="13571" max="13571" width="15.69921875" style="2" customWidth="1"/>
    <col min="13572" max="13572" width="1.3984375" style="2" customWidth="1"/>
    <col min="13573" max="13573" width="8.8984375" style="2" customWidth="1"/>
    <col min="13574" max="13574" width="18.8984375" style="2" customWidth="1"/>
    <col min="13575" max="13816" width="11.3984375" style="2"/>
    <col min="13817" max="13817" width="3.69921875" style="2" bestFit="1" customWidth="1"/>
    <col min="13818" max="13818" width="19.3984375" style="2" customWidth="1"/>
    <col min="13819" max="13819" width="0" style="2" hidden="1" customWidth="1"/>
    <col min="13820" max="13820" width="2" style="2" customWidth="1"/>
    <col min="13821" max="13821" width="4.09765625" style="2" customWidth="1"/>
    <col min="13822" max="13822" width="13.3984375" style="2" customWidth="1"/>
    <col min="13823" max="13823" width="8.69921875" style="2" customWidth="1"/>
    <col min="13824" max="13825" width="20.3984375" style="2" customWidth="1"/>
    <col min="13826" max="13826" width="1.8984375" style="2" customWidth="1"/>
    <col min="13827" max="13827" width="15.69921875" style="2" customWidth="1"/>
    <col min="13828" max="13828" width="1.3984375" style="2" customWidth="1"/>
    <col min="13829" max="13829" width="8.8984375" style="2" customWidth="1"/>
    <col min="13830" max="13830" width="18.8984375" style="2" customWidth="1"/>
    <col min="13831" max="14072" width="11.3984375" style="2"/>
    <col min="14073" max="14073" width="3.69921875" style="2" bestFit="1" customWidth="1"/>
    <col min="14074" max="14074" width="19.3984375" style="2" customWidth="1"/>
    <col min="14075" max="14075" width="0" style="2" hidden="1" customWidth="1"/>
    <col min="14076" max="14076" width="2" style="2" customWidth="1"/>
    <col min="14077" max="14077" width="4.09765625" style="2" customWidth="1"/>
    <col min="14078" max="14078" width="13.3984375" style="2" customWidth="1"/>
    <col min="14079" max="14079" width="8.69921875" style="2" customWidth="1"/>
    <col min="14080" max="14081" width="20.3984375" style="2" customWidth="1"/>
    <col min="14082" max="14082" width="1.8984375" style="2" customWidth="1"/>
    <col min="14083" max="14083" width="15.69921875" style="2" customWidth="1"/>
    <col min="14084" max="14084" width="1.3984375" style="2" customWidth="1"/>
    <col min="14085" max="14085" width="8.8984375" style="2" customWidth="1"/>
    <col min="14086" max="14086" width="18.8984375" style="2" customWidth="1"/>
    <col min="14087" max="14328" width="11.3984375" style="2"/>
    <col min="14329" max="14329" width="3.69921875" style="2" bestFit="1" customWidth="1"/>
    <col min="14330" max="14330" width="19.3984375" style="2" customWidth="1"/>
    <col min="14331" max="14331" width="0" style="2" hidden="1" customWidth="1"/>
    <col min="14332" max="14332" width="2" style="2" customWidth="1"/>
    <col min="14333" max="14333" width="4.09765625" style="2" customWidth="1"/>
    <col min="14334" max="14334" width="13.3984375" style="2" customWidth="1"/>
    <col min="14335" max="14335" width="8.69921875" style="2" customWidth="1"/>
    <col min="14336" max="14337" width="20.3984375" style="2" customWidth="1"/>
    <col min="14338" max="14338" width="1.8984375" style="2" customWidth="1"/>
    <col min="14339" max="14339" width="15.69921875" style="2" customWidth="1"/>
    <col min="14340" max="14340" width="1.3984375" style="2" customWidth="1"/>
    <col min="14341" max="14341" width="8.8984375" style="2" customWidth="1"/>
    <col min="14342" max="14342" width="18.8984375" style="2" customWidth="1"/>
    <col min="14343" max="14584" width="11.3984375" style="2"/>
    <col min="14585" max="14585" width="3.69921875" style="2" bestFit="1" customWidth="1"/>
    <col min="14586" max="14586" width="19.3984375" style="2" customWidth="1"/>
    <col min="14587" max="14587" width="0" style="2" hidden="1" customWidth="1"/>
    <col min="14588" max="14588" width="2" style="2" customWidth="1"/>
    <col min="14589" max="14589" width="4.09765625" style="2" customWidth="1"/>
    <col min="14590" max="14590" width="13.3984375" style="2" customWidth="1"/>
    <col min="14591" max="14591" width="8.69921875" style="2" customWidth="1"/>
    <col min="14592" max="14593" width="20.3984375" style="2" customWidth="1"/>
    <col min="14594" max="14594" width="1.8984375" style="2" customWidth="1"/>
    <col min="14595" max="14595" width="15.69921875" style="2" customWidth="1"/>
    <col min="14596" max="14596" width="1.3984375" style="2" customWidth="1"/>
    <col min="14597" max="14597" width="8.8984375" style="2" customWidth="1"/>
    <col min="14598" max="14598" width="18.8984375" style="2" customWidth="1"/>
    <col min="14599" max="14840" width="11.3984375" style="2"/>
    <col min="14841" max="14841" width="3.69921875" style="2" bestFit="1" customWidth="1"/>
    <col min="14842" max="14842" width="19.3984375" style="2" customWidth="1"/>
    <col min="14843" max="14843" width="0" style="2" hidden="1" customWidth="1"/>
    <col min="14844" max="14844" width="2" style="2" customWidth="1"/>
    <col min="14845" max="14845" width="4.09765625" style="2" customWidth="1"/>
    <col min="14846" max="14846" width="13.3984375" style="2" customWidth="1"/>
    <col min="14847" max="14847" width="8.69921875" style="2" customWidth="1"/>
    <col min="14848" max="14849" width="20.3984375" style="2" customWidth="1"/>
    <col min="14850" max="14850" width="1.8984375" style="2" customWidth="1"/>
    <col min="14851" max="14851" width="15.69921875" style="2" customWidth="1"/>
    <col min="14852" max="14852" width="1.3984375" style="2" customWidth="1"/>
    <col min="14853" max="14853" width="8.8984375" style="2" customWidth="1"/>
    <col min="14854" max="14854" width="18.8984375" style="2" customWidth="1"/>
    <col min="14855" max="15096" width="11.3984375" style="2"/>
    <col min="15097" max="15097" width="3.69921875" style="2" bestFit="1" customWidth="1"/>
    <col min="15098" max="15098" width="19.3984375" style="2" customWidth="1"/>
    <col min="15099" max="15099" width="0" style="2" hidden="1" customWidth="1"/>
    <col min="15100" max="15100" width="2" style="2" customWidth="1"/>
    <col min="15101" max="15101" width="4.09765625" style="2" customWidth="1"/>
    <col min="15102" max="15102" width="13.3984375" style="2" customWidth="1"/>
    <col min="15103" max="15103" width="8.69921875" style="2" customWidth="1"/>
    <col min="15104" max="15105" width="20.3984375" style="2" customWidth="1"/>
    <col min="15106" max="15106" width="1.8984375" style="2" customWidth="1"/>
    <col min="15107" max="15107" width="15.69921875" style="2" customWidth="1"/>
    <col min="15108" max="15108" width="1.3984375" style="2" customWidth="1"/>
    <col min="15109" max="15109" width="8.8984375" style="2" customWidth="1"/>
    <col min="15110" max="15110" width="18.8984375" style="2" customWidth="1"/>
    <col min="15111" max="15352" width="11.3984375" style="2"/>
    <col min="15353" max="15353" width="3.69921875" style="2" bestFit="1" customWidth="1"/>
    <col min="15354" max="15354" width="19.3984375" style="2" customWidth="1"/>
    <col min="15355" max="15355" width="0" style="2" hidden="1" customWidth="1"/>
    <col min="15356" max="15356" width="2" style="2" customWidth="1"/>
    <col min="15357" max="15357" width="4.09765625" style="2" customWidth="1"/>
    <col min="15358" max="15358" width="13.3984375" style="2" customWidth="1"/>
    <col min="15359" max="15359" width="8.69921875" style="2" customWidth="1"/>
    <col min="15360" max="15361" width="20.3984375" style="2" customWidth="1"/>
    <col min="15362" max="15362" width="1.8984375" style="2" customWidth="1"/>
    <col min="15363" max="15363" width="15.69921875" style="2" customWidth="1"/>
    <col min="15364" max="15364" width="1.3984375" style="2" customWidth="1"/>
    <col min="15365" max="15365" width="8.8984375" style="2" customWidth="1"/>
    <col min="15366" max="15366" width="18.8984375" style="2" customWidth="1"/>
    <col min="15367" max="15608" width="11.3984375" style="2"/>
    <col min="15609" max="15609" width="3.69921875" style="2" bestFit="1" customWidth="1"/>
    <col min="15610" max="15610" width="19.3984375" style="2" customWidth="1"/>
    <col min="15611" max="15611" width="0" style="2" hidden="1" customWidth="1"/>
    <col min="15612" max="15612" width="2" style="2" customWidth="1"/>
    <col min="15613" max="15613" width="4.09765625" style="2" customWidth="1"/>
    <col min="15614" max="15614" width="13.3984375" style="2" customWidth="1"/>
    <col min="15615" max="15615" width="8.69921875" style="2" customWidth="1"/>
    <col min="15616" max="15617" width="20.3984375" style="2" customWidth="1"/>
    <col min="15618" max="15618" width="1.8984375" style="2" customWidth="1"/>
    <col min="15619" max="15619" width="15.69921875" style="2" customWidth="1"/>
    <col min="15620" max="15620" width="1.3984375" style="2" customWidth="1"/>
    <col min="15621" max="15621" width="8.8984375" style="2" customWidth="1"/>
    <col min="15622" max="15622" width="18.8984375" style="2" customWidth="1"/>
    <col min="15623" max="15864" width="11.3984375" style="2"/>
    <col min="15865" max="15865" width="3.69921875" style="2" bestFit="1" customWidth="1"/>
    <col min="15866" max="15866" width="19.3984375" style="2" customWidth="1"/>
    <col min="15867" max="15867" width="0" style="2" hidden="1" customWidth="1"/>
    <col min="15868" max="15868" width="2" style="2" customWidth="1"/>
    <col min="15869" max="15869" width="4.09765625" style="2" customWidth="1"/>
    <col min="15870" max="15870" width="13.3984375" style="2" customWidth="1"/>
    <col min="15871" max="15871" width="8.69921875" style="2" customWidth="1"/>
    <col min="15872" max="15873" width="20.3984375" style="2" customWidth="1"/>
    <col min="15874" max="15874" width="1.8984375" style="2" customWidth="1"/>
    <col min="15875" max="15875" width="15.69921875" style="2" customWidth="1"/>
    <col min="15876" max="15876" width="1.3984375" style="2" customWidth="1"/>
    <col min="15877" max="15877" width="8.8984375" style="2" customWidth="1"/>
    <col min="15878" max="15878" width="18.8984375" style="2" customWidth="1"/>
    <col min="15879" max="16120" width="11.3984375" style="2"/>
    <col min="16121" max="16121" width="3.69921875" style="2" bestFit="1" customWidth="1"/>
    <col min="16122" max="16122" width="19.3984375" style="2" customWidth="1"/>
    <col min="16123" max="16123" width="0" style="2" hidden="1" customWidth="1"/>
    <col min="16124" max="16124" width="2" style="2" customWidth="1"/>
    <col min="16125" max="16125" width="4.09765625" style="2" customWidth="1"/>
    <col min="16126" max="16126" width="13.3984375" style="2" customWidth="1"/>
    <col min="16127" max="16127" width="8.69921875" style="2" customWidth="1"/>
    <col min="16128" max="16129" width="20.3984375" style="2" customWidth="1"/>
    <col min="16130" max="16130" width="1.8984375" style="2" customWidth="1"/>
    <col min="16131" max="16131" width="15.69921875" style="2" customWidth="1"/>
    <col min="16132" max="16132" width="1.3984375" style="2" customWidth="1"/>
    <col min="16133" max="16133" width="8.8984375" style="2" customWidth="1"/>
    <col min="16134" max="16134" width="18.8984375" style="2" customWidth="1"/>
    <col min="16135" max="16384" width="11.3984375" style="2"/>
  </cols>
  <sheetData>
    <row r="1" spans="2:16" ht="42.75" customHeight="1" x14ac:dyDescent="0.6">
      <c r="D1" s="171" t="s">
        <v>0</v>
      </c>
      <c r="E1" s="171"/>
      <c r="F1" s="171"/>
      <c r="G1" s="171"/>
      <c r="H1" s="171"/>
      <c r="I1" s="171"/>
    </row>
    <row r="2" spans="2:16" ht="38.950000000000003" customHeight="1" x14ac:dyDescent="0.6">
      <c r="C2" s="2"/>
      <c r="D2" s="171" t="s">
        <v>1</v>
      </c>
      <c r="E2" s="171"/>
      <c r="F2" s="171"/>
      <c r="G2" s="171"/>
      <c r="H2" s="171"/>
      <c r="I2" s="171"/>
    </row>
    <row r="3" spans="2:16" ht="24.05" customHeight="1" x14ac:dyDescent="0.55000000000000004">
      <c r="E3" s="4"/>
      <c r="G3" s="24"/>
      <c r="H3" s="32" t="s">
        <v>2</v>
      </c>
      <c r="I3" s="27" t="s">
        <v>66</v>
      </c>
    </row>
    <row r="4" spans="2:16" ht="17.75" x14ac:dyDescent="0.45">
      <c r="C4" s="165" t="s">
        <v>4</v>
      </c>
      <c r="D4" s="165"/>
      <c r="E4" s="165"/>
      <c r="F4" s="58"/>
      <c r="G4" s="7"/>
      <c r="H4" s="31"/>
    </row>
    <row r="5" spans="2:16" ht="17.75" x14ac:dyDescent="0.45">
      <c r="C5" s="25" t="s">
        <v>5</v>
      </c>
      <c r="D5" s="25"/>
      <c r="E5" s="25"/>
      <c r="F5" s="36"/>
      <c r="G5" s="7"/>
      <c r="H5" s="31"/>
    </row>
    <row r="6" spans="2:16" ht="17.75" x14ac:dyDescent="0.45">
      <c r="C6" s="165" t="s">
        <v>6</v>
      </c>
      <c r="D6" s="165"/>
      <c r="E6" s="165"/>
      <c r="F6" s="35">
        <v>0</v>
      </c>
      <c r="G6" s="7"/>
    </row>
    <row r="7" spans="2:16" ht="17.75" x14ac:dyDescent="0.45">
      <c r="C7" s="172" t="s">
        <v>7</v>
      </c>
      <c r="D7" s="172"/>
      <c r="E7" s="172"/>
      <c r="F7" s="35"/>
      <c r="G7" s="7"/>
      <c r="H7" s="26"/>
    </row>
    <row r="8" spans="2:16" ht="17.75" x14ac:dyDescent="0.45">
      <c r="C8" s="173" t="s">
        <v>8</v>
      </c>
      <c r="D8" s="173"/>
      <c r="E8" s="173"/>
      <c r="F8" s="38">
        <f>+H26</f>
        <v>90688</v>
      </c>
      <c r="G8" s="7"/>
      <c r="H8" s="29" t="s">
        <v>9</v>
      </c>
      <c r="I8" s="36">
        <f>F7-F8</f>
        <v>-90688</v>
      </c>
    </row>
    <row r="9" spans="2:16" s="1" customFormat="1" ht="24.2" x14ac:dyDescent="0.6">
      <c r="F9" s="10"/>
      <c r="G9" s="11"/>
      <c r="H9" s="9"/>
    </row>
    <row r="10" spans="2:16" s="9" customFormat="1" ht="88.7" x14ac:dyDescent="0.45">
      <c r="B10" s="13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30" t="s">
        <v>15</v>
      </c>
      <c r="H10" s="14" t="s">
        <v>16</v>
      </c>
      <c r="I10" s="34" t="s">
        <v>17</v>
      </c>
      <c r="J10" s="12"/>
      <c r="K10" s="12"/>
      <c r="L10" s="12"/>
      <c r="M10" s="12"/>
      <c r="N10" s="12"/>
      <c r="O10" s="12"/>
      <c r="P10" s="12"/>
    </row>
    <row r="11" spans="2:16" ht="17.2" x14ac:dyDescent="0.45">
      <c r="B11" s="15">
        <v>1</v>
      </c>
      <c r="C11" s="39">
        <v>46028</v>
      </c>
      <c r="D11" s="39" t="s">
        <v>25</v>
      </c>
      <c r="E11" s="40">
        <v>813566322</v>
      </c>
      <c r="F11" s="41"/>
      <c r="G11" s="42" t="s">
        <v>43</v>
      </c>
      <c r="H11" s="44">
        <v>3960</v>
      </c>
      <c r="I11" s="43"/>
      <c r="J11" s="12"/>
      <c r="K11" s="12"/>
      <c r="L11" s="12"/>
      <c r="M11" s="12"/>
      <c r="N11" s="12"/>
      <c r="O11" s="12"/>
      <c r="P11" s="12"/>
    </row>
    <row r="12" spans="2:16" ht="17.2" x14ac:dyDescent="0.45">
      <c r="B12" s="59">
        <v>2</v>
      </c>
      <c r="C12" s="39">
        <v>46027</v>
      </c>
      <c r="D12" s="39" t="s">
        <v>181</v>
      </c>
      <c r="E12" s="40">
        <v>18717330131</v>
      </c>
      <c r="F12" s="60"/>
      <c r="G12" s="42" t="s">
        <v>182</v>
      </c>
      <c r="H12" s="44">
        <v>10000</v>
      </c>
      <c r="I12" s="46"/>
      <c r="J12" s="12"/>
      <c r="K12" s="12"/>
      <c r="L12" s="12"/>
      <c r="M12" s="12"/>
      <c r="N12" s="12"/>
      <c r="O12" s="12"/>
      <c r="P12" s="12"/>
    </row>
    <row r="13" spans="2:16" ht="17.2" x14ac:dyDescent="0.45">
      <c r="B13" s="15">
        <v>3</v>
      </c>
      <c r="C13" s="39">
        <v>46029</v>
      </c>
      <c r="D13" s="39" t="s">
        <v>145</v>
      </c>
      <c r="E13" s="40" t="s">
        <v>125</v>
      </c>
      <c r="F13" s="41"/>
      <c r="G13" s="42" t="s">
        <v>183</v>
      </c>
      <c r="H13" s="44">
        <v>4793</v>
      </c>
      <c r="I13" s="43"/>
      <c r="J13" s="12"/>
      <c r="K13" s="12"/>
      <c r="L13" s="12"/>
      <c r="M13" s="12"/>
      <c r="N13" s="12"/>
      <c r="O13" s="12"/>
      <c r="P13" s="12"/>
    </row>
    <row r="14" spans="2:16" ht="17.2" x14ac:dyDescent="0.45">
      <c r="B14" s="15">
        <v>4</v>
      </c>
      <c r="C14" s="39">
        <v>46029</v>
      </c>
      <c r="D14" s="39" t="s">
        <v>145</v>
      </c>
      <c r="E14" s="40" t="s">
        <v>125</v>
      </c>
      <c r="F14" s="41"/>
      <c r="G14" s="42" t="s">
        <v>184</v>
      </c>
      <c r="H14" s="44">
        <v>6314</v>
      </c>
      <c r="I14" s="43"/>
      <c r="J14" s="12"/>
      <c r="K14" s="12"/>
      <c r="L14" s="12"/>
      <c r="M14" s="12"/>
      <c r="N14" s="12"/>
      <c r="O14" s="12"/>
      <c r="P14" s="12"/>
    </row>
    <row r="15" spans="2:16" ht="17.2" x14ac:dyDescent="0.45">
      <c r="B15" s="15">
        <v>5</v>
      </c>
      <c r="C15" s="39">
        <v>46029</v>
      </c>
      <c r="D15" s="39" t="s">
        <v>25</v>
      </c>
      <c r="E15" s="164">
        <v>597034144697</v>
      </c>
      <c r="F15" s="41"/>
      <c r="G15" s="42" t="s">
        <v>185</v>
      </c>
      <c r="H15" s="44">
        <v>2000</v>
      </c>
      <c r="I15" s="43"/>
      <c r="J15" s="12"/>
      <c r="K15" s="12"/>
      <c r="L15" s="12"/>
      <c r="M15" s="12"/>
      <c r="N15" s="12"/>
      <c r="O15" s="12"/>
      <c r="P15" s="12"/>
    </row>
    <row r="16" spans="2:16" ht="16.55" customHeight="1" x14ac:dyDescent="0.45">
      <c r="B16" s="15">
        <v>6</v>
      </c>
      <c r="C16" s="39">
        <v>46033</v>
      </c>
      <c r="D16" s="39" t="s">
        <v>181</v>
      </c>
      <c r="E16" s="40" t="s">
        <v>186</v>
      </c>
      <c r="F16" s="41"/>
      <c r="G16" s="42" t="s">
        <v>187</v>
      </c>
      <c r="H16" s="44">
        <v>8500</v>
      </c>
      <c r="I16" s="43"/>
      <c r="J16" s="12"/>
      <c r="K16" s="12"/>
      <c r="L16" s="12"/>
      <c r="M16" s="12"/>
      <c r="N16" s="12"/>
      <c r="O16" s="12"/>
      <c r="P16" s="12"/>
    </row>
    <row r="17" spans="2:16" ht="17.2" x14ac:dyDescent="0.45">
      <c r="B17" s="15">
        <v>7</v>
      </c>
      <c r="C17" s="39">
        <v>46033</v>
      </c>
      <c r="D17" s="39" t="s">
        <v>145</v>
      </c>
      <c r="E17" s="40" t="s">
        <v>125</v>
      </c>
      <c r="F17" s="41"/>
      <c r="G17" s="42" t="s">
        <v>188</v>
      </c>
      <c r="H17" s="44">
        <v>2748</v>
      </c>
      <c r="I17" s="43"/>
      <c r="J17" s="12"/>
      <c r="K17" s="12"/>
      <c r="L17" s="12"/>
      <c r="M17" s="12"/>
      <c r="N17" s="12"/>
      <c r="O17" s="12"/>
      <c r="P17" s="12"/>
    </row>
    <row r="18" spans="2:16" ht="17.2" x14ac:dyDescent="0.45">
      <c r="B18" s="15">
        <v>8</v>
      </c>
      <c r="C18" s="39">
        <v>46040</v>
      </c>
      <c r="D18" s="39" t="s">
        <v>25</v>
      </c>
      <c r="E18" s="40">
        <v>1957655</v>
      </c>
      <c r="F18" s="41"/>
      <c r="G18" s="42" t="s">
        <v>49</v>
      </c>
      <c r="H18" s="44">
        <v>2680</v>
      </c>
      <c r="I18" s="43"/>
      <c r="J18" s="12"/>
      <c r="K18" s="12"/>
      <c r="L18" s="12"/>
      <c r="M18" s="12"/>
      <c r="N18" s="12"/>
      <c r="O18" s="12"/>
      <c r="P18" s="12"/>
    </row>
    <row r="19" spans="2:16" ht="17.2" x14ac:dyDescent="0.45">
      <c r="B19" s="15">
        <v>9</v>
      </c>
      <c r="C19" s="39">
        <v>46046</v>
      </c>
      <c r="D19" s="39" t="s">
        <v>25</v>
      </c>
      <c r="E19" s="40">
        <v>129925</v>
      </c>
      <c r="F19" s="41"/>
      <c r="G19" s="42" t="s">
        <v>189</v>
      </c>
      <c r="H19" s="44">
        <v>4000</v>
      </c>
      <c r="I19" s="43"/>
      <c r="J19" s="12"/>
      <c r="K19" s="12"/>
      <c r="L19" s="12"/>
      <c r="M19" s="12"/>
      <c r="N19" s="12"/>
      <c r="O19" s="12"/>
      <c r="P19" s="12"/>
    </row>
    <row r="20" spans="2:16" ht="17.2" x14ac:dyDescent="0.45">
      <c r="B20" s="15">
        <v>10</v>
      </c>
      <c r="C20" s="39">
        <v>46046</v>
      </c>
      <c r="D20" s="39" t="s">
        <v>25</v>
      </c>
      <c r="E20" s="40">
        <v>56716</v>
      </c>
      <c r="F20" s="41"/>
      <c r="G20" s="42" t="s">
        <v>190</v>
      </c>
      <c r="H20" s="44">
        <v>5000</v>
      </c>
      <c r="I20" s="43"/>
      <c r="J20" s="12"/>
      <c r="K20" s="12"/>
      <c r="L20" s="12"/>
      <c r="M20" s="12"/>
      <c r="N20" s="12"/>
      <c r="O20" s="12"/>
      <c r="P20" s="12"/>
    </row>
    <row r="21" spans="2:16" ht="17.2" x14ac:dyDescent="0.45">
      <c r="B21" s="15">
        <v>11</v>
      </c>
      <c r="C21" s="39">
        <v>46048</v>
      </c>
      <c r="D21" s="39" t="s">
        <v>25</v>
      </c>
      <c r="E21" s="40">
        <v>6252</v>
      </c>
      <c r="F21" s="41"/>
      <c r="G21" s="42" t="s">
        <v>129</v>
      </c>
      <c r="H21" s="44">
        <v>6000</v>
      </c>
      <c r="I21" s="43"/>
    </row>
    <row r="22" spans="2:16" ht="17.2" x14ac:dyDescent="0.45">
      <c r="B22" s="15">
        <v>12</v>
      </c>
      <c r="C22" s="39">
        <v>46049</v>
      </c>
      <c r="D22" s="39" t="s">
        <v>71</v>
      </c>
      <c r="E22" s="40">
        <v>59</v>
      </c>
      <c r="F22" s="41"/>
      <c r="G22" s="42" t="s">
        <v>132</v>
      </c>
      <c r="H22" s="44">
        <v>34693</v>
      </c>
      <c r="I22" s="43"/>
    </row>
    <row r="23" spans="2:16" ht="17.2" x14ac:dyDescent="0.45">
      <c r="B23" s="15">
        <v>13</v>
      </c>
      <c r="C23" s="39"/>
      <c r="D23" s="39"/>
      <c r="E23" s="40"/>
      <c r="F23" s="41"/>
      <c r="G23" s="42"/>
      <c r="H23" s="44"/>
      <c r="I23" s="43"/>
    </row>
    <row r="24" spans="2:16" ht="17.2" x14ac:dyDescent="0.45">
      <c r="B24" s="15">
        <v>14</v>
      </c>
      <c r="C24" s="39"/>
      <c r="D24" s="39"/>
      <c r="E24" s="40"/>
      <c r="F24" s="41"/>
      <c r="G24" s="42"/>
      <c r="H24" s="44"/>
      <c r="I24" s="43"/>
    </row>
    <row r="25" spans="2:16" ht="17.2" x14ac:dyDescent="0.45">
      <c r="B25" s="15">
        <v>15</v>
      </c>
      <c r="C25" s="39"/>
      <c r="D25" s="39"/>
      <c r="E25" s="40"/>
      <c r="F25" s="41"/>
      <c r="G25" s="42"/>
      <c r="H25" s="44"/>
      <c r="I25" s="43"/>
    </row>
    <row r="26" spans="2:16" s="12" customFormat="1" ht="17.75" x14ac:dyDescent="0.45">
      <c r="C26" s="16" t="s">
        <v>23</v>
      </c>
      <c r="D26" s="33"/>
      <c r="E26" s="17"/>
      <c r="F26" s="17"/>
      <c r="G26" s="17"/>
      <c r="H26" s="45">
        <f>SUM(H11:H25)</f>
        <v>90688</v>
      </c>
    </row>
    <row r="27" spans="2:16" s="12" customFormat="1" ht="17.75" x14ac:dyDescent="0.45">
      <c r="C27" s="18"/>
      <c r="D27" s="18"/>
      <c r="E27" s="19"/>
      <c r="F27" s="19"/>
      <c r="G27" s="19"/>
      <c r="H27" s="20"/>
    </row>
    <row r="28" spans="2:16" s="12" customFormat="1" ht="17.75" x14ac:dyDescent="0.45">
      <c r="C28" s="21"/>
      <c r="D28" s="21"/>
      <c r="E28" s="22"/>
      <c r="F28" s="22"/>
      <c r="G28" s="22"/>
      <c r="H28" s="8"/>
    </row>
    <row r="29" spans="2:16" ht="17.75" x14ac:dyDescent="0.45">
      <c r="C29" s="165"/>
      <c r="D29" s="165"/>
      <c r="E29" s="166"/>
      <c r="F29" s="167"/>
      <c r="G29" s="168"/>
    </row>
    <row r="30" spans="2:16" ht="17.75" x14ac:dyDescent="0.45">
      <c r="C30" s="169"/>
      <c r="D30" s="169"/>
      <c r="E30" s="170"/>
      <c r="F30" s="37"/>
      <c r="G30" s="12"/>
      <c r="H30" s="28"/>
    </row>
    <row r="31" spans="2:16" s="12" customFormat="1" ht="17.75" x14ac:dyDescent="0.45">
      <c r="C31" s="21"/>
      <c r="D31" s="21"/>
      <c r="E31" s="22"/>
      <c r="F31" s="22"/>
      <c r="G31" s="12" t="s">
        <v>81</v>
      </c>
      <c r="H31" s="8"/>
    </row>
    <row r="32" spans="2:16" s="12" customFormat="1" ht="17.75" x14ac:dyDescent="0.45">
      <c r="C32" s="21"/>
      <c r="D32" s="21"/>
      <c r="E32" s="22"/>
      <c r="F32" s="22"/>
      <c r="G32" s="12" t="s">
        <v>82</v>
      </c>
      <c r="H32" s="8"/>
    </row>
    <row r="33" spans="3:8" s="12" customFormat="1" ht="17.75" x14ac:dyDescent="0.45">
      <c r="C33" s="21"/>
      <c r="D33" s="21"/>
      <c r="E33" s="22"/>
      <c r="F33" s="22"/>
      <c r="G33" s="22"/>
      <c r="H33" s="8"/>
    </row>
    <row r="34" spans="3:8" s="12" customFormat="1" ht="17.75" x14ac:dyDescent="0.45">
      <c r="C34" s="21"/>
      <c r="D34" s="21"/>
      <c r="E34" s="22"/>
      <c r="F34" s="22"/>
      <c r="G34" s="22"/>
      <c r="H34" s="8"/>
    </row>
    <row r="35" spans="3:8" s="12" customFormat="1" ht="17.75" x14ac:dyDescent="0.45">
      <c r="C35" s="21"/>
      <c r="D35" s="21"/>
      <c r="E35" s="22"/>
      <c r="F35" s="22"/>
      <c r="G35" s="22"/>
      <c r="H35" s="8"/>
    </row>
    <row r="36" spans="3:8" s="12" customFormat="1" ht="17.75" x14ac:dyDescent="0.45">
      <c r="C36" s="21"/>
      <c r="D36" s="21"/>
      <c r="E36" s="22"/>
      <c r="F36" s="22"/>
      <c r="G36" s="22"/>
      <c r="H36" s="8"/>
    </row>
    <row r="37" spans="3:8" s="12" customFormat="1" ht="17.75" x14ac:dyDescent="0.45">
      <c r="C37" s="21"/>
      <c r="D37" s="21"/>
      <c r="E37" s="22"/>
      <c r="F37" s="22"/>
      <c r="G37" s="22"/>
      <c r="H37" s="8"/>
    </row>
    <row r="38" spans="3:8" s="12" customFormat="1" ht="17.75" x14ac:dyDescent="0.45">
      <c r="C38" s="21"/>
      <c r="D38" s="21"/>
      <c r="E38" s="22"/>
      <c r="F38" s="22"/>
      <c r="G38" s="22"/>
      <c r="H38" s="8"/>
    </row>
    <row r="39" spans="3:8" s="12" customFormat="1" ht="17.75" x14ac:dyDescent="0.45">
      <c r="C39" s="21"/>
      <c r="D39" s="21"/>
      <c r="E39" s="22"/>
      <c r="F39" s="22"/>
      <c r="G39" s="22"/>
      <c r="H39" s="8"/>
    </row>
    <row r="40" spans="3:8" s="12" customFormat="1" ht="17.75" x14ac:dyDescent="0.45">
      <c r="C40" s="21"/>
      <c r="D40" s="21"/>
      <c r="E40" s="22"/>
      <c r="F40" s="22"/>
      <c r="G40" s="22"/>
      <c r="H40" s="8"/>
    </row>
    <row r="41" spans="3:8" s="12" customFormat="1" ht="17.75" x14ac:dyDescent="0.45">
      <c r="C41" s="21"/>
      <c r="D41" s="21"/>
      <c r="E41" s="22"/>
      <c r="F41" s="22"/>
      <c r="G41" s="22"/>
      <c r="H41" s="8"/>
    </row>
    <row r="42" spans="3:8" s="12" customFormat="1" ht="17.75" x14ac:dyDescent="0.45">
      <c r="C42" s="21"/>
      <c r="D42" s="21"/>
      <c r="E42" s="22"/>
      <c r="F42" s="22"/>
      <c r="G42" s="22"/>
      <c r="H42" s="8"/>
    </row>
    <row r="43" spans="3:8" s="12" customFormat="1" ht="17.75" x14ac:dyDescent="0.45">
      <c r="C43" s="21"/>
      <c r="D43" s="21"/>
      <c r="E43" s="22"/>
      <c r="F43" s="22"/>
      <c r="G43" s="22"/>
      <c r="H43" s="8"/>
    </row>
    <row r="44" spans="3:8" s="12" customFormat="1" ht="17.75" x14ac:dyDescent="0.45">
      <c r="C44" s="21"/>
      <c r="D44" s="21"/>
      <c r="E44" s="22"/>
      <c r="F44" s="22"/>
      <c r="G44" s="22"/>
      <c r="H44" s="8"/>
    </row>
  </sheetData>
  <mergeCells count="9">
    <mergeCell ref="C29:E29"/>
    <mergeCell ref="F29:G29"/>
    <mergeCell ref="C30:E30"/>
    <mergeCell ref="D1:I1"/>
    <mergeCell ref="D2:I2"/>
    <mergeCell ref="C4:E4"/>
    <mergeCell ref="C6:E6"/>
    <mergeCell ref="C7:E7"/>
    <mergeCell ref="C8:E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O44"/>
  <sheetViews>
    <sheetView zoomScale="90" zoomScaleNormal="90" workbookViewId="0">
      <selection activeCell="F9" sqref="F9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50.69921875" style="6" customWidth="1"/>
    <col min="7" max="7" width="19.3984375" style="2" customWidth="1"/>
    <col min="8" max="8" width="20.8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79</v>
      </c>
    </row>
    <row r="4" spans="1:15" ht="17.75" x14ac:dyDescent="0.45">
      <c r="B4" s="165" t="s">
        <v>4</v>
      </c>
      <c r="C4" s="165"/>
      <c r="D4" s="165"/>
      <c r="E4" s="58">
        <f>+'ENERO 25'!I8</f>
        <v>-90688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84854</v>
      </c>
      <c r="F5" s="7"/>
      <c r="G5" s="31"/>
    </row>
    <row r="6" spans="1:15" ht="17.75" x14ac:dyDescent="0.45">
      <c r="B6" s="165" t="s">
        <v>6</v>
      </c>
      <c r="C6" s="165"/>
      <c r="D6" s="165"/>
      <c r="E6" s="35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-5834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+G26</f>
        <v>83594</v>
      </c>
      <c r="F8" s="7"/>
      <c r="G8" s="29" t="s">
        <v>9</v>
      </c>
      <c r="H8" s="36">
        <f>E7-E8</f>
        <v>-89428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45691</v>
      </c>
      <c r="C11" s="39" t="s">
        <v>88</v>
      </c>
      <c r="D11" s="40"/>
      <c r="E11" s="41"/>
      <c r="F11" s="42" t="s">
        <v>21</v>
      </c>
      <c r="G11" s="44">
        <v>6000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39">
        <v>45696</v>
      </c>
      <c r="C12" s="39" t="s">
        <v>88</v>
      </c>
      <c r="D12" s="40"/>
      <c r="E12" s="60"/>
      <c r="F12" s="42" t="s">
        <v>90</v>
      </c>
      <c r="G12" s="44">
        <v>9150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45696</v>
      </c>
      <c r="C13" s="39" t="s">
        <v>88</v>
      </c>
      <c r="D13" s="40"/>
      <c r="E13" s="41"/>
      <c r="F13" s="42" t="s">
        <v>86</v>
      </c>
      <c r="G13" s="44">
        <v>5700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45696</v>
      </c>
      <c r="C14" s="39" t="s">
        <v>88</v>
      </c>
      <c r="D14" s="40"/>
      <c r="E14" s="41"/>
      <c r="F14" s="42" t="s">
        <v>86</v>
      </c>
      <c r="G14" s="44">
        <v>7200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45698</v>
      </c>
      <c r="C15" s="39" t="s">
        <v>25</v>
      </c>
      <c r="D15" s="40"/>
      <c r="E15" s="41"/>
      <c r="F15" s="42" t="s">
        <v>38</v>
      </c>
      <c r="G15" s="44">
        <v>18327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6</v>
      </c>
      <c r="B16" s="39">
        <v>45703</v>
      </c>
      <c r="C16" s="39" t="s">
        <v>25</v>
      </c>
      <c r="D16" s="40"/>
      <c r="E16" s="41"/>
      <c r="F16" s="42" t="s">
        <v>89</v>
      </c>
      <c r="G16" s="44">
        <v>2000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45709</v>
      </c>
      <c r="C17" s="39" t="s">
        <v>25</v>
      </c>
      <c r="D17" s="40"/>
      <c r="E17" s="41"/>
      <c r="F17" s="42" t="s">
        <v>28</v>
      </c>
      <c r="G17" s="44">
        <v>6000</v>
      </c>
      <c r="H17" s="43"/>
      <c r="I17" s="12"/>
      <c r="J17" s="12"/>
      <c r="K17" s="12"/>
      <c r="L17" s="12"/>
      <c r="M17" s="12"/>
      <c r="N17" s="12"/>
      <c r="O17" s="12"/>
    </row>
    <row r="18" spans="1:15" ht="19.5" customHeight="1" x14ac:dyDescent="0.45">
      <c r="A18" s="15">
        <v>8</v>
      </c>
      <c r="B18" s="39">
        <v>45700</v>
      </c>
      <c r="C18" s="39" t="s">
        <v>91</v>
      </c>
      <c r="D18" s="40"/>
      <c r="E18" s="41"/>
      <c r="F18" s="42" t="s">
        <v>92</v>
      </c>
      <c r="G18" s="44">
        <v>800</v>
      </c>
      <c r="H18" s="43"/>
      <c r="I18" s="12"/>
      <c r="J18" s="12"/>
      <c r="K18" s="12"/>
      <c r="L18" s="12"/>
      <c r="M18" s="12"/>
      <c r="N18" s="12"/>
      <c r="O18" s="12"/>
    </row>
    <row r="19" spans="1:15" ht="20.95" customHeight="1" x14ac:dyDescent="0.45">
      <c r="A19" s="15">
        <v>9</v>
      </c>
      <c r="B19" s="39">
        <v>45700</v>
      </c>
      <c r="C19" s="39" t="s">
        <v>91</v>
      </c>
      <c r="D19" s="40"/>
      <c r="E19" s="41"/>
      <c r="F19" s="42" t="s">
        <v>93</v>
      </c>
      <c r="G19" s="44">
        <v>800</v>
      </c>
      <c r="H19" s="43"/>
      <c r="I19" s="12"/>
      <c r="J19" s="12"/>
      <c r="K19" s="12"/>
      <c r="L19" s="12"/>
      <c r="M19" s="12"/>
      <c r="N19" s="12"/>
      <c r="O19" s="12"/>
    </row>
    <row r="20" spans="1:15" ht="19.5" customHeight="1" x14ac:dyDescent="0.45">
      <c r="A20" s="15">
        <v>10</v>
      </c>
      <c r="B20" s="39">
        <v>45703</v>
      </c>
      <c r="C20" s="39" t="s">
        <v>91</v>
      </c>
      <c r="D20" s="40"/>
      <c r="E20" s="41"/>
      <c r="F20" s="42" t="s">
        <v>94</v>
      </c>
      <c r="G20" s="44">
        <v>1500</v>
      </c>
      <c r="H20" s="43"/>
      <c r="I20" s="12"/>
      <c r="J20" s="12"/>
      <c r="K20" s="12"/>
      <c r="L20" s="12"/>
      <c r="M20" s="12"/>
      <c r="N20" s="12"/>
      <c r="O20" s="12"/>
    </row>
    <row r="21" spans="1:15" ht="19.5" customHeight="1" x14ac:dyDescent="0.45">
      <c r="A21" s="15">
        <v>11</v>
      </c>
      <c r="B21" s="39">
        <v>45703</v>
      </c>
      <c r="C21" s="39" t="s">
        <v>91</v>
      </c>
      <c r="D21" s="40"/>
      <c r="E21" s="41"/>
      <c r="F21" s="42" t="s">
        <v>94</v>
      </c>
      <c r="G21" s="44">
        <v>1500</v>
      </c>
      <c r="H21" s="43"/>
    </row>
    <row r="22" spans="1:15" ht="17.2" x14ac:dyDescent="0.45">
      <c r="A22" s="15">
        <v>12</v>
      </c>
      <c r="B22" s="39">
        <v>45706</v>
      </c>
      <c r="C22" s="39" t="s">
        <v>95</v>
      </c>
      <c r="D22" s="40"/>
      <c r="E22" s="41"/>
      <c r="F22" s="42" t="s">
        <v>100</v>
      </c>
      <c r="G22" s="44">
        <v>4497</v>
      </c>
      <c r="H22" s="43"/>
    </row>
    <row r="23" spans="1:15" ht="17.2" x14ac:dyDescent="0.45">
      <c r="A23" s="15">
        <v>13</v>
      </c>
      <c r="B23" s="39">
        <v>45708</v>
      </c>
      <c r="C23" s="39" t="s">
        <v>96</v>
      </c>
      <c r="D23" s="40"/>
      <c r="E23" s="41"/>
      <c r="F23" s="42" t="s">
        <v>97</v>
      </c>
      <c r="G23" s="44">
        <v>17500</v>
      </c>
      <c r="H23" s="43"/>
    </row>
    <row r="24" spans="1:15" ht="17.2" x14ac:dyDescent="0.45">
      <c r="A24" s="15">
        <v>14</v>
      </c>
      <c r="B24" s="39" t="s">
        <v>98</v>
      </c>
      <c r="C24" s="39" t="s">
        <v>88</v>
      </c>
      <c r="D24" s="40"/>
      <c r="E24" s="41"/>
      <c r="F24" s="42" t="s">
        <v>99</v>
      </c>
      <c r="G24" s="44">
        <v>2620</v>
      </c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83594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65"/>
      <c r="C29" s="165"/>
      <c r="D29" s="166"/>
      <c r="E29" s="167"/>
      <c r="F29" s="168"/>
    </row>
    <row r="30" spans="1:15" ht="17.75" x14ac:dyDescent="0.45">
      <c r="B30" s="169"/>
      <c r="C30" s="169"/>
      <c r="D30" s="170"/>
      <c r="E30" s="37"/>
      <c r="F30" s="12" t="s">
        <v>81</v>
      </c>
      <c r="G30" s="28"/>
    </row>
    <row r="31" spans="1:15" s="12" customFormat="1" ht="17.75" x14ac:dyDescent="0.45">
      <c r="B31" s="21"/>
      <c r="C31" s="21"/>
      <c r="D31" s="22"/>
      <c r="E31" s="22"/>
      <c r="F31" s="12" t="s">
        <v>82</v>
      </c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O48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25.3984375" style="3" customWidth="1"/>
    <col min="4" max="4" width="15.09765625" style="23" customWidth="1"/>
    <col min="5" max="5" width="14.69921875" style="5" customWidth="1"/>
    <col min="6" max="6" width="43.09765625" style="79" customWidth="1"/>
    <col min="7" max="7" width="15.296875" style="62" customWidth="1"/>
    <col min="8" max="8" width="20.8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B2" s="2"/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72"/>
      <c r="G3" s="65" t="s">
        <v>2</v>
      </c>
      <c r="H3" s="27" t="s">
        <v>80</v>
      </c>
    </row>
    <row r="4" spans="1:15" ht="17.75" x14ac:dyDescent="0.45">
      <c r="B4" s="165" t="s">
        <v>4</v>
      </c>
      <c r="C4" s="165"/>
      <c r="D4" s="165"/>
      <c r="E4" s="58">
        <f>+'FEB25'!H8</f>
        <v>-89428</v>
      </c>
      <c r="F4" s="73"/>
      <c r="G4" s="66"/>
    </row>
    <row r="5" spans="1:15" ht="17.75" x14ac:dyDescent="0.45">
      <c r="B5" s="25" t="s">
        <v>5</v>
      </c>
      <c r="C5" s="25"/>
      <c r="D5" s="25"/>
      <c r="E5" s="80">
        <v>83594</v>
      </c>
      <c r="F5" s="73"/>
      <c r="G5" s="66"/>
    </row>
    <row r="6" spans="1:15" ht="17.75" x14ac:dyDescent="0.45">
      <c r="B6" s="165" t="s">
        <v>6</v>
      </c>
      <c r="C6" s="165"/>
      <c r="D6" s="165"/>
      <c r="E6" s="81">
        <v>0</v>
      </c>
      <c r="F6" s="73"/>
    </row>
    <row r="7" spans="1:15" ht="17.75" x14ac:dyDescent="0.45">
      <c r="B7" s="172" t="s">
        <v>7</v>
      </c>
      <c r="C7" s="172"/>
      <c r="D7" s="172"/>
      <c r="E7" s="35">
        <f>SUM(E4:E6)</f>
        <v>-5834</v>
      </c>
      <c r="F7" s="73"/>
      <c r="G7" s="26"/>
    </row>
    <row r="8" spans="1:15" ht="17.75" x14ac:dyDescent="0.45">
      <c r="B8" s="173" t="s">
        <v>8</v>
      </c>
      <c r="C8" s="173"/>
      <c r="D8" s="173"/>
      <c r="E8" s="38">
        <f>+G30</f>
        <v>159038</v>
      </c>
      <c r="F8" s="73"/>
      <c r="G8" s="67" t="s">
        <v>9</v>
      </c>
      <c r="H8" s="36">
        <f>E7-E8</f>
        <v>-164872</v>
      </c>
    </row>
    <row r="9" spans="1:15" s="1" customFormat="1" ht="24.2" x14ac:dyDescent="0.6">
      <c r="E9" s="10"/>
      <c r="F9" s="74"/>
      <c r="G9" s="68"/>
    </row>
    <row r="10" spans="1:15" s="9" customFormat="1" ht="61.55" customHeight="1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69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82">
        <v>44993</v>
      </c>
      <c r="C11" s="82" t="s">
        <v>88</v>
      </c>
      <c r="D11" s="83"/>
      <c r="E11" s="84"/>
      <c r="F11" s="85" t="s">
        <v>101</v>
      </c>
      <c r="G11" s="86">
        <v>12593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82">
        <v>45724</v>
      </c>
      <c r="C12" s="82" t="s">
        <v>88</v>
      </c>
      <c r="D12" s="83"/>
      <c r="E12" s="87"/>
      <c r="F12" s="85" t="s">
        <v>101</v>
      </c>
      <c r="G12" s="86">
        <v>2050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82">
        <v>45724</v>
      </c>
      <c r="C13" s="82" t="s">
        <v>88</v>
      </c>
      <c r="D13" s="83"/>
      <c r="E13" s="84"/>
      <c r="F13" s="85" t="s">
        <v>102</v>
      </c>
      <c r="G13" s="86">
        <v>8990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82">
        <v>45724</v>
      </c>
      <c r="C14" s="82" t="s">
        <v>88</v>
      </c>
      <c r="D14" s="83"/>
      <c r="E14" s="84"/>
      <c r="F14" s="85" t="s">
        <v>114</v>
      </c>
      <c r="G14" s="86">
        <v>4100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82" t="s">
        <v>107</v>
      </c>
      <c r="C15" s="82" t="s">
        <v>88</v>
      </c>
      <c r="D15" s="83"/>
      <c r="E15" s="84"/>
      <c r="F15" s="85" t="s">
        <v>103</v>
      </c>
      <c r="G15" s="86">
        <v>1798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6</v>
      </c>
      <c r="B16" s="82">
        <v>45726</v>
      </c>
      <c r="C16" s="82" t="s">
        <v>88</v>
      </c>
      <c r="D16" s="83"/>
      <c r="E16" s="84"/>
      <c r="F16" s="85" t="s">
        <v>105</v>
      </c>
      <c r="G16" s="86">
        <v>2800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82">
        <v>45726</v>
      </c>
      <c r="C17" s="82" t="s">
        <v>88</v>
      </c>
      <c r="D17" s="83"/>
      <c r="E17" s="84"/>
      <c r="F17" s="85" t="s">
        <v>104</v>
      </c>
      <c r="G17" s="86">
        <v>3780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9</v>
      </c>
      <c r="B18" s="82">
        <v>45726</v>
      </c>
      <c r="C18" s="82" t="s">
        <v>88</v>
      </c>
      <c r="D18" s="83"/>
      <c r="E18" s="84"/>
      <c r="F18" s="85" t="s">
        <v>115</v>
      </c>
      <c r="G18" s="86">
        <v>16645</v>
      </c>
      <c r="H18" s="43"/>
      <c r="I18" s="12"/>
      <c r="J18" s="12"/>
      <c r="K18" s="12"/>
      <c r="L18" s="12"/>
      <c r="M18" s="12"/>
      <c r="N18" s="12"/>
      <c r="O18" s="12"/>
    </row>
    <row r="19" spans="1:15" s="64" customFormat="1" ht="19.5" customHeight="1" x14ac:dyDescent="0.45">
      <c r="A19" s="15">
        <v>10</v>
      </c>
      <c r="B19" s="82">
        <v>45726</v>
      </c>
      <c r="C19" s="82" t="s">
        <v>88</v>
      </c>
      <c r="D19" s="88"/>
      <c r="E19" s="89"/>
      <c r="F19" s="90" t="s">
        <v>116</v>
      </c>
      <c r="G19" s="91">
        <v>12330</v>
      </c>
      <c r="H19" s="43"/>
      <c r="I19" s="63"/>
      <c r="J19" s="63"/>
      <c r="K19" s="63"/>
      <c r="L19" s="63"/>
      <c r="M19" s="63"/>
      <c r="N19" s="63"/>
      <c r="O19" s="63"/>
    </row>
    <row r="20" spans="1:15" ht="17.2" x14ac:dyDescent="0.45">
      <c r="A20" s="15">
        <v>11</v>
      </c>
      <c r="B20" s="82">
        <v>45727</v>
      </c>
      <c r="C20" s="82" t="s">
        <v>88</v>
      </c>
      <c r="D20" s="83"/>
      <c r="E20" s="84"/>
      <c r="F20" s="85" t="s">
        <v>28</v>
      </c>
      <c r="G20" s="86">
        <v>6000</v>
      </c>
      <c r="H20" s="43"/>
    </row>
    <row r="21" spans="1:15" ht="17.2" x14ac:dyDescent="0.45">
      <c r="A21" s="15">
        <v>12</v>
      </c>
      <c r="B21" s="82" t="s">
        <v>117</v>
      </c>
      <c r="C21" s="82" t="s">
        <v>88</v>
      </c>
      <c r="D21" s="83"/>
      <c r="E21" s="84"/>
      <c r="F21" s="85" t="s">
        <v>28</v>
      </c>
      <c r="G21" s="86">
        <v>6000</v>
      </c>
      <c r="H21" s="43"/>
    </row>
    <row r="22" spans="1:15" ht="17.2" x14ac:dyDescent="0.45">
      <c r="A22" s="15">
        <v>13</v>
      </c>
      <c r="B22" s="82">
        <v>45738</v>
      </c>
      <c r="C22" s="82" t="s">
        <v>88</v>
      </c>
      <c r="D22" s="83"/>
      <c r="E22" s="84"/>
      <c r="F22" s="85" t="s">
        <v>106</v>
      </c>
      <c r="G22" s="86">
        <v>3990</v>
      </c>
      <c r="H22" s="43"/>
    </row>
    <row r="23" spans="1:15" ht="17.2" x14ac:dyDescent="0.45">
      <c r="A23" s="15">
        <v>14</v>
      </c>
      <c r="B23" s="82">
        <v>45742</v>
      </c>
      <c r="C23" s="82" t="s">
        <v>88</v>
      </c>
      <c r="D23" s="83"/>
      <c r="E23" s="84"/>
      <c r="F23" s="85" t="s">
        <v>108</v>
      </c>
      <c r="G23" s="86">
        <v>2420</v>
      </c>
      <c r="H23" s="43"/>
    </row>
    <row r="24" spans="1:15" ht="17.2" x14ac:dyDescent="0.45">
      <c r="A24" s="15">
        <v>15</v>
      </c>
      <c r="B24" s="82">
        <v>45742</v>
      </c>
      <c r="C24" s="82" t="s">
        <v>118</v>
      </c>
      <c r="D24" s="83"/>
      <c r="E24" s="84"/>
      <c r="F24" s="85" t="s">
        <v>109</v>
      </c>
      <c r="G24" s="86">
        <v>10500</v>
      </c>
      <c r="H24" s="43"/>
    </row>
    <row r="25" spans="1:15" ht="17.2" x14ac:dyDescent="0.45">
      <c r="A25" s="15">
        <v>16</v>
      </c>
      <c r="B25" s="82">
        <v>45742</v>
      </c>
      <c r="C25" s="82" t="s">
        <v>119</v>
      </c>
      <c r="D25" s="83"/>
      <c r="E25" s="84"/>
      <c r="F25" s="85" t="s">
        <v>110</v>
      </c>
      <c r="G25" s="86">
        <v>8416</v>
      </c>
      <c r="H25" s="43"/>
    </row>
    <row r="26" spans="1:15" ht="17.2" x14ac:dyDescent="0.45">
      <c r="A26" s="15">
        <v>17</v>
      </c>
      <c r="B26" s="82">
        <v>45743</v>
      </c>
      <c r="C26" s="82" t="s">
        <v>119</v>
      </c>
      <c r="D26" s="83"/>
      <c r="E26" s="84"/>
      <c r="F26" s="85" t="s">
        <v>111</v>
      </c>
      <c r="G26" s="86">
        <v>10700</v>
      </c>
      <c r="H26" s="43"/>
    </row>
    <row r="27" spans="1:15" ht="17.2" x14ac:dyDescent="0.45">
      <c r="A27" s="15">
        <v>18</v>
      </c>
      <c r="B27" s="82">
        <v>45745</v>
      </c>
      <c r="C27" s="82" t="s">
        <v>118</v>
      </c>
      <c r="D27" s="83"/>
      <c r="E27" s="84"/>
      <c r="F27" s="85" t="s">
        <v>112</v>
      </c>
      <c r="G27" s="86">
        <v>8500</v>
      </c>
      <c r="H27" s="43"/>
    </row>
    <row r="28" spans="1:15" ht="17.2" x14ac:dyDescent="0.45">
      <c r="A28" s="15">
        <v>19</v>
      </c>
      <c r="B28" s="82">
        <v>45745</v>
      </c>
      <c r="C28" s="82" t="s">
        <v>119</v>
      </c>
      <c r="D28" s="83"/>
      <c r="E28" s="84"/>
      <c r="F28" s="85" t="s">
        <v>113</v>
      </c>
      <c r="G28" s="86">
        <v>2426</v>
      </c>
      <c r="H28" s="43"/>
    </row>
    <row r="29" spans="1:15" ht="17.2" x14ac:dyDescent="0.45">
      <c r="A29" s="15">
        <v>20</v>
      </c>
      <c r="B29" s="82">
        <v>45378</v>
      </c>
      <c r="C29" s="82" t="s">
        <v>120</v>
      </c>
      <c r="D29" s="83"/>
      <c r="E29" s="84"/>
      <c r="F29" s="85" t="s">
        <v>57</v>
      </c>
      <c r="G29" s="86">
        <v>35000</v>
      </c>
      <c r="H29" s="43"/>
    </row>
    <row r="30" spans="1:15" s="12" customFormat="1" ht="17.75" x14ac:dyDescent="0.45">
      <c r="B30" s="16" t="s">
        <v>23</v>
      </c>
      <c r="C30" s="33"/>
      <c r="D30" s="17"/>
      <c r="E30" s="17"/>
      <c r="F30" s="75"/>
      <c r="G30" s="45">
        <f>SUM(G11:G29)</f>
        <v>159038</v>
      </c>
    </row>
    <row r="31" spans="1:15" s="12" customFormat="1" ht="17.75" x14ac:dyDescent="0.45">
      <c r="B31" s="18"/>
      <c r="C31" s="18"/>
      <c r="D31" s="19"/>
      <c r="E31" s="19"/>
      <c r="F31" s="76"/>
      <c r="G31" s="70"/>
    </row>
    <row r="32" spans="1:15" s="12" customFormat="1" ht="17.75" x14ac:dyDescent="0.45">
      <c r="B32" s="21"/>
      <c r="C32" s="21"/>
      <c r="D32" s="22"/>
      <c r="E32" s="22"/>
      <c r="F32" s="77"/>
      <c r="G32" s="71"/>
    </row>
    <row r="33" spans="2:7" ht="17.75" x14ac:dyDescent="0.45">
      <c r="B33" s="165"/>
      <c r="C33" s="165"/>
      <c r="D33" s="166"/>
      <c r="E33" s="167"/>
      <c r="F33" s="168"/>
    </row>
    <row r="34" spans="2:7" ht="17.75" x14ac:dyDescent="0.45">
      <c r="B34" s="169"/>
      <c r="C34" s="169"/>
      <c r="D34" s="170"/>
      <c r="E34" s="37"/>
      <c r="F34" s="78" t="s">
        <v>81</v>
      </c>
      <c r="G34" s="61"/>
    </row>
    <row r="35" spans="2:7" s="12" customFormat="1" ht="17.75" x14ac:dyDescent="0.45">
      <c r="B35" s="21"/>
      <c r="C35" s="21"/>
      <c r="D35" s="22"/>
      <c r="E35" s="22"/>
      <c r="F35" s="78" t="s">
        <v>82</v>
      </c>
      <c r="G35" s="71"/>
    </row>
    <row r="36" spans="2:7" s="12" customFormat="1" ht="17.75" x14ac:dyDescent="0.45">
      <c r="B36" s="21"/>
      <c r="C36" s="21"/>
      <c r="D36" s="22"/>
      <c r="E36" s="22"/>
      <c r="F36" s="77"/>
      <c r="G36" s="71"/>
    </row>
    <row r="37" spans="2:7" s="12" customFormat="1" ht="17.75" x14ac:dyDescent="0.45">
      <c r="B37" s="21"/>
      <c r="C37" s="21"/>
      <c r="D37" s="22"/>
      <c r="E37" s="22"/>
      <c r="F37" s="77"/>
      <c r="G37" s="71"/>
    </row>
    <row r="38" spans="2:7" s="12" customFormat="1" ht="17.75" x14ac:dyDescent="0.45">
      <c r="B38" s="21"/>
      <c r="C38" s="21"/>
      <c r="D38" s="22"/>
      <c r="E38" s="22"/>
      <c r="F38" s="77"/>
      <c r="G38" s="71"/>
    </row>
    <row r="39" spans="2:7" s="12" customFormat="1" ht="17.75" x14ac:dyDescent="0.45">
      <c r="B39" s="21"/>
      <c r="C39" s="21"/>
      <c r="D39" s="22"/>
      <c r="E39" s="22"/>
      <c r="F39" s="77"/>
      <c r="G39" s="71"/>
    </row>
    <row r="40" spans="2:7" s="12" customFormat="1" ht="17.75" x14ac:dyDescent="0.45">
      <c r="B40" s="21"/>
      <c r="C40" s="21"/>
      <c r="D40" s="22"/>
      <c r="E40" s="22"/>
      <c r="F40" s="77"/>
      <c r="G40" s="71"/>
    </row>
    <row r="41" spans="2:7" s="12" customFormat="1" ht="17.75" x14ac:dyDescent="0.45">
      <c r="B41" s="21"/>
      <c r="C41" s="21"/>
      <c r="D41" s="22"/>
      <c r="E41" s="22"/>
      <c r="F41" s="77"/>
      <c r="G41" s="71"/>
    </row>
    <row r="42" spans="2:7" s="12" customFormat="1" ht="17.75" x14ac:dyDescent="0.45">
      <c r="B42" s="21"/>
      <c r="C42" s="21"/>
      <c r="D42" s="22"/>
      <c r="E42" s="22"/>
      <c r="F42" s="77"/>
      <c r="G42" s="71"/>
    </row>
    <row r="43" spans="2:7" s="12" customFormat="1" ht="17.75" x14ac:dyDescent="0.45">
      <c r="B43" s="21"/>
      <c r="C43" s="21"/>
      <c r="D43" s="22"/>
      <c r="E43" s="22"/>
      <c r="F43" s="77"/>
      <c r="G43" s="71"/>
    </row>
    <row r="44" spans="2:7" s="12" customFormat="1" ht="17.75" x14ac:dyDescent="0.45">
      <c r="B44" s="21"/>
      <c r="C44" s="21"/>
      <c r="D44" s="22"/>
      <c r="E44" s="22"/>
      <c r="F44" s="77"/>
      <c r="G44" s="71"/>
    </row>
    <row r="45" spans="2:7" s="12" customFormat="1" ht="17.75" x14ac:dyDescent="0.45">
      <c r="B45" s="21"/>
      <c r="C45" s="21"/>
      <c r="D45" s="22"/>
      <c r="E45" s="22"/>
      <c r="F45" s="77"/>
      <c r="G45" s="71"/>
    </row>
    <row r="46" spans="2:7" s="12" customFormat="1" ht="17.75" x14ac:dyDescent="0.45">
      <c r="B46" s="21"/>
      <c r="C46" s="21"/>
      <c r="D46" s="22"/>
      <c r="E46" s="22"/>
      <c r="F46" s="77"/>
      <c r="G46" s="71"/>
    </row>
    <row r="47" spans="2:7" s="12" customFormat="1" ht="17.75" x14ac:dyDescent="0.45">
      <c r="B47" s="21"/>
      <c r="C47" s="21"/>
      <c r="D47" s="22"/>
      <c r="E47" s="22"/>
      <c r="F47" s="77"/>
      <c r="G47" s="71"/>
    </row>
    <row r="48" spans="2:7" s="12" customFormat="1" ht="17.75" x14ac:dyDescent="0.45">
      <c r="B48" s="21"/>
      <c r="C48" s="21"/>
      <c r="D48" s="22"/>
      <c r="E48" s="22"/>
      <c r="F48" s="77"/>
      <c r="G48" s="71"/>
    </row>
  </sheetData>
  <mergeCells count="9">
    <mergeCell ref="B33:D33"/>
    <mergeCell ref="E33:F33"/>
    <mergeCell ref="B34:D3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O42"/>
  <sheetViews>
    <sheetView zoomScale="90" zoomScaleNormal="90" workbookViewId="0">
      <selection activeCell="H27" sqref="H2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141" customWidth="1"/>
    <col min="5" max="5" width="14.69921875" style="5" customWidth="1"/>
    <col min="6" max="6" width="35.59765625" style="6" customWidth="1"/>
    <col min="7" max="7" width="19.3984375" style="2" customWidth="1"/>
    <col min="8" max="8" width="34.0976562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1" t="s">
        <v>0</v>
      </c>
      <c r="D1" s="171"/>
      <c r="E1" s="171"/>
      <c r="F1" s="171"/>
      <c r="G1" s="171"/>
      <c r="H1" s="171"/>
    </row>
    <row r="2" spans="1:15" ht="38.950000000000003" customHeight="1" x14ac:dyDescent="0.6">
      <c r="C2" s="171" t="s">
        <v>1</v>
      </c>
      <c r="D2" s="171"/>
      <c r="E2" s="171"/>
      <c r="F2" s="171"/>
      <c r="G2" s="171"/>
      <c r="H2" s="171"/>
    </row>
    <row r="3" spans="1:15" ht="24.05" customHeight="1" x14ac:dyDescent="0.55000000000000004">
      <c r="D3" s="4"/>
      <c r="F3" s="24"/>
      <c r="G3" s="32" t="s">
        <v>2</v>
      </c>
      <c r="H3" s="27" t="s">
        <v>83</v>
      </c>
    </row>
    <row r="4" spans="1:15" ht="17.75" x14ac:dyDescent="0.45">
      <c r="B4" s="165" t="s">
        <v>4</v>
      </c>
      <c r="C4" s="165"/>
      <c r="D4" s="165"/>
      <c r="E4" s="58">
        <f>+'MAR25'!H8</f>
        <v>-164872</v>
      </c>
      <c r="F4" s="7"/>
      <c r="G4" s="31"/>
    </row>
    <row r="5" spans="1:15" ht="17.75" x14ac:dyDescent="0.45">
      <c r="B5" s="25" t="s">
        <v>5</v>
      </c>
      <c r="C5" s="25"/>
      <c r="D5" s="25"/>
      <c r="E5" s="80">
        <v>159038</v>
      </c>
      <c r="F5" s="7"/>
      <c r="G5" s="31"/>
    </row>
    <row r="6" spans="1:15" ht="17.75" x14ac:dyDescent="0.45">
      <c r="B6" s="165" t="s">
        <v>6</v>
      </c>
      <c r="C6" s="165"/>
      <c r="D6" s="165"/>
      <c r="E6" s="81">
        <v>0</v>
      </c>
      <c r="F6" s="7"/>
    </row>
    <row r="7" spans="1:15" ht="17.75" x14ac:dyDescent="0.45">
      <c r="B7" s="172" t="s">
        <v>7</v>
      </c>
      <c r="C7" s="172"/>
      <c r="D7" s="172"/>
      <c r="E7" s="35">
        <f>SUM(E4:E6)</f>
        <v>-5834</v>
      </c>
      <c r="F7" s="7"/>
      <c r="G7" s="26"/>
    </row>
    <row r="8" spans="1:15" ht="17.75" x14ac:dyDescent="0.45">
      <c r="B8" s="173" t="s">
        <v>8</v>
      </c>
      <c r="C8" s="173"/>
      <c r="D8" s="173"/>
      <c r="E8" s="38">
        <f>+G24</f>
        <v>83668</v>
      </c>
      <c r="F8" s="7"/>
      <c r="G8" s="29" t="s">
        <v>9</v>
      </c>
      <c r="H8" s="36">
        <f>E7-E8</f>
        <v>-89502</v>
      </c>
    </row>
    <row r="9" spans="1:15" s="1" customFormat="1" ht="24.2" x14ac:dyDescent="0.6">
      <c r="B9" s="135"/>
      <c r="C9" s="135"/>
      <c r="D9" s="135"/>
      <c r="E9" s="10"/>
      <c r="F9" s="11"/>
      <c r="G9" s="9"/>
    </row>
    <row r="10" spans="1:15" s="9" customFormat="1" ht="88.7" x14ac:dyDescent="0.45">
      <c r="A10" s="13" t="s">
        <v>10</v>
      </c>
      <c r="B10" s="136" t="s">
        <v>11</v>
      </c>
      <c r="C10" s="136" t="s">
        <v>12</v>
      </c>
      <c r="D10" s="136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82">
        <v>45749</v>
      </c>
      <c r="C11" s="82" t="s">
        <v>25</v>
      </c>
      <c r="D11" s="83">
        <v>1177470973</v>
      </c>
      <c r="E11" s="84"/>
      <c r="F11" s="85" t="s">
        <v>121</v>
      </c>
      <c r="G11" s="86">
        <v>1000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82">
        <v>45748</v>
      </c>
      <c r="C12" s="82" t="s">
        <v>25</v>
      </c>
      <c r="D12" s="83">
        <v>5955</v>
      </c>
      <c r="E12" s="87"/>
      <c r="F12" s="85" t="s">
        <v>28</v>
      </c>
      <c r="G12" s="86">
        <v>6000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82">
        <v>45762</v>
      </c>
      <c r="C13" s="82" t="s">
        <v>25</v>
      </c>
      <c r="D13" s="83">
        <v>1800678</v>
      </c>
      <c r="E13" s="84"/>
      <c r="F13" s="85" t="s">
        <v>49</v>
      </c>
      <c r="G13" s="86">
        <v>3780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82">
        <v>45762</v>
      </c>
      <c r="C14" s="82" t="s">
        <v>25</v>
      </c>
      <c r="D14" s="83">
        <v>53803405</v>
      </c>
      <c r="E14" s="84"/>
      <c r="F14" s="85" t="s">
        <v>122</v>
      </c>
      <c r="G14" s="86">
        <v>6218</v>
      </c>
      <c r="H14" s="43"/>
      <c r="I14" s="12"/>
      <c r="J14" s="12"/>
      <c r="K14" s="12"/>
      <c r="L14" s="12"/>
      <c r="M14" s="12"/>
      <c r="N14" s="12"/>
      <c r="O14" s="12"/>
    </row>
    <row r="15" spans="1:15" ht="16.55" customHeight="1" x14ac:dyDescent="0.45">
      <c r="A15" s="15">
        <v>5</v>
      </c>
      <c r="B15" s="82">
        <v>45768</v>
      </c>
      <c r="C15" s="82" t="s">
        <v>25</v>
      </c>
      <c r="D15" s="83">
        <v>1801818</v>
      </c>
      <c r="E15" s="84"/>
      <c r="F15" s="85" t="s">
        <v>49</v>
      </c>
      <c r="G15" s="86">
        <v>5670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82">
        <v>45768</v>
      </c>
      <c r="C16" s="82" t="s">
        <v>25</v>
      </c>
      <c r="D16" s="83">
        <v>5966</v>
      </c>
      <c r="E16" s="84"/>
      <c r="F16" s="85" t="s">
        <v>28</v>
      </c>
      <c r="G16" s="86">
        <v>6000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82">
        <v>45408</v>
      </c>
      <c r="C17" s="82" t="s">
        <v>25</v>
      </c>
      <c r="D17" s="83">
        <v>9</v>
      </c>
      <c r="E17" s="84"/>
      <c r="F17" s="85" t="s">
        <v>57</v>
      </c>
      <c r="G17" s="86">
        <v>35000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82">
        <v>45384</v>
      </c>
      <c r="C18" s="82" t="s">
        <v>123</v>
      </c>
      <c r="D18" s="83" t="s">
        <v>125</v>
      </c>
      <c r="E18" s="84"/>
      <c r="F18" s="85" t="s">
        <v>124</v>
      </c>
      <c r="G18" s="86">
        <v>20000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82"/>
      <c r="C19" s="82"/>
      <c r="D19" s="83"/>
      <c r="E19" s="84"/>
      <c r="F19" s="85"/>
      <c r="G19" s="86"/>
      <c r="H19" s="43"/>
    </row>
    <row r="20" spans="1:15" ht="17.2" x14ac:dyDescent="0.45">
      <c r="A20" s="15">
        <v>10</v>
      </c>
      <c r="B20" s="82"/>
      <c r="C20" s="82"/>
      <c r="D20" s="83"/>
      <c r="E20" s="84"/>
      <c r="F20" s="85"/>
      <c r="G20" s="86"/>
      <c r="H20" s="43"/>
    </row>
    <row r="21" spans="1:15" ht="17.2" x14ac:dyDescent="0.45">
      <c r="A21" s="15">
        <v>11</v>
      </c>
      <c r="B21" s="82"/>
      <c r="C21" s="82"/>
      <c r="D21" s="83"/>
      <c r="E21" s="84"/>
      <c r="F21" s="85"/>
      <c r="G21" s="86"/>
      <c r="H21" s="43"/>
    </row>
    <row r="22" spans="1:15" ht="17.2" x14ac:dyDescent="0.45">
      <c r="A22" s="15">
        <v>12</v>
      </c>
      <c r="B22" s="82"/>
      <c r="C22" s="82"/>
      <c r="D22" s="83"/>
      <c r="E22" s="84"/>
      <c r="F22" s="85"/>
      <c r="G22" s="86"/>
      <c r="H22" s="43"/>
    </row>
    <row r="23" spans="1:15" ht="17.2" x14ac:dyDescent="0.45">
      <c r="A23" s="15">
        <v>13</v>
      </c>
      <c r="B23" s="82"/>
      <c r="C23" s="82"/>
      <c r="D23" s="83"/>
      <c r="E23" s="84"/>
      <c r="F23" s="85"/>
      <c r="G23" s="86"/>
      <c r="H23" s="43"/>
    </row>
    <row r="24" spans="1:15" s="12" customFormat="1" ht="17.75" x14ac:dyDescent="0.45">
      <c r="B24" s="140" t="s">
        <v>23</v>
      </c>
      <c r="C24" s="137"/>
      <c r="D24" s="75"/>
      <c r="E24" s="17"/>
      <c r="F24" s="17"/>
      <c r="G24" s="45">
        <f>SUM(G11:G23)</f>
        <v>83668</v>
      </c>
    </row>
    <row r="25" spans="1:15" s="12" customFormat="1" ht="17.75" x14ac:dyDescent="0.45">
      <c r="B25" s="138"/>
      <c r="C25" s="138"/>
      <c r="D25" s="76"/>
      <c r="E25" s="19"/>
      <c r="F25" s="19"/>
      <c r="G25" s="20"/>
    </row>
    <row r="26" spans="1:15" s="12" customFormat="1" ht="17.75" x14ac:dyDescent="0.45">
      <c r="B26" s="139"/>
      <c r="C26" s="139"/>
      <c r="D26" s="77"/>
      <c r="E26" s="22"/>
      <c r="F26" s="22"/>
      <c r="G26" s="8"/>
    </row>
    <row r="27" spans="1:15" ht="17.75" x14ac:dyDescent="0.45">
      <c r="B27" s="165"/>
      <c r="C27" s="165"/>
      <c r="D27" s="166"/>
      <c r="E27" s="167"/>
      <c r="F27" s="168"/>
    </row>
    <row r="28" spans="1:15" ht="17.75" x14ac:dyDescent="0.45">
      <c r="B28" s="169"/>
      <c r="C28" s="169"/>
      <c r="D28" s="170"/>
      <c r="E28" s="37"/>
      <c r="F28" s="12" t="s">
        <v>81</v>
      </c>
      <c r="G28" s="28"/>
    </row>
    <row r="29" spans="1:15" s="12" customFormat="1" ht="17.75" x14ac:dyDescent="0.45">
      <c r="B29" s="139"/>
      <c r="C29" s="139"/>
      <c r="D29" s="77"/>
      <c r="E29" s="22"/>
      <c r="F29" s="12" t="s">
        <v>82</v>
      </c>
      <c r="G29" s="8"/>
    </row>
    <row r="30" spans="1:15" s="12" customFormat="1" ht="17.75" x14ac:dyDescent="0.45">
      <c r="B30" s="139"/>
      <c r="C30" s="139"/>
      <c r="D30" s="77"/>
      <c r="E30" s="22"/>
      <c r="F30" s="22"/>
      <c r="G30" s="8"/>
    </row>
    <row r="31" spans="1:15" s="12" customFormat="1" ht="17.75" x14ac:dyDescent="0.45">
      <c r="B31" s="139"/>
      <c r="C31" s="139"/>
      <c r="D31" s="77"/>
      <c r="E31" s="22"/>
      <c r="F31" s="22"/>
      <c r="G31" s="8"/>
    </row>
    <row r="32" spans="1:15" s="12" customFormat="1" ht="17.75" x14ac:dyDescent="0.45">
      <c r="B32" s="139"/>
      <c r="C32" s="139"/>
      <c r="D32" s="77"/>
      <c r="E32" s="22"/>
      <c r="F32" s="22"/>
      <c r="G32" s="8"/>
    </row>
    <row r="33" spans="2:7" s="12" customFormat="1" ht="17.75" x14ac:dyDescent="0.45">
      <c r="B33" s="139"/>
      <c r="C33" s="139"/>
      <c r="D33" s="77"/>
      <c r="E33" s="22"/>
      <c r="F33" s="22"/>
      <c r="G33" s="8"/>
    </row>
    <row r="34" spans="2:7" s="12" customFormat="1" ht="17.75" x14ac:dyDescent="0.45">
      <c r="B34" s="139"/>
      <c r="C34" s="139"/>
      <c r="D34" s="77"/>
      <c r="E34" s="22"/>
      <c r="F34" s="22"/>
      <c r="G34" s="8"/>
    </row>
    <row r="35" spans="2:7" s="12" customFormat="1" ht="17.75" x14ac:dyDescent="0.45">
      <c r="B35" s="139"/>
      <c r="C35" s="139"/>
      <c r="D35" s="77"/>
      <c r="E35" s="22"/>
      <c r="F35" s="22"/>
      <c r="G35" s="8"/>
    </row>
    <row r="36" spans="2:7" s="12" customFormat="1" ht="17.75" x14ac:dyDescent="0.45">
      <c r="B36" s="139"/>
      <c r="C36" s="139"/>
      <c r="D36" s="77"/>
      <c r="E36" s="22"/>
      <c r="F36" s="22"/>
      <c r="G36" s="8"/>
    </row>
    <row r="37" spans="2:7" s="12" customFormat="1" ht="17.75" x14ac:dyDescent="0.45">
      <c r="B37" s="139"/>
      <c r="C37" s="139"/>
      <c r="D37" s="77"/>
      <c r="E37" s="22"/>
      <c r="F37" s="22"/>
      <c r="G37" s="8"/>
    </row>
    <row r="38" spans="2:7" s="12" customFormat="1" ht="17.75" x14ac:dyDescent="0.45">
      <c r="B38" s="139"/>
      <c r="C38" s="139"/>
      <c r="D38" s="77"/>
      <c r="E38" s="22"/>
      <c r="F38" s="22"/>
      <c r="G38" s="8"/>
    </row>
    <row r="39" spans="2:7" s="12" customFormat="1" ht="17.75" x14ac:dyDescent="0.45">
      <c r="B39" s="139"/>
      <c r="C39" s="139"/>
      <c r="D39" s="77"/>
      <c r="E39" s="22"/>
      <c r="F39" s="22"/>
      <c r="G39" s="8"/>
    </row>
    <row r="40" spans="2:7" s="12" customFormat="1" ht="17.75" x14ac:dyDescent="0.45">
      <c r="B40" s="139"/>
      <c r="C40" s="139"/>
      <c r="D40" s="77"/>
      <c r="E40" s="22"/>
      <c r="F40" s="22"/>
      <c r="G40" s="8"/>
    </row>
    <row r="41" spans="2:7" s="12" customFormat="1" ht="17.75" x14ac:dyDescent="0.45">
      <c r="B41" s="139"/>
      <c r="C41" s="139"/>
      <c r="D41" s="77"/>
      <c r="E41" s="22"/>
      <c r="F41" s="22"/>
      <c r="G41" s="8"/>
    </row>
    <row r="42" spans="2:7" s="12" customFormat="1" ht="17.75" x14ac:dyDescent="0.45">
      <c r="B42" s="139"/>
      <c r="C42" s="139"/>
      <c r="D42" s="77"/>
      <c r="E42" s="22"/>
      <c r="F42" s="22"/>
      <c r="G42" s="8"/>
    </row>
  </sheetData>
  <mergeCells count="9">
    <mergeCell ref="B27:D27"/>
    <mergeCell ref="E27:F27"/>
    <mergeCell ref="B28:D28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O44"/>
  <sheetViews>
    <sheetView topLeftCell="A10"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84</v>
      </c>
    </row>
    <row r="4" spans="1:15" ht="17.75" x14ac:dyDescent="0.45">
      <c r="B4" s="174" t="s">
        <v>4</v>
      </c>
      <c r="C4" s="174"/>
      <c r="D4" s="174"/>
      <c r="E4" s="130">
        <f>+'ABR25'!H8</f>
        <v>-89502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0</v>
      </c>
      <c r="F5" s="100"/>
      <c r="G5" s="101"/>
    </row>
    <row r="6" spans="1:15" ht="17.75" x14ac:dyDescent="0.45">
      <c r="B6" s="174" t="s">
        <v>6</v>
      </c>
      <c r="C6" s="174"/>
      <c r="D6" s="174"/>
      <c r="E6" s="81"/>
      <c r="F6" s="100"/>
    </row>
    <row r="7" spans="1:15" ht="17.75" x14ac:dyDescent="0.45">
      <c r="B7" s="181" t="s">
        <v>7</v>
      </c>
      <c r="C7" s="181"/>
      <c r="D7" s="181"/>
      <c r="E7" s="131">
        <f>SUM(E4:E6)</f>
        <v>-89502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82270</v>
      </c>
      <c r="F8" s="100"/>
      <c r="G8" s="103" t="s">
        <v>9</v>
      </c>
      <c r="H8" s="133">
        <f>E7-E8</f>
        <v>-171772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45782</v>
      </c>
      <c r="C11" s="82" t="s">
        <v>88</v>
      </c>
      <c r="D11" s="83">
        <v>1804390</v>
      </c>
      <c r="E11" s="84"/>
      <c r="F11" s="85" t="s">
        <v>49</v>
      </c>
      <c r="G11" s="86">
        <v>7560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45784</v>
      </c>
      <c r="C12" s="82" t="s">
        <v>88</v>
      </c>
      <c r="D12" s="83">
        <v>1188648993</v>
      </c>
      <c r="E12" s="87"/>
      <c r="F12" s="85" t="s">
        <v>126</v>
      </c>
      <c r="G12" s="86">
        <v>2990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45780</v>
      </c>
      <c r="C13" s="82" t="s">
        <v>127</v>
      </c>
      <c r="D13" s="83">
        <v>1455506</v>
      </c>
      <c r="E13" s="84"/>
      <c r="F13" s="85" t="s">
        <v>128</v>
      </c>
      <c r="G13" s="86">
        <v>800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45780</v>
      </c>
      <c r="C14" s="82" t="s">
        <v>127</v>
      </c>
      <c r="D14" s="83">
        <v>8106987</v>
      </c>
      <c r="E14" s="84"/>
      <c r="F14" s="85" t="s">
        <v>128</v>
      </c>
      <c r="G14" s="86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45785</v>
      </c>
      <c r="C15" s="82" t="s">
        <v>127</v>
      </c>
      <c r="D15" s="83">
        <v>2222438</v>
      </c>
      <c r="E15" s="84"/>
      <c r="F15" s="85" t="s">
        <v>128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45785</v>
      </c>
      <c r="C16" s="82" t="s">
        <v>127</v>
      </c>
      <c r="D16" s="83">
        <v>858149</v>
      </c>
      <c r="E16" s="84"/>
      <c r="F16" s="85" t="s">
        <v>128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45788</v>
      </c>
      <c r="C17" s="82" t="s">
        <v>88</v>
      </c>
      <c r="D17" s="83">
        <v>1188356928</v>
      </c>
      <c r="E17" s="84"/>
      <c r="F17" s="85" t="s">
        <v>129</v>
      </c>
      <c r="G17" s="86">
        <v>790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45789</v>
      </c>
      <c r="C18" s="82" t="s">
        <v>88</v>
      </c>
      <c r="D18" s="83">
        <v>5978</v>
      </c>
      <c r="E18" s="84"/>
      <c r="F18" s="85" t="s">
        <v>130</v>
      </c>
      <c r="G18" s="86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45807</v>
      </c>
      <c r="C19" s="82" t="s">
        <v>25</v>
      </c>
      <c r="D19" s="83">
        <v>1933692089292580</v>
      </c>
      <c r="E19" s="84"/>
      <c r="F19" s="85" t="s">
        <v>131</v>
      </c>
      <c r="G19" s="86">
        <v>26730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45808</v>
      </c>
      <c r="C20" s="82" t="s">
        <v>25</v>
      </c>
      <c r="D20" s="83"/>
      <c r="E20" s="84"/>
      <c r="F20" s="85" t="s">
        <v>132</v>
      </c>
      <c r="G20" s="86">
        <v>35000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82270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sheetProtection algorithmName="SHA-512" hashValue="yRhM0xoO9vR7QEtXuBiUKjFaLYYaFfyRaVOOUqBhZXqTcjPVL7kw06dgdTuxJuDSr3y2Y3y0m7mKHyiUqpQn6Q==" saltValue="PyvGqSTAD/QZsjkzW8TEcQ==" spinCount="100000" sheet="1" objects="1" scenarios="1"/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O44"/>
  <sheetViews>
    <sheetView zoomScale="90" zoomScaleNormal="90" workbookViewId="0">
      <selection activeCell="I35" sqref="I3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85</v>
      </c>
    </row>
    <row r="4" spans="1:15" ht="17.75" x14ac:dyDescent="0.45">
      <c r="B4" s="174" t="s">
        <v>4</v>
      </c>
      <c r="C4" s="174"/>
      <c r="D4" s="174"/>
      <c r="E4" s="130">
        <f>+'MAY25'!H8</f>
        <v>-171772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165938</v>
      </c>
      <c r="F5" s="100"/>
      <c r="G5" s="101"/>
    </row>
    <row r="6" spans="1:15" ht="17.75" x14ac:dyDescent="0.45">
      <c r="B6" s="174" t="s">
        <v>6</v>
      </c>
      <c r="C6" s="174"/>
      <c r="D6" s="174"/>
      <c r="E6" s="81">
        <v>4</v>
      </c>
      <c r="F6" s="100"/>
    </row>
    <row r="7" spans="1:15" ht="17.75" x14ac:dyDescent="0.45">
      <c r="B7" s="181" t="s">
        <v>7</v>
      </c>
      <c r="C7" s="181"/>
      <c r="D7" s="181"/>
      <c r="E7" s="131">
        <f>SUM(E4:E6)</f>
        <v>-5830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51599</v>
      </c>
      <c r="F8" s="100"/>
      <c r="G8" s="103" t="s">
        <v>9</v>
      </c>
      <c r="H8" s="133">
        <f>E7-E8</f>
        <v>-57429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45836</v>
      </c>
      <c r="C11" s="82" t="s">
        <v>88</v>
      </c>
      <c r="D11" s="83">
        <v>792523517</v>
      </c>
      <c r="E11" s="84"/>
      <c r="F11" s="85" t="s">
        <v>133</v>
      </c>
      <c r="G11" s="86">
        <v>2129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45836</v>
      </c>
      <c r="C12" s="82" t="s">
        <v>88</v>
      </c>
      <c r="D12" s="83">
        <v>1188556337</v>
      </c>
      <c r="E12" s="87"/>
      <c r="F12" s="85" t="s">
        <v>134</v>
      </c>
      <c r="G12" s="86">
        <v>5490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228438</v>
      </c>
      <c r="C13" s="82" t="s">
        <v>88</v>
      </c>
      <c r="D13" s="83"/>
      <c r="E13" s="84"/>
      <c r="F13" s="85" t="s">
        <v>135</v>
      </c>
      <c r="G13" s="86">
        <v>6000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45823</v>
      </c>
      <c r="C14" s="82" t="s">
        <v>88</v>
      </c>
      <c r="D14" s="83"/>
      <c r="E14" s="84"/>
      <c r="F14" s="85" t="s">
        <v>97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45819</v>
      </c>
      <c r="C15" s="82" t="s">
        <v>25</v>
      </c>
      <c r="D15" s="83">
        <v>21523427</v>
      </c>
      <c r="E15" s="84"/>
      <c r="F15" s="85" t="s">
        <v>136</v>
      </c>
      <c r="G15" s="86">
        <v>2980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/>
      <c r="C16" s="82"/>
      <c r="D16" s="83"/>
      <c r="E16" s="84"/>
      <c r="F16" s="85"/>
      <c r="G16" s="86"/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/>
      <c r="C17" s="82"/>
      <c r="D17" s="83"/>
      <c r="E17" s="84"/>
      <c r="F17" s="85"/>
      <c r="G17" s="86"/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51599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sheetProtection algorithmName="SHA-512" hashValue="a27+UIjix+xxeokJojql06dU687N4dAuRgiGokzZFzpdH47kETFBdR7hFtAuGNzGkK5BZhrjloXjfM6uNgsclQ==" saltValue="p6EPXLfzz+hA9syc7JJS7A==" spinCount="100000" sheet="1" objects="1" scenarios="1"/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O45"/>
  <sheetViews>
    <sheetView zoomScale="90" zoomScaleNormal="90" workbookViewId="0">
      <selection activeCell="F14" sqref="F14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398437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153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151" t="s">
        <v>2</v>
      </c>
      <c r="H3" s="98" t="s">
        <v>3</v>
      </c>
    </row>
    <row r="4" spans="1:15" ht="17.75" x14ac:dyDescent="0.45">
      <c r="B4" s="174" t="s">
        <v>4</v>
      </c>
      <c r="C4" s="174"/>
      <c r="D4" s="174"/>
      <c r="E4" s="130">
        <f>+'JUN25'!H8</f>
        <v>-57429</v>
      </c>
      <c r="F4" s="100"/>
      <c r="G4" s="152"/>
    </row>
    <row r="5" spans="1:15" ht="17.75" x14ac:dyDescent="0.45">
      <c r="B5" s="99" t="s">
        <v>5</v>
      </c>
      <c r="C5" s="99"/>
      <c r="D5" s="99"/>
      <c r="E5" s="80">
        <v>0</v>
      </c>
      <c r="F5" s="100"/>
      <c r="G5" s="152"/>
    </row>
    <row r="6" spans="1:15" ht="17.75" x14ac:dyDescent="0.45">
      <c r="B6" s="174" t="s">
        <v>6</v>
      </c>
      <c r="C6" s="174"/>
      <c r="D6" s="174"/>
      <c r="E6" s="81">
        <v>0</v>
      </c>
      <c r="F6" s="100"/>
    </row>
    <row r="7" spans="1:15" ht="17.75" x14ac:dyDescent="0.45">
      <c r="B7" s="181" t="s">
        <v>7</v>
      </c>
      <c r="C7" s="181"/>
      <c r="D7" s="181"/>
      <c r="E7" s="131">
        <f>SUM(E4:E6)</f>
        <v>-57429</v>
      </c>
      <c r="F7" s="100"/>
    </row>
    <row r="8" spans="1:15" ht="17.75" x14ac:dyDescent="0.45">
      <c r="B8" s="182" t="s">
        <v>8</v>
      </c>
      <c r="C8" s="182"/>
      <c r="D8" s="182"/>
      <c r="E8" s="132">
        <f>+G27</f>
        <v>126228</v>
      </c>
      <c r="F8" s="100"/>
      <c r="G8" s="154" t="s">
        <v>9</v>
      </c>
      <c r="H8" s="133">
        <f>E7-E8</f>
        <v>-183657</v>
      </c>
    </row>
    <row r="9" spans="1:15" s="104" customFormat="1" ht="24.2" x14ac:dyDescent="0.6">
      <c r="E9" s="105"/>
      <c r="F9" s="106"/>
      <c r="G9" s="152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55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s="107" customFormat="1" ht="17.75" x14ac:dyDescent="0.45">
      <c r="A11" s="108">
        <v>1</v>
      </c>
      <c r="B11" s="145">
        <v>45842</v>
      </c>
      <c r="C11" s="149" t="s">
        <v>25</v>
      </c>
      <c r="D11" s="149">
        <v>25067</v>
      </c>
      <c r="E11" s="146"/>
      <c r="F11" s="150" t="s">
        <v>141</v>
      </c>
      <c r="G11" s="156">
        <v>6000</v>
      </c>
      <c r="H11" s="111"/>
      <c r="I11" s="112"/>
      <c r="J11" s="112"/>
      <c r="K11" s="112"/>
      <c r="L11" s="112"/>
      <c r="M11" s="112"/>
      <c r="N11" s="112"/>
      <c r="O11" s="112"/>
    </row>
    <row r="12" spans="1:15" ht="17.75" x14ac:dyDescent="0.45">
      <c r="A12" s="113">
        <v>2</v>
      </c>
      <c r="B12" s="142">
        <v>45851</v>
      </c>
      <c r="C12" s="142" t="s">
        <v>25</v>
      </c>
      <c r="D12" s="143">
        <v>23.725999999999999</v>
      </c>
      <c r="E12" s="147"/>
      <c r="F12" s="144" t="s">
        <v>43</v>
      </c>
      <c r="G12" s="157">
        <v>6000</v>
      </c>
      <c r="H12" s="114"/>
      <c r="I12" s="112"/>
      <c r="J12" s="112"/>
      <c r="K12" s="112"/>
      <c r="L12" s="112"/>
      <c r="M12" s="112"/>
      <c r="N12" s="112"/>
      <c r="O12" s="112"/>
    </row>
    <row r="13" spans="1:15" ht="17.75" x14ac:dyDescent="0.45">
      <c r="A13" s="115">
        <v>3</v>
      </c>
      <c r="B13" s="142">
        <v>45855</v>
      </c>
      <c r="C13" s="142" t="s">
        <v>25</v>
      </c>
      <c r="D13" s="143">
        <v>21533962</v>
      </c>
      <c r="E13" s="148"/>
      <c r="F13" s="144" t="s">
        <v>137</v>
      </c>
      <c r="G13" s="157">
        <v>1990</v>
      </c>
      <c r="H13" s="116"/>
      <c r="I13" s="112"/>
      <c r="J13" s="112"/>
      <c r="K13" s="112"/>
      <c r="L13" s="112"/>
      <c r="M13" s="112"/>
      <c r="N13" s="112"/>
      <c r="O13" s="112"/>
    </row>
    <row r="14" spans="1:15" ht="17.75" x14ac:dyDescent="0.45">
      <c r="A14" s="113">
        <v>4</v>
      </c>
      <c r="B14" s="142">
        <v>45855</v>
      </c>
      <c r="C14" s="142" t="s">
        <v>138</v>
      </c>
      <c r="D14" s="143">
        <v>1430200</v>
      </c>
      <c r="E14" s="147"/>
      <c r="F14" s="144" t="s">
        <v>139</v>
      </c>
      <c r="G14" s="157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75" x14ac:dyDescent="0.45">
      <c r="A15" s="113">
        <v>5</v>
      </c>
      <c r="B15" s="142">
        <v>45855</v>
      </c>
      <c r="C15" s="142" t="s">
        <v>138</v>
      </c>
      <c r="D15" s="143">
        <v>22006</v>
      </c>
      <c r="E15" s="147"/>
      <c r="F15" s="144" t="s">
        <v>139</v>
      </c>
      <c r="G15" s="157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7.75" x14ac:dyDescent="0.45">
      <c r="A16" s="113">
        <v>6</v>
      </c>
      <c r="B16" s="142">
        <v>45856</v>
      </c>
      <c r="C16" s="142" t="s">
        <v>25</v>
      </c>
      <c r="D16" s="143">
        <v>55321</v>
      </c>
      <c r="E16" s="147"/>
      <c r="F16" s="144" t="s">
        <v>140</v>
      </c>
      <c r="G16" s="157">
        <v>6000</v>
      </c>
      <c r="H16" s="114"/>
      <c r="I16" s="112"/>
      <c r="J16" s="112"/>
      <c r="K16" s="112"/>
      <c r="L16" s="112"/>
      <c r="M16" s="112"/>
      <c r="N16" s="112"/>
      <c r="O16" s="112"/>
    </row>
    <row r="17" spans="1:15" ht="16.55" customHeight="1" x14ac:dyDescent="0.45">
      <c r="A17" s="113">
        <v>7</v>
      </c>
      <c r="B17" s="82">
        <v>45842</v>
      </c>
      <c r="C17" s="82" t="s">
        <v>25</v>
      </c>
      <c r="D17" s="83">
        <v>21</v>
      </c>
      <c r="E17" s="84"/>
      <c r="F17" s="85" t="s">
        <v>87</v>
      </c>
      <c r="G17" s="158">
        <v>35000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45861</v>
      </c>
      <c r="C18" s="82" t="s">
        <v>25</v>
      </c>
      <c r="D18" s="83">
        <v>6043</v>
      </c>
      <c r="E18" s="84"/>
      <c r="F18" s="85" t="s">
        <v>28</v>
      </c>
      <c r="G18" s="158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45862</v>
      </c>
      <c r="C19" s="82" t="s">
        <v>138</v>
      </c>
      <c r="D19" s="83" t="s">
        <v>144</v>
      </c>
      <c r="E19" s="84"/>
      <c r="F19" s="85" t="s">
        <v>142</v>
      </c>
      <c r="G19" s="158">
        <v>10000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45862</v>
      </c>
      <c r="C20" s="82" t="s">
        <v>138</v>
      </c>
      <c r="D20" s="83">
        <v>1534879440</v>
      </c>
      <c r="E20" s="84"/>
      <c r="F20" s="85" t="s">
        <v>143</v>
      </c>
      <c r="G20" s="158">
        <v>10500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45862</v>
      </c>
      <c r="C21" s="82" t="s">
        <v>145</v>
      </c>
      <c r="D21" s="83"/>
      <c r="E21" s="84"/>
      <c r="F21" s="85" t="s">
        <v>148</v>
      </c>
      <c r="G21" s="158">
        <v>4598</v>
      </c>
      <c r="H21" s="114"/>
      <c r="I21" s="112"/>
      <c r="J21" s="112"/>
      <c r="K21" s="112"/>
      <c r="L21" s="112"/>
      <c r="M21" s="112"/>
      <c r="N21" s="112"/>
      <c r="O21" s="112"/>
    </row>
    <row r="22" spans="1:15" ht="17.2" x14ac:dyDescent="0.45">
      <c r="A22" s="113">
        <v>12</v>
      </c>
      <c r="B22" s="82">
        <v>45862</v>
      </c>
      <c r="C22" s="82" t="s">
        <v>145</v>
      </c>
      <c r="D22" s="83"/>
      <c r="E22" s="84"/>
      <c r="F22" s="85" t="s">
        <v>146</v>
      </c>
      <c r="G22" s="158">
        <v>2540</v>
      </c>
      <c r="H22" s="114"/>
    </row>
    <row r="23" spans="1:15" ht="17.2" x14ac:dyDescent="0.45">
      <c r="A23" s="113">
        <v>13</v>
      </c>
      <c r="B23" s="82">
        <v>45862</v>
      </c>
      <c r="C23" s="82" t="s">
        <v>145</v>
      </c>
      <c r="D23" s="83"/>
      <c r="E23" s="84"/>
      <c r="F23" s="85" t="s">
        <v>147</v>
      </c>
      <c r="G23" s="158">
        <v>1000</v>
      </c>
      <c r="H23" s="114"/>
    </row>
    <row r="24" spans="1:15" ht="17.2" x14ac:dyDescent="0.45">
      <c r="A24" s="113">
        <v>14</v>
      </c>
      <c r="B24" s="82">
        <v>45863</v>
      </c>
      <c r="C24" s="82" t="s">
        <v>25</v>
      </c>
      <c r="D24" s="83">
        <v>22</v>
      </c>
      <c r="E24" s="84"/>
      <c r="F24" s="85" t="s">
        <v>87</v>
      </c>
      <c r="G24" s="158">
        <v>35000</v>
      </c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158"/>
      <c r="H25" s="114"/>
    </row>
    <row r="26" spans="1:15" ht="17.2" x14ac:dyDescent="0.45">
      <c r="A26" s="113">
        <v>16</v>
      </c>
      <c r="B26" s="82"/>
      <c r="C26" s="82"/>
      <c r="D26" s="83"/>
      <c r="E26" s="84"/>
      <c r="F26" s="85"/>
      <c r="G26" s="158"/>
      <c r="H26" s="114"/>
    </row>
    <row r="27" spans="1:15" s="112" customFormat="1" ht="17.75" x14ac:dyDescent="0.45">
      <c r="B27" s="117" t="s">
        <v>23</v>
      </c>
      <c r="C27" s="118"/>
      <c r="D27" s="119"/>
      <c r="E27" s="119"/>
      <c r="F27" s="119"/>
      <c r="G27" s="159">
        <f>SUM(G11:G26)</f>
        <v>126228</v>
      </c>
    </row>
    <row r="28" spans="1:15" s="112" customFormat="1" ht="17.75" x14ac:dyDescent="0.45">
      <c r="B28" s="120"/>
      <c r="C28" s="120"/>
      <c r="D28" s="121"/>
      <c r="E28" s="121"/>
      <c r="F28" s="121"/>
      <c r="G28" s="160"/>
    </row>
    <row r="29" spans="1:15" s="112" customFormat="1" ht="17.75" x14ac:dyDescent="0.45">
      <c r="B29" s="123"/>
      <c r="C29" s="123"/>
      <c r="D29" s="124"/>
      <c r="E29" s="124"/>
      <c r="F29" s="124"/>
      <c r="G29" s="161"/>
    </row>
    <row r="30" spans="1:15" ht="17.75" x14ac:dyDescent="0.45">
      <c r="B30" s="174"/>
      <c r="C30" s="174"/>
      <c r="D30" s="175"/>
      <c r="E30" s="176"/>
      <c r="F30" s="177"/>
    </row>
    <row r="31" spans="1:15" ht="17.75" x14ac:dyDescent="0.45">
      <c r="B31" s="178"/>
      <c r="C31" s="178"/>
      <c r="D31" s="179"/>
      <c r="E31" s="127"/>
      <c r="F31" s="112" t="s">
        <v>81</v>
      </c>
      <c r="G31" s="162"/>
    </row>
    <row r="32" spans="1:15" s="112" customFormat="1" ht="17.75" x14ac:dyDescent="0.45">
      <c r="B32" s="123"/>
      <c r="C32" s="123"/>
      <c r="D32" s="124"/>
      <c r="E32" s="124"/>
      <c r="F32" s="112" t="s">
        <v>82</v>
      </c>
      <c r="G32" s="161"/>
    </row>
    <row r="33" spans="2:7" s="112" customFormat="1" ht="17.75" x14ac:dyDescent="0.45">
      <c r="B33" s="123"/>
      <c r="C33" s="123"/>
      <c r="D33" s="124"/>
      <c r="E33" s="124"/>
      <c r="F33" s="124"/>
      <c r="G33" s="161"/>
    </row>
    <row r="34" spans="2:7" s="112" customFormat="1" ht="17.75" x14ac:dyDescent="0.45">
      <c r="B34" s="123"/>
      <c r="C34" s="123"/>
      <c r="D34" s="124"/>
      <c r="E34" s="124"/>
      <c r="F34" s="124"/>
      <c r="G34" s="161"/>
    </row>
    <row r="35" spans="2:7" s="112" customFormat="1" ht="17.75" x14ac:dyDescent="0.45">
      <c r="B35" s="123"/>
      <c r="C35" s="123"/>
      <c r="D35" s="124"/>
      <c r="E35" s="124"/>
      <c r="F35" s="124"/>
      <c r="G35" s="161"/>
    </row>
    <row r="36" spans="2:7" s="112" customFormat="1" ht="17.75" x14ac:dyDescent="0.45">
      <c r="B36" s="123"/>
      <c r="C36" s="123"/>
      <c r="D36" s="124"/>
      <c r="E36" s="124"/>
      <c r="F36" s="124"/>
      <c r="G36" s="161"/>
    </row>
    <row r="37" spans="2:7" s="112" customFormat="1" ht="17.75" x14ac:dyDescent="0.45">
      <c r="B37" s="123"/>
      <c r="C37" s="123"/>
      <c r="D37" s="124"/>
      <c r="E37" s="124"/>
      <c r="F37" s="124"/>
      <c r="G37" s="161"/>
    </row>
    <row r="38" spans="2:7" s="112" customFormat="1" ht="17.75" x14ac:dyDescent="0.45">
      <c r="B38" s="123"/>
      <c r="C38" s="123"/>
      <c r="D38" s="124"/>
      <c r="E38" s="124"/>
      <c r="F38" s="124"/>
      <c r="G38" s="161"/>
    </row>
    <row r="39" spans="2:7" s="112" customFormat="1" ht="17.75" x14ac:dyDescent="0.45">
      <c r="B39" s="123"/>
      <c r="C39" s="123"/>
      <c r="D39" s="124"/>
      <c r="E39" s="124"/>
      <c r="F39" s="124"/>
      <c r="G39" s="161"/>
    </row>
    <row r="40" spans="2:7" s="112" customFormat="1" ht="17.75" x14ac:dyDescent="0.45">
      <c r="B40" s="123"/>
      <c r="C40" s="123"/>
      <c r="D40" s="124"/>
      <c r="E40" s="124"/>
      <c r="F40" s="124"/>
      <c r="G40" s="161"/>
    </row>
    <row r="41" spans="2:7" s="112" customFormat="1" ht="17.75" x14ac:dyDescent="0.45">
      <c r="B41" s="123"/>
      <c r="C41" s="123"/>
      <c r="D41" s="124"/>
      <c r="E41" s="124"/>
      <c r="F41" s="124"/>
      <c r="G41" s="161"/>
    </row>
    <row r="42" spans="2:7" s="112" customFormat="1" ht="17.75" x14ac:dyDescent="0.45">
      <c r="B42" s="123"/>
      <c r="C42" s="123"/>
      <c r="D42" s="124"/>
      <c r="E42" s="124"/>
      <c r="F42" s="124"/>
      <c r="G42" s="161"/>
    </row>
    <row r="43" spans="2:7" s="112" customFormat="1" ht="17.75" x14ac:dyDescent="0.45">
      <c r="B43" s="123"/>
      <c r="C43" s="123"/>
      <c r="D43" s="124"/>
      <c r="E43" s="124"/>
      <c r="F43" s="124"/>
      <c r="G43" s="161"/>
    </row>
    <row r="44" spans="2:7" s="112" customFormat="1" ht="17.75" x14ac:dyDescent="0.45">
      <c r="B44" s="123"/>
      <c r="C44" s="123"/>
      <c r="D44" s="124"/>
      <c r="E44" s="124"/>
      <c r="F44" s="124"/>
      <c r="G44" s="161"/>
    </row>
    <row r="45" spans="2:7" s="112" customFormat="1" ht="17.75" x14ac:dyDescent="0.45">
      <c r="B45" s="123"/>
      <c r="C45" s="123"/>
      <c r="D45" s="124"/>
      <c r="E45" s="124"/>
      <c r="F45" s="124"/>
      <c r="G45" s="161"/>
    </row>
  </sheetData>
  <mergeCells count="9">
    <mergeCell ref="B30:D30"/>
    <mergeCell ref="E30:F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O44"/>
  <sheetViews>
    <sheetView zoomScale="80" zoomScaleNormal="80" workbookViewId="0">
      <selection activeCell="K10" sqref="K10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24</v>
      </c>
    </row>
    <row r="4" spans="1:15" ht="17.75" x14ac:dyDescent="0.45">
      <c r="B4" s="174" t="s">
        <v>4</v>
      </c>
      <c r="C4" s="174"/>
      <c r="D4" s="174"/>
      <c r="E4" s="130">
        <f>+'JUL25 '!H8</f>
        <v>-183657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177827</v>
      </c>
      <c r="F5" s="100"/>
      <c r="G5" s="101"/>
    </row>
    <row r="6" spans="1:15" ht="17.75" x14ac:dyDescent="0.45">
      <c r="B6" s="174" t="s">
        <v>6</v>
      </c>
      <c r="C6" s="174"/>
      <c r="D6" s="174"/>
      <c r="E6" s="81"/>
      <c r="F6" s="100"/>
    </row>
    <row r="7" spans="1:15" ht="17.75" x14ac:dyDescent="0.45">
      <c r="B7" s="181" t="s">
        <v>7</v>
      </c>
      <c r="C7" s="181"/>
      <c r="D7" s="181"/>
      <c r="E7" s="131">
        <f>SUM(E4:E6)</f>
        <v>-5830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75481</v>
      </c>
      <c r="F8" s="100"/>
      <c r="G8" s="103" t="s">
        <v>9</v>
      </c>
      <c r="H8" s="133">
        <f>E7-E8</f>
        <v>-81311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45894</v>
      </c>
      <c r="C11" s="82" t="s">
        <v>25</v>
      </c>
      <c r="D11" s="83">
        <v>68448081</v>
      </c>
      <c r="E11" s="84"/>
      <c r="F11" s="85" t="s">
        <v>149</v>
      </c>
      <c r="G11" s="86">
        <v>4990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45894</v>
      </c>
      <c r="C12" s="82" t="s">
        <v>25</v>
      </c>
      <c r="D12" s="83">
        <v>1214038783</v>
      </c>
      <c r="E12" s="87"/>
      <c r="F12" s="85" t="s">
        <v>150</v>
      </c>
      <c r="G12" s="86">
        <v>22501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45870</v>
      </c>
      <c r="C13" s="82" t="s">
        <v>25</v>
      </c>
      <c r="D13" s="83">
        <v>21537675</v>
      </c>
      <c r="E13" s="84"/>
      <c r="F13" s="85" t="s">
        <v>151</v>
      </c>
      <c r="G13" s="86">
        <v>990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45894</v>
      </c>
      <c r="C14" s="82" t="s">
        <v>25</v>
      </c>
      <c r="D14" s="83">
        <v>24</v>
      </c>
      <c r="E14" s="84"/>
      <c r="F14" s="85" t="s">
        <v>87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45876</v>
      </c>
      <c r="C15" s="82" t="s">
        <v>25</v>
      </c>
      <c r="D15" s="83">
        <v>6054</v>
      </c>
      <c r="E15" s="84"/>
      <c r="F15" s="85" t="s">
        <v>48</v>
      </c>
      <c r="G15" s="86">
        <v>6000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45894</v>
      </c>
      <c r="C16" s="82" t="s">
        <v>25</v>
      </c>
      <c r="D16" s="83"/>
      <c r="E16" s="84"/>
      <c r="F16" s="85" t="s">
        <v>48</v>
      </c>
      <c r="G16" s="86">
        <v>6000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/>
      <c r="C17" s="82"/>
      <c r="D17" s="83"/>
      <c r="E17" s="84"/>
      <c r="F17" s="85"/>
      <c r="G17" s="86"/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75481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O44"/>
  <sheetViews>
    <sheetView topLeftCell="A3" zoomScale="90" zoomScaleNormal="90" workbookViewId="0">
      <selection activeCell="B11" sqref="B11:G20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30</v>
      </c>
    </row>
    <row r="4" spans="1:15" ht="17.75" x14ac:dyDescent="0.45">
      <c r="B4" s="174" t="s">
        <v>4</v>
      </c>
      <c r="C4" s="174"/>
      <c r="D4" s="174"/>
      <c r="E4" s="130">
        <f>+'AGO25'!H8</f>
        <v>-81311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75481</v>
      </c>
      <c r="F5" s="100"/>
      <c r="G5" s="101"/>
    </row>
    <row r="6" spans="1:15" ht="17.75" x14ac:dyDescent="0.45">
      <c r="B6" s="174" t="s">
        <v>6</v>
      </c>
      <c r="C6" s="174"/>
      <c r="D6" s="174"/>
      <c r="E6" s="81"/>
      <c r="F6" s="100"/>
    </row>
    <row r="7" spans="1:15" ht="17.75" x14ac:dyDescent="0.45">
      <c r="B7" s="181" t="s">
        <v>7</v>
      </c>
      <c r="C7" s="181"/>
      <c r="D7" s="181"/>
      <c r="E7" s="131">
        <f>SUM(E4:E6)</f>
        <v>-5830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92323</v>
      </c>
      <c r="F8" s="100"/>
      <c r="G8" s="103" t="s">
        <v>9</v>
      </c>
      <c r="H8" s="133">
        <f>E7-E8</f>
        <v>-98153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45897</v>
      </c>
      <c r="C11" s="82" t="s">
        <v>25</v>
      </c>
      <c r="D11" s="83">
        <v>21545778</v>
      </c>
      <c r="E11" s="84"/>
      <c r="F11" s="85" t="s">
        <v>152</v>
      </c>
      <c r="G11" s="86">
        <v>2995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45897</v>
      </c>
      <c r="C12" s="82" t="s">
        <v>25</v>
      </c>
      <c r="D12" s="83">
        <v>21545728</v>
      </c>
      <c r="E12" s="87"/>
      <c r="F12" s="85" t="s">
        <v>157</v>
      </c>
      <c r="G12" s="86">
        <v>3490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45903</v>
      </c>
      <c r="C13" s="82" t="s">
        <v>25</v>
      </c>
      <c r="D13" s="83">
        <v>1887241</v>
      </c>
      <c r="E13" s="84"/>
      <c r="F13" s="85" t="s">
        <v>49</v>
      </c>
      <c r="G13" s="86">
        <v>5670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45907</v>
      </c>
      <c r="C14" s="82" t="s">
        <v>25</v>
      </c>
      <c r="D14" s="83">
        <v>13156641</v>
      </c>
      <c r="E14" s="84"/>
      <c r="F14" s="85" t="s">
        <v>153</v>
      </c>
      <c r="G14" s="86">
        <v>1980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45913</v>
      </c>
      <c r="C15" s="82" t="s">
        <v>158</v>
      </c>
      <c r="D15" s="83">
        <v>572420</v>
      </c>
      <c r="E15" s="84"/>
      <c r="F15" s="85" t="s">
        <v>154</v>
      </c>
      <c r="G15" s="86">
        <v>5000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45917</v>
      </c>
      <c r="C16" s="82" t="s">
        <v>145</v>
      </c>
      <c r="D16" s="83" t="s">
        <v>159</v>
      </c>
      <c r="E16" s="84"/>
      <c r="F16" s="85" t="s">
        <v>155</v>
      </c>
      <c r="G16" s="86">
        <v>3298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45920</v>
      </c>
      <c r="C17" s="82" t="s">
        <v>25</v>
      </c>
      <c r="D17" s="83">
        <v>11494014</v>
      </c>
      <c r="E17" s="84"/>
      <c r="F17" s="85" t="s">
        <v>160</v>
      </c>
      <c r="G17" s="86">
        <v>2890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45916</v>
      </c>
      <c r="C18" s="82" t="s">
        <v>25</v>
      </c>
      <c r="D18" s="83">
        <v>6088</v>
      </c>
      <c r="E18" s="84"/>
      <c r="F18" s="85" t="s">
        <v>61</v>
      </c>
      <c r="G18" s="86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45922</v>
      </c>
      <c r="C19" s="82" t="s">
        <v>25</v>
      </c>
      <c r="D19" s="83">
        <v>283</v>
      </c>
      <c r="E19" s="84"/>
      <c r="F19" s="85" t="s">
        <v>156</v>
      </c>
      <c r="G19" s="86">
        <v>26000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45924</v>
      </c>
      <c r="C20" s="82" t="s">
        <v>161</v>
      </c>
      <c r="D20" s="83">
        <v>32</v>
      </c>
      <c r="E20" s="84"/>
      <c r="F20" s="85" t="s">
        <v>162</v>
      </c>
      <c r="G20" s="86">
        <v>35000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92323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O44"/>
  <sheetViews>
    <sheetView zoomScale="90" zoomScaleNormal="90" workbookViewId="0">
      <selection activeCell="B11" sqref="B11:G17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41</v>
      </c>
    </row>
    <row r="4" spans="1:15" ht="17.75" x14ac:dyDescent="0.45">
      <c r="B4" s="174" t="s">
        <v>4</v>
      </c>
      <c r="C4" s="174"/>
      <c r="D4" s="174"/>
      <c r="E4" s="130">
        <v>92323</v>
      </c>
      <c r="F4" s="100"/>
      <c r="G4" s="101"/>
    </row>
    <row r="5" spans="1:15" ht="17.75" x14ac:dyDescent="0.45">
      <c r="B5" s="99" t="s">
        <v>5</v>
      </c>
      <c r="C5" s="99"/>
      <c r="D5" s="99"/>
      <c r="E5" s="80"/>
      <c r="F5" s="100"/>
      <c r="G5" s="101"/>
    </row>
    <row r="6" spans="1:15" ht="17.75" x14ac:dyDescent="0.45">
      <c r="B6" s="174" t="s">
        <v>6</v>
      </c>
      <c r="C6" s="174"/>
      <c r="D6" s="174"/>
      <c r="E6" s="81">
        <v>4</v>
      </c>
      <c r="F6" s="100"/>
    </row>
    <row r="7" spans="1:15" ht="17.75" x14ac:dyDescent="0.45">
      <c r="B7" s="181" t="s">
        <v>7</v>
      </c>
      <c r="C7" s="181"/>
      <c r="D7" s="181"/>
      <c r="E7" s="131">
        <f>SUM(E4:E6)</f>
        <v>92327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58180</v>
      </c>
      <c r="F8" s="100"/>
      <c r="G8" s="103" t="s">
        <v>9</v>
      </c>
      <c r="H8" s="133">
        <f>E7-E8</f>
        <v>34147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45940</v>
      </c>
      <c r="C11" s="82"/>
      <c r="D11" s="83">
        <v>341276</v>
      </c>
      <c r="E11" s="84"/>
      <c r="F11" s="85" t="s">
        <v>38</v>
      </c>
      <c r="G11" s="86">
        <v>2800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45940</v>
      </c>
      <c r="C12" s="82"/>
      <c r="D12" s="83">
        <v>112874</v>
      </c>
      <c r="E12" s="87"/>
      <c r="F12" s="85" t="s">
        <v>38</v>
      </c>
      <c r="G12" s="86">
        <v>9000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45939</v>
      </c>
      <c r="C13" s="82"/>
      <c r="D13" s="83">
        <v>1907067</v>
      </c>
      <c r="E13" s="84"/>
      <c r="F13" s="85" t="s">
        <v>49</v>
      </c>
      <c r="G13" s="86">
        <v>3780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45950</v>
      </c>
      <c r="C14" s="82"/>
      <c r="D14" s="83">
        <v>38</v>
      </c>
      <c r="E14" s="84"/>
      <c r="F14" s="85" t="s">
        <v>87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45936</v>
      </c>
      <c r="C15" s="82"/>
      <c r="D15" s="83">
        <v>8867132</v>
      </c>
      <c r="E15" s="84"/>
      <c r="F15" s="85" t="s">
        <v>163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45936</v>
      </c>
      <c r="C16" s="82"/>
      <c r="D16" s="83">
        <v>8799398</v>
      </c>
      <c r="E16" s="84"/>
      <c r="F16" s="85" t="s">
        <v>163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45938</v>
      </c>
      <c r="C17" s="82"/>
      <c r="D17" s="83">
        <v>6108</v>
      </c>
      <c r="E17" s="84"/>
      <c r="F17" s="85" t="s">
        <v>48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58180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O45"/>
  <sheetViews>
    <sheetView topLeftCell="A4" zoomScale="90" zoomScaleNormal="90" workbookViewId="0">
      <selection activeCell="B11" sqref="B11:G22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58</v>
      </c>
    </row>
    <row r="4" spans="1:15" ht="17.75" x14ac:dyDescent="0.45">
      <c r="B4" s="174" t="s">
        <v>4</v>
      </c>
      <c r="C4" s="174"/>
      <c r="D4" s="174"/>
      <c r="E4" s="130">
        <f>+'OCT25'!H8</f>
        <v>34147</v>
      </c>
      <c r="F4" s="100"/>
      <c r="G4" s="101"/>
    </row>
    <row r="5" spans="1:15" ht="17.75" x14ac:dyDescent="0.45">
      <c r="B5" s="99" t="s">
        <v>5</v>
      </c>
      <c r="C5" s="99"/>
      <c r="D5" s="99"/>
      <c r="E5" s="80"/>
      <c r="F5" s="100"/>
      <c r="G5" s="101"/>
    </row>
    <row r="6" spans="1:15" ht="17.75" x14ac:dyDescent="0.45">
      <c r="B6" s="174" t="s">
        <v>6</v>
      </c>
      <c r="C6" s="174"/>
      <c r="D6" s="174"/>
      <c r="E6" s="81">
        <v>4</v>
      </c>
      <c r="F6" s="100"/>
    </row>
    <row r="7" spans="1:15" ht="17.75" x14ac:dyDescent="0.45">
      <c r="B7" s="181" t="s">
        <v>7</v>
      </c>
      <c r="C7" s="181"/>
      <c r="D7" s="181"/>
      <c r="E7" s="131">
        <f>SUM(E4:E6)</f>
        <v>34151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+G27</f>
        <v>83497</v>
      </c>
      <c r="F8" s="100"/>
      <c r="G8" s="103" t="s">
        <v>9</v>
      </c>
      <c r="H8" s="133">
        <f>E7-E8</f>
        <v>-49346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45960</v>
      </c>
      <c r="C11" s="163"/>
      <c r="D11" s="83"/>
      <c r="E11" s="84"/>
      <c r="F11" s="85" t="s">
        <v>164</v>
      </c>
      <c r="G11" s="86">
        <v>3800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45960</v>
      </c>
      <c r="C12" s="163"/>
      <c r="D12" s="83"/>
      <c r="E12" s="87"/>
      <c r="F12" s="85" t="s">
        <v>164</v>
      </c>
      <c r="G12" s="86">
        <v>2600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/>
      <c r="C13" s="163"/>
      <c r="D13" s="83"/>
      <c r="E13" s="84"/>
      <c r="F13" s="85" t="s">
        <v>168</v>
      </c>
      <c r="G13" s="86">
        <v>800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/>
      <c r="C14" s="163"/>
      <c r="D14" s="83"/>
      <c r="E14" s="84"/>
      <c r="F14" s="85" t="s">
        <v>168</v>
      </c>
      <c r="G14" s="86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/>
      <c r="C15" s="163"/>
      <c r="D15" s="83"/>
      <c r="E15" s="84"/>
      <c r="F15" s="85" t="s">
        <v>168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/>
      <c r="C16" s="163"/>
      <c r="D16" s="83"/>
      <c r="E16" s="84"/>
      <c r="F16" s="85" t="s">
        <v>168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6.55" customHeight="1" x14ac:dyDescent="0.45">
      <c r="A17" s="113">
        <v>7</v>
      </c>
      <c r="B17" s="82">
        <v>45966</v>
      </c>
      <c r="C17" s="163">
        <v>6138</v>
      </c>
      <c r="D17" s="83"/>
      <c r="E17" s="84"/>
      <c r="F17" s="85" t="s">
        <v>61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45967</v>
      </c>
      <c r="C18" s="163">
        <v>3224433758</v>
      </c>
      <c r="D18" s="83"/>
      <c r="E18" s="84"/>
      <c r="F18" s="85" t="s">
        <v>169</v>
      </c>
      <c r="G18" s="86">
        <v>4121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45974</v>
      </c>
      <c r="C19" s="163">
        <v>28871</v>
      </c>
      <c r="D19" s="83"/>
      <c r="E19" s="84"/>
      <c r="F19" s="85" t="s">
        <v>165</v>
      </c>
      <c r="G19" s="86">
        <v>3000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45976</v>
      </c>
      <c r="C20" s="163">
        <v>52139</v>
      </c>
      <c r="D20" s="83"/>
      <c r="E20" s="84"/>
      <c r="F20" s="85" t="s">
        <v>166</v>
      </c>
      <c r="G20" s="86">
        <v>3690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45978</v>
      </c>
      <c r="C21" s="163">
        <v>1233000736</v>
      </c>
      <c r="D21" s="83"/>
      <c r="E21" s="84"/>
      <c r="F21" s="85" t="s">
        <v>170</v>
      </c>
      <c r="G21" s="86">
        <v>22086</v>
      </c>
      <c r="H21" s="114"/>
      <c r="I21" s="112"/>
      <c r="J21" s="112"/>
      <c r="K21" s="112"/>
      <c r="L21" s="112"/>
      <c r="M21" s="112"/>
      <c r="N21" s="112"/>
      <c r="O21" s="112"/>
    </row>
    <row r="22" spans="1:15" ht="17.2" x14ac:dyDescent="0.45">
      <c r="A22" s="113">
        <v>12</v>
      </c>
      <c r="B22" s="82">
        <v>45978</v>
      </c>
      <c r="C22" s="163"/>
      <c r="D22" s="83"/>
      <c r="E22" s="84"/>
      <c r="F22" s="85" t="s">
        <v>167</v>
      </c>
      <c r="G22" s="86">
        <v>35000</v>
      </c>
      <c r="H22" s="114"/>
    </row>
    <row r="23" spans="1:15" ht="17.2" x14ac:dyDescent="0.45">
      <c r="A23" s="113">
        <v>13</v>
      </c>
      <c r="B23" s="82"/>
      <c r="C23" s="163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163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163"/>
      <c r="D25" s="83"/>
      <c r="E25" s="84"/>
      <c r="F25" s="85"/>
      <c r="G25" s="86"/>
      <c r="H25" s="114"/>
    </row>
    <row r="26" spans="1:15" ht="17.2" x14ac:dyDescent="0.45">
      <c r="A26" s="113">
        <v>16</v>
      </c>
      <c r="B26" s="82"/>
      <c r="C26" s="163"/>
      <c r="D26" s="83"/>
      <c r="E26" s="84"/>
      <c r="F26" s="85"/>
      <c r="G26" s="86"/>
      <c r="H26" s="114"/>
    </row>
    <row r="27" spans="1:15" s="112" customFormat="1" ht="17.75" x14ac:dyDescent="0.45">
      <c r="B27" s="117" t="s">
        <v>23</v>
      </c>
      <c r="C27" s="118"/>
      <c r="D27" s="119"/>
      <c r="E27" s="119"/>
      <c r="F27" s="119"/>
      <c r="G27" s="134">
        <f>SUM(G11:G26)</f>
        <v>83497</v>
      </c>
    </row>
    <row r="28" spans="1:15" s="112" customFormat="1" ht="17.75" x14ac:dyDescent="0.45">
      <c r="B28" s="120"/>
      <c r="C28" s="120"/>
      <c r="D28" s="121"/>
      <c r="E28" s="121"/>
      <c r="F28" s="121"/>
      <c r="G28" s="122"/>
    </row>
    <row r="29" spans="1:15" s="112" customFormat="1" ht="17.75" x14ac:dyDescent="0.45">
      <c r="B29" s="123"/>
      <c r="C29" s="123"/>
      <c r="D29" s="124"/>
      <c r="E29" s="124"/>
      <c r="F29" s="124"/>
      <c r="G29" s="125"/>
    </row>
    <row r="30" spans="1:15" ht="17.75" x14ac:dyDescent="0.45">
      <c r="B30" s="174"/>
      <c r="C30" s="174"/>
      <c r="D30" s="175"/>
      <c r="E30" s="176"/>
      <c r="F30" s="177"/>
    </row>
    <row r="31" spans="1:15" ht="17.75" x14ac:dyDescent="0.45">
      <c r="B31" s="178"/>
      <c r="C31" s="178"/>
      <c r="D31" s="179"/>
      <c r="E31" s="127"/>
      <c r="F31" s="112" t="s">
        <v>81</v>
      </c>
      <c r="G31" s="126"/>
    </row>
    <row r="32" spans="1:15" s="112" customFormat="1" ht="17.75" x14ac:dyDescent="0.45">
      <c r="B32" s="123"/>
      <c r="C32" s="123"/>
      <c r="D32" s="124"/>
      <c r="E32" s="124"/>
      <c r="F32" s="112" t="s">
        <v>82</v>
      </c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  <row r="45" spans="2:7" s="112" customFormat="1" ht="17.75" x14ac:dyDescent="0.45">
      <c r="B45" s="123"/>
      <c r="C45" s="123"/>
      <c r="D45" s="124"/>
      <c r="E45" s="124"/>
      <c r="F45" s="124"/>
      <c r="G45" s="125"/>
    </row>
  </sheetData>
  <mergeCells count="9">
    <mergeCell ref="B30:D30"/>
    <mergeCell ref="E30:F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O44"/>
  <sheetViews>
    <sheetView tabSelected="1" topLeftCell="A10" zoomScaleNormal="100" workbookViewId="0">
      <selection activeCell="B11" sqref="B11:G2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80" t="s">
        <v>0</v>
      </c>
      <c r="D1" s="180"/>
      <c r="E1" s="180"/>
      <c r="F1" s="180"/>
      <c r="G1" s="180"/>
      <c r="H1" s="180"/>
    </row>
    <row r="2" spans="1:15" ht="38.950000000000003" customHeight="1" x14ac:dyDescent="0.6">
      <c r="B2" s="92"/>
      <c r="C2" s="180" t="s">
        <v>1</v>
      </c>
      <c r="D2" s="180"/>
      <c r="E2" s="180"/>
      <c r="F2" s="180"/>
      <c r="G2" s="180"/>
      <c r="H2" s="180"/>
    </row>
    <row r="3" spans="1:15" ht="24.05" customHeight="1" x14ac:dyDescent="0.55000000000000004">
      <c r="D3" s="94"/>
      <c r="F3" s="96"/>
      <c r="G3" s="97" t="s">
        <v>2</v>
      </c>
      <c r="H3" s="98" t="s">
        <v>65</v>
      </c>
    </row>
    <row r="4" spans="1:15" ht="17.75" x14ac:dyDescent="0.45">
      <c r="B4" s="174" t="s">
        <v>4</v>
      </c>
      <c r="C4" s="174"/>
      <c r="D4" s="174"/>
      <c r="E4" s="130">
        <f>+'NOV25'!H8</f>
        <v>-49346</v>
      </c>
      <c r="F4" s="100"/>
      <c r="G4" s="101"/>
    </row>
    <row r="5" spans="1:15" ht="17.75" x14ac:dyDescent="0.45">
      <c r="B5" s="99" t="s">
        <v>5</v>
      </c>
      <c r="C5" s="99"/>
      <c r="D5" s="99"/>
      <c r="E5" s="80"/>
      <c r="F5" s="100"/>
      <c r="G5" s="101"/>
    </row>
    <row r="6" spans="1:15" ht="17.75" x14ac:dyDescent="0.45">
      <c r="B6" s="174" t="s">
        <v>6</v>
      </c>
      <c r="C6" s="174"/>
      <c r="D6" s="174"/>
      <c r="E6" s="81">
        <v>4</v>
      </c>
      <c r="F6" s="100"/>
    </row>
    <row r="7" spans="1:15" ht="17.75" x14ac:dyDescent="0.45">
      <c r="B7" s="181" t="s">
        <v>7</v>
      </c>
      <c r="C7" s="181"/>
      <c r="D7" s="181"/>
      <c r="E7" s="131">
        <f>SUM(E4:E6)</f>
        <v>-49342</v>
      </c>
      <c r="F7" s="100"/>
      <c r="G7" s="102"/>
    </row>
    <row r="8" spans="1:15" ht="17.75" x14ac:dyDescent="0.45">
      <c r="B8" s="182" t="s">
        <v>8</v>
      </c>
      <c r="C8" s="182"/>
      <c r="D8" s="182"/>
      <c r="E8" s="132">
        <f>+G26</f>
        <v>94510</v>
      </c>
      <c r="F8" s="100"/>
      <c r="G8" s="103" t="s">
        <v>9</v>
      </c>
      <c r="H8" s="133">
        <f>E7-E8</f>
        <v>-143852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45630</v>
      </c>
      <c r="C11" s="82"/>
      <c r="D11" s="83">
        <v>135032</v>
      </c>
      <c r="E11" s="84"/>
      <c r="F11" s="85" t="s">
        <v>64</v>
      </c>
      <c r="G11" s="86">
        <v>4200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45996</v>
      </c>
      <c r="C12" s="82"/>
      <c r="D12" s="83">
        <v>1270512487</v>
      </c>
      <c r="E12" s="87"/>
      <c r="F12" s="85" t="s">
        <v>38</v>
      </c>
      <c r="G12" s="86">
        <v>4040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45990</v>
      </c>
      <c r="C13" s="82"/>
      <c r="D13" s="83">
        <v>774191</v>
      </c>
      <c r="E13" s="84"/>
      <c r="F13" s="85" t="s">
        <v>171</v>
      </c>
      <c r="G13" s="86">
        <v>3400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45987</v>
      </c>
      <c r="C14" s="82"/>
      <c r="D14" s="83">
        <v>304155</v>
      </c>
      <c r="E14" s="84"/>
      <c r="F14" s="85" t="s">
        <v>172</v>
      </c>
      <c r="G14" s="86">
        <v>6000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45993</v>
      </c>
      <c r="C15" s="82"/>
      <c r="D15" s="83">
        <v>9874</v>
      </c>
      <c r="E15" s="84"/>
      <c r="F15" s="85" t="s">
        <v>173</v>
      </c>
      <c r="G15" s="86">
        <v>2500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46008</v>
      </c>
      <c r="C16" s="82"/>
      <c r="D16" s="83">
        <v>1947152</v>
      </c>
      <c r="E16" s="84"/>
      <c r="F16" s="85" t="s">
        <v>174</v>
      </c>
      <c r="G16" s="86">
        <v>1380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45995</v>
      </c>
      <c r="C17" s="82"/>
      <c r="D17" s="83">
        <v>6181</v>
      </c>
      <c r="E17" s="84"/>
      <c r="F17" s="85" t="s">
        <v>61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46010</v>
      </c>
      <c r="C18" s="82"/>
      <c r="D18" s="83">
        <v>1947581</v>
      </c>
      <c r="E18" s="84"/>
      <c r="F18" s="85" t="s">
        <v>175</v>
      </c>
      <c r="G18" s="86">
        <v>1350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46003</v>
      </c>
      <c r="C19" s="82"/>
      <c r="D19" s="83">
        <v>11840</v>
      </c>
      <c r="E19" s="84"/>
      <c r="F19" s="85" t="s">
        <v>176</v>
      </c>
      <c r="G19" s="86">
        <v>2200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46004</v>
      </c>
      <c r="C20" s="82"/>
      <c r="D20" s="83">
        <v>777606</v>
      </c>
      <c r="E20" s="84"/>
      <c r="F20" s="85" t="s">
        <v>177</v>
      </c>
      <c r="G20" s="86">
        <v>3300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45642</v>
      </c>
      <c r="C21" s="82"/>
      <c r="D21" s="83">
        <v>14066917</v>
      </c>
      <c r="E21" s="84"/>
      <c r="F21" s="85" t="s">
        <v>178</v>
      </c>
      <c r="G21" s="86">
        <v>2490</v>
      </c>
      <c r="H21" s="114"/>
    </row>
    <row r="22" spans="1:15" ht="17.2" x14ac:dyDescent="0.45">
      <c r="A22" s="113">
        <v>12</v>
      </c>
      <c r="B22" s="82">
        <v>45646</v>
      </c>
      <c r="C22" s="82"/>
      <c r="D22" s="83">
        <v>1246786929</v>
      </c>
      <c r="E22" s="84"/>
      <c r="F22" s="85" t="s">
        <v>179</v>
      </c>
      <c r="G22" s="86">
        <v>3770</v>
      </c>
      <c r="H22" s="114"/>
    </row>
    <row r="23" spans="1:15" ht="17.2" x14ac:dyDescent="0.45">
      <c r="A23" s="113">
        <v>13</v>
      </c>
      <c r="B23" s="82">
        <v>45650</v>
      </c>
      <c r="C23" s="82"/>
      <c r="D23" s="83">
        <v>13005054</v>
      </c>
      <c r="E23" s="84"/>
      <c r="F23" s="85" t="s">
        <v>180</v>
      </c>
      <c r="G23" s="86">
        <v>12880</v>
      </c>
      <c r="H23" s="114"/>
    </row>
    <row r="24" spans="1:15" ht="17.2" x14ac:dyDescent="0.45">
      <c r="A24" s="113">
        <v>14</v>
      </c>
      <c r="B24" s="82">
        <v>46019</v>
      </c>
      <c r="C24" s="82"/>
      <c r="D24" s="83">
        <v>52</v>
      </c>
      <c r="E24" s="84"/>
      <c r="F24" s="85" t="s">
        <v>57</v>
      </c>
      <c r="G24" s="86">
        <v>35000</v>
      </c>
      <c r="H24" s="114"/>
    </row>
    <row r="25" spans="1:15" ht="17.2" x14ac:dyDescent="0.45">
      <c r="A25" s="113">
        <v>15</v>
      </c>
      <c r="B25" s="82">
        <v>46021</v>
      </c>
      <c r="C25" s="82"/>
      <c r="D25" s="83">
        <v>6212</v>
      </c>
      <c r="E25" s="84"/>
      <c r="F25" s="85" t="s">
        <v>21</v>
      </c>
      <c r="G25" s="86">
        <v>6000</v>
      </c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94510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74"/>
      <c r="C29" s="174"/>
      <c r="D29" s="175"/>
      <c r="E29" s="176"/>
      <c r="F29" s="177"/>
    </row>
    <row r="30" spans="1:15" ht="17.75" x14ac:dyDescent="0.45">
      <c r="B30" s="178"/>
      <c r="C30" s="178"/>
      <c r="D30" s="179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BB15F815-0949-4DDB-99A9-26FD5D3F3B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FFE796-7094-4041-B08D-CE15792EA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C37919-D2D3-446F-A781-1190A95AC8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18</vt:i4>
      </vt:variant>
    </vt:vector>
  </HeadingPairs>
  <TitlesOfParts>
    <vt:vector size="36" baseType="lpstr">
      <vt:lpstr>JULIO </vt:lpstr>
      <vt:lpstr>AGOSTO</vt:lpstr>
      <vt:lpstr>SEPTIEMBRE</vt:lpstr>
      <vt:lpstr>OCTUBRE</vt:lpstr>
      <vt:lpstr>NOVIEMBRE</vt:lpstr>
      <vt:lpstr>DICIEMBRE</vt:lpstr>
      <vt:lpstr>ENERO 25</vt:lpstr>
      <vt:lpstr>FEB25</vt:lpstr>
      <vt:lpstr>MAR25</vt:lpstr>
      <vt:lpstr>ABR25</vt:lpstr>
      <vt:lpstr>MAY25</vt:lpstr>
      <vt:lpstr>JUN25</vt:lpstr>
      <vt:lpstr>JUL25 </vt:lpstr>
      <vt:lpstr>AGO25</vt:lpstr>
      <vt:lpstr>SEPT25</vt:lpstr>
      <vt:lpstr>OCT25</vt:lpstr>
      <vt:lpstr>NOV25</vt:lpstr>
      <vt:lpstr>DIC25</vt:lpstr>
      <vt:lpstr>'ABR25'!Área_de_impresión</vt:lpstr>
      <vt:lpstr>'AGO25'!Área_de_impresión</vt:lpstr>
      <vt:lpstr>AGOSTO!Área_de_impresión</vt:lpstr>
      <vt:lpstr>'DIC25'!Área_de_impresión</vt:lpstr>
      <vt:lpstr>DICIEMBRE!Área_de_impresión</vt:lpstr>
      <vt:lpstr>'ENERO 25'!Área_de_impresión</vt:lpstr>
      <vt:lpstr>'FEB25'!Área_de_impresión</vt:lpstr>
      <vt:lpstr>'JUL25 '!Área_de_impresión</vt:lpstr>
      <vt:lpstr>'JULIO '!Área_de_impresión</vt:lpstr>
      <vt:lpstr>'JUN25'!Área_de_impresión</vt:lpstr>
      <vt:lpstr>'MAR25'!Área_de_impresión</vt:lpstr>
      <vt:lpstr>'MAY25'!Área_de_impresión</vt:lpstr>
      <vt:lpstr>'NOV25'!Área_de_impresión</vt:lpstr>
      <vt:lpstr>NOVIEMBRE!Área_de_impresión</vt:lpstr>
      <vt:lpstr>'OCT25'!Área_de_impresión</vt:lpstr>
      <vt:lpstr>OCTUBRE!Área_de_impresión</vt:lpstr>
      <vt:lpstr>SEPT25!Área_de_impresión</vt:lpstr>
      <vt:lpstr>SEPTIEMBRE!Área_de_impresión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2026-02-13T23:18:58Z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