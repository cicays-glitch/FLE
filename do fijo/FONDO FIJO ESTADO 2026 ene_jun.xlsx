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0" documentId="8_{9F596617-64E6-484A-AEF2-0575A015FF12}" xr6:coauthVersionLast="47" xr6:coauthVersionMax="47" xr10:uidLastSave="{00000000-0000-0000-0000-000000000000}"/>
  <bookViews>
    <workbookView xWindow="20525" yWindow="-107" windowWidth="20848" windowHeight="11111" tabRatio="604" activeTab="6" xr2:uid="{00000000-000D-0000-FFFF-FFFF00000000}"/>
  </bookViews>
  <sheets>
    <sheet name="ago" sheetId="8" r:id="rId1"/>
    <sheet name="sep" sheetId="9" r:id="rId2"/>
    <sheet name="oct" sheetId="10" r:id="rId3"/>
    <sheet name="nov" sheetId="11" r:id="rId4"/>
    <sheet name="dic" sheetId="12" r:id="rId5"/>
    <sheet name="ENE 2026" sheetId="13" r:id="rId6"/>
    <sheet name="FEB 2026" sheetId="14" r:id="rId7"/>
    <sheet name="MAR 2026" sheetId="15" r:id="rId8"/>
    <sheet name="ABR 2026" sheetId="16" r:id="rId9"/>
    <sheet name="MAY 2026" sheetId="17" r:id="rId10"/>
    <sheet name="JUN 2026" sheetId="1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8" l="1"/>
  <c r="E8" i="18"/>
  <c r="G25" i="17"/>
  <c r="E8" i="17"/>
  <c r="G25" i="16"/>
  <c r="E8" i="16"/>
  <c r="G25" i="15"/>
  <c r="E8" i="15"/>
  <c r="G25" i="14"/>
  <c r="E8" i="14" s="1"/>
  <c r="G25" i="13"/>
  <c r="E8" i="13" s="1"/>
  <c r="G25" i="12"/>
  <c r="E8" i="12" s="1"/>
  <c r="G25" i="11"/>
  <c r="E8" i="11"/>
  <c r="G26" i="10"/>
  <c r="E8" i="10" s="1"/>
  <c r="E8" i="9"/>
  <c r="G26" i="9"/>
  <c r="G26" i="8"/>
  <c r="E8" i="8" s="1"/>
  <c r="E7" i="8" l="1"/>
  <c r="H8" i="8" s="1"/>
  <c r="E4" i="9" s="1"/>
  <c r="E7" i="9" s="1"/>
  <c r="H8" i="9" s="1"/>
  <c r="E4" i="10" s="1"/>
  <c r="E7" i="10" s="1"/>
  <c r="H8" i="10" s="1"/>
  <c r="E4" i="11" s="1"/>
  <c r="E7" i="11" s="1"/>
  <c r="H8" i="11" s="1"/>
  <c r="E4" i="12" s="1"/>
  <c r="E7" i="12" s="1"/>
  <c r="H8" i="12" s="1"/>
  <c r="E4" i="13" s="1"/>
  <c r="E7" i="13" s="1"/>
  <c r="H8" i="13" s="1"/>
  <c r="E4" i="14" s="1"/>
  <c r="E7" i="14" s="1"/>
  <c r="H8" i="14" s="1"/>
  <c r="E4" i="15" s="1"/>
  <c r="E7" i="15" s="1"/>
  <c r="H8" i="15" s="1"/>
  <c r="E4" i="16" s="1"/>
  <c r="E7" i="16" s="1"/>
  <c r="H8" i="16" s="1"/>
  <c r="E4" i="17" s="1"/>
  <c r="E7" i="17" s="1"/>
  <c r="H8" i="17" s="1"/>
  <c r="E4" i="18" s="1"/>
  <c r="E7" i="18" s="1"/>
  <c r="H8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AA26BE15-A5BE-4F09-BEFD-F5E7308553DD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313871BF-79F9-463E-847F-64E6591D50DA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32671A8F-8C25-485D-A554-935BC6152186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6D5A57B9-9ACB-4901-B562-CA5F9CF91FA4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BC19394E-6F41-4489-8EF7-F8EDA4F4A07B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F10269F1-389E-4B43-8123-D55671D491CA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79CF4DF5-3063-4439-88F3-66AE7C617DAB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3A5E125D-B2C4-4697-A2F1-905F0436FC43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FB4476A8-3C15-4D22-86CC-587F056EF6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FC32FF87-9935-498A-B50C-752058EBFDF2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11933DF-9FE5-4F9F-86BE-3CD51D971B04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42EAD318-0F9F-4F2B-BE45-25D7C4C17F43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80AC86F-C4DC-4CB0-A3DD-2BB132D24365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EEF41D84-BE83-426C-836F-A91B26313235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920D711F-147D-4694-815E-933861250431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845F0A1E-E34D-45D0-BFD8-9352E4D1AD41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AB2586E4-1804-4300-8FAC-F4105804F2BC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8257BF51-BA93-4B91-997D-2106E93E9EC3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4F734043-4BD0-4B7E-806B-DCE1AA27A167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E49C714A-8AE8-4478-B9DD-47B5BC30420D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sharedStrings.xml><?xml version="1.0" encoding="utf-8"?>
<sst xmlns="http://schemas.openxmlformats.org/spreadsheetml/2006/main" count="254" uniqueCount="46">
  <si>
    <t xml:space="preserve">RENDICION CAJA CHICA  </t>
  </si>
  <si>
    <t>ESTADO</t>
  </si>
  <si>
    <t>MES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</si>
  <si>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</si>
  <si>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</si>
  <si>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</si>
  <si>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</si>
  <si>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</si>
  <si>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</si>
  <si>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</si>
  <si>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</si>
  <si>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</si>
  <si>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</si>
  <si>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</si>
  <si>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</si>
  <si>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</si>
  <si>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190</t>
  </si>
  <si>
    <t>AGUA</t>
  </si>
  <si>
    <t>TOTALES</t>
  </si>
  <si>
    <t>BOLETA</t>
  </si>
  <si>
    <t>ENERO</t>
  </si>
  <si>
    <t>FEBRERO</t>
  </si>
  <si>
    <t>MARZO</t>
  </si>
  <si>
    <t>Boleta</t>
  </si>
  <si>
    <t>Agua</t>
  </si>
  <si>
    <t>JUNIO</t>
  </si>
  <si>
    <t>ABRIL</t>
  </si>
  <si>
    <t>MAYO</t>
  </si>
  <si>
    <t>AGOSTO</t>
  </si>
  <si>
    <t>Pilas control</t>
  </si>
  <si>
    <t>Factura</t>
  </si>
  <si>
    <t>Mantecion cortina</t>
  </si>
  <si>
    <t>SEPTIEMBRE</t>
  </si>
  <si>
    <t>Desayuno equipo</t>
  </si>
  <si>
    <t>.</t>
  </si>
  <si>
    <t>octubre</t>
  </si>
  <si>
    <t>FACTURA</t>
  </si>
  <si>
    <t>LIMPIEZA DE FACHADAS</t>
  </si>
  <si>
    <t>ALCOHOL</t>
  </si>
  <si>
    <t>CORDEL PLASTICO</t>
  </si>
  <si>
    <t>noviembre</t>
  </si>
  <si>
    <t>adaptador usb</t>
  </si>
  <si>
    <t xml:space="preserve">articulos para tienda </t>
  </si>
  <si>
    <t>mantencion de cortinas metalicas</t>
  </si>
  <si>
    <t>articulos para tienda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</si>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</sst>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2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2"/>
      <color rgb="FF0070C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57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1" fontId="17" fillId="2" borderId="3" xfId="0" applyNumberFormat="1" applyFont="1" applyFill="1" applyBorder="1" applyAlignment="1">
      <alignment horizontal="left" wrapText="1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1" fillId="2" borderId="0" xfId="0" applyFont="1" applyFill="1"/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49" fontId="21" fillId="2" borderId="1" xfId="0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219076</xdr:colOff>
      <xdr:row>0</xdr:row>
      <xdr:rowOff>1</xdr:rowOff>
    </xdr:from>
    <xdr:to>
      <xdr:col>1</xdr:col>
      <xdr:colOff>619126</xdr:colOff>
      <xdr:row>2</xdr:row>
      <xdr:rowOff>9526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"/>
          <a:ext cx="647700" cy="1047750"/>
        </a:xfrm>
        <a:prstGeom prst="rect">
          <a:avLst/>
        </a:prstGeom>
      </xdr:spPr>
    </xdr:pic>
    <xdr:clientData/>
  </xdr:twoCellAnchor>
  <xdr:twoCellAnchor editAs="oneCell">
    <xdr:from>
      <xdr:col>8</xdr:col>
      <xdr:colOff>504825</xdr:colOff>
      <xdr:row>7</xdr:row>
      <xdr:rowOff>85725</xdr:rowOff>
    </xdr:from>
    <xdr:to>
      <xdr:col>16</xdr:col>
      <xdr:colOff>677150</xdr:colOff>
      <xdr:row>17</xdr:row>
      <xdr:rowOff>76693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193178-F46F-1780-AB34-FC8AE9734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5975" y="2305050"/>
          <a:ext cx="6268325" cy="3534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161166A-5DFB-87C0-31BD-06C4628FC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  <xdr:twoCellAnchor editAs="oneCell">
    <xdr:from>
      <xdr:col>7</xdr:col>
      <xdr:colOff>810334</xdr:colOff>
      <xdr:row>3</xdr:row>
      <xdr:rowOff>196186</xdr:rowOff>
    </xdr:from>
    <xdr:to>
      <xdr:col>15</xdr:col>
      <xdr:colOff>240510</xdr:colOff>
      <xdr:row>5</xdr:row>
      <xdr:rowOff>67002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B94FE9C-0FFE-BD8F-AA23-021D0C626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3708" y="1526842"/>
          <a:ext cx="5887272" cy="314369"/>
        </a:xfrm>
        <a:prstGeom prst="rect">
          <a:avLst/>
        </a:prstGeom>
      </xdr:spPr>
    </xdr:pic>
    <xdr:clientData/>
  </xdr:twoCellAnchor>
  <xdr:twoCellAnchor editAs="oneCell">
    <xdr:from>
      <xdr:col>8</xdr:col>
      <xdr:colOff>477671</xdr:colOff>
      <xdr:row>7</xdr:row>
      <xdr:rowOff>61354</xdr:rowOff>
    </xdr:from>
    <xdr:to>
      <xdr:col>16</xdr:col>
      <xdr:colOff>218069</xdr:colOff>
      <xdr:row>8</xdr:row>
      <xdr:rowOff>168802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1A0CEA5-C42C-61E3-C867-ADD451DB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4626" y="2279115"/>
          <a:ext cx="5950129" cy="329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4D883E-4458-41B2-923A-20D499BE2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14</xdr:col>
      <xdr:colOff>715551</xdr:colOff>
      <xdr:row>5</xdr:row>
      <xdr:rowOff>149751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671F0D-CED6-D413-F522-4CAB111B9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16955" y="1552433"/>
          <a:ext cx="5372850" cy="371527"/>
        </a:xfrm>
        <a:prstGeom prst="rect">
          <a:avLst/>
        </a:prstGeom>
      </xdr:spPr>
    </xdr:pic>
    <xdr:clientData/>
  </xdr:twoCellAnchor>
  <xdr:twoCellAnchor editAs="oneCell">
    <xdr:from>
      <xdr:col>8</xdr:col>
      <xdr:colOff>230306</xdr:colOff>
      <xdr:row>7</xdr:row>
      <xdr:rowOff>91680</xdr:rowOff>
    </xdr:from>
    <xdr:to>
      <xdr:col>16</xdr:col>
      <xdr:colOff>299262</xdr:colOff>
      <xdr:row>8</xdr:row>
      <xdr:rowOff>269607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2173AF5-713F-A5EA-14F6-14197B2AF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47261" y="2309441"/>
          <a:ext cx="6278687" cy="3997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0FAFB8-9831-4558-9B8D-4FEE35703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  <xdr:twoCellAnchor editAs="oneCell">
    <xdr:from>
      <xdr:col>8</xdr:col>
      <xdr:colOff>383843</xdr:colOff>
      <xdr:row>3</xdr:row>
      <xdr:rowOff>204717</xdr:rowOff>
    </xdr:from>
    <xdr:to>
      <xdr:col>15</xdr:col>
      <xdr:colOff>113599</xdr:colOff>
      <xdr:row>6</xdr:row>
      <xdr:rowOff>25231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9A785DC-4652-0186-FDEE-14E00DBC7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0798" y="1535373"/>
          <a:ext cx="5163271" cy="485843"/>
        </a:xfrm>
        <a:prstGeom prst="rect">
          <a:avLst/>
        </a:prstGeom>
      </xdr:spPr>
    </xdr:pic>
    <xdr:clientData/>
  </xdr:twoCellAnchor>
  <xdr:twoCellAnchor editAs="oneCell">
    <xdr:from>
      <xdr:col>8</xdr:col>
      <xdr:colOff>417963</xdr:colOff>
      <xdr:row>8</xdr:row>
      <xdr:rowOff>11977</xdr:rowOff>
    </xdr:from>
    <xdr:to>
      <xdr:col>15</xdr:col>
      <xdr:colOff>616540</xdr:colOff>
      <xdr:row>9</xdr:row>
      <xdr:rowOff>82946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9C13B4-55A9-6F6C-9D8A-9B36E3573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34918" y="2451515"/>
          <a:ext cx="5632092" cy="3780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601DB5-5C86-4D48-BA07-96F016121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  <xdr:twoCellAnchor editAs="oneCell">
    <xdr:from>
      <xdr:col>8</xdr:col>
      <xdr:colOff>76769</xdr:colOff>
      <xdr:row>3</xdr:row>
      <xdr:rowOff>153537</xdr:rowOff>
    </xdr:from>
    <xdr:to>
      <xdr:col>15</xdr:col>
      <xdr:colOff>92314</xdr:colOff>
      <xdr:row>5</xdr:row>
      <xdr:rowOff>129142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2338C5E-C360-A0AF-76E8-2DC72861A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3724" y="1484193"/>
          <a:ext cx="5449060" cy="419158"/>
        </a:xfrm>
        <a:prstGeom prst="rect">
          <a:avLst/>
        </a:prstGeom>
      </xdr:spPr>
    </xdr:pic>
    <xdr:clientData/>
  </xdr:twoCellAnchor>
  <xdr:twoCellAnchor editAs="oneCell">
    <xdr:from>
      <xdr:col>8</xdr:col>
      <xdr:colOff>238836</xdr:colOff>
      <xdr:row>7</xdr:row>
      <xdr:rowOff>165847</xdr:rowOff>
    </xdr:from>
    <xdr:to>
      <xdr:col>16</xdr:col>
      <xdr:colOff>127788</xdr:colOff>
      <xdr:row>15</xdr:row>
      <xdr:rowOff>144689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0EE1BF1-2A2F-64F9-2209-62C107939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55791" y="2383608"/>
          <a:ext cx="6098683" cy="33310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BBC1F1-888E-4374-9B75-3C65D7C57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14</xdr:col>
      <xdr:colOff>286866</xdr:colOff>
      <xdr:row>5</xdr:row>
      <xdr:rowOff>25909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4893C7A-E848-A21C-76D5-DDA80F353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16955" y="1552433"/>
          <a:ext cx="4944165" cy="247685"/>
        </a:xfrm>
        <a:prstGeom prst="rect">
          <a:avLst/>
        </a:prstGeom>
      </xdr:spPr>
    </xdr:pic>
    <xdr:clientData/>
  </xdr:twoCellAnchor>
  <xdr:twoCellAnchor editAs="oneCell">
    <xdr:from>
      <xdr:col>8</xdr:col>
      <xdr:colOff>136477</xdr:colOff>
      <xdr:row>8</xdr:row>
      <xdr:rowOff>239777</xdr:rowOff>
    </xdr:from>
    <xdr:to>
      <xdr:col>15</xdr:col>
      <xdr:colOff>767846</xdr:colOff>
      <xdr:row>9</xdr:row>
      <xdr:rowOff>1150454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F69B323-5010-57CF-3309-2DB41F15A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53432" y="2679315"/>
          <a:ext cx="6064884" cy="12177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8F2A72-77D3-481B-9879-7EBE80701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FBF10C-D0EA-4606-AC53-68E8B18E9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9BBDCE-2B2C-40B4-A5CE-95D0394C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925A1C-59B4-442F-9679-5DED090D5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BF61F2-3B00-4A62-8C75-62A4FCD0E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4"/>
  <sheetViews>
    <sheetView workbookViewId="0">
      <selection activeCell="H8" sqref="H8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27" t="s">
        <v>28</v>
      </c>
    </row>
    <row r="4" spans="1:15" ht="17.75" x14ac:dyDescent="0.45">
      <c r="B4" s="47" t="s">
        <v>3</v>
      </c>
      <c r="C4" s="47"/>
      <c r="D4" s="47"/>
      <c r="E4" s="35">
        <v>-25850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78570</v>
      </c>
      <c r="F5" s="7"/>
      <c r="G5" s="31"/>
    </row>
    <row r="6" spans="1:15" ht="17.75" x14ac:dyDescent="0.45">
      <c r="B6" s="47" t="s">
        <v>5</v>
      </c>
      <c r="C6" s="47"/>
      <c r="D6" s="47"/>
      <c r="E6" s="35">
        <v>0</v>
      </c>
      <c r="F6" s="7"/>
    </row>
    <row r="7" spans="1:15" ht="17.75" x14ac:dyDescent="0.45">
      <c r="B7" s="54" t="s">
        <v>6</v>
      </c>
      <c r="C7" s="54"/>
      <c r="D7" s="54"/>
      <c r="E7" s="35">
        <f>SUM(E4:E6)</f>
        <v>52720</v>
      </c>
      <c r="F7" s="7"/>
      <c r="G7" s="26"/>
    </row>
    <row r="8" spans="1:15" ht="17.75" x14ac:dyDescent="0.45">
      <c r="B8" s="55" t="s">
        <v>7</v>
      </c>
      <c r="C8" s="55"/>
      <c r="D8" s="55"/>
      <c r="E8" s="38">
        <f>+G26</f>
        <v>29180</v>
      </c>
      <c r="F8" s="7"/>
      <c r="G8" s="29" t="s">
        <v>8</v>
      </c>
      <c r="H8" s="36">
        <f>E7-E8</f>
        <v>23540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45864</v>
      </c>
      <c r="C11" s="39" t="s">
        <v>23</v>
      </c>
      <c r="D11" s="40">
        <v>191</v>
      </c>
      <c r="E11" s="41"/>
      <c r="F11" s="42" t="s">
        <v>24</v>
      </c>
      <c r="G11" s="44">
        <v>2500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45866</v>
      </c>
      <c r="C12" s="39" t="s">
        <v>23</v>
      </c>
      <c r="D12" s="46">
        <v>120188999414</v>
      </c>
      <c r="E12" s="41"/>
      <c r="F12" s="42" t="s">
        <v>29</v>
      </c>
      <c r="G12" s="44">
        <v>7000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45875</v>
      </c>
      <c r="C13" s="39" t="s">
        <v>30</v>
      </c>
      <c r="D13" s="40">
        <v>15</v>
      </c>
      <c r="E13" s="41"/>
      <c r="F13" s="42" t="s">
        <v>31</v>
      </c>
      <c r="G13" s="44">
        <v>14680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45875</v>
      </c>
      <c r="C14" s="39" t="s">
        <v>23</v>
      </c>
      <c r="D14" s="40">
        <v>701</v>
      </c>
      <c r="E14" s="41"/>
      <c r="F14" s="42" t="s">
        <v>24</v>
      </c>
      <c r="G14" s="44">
        <v>2500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45885</v>
      </c>
      <c r="C15" s="39" t="s">
        <v>23</v>
      </c>
      <c r="D15" s="40">
        <v>763</v>
      </c>
      <c r="E15" s="41"/>
      <c r="F15" s="42" t="s">
        <v>24</v>
      </c>
      <c r="G15" s="44">
        <v>2500</v>
      </c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29180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7"/>
      <c r="C29" s="47"/>
      <c r="D29" s="48"/>
      <c r="E29" s="49"/>
      <c r="F29" s="50"/>
    </row>
    <row r="30" spans="1:15" ht="17.75" x14ac:dyDescent="0.45">
      <c r="B30" s="51"/>
      <c r="C30" s="51"/>
      <c r="D30" s="52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8497-550A-4021-81F7-C022D022D968}">
  <dimension ref="A1:O44"/>
  <sheetViews>
    <sheetView zoomScale="80" zoomScaleNormal="80" workbookViewId="0">
      <selection activeCell="J10" sqref="J10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27" t="s">
        <v>32</v>
      </c>
    </row>
    <row r="4" spans="1:15" ht="17.75" x14ac:dyDescent="0.45">
      <c r="B4" s="47" t="s">
        <v>3</v>
      </c>
      <c r="C4" s="47"/>
      <c r="D4" s="47"/>
      <c r="E4" s="35">
        <f>+ago!H8</f>
        <v>23540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29180</v>
      </c>
      <c r="F5" s="7"/>
      <c r="G5" s="31"/>
    </row>
    <row r="6" spans="1:15" ht="17.75" x14ac:dyDescent="0.45">
      <c r="B6" s="47" t="s">
        <v>5</v>
      </c>
      <c r="C6" s="47"/>
      <c r="D6" s="47"/>
      <c r="E6" s="35">
        <v>0</v>
      </c>
      <c r="F6" s="7"/>
    </row>
    <row r="7" spans="1:15" ht="17.75" x14ac:dyDescent="0.45">
      <c r="B7" s="54" t="s">
        <v>6</v>
      </c>
      <c r="C7" s="54"/>
      <c r="D7" s="54"/>
      <c r="E7" s="35">
        <f>SUM(E4:E6)</f>
        <v>52720</v>
      </c>
      <c r="F7" s="7"/>
      <c r="G7" s="26"/>
    </row>
    <row r="8" spans="1:15" ht="17.75" x14ac:dyDescent="0.45">
      <c r="B8" s="55" t="s">
        <v>7</v>
      </c>
      <c r="C8" s="55"/>
      <c r="D8" s="55"/>
      <c r="E8" s="38">
        <f>+G26</f>
        <v>34730</v>
      </c>
      <c r="F8" s="7"/>
      <c r="G8" s="29" t="s">
        <v>8</v>
      </c>
      <c r="H8" s="36">
        <f>E7-E8</f>
        <v>17990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45919</v>
      </c>
      <c r="C11" s="39" t="s">
        <v>19</v>
      </c>
      <c r="D11" s="40">
        <v>380</v>
      </c>
      <c r="E11" s="41"/>
      <c r="F11" s="42" t="s">
        <v>17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45917</v>
      </c>
      <c r="C12" s="39" t="s">
        <v>19</v>
      </c>
      <c r="D12" s="46">
        <v>1664950</v>
      </c>
      <c r="E12" s="41"/>
      <c r="F12" s="42" t="s">
        <v>33</v>
      </c>
      <c r="G12" s="44">
        <v>12000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45907</v>
      </c>
      <c r="C13" s="39" t="s">
        <v>19</v>
      </c>
      <c r="D13" s="40">
        <v>177291812</v>
      </c>
      <c r="E13" s="41"/>
      <c r="F13" s="42" t="s">
        <v>33</v>
      </c>
      <c r="G13" s="44">
        <v>12730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45923</v>
      </c>
      <c r="C14" s="39" t="s">
        <v>19</v>
      </c>
      <c r="D14" s="40">
        <v>394</v>
      </c>
      <c r="E14" s="41"/>
      <c r="F14" s="42" t="s">
        <v>17</v>
      </c>
      <c r="G14" s="44">
        <v>5000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 t="s">
        <v>34</v>
      </c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34730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7"/>
      <c r="C29" s="47"/>
      <c r="D29" s="47"/>
      <c r="E29" s="49"/>
      <c r="F29" s="49"/>
    </row>
    <row r="30" spans="1:15" ht="17.75" x14ac:dyDescent="0.45">
      <c r="B30" s="51"/>
      <c r="C30" s="51"/>
      <c r="D30" s="51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D229-5422-432F-B4F9-3604D877C8BA}">
  <dimension ref="A1:O44"/>
  <sheetViews>
    <sheetView zoomScale="80" zoomScaleNormal="80" workbookViewId="0">
      <selection activeCell="J10" sqref="J10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27" t="s">
        <v>35</v>
      </c>
    </row>
    <row r="4" spans="1:15" ht="17.75" x14ac:dyDescent="0.45">
      <c r="B4" s="47" t="s">
        <v>3</v>
      </c>
      <c r="C4" s="47"/>
      <c r="D4" s="47"/>
      <c r="E4" s="35">
        <f>+sep!H8</f>
        <v>17990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34730</v>
      </c>
      <c r="F5" s="7"/>
      <c r="G5" s="31"/>
    </row>
    <row r="6" spans="1:15" ht="17.75" x14ac:dyDescent="0.45">
      <c r="B6" s="47" t="s">
        <v>5</v>
      </c>
      <c r="C6" s="47"/>
      <c r="D6" s="47"/>
      <c r="E6" s="35">
        <v>0</v>
      </c>
      <c r="F6" s="7"/>
    </row>
    <row r="7" spans="1:15" ht="17.75" x14ac:dyDescent="0.45">
      <c r="B7" s="54" t="s">
        <v>6</v>
      </c>
      <c r="C7" s="54"/>
      <c r="D7" s="54"/>
      <c r="E7" s="35">
        <f>SUM(E4:E6)</f>
        <v>52720</v>
      </c>
      <c r="F7" s="7"/>
      <c r="G7" s="26"/>
    </row>
    <row r="8" spans="1:15" ht="17.75" x14ac:dyDescent="0.45">
      <c r="B8" s="55" t="s">
        <v>7</v>
      </c>
      <c r="C8" s="55"/>
      <c r="D8" s="55"/>
      <c r="E8" s="38">
        <f>+G26</f>
        <v>65240</v>
      </c>
      <c r="F8" s="7"/>
      <c r="G8" s="29" t="s">
        <v>8</v>
      </c>
      <c r="H8" s="36">
        <f>E7-E8</f>
        <v>-12520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45929</v>
      </c>
      <c r="C11" s="39" t="s">
        <v>36</v>
      </c>
      <c r="D11" s="40">
        <v>1323</v>
      </c>
      <c r="E11" s="41"/>
      <c r="F11" s="42" t="s">
        <v>37</v>
      </c>
      <c r="G11" s="44">
        <v>50000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45933</v>
      </c>
      <c r="C12" s="39" t="s">
        <v>19</v>
      </c>
      <c r="D12" s="46">
        <v>221</v>
      </c>
      <c r="E12" s="41"/>
      <c r="F12" s="42" t="s">
        <v>17</v>
      </c>
      <c r="G12" s="44">
        <v>2500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45951</v>
      </c>
      <c r="C13" s="39" t="s">
        <v>19</v>
      </c>
      <c r="D13" s="40">
        <v>61664</v>
      </c>
      <c r="E13" s="41"/>
      <c r="F13" s="42" t="s">
        <v>38</v>
      </c>
      <c r="G13" s="44">
        <v>2750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45953</v>
      </c>
      <c r="C14" s="39" t="s">
        <v>19</v>
      </c>
      <c r="D14" s="40">
        <v>230892</v>
      </c>
      <c r="E14" s="41"/>
      <c r="F14" s="42" t="s">
        <v>39</v>
      </c>
      <c r="G14" s="44">
        <v>9990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 t="s">
        <v>34</v>
      </c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65240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7"/>
      <c r="C29" s="47"/>
      <c r="D29" s="47"/>
      <c r="E29" s="49"/>
      <c r="F29" s="49"/>
    </row>
    <row r="30" spans="1:15" ht="17.75" x14ac:dyDescent="0.45">
      <c r="B30" s="51"/>
      <c r="C30" s="51"/>
      <c r="D30" s="51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DAA6-4D84-46EE-A0F6-3ACCBAF29FF8}">
  <dimension ref="A1:O43"/>
  <sheetViews>
    <sheetView zoomScale="80" zoomScaleNormal="80" workbookViewId="0">
      <selection activeCell="J19" sqref="J19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27" t="s">
        <v>40</v>
      </c>
    </row>
    <row r="4" spans="1:15" ht="17.75" x14ac:dyDescent="0.45">
      <c r="B4" s="47" t="s">
        <v>3</v>
      </c>
      <c r="C4" s="47"/>
      <c r="D4" s="47"/>
      <c r="E4" s="35">
        <f>+oct!H8</f>
        <v>-12520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65240</v>
      </c>
      <c r="F5" s="7"/>
      <c r="G5" s="31"/>
    </row>
    <row r="6" spans="1:15" ht="17.75" x14ac:dyDescent="0.45">
      <c r="B6" s="47" t="s">
        <v>5</v>
      </c>
      <c r="C6" s="47"/>
      <c r="D6" s="47"/>
      <c r="E6" s="35">
        <v>0</v>
      </c>
      <c r="F6" s="7"/>
    </row>
    <row r="7" spans="1:15" ht="17.75" x14ac:dyDescent="0.45">
      <c r="B7" s="54" t="s">
        <v>6</v>
      </c>
      <c r="C7" s="54"/>
      <c r="D7" s="54"/>
      <c r="E7" s="35">
        <f>SUM(E4:E6)</f>
        <v>52720</v>
      </c>
      <c r="F7" s="7"/>
      <c r="G7" s="26"/>
    </row>
    <row r="8" spans="1:15" ht="17.75" x14ac:dyDescent="0.45">
      <c r="B8" s="55" t="s">
        <v>7</v>
      </c>
      <c r="C8" s="55"/>
      <c r="D8" s="55"/>
      <c r="E8" s="38">
        <f>+G25</f>
        <v>22990</v>
      </c>
      <c r="F8" s="7"/>
      <c r="G8" s="29" t="s">
        <v>8</v>
      </c>
      <c r="H8" s="36">
        <f>E7-E8</f>
        <v>29730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45958</v>
      </c>
      <c r="C11" s="39" t="s">
        <v>19</v>
      </c>
      <c r="D11" s="40">
        <v>571</v>
      </c>
      <c r="E11" s="41"/>
      <c r="F11" s="42" t="s">
        <v>17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45965</v>
      </c>
      <c r="C12" s="39" t="s">
        <v>19</v>
      </c>
      <c r="D12" s="46">
        <v>15223685</v>
      </c>
      <c r="E12" s="41"/>
      <c r="F12" s="42" t="s">
        <v>41</v>
      </c>
      <c r="G12" s="44">
        <v>12990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45982</v>
      </c>
      <c r="C13" s="39" t="s">
        <v>19</v>
      </c>
      <c r="D13" s="40">
        <v>571</v>
      </c>
      <c r="E13" s="41"/>
      <c r="F13" s="42" t="s">
        <v>17</v>
      </c>
      <c r="G13" s="44">
        <v>5000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 t="s">
        <v>34</v>
      </c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22990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7"/>
      <c r="C28" s="47"/>
      <c r="D28" s="47"/>
      <c r="E28" s="49"/>
      <c r="F28" s="49"/>
    </row>
    <row r="29" spans="1:15" ht="17.75" x14ac:dyDescent="0.45">
      <c r="B29" s="51"/>
      <c r="C29" s="51"/>
      <c r="D29" s="51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9102-E6E3-4736-A9E4-1495750A3B25}">
  <dimension ref="A1:O43"/>
  <sheetViews>
    <sheetView zoomScale="80" zoomScaleNormal="80" workbookViewId="0">
      <selection activeCell="H4" sqref="H4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27" t="s">
        <v>45</v>
      </c>
    </row>
    <row r="4" spans="1:15" ht="17.75" x14ac:dyDescent="0.45">
      <c r="B4" s="47" t="s">
        <v>3</v>
      </c>
      <c r="C4" s="47"/>
      <c r="D4" s="47"/>
      <c r="E4" s="35">
        <f>+nov!H8</f>
        <v>29730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22990</v>
      </c>
      <c r="F5" s="7"/>
      <c r="G5" s="31"/>
    </row>
    <row r="6" spans="1:15" ht="17.75" x14ac:dyDescent="0.45">
      <c r="B6" s="47" t="s">
        <v>5</v>
      </c>
      <c r="C6" s="47"/>
      <c r="D6" s="47"/>
      <c r="E6" s="35">
        <v>0</v>
      </c>
      <c r="F6" s="7"/>
    </row>
    <row r="7" spans="1:15" ht="17.75" x14ac:dyDescent="0.45">
      <c r="B7" s="54" t="s">
        <v>6</v>
      </c>
      <c r="C7" s="54"/>
      <c r="D7" s="54"/>
      <c r="E7" s="35">
        <f>SUM(E4:E6)</f>
        <v>52720</v>
      </c>
      <c r="F7" s="7"/>
      <c r="G7" s="26"/>
    </row>
    <row r="8" spans="1:15" ht="17.75" x14ac:dyDescent="0.45">
      <c r="B8" s="55" t="s">
        <v>7</v>
      </c>
      <c r="C8" s="55"/>
      <c r="D8" s="55"/>
      <c r="E8" s="38">
        <f>+G25</f>
        <v>28770</v>
      </c>
      <c r="F8" s="7"/>
      <c r="G8" s="29" t="s">
        <v>8</v>
      </c>
      <c r="H8" s="36">
        <f>E7-E8</f>
        <v>23950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45994</v>
      </c>
      <c r="C11" s="39" t="s">
        <v>19</v>
      </c>
      <c r="D11" s="40">
        <v>235466</v>
      </c>
      <c r="E11" s="41"/>
      <c r="F11" s="42" t="s">
        <v>42</v>
      </c>
      <c r="G11" s="44">
        <v>3290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45994</v>
      </c>
      <c r="C12" s="39" t="s">
        <v>19</v>
      </c>
      <c r="D12" s="46">
        <v>3896</v>
      </c>
      <c r="E12" s="41"/>
      <c r="F12" s="42" t="s">
        <v>43</v>
      </c>
      <c r="G12" s="44">
        <v>20000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46008</v>
      </c>
      <c r="C13" s="39" t="s">
        <v>19</v>
      </c>
      <c r="D13" s="40">
        <v>16912202</v>
      </c>
      <c r="E13" s="41"/>
      <c r="F13" s="42" t="s">
        <v>42</v>
      </c>
      <c r="G13" s="44">
        <v>2980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46009</v>
      </c>
      <c r="C14" s="39" t="s">
        <v>19</v>
      </c>
      <c r="D14" s="40">
        <v>137</v>
      </c>
      <c r="E14" s="41"/>
      <c r="F14" s="42" t="s">
        <v>17</v>
      </c>
      <c r="G14" s="44">
        <v>2500</v>
      </c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28770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7"/>
      <c r="C28" s="47"/>
      <c r="D28" s="47"/>
      <c r="E28" s="49"/>
      <c r="F28" s="49"/>
    </row>
    <row r="29" spans="1:15" ht="17.75" x14ac:dyDescent="0.45">
      <c r="B29" s="51"/>
      <c r="C29" s="51"/>
      <c r="D29" s="51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02E5-E7B5-48F1-96B8-08C8D0C7FD11}">
  <dimension ref="A1:O43"/>
  <sheetViews>
    <sheetView zoomScale="80" zoomScaleNormal="80" workbookViewId="0">
      <selection activeCell="L16" sqref="L16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56" t="s">
        <v>20</v>
      </c>
    </row>
    <row r="4" spans="1:15" ht="17.75" x14ac:dyDescent="0.45">
      <c r="B4" s="47" t="s">
        <v>3</v>
      </c>
      <c r="C4" s="47"/>
      <c r="D4" s="47"/>
      <c r="E4" s="35">
        <f>+dic!H8</f>
        <v>23950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28770</v>
      </c>
      <c r="F5" s="7"/>
      <c r="G5" s="31"/>
    </row>
    <row r="6" spans="1:15" ht="17.75" x14ac:dyDescent="0.45">
      <c r="B6" s="47" t="s">
        <v>5</v>
      </c>
      <c r="C6" s="47"/>
      <c r="D6" s="47"/>
      <c r="E6" s="35">
        <v>0</v>
      </c>
      <c r="F6" s="7"/>
    </row>
    <row r="7" spans="1:15" ht="17.75" x14ac:dyDescent="0.45">
      <c r="B7" s="54" t="s">
        <v>6</v>
      </c>
      <c r="C7" s="54"/>
      <c r="D7" s="54"/>
      <c r="E7" s="35">
        <f>SUM(E4:E6)</f>
        <v>52720</v>
      </c>
      <c r="F7" s="7"/>
      <c r="G7" s="26"/>
    </row>
    <row r="8" spans="1:15" ht="17.75" x14ac:dyDescent="0.45">
      <c r="B8" s="55" t="s">
        <v>7</v>
      </c>
      <c r="C8" s="55"/>
      <c r="D8" s="55"/>
      <c r="E8" s="38">
        <f>+G25</f>
        <v>13150</v>
      </c>
      <c r="F8" s="7"/>
      <c r="G8" s="29" t="s">
        <v>8</v>
      </c>
      <c r="H8" s="36">
        <f>E7-E8</f>
        <v>39570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46021</v>
      </c>
      <c r="C11" s="39"/>
      <c r="D11" s="40">
        <v>2003</v>
      </c>
      <c r="E11" s="41"/>
      <c r="F11" s="42" t="s">
        <v>17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45659</v>
      </c>
      <c r="C12" s="39"/>
      <c r="D12" s="46">
        <v>29924</v>
      </c>
      <c r="E12" s="41"/>
      <c r="F12" s="42" t="s">
        <v>44</v>
      </c>
      <c r="G12" s="44">
        <v>8150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13150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7"/>
      <c r="C28" s="47"/>
      <c r="D28" s="47"/>
      <c r="E28" s="49"/>
      <c r="F28" s="49"/>
    </row>
    <row r="29" spans="1:15" ht="17.75" x14ac:dyDescent="0.45">
      <c r="B29" s="51"/>
      <c r="C29" s="51"/>
      <c r="D29" s="51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B972-5D66-4153-B290-55447FB2E72A}">
  <dimension ref="A1:O43"/>
  <sheetViews>
    <sheetView tabSelected="1" zoomScale="80" zoomScaleNormal="80" workbookViewId="0">
      <selection activeCell="K14" sqref="K14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56" t="s">
        <v>21</v>
      </c>
    </row>
    <row r="4" spans="1:15" ht="17.75" x14ac:dyDescent="0.45">
      <c r="B4" s="47" t="s">
        <v>3</v>
      </c>
      <c r="C4" s="47"/>
      <c r="D4" s="47"/>
      <c r="E4" s="35">
        <f>+'ENE 2026'!H8</f>
        <v>39570</v>
      </c>
      <c r="F4" s="7"/>
      <c r="G4" s="31"/>
    </row>
    <row r="5" spans="1:15" ht="17.75" x14ac:dyDescent="0.45">
      <c r="B5" s="25" t="s">
        <v>4</v>
      </c>
      <c r="C5" s="25"/>
      <c r="D5" s="25"/>
      <c r="E5" s="35"/>
      <c r="F5" s="7"/>
      <c r="G5" s="31"/>
    </row>
    <row r="6" spans="1:15" ht="17.75" x14ac:dyDescent="0.45">
      <c r="B6" s="47" t="s">
        <v>5</v>
      </c>
      <c r="C6" s="47"/>
      <c r="D6" s="47"/>
      <c r="E6" s="35">
        <v>0</v>
      </c>
      <c r="F6" s="7"/>
    </row>
    <row r="7" spans="1:15" ht="17.75" x14ac:dyDescent="0.45">
      <c r="B7" s="54" t="s">
        <v>6</v>
      </c>
      <c r="C7" s="54"/>
      <c r="D7" s="54"/>
      <c r="E7" s="35">
        <f>SUM(E4:E6)</f>
        <v>39570</v>
      </c>
      <c r="F7" s="7"/>
      <c r="G7" s="26"/>
    </row>
    <row r="8" spans="1:15" ht="17.75" x14ac:dyDescent="0.45">
      <c r="B8" s="55" t="s">
        <v>7</v>
      </c>
      <c r="C8" s="55"/>
      <c r="D8" s="55"/>
      <c r="E8" s="38">
        <f>+G25</f>
        <v>0</v>
      </c>
      <c r="F8" s="7"/>
      <c r="G8" s="29" t="s">
        <v>8</v>
      </c>
      <c r="H8" s="36">
        <f>E7-E8</f>
        <v>39570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/>
      <c r="C11" s="39"/>
      <c r="D11" s="40"/>
      <c r="E11" s="41"/>
      <c r="F11" s="42"/>
      <c r="G11" s="44"/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/>
      <c r="D12" s="46"/>
      <c r="E12" s="41"/>
      <c r="F12" s="42"/>
      <c r="G12" s="44"/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7"/>
      <c r="C28" s="47"/>
      <c r="D28" s="47"/>
      <c r="E28" s="49"/>
      <c r="F28" s="49"/>
    </row>
    <row r="29" spans="1:15" ht="17.75" x14ac:dyDescent="0.45">
      <c r="B29" s="51"/>
      <c r="C29" s="51"/>
      <c r="D29" s="51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340D-310B-4FD6-AB3D-AFD637C1511B}">
  <dimension ref="A1:O43"/>
  <sheetViews>
    <sheetView zoomScale="80" zoomScaleNormal="80" workbookViewId="0">
      <selection activeCell="E5" sqref="E5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56" t="s">
        <v>22</v>
      </c>
    </row>
    <row r="4" spans="1:15" ht="17.75" x14ac:dyDescent="0.45">
      <c r="B4" s="47" t="s">
        <v>3</v>
      </c>
      <c r="C4" s="47"/>
      <c r="D4" s="47"/>
      <c r="E4" s="35">
        <f>+'FEB 2026'!H8</f>
        <v>39570</v>
      </c>
      <c r="F4" s="7"/>
      <c r="G4" s="31"/>
    </row>
    <row r="5" spans="1:15" ht="17.75" x14ac:dyDescent="0.45">
      <c r="B5" s="25" t="s">
        <v>4</v>
      </c>
      <c r="C5" s="25"/>
      <c r="D5" s="25"/>
      <c r="E5" s="35"/>
      <c r="F5" s="7"/>
      <c r="G5" s="31"/>
    </row>
    <row r="6" spans="1:15" ht="17.75" x14ac:dyDescent="0.45">
      <c r="B6" s="47" t="s">
        <v>5</v>
      </c>
      <c r="C6" s="47"/>
      <c r="D6" s="47"/>
      <c r="E6" s="35">
        <v>0</v>
      </c>
      <c r="F6" s="7"/>
    </row>
    <row r="7" spans="1:15" ht="17.75" x14ac:dyDescent="0.45">
      <c r="B7" s="54" t="s">
        <v>6</v>
      </c>
      <c r="C7" s="54"/>
      <c r="D7" s="54"/>
      <c r="E7" s="35">
        <f>SUM(E4:E6)</f>
        <v>39570</v>
      </c>
      <c r="F7" s="7"/>
      <c r="G7" s="26"/>
    </row>
    <row r="8" spans="1:15" ht="17.75" x14ac:dyDescent="0.45">
      <c r="B8" s="55" t="s">
        <v>7</v>
      </c>
      <c r="C8" s="55"/>
      <c r="D8" s="55"/>
      <c r="E8" s="38">
        <f>+G25</f>
        <v>0</v>
      </c>
      <c r="F8" s="7"/>
      <c r="G8" s="29" t="s">
        <v>8</v>
      </c>
      <c r="H8" s="36">
        <f>E7-E8</f>
        <v>39570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/>
      <c r="C11" s="39"/>
      <c r="D11" s="40"/>
      <c r="E11" s="41"/>
      <c r="F11" s="42"/>
      <c r="G11" s="44"/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/>
      <c r="D12" s="46"/>
      <c r="E12" s="41"/>
      <c r="F12" s="42"/>
      <c r="G12" s="44"/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7"/>
      <c r="C28" s="47"/>
      <c r="D28" s="47"/>
      <c r="E28" s="49"/>
      <c r="F28" s="49"/>
    </row>
    <row r="29" spans="1:15" ht="17.75" x14ac:dyDescent="0.45">
      <c r="B29" s="51"/>
      <c r="C29" s="51"/>
      <c r="D29" s="51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DF0D-2BEE-4111-99AE-D37BD8368E99}">
  <dimension ref="A1:O43"/>
  <sheetViews>
    <sheetView zoomScale="80" zoomScaleNormal="80" workbookViewId="0">
      <selection activeCell="E5" sqref="E5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56" t="s">
        <v>26</v>
      </c>
    </row>
    <row r="4" spans="1:15" ht="17.75" x14ac:dyDescent="0.45">
      <c r="B4" s="47" t="s">
        <v>3</v>
      </c>
      <c r="C4" s="47"/>
      <c r="D4" s="47"/>
      <c r="E4" s="35">
        <f>+'MAR 2026'!H8</f>
        <v>39570</v>
      </c>
      <c r="F4" s="7"/>
      <c r="G4" s="31"/>
    </row>
    <row r="5" spans="1:15" ht="17.75" x14ac:dyDescent="0.45">
      <c r="B5" s="25" t="s">
        <v>4</v>
      </c>
      <c r="C5" s="25"/>
      <c r="D5" s="25"/>
      <c r="E5" s="35"/>
      <c r="F5" s="7"/>
      <c r="G5" s="31"/>
    </row>
    <row r="6" spans="1:15" ht="17.75" x14ac:dyDescent="0.45">
      <c r="B6" s="47" t="s">
        <v>5</v>
      </c>
      <c r="C6" s="47"/>
      <c r="D6" s="47"/>
      <c r="E6" s="35">
        <v>0</v>
      </c>
      <c r="F6" s="7"/>
    </row>
    <row r="7" spans="1:15" ht="17.75" x14ac:dyDescent="0.45">
      <c r="B7" s="54" t="s">
        <v>6</v>
      </c>
      <c r="C7" s="54"/>
      <c r="D7" s="54"/>
      <c r="E7" s="35">
        <f>SUM(E4:E6)</f>
        <v>39570</v>
      </c>
      <c r="F7" s="7"/>
      <c r="G7" s="26"/>
    </row>
    <row r="8" spans="1:15" ht="17.75" x14ac:dyDescent="0.45">
      <c r="B8" s="55" t="s">
        <v>7</v>
      </c>
      <c r="C8" s="55"/>
      <c r="D8" s="55"/>
      <c r="E8" s="38">
        <f>+G25</f>
        <v>0</v>
      </c>
      <c r="F8" s="7"/>
      <c r="G8" s="29" t="s">
        <v>8</v>
      </c>
      <c r="H8" s="36">
        <f>E7-E8</f>
        <v>39570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/>
      <c r="C11" s="39"/>
      <c r="D11" s="40"/>
      <c r="E11" s="41"/>
      <c r="F11" s="42"/>
      <c r="G11" s="44"/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/>
      <c r="D12" s="46"/>
      <c r="E12" s="41"/>
      <c r="F12" s="42"/>
      <c r="G12" s="44"/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7"/>
      <c r="C28" s="47"/>
      <c r="D28" s="47"/>
      <c r="E28" s="49"/>
      <c r="F28" s="49"/>
    </row>
    <row r="29" spans="1:15" ht="17.75" x14ac:dyDescent="0.45">
      <c r="B29" s="51"/>
      <c r="C29" s="51"/>
      <c r="D29" s="51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A4FC-86CF-41A1-BF28-D3EB9626BF67}">
  <dimension ref="A1:O43"/>
  <sheetViews>
    <sheetView zoomScale="80" zoomScaleNormal="80" workbookViewId="0">
      <selection activeCell="E5" sqref="E5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56" t="s">
        <v>27</v>
      </c>
    </row>
    <row r="4" spans="1:15" ht="17.75" x14ac:dyDescent="0.45">
      <c r="B4" s="47" t="s">
        <v>3</v>
      </c>
      <c r="C4" s="47"/>
      <c r="D4" s="47"/>
      <c r="E4" s="35">
        <f>+'ABR 2026'!H8</f>
        <v>39570</v>
      </c>
      <c r="F4" s="7"/>
      <c r="G4" s="31"/>
    </row>
    <row r="5" spans="1:15" ht="17.75" x14ac:dyDescent="0.45">
      <c r="B5" s="25" t="s">
        <v>4</v>
      </c>
      <c r="C5" s="25"/>
      <c r="D5" s="25"/>
      <c r="E5" s="35"/>
      <c r="F5" s="7"/>
      <c r="G5" s="31"/>
    </row>
    <row r="6" spans="1:15" ht="17.75" x14ac:dyDescent="0.45">
      <c r="B6" s="47" t="s">
        <v>5</v>
      </c>
      <c r="C6" s="47"/>
      <c r="D6" s="47"/>
      <c r="E6" s="35">
        <v>0</v>
      </c>
      <c r="F6" s="7"/>
    </row>
    <row r="7" spans="1:15" ht="17.75" x14ac:dyDescent="0.45">
      <c r="B7" s="54" t="s">
        <v>6</v>
      </c>
      <c r="C7" s="54"/>
      <c r="D7" s="54"/>
      <c r="E7" s="35">
        <f>SUM(E4:E6)</f>
        <v>39570</v>
      </c>
      <c r="F7" s="7"/>
      <c r="G7" s="26"/>
    </row>
    <row r="8" spans="1:15" ht="17.75" x14ac:dyDescent="0.45">
      <c r="B8" s="55" t="s">
        <v>7</v>
      </c>
      <c r="C8" s="55"/>
      <c r="D8" s="55"/>
      <c r="E8" s="38">
        <f>+G25</f>
        <v>0</v>
      </c>
      <c r="F8" s="7"/>
      <c r="G8" s="29" t="s">
        <v>8</v>
      </c>
      <c r="H8" s="36">
        <f>E7-E8</f>
        <v>39570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/>
      <c r="C11" s="39"/>
      <c r="D11" s="40"/>
      <c r="E11" s="41"/>
      <c r="F11" s="42"/>
      <c r="G11" s="44"/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/>
      <c r="D12" s="46"/>
      <c r="E12" s="41"/>
      <c r="F12" s="42"/>
      <c r="G12" s="44"/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7"/>
      <c r="C28" s="47"/>
      <c r="D28" s="47"/>
      <c r="E28" s="49"/>
      <c r="F28" s="49"/>
    </row>
    <row r="29" spans="1:15" ht="17.75" x14ac:dyDescent="0.45">
      <c r="B29" s="51"/>
      <c r="C29" s="51"/>
      <c r="D29" s="51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18A9-4321-42B7-8E0C-DBD740D7D46C}">
  <dimension ref="A1:O43"/>
  <sheetViews>
    <sheetView zoomScale="80" zoomScaleNormal="80" workbookViewId="0">
      <selection activeCell="E5" sqref="E5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56" t="s">
        <v>25</v>
      </c>
    </row>
    <row r="4" spans="1:15" ht="17.75" x14ac:dyDescent="0.45">
      <c r="B4" s="47" t="s">
        <v>3</v>
      </c>
      <c r="C4" s="47"/>
      <c r="D4" s="47"/>
      <c r="E4" s="35">
        <f>+'MAY 2026'!H8</f>
        <v>39570</v>
      </c>
      <c r="F4" s="7"/>
      <c r="G4" s="31"/>
    </row>
    <row r="5" spans="1:15" ht="17.75" x14ac:dyDescent="0.45">
      <c r="B5" s="25" t="s">
        <v>4</v>
      </c>
      <c r="C5" s="25"/>
      <c r="D5" s="25"/>
      <c r="E5" s="35"/>
      <c r="F5" s="7"/>
      <c r="G5" s="31"/>
    </row>
    <row r="6" spans="1:15" ht="17.75" x14ac:dyDescent="0.45">
      <c r="B6" s="47" t="s">
        <v>5</v>
      </c>
      <c r="C6" s="47"/>
      <c r="D6" s="47"/>
      <c r="E6" s="35">
        <v>0</v>
      </c>
      <c r="F6" s="7"/>
    </row>
    <row r="7" spans="1:15" ht="17.75" x14ac:dyDescent="0.45">
      <c r="B7" s="54" t="s">
        <v>6</v>
      </c>
      <c r="C7" s="54"/>
      <c r="D7" s="54"/>
      <c r="E7" s="35">
        <f>SUM(E4:E6)</f>
        <v>39570</v>
      </c>
      <c r="F7" s="7"/>
      <c r="G7" s="26"/>
    </row>
    <row r="8" spans="1:15" ht="17.75" x14ac:dyDescent="0.45">
      <c r="B8" s="55" t="s">
        <v>7</v>
      </c>
      <c r="C8" s="55"/>
      <c r="D8" s="55"/>
      <c r="E8" s="38">
        <f>+G25</f>
        <v>0</v>
      </c>
      <c r="F8" s="7"/>
      <c r="G8" s="29" t="s">
        <v>8</v>
      </c>
      <c r="H8" s="36">
        <f>E7-E8</f>
        <v>39570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/>
      <c r="C11" s="39"/>
      <c r="D11" s="40"/>
      <c r="E11" s="41"/>
      <c r="F11" s="42"/>
      <c r="G11" s="44"/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/>
      <c r="D12" s="46"/>
      <c r="E12" s="41"/>
      <c r="F12" s="42"/>
      <c r="G12" s="44"/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s="12" customFormat="1" ht="17.75" x14ac:dyDescent="0.45">
      <c r="B25" s="16" t="s">
        <v>18</v>
      </c>
      <c r="C25" s="33"/>
      <c r="D25" s="17"/>
      <c r="E25" s="17"/>
      <c r="F25" s="17"/>
      <c r="G25" s="45">
        <f>SUM(G11:G24)</f>
        <v>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47"/>
      <c r="C28" s="47"/>
      <c r="D28" s="47"/>
      <c r="E28" s="49"/>
      <c r="F28" s="49"/>
    </row>
    <row r="29" spans="1:15" ht="17.75" x14ac:dyDescent="0.45">
      <c r="B29" s="51"/>
      <c r="C29" s="51"/>
      <c r="D29" s="51"/>
      <c r="E29" s="37"/>
      <c r="F29" s="12"/>
      <c r="G29" s="28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944F9A-50BD-406F-A40B-6112E02DF0FE}"/>
</file>

<file path=customXml/itemProps2.xml><?xml version="1.0" encoding="utf-8"?>
<ds:datastoreItem xmlns:ds="http://schemas.openxmlformats.org/officeDocument/2006/customXml" ds:itemID="{3B1468E1-4F27-420E-86D3-A656C47E40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8C11D6-586C-4277-8F0C-A58650EE65A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ago</vt:lpstr>
      <vt:lpstr>sep</vt:lpstr>
      <vt:lpstr>oct</vt:lpstr>
      <vt:lpstr>nov</vt:lpstr>
      <vt:lpstr>dic</vt:lpstr>
      <vt:lpstr>ENE 2026</vt:lpstr>
      <vt:lpstr>FEB 2026</vt:lpstr>
      <vt:lpstr>MAR 2026</vt:lpstr>
      <vt:lpstr>ABR 2026</vt:lpstr>
      <vt:lpstr>MAY 2026</vt:lpstr>
      <vt:lpstr>JUN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Cabrera</dc:creator>
  <cp:keywords/>
  <dc:description/>
  <cp:lastModifiedBy>Carolina Cabrera</cp:lastModifiedBy>
  <cp:revision/>
  <dcterms:created xsi:type="dcterms:W3CDTF">2022-02-07T12:32:53Z</dcterms:created>
  <dcterms:modified xsi:type="dcterms:W3CDTF">2026-02-13T22:18:23Z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