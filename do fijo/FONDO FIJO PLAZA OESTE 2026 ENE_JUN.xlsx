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52" documentId="11_C57B48F9FF4FC29760839BFD49F79512D71E2198" xr6:coauthVersionLast="47" xr6:coauthVersionMax="47" xr10:uidLastSave="{8A6EA06A-3787-4333-9FD5-905EBAB8BED2}"/>
  <bookViews>
    <workbookView xWindow="20525" yWindow="-107" windowWidth="20848" windowHeight="11111" firstSheet="13" activeTab="13" xr2:uid="{00000000-000D-0000-FFFF-FFFF00000000}"/>
  </bookViews>
  <sheets>
    <sheet name="DICIEMBRE " sheetId="5" state="hidden" r:id="rId1"/>
    <sheet name="ENERO 25" sheetId="6" state="hidden" r:id="rId2"/>
    <sheet name="FEBRERO 25" sheetId="7" state="hidden" r:id="rId3"/>
    <sheet name="MARZO 25" sheetId="8" state="hidden" r:id="rId4"/>
    <sheet name="ABRIL 25" sheetId="9" state="hidden" r:id="rId5"/>
    <sheet name="MAYO 25" sheetId="10" state="hidden" r:id="rId6"/>
    <sheet name="JUNIO 25" sheetId="11" state="hidden" r:id="rId7"/>
    <sheet name="JULIO25" sheetId="12" state="hidden" r:id="rId8"/>
    <sheet name="AGOSTO 25" sheetId="13" state="hidden" r:id="rId9"/>
    <sheet name="SEPTIEMBRE 25" sheetId="14" state="hidden" r:id="rId10"/>
    <sheet name="OCTUBRE 25" sheetId="15" state="hidden" r:id="rId11"/>
    <sheet name="NOVIEMBRE 25" sheetId="16" state="hidden" r:id="rId12"/>
    <sheet name="DICIEMBRE 25" sheetId="17" r:id="rId13"/>
    <sheet name="ENERO 26" sheetId="18" r:id="rId14"/>
    <sheet name="FEBRERO 2026" sheetId="19" r:id="rId15"/>
    <sheet name="MARZO 2026" sheetId="20" r:id="rId16"/>
    <sheet name="ABRIL 2026" sheetId="21" r:id="rId17"/>
    <sheet name="MAYO 2026" sheetId="22" r:id="rId18"/>
    <sheet name="JUNIO 2026 " sheetId="23" r:id="rId19"/>
  </sheets>
  <definedNames>
    <definedName name="_xlnm.Print_Area" localSheetId="4">'ABRIL 25'!$A$1:$H$29</definedName>
    <definedName name="_xlnm.Print_Area" localSheetId="0">'DICIEMBRE '!$A$1:$H$29</definedName>
    <definedName name="_xlnm.Print_Area" localSheetId="1">'ENERO 25'!$A$1:$H$29</definedName>
    <definedName name="_xlnm.Print_Area" localSheetId="2">'FEBRERO 25'!$A$1:$H$19</definedName>
    <definedName name="_xlnm.Print_Area" localSheetId="6">'JUNIO 25'!$A$1:$H$29</definedName>
    <definedName name="_xlnm.Print_Area" localSheetId="3">'MARZO 25'!$A$1:$H$29</definedName>
    <definedName name="_xlnm.Print_Area" localSheetId="5">'MAYO 25'!$A$1:$H$29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3" l="1"/>
  <c r="E7" i="23" s="1"/>
  <c r="H8" i="23" s="1"/>
  <c r="G28" i="23"/>
  <c r="E8" i="23" s="1"/>
  <c r="E4" i="22"/>
  <c r="G28" i="22"/>
  <c r="E8" i="22"/>
  <c r="E7" i="22"/>
  <c r="H8" i="22" s="1"/>
  <c r="E4" i="21"/>
  <c r="E7" i="21" s="1"/>
  <c r="H8" i="21" s="1"/>
  <c r="G28" i="21"/>
  <c r="E8" i="21"/>
  <c r="E4" i="20"/>
  <c r="E7" i="20" s="1"/>
  <c r="H8" i="20" s="1"/>
  <c r="G28" i="20"/>
  <c r="E8" i="20" s="1"/>
  <c r="E4" i="19"/>
  <c r="E7" i="19" s="1"/>
  <c r="G28" i="19"/>
  <c r="E8" i="19"/>
  <c r="E4" i="18"/>
  <c r="E7" i="18" s="1"/>
  <c r="G28" i="18"/>
  <c r="E8" i="18" s="1"/>
  <c r="H8" i="19" l="1"/>
  <c r="H8" i="18"/>
  <c r="G28" i="17"/>
  <c r="E8" i="17" s="1"/>
  <c r="H8" i="17" s="1"/>
  <c r="E7" i="17"/>
  <c r="E7" i="16" l="1"/>
  <c r="G28" i="16" l="1"/>
  <c r="E8" i="16" s="1"/>
  <c r="H8" i="16" l="1"/>
  <c r="G28" i="15"/>
  <c r="E8" i="15" s="1"/>
  <c r="E7" i="15"/>
  <c r="H8" i="15" l="1"/>
  <c r="G28" i="14"/>
  <c r="E8" i="14" s="1"/>
  <c r="G28" i="13" l="1"/>
  <c r="E8" i="13" s="1"/>
  <c r="G28" i="12" l="1"/>
  <c r="E8" i="12" s="1"/>
  <c r="G28" i="11" l="1"/>
  <c r="E8" i="11" s="1"/>
  <c r="G28" i="10"/>
  <c r="E8" i="10"/>
  <c r="G28" i="9"/>
  <c r="E8" i="9" s="1"/>
  <c r="G28" i="8"/>
  <c r="E8" i="8" s="1"/>
  <c r="G18" i="7"/>
  <c r="E8" i="7" s="1"/>
  <c r="G28" i="6"/>
  <c r="E8" i="6" s="1"/>
  <c r="G28" i="5"/>
  <c r="E8" i="5" s="1"/>
  <c r="E7" i="5" l="1"/>
  <c r="H8" i="5" l="1"/>
  <c r="E4" i="6" s="1"/>
  <c r="E7" i="6" s="1"/>
  <c r="H8" i="6" s="1"/>
  <c r="E4" i="7" s="1"/>
  <c r="E7" i="7" s="1"/>
  <c r="H8" i="7" s="1"/>
  <c r="E4" i="8" s="1"/>
  <c r="E7" i="8" s="1"/>
  <c r="H8" i="8" s="1"/>
  <c r="E4" i="9" s="1"/>
  <c r="E7" i="9" s="1"/>
  <c r="H8" i="9" s="1"/>
  <c r="E4" i="10" s="1"/>
  <c r="E7" i="10" s="1"/>
  <c r="H8" i="10" s="1"/>
  <c r="E4" i="14" l="1"/>
  <c r="E7" i="14" s="1"/>
  <c r="H8" i="14" s="1"/>
  <c r="E4" i="13"/>
  <c r="E7" i="13" s="1"/>
  <c r="H8" i="13" s="1"/>
  <c r="E4" i="12"/>
  <c r="E7" i="12" s="1"/>
  <c r="H8" i="12" s="1"/>
  <c r="E4" i="11"/>
  <c r="E7" i="11" s="1"/>
  <c r="H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Carolina Cabrera: CUADRO AMARILLO </t>
        </r>
        <r>
          <rPr>
            <sz val="9"/>
            <color indexed="81"/>
            <rFont val="Tahoma"/>
            <family val="2"/>
          </rPr>
          <t>digitar deposito que realiza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86077B66-ABE0-4546-BE44-22FF233327EF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A51E1375-6E0A-4858-AE98-07073C1F9CCA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5D5C5D9C-9C58-4B28-B128-D2028333A22A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CB49FE59-E242-4B9C-ADB0-FFC312A99B4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B7455FDA-E8BE-4BD0-812D-CC4EA5C69E5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3AC5F975-77CC-4C78-9AC8-28E4A5B2BAE6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A02A9818-E856-4D8E-9B39-7DFA513B3E44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7E7D45F8-DE6C-420C-8B13-D40E25D08DC3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C047A2DE-E310-4D71-8352-C3EC5B5A0D6A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108692C7-0935-45EC-87DE-03B07D217398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sharedStrings.xml><?xml version="1.0" encoding="utf-8"?>
<sst xmlns="http://schemas.openxmlformats.org/spreadsheetml/2006/main" count="500" uniqueCount="80">
  <si>
    <t xml:space="preserve">RENDICION CAJA CHICA  </t>
  </si>
  <si>
    <t xml:space="preserve">OESTE </t>
  </si>
  <si>
    <t>MES</t>
  </si>
  <si>
    <t xml:space="preserve">DICIEMBRTE 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</si>
  <si>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</si>
  <si>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</si>
  <si>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</si>
  <si>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</si>
  <si>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</si>
  <si>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</si>
  <si>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</si>
  <si>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</si>
  <si>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</si>
  <si>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</si>
  <si>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</si>
  <si>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</si>
  <si>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</si>
  <si>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 xml:space="preserve">BOLETA </t>
  </si>
  <si>
    <t>80.478.200-1</t>
  </si>
  <si>
    <t xml:space="preserve">CORCHETERA </t>
  </si>
  <si>
    <t>78.627.210-6</t>
  </si>
  <si>
    <t xml:space="preserve">REUNION TIENDA </t>
  </si>
  <si>
    <t>CALCULA/PERFORADO</t>
  </si>
  <si>
    <t>96.792.430-K</t>
  </si>
  <si>
    <t>BASURERO</t>
  </si>
  <si>
    <t>96.792.430-k</t>
  </si>
  <si>
    <t>CLOSET TIENDA</t>
  </si>
  <si>
    <t>TOTALES</t>
  </si>
  <si>
    <t>ENERO</t>
  </si>
  <si>
    <t>Código Imputacion (RSM) 210</t>
  </si>
  <si>
    <t>5.666.822-5</t>
  </si>
  <si>
    <t>fashada y salon limpieza</t>
  </si>
  <si>
    <t>FEBRERO</t>
  </si>
  <si>
    <t>MARZO</t>
  </si>
  <si>
    <t>RESPONSABLE FONDO FIJO</t>
  </si>
  <si>
    <t>Jhonatan Canales</t>
  </si>
  <si>
    <t>MAYO</t>
  </si>
  <si>
    <t>ABRIL</t>
  </si>
  <si>
    <t>JUNIO</t>
  </si>
  <si>
    <t xml:space="preserve">boleta </t>
  </si>
  <si>
    <t>76.800.177-4</t>
  </si>
  <si>
    <t>cumpleaños cata y camila</t>
  </si>
  <si>
    <t xml:space="preserve">reunion tienda </t>
  </si>
  <si>
    <t xml:space="preserve">pitilla amarrar cajas </t>
  </si>
  <si>
    <t>manilla puerta/atornillador</t>
  </si>
  <si>
    <t xml:space="preserve">limpieza vidrios </t>
  </si>
  <si>
    <t>76471568-3</t>
  </si>
  <si>
    <t xml:space="preserve">DIA DE LA MUJER </t>
  </si>
  <si>
    <t>96811130-2</t>
  </si>
  <si>
    <t>5666822-5</t>
  </si>
  <si>
    <t xml:space="preserve">LIMPIEZA CRISTALES </t>
  </si>
  <si>
    <t>jonathan Canales</t>
  </si>
  <si>
    <t>boleta</t>
  </si>
  <si>
    <t xml:space="preserve">limpieza cristales </t>
  </si>
  <si>
    <t>83.030.600-5</t>
  </si>
  <si>
    <t xml:space="preserve">pilas. Mause y teclado </t>
  </si>
  <si>
    <t xml:space="preserve">LIMPIEZA DE VIDRIOS </t>
  </si>
  <si>
    <t>REUNION TIENDA</t>
  </si>
  <si>
    <t xml:space="preserve">ANCLAGE TV VIRINA </t>
  </si>
  <si>
    <t>AGOSTO</t>
  </si>
  <si>
    <t xml:space="preserve">pendrive monitor vitrina </t>
  </si>
  <si>
    <t>10.558.647-7</t>
  </si>
  <si>
    <t xml:space="preserve">gotita </t>
  </si>
  <si>
    <t xml:space="preserve">PENDRIVE ATRIL TIENDA </t>
  </si>
  <si>
    <t>78.145.063-4</t>
  </si>
  <si>
    <t xml:space="preserve">FIESTAS PATRIAS </t>
  </si>
  <si>
    <t xml:space="preserve">LIMPIEZA VIDRIOS TIENDA </t>
  </si>
  <si>
    <t>BOLETA</t>
  </si>
  <si>
    <t>9.968.127-6</t>
  </si>
  <si>
    <t xml:space="preserve">octubre </t>
  </si>
  <si>
    <t xml:space="preserve">noviembre </t>
  </si>
  <si>
    <t xml:space="preserve">DICIEMBRE </t>
  </si>
  <si>
    <t xml:space="preserve">NOTA DE CREDITO </t>
  </si>
  <si>
    <t>10.780.964-3</t>
  </si>
  <si>
    <t xml:space="preserve">DEVOLUCION CALZADO </t>
  </si>
  <si>
    <t>RECEP. MERCADE.NOCTUR</t>
  </si>
  <si>
    <t>CATALINA</t>
  </si>
  <si>
    <t>ISABEL</t>
  </si>
  <si>
    <t xml:space="preserve">ANTONIA </t>
  </si>
  <si>
    <t xml:space="preserve">LIMPIEZA FACHADA Y CRISTALES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</si>
</sst>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#,##0_ ;\-#,##0\ "/>
    <numFmt numFmtId="167" formatCode="#,##0_ ;[Red]\-#,##0\ "/>
  </numFmts>
  <fonts count="24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name val="Segoe UI"/>
      <family val="2"/>
    </font>
    <font>
      <b/>
      <i/>
      <sz val="10"/>
      <color rgb="FFFF0000"/>
      <name val="Segoe UI"/>
      <family val="2"/>
    </font>
    <font>
      <b/>
      <i/>
      <sz val="12"/>
      <color rgb="FF0070C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1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165" fontId="22" fillId="4" borderId="1" xfId="1" applyNumberFormat="1" applyFont="1" applyFill="1" applyBorder="1" applyAlignment="1">
      <alignment horizontal="center" vertical="center"/>
    </xf>
    <xf numFmtId="165" fontId="13" fillId="4" borderId="1" xfId="1" applyNumberFormat="1" applyFont="1" applyFill="1" applyBorder="1" applyAlignment="1">
      <alignment horizontal="center" vertical="center"/>
    </xf>
    <xf numFmtId="3" fontId="17" fillId="2" borderId="3" xfId="1" applyNumberFormat="1" applyFont="1" applyFill="1" applyBorder="1" applyAlignment="1">
      <alignment horizontal="right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167" fontId="13" fillId="2" borderId="1" xfId="1" applyNumberFormat="1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B21F3F-382C-4EFE-BD92-88755903F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4C9728-0FF0-4277-BAED-9F71695F1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CFDC76-EA60-4AC0-997E-05DAA1F74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95252</xdr:rowOff>
    </xdr:from>
    <xdr:to>
      <xdr:col>5</xdr:col>
      <xdr:colOff>1427460</xdr:colOff>
      <xdr:row>28</xdr:row>
      <xdr:rowOff>130492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0C5437-6280-E8E0-73E7-CDAE1300D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80669"/>
          <a:ext cx="5925377" cy="2257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811B61-1F27-4458-A3B9-AD90960A1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18</xdr:col>
      <xdr:colOff>524693</xdr:colOff>
      <xdr:row>12</xdr:row>
      <xdr:rowOff>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AE8E53-FC24-2A9A-44CC-85F4FDBC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2667" y="1788583"/>
          <a:ext cx="5858693" cy="25244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3899C1-FA36-4E68-82A9-F49F50BC2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D10580-3E4E-4F58-BA2B-22C8FDADB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C1826D-5AD4-4499-A969-EABA0EFB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</xdr:rowOff>
    </xdr:from>
    <xdr:to>
      <xdr:col>1</xdr:col>
      <xdr:colOff>742950</xdr:colOff>
      <xdr:row>2</xdr:row>
      <xdr:rowOff>271214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C1826D-5AD4-4499-A969-EABA0EFB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"/>
          <a:ext cx="790575" cy="13094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257175</xdr:rowOff>
    </xdr:from>
    <xdr:to>
      <xdr:col>2</xdr:col>
      <xdr:colOff>180976</xdr:colOff>
      <xdr:row>3</xdr:row>
      <xdr:rowOff>62756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C1826D-5AD4-4499-A969-EABA0EFB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57175"/>
          <a:ext cx="1095376" cy="11486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257175</xdr:rowOff>
    </xdr:from>
    <xdr:to>
      <xdr:col>1</xdr:col>
      <xdr:colOff>580005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C1826D-5AD4-4499-A969-EABA0EFB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57175"/>
          <a:ext cx="551430" cy="990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76201</xdr:rowOff>
    </xdr:from>
    <xdr:to>
      <xdr:col>1</xdr:col>
      <xdr:colOff>628650</xdr:colOff>
      <xdr:row>3</xdr:row>
      <xdr:rowOff>25378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C1826D-5AD4-4499-A969-EABA0EFB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6201"/>
          <a:ext cx="400050" cy="129220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247651</xdr:rowOff>
    </xdr:from>
    <xdr:to>
      <xdr:col>2</xdr:col>
      <xdr:colOff>9524</xdr:colOff>
      <xdr:row>3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C1826D-5AD4-4499-A969-EABA0EFB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4" y="247651"/>
          <a:ext cx="847725" cy="11811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228601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C1826D-5AD4-4499-A969-EABA0EFB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4" y="247652"/>
          <a:ext cx="847725" cy="10191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C1826D-5AD4-4499-A969-EABA0EFB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4" y="247652"/>
          <a:ext cx="847725" cy="1028698"/>
        </a:xfrm>
        <a:prstGeom prst="rect">
          <a:avLst/>
        </a:prstGeom>
      </xdr:spPr>
    </xdr:pic>
    <xdr:clientData/>
  </xdr:twoCellAnchor>
  <xdr:twoCellAnchor editAs="oneCell">
    <xdr:from>
      <xdr:col>7</xdr:col>
      <xdr:colOff>109181</xdr:colOff>
      <xdr:row>4</xdr:row>
      <xdr:rowOff>46097</xdr:rowOff>
    </xdr:from>
    <xdr:to>
      <xdr:col>12</xdr:col>
      <xdr:colOff>291520</xdr:colOff>
      <xdr:row>5</xdr:row>
      <xdr:rowOff>27295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EBC1FB-5247-46EC-D73E-BCE22308B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166" y="1601942"/>
          <a:ext cx="4317612" cy="206386"/>
        </a:xfrm>
        <a:prstGeom prst="rect">
          <a:avLst/>
        </a:prstGeom>
      </xdr:spPr>
    </xdr:pic>
    <xdr:clientData/>
  </xdr:twoCellAnchor>
  <xdr:twoCellAnchor editAs="oneCell">
    <xdr:from>
      <xdr:col>7</xdr:col>
      <xdr:colOff>975814</xdr:colOff>
      <xdr:row>8</xdr:row>
      <xdr:rowOff>161277</xdr:rowOff>
    </xdr:from>
    <xdr:to>
      <xdr:col>15</xdr:col>
      <xdr:colOff>194655</xdr:colOff>
      <xdr:row>9</xdr:row>
      <xdr:rowOff>905064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A790EB-AB61-112B-DD33-F112FA3C2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86799" y="2617874"/>
          <a:ext cx="5687882" cy="10508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EA305C-971A-4912-93CA-7B7215C9C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CBA699-C485-44D4-9393-00D53AD6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325EA5-E66B-44B2-AB35-17F2916D4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A527D9-DF20-4F37-BEB5-AF92E0299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E726F7-F38F-4418-8AB1-AA5B91184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zoomScale="90" zoomScaleNormal="90" workbookViewId="0">
      <selection activeCell="H11" sqref="H1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3</v>
      </c>
    </row>
    <row r="4" spans="1:15" ht="17.75" x14ac:dyDescent="0.45">
      <c r="B4" s="51" t="s">
        <v>4</v>
      </c>
      <c r="C4" s="51"/>
      <c r="D4" s="51"/>
      <c r="E4" s="30"/>
      <c r="F4" s="5"/>
      <c r="G4" s="26"/>
    </row>
    <row r="5" spans="1:15" ht="17.75" x14ac:dyDescent="0.45">
      <c r="B5" s="41" t="s">
        <v>5</v>
      </c>
      <c r="C5" s="41"/>
      <c r="D5" s="41"/>
      <c r="E5" s="30">
        <v>100000</v>
      </c>
      <c r="F5" s="5"/>
      <c r="G5" s="26"/>
    </row>
    <row r="6" spans="1:15" ht="17.75" x14ac:dyDescent="0.45">
      <c r="B6" s="51" t="s">
        <v>6</v>
      </c>
      <c r="C6" s="51"/>
      <c r="D6" s="51"/>
      <c r="E6" s="30">
        <v>0</v>
      </c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101900</v>
      </c>
      <c r="F8" s="5"/>
      <c r="G8" s="24" t="s">
        <v>9</v>
      </c>
      <c r="H8" s="31">
        <f>E7-E8</f>
        <v>-1900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45640</v>
      </c>
      <c r="C11" s="34" t="s">
        <v>17</v>
      </c>
      <c r="D11" s="35">
        <v>53301541</v>
      </c>
      <c r="E11" s="36" t="s">
        <v>18</v>
      </c>
      <c r="F11" s="37" t="s">
        <v>19</v>
      </c>
      <c r="G11" s="39">
        <v>6990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45640</v>
      </c>
      <c r="C12" s="34" t="s">
        <v>17</v>
      </c>
      <c r="D12" s="35">
        <v>729951278</v>
      </c>
      <c r="E12" s="36" t="s">
        <v>20</v>
      </c>
      <c r="F12" s="37" t="s">
        <v>21</v>
      </c>
      <c r="G12" s="39">
        <v>10250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45645</v>
      </c>
      <c r="C13" s="34" t="s">
        <v>17</v>
      </c>
      <c r="D13" s="35">
        <v>53302227</v>
      </c>
      <c r="E13" s="36" t="s">
        <v>18</v>
      </c>
      <c r="F13" s="37" t="s">
        <v>22</v>
      </c>
      <c r="G13" s="39">
        <v>23680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>
        <v>45645</v>
      </c>
      <c r="C14" s="34" t="s">
        <v>17</v>
      </c>
      <c r="D14" s="35">
        <v>764356469</v>
      </c>
      <c r="E14" s="36" t="s">
        <v>23</v>
      </c>
      <c r="F14" s="37" t="s">
        <v>24</v>
      </c>
      <c r="G14" s="39">
        <v>10990</v>
      </c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>
        <v>45646</v>
      </c>
      <c r="C15" s="34" t="s">
        <v>17</v>
      </c>
      <c r="D15" s="35">
        <v>764869867</v>
      </c>
      <c r="E15" s="36" t="s">
        <v>25</v>
      </c>
      <c r="F15" s="37" t="s">
        <v>26</v>
      </c>
      <c r="G15" s="39">
        <v>49990</v>
      </c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101900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9"/>
      <c r="G32" s="45"/>
    </row>
    <row r="33" spans="2:7" s="9" customFormat="1" ht="17.75" x14ac:dyDescent="0.45">
      <c r="B33" s="18"/>
      <c r="C33" s="18"/>
      <c r="D33" s="19"/>
      <c r="E33" s="19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zoomScale="90" zoomScaleNormal="90" workbookViewId="0">
      <selection activeCell="F30" sqref="F30:F3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28</v>
      </c>
    </row>
    <row r="4" spans="1:15" ht="17.75" x14ac:dyDescent="0.45">
      <c r="B4" s="51" t="s">
        <v>4</v>
      </c>
      <c r="C4" s="51"/>
      <c r="D4" s="51"/>
      <c r="E4" s="30">
        <f>+'DICIEMBRE '!H8</f>
        <v>-1900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101900</v>
      </c>
      <c r="F5" s="5"/>
      <c r="G5" s="26"/>
    </row>
    <row r="6" spans="1:15" ht="17.75" x14ac:dyDescent="0.45">
      <c r="B6" s="51" t="s">
        <v>6</v>
      </c>
      <c r="C6" s="51"/>
      <c r="D6" s="51"/>
      <c r="E6" s="30">
        <v>0</v>
      </c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40000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46019</v>
      </c>
      <c r="C11" s="34" t="s">
        <v>17</v>
      </c>
      <c r="D11" s="35">
        <v>1119</v>
      </c>
      <c r="E11" s="36" t="s">
        <v>30</v>
      </c>
      <c r="F11" s="37" t="s">
        <v>31</v>
      </c>
      <c r="G11" s="39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39"/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/>
      <c r="C13" s="34"/>
      <c r="D13" s="35"/>
      <c r="E13" s="36"/>
      <c r="F13" s="37"/>
      <c r="G13" s="39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40000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47" t="s">
        <v>34</v>
      </c>
      <c r="G30" s="6"/>
    </row>
    <row r="31" spans="1:15" ht="17.75" x14ac:dyDescent="0.45">
      <c r="B31" s="51"/>
      <c r="C31" s="51"/>
      <c r="D31" s="51"/>
      <c r="F31" s="46" t="s">
        <v>35</v>
      </c>
    </row>
    <row r="32" spans="1:15" ht="17.75" x14ac:dyDescent="0.45">
      <c r="B32" s="53"/>
      <c r="C32" s="53"/>
      <c r="D32" s="53"/>
      <c r="E32" s="32"/>
      <c r="F32" s="9"/>
      <c r="G32" s="45"/>
    </row>
    <row r="33" spans="2:7" s="9" customFormat="1" ht="17.75" x14ac:dyDescent="0.45">
      <c r="B33" s="18"/>
      <c r="C33" s="18"/>
      <c r="D33" s="19"/>
      <c r="E33" s="19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8">
    <mergeCell ref="B31:D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zoomScale="90" zoomScaleNormal="90" workbookViewId="0">
      <selection activeCell="K24" sqref="K24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32</v>
      </c>
    </row>
    <row r="4" spans="1:15" ht="17.75" x14ac:dyDescent="0.45">
      <c r="B4" s="51" t="s">
        <v>4</v>
      </c>
      <c r="C4" s="51"/>
      <c r="D4" s="51"/>
      <c r="E4" s="30">
        <f>+'ENERO 25'!H8</f>
        <v>60000</v>
      </c>
      <c r="F4" s="5"/>
      <c r="G4" s="26"/>
    </row>
    <row r="5" spans="1:15" ht="17.75" x14ac:dyDescent="0.45">
      <c r="B5" s="41" t="s">
        <v>5</v>
      </c>
      <c r="C5" s="41"/>
      <c r="D5" s="41"/>
      <c r="E5" s="48">
        <v>40000</v>
      </c>
      <c r="F5" s="5"/>
      <c r="G5" s="26"/>
    </row>
    <row r="6" spans="1:15" ht="17.75" x14ac:dyDescent="0.45">
      <c r="B6" s="51" t="s">
        <v>6</v>
      </c>
      <c r="C6" s="51"/>
      <c r="D6" s="51"/>
      <c r="E6" s="30">
        <v>0</v>
      </c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SUM(G18)</f>
        <v>83620</v>
      </c>
      <c r="F8" s="5"/>
      <c r="G8" s="24" t="s">
        <v>9</v>
      </c>
      <c r="H8" s="31">
        <f>E7-E8</f>
        <v>16380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45687</v>
      </c>
      <c r="C11" s="34" t="s">
        <v>39</v>
      </c>
      <c r="D11" s="35">
        <v>2509445</v>
      </c>
      <c r="E11" s="36" t="s">
        <v>40</v>
      </c>
      <c r="F11" s="37" t="s">
        <v>41</v>
      </c>
      <c r="G11" s="39">
        <v>21060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45690</v>
      </c>
      <c r="C12" s="34" t="s">
        <v>39</v>
      </c>
      <c r="D12" s="35">
        <v>749514850</v>
      </c>
      <c r="E12" s="36" t="s">
        <v>20</v>
      </c>
      <c r="F12" s="37" t="s">
        <v>42</v>
      </c>
      <c r="G12" s="39">
        <v>8390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45715</v>
      </c>
      <c r="C13" s="34" t="s">
        <v>39</v>
      </c>
      <c r="D13" s="35">
        <v>777610403</v>
      </c>
      <c r="E13" s="36" t="s">
        <v>25</v>
      </c>
      <c r="F13" s="37" t="s">
        <v>43</v>
      </c>
      <c r="G13" s="39">
        <v>4790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>
        <v>45714</v>
      </c>
      <c r="C14" s="34" t="s">
        <v>39</v>
      </c>
      <c r="D14" s="35">
        <v>778988929</v>
      </c>
      <c r="E14" s="36" t="s">
        <v>25</v>
      </c>
      <c r="F14" s="37" t="s">
        <v>44</v>
      </c>
      <c r="G14" s="39">
        <v>9380</v>
      </c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>
        <v>45349</v>
      </c>
      <c r="C15" s="34" t="s">
        <v>39</v>
      </c>
      <c r="D15" s="35">
        <v>1162</v>
      </c>
      <c r="E15" s="36" t="s">
        <v>30</v>
      </c>
      <c r="F15" s="37" t="s">
        <v>45</v>
      </c>
      <c r="G15" s="39">
        <v>40000</v>
      </c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s="9" customFormat="1" ht="17.75" x14ac:dyDescent="0.45">
      <c r="B18" s="13" t="s">
        <v>27</v>
      </c>
      <c r="C18" s="28"/>
      <c r="D18" s="14"/>
      <c r="E18" s="14"/>
      <c r="F18" s="14"/>
      <c r="G18" s="40">
        <f>SUM(G11:G17)</f>
        <v>83620</v>
      </c>
    </row>
    <row r="19" spans="1:15" s="9" customFormat="1" ht="17.75" x14ac:dyDescent="0.45">
      <c r="B19" s="15"/>
      <c r="C19" s="15"/>
      <c r="D19" s="16"/>
      <c r="E19" s="16"/>
      <c r="F19" s="16"/>
      <c r="G19" s="17"/>
    </row>
    <row r="20" spans="1:15" s="9" customFormat="1" ht="17.75" x14ac:dyDescent="0.45">
      <c r="B20" s="18"/>
      <c r="C20" s="18"/>
      <c r="D20" s="19"/>
      <c r="E20" s="19"/>
      <c r="F20" s="19"/>
      <c r="G20" s="6"/>
    </row>
    <row r="21" spans="1:15" ht="17.75" x14ac:dyDescent="0.45">
      <c r="B21" s="51"/>
      <c r="C21" s="51"/>
      <c r="D21" s="51"/>
      <c r="E21" s="43"/>
      <c r="F21" s="44"/>
      <c r="G21" s="47" t="s">
        <v>34</v>
      </c>
    </row>
    <row r="22" spans="1:15" ht="17.75" x14ac:dyDescent="0.45">
      <c r="B22" s="53"/>
      <c r="C22" s="53"/>
      <c r="D22" s="53"/>
      <c r="E22" s="32"/>
      <c r="F22" s="44"/>
      <c r="G22" s="46" t="s">
        <v>35</v>
      </c>
    </row>
    <row r="23" spans="1:15" s="9" customFormat="1" ht="17.75" x14ac:dyDescent="0.45">
      <c r="B23" s="18"/>
      <c r="C23" s="18"/>
      <c r="D23" s="19"/>
      <c r="E23" s="19"/>
      <c r="G23" s="6"/>
    </row>
    <row r="24" spans="1:15" s="9" customFormat="1" ht="17.75" x14ac:dyDescent="0.45">
      <c r="B24" s="18"/>
      <c r="C24" s="18"/>
      <c r="D24" s="19"/>
      <c r="E24" s="19"/>
      <c r="F24" s="19"/>
      <c r="G24" s="6"/>
    </row>
    <row r="25" spans="1:15" s="9" customFormat="1" ht="17.75" x14ac:dyDescent="0.45">
      <c r="B25" s="18"/>
      <c r="C25" s="18"/>
      <c r="D25" s="19"/>
      <c r="E25" s="19"/>
      <c r="F25" s="19"/>
      <c r="G25" s="6"/>
    </row>
    <row r="26" spans="1:15" s="9" customFormat="1" ht="17.75" x14ac:dyDescent="0.45">
      <c r="B26" s="18"/>
      <c r="C26" s="18"/>
      <c r="D26" s="19"/>
      <c r="E26" s="19"/>
      <c r="F26" s="19"/>
      <c r="G26" s="6"/>
    </row>
    <row r="27" spans="1:15" s="9" customFormat="1" ht="17.75" x14ac:dyDescent="0.45">
      <c r="B27" s="18"/>
      <c r="C27" s="18"/>
      <c r="D27" s="19"/>
      <c r="E27" s="19"/>
      <c r="F27" s="19"/>
      <c r="G27" s="6"/>
    </row>
    <row r="28" spans="1:15" s="9" customFormat="1" ht="17.75" x14ac:dyDescent="0.45">
      <c r="B28" s="18"/>
      <c r="C28" s="18"/>
      <c r="D28" s="19"/>
      <c r="E28" s="19"/>
      <c r="F28" s="19"/>
      <c r="G28" s="6"/>
    </row>
    <row r="29" spans="1:15" s="9" customFormat="1" ht="17.75" x14ac:dyDescent="0.45">
      <c r="B29" s="18"/>
      <c r="C29" s="18"/>
      <c r="D29" s="19"/>
      <c r="E29" s="19"/>
      <c r="F29" s="19"/>
      <c r="G29" s="6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s="9" customFormat="1" ht="17.75" x14ac:dyDescent="0.45">
      <c r="B31" s="18"/>
      <c r="C31" s="18"/>
      <c r="D31" s="19"/>
      <c r="E31" s="19"/>
      <c r="F31" s="19"/>
      <c r="G31" s="6"/>
    </row>
    <row r="32" spans="1:15" s="9" customFormat="1" ht="17.75" x14ac:dyDescent="0.45">
      <c r="B32" s="18"/>
      <c r="C32" s="18"/>
      <c r="D32" s="19"/>
      <c r="E32" s="19"/>
      <c r="F32" s="19"/>
      <c r="G32" s="6"/>
    </row>
    <row r="33" spans="2:7" s="9" customFormat="1" ht="17.75" x14ac:dyDescent="0.45">
      <c r="B33" s="18"/>
      <c r="C33" s="18"/>
      <c r="D33" s="19"/>
      <c r="E33" s="19"/>
      <c r="F33" s="19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</sheetData>
  <mergeCells count="8">
    <mergeCell ref="B21:D21"/>
    <mergeCell ref="B22:D2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6"/>
  <sheetViews>
    <sheetView zoomScale="90" zoomScaleNormal="90" workbookViewId="0">
      <selection activeCell="E6" sqref="E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33</v>
      </c>
    </row>
    <row r="4" spans="1:15" ht="17.75" x14ac:dyDescent="0.45">
      <c r="B4" s="51" t="s">
        <v>4</v>
      </c>
      <c r="C4" s="51"/>
      <c r="D4" s="51"/>
      <c r="E4" s="30">
        <f>+'FEBRERO 25'!H8</f>
        <v>16380</v>
      </c>
      <c r="F4" s="5"/>
      <c r="G4" s="26"/>
    </row>
    <row r="5" spans="1:15" ht="17.75" x14ac:dyDescent="0.45">
      <c r="B5" s="41" t="s">
        <v>5</v>
      </c>
      <c r="C5" s="41"/>
      <c r="D5" s="41"/>
      <c r="E5" s="48">
        <v>83620</v>
      </c>
      <c r="F5" s="5"/>
      <c r="G5" s="26"/>
    </row>
    <row r="6" spans="1:15" ht="17.75" x14ac:dyDescent="0.45">
      <c r="B6" s="51" t="s">
        <v>6</v>
      </c>
      <c r="C6" s="51"/>
      <c r="D6" s="51"/>
      <c r="E6" s="30">
        <v>0</v>
      </c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62050</v>
      </c>
      <c r="F8" s="5"/>
      <c r="G8" s="24" t="s">
        <v>9</v>
      </c>
      <c r="H8" s="31">
        <f>E7-E8</f>
        <v>37950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45724</v>
      </c>
      <c r="C11" s="34" t="s">
        <v>17</v>
      </c>
      <c r="D11" s="35">
        <v>61096</v>
      </c>
      <c r="E11" s="36" t="s">
        <v>46</v>
      </c>
      <c r="F11" s="37" t="s">
        <v>47</v>
      </c>
      <c r="G11" s="39">
        <v>5890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45724</v>
      </c>
      <c r="C12" s="34" t="s">
        <v>17</v>
      </c>
      <c r="D12" s="35">
        <v>81482203</v>
      </c>
      <c r="E12" s="36" t="s">
        <v>48</v>
      </c>
      <c r="F12" s="37" t="s">
        <v>47</v>
      </c>
      <c r="G12" s="39">
        <v>16160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45684</v>
      </c>
      <c r="C13" s="34" t="s">
        <v>17</v>
      </c>
      <c r="D13" s="35">
        <v>1140</v>
      </c>
      <c r="E13" s="36" t="s">
        <v>49</v>
      </c>
      <c r="F13" s="37" t="s">
        <v>50</v>
      </c>
      <c r="G13" s="39">
        <v>40000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62050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O46"/>
  <sheetViews>
    <sheetView zoomScale="90" zoomScaleNormal="90" workbookViewId="0">
      <selection activeCell="B11" sqref="B1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37</v>
      </c>
    </row>
    <row r="4" spans="1:15" ht="17.75" x14ac:dyDescent="0.45">
      <c r="B4" s="51" t="s">
        <v>4</v>
      </c>
      <c r="C4" s="51"/>
      <c r="D4" s="51"/>
      <c r="E4" s="30">
        <f>+'MARZO 25'!H8</f>
        <v>37950</v>
      </c>
      <c r="F4" s="5"/>
      <c r="G4" s="26"/>
    </row>
    <row r="5" spans="1:15" ht="17.75" x14ac:dyDescent="0.45">
      <c r="B5" s="41" t="s">
        <v>5</v>
      </c>
      <c r="C5" s="41"/>
      <c r="D5" s="41"/>
      <c r="E5" s="49">
        <v>57930</v>
      </c>
      <c r="F5" s="5"/>
      <c r="G5" s="26"/>
    </row>
    <row r="6" spans="1:15" ht="17.75" x14ac:dyDescent="0.45">
      <c r="B6" s="51" t="s">
        <v>6</v>
      </c>
      <c r="C6" s="51"/>
      <c r="D6" s="51"/>
      <c r="E6" s="30">
        <v>0</v>
      </c>
      <c r="F6" s="5"/>
    </row>
    <row r="7" spans="1:15" ht="17.75" x14ac:dyDescent="0.45">
      <c r="B7" s="55" t="s">
        <v>7</v>
      </c>
      <c r="C7" s="55"/>
      <c r="D7" s="55"/>
      <c r="E7" s="30">
        <f>SUM(E4:E6)</f>
        <v>95880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0</v>
      </c>
      <c r="F8" s="5"/>
      <c r="G8" s="24" t="s">
        <v>9</v>
      </c>
      <c r="H8" s="31">
        <f>E7-E8</f>
        <v>95880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/>
      <c r="C11" s="34"/>
      <c r="D11" s="35"/>
      <c r="E11" s="36"/>
      <c r="F11" s="37"/>
      <c r="G11" s="39"/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39"/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/>
      <c r="C13" s="34"/>
      <c r="D13" s="35"/>
      <c r="E13" s="36"/>
      <c r="F13" s="37"/>
      <c r="G13" s="39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6"/>
  <sheetViews>
    <sheetView zoomScale="90" zoomScaleNormal="90" workbookViewId="0">
      <selection activeCell="G11" sqref="G1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36</v>
      </c>
    </row>
    <row r="4" spans="1:15" ht="17.75" x14ac:dyDescent="0.45">
      <c r="B4" s="51" t="s">
        <v>4</v>
      </c>
      <c r="C4" s="51"/>
      <c r="D4" s="51"/>
      <c r="E4" s="30">
        <f>+'ABRIL 25'!H8</f>
        <v>95880</v>
      </c>
      <c r="F4" s="5"/>
      <c r="G4" s="26"/>
    </row>
    <row r="5" spans="1:15" ht="17.75" x14ac:dyDescent="0.45">
      <c r="B5" s="41" t="s">
        <v>5</v>
      </c>
      <c r="C5" s="41"/>
      <c r="D5" s="41"/>
      <c r="E5" s="30"/>
      <c r="F5" s="5"/>
      <c r="G5" s="26"/>
    </row>
    <row r="6" spans="1:15" ht="17.75" x14ac:dyDescent="0.45">
      <c r="B6" s="51" t="s">
        <v>6</v>
      </c>
      <c r="C6" s="51"/>
      <c r="D6" s="51"/>
      <c r="E6" s="30">
        <v>0</v>
      </c>
      <c r="F6" s="5"/>
    </row>
    <row r="7" spans="1:15" ht="17.75" x14ac:dyDescent="0.45">
      <c r="B7" s="55" t="s">
        <v>7</v>
      </c>
      <c r="C7" s="55"/>
      <c r="D7" s="55"/>
      <c r="E7" s="30">
        <f>SUM(E4:E6)</f>
        <v>95880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40000</v>
      </c>
      <c r="F8" s="5"/>
      <c r="G8" s="24" t="s">
        <v>9</v>
      </c>
      <c r="H8" s="31">
        <f>E7-E8</f>
        <v>55880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45779</v>
      </c>
      <c r="C11" s="34" t="s">
        <v>52</v>
      </c>
      <c r="D11" s="35">
        <v>1215</v>
      </c>
      <c r="E11" s="36" t="s">
        <v>30</v>
      </c>
      <c r="F11" s="37" t="s">
        <v>45</v>
      </c>
      <c r="G11" s="39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39"/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/>
      <c r="C13" s="34"/>
      <c r="D13" s="35"/>
      <c r="E13" s="36"/>
      <c r="F13" s="37"/>
      <c r="G13" s="39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40000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51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6"/>
  <sheetViews>
    <sheetView zoomScale="90" zoomScaleNormal="90" workbookViewId="0">
      <selection activeCell="M14" sqref="M14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38</v>
      </c>
    </row>
    <row r="4" spans="1:15" ht="17.75" x14ac:dyDescent="0.45">
      <c r="B4" s="51" t="s">
        <v>4</v>
      </c>
      <c r="C4" s="51"/>
      <c r="D4" s="51"/>
      <c r="E4" s="30">
        <f>+'MAYO 25'!H8</f>
        <v>55880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40000</v>
      </c>
      <c r="F5" s="5"/>
      <c r="G5" s="26"/>
    </row>
    <row r="6" spans="1:15" ht="17.75" x14ac:dyDescent="0.45">
      <c r="B6" s="51" t="s">
        <v>6</v>
      </c>
      <c r="C6" s="51"/>
      <c r="D6" s="51"/>
      <c r="E6" s="30">
        <v>0</v>
      </c>
      <c r="F6" s="5"/>
    </row>
    <row r="7" spans="1:15" ht="17.75" x14ac:dyDescent="0.45">
      <c r="B7" s="55" t="s">
        <v>7</v>
      </c>
      <c r="C7" s="55"/>
      <c r="D7" s="55"/>
      <c r="E7" s="30">
        <f>SUM(E4:E6)</f>
        <v>95880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46990</v>
      </c>
      <c r="F8" s="5"/>
      <c r="G8" s="24" t="s">
        <v>9</v>
      </c>
      <c r="H8" s="31">
        <f>E7-E8</f>
        <v>48890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45813</v>
      </c>
      <c r="C11" s="34" t="s">
        <v>39</v>
      </c>
      <c r="D11" s="35">
        <v>1243</v>
      </c>
      <c r="E11" s="36" t="s">
        <v>30</v>
      </c>
      <c r="F11" s="37" t="s">
        <v>53</v>
      </c>
      <c r="G11" s="39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45810</v>
      </c>
      <c r="C12" s="34" t="s">
        <v>39</v>
      </c>
      <c r="D12" s="35">
        <v>14736423</v>
      </c>
      <c r="E12" s="36" t="s">
        <v>54</v>
      </c>
      <c r="F12" s="37" t="s">
        <v>55</v>
      </c>
      <c r="G12" s="39">
        <v>6990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/>
      <c r="C13" s="34"/>
      <c r="D13" s="35"/>
      <c r="E13" s="36"/>
      <c r="F13" s="37"/>
      <c r="G13" s="39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46990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6"/>
  <sheetViews>
    <sheetView workbookViewId="0">
      <selection sqref="A1:XFD104857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38</v>
      </c>
    </row>
    <row r="4" spans="1:15" ht="17.75" x14ac:dyDescent="0.45">
      <c r="B4" s="51" t="s">
        <v>4</v>
      </c>
      <c r="C4" s="51"/>
      <c r="D4" s="51"/>
      <c r="E4" s="30">
        <f>+'MAYO 25'!H8</f>
        <v>55880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44120</v>
      </c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56695</v>
      </c>
      <c r="F8" s="5"/>
      <c r="G8" s="24" t="s">
        <v>9</v>
      </c>
      <c r="H8" s="31">
        <f>E7-E8</f>
        <v>43305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45843</v>
      </c>
      <c r="C11" s="34" t="s">
        <v>17</v>
      </c>
      <c r="D11" s="35">
        <v>1262</v>
      </c>
      <c r="E11" s="36" t="s">
        <v>30</v>
      </c>
      <c r="F11" s="37" t="s">
        <v>56</v>
      </c>
      <c r="G11" s="39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45822</v>
      </c>
      <c r="C12" s="34" t="s">
        <v>17</v>
      </c>
      <c r="D12" s="35">
        <v>776908073</v>
      </c>
      <c r="E12" s="36" t="s">
        <v>20</v>
      </c>
      <c r="F12" s="37" t="s">
        <v>57</v>
      </c>
      <c r="G12" s="39">
        <v>14505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45860</v>
      </c>
      <c r="C13" s="34" t="s">
        <v>17</v>
      </c>
      <c r="D13" s="35">
        <v>794833121</v>
      </c>
      <c r="E13" s="36" t="s">
        <v>23</v>
      </c>
      <c r="F13" s="37" t="s">
        <v>58</v>
      </c>
      <c r="G13" s="39">
        <v>2190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56695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6"/>
  <sheetViews>
    <sheetView workbookViewId="0">
      <selection activeCell="A4" sqref="A1:XFD104857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59</v>
      </c>
    </row>
    <row r="4" spans="1:15" ht="17.75" x14ac:dyDescent="0.45">
      <c r="B4" s="51" t="s">
        <v>4</v>
      </c>
      <c r="C4" s="51"/>
      <c r="D4" s="51"/>
      <c r="E4" s="30">
        <f>+'MAYO 25'!H8</f>
        <v>55880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44120</v>
      </c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50990</v>
      </c>
      <c r="F8" s="5"/>
      <c r="G8" s="24" t="s">
        <v>9</v>
      </c>
      <c r="H8" s="31">
        <f>E7-E8</f>
        <v>49010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45874</v>
      </c>
      <c r="C11" s="34" t="s">
        <v>39</v>
      </c>
      <c r="D11" s="35">
        <v>1294</v>
      </c>
      <c r="E11" s="36" t="s">
        <v>30</v>
      </c>
      <c r="F11" s="37" t="s">
        <v>53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45863</v>
      </c>
      <c r="C12" s="34" t="s">
        <v>39</v>
      </c>
      <c r="D12" s="35">
        <v>14738093</v>
      </c>
      <c r="E12" s="36" t="s">
        <v>54</v>
      </c>
      <c r="F12" s="37" t="s">
        <v>60</v>
      </c>
      <c r="G12" s="50">
        <v>5990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45888</v>
      </c>
      <c r="C13" s="34" t="s">
        <v>39</v>
      </c>
      <c r="D13" s="35">
        <v>31010</v>
      </c>
      <c r="E13" s="36" t="s">
        <v>61</v>
      </c>
      <c r="F13" s="37" t="s">
        <v>62</v>
      </c>
      <c r="G13" s="50">
        <v>5000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50990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126" orientation="portrait" horizontalDpi="203" verticalDpi="203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6"/>
  <sheetViews>
    <sheetView workbookViewId="0">
      <selection activeCell="G15" sqref="E15:G3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7.6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59</v>
      </c>
    </row>
    <row r="4" spans="1:15" ht="17.75" x14ac:dyDescent="0.45">
      <c r="B4" s="51" t="s">
        <v>4</v>
      </c>
      <c r="C4" s="51"/>
      <c r="D4" s="51"/>
      <c r="E4" s="30">
        <f>+'MAYO 25'!H8</f>
        <v>55880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44120</v>
      </c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72110</v>
      </c>
      <c r="F8" s="5"/>
      <c r="G8" s="24" t="s">
        <v>9</v>
      </c>
      <c r="H8" s="31">
        <f>E7-E8</f>
        <v>27890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45912</v>
      </c>
      <c r="C11" s="34" t="s">
        <v>17</v>
      </c>
      <c r="D11" s="35">
        <v>15086125</v>
      </c>
      <c r="E11" s="36" t="s">
        <v>54</v>
      </c>
      <c r="F11" s="37" t="s">
        <v>63</v>
      </c>
      <c r="G11" s="50">
        <v>4990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45915</v>
      </c>
      <c r="C12" s="34" t="s">
        <v>17</v>
      </c>
      <c r="D12" s="35">
        <v>2103</v>
      </c>
      <c r="E12" s="36" t="s">
        <v>64</v>
      </c>
      <c r="F12" s="37" t="s">
        <v>65</v>
      </c>
      <c r="G12" s="50">
        <v>27120</v>
      </c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>
        <v>45905</v>
      </c>
      <c r="C13" s="34" t="s">
        <v>17</v>
      </c>
      <c r="D13" s="35">
        <v>1315</v>
      </c>
      <c r="E13" s="36" t="s">
        <v>30</v>
      </c>
      <c r="F13" s="37" t="s">
        <v>66</v>
      </c>
      <c r="G13" s="50">
        <v>40000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72110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6"/>
  <sheetViews>
    <sheetView workbookViewId="0">
      <selection activeCell="E8" sqref="E8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7.6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69</v>
      </c>
    </row>
    <row r="4" spans="1:15" ht="17.75" x14ac:dyDescent="0.45">
      <c r="B4" s="51" t="s">
        <v>4</v>
      </c>
      <c r="C4" s="51"/>
      <c r="D4" s="51"/>
      <c r="E4" s="30">
        <v>27890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72110</v>
      </c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51000</v>
      </c>
      <c r="F8" s="5"/>
      <c r="G8" s="24" t="s">
        <v>9</v>
      </c>
      <c r="H8" s="31">
        <f>E7-E8</f>
        <v>49000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45935</v>
      </c>
      <c r="C11" s="34" t="s">
        <v>67</v>
      </c>
      <c r="D11" s="35">
        <v>1324</v>
      </c>
      <c r="E11" s="36" t="s">
        <v>30</v>
      </c>
      <c r="F11" s="37" t="s">
        <v>50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45948</v>
      </c>
      <c r="C12" s="34" t="s">
        <v>67</v>
      </c>
      <c r="D12" s="35">
        <v>109889</v>
      </c>
      <c r="E12" s="36" t="s">
        <v>68</v>
      </c>
      <c r="F12" s="37" t="s">
        <v>57</v>
      </c>
      <c r="G12" s="50">
        <v>11000</v>
      </c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51000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6"/>
  <sheetViews>
    <sheetView workbookViewId="0">
      <selection sqref="A1:XFD104857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7.6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70</v>
      </c>
    </row>
    <row r="4" spans="1:15" ht="17.75" x14ac:dyDescent="0.45">
      <c r="B4" s="51" t="s">
        <v>4</v>
      </c>
      <c r="C4" s="51"/>
      <c r="D4" s="51"/>
      <c r="E4" s="30">
        <v>49000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51000</v>
      </c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40000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45966</v>
      </c>
      <c r="C11" s="34" t="s">
        <v>67</v>
      </c>
      <c r="D11" s="35">
        <v>1348</v>
      </c>
      <c r="E11" s="36" t="s">
        <v>30</v>
      </c>
      <c r="F11" s="37" t="s">
        <v>50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40000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6"/>
  <sheetViews>
    <sheetView workbookViewId="0">
      <selection activeCell="J14" sqref="J14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7.6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23" t="s">
        <v>71</v>
      </c>
    </row>
    <row r="4" spans="1:15" ht="17.75" x14ac:dyDescent="0.45">
      <c r="B4" s="51" t="s">
        <v>4</v>
      </c>
      <c r="C4" s="51"/>
      <c r="D4" s="51"/>
      <c r="E4" s="30">
        <v>49000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51000</v>
      </c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135671</v>
      </c>
      <c r="F8" s="5"/>
      <c r="G8" s="24" t="s">
        <v>9</v>
      </c>
      <c r="H8" s="31">
        <f>E7-E8</f>
        <v>-35671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45996</v>
      </c>
      <c r="C11" s="34" t="s">
        <v>67</v>
      </c>
      <c r="D11" s="35">
        <v>1389</v>
      </c>
      <c r="E11" s="36" t="s">
        <v>30</v>
      </c>
      <c r="F11" s="37" t="s">
        <v>50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46004</v>
      </c>
      <c r="C12" s="34" t="s">
        <v>72</v>
      </c>
      <c r="D12" s="35">
        <v>24619</v>
      </c>
      <c r="E12" s="36" t="s">
        <v>73</v>
      </c>
      <c r="F12" s="37" t="s">
        <v>74</v>
      </c>
      <c r="G12" s="50">
        <v>74950</v>
      </c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>
        <v>46000</v>
      </c>
      <c r="C13" s="34" t="s">
        <v>17</v>
      </c>
      <c r="D13" s="35">
        <v>4692</v>
      </c>
      <c r="E13" s="36" t="s">
        <v>76</v>
      </c>
      <c r="F13" s="37" t="s">
        <v>75</v>
      </c>
      <c r="G13" s="50">
        <v>5987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>
        <v>46000</v>
      </c>
      <c r="C14" s="34" t="s">
        <v>17</v>
      </c>
      <c r="D14" s="35">
        <v>393</v>
      </c>
      <c r="E14" s="36" t="s">
        <v>77</v>
      </c>
      <c r="F14" s="37" t="s">
        <v>75</v>
      </c>
      <c r="G14" s="50">
        <v>8491</v>
      </c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>
        <v>46012</v>
      </c>
      <c r="C15" s="34" t="s">
        <v>67</v>
      </c>
      <c r="D15" s="35">
        <v>312</v>
      </c>
      <c r="E15" s="36" t="s">
        <v>78</v>
      </c>
      <c r="F15" s="37" t="s">
        <v>75</v>
      </c>
      <c r="G15" s="50">
        <v>6243</v>
      </c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135671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6"/>
  <sheetViews>
    <sheetView tabSelected="1" zoomScale="90" zoomScaleNormal="90" workbookViewId="0">
      <selection activeCell="H3" sqref="H3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1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58" t="s">
        <v>28</v>
      </c>
    </row>
    <row r="4" spans="1:15" ht="17.75" x14ac:dyDescent="0.45">
      <c r="B4" s="51" t="s">
        <v>4</v>
      </c>
      <c r="C4" s="51"/>
      <c r="D4" s="51"/>
      <c r="E4" s="57">
        <f>+'DICIEMBRE 25'!H8</f>
        <v>-35671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135671</v>
      </c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100000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40000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34.4" x14ac:dyDescent="0.45">
      <c r="A11" s="12">
        <v>1</v>
      </c>
      <c r="B11" s="34">
        <v>46045</v>
      </c>
      <c r="C11" s="34" t="s">
        <v>17</v>
      </c>
      <c r="D11" s="35">
        <v>1443</v>
      </c>
      <c r="E11" s="36" t="s">
        <v>30</v>
      </c>
      <c r="F11" s="37" t="s">
        <v>79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40000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04BA-E7B4-43CF-9A04-89BB6EA65F2D}">
  <dimension ref="A1:O46"/>
  <sheetViews>
    <sheetView zoomScale="90" zoomScaleNormal="90" workbookViewId="0">
      <selection activeCell="F33" sqref="F33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1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58" t="s">
        <v>32</v>
      </c>
    </row>
    <row r="4" spans="1:15" ht="17.75" x14ac:dyDescent="0.45">
      <c r="B4" s="51" t="s">
        <v>4</v>
      </c>
      <c r="C4" s="51"/>
      <c r="D4" s="51"/>
      <c r="E4" s="57">
        <f>+'ENERO 26'!H8</f>
        <v>60000</v>
      </c>
      <c r="F4" s="5"/>
      <c r="G4" s="26"/>
    </row>
    <row r="5" spans="1:15" ht="17.75" x14ac:dyDescent="0.45">
      <c r="B5" s="41" t="s">
        <v>5</v>
      </c>
      <c r="C5" s="41"/>
      <c r="D5" s="41"/>
      <c r="E5" s="30"/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60000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/>
      <c r="C11" s="34"/>
      <c r="D11" s="35"/>
      <c r="E11" s="36"/>
      <c r="F11" s="37"/>
      <c r="G11" s="50"/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D3AD-3DE3-49A1-9745-DAC38F3638D5}">
  <dimension ref="A1:O46"/>
  <sheetViews>
    <sheetView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1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58" t="s">
        <v>33</v>
      </c>
    </row>
    <row r="4" spans="1:15" ht="17.75" x14ac:dyDescent="0.45">
      <c r="B4" s="51" t="s">
        <v>4</v>
      </c>
      <c r="C4" s="51"/>
      <c r="D4" s="51"/>
      <c r="E4" s="57">
        <f>+'FEBRERO 2026'!H8</f>
        <v>60000</v>
      </c>
      <c r="F4" s="5"/>
      <c r="G4" s="26"/>
    </row>
    <row r="5" spans="1:15" ht="17.75" x14ac:dyDescent="0.45">
      <c r="B5" s="41" t="s">
        <v>5</v>
      </c>
      <c r="C5" s="41"/>
      <c r="D5" s="41"/>
      <c r="E5" s="30"/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60000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/>
      <c r="C11" s="34"/>
      <c r="D11" s="35"/>
      <c r="E11" s="36"/>
      <c r="F11" s="37"/>
      <c r="G11" s="50"/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83E0-9B4D-483B-97F0-16C25695DD9F}">
  <dimension ref="A1:O46"/>
  <sheetViews>
    <sheetView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1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58" t="s">
        <v>37</v>
      </c>
    </row>
    <row r="4" spans="1:15" ht="17.75" x14ac:dyDescent="0.45">
      <c r="B4" s="51" t="s">
        <v>4</v>
      </c>
      <c r="C4" s="51"/>
      <c r="D4" s="51"/>
      <c r="E4" s="57">
        <f>+'MARZO 2026'!H8</f>
        <v>60000</v>
      </c>
      <c r="F4" s="5"/>
      <c r="G4" s="26"/>
    </row>
    <row r="5" spans="1:15" ht="17.75" x14ac:dyDescent="0.45">
      <c r="B5" s="41" t="s">
        <v>5</v>
      </c>
      <c r="C5" s="41"/>
      <c r="D5" s="41"/>
      <c r="E5" s="30"/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60000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/>
      <c r="C11" s="34"/>
      <c r="D11" s="35"/>
      <c r="E11" s="36"/>
      <c r="F11" s="37"/>
      <c r="G11" s="50"/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DC86-DCA1-4D22-9899-CE1F15E2832F}">
  <dimension ref="A1:O46"/>
  <sheetViews>
    <sheetView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1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58" t="s">
        <v>36</v>
      </c>
    </row>
    <row r="4" spans="1:15" ht="17.75" x14ac:dyDescent="0.45">
      <c r="B4" s="51" t="s">
        <v>4</v>
      </c>
      <c r="C4" s="51"/>
      <c r="D4" s="51"/>
      <c r="E4" s="57">
        <f>+'ABRIL 2026'!H8</f>
        <v>60000</v>
      </c>
      <c r="F4" s="5"/>
      <c r="G4" s="26"/>
    </row>
    <row r="5" spans="1:15" ht="17.75" x14ac:dyDescent="0.45">
      <c r="B5" s="41" t="s">
        <v>5</v>
      </c>
      <c r="C5" s="41"/>
      <c r="D5" s="41"/>
      <c r="E5" s="30"/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60000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/>
      <c r="C11" s="34"/>
      <c r="D11" s="35"/>
      <c r="E11" s="36"/>
      <c r="F11" s="37"/>
      <c r="G11" s="50"/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0879-78F6-499E-9BD0-D0B420F20408}">
  <dimension ref="A1:O46"/>
  <sheetViews>
    <sheetView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1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4" t="s">
        <v>0</v>
      </c>
      <c r="D1" s="54"/>
      <c r="E1" s="54"/>
      <c r="F1" s="54"/>
      <c r="G1" s="54"/>
      <c r="H1" s="54"/>
    </row>
    <row r="2" spans="1:15" ht="38.950000000000003" customHeight="1" x14ac:dyDescent="0.6">
      <c r="B2" s="44"/>
      <c r="C2" s="54" t="s">
        <v>1</v>
      </c>
      <c r="D2" s="54"/>
      <c r="E2" s="54"/>
      <c r="F2" s="54"/>
      <c r="G2" s="54"/>
      <c r="H2" s="54"/>
    </row>
    <row r="3" spans="1:15" ht="24.05" customHeight="1" x14ac:dyDescent="0.55000000000000004">
      <c r="D3" s="2"/>
      <c r="F3" s="21"/>
      <c r="G3" s="27" t="s">
        <v>2</v>
      </c>
      <c r="H3" s="58" t="s">
        <v>38</v>
      </c>
    </row>
    <row r="4" spans="1:15" ht="17.75" x14ac:dyDescent="0.45">
      <c r="B4" s="51" t="s">
        <v>4</v>
      </c>
      <c r="C4" s="51"/>
      <c r="D4" s="51"/>
      <c r="E4" s="57">
        <f>+'MAYO 2026'!H8</f>
        <v>60000</v>
      </c>
      <c r="F4" s="5"/>
      <c r="G4" s="26"/>
    </row>
    <row r="5" spans="1:15" ht="17.75" x14ac:dyDescent="0.45">
      <c r="B5" s="41" t="s">
        <v>5</v>
      </c>
      <c r="C5" s="41"/>
      <c r="D5" s="41"/>
      <c r="E5" s="30"/>
      <c r="F5" s="5"/>
      <c r="G5" s="26"/>
    </row>
    <row r="6" spans="1:15" ht="17.75" x14ac:dyDescent="0.45">
      <c r="B6" s="51" t="s">
        <v>6</v>
      </c>
      <c r="C6" s="51"/>
      <c r="D6" s="51"/>
      <c r="E6" s="30"/>
      <c r="F6" s="5"/>
    </row>
    <row r="7" spans="1:15" ht="17.75" x14ac:dyDescent="0.45">
      <c r="B7" s="55" t="s">
        <v>7</v>
      </c>
      <c r="C7" s="55"/>
      <c r="D7" s="55"/>
      <c r="E7" s="30">
        <f>SUM(E4:E6)</f>
        <v>60000</v>
      </c>
      <c r="F7" s="5"/>
      <c r="G7" s="22"/>
    </row>
    <row r="8" spans="1:15" ht="17.75" x14ac:dyDescent="0.45">
      <c r="B8" s="56" t="s">
        <v>8</v>
      </c>
      <c r="C8" s="56"/>
      <c r="D8" s="56"/>
      <c r="E8" s="33">
        <f>SUM(G28)</f>
        <v>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/>
      <c r="C11" s="34"/>
      <c r="D11" s="35"/>
      <c r="E11" s="36"/>
      <c r="F11" s="37"/>
      <c r="G11" s="50"/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1"/>
      <c r="C31" s="51"/>
      <c r="D31" s="51"/>
      <c r="E31" s="52"/>
      <c r="F31" s="52"/>
    </row>
    <row r="32" spans="1:15" ht="17.75" x14ac:dyDescent="0.45">
      <c r="B32" s="53"/>
      <c r="C32" s="53"/>
      <c r="D32" s="53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2585C102-57CC-46B1-BD07-1D31DC0F0F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016E33-BB35-44AC-A4C8-B677D674F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0B3F3-C833-4A67-895A-549E7DB39985}">
  <ds:schemaRefs>
    <ds:schemaRef ds:uri="http://schemas.microsoft.com/sharepoint/v3"/>
    <ds:schemaRef ds:uri="http://purl.org/dc/terms/"/>
    <ds:schemaRef ds:uri="fa8ec313-c772-4af8-8363-8ff52de2e6b8"/>
    <ds:schemaRef ds:uri="http://schemas.microsoft.com/office/2006/documentManagement/types"/>
    <ds:schemaRef ds:uri="6a7ff2fa-cd4c-4111-a6ab-75351164d87f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7</vt:i4>
      </vt:variant>
    </vt:vector>
  </HeadingPairs>
  <TitlesOfParts>
    <vt:vector size="26" baseType="lpstr">
      <vt:lpstr>DICIEMBRE </vt:lpstr>
      <vt:lpstr>ENERO 25</vt:lpstr>
      <vt:lpstr>FEBRERO 25</vt:lpstr>
      <vt:lpstr>MARZO 25</vt:lpstr>
      <vt:lpstr>ABRIL 25</vt:lpstr>
      <vt:lpstr>MAYO 25</vt:lpstr>
      <vt:lpstr>JUNIO 25</vt:lpstr>
      <vt:lpstr>JULIO25</vt:lpstr>
      <vt:lpstr>AGOSTO 25</vt:lpstr>
      <vt:lpstr>SEPTIEMBRE 25</vt:lpstr>
      <vt:lpstr>OCTUBRE 25</vt:lpstr>
      <vt:lpstr>NOVIEMBRE 25</vt:lpstr>
      <vt:lpstr>DICIEMBRE 25</vt:lpstr>
      <vt:lpstr>ENERO 26</vt:lpstr>
      <vt:lpstr>FEBRERO 2026</vt:lpstr>
      <vt:lpstr>MARZO 2026</vt:lpstr>
      <vt:lpstr>ABRIL 2026</vt:lpstr>
      <vt:lpstr>MAYO 2026</vt:lpstr>
      <vt:lpstr>JUNIO 2026 </vt:lpstr>
      <vt:lpstr>'ABRIL 25'!Área_de_impresión</vt:lpstr>
      <vt:lpstr>'DICIEMBRE '!Área_de_impresión</vt:lpstr>
      <vt:lpstr>'ENERO 25'!Área_de_impresión</vt:lpstr>
      <vt:lpstr>'FEBRERO 25'!Área_de_impresión</vt:lpstr>
      <vt:lpstr>'JUNIO 25'!Área_de_impresión</vt:lpstr>
      <vt:lpstr>'MARZO 25'!Área_de_impresión</vt:lpstr>
      <vt:lpstr>'MAYO 25'!Área_de_impresión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2026-02-13T23:41:01Z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