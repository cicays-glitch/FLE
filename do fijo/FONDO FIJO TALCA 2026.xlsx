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58" documentId="8_{45B987C1-D227-4060-8023-86E1B715E3B2}" xr6:coauthVersionLast="47" xr6:coauthVersionMax="47" xr10:uidLastSave="{5532BB57-07C8-4583-B131-506A796B36F3}"/>
  <bookViews>
    <workbookView xWindow="20525" yWindow="-107" windowWidth="20848" windowHeight="11111" tabRatio="843" activeTab="2" xr2:uid="{00000000-000D-0000-FFFF-FFFF00000000}"/>
  </bookViews>
  <sheets>
    <sheet name="DICIEMBRE2025" sheetId="20" r:id="rId1"/>
    <sheet name="ENE2026" sheetId="21" r:id="rId2"/>
    <sheet name="FEB2026" sheetId="22" r:id="rId3"/>
    <sheet name="MAR2026 " sheetId="23" r:id="rId4"/>
    <sheet name="ABR2026" sheetId="24" r:id="rId5"/>
    <sheet name="MAY2026" sheetId="25" r:id="rId6"/>
    <sheet name="JUN2026" sheetId="2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6" l="1"/>
  <c r="E8" i="26"/>
  <c r="G26" i="25"/>
  <c r="E8" i="25"/>
  <c r="G26" i="24"/>
  <c r="E8" i="24" s="1"/>
  <c r="G26" i="23"/>
  <c r="E8" i="23" s="1"/>
  <c r="G26" i="22"/>
  <c r="E8" i="22" s="1"/>
  <c r="G26" i="21"/>
  <c r="E8" i="21" s="1"/>
  <c r="E7" i="20"/>
  <c r="G26" i="20"/>
  <c r="E8" i="20" s="1"/>
  <c r="H8" i="20" l="1"/>
  <c r="E4" i="21" s="1"/>
  <c r="E7" i="21" s="1"/>
  <c r="H8" i="21" s="1"/>
  <c r="E4" i="22" s="1"/>
  <c r="E7" i="22" s="1"/>
  <c r="H8" i="22" s="1"/>
  <c r="E4" i="23" s="1"/>
  <c r="E7" i="23" s="1"/>
  <c r="H8" i="23" s="1"/>
  <c r="E4" i="24" s="1"/>
  <c r="E7" i="24" s="1"/>
  <c r="H8" i="24" s="1"/>
  <c r="E4" i="25" s="1"/>
  <c r="E7" i="25" s="1"/>
  <c r="H8" i="25" s="1"/>
  <c r="E4" i="26" s="1"/>
  <c r="E7" i="26" s="1"/>
  <c r="H8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1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11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FFC07E89-8AF5-4205-B2B5-BA36CCA19DAA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A93A9E9E-0D82-4B71-ADE7-30559E1F68D3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2D83F570-C21B-40F2-83E2-21FD5C148DCD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1B2C430-A477-4535-BC28-0A927F5E732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3ADC981A-ECC9-414A-A989-05E23C855788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F0A83D07-7CFE-48AF-9B2E-EDD5339F75F8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DCE8B266-8158-4D27-B123-6CA24E7F56BB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DA3D4923-46AA-4956-9588-09B843F3E833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FBC0DA62-CB45-4002-9DE6-0ED12F2F7973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21178F4F-0C01-41BE-9794-4A6393987FA9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A167A562-4C06-4C4A-905B-2356EF887BD9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3196E41B-D2D5-4733-A559-CDC11B0A6CD4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sharedStrings.xml><?xml version="1.0" encoding="utf-8"?>
<sst xmlns="http://schemas.openxmlformats.org/spreadsheetml/2006/main" count="201" uniqueCount="69">
  <si>
    <t xml:space="preserve">RENDICION CAJA CHICA  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</si>
  <si>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</si>
  <si>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</si>
  <si>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</si>
  <si>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</si>
  <si>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</si>
  <si>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</si>
  <si>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</si>
  <si>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</si>
  <si>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</si>
  <si>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</si>
  <si>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</si>
  <si>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</si>
  <si>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</si>
  <si>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</si>
  <si>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185</t>
  </si>
  <si>
    <t>TOTALES</t>
  </si>
  <si>
    <t>DICIEMBRE</t>
  </si>
  <si>
    <t>ENERO</t>
  </si>
  <si>
    <t>FEBRERO</t>
  </si>
  <si>
    <t>MARZO</t>
  </si>
  <si>
    <t>ABRIL</t>
  </si>
  <si>
    <t>MAYO</t>
  </si>
  <si>
    <t>JUNIO</t>
  </si>
  <si>
    <t>TALCA</t>
  </si>
  <si>
    <t>paqueteria</t>
  </si>
  <si>
    <t>desayuno equipo</t>
  </si>
  <si>
    <t>desayuno paltas</t>
  </si>
  <si>
    <t xml:space="preserve">reunion </t>
  </si>
  <si>
    <t>cinta</t>
  </si>
  <si>
    <t>cinta de regalo</t>
  </si>
  <si>
    <t>agua de bidon</t>
  </si>
  <si>
    <t xml:space="preserve">scotch </t>
  </si>
  <si>
    <t>toalla papel</t>
  </si>
  <si>
    <t>toallas de limpieza humedas</t>
  </si>
  <si>
    <t>caja organizadora</t>
  </si>
  <si>
    <t>agua + dulces</t>
  </si>
  <si>
    <t>reunion fin de año</t>
  </si>
  <si>
    <t>limpieza vitrina</t>
  </si>
  <si>
    <t>AGUA</t>
  </si>
  <si>
    <t>boleta</t>
  </si>
  <si>
    <t>pilas</t>
  </si>
  <si>
    <t>boleto venta</t>
  </si>
  <si>
    <t>pasaje a Santiago (reunión)</t>
  </si>
  <si>
    <t>comprobante</t>
  </si>
  <si>
    <t>S/N</t>
  </si>
  <si>
    <t>uber terminal Talca</t>
  </si>
  <si>
    <t>uber hacia renunion Stgo</t>
  </si>
  <si>
    <t>metro de Santiago</t>
  </si>
  <si>
    <t>00NX7WTB</t>
  </si>
  <si>
    <t>pasaje a Talca (devuelta)</t>
  </si>
  <si>
    <t xml:space="preserve">uber desde terminal </t>
  </si>
  <si>
    <t>cinta embalaje</t>
  </si>
  <si>
    <t>cafes desayuno equipo</t>
  </si>
  <si>
    <t>comida desayuno equipo</t>
  </si>
  <si>
    <t>agua purificada</t>
  </si>
  <si>
    <t>boleta honorario</t>
  </si>
  <si>
    <t>Limpieza Vitrina</t>
  </si>
  <si>
    <t>BOLETA</t>
  </si>
  <si>
    <t xml:space="preserve">desayuno </t>
  </si>
  <si>
    <t>desayuno</t>
  </si>
  <si>
    <t>cinta de embalaje</t>
  </si>
  <si>
    <t>pegamento chinos</t>
  </si>
  <si>
    <t>miniso , libreta + marcador</t>
  </si>
  <si>
    <t>2/21/26</t>
  </si>
  <si>
    <t>agua</t>
  </si>
  <si>
    <t>cajas plasticas</t>
  </si>
  <si>
    <t>2/23/26</t>
  </si>
  <si>
    <t>arreglo computador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</si>
</sst>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m/d/yyyy;@"/>
    <numFmt numFmtId="167" formatCode="0_ "/>
    <numFmt numFmtId="168" formatCode="#,##0_ ;\-#,##0\ "/>
  </numFmts>
  <fonts count="21">
    <font>
      <sz val="11"/>
      <color theme="1"/>
      <name val="Calibri"/>
      <charset val="134"/>
      <scheme val="minor"/>
    </font>
    <font>
      <i/>
      <sz val="16"/>
      <name val="Segoe UI"/>
      <family val="2"/>
    </font>
    <font>
      <i/>
      <sz val="12"/>
      <name val="Segoe UI"/>
      <family val="2"/>
    </font>
    <font>
      <b/>
      <i/>
      <sz val="10"/>
      <name val="Segoe UI"/>
      <family val="2"/>
    </font>
    <font>
      <i/>
      <sz val="10"/>
      <name val="Segoe UI"/>
      <family val="2"/>
    </font>
    <font>
      <i/>
      <sz val="9"/>
      <name val="Segoe UI"/>
      <family val="2"/>
    </font>
    <font>
      <b/>
      <i/>
      <u/>
      <sz val="16"/>
      <name val="Segoe UI"/>
      <family val="2"/>
    </font>
    <font>
      <b/>
      <i/>
      <sz val="9"/>
      <name val="Segoe UI"/>
      <family val="2"/>
    </font>
    <font>
      <b/>
      <i/>
      <sz val="22"/>
      <name val="Segoe UI"/>
      <family val="2"/>
    </font>
    <font>
      <b/>
      <i/>
      <sz val="14"/>
      <name val="Segoe UI"/>
      <family val="2"/>
    </font>
    <font>
      <b/>
      <i/>
      <sz val="10"/>
      <color rgb="FFFF0000"/>
      <name val="Segoe UI"/>
      <family val="2"/>
    </font>
    <font>
      <b/>
      <i/>
      <sz val="12"/>
      <name val="Segoe UI"/>
      <family val="2"/>
    </font>
    <font>
      <b/>
      <i/>
      <sz val="12"/>
      <color rgb="FF0070C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indexed="10"/>
      <name val="Segoe UI"/>
      <family val="2"/>
    </font>
    <font>
      <b/>
      <i/>
      <sz val="11"/>
      <color rgb="FFFF000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829096346934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6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1" fontId="4" fillId="2" borderId="0" xfId="0" applyNumberFormat="1" applyFont="1" applyFill="1" applyAlignment="1">
      <alignment vertical="center"/>
    </xf>
    <xf numFmtId="3" fontId="4" fillId="2" borderId="0" xfId="0" applyNumberFormat="1" applyFont="1" applyFill="1"/>
    <xf numFmtId="0" fontId="7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165" fontId="3" fillId="3" borderId="1" xfId="1" applyNumberFormat="1" applyFont="1" applyFill="1" applyBorder="1" applyAlignment="1">
      <alignment horizontal="center" vertical="center"/>
    </xf>
    <xf numFmtId="49" fontId="4" fillId="2" borderId="0" xfId="0" applyNumberFormat="1" applyFont="1" applyFill="1"/>
    <xf numFmtId="49" fontId="2" fillId="2" borderId="0" xfId="0" applyNumberFormat="1" applyFont="1" applyFill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165" fontId="13" fillId="2" borderId="1" xfId="1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/>
    </xf>
    <xf numFmtId="165" fontId="15" fillId="2" borderId="1" xfId="1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3" fontId="11" fillId="2" borderId="3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66" fontId="16" fillId="2" borderId="2" xfId="0" applyNumberFormat="1" applyFont="1" applyFill="1" applyBorder="1" applyAlignment="1">
      <alignment horizontal="left"/>
    </xf>
    <xf numFmtId="14" fontId="16" fillId="2" borderId="2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/>
    </xf>
    <xf numFmtId="3" fontId="16" fillId="2" borderId="2" xfId="0" applyNumberFormat="1" applyFont="1" applyFill="1" applyBorder="1" applyAlignment="1">
      <alignment horizontal="left" wrapText="1"/>
    </xf>
    <xf numFmtId="167" fontId="16" fillId="2" borderId="2" xfId="1" applyNumberFormat="1" applyFont="1" applyFill="1" applyBorder="1" applyAlignment="1">
      <alignment horizontal="left"/>
    </xf>
    <xf numFmtId="0" fontId="1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3" fontId="16" fillId="2" borderId="3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horizontal="right"/>
    </xf>
    <xf numFmtId="0" fontId="11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3" fontId="11" fillId="2" borderId="5" xfId="0" applyNumberFormat="1" applyFont="1" applyFill="1" applyBorder="1"/>
    <xf numFmtId="0" fontId="1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3" fontId="11" fillId="2" borderId="0" xfId="0" applyNumberFormat="1" applyFont="1" applyFill="1"/>
    <xf numFmtId="0" fontId="3" fillId="2" borderId="0" xfId="0" applyFont="1" applyFill="1" applyAlignment="1">
      <alignment horizontal="center"/>
    </xf>
    <xf numFmtId="0" fontId="11" fillId="2" borderId="0" xfId="0" applyFont="1" applyFill="1"/>
    <xf numFmtId="0" fontId="0" fillId="0" borderId="2" xfId="0" quotePrefix="1" applyBorder="1" applyAlignment="1">
      <alignment horizontal="left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583298</xdr:colOff>
      <xdr:row>5</xdr:row>
      <xdr:rowOff>206909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31759D-E171-40D5-90E3-B6920A73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791" y="1552433"/>
          <a:ext cx="5087060" cy="42868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18</xdr:col>
      <xdr:colOff>379579</xdr:colOff>
      <xdr:row>20</xdr:row>
      <xdr:rowOff>81992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83CE88-5629-42A5-8E51-0E4700616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6418" y="2746613"/>
          <a:ext cx="7135221" cy="3801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23FFF8-1FCD-4066-B1C0-E37CD6AA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7734" cy="125184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468983</xdr:colOff>
      <xdr:row>4</xdr:row>
      <xdr:rowOff>219106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3630FB-73EA-08E0-0A63-968010D23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10784" y="1552433"/>
          <a:ext cx="4972744" cy="219106"/>
        </a:xfrm>
        <a:prstGeom prst="rect">
          <a:avLst/>
        </a:prstGeom>
      </xdr:spPr>
    </xdr:pic>
    <xdr:clientData/>
  </xdr:twoCellAnchor>
  <xdr:twoCellAnchor editAs="oneCell">
    <xdr:from>
      <xdr:col>8</xdr:col>
      <xdr:colOff>332664</xdr:colOff>
      <xdr:row>8</xdr:row>
      <xdr:rowOff>278866</xdr:rowOff>
    </xdr:from>
    <xdr:to>
      <xdr:col>15</xdr:col>
      <xdr:colOff>520481</xdr:colOff>
      <xdr:row>9</xdr:row>
      <xdr:rowOff>985955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BEE86A-0140-5974-5E39-46DD5F6E3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3448" y="2718404"/>
          <a:ext cx="5442204" cy="10141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F7C2DF-CC37-432C-982D-4F550AAC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  <xdr:twoCellAnchor editAs="oneCell">
    <xdr:from>
      <xdr:col>8</xdr:col>
      <xdr:colOff>93828</xdr:colOff>
      <xdr:row>2</xdr:row>
      <xdr:rowOff>278023</xdr:rowOff>
    </xdr:from>
    <xdr:to>
      <xdr:col>15</xdr:col>
      <xdr:colOff>445824</xdr:colOff>
      <xdr:row>7</xdr:row>
      <xdr:rowOff>188134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A29FA-2DAE-B24F-1ABB-64718DDD4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8454" y="1310136"/>
          <a:ext cx="5606385" cy="10957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4943BE-094D-474D-BEEC-C10172CC9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E86D79-1C2F-48BE-8C0C-BF8407BA4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B67432-9C68-4523-AEEA-E26187CC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646ABC-B8D8-4125-A001-9E21F7CEB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VB44"/>
  <sheetViews>
    <sheetView zoomScale="80" zoomScaleNormal="80" workbookViewId="0">
      <selection activeCell="B11" sqref="B11:G2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3.8984375" style="8" customWidth="1"/>
    <col min="7" max="7" width="19.7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3" t="s">
        <v>0</v>
      </c>
      <c r="D1" s="63"/>
      <c r="E1" s="63"/>
      <c r="F1" s="63"/>
      <c r="G1" s="63"/>
      <c r="H1" s="63"/>
    </row>
    <row r="2" spans="1:15" ht="38.950000000000003" customHeight="1">
      <c r="B2" s="4"/>
      <c r="C2" s="63" t="s">
        <v>24</v>
      </c>
      <c r="D2" s="63"/>
      <c r="E2" s="63"/>
      <c r="F2" s="63"/>
      <c r="G2" s="63"/>
      <c r="H2" s="63"/>
    </row>
    <row r="3" spans="1:15" ht="24.05" customHeight="1">
      <c r="D3" s="9"/>
      <c r="F3" s="10"/>
      <c r="G3" s="11" t="s">
        <v>1</v>
      </c>
      <c r="H3" s="12" t="s">
        <v>17</v>
      </c>
    </row>
    <row r="4" spans="1:15" ht="17.75">
      <c r="B4" s="57" t="s">
        <v>2</v>
      </c>
      <c r="C4" s="57"/>
      <c r="D4" s="57"/>
      <c r="E4" s="14">
        <v>20497</v>
      </c>
      <c r="F4" s="15"/>
      <c r="G4" s="16"/>
    </row>
    <row r="5" spans="1:15" ht="17.75">
      <c r="B5" s="13" t="s">
        <v>3</v>
      </c>
      <c r="C5" s="13"/>
      <c r="D5" s="13"/>
      <c r="E5" s="17">
        <v>83497</v>
      </c>
      <c r="F5" s="15"/>
      <c r="G5" s="16"/>
    </row>
    <row r="6" spans="1:15" ht="17.75">
      <c r="B6" s="57" t="s">
        <v>4</v>
      </c>
      <c r="C6" s="57"/>
      <c r="D6" s="57"/>
      <c r="E6" s="18">
        <v>0</v>
      </c>
      <c r="F6" s="15"/>
    </row>
    <row r="7" spans="1:15" ht="17.75">
      <c r="B7" s="64" t="s">
        <v>5</v>
      </c>
      <c r="C7" s="64"/>
      <c r="D7" s="64"/>
      <c r="E7" s="18">
        <f>SUM(E4:E6)</f>
        <v>103994</v>
      </c>
      <c r="F7" s="15"/>
      <c r="G7" s="19"/>
    </row>
    <row r="8" spans="1:15" ht="17.75">
      <c r="B8" s="56" t="s">
        <v>6</v>
      </c>
      <c r="C8" s="56"/>
      <c r="D8" s="56"/>
      <c r="E8" s="20">
        <f>+G26</f>
        <v>94510</v>
      </c>
      <c r="F8" s="15"/>
      <c r="G8" s="21" t="s">
        <v>7</v>
      </c>
      <c r="H8" s="22">
        <f>E7-E8</f>
        <v>9484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45630</v>
      </c>
      <c r="C11" s="32"/>
      <c r="D11" s="33">
        <v>135032</v>
      </c>
      <c r="E11" s="34"/>
      <c r="F11" s="35" t="s">
        <v>25</v>
      </c>
      <c r="G11" s="36">
        <v>4200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45996</v>
      </c>
      <c r="C12" s="32"/>
      <c r="D12" s="54">
        <v>1270512487</v>
      </c>
      <c r="E12" s="39"/>
      <c r="F12" s="40" t="s">
        <v>26</v>
      </c>
      <c r="G12" s="36">
        <v>4040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45990</v>
      </c>
      <c r="C13" s="32"/>
      <c r="D13" s="38">
        <v>774191</v>
      </c>
      <c r="E13" s="39"/>
      <c r="F13" s="40" t="s">
        <v>27</v>
      </c>
      <c r="G13" s="36">
        <v>3400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45987</v>
      </c>
      <c r="C14" s="32"/>
      <c r="D14" s="41">
        <v>304155</v>
      </c>
      <c r="E14" s="39"/>
      <c r="F14" s="35" t="s">
        <v>28</v>
      </c>
      <c r="G14" s="36">
        <v>6000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45993</v>
      </c>
      <c r="C15" s="32"/>
      <c r="D15" s="33">
        <v>9874</v>
      </c>
      <c r="E15" s="39"/>
      <c r="F15" s="35" t="s">
        <v>29</v>
      </c>
      <c r="G15" s="36">
        <v>2500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>
        <v>46008</v>
      </c>
      <c r="C16" s="32"/>
      <c r="D16" s="33">
        <v>1947152</v>
      </c>
      <c r="E16" s="39"/>
      <c r="F16" s="35" t="s">
        <v>30</v>
      </c>
      <c r="G16" s="36">
        <v>1380</v>
      </c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>
        <v>45995</v>
      </c>
      <c r="C17" s="32"/>
      <c r="D17" s="33">
        <v>6181</v>
      </c>
      <c r="E17" s="39"/>
      <c r="F17" s="35" t="s">
        <v>31</v>
      </c>
      <c r="G17" s="36">
        <v>6000</v>
      </c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>
        <v>46010</v>
      </c>
      <c r="C18" s="32"/>
      <c r="D18" s="33">
        <v>1947581</v>
      </c>
      <c r="E18" s="39"/>
      <c r="F18" s="35" t="s">
        <v>32</v>
      </c>
      <c r="G18" s="36">
        <v>1350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>
        <v>46003</v>
      </c>
      <c r="C19" s="32"/>
      <c r="D19" s="33">
        <v>11840</v>
      </c>
      <c r="E19" s="39"/>
      <c r="F19" s="35" t="s">
        <v>33</v>
      </c>
      <c r="G19" s="36">
        <v>2200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>
        <v>46004</v>
      </c>
      <c r="C20" s="32"/>
      <c r="D20" s="41">
        <v>777606</v>
      </c>
      <c r="E20" s="39"/>
      <c r="F20" s="35" t="s">
        <v>34</v>
      </c>
      <c r="G20" s="36">
        <v>3300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>
        <v>45642</v>
      </c>
      <c r="C21" s="32"/>
      <c r="D21" s="33">
        <v>14066917</v>
      </c>
      <c r="E21" s="39"/>
      <c r="F21" s="35" t="s">
        <v>35</v>
      </c>
      <c r="G21" s="36">
        <v>2490</v>
      </c>
      <c r="H21" s="37"/>
    </row>
    <row r="22" spans="1:15" ht="17.2">
      <c r="A22" s="30">
        <v>12</v>
      </c>
      <c r="B22" s="31">
        <v>45646</v>
      </c>
      <c r="C22" s="32"/>
      <c r="D22" s="33">
        <v>1246786929</v>
      </c>
      <c r="E22" s="39"/>
      <c r="F22" s="35" t="s">
        <v>36</v>
      </c>
      <c r="G22" s="36">
        <v>3770</v>
      </c>
      <c r="H22" s="37"/>
    </row>
    <row r="23" spans="1:15" ht="17.2">
      <c r="A23" s="30">
        <v>13</v>
      </c>
      <c r="B23" s="31">
        <v>45650</v>
      </c>
      <c r="C23" s="32"/>
      <c r="D23" s="33">
        <v>13005054</v>
      </c>
      <c r="E23" s="39"/>
      <c r="F23" s="35" t="s">
        <v>37</v>
      </c>
      <c r="G23" s="36">
        <v>12880</v>
      </c>
      <c r="H23" s="37"/>
    </row>
    <row r="24" spans="1:15" ht="17.2">
      <c r="A24" s="30">
        <v>14</v>
      </c>
      <c r="B24" s="31">
        <v>46019</v>
      </c>
      <c r="C24" s="32"/>
      <c r="D24" s="33">
        <v>52</v>
      </c>
      <c r="E24" s="39"/>
      <c r="F24" s="35" t="s">
        <v>38</v>
      </c>
      <c r="G24" s="36">
        <v>35000</v>
      </c>
      <c r="H24" s="37"/>
    </row>
    <row r="25" spans="1:15" ht="17.2">
      <c r="A25" s="30">
        <v>15</v>
      </c>
      <c r="B25" s="31">
        <v>46021</v>
      </c>
      <c r="C25" s="32"/>
      <c r="D25" s="33">
        <v>6212</v>
      </c>
      <c r="E25" s="39"/>
      <c r="F25" s="35" t="s">
        <v>39</v>
      </c>
      <c r="G25" s="36">
        <v>6000</v>
      </c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94510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57"/>
      <c r="C29" s="57"/>
      <c r="D29" s="58"/>
      <c r="E29" s="59"/>
      <c r="F29" s="60"/>
    </row>
    <row r="30" spans="1:15" ht="17.75">
      <c r="B30" s="61"/>
      <c r="C30" s="61"/>
      <c r="D30" s="6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C7B0-2A78-4A39-9CB3-44B4AED2FE45}">
  <dimension ref="A1:WVB44"/>
  <sheetViews>
    <sheetView topLeftCell="A10" zoomScale="80" zoomScaleNormal="80" workbookViewId="0">
      <selection activeCell="L15" sqref="L1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3" t="s">
        <v>0</v>
      </c>
      <c r="D1" s="63"/>
      <c r="E1" s="63"/>
      <c r="F1" s="63"/>
      <c r="G1" s="63"/>
      <c r="H1" s="63"/>
    </row>
    <row r="2" spans="1:15" ht="38.950000000000003" customHeight="1">
      <c r="B2" s="4"/>
      <c r="C2" s="63" t="s">
        <v>24</v>
      </c>
      <c r="D2" s="63"/>
      <c r="E2" s="63"/>
      <c r="F2" s="63"/>
      <c r="G2" s="63"/>
      <c r="H2" s="63"/>
    </row>
    <row r="3" spans="1:15" ht="24.05" customHeight="1">
      <c r="D3" s="9"/>
      <c r="F3" s="10"/>
      <c r="G3" s="11" t="s">
        <v>1</v>
      </c>
      <c r="H3" s="55" t="s">
        <v>18</v>
      </c>
    </row>
    <row r="4" spans="1:15" ht="17.75">
      <c r="B4" s="57" t="s">
        <v>2</v>
      </c>
      <c r="C4" s="57"/>
      <c r="D4" s="57"/>
      <c r="E4" s="14">
        <f>+DICIEMBRE2025!H8</f>
        <v>9484</v>
      </c>
      <c r="F4" s="15"/>
      <c r="G4" s="16"/>
    </row>
    <row r="5" spans="1:15" ht="17.75">
      <c r="B5" s="13" t="s">
        <v>3</v>
      </c>
      <c r="C5" s="13"/>
      <c r="D5" s="13"/>
      <c r="E5" s="17">
        <v>94510</v>
      </c>
      <c r="F5" s="15"/>
      <c r="G5" s="16"/>
    </row>
    <row r="6" spans="1:15" ht="17.75">
      <c r="B6" s="57" t="s">
        <v>4</v>
      </c>
      <c r="C6" s="57"/>
      <c r="D6" s="57"/>
      <c r="E6" s="18">
        <v>0</v>
      </c>
      <c r="F6" s="15"/>
    </row>
    <row r="7" spans="1:15" ht="17.75">
      <c r="B7" s="64" t="s">
        <v>5</v>
      </c>
      <c r="C7" s="64"/>
      <c r="D7" s="64"/>
      <c r="E7" s="18">
        <f>SUM(E4:E6)</f>
        <v>103994</v>
      </c>
      <c r="F7" s="15"/>
      <c r="G7" s="19"/>
    </row>
    <row r="8" spans="1:15" ht="17.75">
      <c r="B8" s="56" t="s">
        <v>6</v>
      </c>
      <c r="C8" s="56"/>
      <c r="D8" s="56"/>
      <c r="E8" s="20">
        <f>+G26</f>
        <v>90688</v>
      </c>
      <c r="F8" s="15"/>
      <c r="G8" s="21" t="s">
        <v>7</v>
      </c>
      <c r="H8" s="22">
        <f>E7-E8</f>
        <v>13306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46028</v>
      </c>
      <c r="C11" s="32" t="s">
        <v>40</v>
      </c>
      <c r="D11" s="33">
        <v>813566322</v>
      </c>
      <c r="E11" s="34"/>
      <c r="F11" s="35" t="s">
        <v>41</v>
      </c>
      <c r="G11" s="36">
        <v>3960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46027</v>
      </c>
      <c r="C12" s="32" t="s">
        <v>42</v>
      </c>
      <c r="D12" s="54">
        <v>18717330131</v>
      </c>
      <c r="E12" s="39"/>
      <c r="F12" s="40" t="s">
        <v>43</v>
      </c>
      <c r="G12" s="36">
        <v>10000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46029</v>
      </c>
      <c r="C13" s="32" t="s">
        <v>44</v>
      </c>
      <c r="D13" s="38" t="s">
        <v>45</v>
      </c>
      <c r="E13" s="39"/>
      <c r="F13" s="40" t="s">
        <v>46</v>
      </c>
      <c r="G13" s="36">
        <v>4793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46029</v>
      </c>
      <c r="C14" s="32" t="s">
        <v>44</v>
      </c>
      <c r="D14" s="41" t="s">
        <v>45</v>
      </c>
      <c r="E14" s="39"/>
      <c r="F14" s="35" t="s">
        <v>47</v>
      </c>
      <c r="G14" s="36">
        <v>6314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46029</v>
      </c>
      <c r="C15" s="32" t="s">
        <v>40</v>
      </c>
      <c r="D15" s="33">
        <v>597034144697</v>
      </c>
      <c r="E15" s="39"/>
      <c r="F15" s="35" t="s">
        <v>48</v>
      </c>
      <c r="G15" s="36">
        <v>2000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>
        <v>46033</v>
      </c>
      <c r="C16" s="32" t="s">
        <v>42</v>
      </c>
      <c r="D16" s="33" t="s">
        <v>49</v>
      </c>
      <c r="E16" s="39"/>
      <c r="F16" s="35" t="s">
        <v>50</v>
      </c>
      <c r="G16" s="36">
        <v>8500</v>
      </c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>
        <v>46033</v>
      </c>
      <c r="C17" s="32" t="s">
        <v>44</v>
      </c>
      <c r="D17" s="33" t="s">
        <v>45</v>
      </c>
      <c r="E17" s="39"/>
      <c r="F17" s="35" t="s">
        <v>51</v>
      </c>
      <c r="G17" s="36">
        <v>2748</v>
      </c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>
        <v>46040</v>
      </c>
      <c r="C18" s="32" t="s">
        <v>40</v>
      </c>
      <c r="D18" s="33">
        <v>1957655</v>
      </c>
      <c r="E18" s="39"/>
      <c r="F18" s="35" t="s">
        <v>52</v>
      </c>
      <c r="G18" s="36">
        <v>2680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>
        <v>46046</v>
      </c>
      <c r="C19" s="32" t="s">
        <v>40</v>
      </c>
      <c r="D19" s="33">
        <v>129925</v>
      </c>
      <c r="E19" s="39"/>
      <c r="F19" s="35" t="s">
        <v>53</v>
      </c>
      <c r="G19" s="36">
        <v>4000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>
        <v>46046</v>
      </c>
      <c r="C20" s="32" t="s">
        <v>40</v>
      </c>
      <c r="D20" s="41">
        <v>56716</v>
      </c>
      <c r="E20" s="39"/>
      <c r="F20" s="35" t="s">
        <v>54</v>
      </c>
      <c r="G20" s="36">
        <v>5000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>
        <v>46048</v>
      </c>
      <c r="C21" s="32" t="s">
        <v>40</v>
      </c>
      <c r="D21" s="33">
        <v>6252</v>
      </c>
      <c r="E21" s="39"/>
      <c r="F21" s="35" t="s">
        <v>55</v>
      </c>
      <c r="G21" s="36">
        <v>6000</v>
      </c>
      <c r="H21" s="37"/>
    </row>
    <row r="22" spans="1:15" ht="17.2">
      <c r="A22" s="30">
        <v>12</v>
      </c>
      <c r="B22" s="31">
        <v>46049</v>
      </c>
      <c r="C22" s="32" t="s">
        <v>56</v>
      </c>
      <c r="D22" s="33">
        <v>59</v>
      </c>
      <c r="E22" s="39"/>
      <c r="F22" s="35" t="s">
        <v>57</v>
      </c>
      <c r="G22" s="36">
        <v>34693</v>
      </c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90688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57"/>
      <c r="C29" s="57"/>
      <c r="D29" s="58"/>
      <c r="E29" s="59"/>
      <c r="F29" s="60"/>
    </row>
    <row r="30" spans="1:15" ht="17.75">
      <c r="B30" s="61"/>
      <c r="C30" s="61"/>
      <c r="D30" s="6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2EF8-7D95-468D-868E-6EC6AC127490}">
  <dimension ref="A1:WVB44"/>
  <sheetViews>
    <sheetView tabSelected="1" zoomScale="80" zoomScaleNormal="80" workbookViewId="0">
      <selection activeCell="K16" sqref="K16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9.89843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3" t="s">
        <v>0</v>
      </c>
      <c r="D1" s="63"/>
      <c r="E1" s="63"/>
      <c r="F1" s="63"/>
      <c r="G1" s="63"/>
      <c r="H1" s="63"/>
    </row>
    <row r="2" spans="1:15" ht="38.950000000000003" customHeight="1">
      <c r="B2" s="4"/>
      <c r="C2" s="63" t="s">
        <v>24</v>
      </c>
      <c r="D2" s="63"/>
      <c r="E2" s="63"/>
      <c r="F2" s="63"/>
      <c r="G2" s="63"/>
      <c r="H2" s="63"/>
    </row>
    <row r="3" spans="1:15" ht="24.05" customHeight="1">
      <c r="D3" s="9"/>
      <c r="F3" s="10"/>
      <c r="G3" s="11" t="s">
        <v>1</v>
      </c>
      <c r="H3" s="55" t="s">
        <v>19</v>
      </c>
    </row>
    <row r="4" spans="1:15" ht="17.75">
      <c r="B4" s="57" t="s">
        <v>2</v>
      </c>
      <c r="C4" s="57"/>
      <c r="D4" s="57"/>
      <c r="E4" s="14">
        <f>+'ENE2026'!H8</f>
        <v>13306</v>
      </c>
      <c r="F4" s="15"/>
      <c r="G4" s="16"/>
    </row>
    <row r="5" spans="1:15" ht="17.75">
      <c r="B5" s="13" t="s">
        <v>3</v>
      </c>
      <c r="C5" s="13"/>
      <c r="D5" s="13"/>
      <c r="E5" s="17">
        <v>90688</v>
      </c>
      <c r="F5" s="15"/>
      <c r="G5" s="16"/>
    </row>
    <row r="6" spans="1:15" ht="17.75">
      <c r="B6" s="57" t="s">
        <v>4</v>
      </c>
      <c r="C6" s="57"/>
      <c r="D6" s="57"/>
      <c r="E6" s="18">
        <v>0</v>
      </c>
      <c r="F6" s="15"/>
    </row>
    <row r="7" spans="1:15" ht="17.75">
      <c r="B7" s="64" t="s">
        <v>5</v>
      </c>
      <c r="C7" s="64"/>
      <c r="D7" s="64"/>
      <c r="E7" s="18">
        <f>SUM(E4:E6)</f>
        <v>103994</v>
      </c>
      <c r="F7" s="15"/>
      <c r="G7" s="19"/>
    </row>
    <row r="8" spans="1:15" ht="17.75">
      <c r="B8" s="56" t="s">
        <v>6</v>
      </c>
      <c r="C8" s="56"/>
      <c r="D8" s="56"/>
      <c r="E8" s="20">
        <f>+G26</f>
        <v>106137</v>
      </c>
      <c r="F8" s="15"/>
      <c r="G8" s="21" t="s">
        <v>7</v>
      </c>
      <c r="H8" s="22">
        <f>E7-E8</f>
        <v>-2143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46267</v>
      </c>
      <c r="C11" s="32" t="s">
        <v>58</v>
      </c>
      <c r="D11" s="33"/>
      <c r="E11" s="34"/>
      <c r="F11" s="35" t="s">
        <v>59</v>
      </c>
      <c r="G11" s="36">
        <v>6000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46267</v>
      </c>
      <c r="C12" s="32" t="s">
        <v>40</v>
      </c>
      <c r="D12" s="54"/>
      <c r="E12" s="39"/>
      <c r="F12" s="40" t="s">
        <v>60</v>
      </c>
      <c r="G12" s="36">
        <v>4840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46267</v>
      </c>
      <c r="C13" s="32" t="s">
        <v>40</v>
      </c>
      <c r="D13" s="38"/>
      <c r="E13" s="39"/>
      <c r="F13" s="40" t="s">
        <v>60</v>
      </c>
      <c r="G13" s="36">
        <v>4900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46114</v>
      </c>
      <c r="C14" s="32" t="s">
        <v>40</v>
      </c>
      <c r="D14" s="41"/>
      <c r="E14" s="39"/>
      <c r="F14" s="35" t="s">
        <v>61</v>
      </c>
      <c r="G14" s="36">
        <v>3780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46114</v>
      </c>
      <c r="C15" s="32" t="s">
        <v>40</v>
      </c>
      <c r="D15" s="33"/>
      <c r="E15" s="39"/>
      <c r="F15" s="35" t="s">
        <v>61</v>
      </c>
      <c r="G15" s="36">
        <v>1190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>
        <v>46236</v>
      </c>
      <c r="C16" s="32" t="s">
        <v>40</v>
      </c>
      <c r="D16" s="33"/>
      <c r="E16" s="39"/>
      <c r="F16" s="35" t="s">
        <v>62</v>
      </c>
      <c r="G16" s="36">
        <v>2700</v>
      </c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>
        <v>46358</v>
      </c>
      <c r="C17" s="32" t="s">
        <v>40</v>
      </c>
      <c r="D17" s="33"/>
      <c r="E17" s="39"/>
      <c r="F17" s="35" t="s">
        <v>63</v>
      </c>
      <c r="G17" s="36">
        <v>4827</v>
      </c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 t="s">
        <v>64</v>
      </c>
      <c r="C18" s="32" t="s">
        <v>40</v>
      </c>
      <c r="D18" s="33"/>
      <c r="E18" s="39"/>
      <c r="F18" s="35" t="s">
        <v>65</v>
      </c>
      <c r="G18" s="36">
        <v>5400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>
        <v>46358</v>
      </c>
      <c r="C19" s="32" t="s">
        <v>40</v>
      </c>
      <c r="D19" s="33"/>
      <c r="E19" s="39"/>
      <c r="F19" s="35" t="s">
        <v>66</v>
      </c>
      <c r="G19" s="36">
        <v>2500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 t="s">
        <v>64</v>
      </c>
      <c r="C20" s="32" t="s">
        <v>40</v>
      </c>
      <c r="D20" s="41"/>
      <c r="E20" s="39"/>
      <c r="F20" s="35" t="s">
        <v>38</v>
      </c>
      <c r="G20" s="36">
        <v>35000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 t="s">
        <v>67</v>
      </c>
      <c r="C21" s="32" t="s">
        <v>40</v>
      </c>
      <c r="D21" s="33"/>
      <c r="E21" s="39"/>
      <c r="F21" s="35" t="s">
        <v>68</v>
      </c>
      <c r="G21" s="36">
        <v>35000</v>
      </c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106137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57"/>
      <c r="C29" s="57"/>
      <c r="D29" s="58"/>
      <c r="E29" s="59"/>
      <c r="F29" s="60"/>
    </row>
    <row r="30" spans="1:15" ht="17.75">
      <c r="B30" s="61"/>
      <c r="C30" s="61"/>
      <c r="D30" s="6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4073-E5B3-4B04-BF42-0FDFFFE93269}">
  <dimension ref="A1:WVB44"/>
  <sheetViews>
    <sheetView zoomScale="80" zoomScaleNormal="80" workbookViewId="0">
      <selection activeCell="C2" sqref="C2:H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3" t="s">
        <v>0</v>
      </c>
      <c r="D1" s="63"/>
      <c r="E1" s="63"/>
      <c r="F1" s="63"/>
      <c r="G1" s="63"/>
      <c r="H1" s="63"/>
    </row>
    <row r="2" spans="1:15" ht="38.950000000000003" customHeight="1">
      <c r="B2" s="4"/>
      <c r="C2" s="63" t="s">
        <v>24</v>
      </c>
      <c r="D2" s="63"/>
      <c r="E2" s="63"/>
      <c r="F2" s="63"/>
      <c r="G2" s="63"/>
      <c r="H2" s="63"/>
    </row>
    <row r="3" spans="1:15" ht="24.05" customHeight="1">
      <c r="D3" s="9"/>
      <c r="F3" s="10"/>
      <c r="G3" s="11" t="s">
        <v>1</v>
      </c>
      <c r="H3" s="55" t="s">
        <v>20</v>
      </c>
    </row>
    <row r="4" spans="1:15" ht="17.75">
      <c r="B4" s="57" t="s">
        <v>2</v>
      </c>
      <c r="C4" s="57"/>
      <c r="D4" s="57"/>
      <c r="E4" s="14">
        <f>+'FEB2026'!H8</f>
        <v>-2143</v>
      </c>
      <c r="F4" s="15"/>
      <c r="G4" s="16"/>
    </row>
    <row r="5" spans="1:15" ht="17.75">
      <c r="B5" s="13" t="s">
        <v>3</v>
      </c>
      <c r="C5" s="13"/>
      <c r="D5" s="13"/>
      <c r="E5" s="17"/>
      <c r="F5" s="15"/>
      <c r="G5" s="16"/>
    </row>
    <row r="6" spans="1:15" ht="17.75">
      <c r="B6" s="57" t="s">
        <v>4</v>
      </c>
      <c r="C6" s="57"/>
      <c r="D6" s="57"/>
      <c r="E6" s="18">
        <v>0</v>
      </c>
      <c r="F6" s="15"/>
    </row>
    <row r="7" spans="1:15" ht="17.75">
      <c r="B7" s="64" t="s">
        <v>5</v>
      </c>
      <c r="C7" s="64"/>
      <c r="D7" s="64"/>
      <c r="E7" s="18">
        <f>SUM(E4:E6)</f>
        <v>-2143</v>
      </c>
      <c r="F7" s="15"/>
      <c r="G7" s="19"/>
    </row>
    <row r="8" spans="1:15" ht="17.75">
      <c r="B8" s="56" t="s">
        <v>6</v>
      </c>
      <c r="C8" s="56"/>
      <c r="D8" s="56"/>
      <c r="E8" s="20">
        <f>+G26</f>
        <v>0</v>
      </c>
      <c r="F8" s="15"/>
      <c r="G8" s="21" t="s">
        <v>7</v>
      </c>
      <c r="H8" s="22">
        <f>E7-E8</f>
        <v>-2143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54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57"/>
      <c r="C29" s="57"/>
      <c r="D29" s="58"/>
      <c r="E29" s="59"/>
      <c r="F29" s="60"/>
    </row>
    <row r="30" spans="1:15" ht="17.75">
      <c r="B30" s="61"/>
      <c r="C30" s="61"/>
      <c r="D30" s="6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3900-0516-4F61-A75A-CCE61331657E}">
  <dimension ref="A1:WVB44"/>
  <sheetViews>
    <sheetView zoomScale="80" zoomScaleNormal="80" workbookViewId="0">
      <selection activeCell="C2" sqref="C2:H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3" t="s">
        <v>0</v>
      </c>
      <c r="D1" s="63"/>
      <c r="E1" s="63"/>
      <c r="F1" s="63"/>
      <c r="G1" s="63"/>
      <c r="H1" s="63"/>
    </row>
    <row r="2" spans="1:15" ht="38.950000000000003" customHeight="1">
      <c r="B2" s="4"/>
      <c r="C2" s="63" t="s">
        <v>24</v>
      </c>
      <c r="D2" s="63"/>
      <c r="E2" s="63"/>
      <c r="F2" s="63"/>
      <c r="G2" s="63"/>
      <c r="H2" s="63"/>
    </row>
    <row r="3" spans="1:15" ht="24.05" customHeight="1">
      <c r="D3" s="9"/>
      <c r="F3" s="10"/>
      <c r="G3" s="11" t="s">
        <v>1</v>
      </c>
      <c r="H3" s="55" t="s">
        <v>21</v>
      </c>
    </row>
    <row r="4" spans="1:15" ht="17.75">
      <c r="B4" s="57" t="s">
        <v>2</v>
      </c>
      <c r="C4" s="57"/>
      <c r="D4" s="57"/>
      <c r="E4" s="14">
        <f>+'MAR2026 '!H8</f>
        <v>-2143</v>
      </c>
      <c r="F4" s="15"/>
      <c r="G4" s="16"/>
    </row>
    <row r="5" spans="1:15" ht="17.75">
      <c r="B5" s="13" t="s">
        <v>3</v>
      </c>
      <c r="C5" s="13"/>
      <c r="D5" s="13"/>
      <c r="E5" s="17"/>
      <c r="F5" s="15"/>
      <c r="G5" s="16"/>
    </row>
    <row r="6" spans="1:15" ht="17.75">
      <c r="B6" s="57" t="s">
        <v>4</v>
      </c>
      <c r="C6" s="57"/>
      <c r="D6" s="57"/>
      <c r="E6" s="18">
        <v>0</v>
      </c>
      <c r="F6" s="15"/>
    </row>
    <row r="7" spans="1:15" ht="17.75">
      <c r="B7" s="64" t="s">
        <v>5</v>
      </c>
      <c r="C7" s="64"/>
      <c r="D7" s="64"/>
      <c r="E7" s="18">
        <f>SUM(E4:E6)</f>
        <v>-2143</v>
      </c>
      <c r="F7" s="15"/>
      <c r="G7" s="19"/>
    </row>
    <row r="8" spans="1:15" ht="17.75">
      <c r="B8" s="56" t="s">
        <v>6</v>
      </c>
      <c r="C8" s="56"/>
      <c r="D8" s="56"/>
      <c r="E8" s="20">
        <f>+G26</f>
        <v>0</v>
      </c>
      <c r="F8" s="15"/>
      <c r="G8" s="21" t="s">
        <v>7</v>
      </c>
      <c r="H8" s="22">
        <f>E7-E8</f>
        <v>-2143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54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57"/>
      <c r="C29" s="57"/>
      <c r="D29" s="58"/>
      <c r="E29" s="59"/>
      <c r="F29" s="60"/>
    </row>
    <row r="30" spans="1:15" ht="17.75">
      <c r="B30" s="61"/>
      <c r="C30" s="61"/>
      <c r="D30" s="6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6F6B-0E74-4FFD-93C5-F05DA3B4F8FF}">
  <dimension ref="A1:WVB44"/>
  <sheetViews>
    <sheetView zoomScale="80" zoomScaleNormal="80" workbookViewId="0">
      <selection activeCell="C2" sqref="C2:H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3" t="s">
        <v>0</v>
      </c>
      <c r="D1" s="63"/>
      <c r="E1" s="63"/>
      <c r="F1" s="63"/>
      <c r="G1" s="63"/>
      <c r="H1" s="63"/>
    </row>
    <row r="2" spans="1:15" ht="38.950000000000003" customHeight="1">
      <c r="B2" s="4"/>
      <c r="C2" s="63" t="s">
        <v>24</v>
      </c>
      <c r="D2" s="63"/>
      <c r="E2" s="63"/>
      <c r="F2" s="63"/>
      <c r="G2" s="63"/>
      <c r="H2" s="63"/>
    </row>
    <row r="3" spans="1:15" ht="24.05" customHeight="1">
      <c r="D3" s="9"/>
      <c r="F3" s="10"/>
      <c r="G3" s="11" t="s">
        <v>1</v>
      </c>
      <c r="H3" s="55" t="s">
        <v>22</v>
      </c>
    </row>
    <row r="4" spans="1:15" ht="17.75">
      <c r="B4" s="57" t="s">
        <v>2</v>
      </c>
      <c r="C4" s="57"/>
      <c r="D4" s="57"/>
      <c r="E4" s="14">
        <f>+'ABR2026'!H8</f>
        <v>-2143</v>
      </c>
      <c r="F4" s="15"/>
      <c r="G4" s="16"/>
    </row>
    <row r="5" spans="1:15" ht="17.75">
      <c r="B5" s="13" t="s">
        <v>3</v>
      </c>
      <c r="C5" s="13"/>
      <c r="D5" s="13"/>
      <c r="E5" s="17"/>
      <c r="F5" s="15"/>
      <c r="G5" s="16"/>
    </row>
    <row r="6" spans="1:15" ht="17.75">
      <c r="B6" s="57" t="s">
        <v>4</v>
      </c>
      <c r="C6" s="57"/>
      <c r="D6" s="57"/>
      <c r="E6" s="18">
        <v>0</v>
      </c>
      <c r="F6" s="15"/>
    </row>
    <row r="7" spans="1:15" ht="17.75">
      <c r="B7" s="64" t="s">
        <v>5</v>
      </c>
      <c r="C7" s="64"/>
      <c r="D7" s="64"/>
      <c r="E7" s="18">
        <f>SUM(E4:E6)</f>
        <v>-2143</v>
      </c>
      <c r="F7" s="15"/>
      <c r="G7" s="19"/>
    </row>
    <row r="8" spans="1:15" ht="17.75">
      <c r="B8" s="56" t="s">
        <v>6</v>
      </c>
      <c r="C8" s="56"/>
      <c r="D8" s="56"/>
      <c r="E8" s="20">
        <f>+G26</f>
        <v>0</v>
      </c>
      <c r="F8" s="15"/>
      <c r="G8" s="21" t="s">
        <v>7</v>
      </c>
      <c r="H8" s="22">
        <f>E7-E8</f>
        <v>-2143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54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57"/>
      <c r="C29" s="57"/>
      <c r="D29" s="58"/>
      <c r="E29" s="59"/>
      <c r="F29" s="60"/>
    </row>
    <row r="30" spans="1:15" ht="17.75">
      <c r="B30" s="61"/>
      <c r="C30" s="61"/>
      <c r="D30" s="6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3F2F-8293-462A-A390-0B16C83D5379}">
  <dimension ref="A1:WVB44"/>
  <sheetViews>
    <sheetView zoomScale="80" zoomScaleNormal="80" workbookViewId="0">
      <selection activeCell="C2" sqref="C2:H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3" t="s">
        <v>0</v>
      </c>
      <c r="D1" s="63"/>
      <c r="E1" s="63"/>
      <c r="F1" s="63"/>
      <c r="G1" s="63"/>
      <c r="H1" s="63"/>
    </row>
    <row r="2" spans="1:15" ht="38.950000000000003" customHeight="1">
      <c r="B2" s="4"/>
      <c r="C2" s="63" t="s">
        <v>24</v>
      </c>
      <c r="D2" s="63"/>
      <c r="E2" s="63"/>
      <c r="F2" s="63"/>
      <c r="G2" s="63"/>
      <c r="H2" s="63"/>
    </row>
    <row r="3" spans="1:15" ht="24.05" customHeight="1">
      <c r="D3" s="9"/>
      <c r="F3" s="10"/>
      <c r="G3" s="11" t="s">
        <v>1</v>
      </c>
      <c r="H3" s="55" t="s">
        <v>23</v>
      </c>
    </row>
    <row r="4" spans="1:15" ht="17.75">
      <c r="B4" s="57" t="s">
        <v>2</v>
      </c>
      <c r="C4" s="57"/>
      <c r="D4" s="57"/>
      <c r="E4" s="14">
        <f>+'MAY2026'!H8</f>
        <v>-2143</v>
      </c>
      <c r="F4" s="15"/>
      <c r="G4" s="16"/>
    </row>
    <row r="5" spans="1:15" ht="17.75">
      <c r="B5" s="13" t="s">
        <v>3</v>
      </c>
      <c r="C5" s="13"/>
      <c r="D5" s="13"/>
      <c r="E5" s="17"/>
      <c r="F5" s="15"/>
      <c r="G5" s="16"/>
    </row>
    <row r="6" spans="1:15" ht="17.75">
      <c r="B6" s="57" t="s">
        <v>4</v>
      </c>
      <c r="C6" s="57"/>
      <c r="D6" s="57"/>
      <c r="E6" s="18">
        <v>0</v>
      </c>
      <c r="F6" s="15"/>
    </row>
    <row r="7" spans="1:15" ht="17.75">
      <c r="B7" s="64" t="s">
        <v>5</v>
      </c>
      <c r="C7" s="64"/>
      <c r="D7" s="64"/>
      <c r="E7" s="18">
        <f>SUM(E4:E6)</f>
        <v>-2143</v>
      </c>
      <c r="F7" s="15"/>
      <c r="G7" s="19"/>
    </row>
    <row r="8" spans="1:15" ht="17.75">
      <c r="B8" s="56" t="s">
        <v>6</v>
      </c>
      <c r="C8" s="56"/>
      <c r="D8" s="56"/>
      <c r="E8" s="20">
        <f>+G26</f>
        <v>0</v>
      </c>
      <c r="F8" s="15"/>
      <c r="G8" s="21" t="s">
        <v>7</v>
      </c>
      <c r="H8" s="22">
        <f>E7-E8</f>
        <v>-2143</v>
      </c>
    </row>
    <row r="9" spans="1:15" s="1" customFormat="1" ht="24.2">
      <c r="E9" s="23"/>
      <c r="F9" s="24"/>
      <c r="G9" s="2"/>
    </row>
    <row r="10" spans="1:15" s="2" customFormat="1" ht="88.7">
      <c r="A10" s="25" t="s">
        <v>8</v>
      </c>
      <c r="B10" s="26" t="s">
        <v>9</v>
      </c>
      <c r="C10" s="26" t="s">
        <v>10</v>
      </c>
      <c r="D10" s="26" t="s">
        <v>11</v>
      </c>
      <c r="E10" s="27" t="s">
        <v>12</v>
      </c>
      <c r="F10" s="28" t="s">
        <v>13</v>
      </c>
      <c r="G10" s="26" t="s">
        <v>14</v>
      </c>
      <c r="H10" s="29" t="s">
        <v>15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54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16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57"/>
      <c r="C29" s="57"/>
      <c r="D29" s="58"/>
      <c r="E29" s="59"/>
      <c r="F29" s="60"/>
    </row>
    <row r="30" spans="1:15" ht="17.75">
      <c r="B30" s="61"/>
      <c r="C30" s="61"/>
      <c r="D30" s="62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83DA828E-5D7F-4A56-8DE8-628986561F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6E549A-7FB8-43BA-B9CC-AA8C76A05D02}">
  <ds:schemaRefs/>
</ds:datastoreItem>
</file>

<file path=customXml/itemProps3.xml><?xml version="1.0" encoding="utf-8"?>
<ds:datastoreItem xmlns:ds="http://schemas.openxmlformats.org/officeDocument/2006/customXml" ds:itemID="{CD3AA585-A741-471F-9E1F-CA16878599DC}">
  <ds:schemaRefs/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DICIEMBRE2025</vt:lpstr>
      <vt:lpstr>ENE2026</vt:lpstr>
      <vt:lpstr>FEB2026</vt:lpstr>
      <vt:lpstr>MAR2026 </vt:lpstr>
      <vt:lpstr>ABR2026</vt:lpstr>
      <vt:lpstr>MAY2026</vt:lpstr>
      <vt:lpstr>JUN2026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2022-02-07T12:32:00Z</dcterms:created>
  <dcterms:modified xsi:type="dcterms:W3CDTF">2026-03-11T20:41:26Z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8039C9D3A60B4ADCB18CE35525B14073_13</vt:lpwstr>
  </property>
  <property fmtid="{D5CDD505-2E9C-101B-9397-08002B2CF9AE}" pid="3" name="KSOProductBuildVer">
    <vt:lpwstr>2058-12.2.0.23196</vt:lpwstr>
  </property>
  <property fmtid="{D5CDD505-2E9C-101B-9397-08002B2CF9AE}" pid="4" name="ContentTypeId">
    <vt:lpwstr>0x0101008C0FDD3EE9C26F4CA38A0CE1A876A831</vt:lpwstr>
  </property>
  <property fmtid="{D5CDD505-2E9C-101B-9397-08002B2CF9AE}" pid="5" name="MediaServiceImageTags">
    <vt:lpwstr/>
  </property>
</Properties>
</file>