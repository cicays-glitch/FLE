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 ene 2026/do fijo/"/>
    </mc:Choice>
  </mc:AlternateContent>
  <xr:revisionPtr revIDLastSave="3" documentId="11_B08915F4FE6A3D546332EB526CE6B8479430BDCA" xr6:coauthVersionLast="47" xr6:coauthVersionMax="47" xr10:uidLastSave="{0CA47C2F-3234-4514-9B5D-2068D0BA27BE}"/>
  <bookViews>
    <workbookView xWindow="20525" yWindow="-107" windowWidth="20848" windowHeight="11111" xr2:uid="{00000000-000D-0000-FFFF-FFFF00000000}"/>
  </bookViews>
  <sheets>
    <sheet name="ENERO" sheetId="7" r:id="rId1"/>
    <sheet name="FEBRERO" sheetId="8" r:id="rId2"/>
    <sheet name="MARZO" sheetId="9" r:id="rId3"/>
    <sheet name="ABRIL" sheetId="10" r:id="rId4"/>
    <sheet name="MAYO" sheetId="11" r:id="rId5"/>
    <sheet name="JUNIO" sheetId="12" r:id="rId6"/>
    <sheet name="JULIO " sheetId="1" r:id="rId7"/>
    <sheet name="AGOSTO" sheetId="2" r:id="rId8"/>
    <sheet name="SEPTIEMBRE" sheetId="3" r:id="rId9"/>
    <sheet name="OCTUBRE" sheetId="4" r:id="rId10"/>
    <sheet name="NOVIEMBRE" sheetId="5" r:id="rId11"/>
    <sheet name="DICIEMBRE" sheetId="6" r:id="rId12"/>
  </sheets>
  <definedNames>
    <definedName name="_xlnm.Print_Area" localSheetId="7">AGOSTO!$A$1:$H$27</definedName>
    <definedName name="_xlnm.Print_Area" localSheetId="11">DICIEMBRE!$A$1:$H$27</definedName>
    <definedName name="_xlnm.Print_Area" localSheetId="6">'JULIO '!$A$1:$H$28</definedName>
    <definedName name="_xlnm.Print_Area" localSheetId="10">NOVIEMBRE!$A$1:$H$27</definedName>
    <definedName name="_xlnm.Print_Area" localSheetId="9">OCTUBRE!$A$1:$H$27</definedName>
    <definedName name="_xlnm.Print_Area" localSheetId="8">SEPTIEMBRE!$A$1:$H$27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2" l="1"/>
  <c r="E8" i="12" s="1"/>
  <c r="G26" i="11" l="1"/>
  <c r="E8" i="11" s="1"/>
  <c r="G26" i="10" l="1"/>
  <c r="E8" i="10" s="1"/>
  <c r="G26" i="9" l="1"/>
  <c r="E8" i="9" s="1"/>
  <c r="G26" i="8" l="1"/>
  <c r="E8" i="8" s="1"/>
  <c r="G26" i="7" l="1"/>
  <c r="E8" i="7" s="1"/>
  <c r="G26" i="6" l="1"/>
  <c r="E8" i="6" s="1"/>
  <c r="G26" i="5"/>
  <c r="E8" i="5" s="1"/>
  <c r="G26" i="4"/>
  <c r="E8" i="4" s="1"/>
  <c r="G26" i="3"/>
  <c r="E8" i="3" s="1"/>
  <c r="G26" i="2"/>
  <c r="E8" i="2" s="1"/>
  <c r="E7" i="1"/>
  <c r="G26" i="1"/>
  <c r="E8" i="1" s="1"/>
  <c r="H8" i="1" l="1"/>
  <c r="E4" i="2" s="1"/>
  <c r="E7" i="2" s="1"/>
  <c r="H8" i="2" s="1"/>
  <c r="E4" i="3" s="1"/>
  <c r="E7" i="3" s="1"/>
  <c r="H8" i="3" s="1"/>
  <c r="E4" i="4" s="1"/>
  <c r="E7" i="4" s="1"/>
  <c r="H8" i="4" s="1"/>
  <c r="E4" i="5" s="1"/>
  <c r="E7" i="5" s="1"/>
  <c r="H8" i="5" s="1"/>
  <c r="E7" i="6" l="1"/>
  <c r="H8" i="6" s="1"/>
  <c r="E4" i="6"/>
  <c r="E4" i="7" l="1"/>
  <c r="E7" i="7" s="1"/>
  <c r="H8" i="7" s="1"/>
  <c r="E4" i="8" s="1"/>
  <c r="E7" i="8" s="1"/>
  <c r="H8" i="8" s="1"/>
  <c r="E4" i="9" s="1"/>
  <c r="E7" i="9" s="1"/>
  <c r="H8" i="9" s="1"/>
  <c r="E4" i="10" s="1"/>
  <c r="E7" i="10" s="1"/>
  <c r="H8" i="10" s="1"/>
  <c r="E4" i="11" s="1"/>
  <c r="E7" i="11" s="1"/>
  <c r="H8" i="11" s="1"/>
  <c r="E4" i="12" s="1"/>
  <c r="E7" i="12" s="1"/>
  <c r="H8" i="12" s="1"/>
</calcChain>
</file>

<file path=xl/sharedStrings.xml><?xml version="1.0" encoding="utf-8"?>
<sst xmlns="http://schemas.openxmlformats.org/spreadsheetml/2006/main" count="363" uniqueCount="72">
  <si>
    <t xml:space="preserve">RENDICION CAJA CHICA  </t>
  </si>
  <si>
    <t>FLORIDA CENTER</t>
  </si>
  <si>
    <t>MES</t>
  </si>
  <si>
    <t>JULIO</t>
  </si>
  <si>
    <t>SALDO ANTERIOR</t>
  </si>
  <si>
    <t>DEPÓSITO RENDICION ANTERIOR</t>
  </si>
  <si>
    <t>MONTO ADICIONAL</t>
  </si>
  <si>
    <t>MONTO A RENDIR</t>
  </si>
  <si>
    <t>RENDIDO</t>
  </si>
  <si>
    <t>SALDO AL CIERRE</t>
  </si>
  <si>
    <t>N°</t>
  </si>
  <si>
    <t xml:space="preserve">Fecha  </t>
  </si>
  <si>
    <t>Tipo Documento (boleta venta-boleta honorarios-factura)</t>
  </si>
  <si>
    <t>N° documento</t>
  </si>
  <si>
    <t>RUT Titular del documento</t>
  </si>
  <si>
    <t>Detalle</t>
  </si>
  <si>
    <t>Total</t>
  </si>
  <si>
    <t>Código Imputacion (RSM) 180</t>
  </si>
  <si>
    <t>-</t>
  </si>
  <si>
    <t>TOTALES</t>
  </si>
  <si>
    <t>AGOSTO</t>
  </si>
  <si>
    <t>BOLETA</t>
  </si>
  <si>
    <t>LIMPIEZA VITRINA</t>
  </si>
  <si>
    <t>SEPTIEMBRE</t>
  </si>
  <si>
    <t>OCTUBRE</t>
  </si>
  <si>
    <t>BIDON DE AGUA</t>
  </si>
  <si>
    <t>NOVIEMBRE</t>
  </si>
  <si>
    <t>DICIEMBRE</t>
  </si>
  <si>
    <t>LIMPIEZA VIDRIOS</t>
  </si>
  <si>
    <t xml:space="preserve">MOVILIZACION </t>
  </si>
  <si>
    <t xml:space="preserve">DESAYUNO RECEPCION MERCDERIA </t>
  </si>
  <si>
    <t>ENERO</t>
  </si>
  <si>
    <t>MOVILIZACION OTRA TIENDA</t>
  </si>
  <si>
    <t>FEBRERO</t>
  </si>
  <si>
    <t>MARZO</t>
  </si>
  <si>
    <t>TORTA DIA DE LA MUJER</t>
  </si>
  <si>
    <t>BIENVENIDA NUEVA INTEGRANTE</t>
  </si>
  <si>
    <t>VALE</t>
  </si>
  <si>
    <t>CINTA METRICA PARA UNIFORMES</t>
  </si>
  <si>
    <t xml:space="preserve">CORDEL PLASTICO DEVOLUCIONES </t>
  </si>
  <si>
    <t>ABRIL</t>
  </si>
  <si>
    <t>DESAYUNO RECEPCION MERCADERIA</t>
  </si>
  <si>
    <t>´PILAS CONTROL TV</t>
  </si>
  <si>
    <t>MOVILIZACION RETIRO DE MATERIAL VISUAL</t>
  </si>
  <si>
    <t>MAYO</t>
  </si>
  <si>
    <t>BLOQUES VITRINA INVIERNO</t>
  </si>
  <si>
    <t>MOVILIZACION RETIRO DE MATERIAL V.M</t>
  </si>
  <si>
    <t>MOVILIZACION APOYO COLACIONES A VESPUCIO</t>
  </si>
  <si>
    <t>JUNIO</t>
  </si>
  <si>
    <t>MOVILIZACION ENTRE TIENDAS</t>
  </si>
  <si>
    <t>CINTA ADHESIVA</t>
  </si>
  <si>
    <t>COMPRA PEGAMENTO REPARACIONES</t>
  </si>
  <si>
    <t xml:space="preserve">DESAYUNO RECEPCION MERCADERIA </t>
  </si>
  <si>
    <t>COMPRA DE PILAS CONTROL REMOTO TV Y AROMATIZANTE</t>
  </si>
  <si>
    <t xml:space="preserve">MOVILIZACION A COSTANERA PARA RETIRO DE MATERIAL V.M </t>
  </si>
  <si>
    <t>DESAYUNO RECEPCION DE MERCADERIA</t>
  </si>
  <si>
    <t>PILA A27 PARA CONTROL DE CORTNIA</t>
  </si>
  <si>
    <t>DESTORNILLADOR PARA CONTROL DE CORTINA</t>
  </si>
  <si>
    <t>MOVILIZACION A OTRA TIENDA</t>
  </si>
  <si>
    <t>GASTOS FIESTAS PATRIAS</t>
  </si>
  <si>
    <t xml:space="preserve">TOALLA DE PAPEL ABSORBENTE </t>
  </si>
  <si>
    <t>MOVILIZACION RETIRO DE MATERIAL DE CYBER</t>
  </si>
  <si>
    <t>MOVILIZACION RETIRO DE MATERIAL TAMARIS</t>
  </si>
  <si>
    <t xml:space="preserve">LIMPIEZA VITRINA </t>
  </si>
  <si>
    <t>vale</t>
  </si>
  <si>
    <t xml:space="preserve">movilizacion retiro de material </t>
  </si>
  <si>
    <t>boleta</t>
  </si>
  <si>
    <t>limpieza de vitrina</t>
  </si>
  <si>
    <t>movilizacion retiro gift card</t>
  </si>
  <si>
    <t>cintas de regalo</t>
  </si>
  <si>
    <t>reunion fin de año equipo</t>
  </si>
  <si>
    <t>MOVILIZACION RETIRO DE MATERIAL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</si>
</sst>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#,##0_ ;\-#,##0\ "/>
  </numFmts>
  <fonts count="20" x14ac:knownFonts="1">
    <font>
      <sz val="11"/>
      <color theme="1"/>
      <name val="Calibri"/>
      <family val="2"/>
      <scheme val="minor"/>
    </font>
    <font>
      <i/>
      <sz val="10"/>
      <name val="Segoe UI"/>
      <family val="2"/>
      <charset val="1"/>
    </font>
    <font>
      <i/>
      <sz val="16"/>
      <name val="Segoe UI"/>
      <family val="2"/>
      <charset val="1"/>
    </font>
    <font>
      <b/>
      <i/>
      <u/>
      <sz val="16"/>
      <name val="Segoe UI"/>
      <family val="2"/>
      <charset val="1"/>
    </font>
    <font>
      <b/>
      <i/>
      <sz val="9"/>
      <name val="Segoe UI"/>
      <family val="2"/>
      <charset val="1"/>
    </font>
    <font>
      <b/>
      <i/>
      <sz val="22"/>
      <name val="Segoe UI"/>
      <family val="2"/>
      <charset val="1"/>
    </font>
    <font>
      <b/>
      <i/>
      <sz val="14"/>
      <name val="Segoe UI"/>
      <family val="2"/>
      <charset val="1"/>
    </font>
    <font>
      <b/>
      <i/>
      <sz val="12"/>
      <name val="Segoe UI"/>
      <family val="2"/>
      <charset val="1"/>
    </font>
    <font>
      <i/>
      <sz val="12"/>
      <name val="Segoe UI"/>
      <family val="2"/>
      <charset val="1"/>
    </font>
    <font>
      <b/>
      <i/>
      <sz val="12"/>
      <color indexed="10"/>
      <name val="Segoe UI"/>
      <family val="2"/>
      <charset val="1"/>
    </font>
    <font>
      <b/>
      <i/>
      <sz val="10"/>
      <name val="Segoe UI"/>
      <family val="2"/>
      <charset val="1"/>
    </font>
    <font>
      <i/>
      <sz val="9"/>
      <name val="Segoe UI"/>
      <family val="2"/>
      <charset val="1"/>
    </font>
    <font>
      <sz val="11"/>
      <color theme="1"/>
      <name val="Calibri"/>
      <family val="2"/>
      <scheme val="minor"/>
    </font>
    <font>
      <b/>
      <i/>
      <sz val="10"/>
      <name val="Segoe UI"/>
      <family val="2"/>
    </font>
    <font>
      <b/>
      <i/>
      <sz val="11"/>
      <color rgb="FFFF0000"/>
      <name val="Segoe UI"/>
      <family val="2"/>
    </font>
    <font>
      <b/>
      <i/>
      <sz val="10"/>
      <color rgb="FF0070C0"/>
      <name val="Segoe UI"/>
      <family val="2"/>
    </font>
    <font>
      <b/>
      <i/>
      <sz val="12"/>
      <color rgb="FF0070C0"/>
      <name val="Segoe UI"/>
      <family val="2"/>
      <charset val="1"/>
    </font>
    <font>
      <sz val="11"/>
      <name val="Segoe UI"/>
      <family val="2"/>
    </font>
    <font>
      <b/>
      <sz val="11"/>
      <name val="Segoe UI"/>
      <family val="2"/>
    </font>
    <font>
      <b/>
      <i/>
      <sz val="10"/>
      <color rgb="FFFF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2" fillId="0" borderId="0" applyFont="0" applyFill="0" applyBorder="0" applyAlignment="0" applyProtection="0"/>
  </cellStyleXfs>
  <cellXfs count="56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1" fontId="1" fillId="2" borderId="0" xfId="0" applyNumberFormat="1" applyFont="1" applyFill="1" applyAlignment="1">
      <alignment vertical="center"/>
    </xf>
    <xf numFmtId="3" fontId="1" fillId="2" borderId="0" xfId="0" applyNumberFormat="1" applyFont="1" applyFill="1"/>
    <xf numFmtId="49" fontId="1" fillId="2" borderId="0" xfId="0" applyNumberFormat="1" applyFont="1" applyFill="1"/>
    <xf numFmtId="3" fontId="7" fillId="2" borderId="0" xfId="0" applyNumberFormat="1" applyFont="1" applyFill="1"/>
    <xf numFmtId="0" fontId="8" fillId="2" borderId="0" xfId="0" applyFont="1" applyFill="1"/>
    <xf numFmtId="1" fontId="8" fillId="2" borderId="0" xfId="0" applyNumberFormat="1" applyFont="1" applyFill="1" applyAlignment="1">
      <alignment horizontal="center" vertical="center"/>
    </xf>
    <xf numFmtId="3" fontId="8" fillId="2" borderId="0" xfId="0" applyNumberFormat="1" applyFont="1" applyFill="1" applyAlignment="1">
      <alignment horizontal="center"/>
    </xf>
    <xf numFmtId="0" fontId="10" fillId="2" borderId="0" xfId="0" applyFont="1" applyFill="1"/>
    <xf numFmtId="0" fontId="10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10" fillId="2" borderId="3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0" fontId="10" fillId="2" borderId="5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right" vertical="center"/>
    </xf>
    <xf numFmtId="0" fontId="10" fillId="2" borderId="2" xfId="0" applyFont="1" applyFill="1" applyBorder="1" applyAlignment="1">
      <alignment horizontal="right" vertical="center"/>
    </xf>
    <xf numFmtId="3" fontId="7" fillId="2" borderId="2" xfId="0" applyNumberFormat="1" applyFont="1" applyFill="1" applyBorder="1"/>
    <xf numFmtId="0" fontId="7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0" fontId="11" fillId="2" borderId="0" xfId="0" applyFont="1" applyFill="1"/>
    <xf numFmtId="3" fontId="5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left"/>
    </xf>
    <xf numFmtId="0" fontId="1" fillId="2" borderId="0" xfId="0" applyFont="1" applyFill="1" applyAlignment="1">
      <alignment horizontal="right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9" fillId="2" borderId="0" xfId="0" applyFont="1" applyFill="1" applyAlignment="1">
      <alignment horizontal="left"/>
    </xf>
    <xf numFmtId="3" fontId="7" fillId="2" borderId="4" xfId="0" applyNumberFormat="1" applyFont="1" applyFill="1" applyBorder="1" applyAlignment="1">
      <alignment horizontal="center" vertical="center"/>
    </xf>
    <xf numFmtId="49" fontId="8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left"/>
    </xf>
    <xf numFmtId="0" fontId="7" fillId="2" borderId="5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 wrapText="1"/>
    </xf>
    <xf numFmtId="165" fontId="13" fillId="2" borderId="1" xfId="1" applyNumberFormat="1" applyFont="1" applyFill="1" applyBorder="1" applyAlignment="1">
      <alignment horizontal="center" vertical="center"/>
    </xf>
    <xf numFmtId="165" fontId="14" fillId="2" borderId="1" xfId="1" applyNumberFormat="1" applyFont="1" applyFill="1" applyBorder="1" applyAlignment="1">
      <alignment horizontal="center" vertical="center"/>
    </xf>
    <xf numFmtId="0" fontId="7" fillId="2" borderId="0" xfId="0" applyFont="1" applyFill="1"/>
    <xf numFmtId="165" fontId="15" fillId="2" borderId="1" xfId="1" applyNumberFormat="1" applyFont="1" applyFill="1" applyBorder="1" applyAlignment="1">
      <alignment horizontal="center" vertical="center"/>
    </xf>
    <xf numFmtId="14" fontId="17" fillId="2" borderId="3" xfId="0" applyNumberFormat="1" applyFont="1" applyFill="1" applyBorder="1" applyAlignment="1">
      <alignment horizontal="left"/>
    </xf>
    <xf numFmtId="0" fontId="17" fillId="2" borderId="3" xfId="0" applyFont="1" applyFill="1" applyBorder="1" applyAlignment="1">
      <alignment horizontal="left" wrapText="1"/>
    </xf>
    <xf numFmtId="0" fontId="17" fillId="2" borderId="3" xfId="0" applyFont="1" applyFill="1" applyBorder="1" applyAlignment="1">
      <alignment vertical="center"/>
    </xf>
    <xf numFmtId="3" fontId="17" fillId="2" borderId="4" xfId="0" applyNumberFormat="1" applyFont="1" applyFill="1" applyBorder="1" applyAlignment="1">
      <alignment horizontal="left" wrapText="1"/>
    </xf>
    <xf numFmtId="0" fontId="17" fillId="3" borderId="3" xfId="0" applyFont="1" applyFill="1" applyBorder="1" applyAlignment="1">
      <alignment horizontal="center" vertical="center"/>
    </xf>
    <xf numFmtId="166" fontId="17" fillId="2" borderId="3" xfId="1" applyNumberFormat="1" applyFont="1" applyFill="1" applyBorder="1" applyAlignment="1">
      <alignment horizontal="right"/>
    </xf>
    <xf numFmtId="166" fontId="18" fillId="2" borderId="3" xfId="1" applyNumberFormat="1" applyFont="1" applyFill="1" applyBorder="1" applyAlignment="1">
      <alignment horizontal="right"/>
    </xf>
    <xf numFmtId="165" fontId="19" fillId="2" borderId="1" xfId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8" fillId="2" borderId="0" xfId="0" applyFont="1" applyFill="1"/>
    <xf numFmtId="0" fontId="1" fillId="2" borderId="0" xfId="0" applyFont="1" applyFill="1"/>
    <xf numFmtId="0" fontId="7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0</xdr:col>
      <xdr:colOff>1178983</xdr:colOff>
      <xdr:row>5</xdr:row>
      <xdr:rowOff>140825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  <xdr:twoCellAnchor editAs="oneCell">
    <xdr:from>
      <xdr:col>7</xdr:col>
      <xdr:colOff>656799</xdr:colOff>
      <xdr:row>4</xdr:row>
      <xdr:rowOff>42649</xdr:rowOff>
    </xdr:from>
    <xdr:to>
      <xdr:col>19</xdr:col>
      <xdr:colOff>61224</xdr:colOff>
      <xdr:row>5</xdr:row>
      <xdr:rowOff>1873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C003AD-54DE-6FEE-95BB-2FF070844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85194" y="1279478"/>
          <a:ext cx="8821381" cy="181000"/>
        </a:xfrm>
        <a:prstGeom prst="rect">
          <a:avLst/>
        </a:prstGeom>
      </xdr:spPr>
    </xdr:pic>
    <xdr:clientData/>
  </xdr:twoCellAnchor>
  <xdr:twoCellAnchor editAs="oneCell">
    <xdr:from>
      <xdr:col>8</xdr:col>
      <xdr:colOff>25590</xdr:colOff>
      <xdr:row>8</xdr:row>
      <xdr:rowOff>233241</xdr:rowOff>
    </xdr:from>
    <xdr:to>
      <xdr:col>15</xdr:col>
      <xdr:colOff>568232</xdr:colOff>
      <xdr:row>10</xdr:row>
      <xdr:rowOff>97415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298431B-AE4F-935D-9F33-F75E76B86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26389" y="2357174"/>
          <a:ext cx="5916448" cy="10412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0</xdr:col>
      <xdr:colOff>1140883</xdr:colOff>
      <xdr:row>7</xdr:row>
      <xdr:rowOff>213850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0"/>
          <a:ext cx="1083733" cy="2156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0</xdr:col>
      <xdr:colOff>1140883</xdr:colOff>
      <xdr:row>5</xdr:row>
      <xdr:rowOff>47625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0"/>
          <a:ext cx="1083733" cy="15525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0</xdr:col>
      <xdr:colOff>1140883</xdr:colOff>
      <xdr:row>8</xdr:row>
      <xdr:rowOff>28575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0"/>
          <a:ext cx="1083733" cy="15525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0</xdr:rowOff>
    </xdr:from>
    <xdr:to>
      <xdr:col>0</xdr:col>
      <xdr:colOff>1131358</xdr:colOff>
      <xdr:row>5</xdr:row>
      <xdr:rowOff>123825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0"/>
          <a:ext cx="1083733" cy="16287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0</xdr:rowOff>
    </xdr:from>
    <xdr:to>
      <xdr:col>0</xdr:col>
      <xdr:colOff>1131358</xdr:colOff>
      <xdr:row>8</xdr:row>
      <xdr:rowOff>104775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0"/>
          <a:ext cx="1083733" cy="16287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79500" cy="96526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3</xdr:row>
      <xdr:rowOff>12767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zoomScale="80" zoomScaleNormal="80" workbookViewId="0">
      <selection activeCell="J13" sqref="J13"/>
    </sheetView>
  </sheetViews>
  <sheetFormatPr baseColWidth="10" defaultRowHeight="14" x14ac:dyDescent="0.3"/>
  <cols>
    <col min="1" max="1" width="18.69921875" customWidth="1"/>
    <col min="2" max="2" width="17.3984375" customWidth="1"/>
    <col min="3" max="4" width="15.8984375" customWidth="1"/>
    <col min="5" max="5" width="10.8984375" customWidth="1"/>
    <col min="6" max="6" width="30.3984375" customWidth="1"/>
    <col min="7" max="7" width="20.296875" customWidth="1"/>
    <col min="8" max="8" width="14.296875" customWidth="1"/>
  </cols>
  <sheetData>
    <row r="1" spans="1:8" ht="24.2" x14ac:dyDescent="0.6">
      <c r="A1" s="2"/>
      <c r="B1" s="3"/>
      <c r="C1" s="48" t="s">
        <v>0</v>
      </c>
      <c r="D1" s="48"/>
      <c r="E1" s="48"/>
      <c r="F1" s="48"/>
      <c r="G1" s="48"/>
      <c r="H1" s="48"/>
    </row>
    <row r="2" spans="1:8" ht="24.2" x14ac:dyDescent="0.6">
      <c r="A2" s="2"/>
      <c r="B2" s="2"/>
      <c r="C2" s="48" t="s">
        <v>1</v>
      </c>
      <c r="D2" s="48"/>
      <c r="E2" s="48"/>
      <c r="F2" s="48"/>
      <c r="G2" s="48"/>
      <c r="H2" s="48"/>
    </row>
    <row r="3" spans="1:8" ht="31.7" x14ac:dyDescent="0.55000000000000004">
      <c r="A3" s="2"/>
      <c r="B3" s="3"/>
      <c r="C3" s="3"/>
      <c r="D3" s="4"/>
      <c r="E3" s="5"/>
      <c r="F3" s="24"/>
      <c r="G3" s="32" t="s">
        <v>2</v>
      </c>
      <c r="H3" s="27" t="s">
        <v>31</v>
      </c>
    </row>
    <row r="4" spans="1:8" ht="17.75" x14ac:dyDescent="0.45">
      <c r="A4" s="2"/>
      <c r="B4" s="49" t="s">
        <v>4</v>
      </c>
      <c r="C4" s="49"/>
      <c r="D4" s="49"/>
      <c r="E4" s="35">
        <f>DICIEMBRE!H8</f>
        <v>44420</v>
      </c>
      <c r="F4" s="7"/>
      <c r="G4" s="31"/>
      <c r="H4" s="2"/>
    </row>
    <row r="5" spans="1:8" ht="17.75" x14ac:dyDescent="0.45">
      <c r="A5" s="2"/>
      <c r="B5" s="25" t="s">
        <v>5</v>
      </c>
      <c r="C5" s="25"/>
      <c r="D5" s="25"/>
      <c r="E5" s="35">
        <v>55580</v>
      </c>
      <c r="F5" s="7"/>
      <c r="G5" s="31"/>
      <c r="H5" s="2"/>
    </row>
    <row r="6" spans="1:8" ht="17.75" x14ac:dyDescent="0.45">
      <c r="A6" s="2"/>
      <c r="B6" s="49" t="s">
        <v>6</v>
      </c>
      <c r="C6" s="49"/>
      <c r="D6" s="49"/>
      <c r="E6" s="35">
        <v>0</v>
      </c>
      <c r="F6" s="7"/>
      <c r="G6" s="2"/>
      <c r="H6" s="2"/>
    </row>
    <row r="7" spans="1:8" ht="17.75" x14ac:dyDescent="0.45">
      <c r="A7" s="2"/>
      <c r="B7" s="50" t="s">
        <v>7</v>
      </c>
      <c r="C7" s="50"/>
      <c r="D7" s="50"/>
      <c r="E7" s="35">
        <f>SUM(E4:E6)</f>
        <v>100000</v>
      </c>
      <c r="F7" s="7"/>
      <c r="G7" s="26"/>
      <c r="H7" s="2"/>
    </row>
    <row r="8" spans="1:8" ht="17.75" x14ac:dyDescent="0.45">
      <c r="A8" s="2"/>
      <c r="B8" s="47" t="s">
        <v>8</v>
      </c>
      <c r="C8" s="47"/>
      <c r="D8" s="47"/>
      <c r="E8" s="38">
        <f>+G26</f>
        <v>17000</v>
      </c>
      <c r="F8" s="7"/>
      <c r="G8" s="29" t="s">
        <v>9</v>
      </c>
      <c r="H8" s="36">
        <f>E7-E8</f>
        <v>83000</v>
      </c>
    </row>
    <row r="9" spans="1:8" ht="24.2" x14ac:dyDescent="0.6">
      <c r="A9" s="1"/>
      <c r="B9" s="1"/>
      <c r="C9" s="1"/>
      <c r="D9" s="1"/>
      <c r="E9" s="10"/>
      <c r="F9" s="11"/>
      <c r="G9" s="9"/>
      <c r="H9" s="1"/>
    </row>
    <row r="10" spans="1:8" ht="69.05" customHeight="1" x14ac:dyDescent="0.3">
      <c r="A10" s="13" t="s">
        <v>10</v>
      </c>
      <c r="B10" s="14" t="s">
        <v>11</v>
      </c>
      <c r="C10" s="14" t="s">
        <v>12</v>
      </c>
      <c r="D10" s="14" t="s">
        <v>13</v>
      </c>
      <c r="E10" s="14" t="s">
        <v>14</v>
      </c>
      <c r="F10" s="30" t="s">
        <v>15</v>
      </c>
      <c r="G10" s="14" t="s">
        <v>16</v>
      </c>
      <c r="H10" s="34" t="s">
        <v>17</v>
      </c>
    </row>
    <row r="11" spans="1:8" ht="36.799999999999997" customHeight="1" x14ac:dyDescent="0.45">
      <c r="A11" s="15">
        <v>1</v>
      </c>
      <c r="B11" s="39">
        <v>46024</v>
      </c>
      <c r="C11" s="39" t="s">
        <v>37</v>
      </c>
      <c r="D11" s="40">
        <v>34</v>
      </c>
      <c r="E11" s="41"/>
      <c r="F11" s="42" t="s">
        <v>71</v>
      </c>
      <c r="G11" s="44">
        <v>2000</v>
      </c>
      <c r="H11" s="43"/>
    </row>
    <row r="12" spans="1:8" ht="36" customHeight="1" x14ac:dyDescent="0.45">
      <c r="A12" s="15">
        <v>2</v>
      </c>
      <c r="B12" s="39">
        <v>46036</v>
      </c>
      <c r="C12" s="39" t="s">
        <v>21</v>
      </c>
      <c r="D12" s="40">
        <v>17207</v>
      </c>
      <c r="E12" s="41"/>
      <c r="F12" s="42" t="s">
        <v>22</v>
      </c>
      <c r="G12" s="44">
        <v>15000</v>
      </c>
      <c r="H12" s="43"/>
    </row>
    <row r="13" spans="1:8" ht="36" customHeight="1" x14ac:dyDescent="0.45">
      <c r="A13" s="15">
        <v>3</v>
      </c>
      <c r="B13" s="39"/>
      <c r="C13" s="39"/>
      <c r="D13" s="40"/>
      <c r="E13" s="41"/>
      <c r="F13" s="42"/>
      <c r="G13" s="44"/>
      <c r="H13" s="43"/>
    </row>
    <row r="14" spans="1:8" ht="20.3" customHeight="1" x14ac:dyDescent="0.45">
      <c r="A14" s="15">
        <v>4</v>
      </c>
      <c r="B14" s="39"/>
      <c r="C14" s="39"/>
      <c r="D14" s="40"/>
      <c r="E14" s="41"/>
      <c r="F14" s="42"/>
      <c r="G14" s="44"/>
      <c r="H14" s="43"/>
    </row>
    <row r="15" spans="1:8" ht="39.799999999999997" customHeight="1" x14ac:dyDescent="0.45">
      <c r="A15" s="15">
        <v>5</v>
      </c>
      <c r="B15" s="39"/>
      <c r="C15" s="39"/>
      <c r="D15" s="40"/>
      <c r="E15" s="41"/>
      <c r="F15" s="42"/>
      <c r="G15" s="44"/>
      <c r="H15" s="43"/>
    </row>
    <row r="16" spans="1:8" ht="38.950000000000003" customHeight="1" x14ac:dyDescent="0.45">
      <c r="A16" s="15">
        <v>6</v>
      </c>
      <c r="B16" s="39"/>
      <c r="C16" s="39"/>
      <c r="D16" s="40"/>
      <c r="E16" s="41"/>
      <c r="F16" s="42"/>
      <c r="G16" s="44"/>
      <c r="H16" s="43"/>
    </row>
    <row r="17" spans="1:8" ht="17.2" customHeight="1" x14ac:dyDescent="0.45">
      <c r="A17" s="15">
        <v>7</v>
      </c>
      <c r="B17" s="39"/>
      <c r="C17" s="39"/>
      <c r="D17" s="40"/>
      <c r="E17" s="41"/>
      <c r="F17" s="42"/>
      <c r="G17" s="44"/>
      <c r="H17" s="43"/>
    </row>
    <row r="18" spans="1:8" ht="31.6" customHeight="1" x14ac:dyDescent="0.45">
      <c r="A18" s="15">
        <v>8</v>
      </c>
      <c r="B18" s="39"/>
      <c r="C18" s="39"/>
      <c r="D18" s="40"/>
      <c r="E18" s="41"/>
      <c r="F18" s="42"/>
      <c r="G18" s="44"/>
      <c r="H18" s="43"/>
    </row>
    <row r="19" spans="1:8" ht="17.2" x14ac:dyDescent="0.45">
      <c r="A19" s="15">
        <v>9</v>
      </c>
      <c r="B19" s="39"/>
      <c r="C19" s="39"/>
      <c r="D19" s="40"/>
      <c r="E19" s="41"/>
      <c r="F19" s="42"/>
      <c r="G19" s="44"/>
      <c r="H19" s="43"/>
    </row>
    <row r="20" spans="1:8" ht="17.2" x14ac:dyDescent="0.45">
      <c r="A20" s="15">
        <v>10</v>
      </c>
      <c r="B20" s="39"/>
      <c r="C20" s="39"/>
      <c r="D20" s="40"/>
      <c r="E20" s="41"/>
      <c r="F20" s="42"/>
      <c r="G20" s="44"/>
      <c r="H20" s="43"/>
    </row>
    <row r="21" spans="1:8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8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8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8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8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8" ht="17.75" x14ac:dyDescent="0.45">
      <c r="A26" s="12"/>
      <c r="B26" s="16" t="s">
        <v>19</v>
      </c>
      <c r="C26" s="33"/>
      <c r="D26" s="17"/>
      <c r="E26" s="17"/>
      <c r="F26" s="17"/>
      <c r="G26" s="45">
        <f>SUM(G11:G25)</f>
        <v>17000</v>
      </c>
      <c r="H26" s="12"/>
    </row>
    <row r="27" spans="1:8" ht="17.75" x14ac:dyDescent="0.45">
      <c r="A27" s="12"/>
      <c r="B27" s="18"/>
      <c r="C27" s="18"/>
      <c r="D27" s="19"/>
      <c r="E27" s="19"/>
      <c r="F27" s="19"/>
      <c r="G27" s="20"/>
      <c r="H27" s="12"/>
    </row>
  </sheetData>
  <mergeCells count="6">
    <mergeCell ref="B8:D8"/>
    <mergeCell ref="C1:H1"/>
    <mergeCell ref="C2:H2"/>
    <mergeCell ref="B4:D4"/>
    <mergeCell ref="B6:D6"/>
    <mergeCell ref="B7:D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workbookViewId="0">
      <selection activeCell="E4" sqref="E4"/>
    </sheetView>
  </sheetViews>
  <sheetFormatPr baseColWidth="10" defaultRowHeight="14" x14ac:dyDescent="0.3"/>
  <cols>
    <col min="1" max="1" width="18.69921875" customWidth="1"/>
    <col min="2" max="2" width="17.3984375" customWidth="1"/>
    <col min="3" max="4" width="15.8984375" customWidth="1"/>
    <col min="5" max="5" width="10.8984375" customWidth="1"/>
    <col min="6" max="6" width="30.3984375" customWidth="1"/>
    <col min="7" max="7" width="20.296875" customWidth="1"/>
    <col min="8" max="8" width="14.296875" customWidth="1"/>
  </cols>
  <sheetData>
    <row r="1" spans="1:8" ht="24.2" x14ac:dyDescent="0.6">
      <c r="A1" s="2"/>
      <c r="B1" s="3"/>
      <c r="C1" s="48" t="s">
        <v>0</v>
      </c>
      <c r="D1" s="48"/>
      <c r="E1" s="48"/>
      <c r="F1" s="48"/>
      <c r="G1" s="48"/>
      <c r="H1" s="48"/>
    </row>
    <row r="2" spans="1:8" ht="24.2" x14ac:dyDescent="0.6">
      <c r="A2" s="2"/>
      <c r="B2" s="2"/>
      <c r="C2" s="48" t="s">
        <v>1</v>
      </c>
      <c r="D2" s="48"/>
      <c r="E2" s="48"/>
      <c r="F2" s="48"/>
      <c r="G2" s="48"/>
      <c r="H2" s="48"/>
    </row>
    <row r="3" spans="1:8" ht="31.7" x14ac:dyDescent="0.55000000000000004">
      <c r="A3" s="2"/>
      <c r="B3" s="3"/>
      <c r="C3" s="3"/>
      <c r="D3" s="4"/>
      <c r="E3" s="5"/>
      <c r="F3" s="24"/>
      <c r="G3" s="32" t="s">
        <v>2</v>
      </c>
      <c r="H3" s="27" t="s">
        <v>33</v>
      </c>
    </row>
    <row r="4" spans="1:8" ht="17.75" x14ac:dyDescent="0.45">
      <c r="A4" s="2"/>
      <c r="B4" s="49" t="s">
        <v>4</v>
      </c>
      <c r="C4" s="49"/>
      <c r="D4" s="49"/>
      <c r="E4" s="35">
        <f>+ENERO!H8</f>
        <v>83000</v>
      </c>
      <c r="F4" s="7"/>
      <c r="G4" s="31"/>
      <c r="H4" s="2"/>
    </row>
    <row r="5" spans="1:8" ht="17.75" x14ac:dyDescent="0.45">
      <c r="A5" s="2"/>
      <c r="B5" s="25" t="s">
        <v>5</v>
      </c>
      <c r="C5" s="25"/>
      <c r="D5" s="25"/>
      <c r="E5" s="35">
        <v>59400</v>
      </c>
      <c r="F5" s="7"/>
      <c r="G5" s="31"/>
      <c r="H5" s="2"/>
    </row>
    <row r="6" spans="1:8" ht="17.75" x14ac:dyDescent="0.45">
      <c r="A6" s="2"/>
      <c r="B6" s="49" t="s">
        <v>6</v>
      </c>
      <c r="C6" s="49"/>
      <c r="D6" s="49"/>
      <c r="E6" s="35">
        <v>0</v>
      </c>
      <c r="F6" s="7"/>
      <c r="G6" s="2"/>
      <c r="H6" s="2"/>
    </row>
    <row r="7" spans="1:8" ht="17.75" x14ac:dyDescent="0.45">
      <c r="A7" s="2"/>
      <c r="B7" s="50" t="s">
        <v>7</v>
      </c>
      <c r="C7" s="50"/>
      <c r="D7" s="50"/>
      <c r="E7" s="35">
        <f>SUM(E4:E6)</f>
        <v>142400</v>
      </c>
      <c r="F7" s="7"/>
      <c r="G7" s="26"/>
      <c r="H7" s="2"/>
    </row>
    <row r="8" spans="1:8" ht="17.75" x14ac:dyDescent="0.45">
      <c r="A8" s="2"/>
      <c r="B8" s="47" t="s">
        <v>8</v>
      </c>
      <c r="C8" s="47"/>
      <c r="D8" s="47"/>
      <c r="E8" s="38">
        <f>+G26</f>
        <v>22080</v>
      </c>
      <c r="F8" s="7"/>
      <c r="G8" s="29" t="s">
        <v>9</v>
      </c>
      <c r="H8" s="36">
        <f>E7-E8</f>
        <v>120320</v>
      </c>
    </row>
    <row r="9" spans="1:8" ht="24.2" x14ac:dyDescent="0.6">
      <c r="A9" s="1"/>
      <c r="B9" s="1"/>
      <c r="C9" s="1"/>
      <c r="D9" s="1"/>
      <c r="E9" s="10"/>
      <c r="F9" s="11"/>
      <c r="G9" s="9"/>
      <c r="H9" s="1"/>
    </row>
    <row r="10" spans="1:8" ht="69.05" customHeight="1" x14ac:dyDescent="0.3">
      <c r="A10" s="13" t="s">
        <v>10</v>
      </c>
      <c r="B10" s="14" t="s">
        <v>11</v>
      </c>
      <c r="C10" s="14" t="s">
        <v>12</v>
      </c>
      <c r="D10" s="14" t="s">
        <v>13</v>
      </c>
      <c r="E10" s="14" t="s">
        <v>14</v>
      </c>
      <c r="F10" s="30" t="s">
        <v>15</v>
      </c>
      <c r="G10" s="14" t="s">
        <v>16</v>
      </c>
      <c r="H10" s="34" t="s">
        <v>17</v>
      </c>
    </row>
    <row r="11" spans="1:8" ht="17.2" customHeight="1" x14ac:dyDescent="0.45">
      <c r="A11" s="15">
        <v>1</v>
      </c>
      <c r="B11" s="39">
        <v>45694</v>
      </c>
      <c r="C11" s="39" t="s">
        <v>21</v>
      </c>
      <c r="D11" s="40">
        <v>15069</v>
      </c>
      <c r="E11" s="41"/>
      <c r="F11" s="42" t="s">
        <v>28</v>
      </c>
      <c r="G11" s="44">
        <v>15000</v>
      </c>
      <c r="H11" s="43"/>
    </row>
    <row r="12" spans="1:8" ht="36" customHeight="1" x14ac:dyDescent="0.45">
      <c r="A12" s="15">
        <v>2</v>
      </c>
      <c r="B12" s="39">
        <v>45702</v>
      </c>
      <c r="C12" s="39" t="s">
        <v>21</v>
      </c>
      <c r="D12" s="40">
        <v>39534464</v>
      </c>
      <c r="E12" s="41"/>
      <c r="F12" s="42" t="s">
        <v>30</v>
      </c>
      <c r="G12" s="44">
        <v>5080</v>
      </c>
      <c r="H12" s="43"/>
    </row>
    <row r="13" spans="1:8" ht="36" customHeight="1" x14ac:dyDescent="0.45">
      <c r="A13" s="15">
        <v>3</v>
      </c>
      <c r="B13" s="39">
        <v>45712</v>
      </c>
      <c r="C13" s="39" t="s">
        <v>21</v>
      </c>
      <c r="D13" s="40">
        <v>11</v>
      </c>
      <c r="E13" s="41"/>
      <c r="F13" s="42" t="s">
        <v>32</v>
      </c>
      <c r="G13" s="44">
        <v>2000</v>
      </c>
      <c r="H13" s="43"/>
    </row>
    <row r="14" spans="1:8" ht="20.3" customHeight="1" x14ac:dyDescent="0.45">
      <c r="A14" s="15">
        <v>4</v>
      </c>
      <c r="B14" s="39"/>
      <c r="C14" s="39"/>
      <c r="D14" s="40"/>
      <c r="E14" s="41"/>
      <c r="F14" s="42"/>
      <c r="G14" s="44"/>
      <c r="H14" s="43"/>
    </row>
    <row r="15" spans="1:8" ht="39.799999999999997" customHeight="1" x14ac:dyDescent="0.45">
      <c r="A15" s="15">
        <v>5</v>
      </c>
      <c r="B15" s="39"/>
      <c r="C15" s="39"/>
      <c r="D15" s="40"/>
      <c r="E15" s="41"/>
      <c r="F15" s="42"/>
      <c r="G15" s="44"/>
      <c r="H15" s="43"/>
    </row>
    <row r="16" spans="1:8" ht="38.950000000000003" customHeight="1" x14ac:dyDescent="0.45">
      <c r="A16" s="15">
        <v>6</v>
      </c>
      <c r="B16" s="39"/>
      <c r="C16" s="39"/>
      <c r="D16" s="40"/>
      <c r="E16" s="41"/>
      <c r="F16" s="42"/>
      <c r="G16" s="44"/>
      <c r="H16" s="43"/>
    </row>
    <row r="17" spans="1:8" ht="17.2" customHeight="1" x14ac:dyDescent="0.45">
      <c r="A17" s="15">
        <v>7</v>
      </c>
      <c r="B17" s="39"/>
      <c r="C17" s="39"/>
      <c r="D17" s="40"/>
      <c r="E17" s="41"/>
      <c r="F17" s="42"/>
      <c r="G17" s="44"/>
      <c r="H17" s="43"/>
    </row>
    <row r="18" spans="1:8" ht="31.6" customHeight="1" x14ac:dyDescent="0.45">
      <c r="A18" s="15">
        <v>8</v>
      </c>
      <c r="B18" s="39"/>
      <c r="C18" s="39"/>
      <c r="D18" s="40"/>
      <c r="E18" s="41"/>
      <c r="F18" s="42"/>
      <c r="G18" s="44"/>
      <c r="H18" s="43"/>
    </row>
    <row r="19" spans="1:8" ht="17.2" x14ac:dyDescent="0.45">
      <c r="A19" s="15">
        <v>9</v>
      </c>
      <c r="B19" s="39"/>
      <c r="C19" s="39"/>
      <c r="D19" s="40"/>
      <c r="E19" s="41"/>
      <c r="F19" s="42"/>
      <c r="G19" s="44"/>
      <c r="H19" s="43"/>
    </row>
    <row r="20" spans="1:8" ht="17.2" x14ac:dyDescent="0.45">
      <c r="A20" s="15">
        <v>10</v>
      </c>
      <c r="B20" s="39"/>
      <c r="C20" s="39"/>
      <c r="D20" s="40"/>
      <c r="E20" s="41"/>
      <c r="F20" s="42"/>
      <c r="G20" s="44"/>
      <c r="H20" s="43"/>
    </row>
    <row r="21" spans="1:8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8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8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8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8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8" ht="17.75" x14ac:dyDescent="0.45">
      <c r="A26" s="12"/>
      <c r="B26" s="16" t="s">
        <v>19</v>
      </c>
      <c r="C26" s="33"/>
      <c r="D26" s="17"/>
      <c r="E26" s="17"/>
      <c r="F26" s="17"/>
      <c r="G26" s="45">
        <f>SUM(G11:G25)</f>
        <v>22080</v>
      </c>
      <c r="H26" s="12"/>
    </row>
    <row r="27" spans="1:8" ht="17.75" x14ac:dyDescent="0.45">
      <c r="A27" s="12"/>
      <c r="B27" s="18"/>
      <c r="C27" s="18"/>
      <c r="D27" s="19"/>
      <c r="E27" s="19"/>
      <c r="F27" s="19"/>
      <c r="G27" s="20"/>
      <c r="H27" s="12"/>
    </row>
  </sheetData>
  <mergeCells count="6">
    <mergeCell ref="B8:D8"/>
    <mergeCell ref="C1:H1"/>
    <mergeCell ref="C2:H2"/>
    <mergeCell ref="B4:D4"/>
    <mergeCell ref="B6:D6"/>
    <mergeCell ref="B7:D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"/>
  <sheetViews>
    <sheetView workbookViewId="0">
      <selection activeCell="E4" sqref="E4"/>
    </sheetView>
  </sheetViews>
  <sheetFormatPr baseColWidth="10" defaultRowHeight="14" x14ac:dyDescent="0.3"/>
  <cols>
    <col min="1" max="1" width="18.69921875" customWidth="1"/>
    <col min="2" max="2" width="17.3984375" customWidth="1"/>
    <col min="3" max="4" width="15.8984375" customWidth="1"/>
    <col min="5" max="5" width="10.8984375" customWidth="1"/>
    <col min="6" max="6" width="33" customWidth="1"/>
    <col min="7" max="7" width="20.296875" customWidth="1"/>
    <col min="8" max="8" width="14.296875" customWidth="1"/>
  </cols>
  <sheetData>
    <row r="1" spans="1:8" ht="24.2" x14ac:dyDescent="0.6">
      <c r="A1" s="2"/>
      <c r="B1" s="3"/>
      <c r="C1" s="48" t="s">
        <v>0</v>
      </c>
      <c r="D1" s="48"/>
      <c r="E1" s="48"/>
      <c r="F1" s="48"/>
      <c r="G1" s="48"/>
      <c r="H1" s="48"/>
    </row>
    <row r="2" spans="1:8" ht="24.2" x14ac:dyDescent="0.6">
      <c r="A2" s="2"/>
      <c r="B2" s="2"/>
      <c r="C2" s="48" t="s">
        <v>1</v>
      </c>
      <c r="D2" s="48"/>
      <c r="E2" s="48"/>
      <c r="F2" s="48"/>
      <c r="G2" s="48"/>
      <c r="H2" s="48"/>
    </row>
    <row r="3" spans="1:8" ht="31.7" x14ac:dyDescent="0.55000000000000004">
      <c r="A3" s="2"/>
      <c r="B3" s="3"/>
      <c r="C3" s="3"/>
      <c r="D3" s="4"/>
      <c r="E3" s="5"/>
      <c r="F3" s="24"/>
      <c r="G3" s="32" t="s">
        <v>2</v>
      </c>
      <c r="H3" s="27" t="s">
        <v>34</v>
      </c>
    </row>
    <row r="4" spans="1:8" ht="17.75" x14ac:dyDescent="0.45">
      <c r="A4" s="2"/>
      <c r="B4" s="49" t="s">
        <v>4</v>
      </c>
      <c r="C4" s="49"/>
      <c r="D4" s="49"/>
      <c r="E4" s="35">
        <f>+FEBRERO!H8</f>
        <v>120320</v>
      </c>
      <c r="F4" s="7"/>
      <c r="G4" s="31"/>
      <c r="H4" s="2"/>
    </row>
    <row r="5" spans="1:8" ht="17.75" x14ac:dyDescent="0.45">
      <c r="A5" s="2"/>
      <c r="B5" s="25" t="s">
        <v>5</v>
      </c>
      <c r="C5" s="25"/>
      <c r="D5" s="25"/>
      <c r="E5" s="35">
        <v>22080</v>
      </c>
      <c r="F5" s="7"/>
      <c r="G5" s="31"/>
      <c r="H5" s="2"/>
    </row>
    <row r="6" spans="1:8" ht="17.75" x14ac:dyDescent="0.45">
      <c r="A6" s="2"/>
      <c r="B6" s="49" t="s">
        <v>6</v>
      </c>
      <c r="C6" s="49"/>
      <c r="D6" s="49"/>
      <c r="E6" s="35">
        <v>0</v>
      </c>
      <c r="F6" s="7"/>
      <c r="G6" s="2"/>
      <c r="H6" s="2"/>
    </row>
    <row r="7" spans="1:8" ht="17.75" x14ac:dyDescent="0.45">
      <c r="A7" s="2"/>
      <c r="B7" s="50" t="s">
        <v>7</v>
      </c>
      <c r="C7" s="50"/>
      <c r="D7" s="50"/>
      <c r="E7" s="35">
        <f>SUM(E4:E6)</f>
        <v>142400</v>
      </c>
      <c r="F7" s="7"/>
      <c r="G7" s="26"/>
      <c r="H7" s="2"/>
    </row>
    <row r="8" spans="1:8" ht="17.75" x14ac:dyDescent="0.45">
      <c r="A8" s="2"/>
      <c r="B8" s="47" t="s">
        <v>8</v>
      </c>
      <c r="C8" s="47"/>
      <c r="D8" s="47"/>
      <c r="E8" s="38">
        <f>+G26</f>
        <v>62470</v>
      </c>
      <c r="F8" s="7"/>
      <c r="G8" s="29" t="s">
        <v>9</v>
      </c>
      <c r="H8" s="36">
        <f>E7-E8</f>
        <v>79930</v>
      </c>
    </row>
    <row r="9" spans="1:8" ht="24.2" x14ac:dyDescent="0.6">
      <c r="A9" s="1"/>
      <c r="B9" s="1"/>
      <c r="C9" s="1"/>
      <c r="D9" s="1"/>
      <c r="E9" s="10"/>
      <c r="F9" s="11"/>
      <c r="G9" s="9"/>
      <c r="H9" s="1"/>
    </row>
    <row r="10" spans="1:8" ht="69.05" customHeight="1" x14ac:dyDescent="0.3">
      <c r="A10" s="13" t="s">
        <v>10</v>
      </c>
      <c r="B10" s="14" t="s">
        <v>11</v>
      </c>
      <c r="C10" s="14" t="s">
        <v>12</v>
      </c>
      <c r="D10" s="14" t="s">
        <v>13</v>
      </c>
      <c r="E10" s="14" t="s">
        <v>14</v>
      </c>
      <c r="F10" s="30" t="s">
        <v>15</v>
      </c>
      <c r="G10" s="14" t="s">
        <v>16</v>
      </c>
      <c r="H10" s="34" t="s">
        <v>17</v>
      </c>
    </row>
    <row r="11" spans="1:8" ht="37.5" customHeight="1" x14ac:dyDescent="0.45">
      <c r="A11" s="15">
        <v>1</v>
      </c>
      <c r="B11" s="39">
        <v>45723</v>
      </c>
      <c r="C11" s="39" t="s">
        <v>21</v>
      </c>
      <c r="D11" s="40">
        <v>80941267</v>
      </c>
      <c r="E11" s="41"/>
      <c r="F11" s="42" t="s">
        <v>30</v>
      </c>
      <c r="G11" s="44">
        <v>5190</v>
      </c>
      <c r="H11" s="43"/>
    </row>
    <row r="12" spans="1:8" ht="28.5" customHeight="1" x14ac:dyDescent="0.45">
      <c r="A12" s="15">
        <v>2</v>
      </c>
      <c r="B12" s="39">
        <v>45724</v>
      </c>
      <c r="C12" s="39" t="s">
        <v>21</v>
      </c>
      <c r="D12" s="40">
        <v>3016081088</v>
      </c>
      <c r="E12" s="41"/>
      <c r="F12" s="42" t="s">
        <v>35</v>
      </c>
      <c r="G12" s="44">
        <v>19020</v>
      </c>
      <c r="H12" s="43"/>
    </row>
    <row r="13" spans="1:8" ht="26.2" customHeight="1" x14ac:dyDescent="0.45">
      <c r="A13" s="15">
        <v>3</v>
      </c>
      <c r="B13" s="39">
        <v>45726</v>
      </c>
      <c r="C13" s="39" t="s">
        <v>21</v>
      </c>
      <c r="D13" s="40">
        <v>15284</v>
      </c>
      <c r="E13" s="41"/>
      <c r="F13" s="42" t="s">
        <v>28</v>
      </c>
      <c r="G13" s="44">
        <v>15000</v>
      </c>
      <c r="H13" s="43"/>
    </row>
    <row r="14" spans="1:8" ht="35.200000000000003" customHeight="1" x14ac:dyDescent="0.45">
      <c r="A14" s="15">
        <v>4</v>
      </c>
      <c r="B14" s="39">
        <v>45729</v>
      </c>
      <c r="C14" s="39" t="s">
        <v>21</v>
      </c>
      <c r="D14" s="40">
        <v>3019744464</v>
      </c>
      <c r="E14" s="41"/>
      <c r="F14" s="42" t="s">
        <v>36</v>
      </c>
      <c r="G14" s="44">
        <v>2690</v>
      </c>
      <c r="H14" s="43"/>
    </row>
    <row r="15" spans="1:8" ht="23.25" customHeight="1" x14ac:dyDescent="0.45">
      <c r="A15" s="15">
        <v>5</v>
      </c>
      <c r="B15" s="39">
        <v>45729</v>
      </c>
      <c r="C15" s="39" t="s">
        <v>37</v>
      </c>
      <c r="D15" s="40">
        <v>12</v>
      </c>
      <c r="E15" s="41"/>
      <c r="F15" s="42" t="s">
        <v>29</v>
      </c>
      <c r="G15" s="44">
        <v>2000</v>
      </c>
      <c r="H15" s="43"/>
    </row>
    <row r="16" spans="1:8" ht="24.75" customHeight="1" x14ac:dyDescent="0.45">
      <c r="A16" s="15">
        <v>6</v>
      </c>
      <c r="B16" s="39">
        <v>45736</v>
      </c>
      <c r="C16" s="39" t="s">
        <v>37</v>
      </c>
      <c r="D16" s="40">
        <v>13</v>
      </c>
      <c r="E16" s="41"/>
      <c r="F16" s="42" t="s">
        <v>29</v>
      </c>
      <c r="G16" s="44">
        <v>1000</v>
      </c>
      <c r="H16" s="43"/>
    </row>
    <row r="17" spans="1:8" ht="36" customHeight="1" x14ac:dyDescent="0.45">
      <c r="A17" s="15">
        <v>7</v>
      </c>
      <c r="B17" s="39">
        <v>45742</v>
      </c>
      <c r="C17" s="39" t="s">
        <v>21</v>
      </c>
      <c r="D17" s="40">
        <v>4231451</v>
      </c>
      <c r="E17" s="41"/>
      <c r="F17" s="42" t="s">
        <v>38</v>
      </c>
      <c r="G17" s="44">
        <v>3490</v>
      </c>
      <c r="H17" s="43"/>
    </row>
    <row r="18" spans="1:8" ht="31.6" customHeight="1" x14ac:dyDescent="0.45">
      <c r="A18" s="15">
        <v>8</v>
      </c>
      <c r="B18" s="39">
        <v>45744</v>
      </c>
      <c r="C18" s="39" t="s">
        <v>21</v>
      </c>
      <c r="D18" s="40">
        <v>3030388623</v>
      </c>
      <c r="E18" s="41"/>
      <c r="F18" s="42" t="s">
        <v>30</v>
      </c>
      <c r="G18" s="44">
        <v>4090</v>
      </c>
      <c r="H18" s="43"/>
    </row>
    <row r="19" spans="1:8" ht="32.25" customHeight="1" x14ac:dyDescent="0.45">
      <c r="A19" s="15">
        <v>9</v>
      </c>
      <c r="B19" s="39">
        <v>45747</v>
      </c>
      <c r="C19" s="39" t="s">
        <v>21</v>
      </c>
      <c r="D19" s="40">
        <v>247135803</v>
      </c>
      <c r="E19" s="41"/>
      <c r="F19" s="42" t="s">
        <v>39</v>
      </c>
      <c r="G19" s="44">
        <v>9990</v>
      </c>
      <c r="H19" s="43"/>
    </row>
    <row r="20" spans="1:8" ht="17.2" x14ac:dyDescent="0.45">
      <c r="A20" s="15">
        <v>10</v>
      </c>
      <c r="B20" s="39"/>
      <c r="C20" s="39"/>
      <c r="D20" s="40"/>
      <c r="E20" s="41"/>
      <c r="F20" s="42"/>
      <c r="G20" s="44"/>
      <c r="H20" s="43"/>
    </row>
    <row r="21" spans="1:8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8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8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8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8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8" ht="17.75" x14ac:dyDescent="0.45">
      <c r="A26" s="12"/>
      <c r="B26" s="16" t="s">
        <v>19</v>
      </c>
      <c r="C26" s="33"/>
      <c r="D26" s="17"/>
      <c r="E26" s="17"/>
      <c r="F26" s="17"/>
      <c r="G26" s="45">
        <f>SUM(G11:G25)</f>
        <v>62470</v>
      </c>
      <c r="H26" s="12"/>
    </row>
    <row r="27" spans="1:8" ht="17.75" x14ac:dyDescent="0.45">
      <c r="A27" s="12"/>
      <c r="B27" s="18"/>
      <c r="C27" s="18"/>
      <c r="D27" s="19"/>
      <c r="E27" s="19"/>
      <c r="F27" s="19"/>
      <c r="G27" s="20"/>
      <c r="H27" s="12"/>
    </row>
  </sheetData>
  <mergeCells count="6">
    <mergeCell ref="B8:D8"/>
    <mergeCell ref="C1:H1"/>
    <mergeCell ref="C2:H2"/>
    <mergeCell ref="B4:D4"/>
    <mergeCell ref="B6:D6"/>
    <mergeCell ref="B7:D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7"/>
  <sheetViews>
    <sheetView workbookViewId="0">
      <selection activeCell="E4" sqref="E4"/>
    </sheetView>
  </sheetViews>
  <sheetFormatPr baseColWidth="10" defaultRowHeight="14" x14ac:dyDescent="0.3"/>
  <cols>
    <col min="1" max="1" width="18.69921875" customWidth="1"/>
    <col min="2" max="2" width="17.3984375" customWidth="1"/>
    <col min="3" max="4" width="15.8984375" customWidth="1"/>
    <col min="5" max="5" width="10.8984375" customWidth="1"/>
    <col min="6" max="6" width="33" customWidth="1"/>
    <col min="7" max="7" width="20.296875" customWidth="1"/>
    <col min="8" max="8" width="14.296875" customWidth="1"/>
  </cols>
  <sheetData>
    <row r="1" spans="1:8" ht="24.2" x14ac:dyDescent="0.6">
      <c r="A1" s="2"/>
      <c r="B1" s="3"/>
      <c r="C1" s="48" t="s">
        <v>0</v>
      </c>
      <c r="D1" s="48"/>
      <c r="E1" s="48"/>
      <c r="F1" s="48"/>
      <c r="G1" s="48"/>
      <c r="H1" s="48"/>
    </row>
    <row r="2" spans="1:8" ht="24.2" x14ac:dyDescent="0.6">
      <c r="A2" s="2"/>
      <c r="B2" s="2"/>
      <c r="C2" s="48" t="s">
        <v>1</v>
      </c>
      <c r="D2" s="48"/>
      <c r="E2" s="48"/>
      <c r="F2" s="48"/>
      <c r="G2" s="48"/>
      <c r="H2" s="48"/>
    </row>
    <row r="3" spans="1:8" ht="31.7" x14ac:dyDescent="0.55000000000000004">
      <c r="A3" s="2"/>
      <c r="B3" s="3"/>
      <c r="C3" s="3"/>
      <c r="D3" s="4"/>
      <c r="E3" s="5"/>
      <c r="F3" s="24"/>
      <c r="G3" s="32" t="s">
        <v>2</v>
      </c>
      <c r="H3" s="27" t="s">
        <v>40</v>
      </c>
    </row>
    <row r="4" spans="1:8" ht="17.75" x14ac:dyDescent="0.45">
      <c r="A4" s="2"/>
      <c r="B4" s="49" t="s">
        <v>4</v>
      </c>
      <c r="C4" s="49"/>
      <c r="D4" s="49"/>
      <c r="E4" s="35">
        <f>+MARZO!H8</f>
        <v>79930</v>
      </c>
      <c r="F4" s="7"/>
      <c r="G4" s="31"/>
      <c r="H4" s="2"/>
    </row>
    <row r="5" spans="1:8" ht="17.75" x14ac:dyDescent="0.45">
      <c r="A5" s="2"/>
      <c r="B5" s="25" t="s">
        <v>5</v>
      </c>
      <c r="C5" s="25"/>
      <c r="D5" s="25"/>
      <c r="E5" s="35">
        <v>62470</v>
      </c>
      <c r="F5" s="7"/>
      <c r="G5" s="31"/>
      <c r="H5" s="2"/>
    </row>
    <row r="6" spans="1:8" ht="17.75" x14ac:dyDescent="0.45">
      <c r="A6" s="2"/>
      <c r="B6" s="49" t="s">
        <v>6</v>
      </c>
      <c r="C6" s="49"/>
      <c r="D6" s="49"/>
      <c r="E6" s="35">
        <v>0</v>
      </c>
      <c r="F6" s="7"/>
      <c r="G6" s="2"/>
      <c r="H6" s="2"/>
    </row>
    <row r="7" spans="1:8" ht="17.75" x14ac:dyDescent="0.45">
      <c r="A7" s="2"/>
      <c r="B7" s="50" t="s">
        <v>7</v>
      </c>
      <c r="C7" s="50"/>
      <c r="D7" s="50"/>
      <c r="E7" s="35">
        <f>SUM(E4:E6)</f>
        <v>142400</v>
      </c>
      <c r="F7" s="7"/>
      <c r="G7" s="26"/>
      <c r="H7" s="2"/>
    </row>
    <row r="8" spans="1:8" ht="17.75" x14ac:dyDescent="0.45">
      <c r="A8" s="2"/>
      <c r="B8" s="47" t="s">
        <v>8</v>
      </c>
      <c r="C8" s="47"/>
      <c r="D8" s="47"/>
      <c r="E8" s="38">
        <f>+G26</f>
        <v>32670</v>
      </c>
      <c r="F8" s="7"/>
      <c r="G8" s="29" t="s">
        <v>9</v>
      </c>
      <c r="H8" s="36">
        <f>E7-E8</f>
        <v>109730</v>
      </c>
    </row>
    <row r="9" spans="1:8" ht="24.2" x14ac:dyDescent="0.6">
      <c r="A9" s="1"/>
      <c r="B9" s="1"/>
      <c r="C9" s="1"/>
      <c r="D9" s="1"/>
      <c r="E9" s="10"/>
      <c r="F9" s="11"/>
      <c r="G9" s="9"/>
      <c r="H9" s="1"/>
    </row>
    <row r="10" spans="1:8" ht="69.05" customHeight="1" x14ac:dyDescent="0.3">
      <c r="A10" s="13" t="s">
        <v>10</v>
      </c>
      <c r="B10" s="14" t="s">
        <v>11</v>
      </c>
      <c r="C10" s="14" t="s">
        <v>12</v>
      </c>
      <c r="D10" s="14" t="s">
        <v>13</v>
      </c>
      <c r="E10" s="14" t="s">
        <v>14</v>
      </c>
      <c r="F10" s="30" t="s">
        <v>15</v>
      </c>
      <c r="G10" s="14" t="s">
        <v>16</v>
      </c>
      <c r="H10" s="34" t="s">
        <v>17</v>
      </c>
    </row>
    <row r="11" spans="1:8" ht="37.5" customHeight="1" x14ac:dyDescent="0.45">
      <c r="A11" s="15">
        <v>1</v>
      </c>
      <c r="B11" s="39">
        <v>45747</v>
      </c>
      <c r="C11" s="39" t="s">
        <v>21</v>
      </c>
      <c r="D11" s="40">
        <v>15343</v>
      </c>
      <c r="E11" s="41"/>
      <c r="F11" s="42" t="s">
        <v>28</v>
      </c>
      <c r="G11" s="44">
        <v>20000</v>
      </c>
      <c r="H11" s="43"/>
    </row>
    <row r="12" spans="1:8" ht="33.75" customHeight="1" x14ac:dyDescent="0.45">
      <c r="A12" s="15">
        <v>2</v>
      </c>
      <c r="B12" s="39">
        <v>45764</v>
      </c>
      <c r="C12" s="39" t="s">
        <v>37</v>
      </c>
      <c r="D12" s="40">
        <v>14</v>
      </c>
      <c r="E12" s="41"/>
      <c r="F12" s="42" t="s">
        <v>43</v>
      </c>
      <c r="G12" s="44">
        <v>2000</v>
      </c>
      <c r="H12" s="43"/>
    </row>
    <row r="13" spans="1:8" ht="39.799999999999997" customHeight="1" x14ac:dyDescent="0.45">
      <c r="A13" s="15">
        <v>3</v>
      </c>
      <c r="B13" s="39">
        <v>45765</v>
      </c>
      <c r="C13" s="39" t="s">
        <v>37</v>
      </c>
      <c r="D13" s="40">
        <v>15</v>
      </c>
      <c r="E13" s="41"/>
      <c r="F13" s="42" t="s">
        <v>43</v>
      </c>
      <c r="G13" s="44">
        <v>2000</v>
      </c>
      <c r="H13" s="43"/>
    </row>
    <row r="14" spans="1:8" ht="35.200000000000003" customHeight="1" x14ac:dyDescent="0.45">
      <c r="A14" s="15">
        <v>4</v>
      </c>
      <c r="B14" s="39">
        <v>45773</v>
      </c>
      <c r="C14" s="39" t="s">
        <v>21</v>
      </c>
      <c r="D14" s="40">
        <v>3057914719</v>
      </c>
      <c r="E14" s="41"/>
      <c r="F14" s="42" t="s">
        <v>41</v>
      </c>
      <c r="G14" s="44">
        <v>4680</v>
      </c>
      <c r="H14" s="43"/>
    </row>
    <row r="15" spans="1:8" ht="23.25" customHeight="1" x14ac:dyDescent="0.45">
      <c r="A15" s="15">
        <v>5</v>
      </c>
      <c r="B15" s="39">
        <v>45775</v>
      </c>
      <c r="C15" s="39" t="s">
        <v>21</v>
      </c>
      <c r="D15" s="40">
        <v>14451400</v>
      </c>
      <c r="E15" s="41"/>
      <c r="F15" s="42" t="s">
        <v>42</v>
      </c>
      <c r="G15" s="44">
        <v>3990</v>
      </c>
      <c r="H15" s="43"/>
    </row>
    <row r="16" spans="1:8" ht="24.75" customHeight="1" x14ac:dyDescent="0.45">
      <c r="A16" s="15">
        <v>6</v>
      </c>
      <c r="B16" s="39"/>
      <c r="C16" s="39"/>
      <c r="D16" s="40"/>
      <c r="E16" s="41"/>
      <c r="F16" s="42"/>
      <c r="G16" s="44"/>
      <c r="H16" s="43"/>
    </row>
    <row r="17" spans="1:8" ht="36" customHeight="1" x14ac:dyDescent="0.45">
      <c r="A17" s="15">
        <v>7</v>
      </c>
      <c r="B17" s="39"/>
      <c r="C17" s="39"/>
      <c r="D17" s="40"/>
      <c r="E17" s="41"/>
      <c r="F17" s="42"/>
      <c r="G17" s="44"/>
      <c r="H17" s="43"/>
    </row>
    <row r="18" spans="1:8" ht="31.6" customHeight="1" x14ac:dyDescent="0.45">
      <c r="A18" s="15">
        <v>8</v>
      </c>
      <c r="B18" s="39"/>
      <c r="C18" s="39"/>
      <c r="D18" s="40"/>
      <c r="E18" s="41"/>
      <c r="F18" s="42"/>
      <c r="G18" s="44"/>
      <c r="H18" s="43"/>
    </row>
    <row r="19" spans="1:8" ht="32.25" customHeight="1" x14ac:dyDescent="0.45">
      <c r="A19" s="15">
        <v>9</v>
      </c>
      <c r="B19" s="39"/>
      <c r="C19" s="39"/>
      <c r="D19" s="40"/>
      <c r="E19" s="41"/>
      <c r="F19" s="42"/>
      <c r="G19" s="44"/>
      <c r="H19" s="43"/>
    </row>
    <row r="20" spans="1:8" ht="17.2" x14ac:dyDescent="0.45">
      <c r="A20" s="15">
        <v>10</v>
      </c>
      <c r="B20" s="39"/>
      <c r="C20" s="39"/>
      <c r="D20" s="40"/>
      <c r="E20" s="41"/>
      <c r="F20" s="42"/>
      <c r="G20" s="44"/>
      <c r="H20" s="43"/>
    </row>
    <row r="21" spans="1:8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8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8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8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8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8" ht="17.75" x14ac:dyDescent="0.45">
      <c r="A26" s="12"/>
      <c r="B26" s="16" t="s">
        <v>19</v>
      </c>
      <c r="C26" s="33"/>
      <c r="D26" s="17"/>
      <c r="E26" s="17"/>
      <c r="F26" s="17"/>
      <c r="G26" s="45">
        <f>SUM(G11:G25)</f>
        <v>32670</v>
      </c>
      <c r="H26" s="12"/>
    </row>
    <row r="27" spans="1:8" ht="17.75" x14ac:dyDescent="0.45">
      <c r="A27" s="12"/>
      <c r="B27" s="18"/>
      <c r="C27" s="18"/>
      <c r="D27" s="19"/>
      <c r="E27" s="19"/>
      <c r="F27" s="19"/>
      <c r="G27" s="20"/>
      <c r="H27" s="12"/>
    </row>
  </sheetData>
  <mergeCells count="6">
    <mergeCell ref="B8:D8"/>
    <mergeCell ref="C1:H1"/>
    <mergeCell ref="C2:H2"/>
    <mergeCell ref="B4:D4"/>
    <mergeCell ref="B6:D6"/>
    <mergeCell ref="B7:D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7"/>
  <sheetViews>
    <sheetView workbookViewId="0">
      <selection activeCell="E4" sqref="E4"/>
    </sheetView>
  </sheetViews>
  <sheetFormatPr baseColWidth="10" defaultRowHeight="14" x14ac:dyDescent="0.3"/>
  <cols>
    <col min="1" max="1" width="18.69921875" customWidth="1"/>
    <col min="2" max="2" width="17.3984375" customWidth="1"/>
    <col min="3" max="4" width="15.8984375" customWidth="1"/>
    <col min="5" max="5" width="10.8984375" customWidth="1"/>
    <col min="6" max="6" width="33" customWidth="1"/>
    <col min="7" max="7" width="20.296875" customWidth="1"/>
    <col min="8" max="8" width="14.296875" customWidth="1"/>
  </cols>
  <sheetData>
    <row r="1" spans="1:8" ht="24.2" x14ac:dyDescent="0.6">
      <c r="A1" s="2"/>
      <c r="B1" s="3"/>
      <c r="C1" s="48" t="s">
        <v>0</v>
      </c>
      <c r="D1" s="48"/>
      <c r="E1" s="48"/>
      <c r="F1" s="48"/>
      <c r="G1" s="48"/>
      <c r="H1" s="48"/>
    </row>
    <row r="2" spans="1:8" ht="24.2" x14ac:dyDescent="0.6">
      <c r="A2" s="2"/>
      <c r="B2" s="2"/>
      <c r="C2" s="48" t="s">
        <v>1</v>
      </c>
      <c r="D2" s="48"/>
      <c r="E2" s="48"/>
      <c r="F2" s="48"/>
      <c r="G2" s="48"/>
      <c r="H2" s="48"/>
    </row>
    <row r="3" spans="1:8" ht="31.7" x14ac:dyDescent="0.55000000000000004">
      <c r="A3" s="2"/>
      <c r="B3" s="3"/>
      <c r="C3" s="3"/>
      <c r="D3" s="4"/>
      <c r="E3" s="5"/>
      <c r="F3" s="24"/>
      <c r="G3" s="32" t="s">
        <v>2</v>
      </c>
      <c r="H3" s="27" t="s">
        <v>44</v>
      </c>
    </row>
    <row r="4" spans="1:8" ht="17.75" x14ac:dyDescent="0.45">
      <c r="A4" s="2"/>
      <c r="B4" s="49" t="s">
        <v>4</v>
      </c>
      <c r="C4" s="49"/>
      <c r="D4" s="49"/>
      <c r="E4" s="35">
        <f>+ABRIL!H8</f>
        <v>109730</v>
      </c>
      <c r="F4" s="7"/>
      <c r="G4" s="31"/>
      <c r="H4" s="2"/>
    </row>
    <row r="5" spans="1:8" ht="17.75" x14ac:dyDescent="0.45">
      <c r="A5" s="2"/>
      <c r="B5" s="25" t="s">
        <v>5</v>
      </c>
      <c r="C5" s="25"/>
      <c r="D5" s="25"/>
      <c r="E5" s="35">
        <v>32670</v>
      </c>
      <c r="F5" s="7"/>
      <c r="G5" s="31"/>
      <c r="H5" s="2"/>
    </row>
    <row r="6" spans="1:8" ht="17.75" x14ac:dyDescent="0.45">
      <c r="A6" s="2"/>
      <c r="B6" s="49" t="s">
        <v>6</v>
      </c>
      <c r="C6" s="49"/>
      <c r="D6" s="49"/>
      <c r="E6" s="35">
        <v>0</v>
      </c>
      <c r="F6" s="7"/>
      <c r="G6" s="2"/>
      <c r="H6" s="2"/>
    </row>
    <row r="7" spans="1:8" ht="17.75" x14ac:dyDescent="0.45">
      <c r="A7" s="2"/>
      <c r="B7" s="50" t="s">
        <v>7</v>
      </c>
      <c r="C7" s="50"/>
      <c r="D7" s="50"/>
      <c r="E7" s="35">
        <f>SUM(E4:E6)</f>
        <v>142400</v>
      </c>
      <c r="F7" s="7"/>
      <c r="G7" s="26"/>
      <c r="H7" s="2"/>
    </row>
    <row r="8" spans="1:8" ht="17.75" x14ac:dyDescent="0.45">
      <c r="A8" s="2"/>
      <c r="B8" s="47" t="s">
        <v>8</v>
      </c>
      <c r="C8" s="47"/>
      <c r="D8" s="47"/>
      <c r="E8" s="38">
        <f>+G26</f>
        <v>39550</v>
      </c>
      <c r="F8" s="7"/>
      <c r="G8" s="29" t="s">
        <v>9</v>
      </c>
      <c r="H8" s="36">
        <f>E7-E8</f>
        <v>102850</v>
      </c>
    </row>
    <row r="9" spans="1:8" ht="24.2" x14ac:dyDescent="0.6">
      <c r="A9" s="1"/>
      <c r="B9" s="1"/>
      <c r="C9" s="1"/>
      <c r="D9" s="1"/>
      <c r="E9" s="10"/>
      <c r="F9" s="11"/>
      <c r="G9" s="9"/>
      <c r="H9" s="1"/>
    </row>
    <row r="10" spans="1:8" ht="69.05" customHeight="1" x14ac:dyDescent="0.3">
      <c r="A10" s="13" t="s">
        <v>10</v>
      </c>
      <c r="B10" s="14" t="s">
        <v>11</v>
      </c>
      <c r="C10" s="14" t="s">
        <v>12</v>
      </c>
      <c r="D10" s="14" t="s">
        <v>13</v>
      </c>
      <c r="E10" s="14" t="s">
        <v>14</v>
      </c>
      <c r="F10" s="30" t="s">
        <v>15</v>
      </c>
      <c r="G10" s="14" t="s">
        <v>16</v>
      </c>
      <c r="H10" s="34" t="s">
        <v>17</v>
      </c>
    </row>
    <row r="11" spans="1:8" ht="37.5" customHeight="1" x14ac:dyDescent="0.45">
      <c r="A11" s="15">
        <v>1</v>
      </c>
      <c r="B11" s="39">
        <v>45779</v>
      </c>
      <c r="C11" s="39" t="s">
        <v>21</v>
      </c>
      <c r="D11" s="40">
        <v>3061564786</v>
      </c>
      <c r="E11" s="41"/>
      <c r="F11" s="42" t="s">
        <v>41</v>
      </c>
      <c r="G11" s="44">
        <v>5320</v>
      </c>
      <c r="H11" s="43"/>
    </row>
    <row r="12" spans="1:8" ht="33.75" customHeight="1" x14ac:dyDescent="0.45">
      <c r="A12" s="15">
        <v>2</v>
      </c>
      <c r="B12" s="39">
        <v>45784</v>
      </c>
      <c r="C12" s="39" t="s">
        <v>21</v>
      </c>
      <c r="D12" s="40">
        <v>15606</v>
      </c>
      <c r="E12" s="41"/>
      <c r="F12" s="42" t="s">
        <v>28</v>
      </c>
      <c r="G12" s="44">
        <v>15000</v>
      </c>
      <c r="H12" s="43"/>
    </row>
    <row r="13" spans="1:8" ht="39.799999999999997" customHeight="1" x14ac:dyDescent="0.45">
      <c r="A13" s="15">
        <v>3</v>
      </c>
      <c r="B13" s="39">
        <v>45790</v>
      </c>
      <c r="C13" s="39" t="s">
        <v>21</v>
      </c>
      <c r="D13" s="40">
        <v>39563255</v>
      </c>
      <c r="E13" s="41"/>
      <c r="F13" s="42" t="s">
        <v>41</v>
      </c>
      <c r="G13" s="44">
        <v>3390</v>
      </c>
      <c r="H13" s="43"/>
    </row>
    <row r="14" spans="1:8" ht="35.200000000000003" customHeight="1" x14ac:dyDescent="0.45">
      <c r="A14" s="15">
        <v>4</v>
      </c>
      <c r="B14" s="39">
        <v>45790</v>
      </c>
      <c r="C14" s="39" t="s">
        <v>21</v>
      </c>
      <c r="D14" s="40">
        <v>246357847</v>
      </c>
      <c r="E14" s="41"/>
      <c r="F14" s="42" t="s">
        <v>45</v>
      </c>
      <c r="G14" s="44">
        <v>4570</v>
      </c>
      <c r="H14" s="43"/>
    </row>
    <row r="15" spans="1:8" ht="47.3" customHeight="1" x14ac:dyDescent="0.45">
      <c r="A15" s="15">
        <v>5</v>
      </c>
      <c r="B15" s="39">
        <v>45790</v>
      </c>
      <c r="C15" s="39" t="s">
        <v>37</v>
      </c>
      <c r="D15" s="40">
        <v>16</v>
      </c>
      <c r="E15" s="41"/>
      <c r="F15" s="42" t="s">
        <v>46</v>
      </c>
      <c r="G15" s="44">
        <v>2000</v>
      </c>
      <c r="H15" s="43"/>
    </row>
    <row r="16" spans="1:8" ht="38.950000000000003" customHeight="1" x14ac:dyDescent="0.45">
      <c r="A16" s="15">
        <v>6</v>
      </c>
      <c r="B16" s="39">
        <v>45793</v>
      </c>
      <c r="C16" s="39" t="s">
        <v>37</v>
      </c>
      <c r="D16" s="40">
        <v>17</v>
      </c>
      <c r="E16" s="41"/>
      <c r="F16" s="42" t="s">
        <v>47</v>
      </c>
      <c r="G16" s="44">
        <v>2000</v>
      </c>
      <c r="H16" s="43"/>
    </row>
    <row r="17" spans="1:8" ht="36" customHeight="1" x14ac:dyDescent="0.45">
      <c r="A17" s="15">
        <v>7</v>
      </c>
      <c r="B17" s="39">
        <v>45800</v>
      </c>
      <c r="C17" s="39" t="s">
        <v>21</v>
      </c>
      <c r="D17" s="40">
        <v>3083261761</v>
      </c>
      <c r="E17" s="41"/>
      <c r="F17" s="42" t="s">
        <v>41</v>
      </c>
      <c r="G17" s="44">
        <v>3880</v>
      </c>
      <c r="H17" s="43"/>
    </row>
    <row r="18" spans="1:8" ht="39.799999999999997" customHeight="1" x14ac:dyDescent="0.45">
      <c r="A18" s="15">
        <v>8</v>
      </c>
      <c r="B18" s="39">
        <v>45807</v>
      </c>
      <c r="C18" s="39" t="s">
        <v>21</v>
      </c>
      <c r="D18" s="40">
        <v>43316111</v>
      </c>
      <c r="E18" s="41"/>
      <c r="F18" s="42" t="s">
        <v>41</v>
      </c>
      <c r="G18" s="44">
        <v>3390</v>
      </c>
      <c r="H18" s="43"/>
    </row>
    <row r="19" spans="1:8" ht="32.25" customHeight="1" x14ac:dyDescent="0.45">
      <c r="A19" s="15">
        <v>9</v>
      </c>
      <c r="B19" s="39"/>
      <c r="C19" s="39"/>
      <c r="D19" s="40"/>
      <c r="E19" s="41"/>
      <c r="F19" s="42"/>
      <c r="G19" s="44"/>
      <c r="H19" s="43"/>
    </row>
    <row r="20" spans="1:8" ht="17.2" x14ac:dyDescent="0.45">
      <c r="A20" s="15">
        <v>10</v>
      </c>
      <c r="B20" s="39"/>
      <c r="C20" s="39"/>
      <c r="D20" s="40"/>
      <c r="E20" s="41"/>
      <c r="F20" s="42"/>
      <c r="G20" s="44"/>
      <c r="H20" s="43"/>
    </row>
    <row r="21" spans="1:8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8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8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8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8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8" ht="17.75" x14ac:dyDescent="0.45">
      <c r="A26" s="12"/>
      <c r="B26" s="16" t="s">
        <v>19</v>
      </c>
      <c r="C26" s="33"/>
      <c r="D26" s="17"/>
      <c r="E26" s="17"/>
      <c r="F26" s="17"/>
      <c r="G26" s="45">
        <f>SUM(G11:G25)</f>
        <v>39550</v>
      </c>
      <c r="H26" s="12"/>
    </row>
    <row r="27" spans="1:8" ht="17.75" x14ac:dyDescent="0.45">
      <c r="A27" s="12"/>
      <c r="B27" s="18"/>
      <c r="C27" s="18"/>
      <c r="D27" s="19"/>
      <c r="E27" s="19"/>
      <c r="F27" s="19"/>
      <c r="G27" s="20"/>
      <c r="H27" s="12"/>
    </row>
  </sheetData>
  <mergeCells count="6">
    <mergeCell ref="B8:D8"/>
    <mergeCell ref="C1:H1"/>
    <mergeCell ref="C2:H2"/>
    <mergeCell ref="B4:D4"/>
    <mergeCell ref="B6:D6"/>
    <mergeCell ref="B7:D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7"/>
  <sheetViews>
    <sheetView workbookViewId="0">
      <selection activeCell="E4" sqref="E4"/>
    </sheetView>
  </sheetViews>
  <sheetFormatPr baseColWidth="10" defaultRowHeight="14" x14ac:dyDescent="0.3"/>
  <cols>
    <col min="1" max="1" width="18.69921875" customWidth="1"/>
    <col min="2" max="2" width="17.3984375" customWidth="1"/>
    <col min="3" max="4" width="15.8984375" customWidth="1"/>
    <col min="5" max="5" width="10.8984375" customWidth="1"/>
    <col min="6" max="6" width="33" customWidth="1"/>
    <col min="7" max="7" width="20.296875" customWidth="1"/>
    <col min="8" max="8" width="14.296875" customWidth="1"/>
  </cols>
  <sheetData>
    <row r="1" spans="1:8" ht="24.2" x14ac:dyDescent="0.6">
      <c r="A1" s="2"/>
      <c r="B1" s="3"/>
      <c r="C1" s="48" t="s">
        <v>0</v>
      </c>
      <c r="D1" s="48"/>
      <c r="E1" s="48"/>
      <c r="F1" s="48"/>
      <c r="G1" s="48"/>
      <c r="H1" s="48"/>
    </row>
    <row r="2" spans="1:8" ht="24.2" x14ac:dyDescent="0.6">
      <c r="A2" s="2"/>
      <c r="B2" s="2"/>
      <c r="C2" s="48" t="s">
        <v>1</v>
      </c>
      <c r="D2" s="48"/>
      <c r="E2" s="48"/>
      <c r="F2" s="48"/>
      <c r="G2" s="48"/>
      <c r="H2" s="48"/>
    </row>
    <row r="3" spans="1:8" ht="31.7" x14ac:dyDescent="0.55000000000000004">
      <c r="A3" s="2"/>
      <c r="B3" s="3"/>
      <c r="C3" s="3"/>
      <c r="D3" s="4"/>
      <c r="E3" s="5"/>
      <c r="F3" s="24"/>
      <c r="G3" s="32" t="s">
        <v>2</v>
      </c>
      <c r="H3" s="27" t="s">
        <v>48</v>
      </c>
    </row>
    <row r="4" spans="1:8" ht="17.75" x14ac:dyDescent="0.45">
      <c r="A4" s="2"/>
      <c r="B4" s="49" t="s">
        <v>4</v>
      </c>
      <c r="C4" s="49"/>
      <c r="D4" s="49"/>
      <c r="E4" s="35">
        <f>+MAYO!H8</f>
        <v>102850</v>
      </c>
      <c r="F4" s="7"/>
      <c r="G4" s="31"/>
      <c r="H4" s="2"/>
    </row>
    <row r="5" spans="1:8" ht="17.75" x14ac:dyDescent="0.45">
      <c r="A5" s="2"/>
      <c r="B5" s="25" t="s">
        <v>5</v>
      </c>
      <c r="C5" s="25"/>
      <c r="D5" s="25"/>
      <c r="E5" s="35">
        <v>39550</v>
      </c>
      <c r="F5" s="7"/>
      <c r="G5" s="31"/>
      <c r="H5" s="2"/>
    </row>
    <row r="6" spans="1:8" ht="17.75" x14ac:dyDescent="0.45">
      <c r="A6" s="2"/>
      <c r="B6" s="49" t="s">
        <v>6</v>
      </c>
      <c r="C6" s="49"/>
      <c r="D6" s="49"/>
      <c r="E6" s="35">
        <v>0</v>
      </c>
      <c r="F6" s="7"/>
      <c r="G6" s="2"/>
      <c r="H6" s="2"/>
    </row>
    <row r="7" spans="1:8" ht="17.75" x14ac:dyDescent="0.45">
      <c r="A7" s="2"/>
      <c r="B7" s="50" t="s">
        <v>7</v>
      </c>
      <c r="C7" s="50"/>
      <c r="D7" s="50"/>
      <c r="E7" s="35">
        <f>SUM(E4:E6)</f>
        <v>142400</v>
      </c>
      <c r="F7" s="7"/>
      <c r="G7" s="26"/>
      <c r="H7" s="2"/>
    </row>
    <row r="8" spans="1:8" ht="17.75" x14ac:dyDescent="0.45">
      <c r="A8" s="2"/>
      <c r="B8" s="47" t="s">
        <v>8</v>
      </c>
      <c r="C8" s="47"/>
      <c r="D8" s="47"/>
      <c r="E8" s="38">
        <f>+G26</f>
        <v>40538</v>
      </c>
      <c r="F8" s="7"/>
      <c r="G8" s="29" t="s">
        <v>9</v>
      </c>
      <c r="H8" s="36">
        <f>E7-E8</f>
        <v>101862</v>
      </c>
    </row>
    <row r="9" spans="1:8" ht="24.2" x14ac:dyDescent="0.6">
      <c r="A9" s="1"/>
      <c r="B9" s="1"/>
      <c r="C9" s="1"/>
      <c r="D9" s="1"/>
      <c r="E9" s="10"/>
      <c r="F9" s="11"/>
      <c r="G9" s="9"/>
      <c r="H9" s="1"/>
    </row>
    <row r="10" spans="1:8" ht="69.05" customHeight="1" x14ac:dyDescent="0.3">
      <c r="A10" s="13" t="s">
        <v>10</v>
      </c>
      <c r="B10" s="14" t="s">
        <v>11</v>
      </c>
      <c r="C10" s="14" t="s">
        <v>12</v>
      </c>
      <c r="D10" s="14" t="s">
        <v>13</v>
      </c>
      <c r="E10" s="14" t="s">
        <v>14</v>
      </c>
      <c r="F10" s="30" t="s">
        <v>15</v>
      </c>
      <c r="G10" s="14" t="s">
        <v>16</v>
      </c>
      <c r="H10" s="34" t="s">
        <v>17</v>
      </c>
    </row>
    <row r="11" spans="1:8" ht="37.5" customHeight="1" x14ac:dyDescent="0.45">
      <c r="A11" s="15">
        <v>1</v>
      </c>
      <c r="B11" s="39">
        <v>45807</v>
      </c>
      <c r="C11" s="39" t="s">
        <v>21</v>
      </c>
      <c r="D11" s="40">
        <v>15708</v>
      </c>
      <c r="E11" s="41"/>
      <c r="F11" s="42" t="s">
        <v>28</v>
      </c>
      <c r="G11" s="44">
        <v>20000</v>
      </c>
      <c r="H11" s="43"/>
    </row>
    <row r="12" spans="1:8" ht="33.75" customHeight="1" x14ac:dyDescent="0.45">
      <c r="A12" s="15">
        <v>2</v>
      </c>
      <c r="B12" s="39">
        <v>45812</v>
      </c>
      <c r="C12" s="39" t="s">
        <v>37</v>
      </c>
      <c r="D12" s="40">
        <v>18</v>
      </c>
      <c r="E12" s="41"/>
      <c r="F12" s="42" t="s">
        <v>49</v>
      </c>
      <c r="G12" s="44">
        <v>2000</v>
      </c>
      <c r="H12" s="43"/>
    </row>
    <row r="13" spans="1:8" ht="39.799999999999997" customHeight="1" x14ac:dyDescent="0.45">
      <c r="A13" s="15">
        <v>3</v>
      </c>
      <c r="B13" s="39">
        <v>45815</v>
      </c>
      <c r="C13" s="39" t="s">
        <v>21</v>
      </c>
      <c r="D13" s="40">
        <v>16058733</v>
      </c>
      <c r="E13" s="41"/>
      <c r="F13" s="42" t="s">
        <v>50</v>
      </c>
      <c r="G13" s="44">
        <v>2990</v>
      </c>
      <c r="H13" s="43"/>
    </row>
    <row r="14" spans="1:8" ht="35.200000000000003" customHeight="1" x14ac:dyDescent="0.45">
      <c r="A14" s="15">
        <v>4</v>
      </c>
      <c r="B14" s="39">
        <v>45817</v>
      </c>
      <c r="C14" s="39" t="s">
        <v>37</v>
      </c>
      <c r="D14" s="40">
        <v>19</v>
      </c>
      <c r="E14" s="41"/>
      <c r="F14" s="42" t="s">
        <v>49</v>
      </c>
      <c r="G14" s="44">
        <v>2000</v>
      </c>
      <c r="H14" s="43"/>
    </row>
    <row r="15" spans="1:8" ht="47.3" customHeight="1" x14ac:dyDescent="0.45">
      <c r="A15" s="15">
        <v>5</v>
      </c>
      <c r="B15" s="39">
        <v>45821</v>
      </c>
      <c r="C15" s="39" t="s">
        <v>37</v>
      </c>
      <c r="D15" s="40">
        <v>20</v>
      </c>
      <c r="E15" s="41"/>
      <c r="F15" s="42" t="s">
        <v>49</v>
      </c>
      <c r="G15" s="44">
        <v>2000</v>
      </c>
      <c r="H15" s="43"/>
    </row>
    <row r="16" spans="1:8" ht="38.950000000000003" customHeight="1" x14ac:dyDescent="0.45">
      <c r="A16" s="15">
        <v>6</v>
      </c>
      <c r="B16" s="39">
        <v>45823</v>
      </c>
      <c r="C16" s="39" t="s">
        <v>37</v>
      </c>
      <c r="D16" s="40">
        <v>22</v>
      </c>
      <c r="E16" s="41"/>
      <c r="F16" s="42" t="s">
        <v>49</v>
      </c>
      <c r="G16" s="44">
        <v>1000</v>
      </c>
      <c r="H16" s="43"/>
    </row>
    <row r="17" spans="1:8" ht="36" customHeight="1" x14ac:dyDescent="0.45">
      <c r="A17" s="15">
        <v>7</v>
      </c>
      <c r="B17" s="39">
        <v>45831</v>
      </c>
      <c r="C17" s="39" t="s">
        <v>37</v>
      </c>
      <c r="D17" s="40">
        <v>23</v>
      </c>
      <c r="E17" s="41"/>
      <c r="F17" s="42" t="s">
        <v>49</v>
      </c>
      <c r="G17" s="44">
        <v>2000</v>
      </c>
      <c r="H17" s="43"/>
    </row>
    <row r="18" spans="1:8" ht="39.799999999999997" customHeight="1" x14ac:dyDescent="0.45">
      <c r="A18" s="15">
        <v>8</v>
      </c>
      <c r="B18" s="39">
        <v>45835</v>
      </c>
      <c r="C18" s="39" t="s">
        <v>21</v>
      </c>
      <c r="D18" s="40">
        <v>3108890925</v>
      </c>
      <c r="E18" s="41"/>
      <c r="F18" s="42" t="s">
        <v>41</v>
      </c>
      <c r="G18" s="44">
        <v>4858</v>
      </c>
      <c r="H18" s="43"/>
    </row>
    <row r="19" spans="1:8" ht="32.25" customHeight="1" x14ac:dyDescent="0.45">
      <c r="A19" s="15">
        <v>9</v>
      </c>
      <c r="B19" s="39">
        <v>45835</v>
      </c>
      <c r="C19" s="39" t="s">
        <v>21</v>
      </c>
      <c r="D19" s="40">
        <v>3108890926</v>
      </c>
      <c r="E19" s="41"/>
      <c r="F19" s="42" t="s">
        <v>51</v>
      </c>
      <c r="G19" s="44">
        <v>3690</v>
      </c>
      <c r="H19" s="43"/>
    </row>
    <row r="20" spans="1:8" ht="17.2" x14ac:dyDescent="0.45">
      <c r="A20" s="15">
        <v>10</v>
      </c>
      <c r="B20" s="39"/>
      <c r="C20" s="39"/>
      <c r="D20" s="40"/>
      <c r="E20" s="41"/>
      <c r="F20" s="42"/>
      <c r="G20" s="44"/>
      <c r="H20" s="43"/>
    </row>
    <row r="21" spans="1:8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8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8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8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8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8" ht="17.75" x14ac:dyDescent="0.45">
      <c r="A26" s="12"/>
      <c r="B26" s="16" t="s">
        <v>19</v>
      </c>
      <c r="C26" s="33"/>
      <c r="D26" s="17"/>
      <c r="E26" s="17"/>
      <c r="F26" s="17"/>
      <c r="G26" s="45">
        <f>SUM(G11:G25)</f>
        <v>40538</v>
      </c>
      <c r="H26" s="12"/>
    </row>
    <row r="27" spans="1:8" ht="17.75" x14ac:dyDescent="0.45">
      <c r="A27" s="12"/>
      <c r="B27" s="18"/>
      <c r="C27" s="18"/>
      <c r="D27" s="19"/>
      <c r="E27" s="19"/>
      <c r="F27" s="19"/>
      <c r="G27" s="20"/>
      <c r="H27" s="12"/>
    </row>
  </sheetData>
  <mergeCells count="6">
    <mergeCell ref="B8:D8"/>
    <mergeCell ref="C1:H1"/>
    <mergeCell ref="C2:H2"/>
    <mergeCell ref="B4:D4"/>
    <mergeCell ref="B6:D6"/>
    <mergeCell ref="B7:D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44"/>
  <sheetViews>
    <sheetView zoomScale="90" zoomScaleNormal="90" workbookViewId="0">
      <selection activeCell="E4" sqref="E4"/>
    </sheetView>
  </sheetViews>
  <sheetFormatPr baseColWidth="10" defaultColWidth="11.3984375" defaultRowHeight="14.55" x14ac:dyDescent="0.35"/>
  <cols>
    <col min="1" max="1" width="3.69921875" style="2" bestFit="1" customWidth="1"/>
    <col min="2" max="2" width="14.09765625" style="3" bestFit="1" customWidth="1"/>
    <col min="3" max="3" width="19.8984375" style="3" customWidth="1"/>
    <col min="4" max="4" width="15.09765625" style="23" customWidth="1"/>
    <col min="5" max="5" width="14.69921875" style="5" customWidth="1"/>
    <col min="6" max="6" width="45.29687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48" t="s">
        <v>0</v>
      </c>
      <c r="D1" s="48"/>
      <c r="E1" s="48"/>
      <c r="F1" s="48"/>
      <c r="G1" s="48"/>
      <c r="H1" s="48"/>
    </row>
    <row r="2" spans="1:15" ht="38.950000000000003" customHeight="1" x14ac:dyDescent="0.6">
      <c r="B2" s="2"/>
      <c r="C2" s="48" t="s">
        <v>1</v>
      </c>
      <c r="D2" s="48"/>
      <c r="E2" s="48"/>
      <c r="F2" s="48"/>
      <c r="G2" s="48"/>
      <c r="H2" s="48"/>
    </row>
    <row r="3" spans="1:15" ht="24.05" customHeight="1" x14ac:dyDescent="0.55000000000000004">
      <c r="D3" s="4"/>
      <c r="F3" s="24"/>
      <c r="G3" s="32" t="s">
        <v>2</v>
      </c>
      <c r="H3" s="27" t="s">
        <v>3</v>
      </c>
    </row>
    <row r="4" spans="1:15" ht="17.75" x14ac:dyDescent="0.45">
      <c r="B4" s="49" t="s">
        <v>4</v>
      </c>
      <c r="C4" s="49"/>
      <c r="D4" s="49"/>
      <c r="E4" s="35">
        <v>59462</v>
      </c>
      <c r="F4" s="7"/>
      <c r="G4" s="31"/>
    </row>
    <row r="5" spans="1:15" ht="17.75" x14ac:dyDescent="0.45">
      <c r="B5" s="25" t="s">
        <v>5</v>
      </c>
      <c r="C5" s="25"/>
      <c r="D5" s="25"/>
      <c r="E5" s="35">
        <v>40538</v>
      </c>
      <c r="F5" s="7"/>
      <c r="G5" s="31"/>
    </row>
    <row r="6" spans="1:15" ht="17.75" x14ac:dyDescent="0.45">
      <c r="B6" s="49" t="s">
        <v>6</v>
      </c>
      <c r="C6" s="49"/>
      <c r="D6" s="49"/>
      <c r="E6" s="35">
        <v>0</v>
      </c>
      <c r="F6" s="7"/>
    </row>
    <row r="7" spans="1:15" ht="17.75" x14ac:dyDescent="0.45">
      <c r="B7" s="50" t="s">
        <v>7</v>
      </c>
      <c r="C7" s="50"/>
      <c r="D7" s="50"/>
      <c r="E7" s="35">
        <f>SUM(E4:E6)</f>
        <v>100000</v>
      </c>
      <c r="F7" s="7"/>
      <c r="G7" s="26"/>
    </row>
    <row r="8" spans="1:15" ht="17.75" x14ac:dyDescent="0.45">
      <c r="B8" s="47" t="s">
        <v>8</v>
      </c>
      <c r="C8" s="47"/>
      <c r="D8" s="47"/>
      <c r="E8" s="38">
        <f>+G26</f>
        <v>35356</v>
      </c>
      <c r="F8" s="7"/>
      <c r="G8" s="29" t="s">
        <v>9</v>
      </c>
      <c r="H8" s="36">
        <f>E7-E8</f>
        <v>64644</v>
      </c>
    </row>
    <row r="9" spans="1:15" s="1" customFormat="1" ht="24.2" x14ac:dyDescent="0.6">
      <c r="E9" s="10"/>
      <c r="F9" s="11"/>
      <c r="G9" s="9"/>
    </row>
    <row r="10" spans="1:15" s="9" customFormat="1" ht="88.7" x14ac:dyDescent="0.45">
      <c r="A10" s="13" t="s">
        <v>10</v>
      </c>
      <c r="B10" s="14" t="s">
        <v>11</v>
      </c>
      <c r="C10" s="14" t="s">
        <v>12</v>
      </c>
      <c r="D10" s="14" t="s">
        <v>13</v>
      </c>
      <c r="E10" s="14" t="s">
        <v>14</v>
      </c>
      <c r="F10" s="30" t="s">
        <v>15</v>
      </c>
      <c r="G10" s="14" t="s">
        <v>16</v>
      </c>
      <c r="H10" s="34" t="s">
        <v>17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45842</v>
      </c>
      <c r="C11" s="39" t="s">
        <v>21</v>
      </c>
      <c r="D11" s="40">
        <v>3121016001</v>
      </c>
      <c r="E11" s="41" t="s">
        <v>18</v>
      </c>
      <c r="F11" s="42" t="s">
        <v>52</v>
      </c>
      <c r="G11" s="44">
        <v>5220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45849</v>
      </c>
      <c r="C12" s="39" t="s">
        <v>21</v>
      </c>
      <c r="D12" s="40">
        <v>3125528771</v>
      </c>
      <c r="E12" s="41" t="s">
        <v>18</v>
      </c>
      <c r="F12" s="42" t="s">
        <v>52</v>
      </c>
      <c r="G12" s="44">
        <v>4600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45852</v>
      </c>
      <c r="C13" s="39" t="s">
        <v>21</v>
      </c>
      <c r="D13" s="40">
        <v>16014</v>
      </c>
      <c r="E13" s="41" t="s">
        <v>18</v>
      </c>
      <c r="F13" s="42" t="s">
        <v>28</v>
      </c>
      <c r="G13" s="44">
        <v>15546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45852</v>
      </c>
      <c r="C14" s="39" t="s">
        <v>37</v>
      </c>
      <c r="D14" s="40">
        <v>24</v>
      </c>
      <c r="E14" s="41"/>
      <c r="F14" s="42" t="s">
        <v>49</v>
      </c>
      <c r="G14" s="44">
        <v>2000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>
        <v>45855</v>
      </c>
      <c r="C15" s="39" t="s">
        <v>37</v>
      </c>
      <c r="D15" s="40">
        <v>25</v>
      </c>
      <c r="E15" s="41"/>
      <c r="F15" s="42" t="s">
        <v>49</v>
      </c>
      <c r="G15" s="44">
        <v>1000</v>
      </c>
      <c r="H15" s="43"/>
      <c r="I15" s="12"/>
      <c r="J15" s="12"/>
      <c r="K15" s="12"/>
      <c r="L15" s="12"/>
      <c r="M15" s="12"/>
      <c r="N15" s="12"/>
      <c r="O15" s="12"/>
    </row>
    <row r="16" spans="1:15" ht="34.4" x14ac:dyDescent="0.45">
      <c r="A16" s="15">
        <v>6</v>
      </c>
      <c r="B16" s="39">
        <v>45857</v>
      </c>
      <c r="C16" s="39" t="s">
        <v>21</v>
      </c>
      <c r="D16" s="40">
        <v>3132966218</v>
      </c>
      <c r="E16" s="41"/>
      <c r="F16" s="42" t="s">
        <v>53</v>
      </c>
      <c r="G16" s="44">
        <v>6990</v>
      </c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19</v>
      </c>
      <c r="C26" s="33"/>
      <c r="D26" s="17"/>
      <c r="E26" s="17"/>
      <c r="F26" s="17"/>
      <c r="G26" s="45">
        <f>SUM(G11:G25)</f>
        <v>35356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49"/>
      <c r="C29" s="49"/>
      <c r="D29" s="51"/>
      <c r="E29" s="52"/>
      <c r="F29" s="53"/>
    </row>
    <row r="30" spans="1:15" ht="17.75" x14ac:dyDescent="0.45">
      <c r="B30" s="54"/>
      <c r="C30" s="54"/>
      <c r="D30" s="55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8:D8"/>
    <mergeCell ref="B29:D29"/>
    <mergeCell ref="E29:F29"/>
    <mergeCell ref="B30:D30"/>
    <mergeCell ref="C1:H1"/>
    <mergeCell ref="C2:H2"/>
    <mergeCell ref="B4:D4"/>
    <mergeCell ref="B6:D6"/>
    <mergeCell ref="B7:D7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44"/>
  <sheetViews>
    <sheetView topLeftCell="A10" zoomScale="90" zoomScaleNormal="90" workbookViewId="0">
      <selection activeCell="L14" sqref="L14"/>
    </sheetView>
  </sheetViews>
  <sheetFormatPr baseColWidth="10" defaultColWidth="11.3984375" defaultRowHeight="14.55" x14ac:dyDescent="0.35"/>
  <cols>
    <col min="1" max="1" width="3.69921875" style="2" bestFit="1" customWidth="1"/>
    <col min="2" max="2" width="14.09765625" style="3" bestFit="1" customWidth="1"/>
    <col min="3" max="3" width="19.8984375" style="3" customWidth="1"/>
    <col min="4" max="4" width="15.09765625" style="23" customWidth="1"/>
    <col min="5" max="5" width="14.69921875" style="5" customWidth="1"/>
    <col min="6" max="6" width="32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48" t="s">
        <v>0</v>
      </c>
      <c r="D1" s="48"/>
      <c r="E1" s="48"/>
      <c r="F1" s="48"/>
      <c r="G1" s="48"/>
      <c r="H1" s="48"/>
    </row>
    <row r="2" spans="1:15" ht="38.950000000000003" customHeight="1" x14ac:dyDescent="0.6">
      <c r="B2" s="2"/>
      <c r="C2" s="48" t="s">
        <v>1</v>
      </c>
      <c r="D2" s="48"/>
      <c r="E2" s="48"/>
      <c r="F2" s="48"/>
      <c r="G2" s="48"/>
      <c r="H2" s="48"/>
    </row>
    <row r="3" spans="1:15" ht="24.05" customHeight="1" x14ac:dyDescent="0.55000000000000004">
      <c r="D3" s="4"/>
      <c r="F3" s="24"/>
      <c r="G3" s="32" t="s">
        <v>2</v>
      </c>
      <c r="H3" s="27" t="s">
        <v>20</v>
      </c>
    </row>
    <row r="4" spans="1:15" ht="17.75" x14ac:dyDescent="0.45">
      <c r="B4" s="49" t="s">
        <v>4</v>
      </c>
      <c r="C4" s="49"/>
      <c r="D4" s="49"/>
      <c r="E4" s="35">
        <f>+'JULIO '!H8</f>
        <v>64644</v>
      </c>
      <c r="F4" s="7"/>
      <c r="G4" s="31"/>
    </row>
    <row r="5" spans="1:15" ht="17.75" x14ac:dyDescent="0.45">
      <c r="B5" s="25" t="s">
        <v>5</v>
      </c>
      <c r="C5" s="25"/>
      <c r="D5" s="25"/>
      <c r="E5" s="35">
        <v>35356</v>
      </c>
      <c r="F5" s="7"/>
      <c r="G5" s="31"/>
    </row>
    <row r="6" spans="1:15" ht="17.75" x14ac:dyDescent="0.45">
      <c r="B6" s="49" t="s">
        <v>6</v>
      </c>
      <c r="C6" s="49"/>
      <c r="D6" s="49"/>
      <c r="E6" s="35">
        <v>0</v>
      </c>
      <c r="F6" s="7"/>
    </row>
    <row r="7" spans="1:15" ht="17.75" x14ac:dyDescent="0.45">
      <c r="B7" s="50" t="s">
        <v>7</v>
      </c>
      <c r="C7" s="50"/>
      <c r="D7" s="50"/>
      <c r="E7" s="35">
        <f>SUM(E4:E6)</f>
        <v>100000</v>
      </c>
      <c r="F7" s="7"/>
      <c r="G7" s="26"/>
    </row>
    <row r="8" spans="1:15" ht="17.75" x14ac:dyDescent="0.45">
      <c r="B8" s="47" t="s">
        <v>8</v>
      </c>
      <c r="C8" s="47"/>
      <c r="D8" s="47"/>
      <c r="E8" s="38">
        <f>+G26</f>
        <v>32570</v>
      </c>
      <c r="F8" s="7"/>
      <c r="G8" s="29" t="s">
        <v>9</v>
      </c>
      <c r="H8" s="36">
        <f>E7-E8</f>
        <v>67430</v>
      </c>
    </row>
    <row r="9" spans="1:15" s="1" customFormat="1" ht="24.2" x14ac:dyDescent="0.6">
      <c r="E9" s="10"/>
      <c r="F9" s="11"/>
      <c r="G9" s="9"/>
    </row>
    <row r="10" spans="1:15" s="9" customFormat="1" ht="88.7" x14ac:dyDescent="0.45">
      <c r="A10" s="13" t="s">
        <v>10</v>
      </c>
      <c r="B10" s="14" t="s">
        <v>11</v>
      </c>
      <c r="C10" s="14" t="s">
        <v>12</v>
      </c>
      <c r="D10" s="14" t="s">
        <v>13</v>
      </c>
      <c r="E10" s="14" t="s">
        <v>14</v>
      </c>
      <c r="F10" s="30" t="s">
        <v>15</v>
      </c>
      <c r="G10" s="14" t="s">
        <v>16</v>
      </c>
      <c r="H10" s="34" t="s">
        <v>17</v>
      </c>
      <c r="I10" s="12"/>
      <c r="J10" s="12"/>
      <c r="K10" s="12"/>
      <c r="L10" s="12"/>
      <c r="M10" s="12"/>
      <c r="N10" s="12"/>
      <c r="O10" s="12"/>
    </row>
    <row r="11" spans="1:15" ht="34.4" x14ac:dyDescent="0.45">
      <c r="A11" s="15">
        <v>1</v>
      </c>
      <c r="B11" s="39">
        <v>45866</v>
      </c>
      <c r="C11" s="39" t="s">
        <v>21</v>
      </c>
      <c r="D11" s="40"/>
      <c r="E11" s="41">
        <v>257154891</v>
      </c>
      <c r="F11" s="42" t="s">
        <v>57</v>
      </c>
      <c r="G11" s="44">
        <v>3990</v>
      </c>
      <c r="H11" s="43"/>
      <c r="I11" s="12"/>
      <c r="J11" s="12"/>
      <c r="K11" s="12"/>
      <c r="L11" s="12"/>
      <c r="M11" s="12"/>
      <c r="N11" s="12"/>
      <c r="O11" s="12"/>
    </row>
    <row r="12" spans="1:15" ht="34.4" x14ac:dyDescent="0.45">
      <c r="A12" s="15">
        <v>2</v>
      </c>
      <c r="B12" s="39">
        <v>45866</v>
      </c>
      <c r="C12" s="39" t="s">
        <v>21</v>
      </c>
      <c r="D12" s="40"/>
      <c r="E12" s="41">
        <v>14933328</v>
      </c>
      <c r="F12" s="42" t="s">
        <v>56</v>
      </c>
      <c r="G12" s="44">
        <v>1490</v>
      </c>
      <c r="H12" s="43"/>
      <c r="I12" s="12"/>
      <c r="J12" s="12"/>
      <c r="K12" s="12"/>
      <c r="L12" s="12"/>
      <c r="M12" s="12"/>
      <c r="N12" s="12"/>
      <c r="O12" s="12"/>
    </row>
    <row r="13" spans="1:15" ht="34.4" x14ac:dyDescent="0.45">
      <c r="A13" s="15">
        <v>3</v>
      </c>
      <c r="B13" s="39">
        <v>45877</v>
      </c>
      <c r="C13" s="39" t="s">
        <v>21</v>
      </c>
      <c r="D13" s="40"/>
      <c r="E13" s="41">
        <v>3152694205</v>
      </c>
      <c r="F13" s="42" t="s">
        <v>55</v>
      </c>
      <c r="G13" s="44">
        <v>5090</v>
      </c>
      <c r="H13" s="43"/>
      <c r="I13" s="12"/>
      <c r="J13" s="12"/>
      <c r="K13" s="12"/>
      <c r="L13" s="12"/>
      <c r="M13" s="12"/>
      <c r="N13" s="12"/>
      <c r="O13" s="12"/>
    </row>
    <row r="14" spans="1:15" ht="34.4" x14ac:dyDescent="0.45">
      <c r="A14" s="15">
        <v>4</v>
      </c>
      <c r="B14" s="39">
        <v>45880</v>
      </c>
      <c r="C14" s="39" t="s">
        <v>37</v>
      </c>
      <c r="D14" s="40"/>
      <c r="E14" s="41">
        <v>27</v>
      </c>
      <c r="F14" s="42" t="s">
        <v>54</v>
      </c>
      <c r="G14" s="44">
        <v>2000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>
        <v>45881</v>
      </c>
      <c r="C15" s="39" t="s">
        <v>21</v>
      </c>
      <c r="D15" s="40"/>
      <c r="E15" s="41">
        <v>16199</v>
      </c>
      <c r="F15" s="42" t="s">
        <v>28</v>
      </c>
      <c r="G15" s="44">
        <v>20000</v>
      </c>
      <c r="H15" s="43"/>
      <c r="I15" s="12"/>
      <c r="J15" s="12"/>
      <c r="K15" s="12"/>
      <c r="L15" s="12"/>
      <c r="M15" s="12"/>
      <c r="N15" s="12"/>
      <c r="O15" s="12"/>
    </row>
    <row r="16" spans="1:15" ht="20.3" customHeight="1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19</v>
      </c>
      <c r="C26" s="33"/>
      <c r="D26" s="17"/>
      <c r="E26" s="17"/>
      <c r="F26" s="17"/>
      <c r="G26" s="45">
        <f>SUM(G11:G25)</f>
        <v>32570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49"/>
      <c r="C29" s="49"/>
      <c r="D29" s="51"/>
      <c r="E29" s="52"/>
      <c r="F29" s="53"/>
    </row>
    <row r="30" spans="1:15" ht="17.75" x14ac:dyDescent="0.45">
      <c r="B30" s="54"/>
      <c r="C30" s="54"/>
      <c r="D30" s="55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B8:D8"/>
    <mergeCell ref="E29:F29"/>
    <mergeCell ref="B30:D30"/>
    <mergeCell ref="C1:H1"/>
    <mergeCell ref="C2:H2"/>
    <mergeCell ref="B4:D4"/>
    <mergeCell ref="B6:D6"/>
    <mergeCell ref="B7:D7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44"/>
  <sheetViews>
    <sheetView zoomScale="90" zoomScaleNormal="90" workbookViewId="0">
      <selection activeCell="E5" sqref="E5"/>
    </sheetView>
  </sheetViews>
  <sheetFormatPr baseColWidth="10" defaultColWidth="11.3984375" defaultRowHeight="14.55" x14ac:dyDescent="0.35"/>
  <cols>
    <col min="1" max="1" width="3.69921875" style="2" bestFit="1" customWidth="1"/>
    <col min="2" max="2" width="14.09765625" style="3" bestFit="1" customWidth="1"/>
    <col min="3" max="3" width="19.8984375" style="3" customWidth="1"/>
    <col min="4" max="4" width="15.09765625" style="23" customWidth="1"/>
    <col min="5" max="5" width="14.69921875" style="5" customWidth="1"/>
    <col min="6" max="6" width="32.898437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24.2" x14ac:dyDescent="0.6">
      <c r="C1" s="48" t="s">
        <v>0</v>
      </c>
      <c r="D1" s="48"/>
      <c r="E1" s="48"/>
      <c r="F1" s="48"/>
      <c r="G1" s="48"/>
      <c r="H1" s="48"/>
    </row>
    <row r="2" spans="1:15" ht="24.2" x14ac:dyDescent="0.6">
      <c r="B2" s="2"/>
      <c r="C2" s="48" t="s">
        <v>1</v>
      </c>
      <c r="D2" s="48"/>
      <c r="E2" s="48"/>
      <c r="F2" s="48"/>
      <c r="G2" s="48"/>
      <c r="H2" s="48"/>
    </row>
    <row r="3" spans="1:15" ht="31.7" x14ac:dyDescent="0.55000000000000004">
      <c r="D3" s="4"/>
      <c r="F3" s="24"/>
      <c r="G3" s="32" t="s">
        <v>2</v>
      </c>
      <c r="H3" s="27" t="s">
        <v>23</v>
      </c>
    </row>
    <row r="4" spans="1:15" ht="17.75" x14ac:dyDescent="0.45">
      <c r="B4" s="49" t="s">
        <v>4</v>
      </c>
      <c r="C4" s="49"/>
      <c r="D4" s="49"/>
      <c r="E4" s="35">
        <f>+AGOSTO!H8</f>
        <v>67430</v>
      </c>
      <c r="F4" s="7"/>
      <c r="G4" s="31"/>
    </row>
    <row r="5" spans="1:15" ht="17.75" x14ac:dyDescent="0.45">
      <c r="B5" s="25" t="s">
        <v>5</v>
      </c>
      <c r="C5" s="25"/>
      <c r="D5" s="25"/>
      <c r="E5" s="35">
        <v>32570</v>
      </c>
      <c r="F5" s="7"/>
      <c r="G5" s="31"/>
    </row>
    <row r="6" spans="1:15" ht="17.75" x14ac:dyDescent="0.45">
      <c r="B6" s="49" t="s">
        <v>6</v>
      </c>
      <c r="C6" s="49"/>
      <c r="D6" s="49"/>
      <c r="E6" s="35">
        <v>0</v>
      </c>
      <c r="F6" s="7"/>
    </row>
    <row r="7" spans="1:15" ht="17.75" x14ac:dyDescent="0.45">
      <c r="B7" s="50" t="s">
        <v>7</v>
      </c>
      <c r="C7" s="50"/>
      <c r="D7" s="50"/>
      <c r="E7" s="35">
        <f>SUM(E4:E6)</f>
        <v>100000</v>
      </c>
      <c r="F7" s="7"/>
      <c r="G7" s="26"/>
    </row>
    <row r="8" spans="1:15" ht="17.75" x14ac:dyDescent="0.45">
      <c r="B8" s="47" t="s">
        <v>8</v>
      </c>
      <c r="C8" s="47"/>
      <c r="D8" s="47"/>
      <c r="E8" s="38">
        <f>+G26</f>
        <v>57190</v>
      </c>
      <c r="F8" s="7"/>
      <c r="G8" s="29" t="s">
        <v>9</v>
      </c>
      <c r="H8" s="36">
        <f>E7-E8</f>
        <v>42810</v>
      </c>
    </row>
    <row r="9" spans="1:15" s="1" customFormat="1" ht="24.2" x14ac:dyDescent="0.6">
      <c r="E9" s="10"/>
      <c r="F9" s="11"/>
      <c r="G9" s="9"/>
    </row>
    <row r="10" spans="1:15" s="9" customFormat="1" ht="88.7" x14ac:dyDescent="0.45">
      <c r="A10" s="13" t="s">
        <v>10</v>
      </c>
      <c r="B10" s="14" t="s">
        <v>11</v>
      </c>
      <c r="C10" s="14" t="s">
        <v>12</v>
      </c>
      <c r="D10" s="14" t="s">
        <v>13</v>
      </c>
      <c r="E10" s="14" t="s">
        <v>14</v>
      </c>
      <c r="F10" s="30" t="s">
        <v>15</v>
      </c>
      <c r="G10" s="14" t="s">
        <v>16</v>
      </c>
      <c r="H10" s="34" t="s">
        <v>17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45898</v>
      </c>
      <c r="C11" s="39" t="s">
        <v>21</v>
      </c>
      <c r="D11" s="40">
        <v>16246</v>
      </c>
      <c r="E11" s="41"/>
      <c r="F11" s="42" t="s">
        <v>28</v>
      </c>
      <c r="G11" s="44">
        <v>20000</v>
      </c>
      <c r="H11" s="43"/>
      <c r="I11" s="12"/>
      <c r="J11" s="12"/>
      <c r="K11" s="12"/>
      <c r="L11" s="12"/>
      <c r="M11" s="12"/>
      <c r="N11" s="12"/>
      <c r="O11" s="12"/>
    </row>
    <row r="12" spans="1:15" ht="34.4" x14ac:dyDescent="0.45">
      <c r="A12" s="15">
        <v>2</v>
      </c>
      <c r="B12" s="39">
        <v>45905</v>
      </c>
      <c r="C12" s="39" t="s">
        <v>21</v>
      </c>
      <c r="D12" s="40">
        <v>3175891188</v>
      </c>
      <c r="E12" s="41"/>
      <c r="F12" s="42" t="s">
        <v>41</v>
      </c>
      <c r="G12" s="44">
        <v>4570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45907</v>
      </c>
      <c r="C13" s="39" t="s">
        <v>21</v>
      </c>
      <c r="D13" s="40">
        <v>3177614355</v>
      </c>
      <c r="E13" s="41"/>
      <c r="F13" s="42" t="s">
        <v>25</v>
      </c>
      <c r="G13" s="44">
        <v>2190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45909</v>
      </c>
      <c r="C14" s="39" t="s">
        <v>37</v>
      </c>
      <c r="D14" s="40">
        <v>28</v>
      </c>
      <c r="E14" s="41"/>
      <c r="F14" s="42" t="s">
        <v>58</v>
      </c>
      <c r="G14" s="44">
        <v>2000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>
        <v>45915</v>
      </c>
      <c r="C15" s="39" t="s">
        <v>21</v>
      </c>
      <c r="D15" s="40">
        <v>3181195168</v>
      </c>
      <c r="E15" s="41"/>
      <c r="F15" s="42" t="s">
        <v>59</v>
      </c>
      <c r="G15" s="44">
        <v>16020</v>
      </c>
      <c r="H15" s="43"/>
      <c r="I15" s="12"/>
      <c r="J15" s="12"/>
      <c r="K15" s="12"/>
      <c r="L15" s="12"/>
      <c r="M15" s="12"/>
      <c r="N15" s="12"/>
      <c r="O15" s="12"/>
    </row>
    <row r="16" spans="1:15" ht="17.2" x14ac:dyDescent="0.45">
      <c r="A16" s="15">
        <v>6</v>
      </c>
      <c r="B16" s="39">
        <v>45916</v>
      </c>
      <c r="C16" s="39" t="s">
        <v>21</v>
      </c>
      <c r="D16" s="40">
        <v>3176608308</v>
      </c>
      <c r="E16" s="41"/>
      <c r="F16" s="42" t="s">
        <v>59</v>
      </c>
      <c r="G16" s="44">
        <v>6830</v>
      </c>
      <c r="H16" s="43"/>
      <c r="I16" s="12"/>
      <c r="J16" s="12"/>
      <c r="K16" s="12"/>
      <c r="L16" s="12"/>
      <c r="M16" s="12"/>
      <c r="N16" s="12"/>
      <c r="O16" s="12"/>
    </row>
    <row r="17" spans="1:15" ht="34.4" x14ac:dyDescent="0.45">
      <c r="A17" s="15">
        <v>7</v>
      </c>
      <c r="B17" s="39">
        <v>45916</v>
      </c>
      <c r="C17" s="39" t="s">
        <v>21</v>
      </c>
      <c r="D17" s="40">
        <v>43332955</v>
      </c>
      <c r="E17" s="41"/>
      <c r="F17" s="42" t="s">
        <v>41</v>
      </c>
      <c r="G17" s="44">
        <v>4580</v>
      </c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>
        <v>45920</v>
      </c>
      <c r="C18" s="39" t="s">
        <v>37</v>
      </c>
      <c r="D18" s="40">
        <v>29</v>
      </c>
      <c r="E18" s="41"/>
      <c r="F18" s="42" t="s">
        <v>58</v>
      </c>
      <c r="G18" s="44">
        <v>1000</v>
      </c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19</v>
      </c>
      <c r="C26" s="33"/>
      <c r="D26" s="17"/>
      <c r="E26" s="17"/>
      <c r="F26" s="17"/>
      <c r="G26" s="45">
        <f>SUM(G11:G25)</f>
        <v>57190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49"/>
      <c r="C29" s="49"/>
      <c r="D29" s="51"/>
      <c r="E29" s="52"/>
      <c r="F29" s="53"/>
    </row>
    <row r="30" spans="1:15" ht="17.75" x14ac:dyDescent="0.45">
      <c r="B30" s="54"/>
      <c r="C30" s="54"/>
      <c r="D30" s="55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44"/>
  <sheetViews>
    <sheetView zoomScale="90" zoomScaleNormal="90" workbookViewId="0">
      <selection activeCell="L10" sqref="L10"/>
    </sheetView>
  </sheetViews>
  <sheetFormatPr baseColWidth="10" defaultColWidth="11.3984375" defaultRowHeight="14.55" x14ac:dyDescent="0.35"/>
  <cols>
    <col min="1" max="1" width="3.69921875" style="2" bestFit="1" customWidth="1"/>
    <col min="2" max="2" width="14.09765625" style="3" bestFit="1" customWidth="1"/>
    <col min="3" max="3" width="19.8984375" style="3" customWidth="1"/>
    <col min="4" max="4" width="15.09765625" style="23" customWidth="1"/>
    <col min="5" max="5" width="14.69921875" style="5" customWidth="1"/>
    <col min="6" max="6" width="29.898437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48" t="s">
        <v>0</v>
      </c>
      <c r="D1" s="48"/>
      <c r="E1" s="48"/>
      <c r="F1" s="48"/>
      <c r="G1" s="48"/>
      <c r="H1" s="48"/>
    </row>
    <row r="2" spans="1:15" ht="38.950000000000003" customHeight="1" x14ac:dyDescent="0.6">
      <c r="B2" s="2"/>
      <c r="C2" s="48" t="s">
        <v>1</v>
      </c>
      <c r="D2" s="48"/>
      <c r="E2" s="48"/>
      <c r="F2" s="48"/>
      <c r="G2" s="48"/>
      <c r="H2" s="48"/>
    </row>
    <row r="3" spans="1:15" ht="24.05" customHeight="1" x14ac:dyDescent="0.55000000000000004">
      <c r="D3" s="4"/>
      <c r="F3" s="24"/>
      <c r="G3" s="32" t="s">
        <v>2</v>
      </c>
      <c r="H3" s="27" t="s">
        <v>24</v>
      </c>
    </row>
    <row r="4" spans="1:15" ht="17.75" x14ac:dyDescent="0.45">
      <c r="B4" s="49" t="s">
        <v>4</v>
      </c>
      <c r="C4" s="49"/>
      <c r="D4" s="49"/>
      <c r="E4" s="35">
        <f>+SEPTIEMBRE!H8</f>
        <v>42810</v>
      </c>
      <c r="F4" s="7"/>
      <c r="G4" s="31"/>
    </row>
    <row r="5" spans="1:15" ht="17.75" x14ac:dyDescent="0.45">
      <c r="B5" s="25" t="s">
        <v>5</v>
      </c>
      <c r="C5" s="25"/>
      <c r="D5" s="25"/>
      <c r="E5" s="46">
        <v>57190</v>
      </c>
      <c r="F5" s="7"/>
      <c r="G5" s="31"/>
    </row>
    <row r="6" spans="1:15" ht="17.75" x14ac:dyDescent="0.45">
      <c r="B6" s="49" t="s">
        <v>6</v>
      </c>
      <c r="C6" s="49"/>
      <c r="D6" s="49"/>
      <c r="E6" s="35">
        <v>0</v>
      </c>
      <c r="F6" s="7"/>
    </row>
    <row r="7" spans="1:15" ht="17.75" x14ac:dyDescent="0.45">
      <c r="B7" s="50" t="s">
        <v>7</v>
      </c>
      <c r="C7" s="50"/>
      <c r="D7" s="50"/>
      <c r="E7" s="35">
        <f>SUM(E4:E6)</f>
        <v>100000</v>
      </c>
      <c r="F7" s="7"/>
      <c r="G7" s="26"/>
    </row>
    <row r="8" spans="1:15" ht="17.75" x14ac:dyDescent="0.45">
      <c r="B8" s="47" t="s">
        <v>8</v>
      </c>
      <c r="C8" s="47"/>
      <c r="D8" s="47"/>
      <c r="E8" s="38">
        <f>+G26</f>
        <v>28500</v>
      </c>
      <c r="F8" s="7"/>
      <c r="G8" s="29" t="s">
        <v>9</v>
      </c>
      <c r="H8" s="36">
        <f>E7-E8</f>
        <v>71500</v>
      </c>
    </row>
    <row r="9" spans="1:15" s="1" customFormat="1" ht="24.2" x14ac:dyDescent="0.6">
      <c r="E9" s="10"/>
      <c r="F9" s="11"/>
      <c r="G9" s="9"/>
    </row>
    <row r="10" spans="1:15" s="9" customFormat="1" ht="88.7" x14ac:dyDescent="0.45">
      <c r="A10" s="13" t="s">
        <v>10</v>
      </c>
      <c r="B10" s="14" t="s">
        <v>11</v>
      </c>
      <c r="C10" s="14" t="s">
        <v>12</v>
      </c>
      <c r="D10" s="14" t="s">
        <v>13</v>
      </c>
      <c r="E10" s="14" t="s">
        <v>14</v>
      </c>
      <c r="F10" s="30" t="s">
        <v>15</v>
      </c>
      <c r="G10" s="14" t="s">
        <v>16</v>
      </c>
      <c r="H10" s="34" t="s">
        <v>17</v>
      </c>
      <c r="I10" s="12"/>
      <c r="J10" s="12"/>
      <c r="K10" s="12"/>
      <c r="L10" s="12"/>
      <c r="M10" s="12"/>
      <c r="N10" s="12"/>
      <c r="O10" s="12"/>
    </row>
    <row r="11" spans="1:15" ht="34.4" x14ac:dyDescent="0.45">
      <c r="A11" s="15">
        <v>1</v>
      </c>
      <c r="B11" s="39">
        <v>45930</v>
      </c>
      <c r="C11" s="39" t="s">
        <v>21</v>
      </c>
      <c r="D11" s="40">
        <v>3194568253</v>
      </c>
      <c r="E11" s="41"/>
      <c r="F11" s="42" t="s">
        <v>41</v>
      </c>
      <c r="G11" s="44">
        <v>4850</v>
      </c>
      <c r="H11" s="43"/>
      <c r="I11" s="12"/>
      <c r="J11" s="12"/>
      <c r="K11" s="12"/>
      <c r="L11" s="12"/>
      <c r="M11" s="12"/>
      <c r="N11" s="12"/>
      <c r="O11" s="12"/>
    </row>
    <row r="12" spans="1:15" ht="34.4" x14ac:dyDescent="0.45">
      <c r="A12" s="15">
        <v>2</v>
      </c>
      <c r="B12" s="39">
        <v>45936</v>
      </c>
      <c r="C12" s="39" t="s">
        <v>37</v>
      </c>
      <c r="D12" s="40">
        <v>30</v>
      </c>
      <c r="E12" s="41"/>
      <c r="F12" s="42" t="s">
        <v>61</v>
      </c>
      <c r="G12" s="44">
        <v>2000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45940</v>
      </c>
      <c r="C13" s="39" t="s">
        <v>21</v>
      </c>
      <c r="D13" s="40">
        <v>16558</v>
      </c>
      <c r="E13" s="41"/>
      <c r="F13" s="42" t="s">
        <v>22</v>
      </c>
      <c r="G13" s="44">
        <v>15000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45941</v>
      </c>
      <c r="C14" s="39" t="s">
        <v>21</v>
      </c>
      <c r="D14" s="40">
        <v>3201790921</v>
      </c>
      <c r="E14" s="41"/>
      <c r="F14" s="42" t="s">
        <v>60</v>
      </c>
      <c r="G14" s="44">
        <v>4650</v>
      </c>
      <c r="H14" s="43"/>
      <c r="I14" s="12"/>
      <c r="J14" s="12"/>
      <c r="K14" s="12"/>
      <c r="L14" s="12"/>
      <c r="M14" s="12"/>
      <c r="N14" s="12"/>
      <c r="O14" s="12"/>
    </row>
    <row r="15" spans="1:15" ht="34.4" x14ac:dyDescent="0.45">
      <c r="A15" s="15">
        <v>5</v>
      </c>
      <c r="B15" s="39">
        <v>45580</v>
      </c>
      <c r="C15" s="39" t="s">
        <v>37</v>
      </c>
      <c r="D15" s="40">
        <v>31</v>
      </c>
      <c r="E15" s="41"/>
      <c r="F15" s="42" t="s">
        <v>62</v>
      </c>
      <c r="G15" s="44">
        <v>2000</v>
      </c>
      <c r="H15" s="43"/>
      <c r="I15" s="12"/>
      <c r="J15" s="12"/>
      <c r="K15" s="12"/>
      <c r="L15" s="12"/>
      <c r="M15" s="12"/>
      <c r="N15" s="12"/>
      <c r="O15" s="12"/>
    </row>
    <row r="16" spans="1:15" ht="20.3" customHeight="1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19</v>
      </c>
      <c r="C26" s="33"/>
      <c r="D26" s="17"/>
      <c r="E26" s="17"/>
      <c r="F26" s="17"/>
      <c r="G26" s="45">
        <f>SUM(G11:G25)</f>
        <v>28500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49"/>
      <c r="C29" s="49"/>
      <c r="D29" s="51"/>
      <c r="E29" s="52"/>
      <c r="F29" s="53"/>
    </row>
    <row r="30" spans="1:15" ht="17.75" x14ac:dyDescent="0.45">
      <c r="B30" s="54"/>
      <c r="C30" s="54"/>
      <c r="D30" s="55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44"/>
  <sheetViews>
    <sheetView zoomScale="90" zoomScaleNormal="90" workbookViewId="0">
      <selection activeCell="L10" sqref="L10"/>
    </sheetView>
  </sheetViews>
  <sheetFormatPr baseColWidth="10" defaultColWidth="11.3984375" defaultRowHeight="14.55" x14ac:dyDescent="0.35"/>
  <cols>
    <col min="1" max="1" width="3.69921875" style="2" bestFit="1" customWidth="1"/>
    <col min="2" max="2" width="14.09765625" style="3" bestFit="1" customWidth="1"/>
    <col min="3" max="3" width="19.8984375" style="3" customWidth="1"/>
    <col min="4" max="4" width="15.09765625" style="23" customWidth="1"/>
    <col min="5" max="5" width="14.69921875" style="5" customWidth="1"/>
    <col min="6" max="6" width="32.0976562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48" t="s">
        <v>0</v>
      </c>
      <c r="D1" s="48"/>
      <c r="E1" s="48"/>
      <c r="F1" s="48"/>
      <c r="G1" s="48"/>
      <c r="H1" s="48"/>
    </row>
    <row r="2" spans="1:15" ht="38.950000000000003" customHeight="1" x14ac:dyDescent="0.6">
      <c r="B2" s="2"/>
      <c r="C2" s="48" t="s">
        <v>1</v>
      </c>
      <c r="D2" s="48"/>
      <c r="E2" s="48"/>
      <c r="F2" s="48"/>
      <c r="G2" s="48"/>
      <c r="H2" s="48"/>
    </row>
    <row r="3" spans="1:15" ht="24.05" customHeight="1" x14ac:dyDescent="0.55000000000000004">
      <c r="D3" s="4"/>
      <c r="F3" s="24"/>
      <c r="G3" s="32" t="s">
        <v>2</v>
      </c>
      <c r="H3" s="27" t="s">
        <v>26</v>
      </c>
    </row>
    <row r="4" spans="1:15" ht="17.75" x14ac:dyDescent="0.45">
      <c r="B4" s="49" t="s">
        <v>4</v>
      </c>
      <c r="C4" s="49"/>
      <c r="D4" s="49"/>
      <c r="E4" s="35">
        <f>+OCTUBRE!H8</f>
        <v>71500</v>
      </c>
      <c r="F4" s="7"/>
      <c r="G4" s="31"/>
    </row>
    <row r="5" spans="1:15" ht="17.75" x14ac:dyDescent="0.45">
      <c r="B5" s="25" t="s">
        <v>5</v>
      </c>
      <c r="C5" s="25"/>
      <c r="D5" s="25"/>
      <c r="E5" s="35">
        <v>28500</v>
      </c>
      <c r="F5" s="7"/>
      <c r="G5" s="31"/>
    </row>
    <row r="6" spans="1:15" ht="17.75" x14ac:dyDescent="0.45">
      <c r="B6" s="49" t="s">
        <v>6</v>
      </c>
      <c r="C6" s="49"/>
      <c r="D6" s="49"/>
      <c r="E6" s="35">
        <v>0</v>
      </c>
      <c r="F6" s="7"/>
    </row>
    <row r="7" spans="1:15" ht="17.75" x14ac:dyDescent="0.45">
      <c r="B7" s="50" t="s">
        <v>7</v>
      </c>
      <c r="C7" s="50"/>
      <c r="D7" s="50"/>
      <c r="E7" s="35">
        <f>SUM(E4:E6)</f>
        <v>100000</v>
      </c>
      <c r="F7" s="7"/>
      <c r="G7" s="26"/>
    </row>
    <row r="8" spans="1:15" ht="17.75" x14ac:dyDescent="0.45">
      <c r="B8" s="47" t="s">
        <v>8</v>
      </c>
      <c r="C8" s="47"/>
      <c r="D8" s="47"/>
      <c r="E8" s="38">
        <f>+G26</f>
        <v>20000</v>
      </c>
      <c r="F8" s="7"/>
      <c r="G8" s="29" t="s">
        <v>9</v>
      </c>
      <c r="H8" s="36">
        <f>E7-E8</f>
        <v>80000</v>
      </c>
    </row>
    <row r="9" spans="1:15" s="1" customFormat="1" ht="24.2" x14ac:dyDescent="0.6">
      <c r="E9" s="10"/>
      <c r="F9" s="11"/>
      <c r="G9" s="9"/>
    </row>
    <row r="10" spans="1:15" s="9" customFormat="1" ht="88.7" x14ac:dyDescent="0.45">
      <c r="A10" s="13" t="s">
        <v>10</v>
      </c>
      <c r="B10" s="14" t="s">
        <v>11</v>
      </c>
      <c r="C10" s="14" t="s">
        <v>12</v>
      </c>
      <c r="D10" s="14" t="s">
        <v>13</v>
      </c>
      <c r="E10" s="14" t="s">
        <v>14</v>
      </c>
      <c r="F10" s="30" t="s">
        <v>15</v>
      </c>
      <c r="G10" s="14" t="s">
        <v>16</v>
      </c>
      <c r="H10" s="34" t="s">
        <v>17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45961</v>
      </c>
      <c r="C11" s="39" t="s">
        <v>21</v>
      </c>
      <c r="D11" s="40">
        <v>16630</v>
      </c>
      <c r="E11" s="41"/>
      <c r="F11" s="42" t="s">
        <v>63</v>
      </c>
      <c r="G11" s="44">
        <v>20000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/>
      <c r="C12" s="39"/>
      <c r="D12" s="40"/>
      <c r="E12" s="41"/>
      <c r="F12" s="42"/>
      <c r="G12" s="44"/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/>
      <c r="C13" s="39"/>
      <c r="D13" s="40"/>
      <c r="E13" s="41"/>
      <c r="F13" s="42"/>
      <c r="G13" s="44"/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/>
      <c r="C14" s="39"/>
      <c r="D14" s="40"/>
      <c r="E14" s="41"/>
      <c r="F14" s="42"/>
      <c r="G14" s="44"/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/>
      <c r="C15" s="39"/>
      <c r="D15" s="40"/>
      <c r="E15" s="41"/>
      <c r="F15" s="42"/>
      <c r="G15" s="44"/>
      <c r="H15" s="43"/>
      <c r="I15" s="12"/>
      <c r="J15" s="12"/>
      <c r="K15" s="12"/>
      <c r="L15" s="12"/>
      <c r="M15" s="12"/>
      <c r="N15" s="12"/>
      <c r="O15" s="12"/>
    </row>
    <row r="16" spans="1:15" ht="20.3" customHeight="1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19</v>
      </c>
      <c r="C26" s="33"/>
      <c r="D26" s="17"/>
      <c r="E26" s="17"/>
      <c r="F26" s="17"/>
      <c r="G26" s="45">
        <f>SUM(G11:G25)</f>
        <v>20000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49"/>
      <c r="C29" s="49"/>
      <c r="D29" s="51"/>
      <c r="E29" s="52"/>
      <c r="F29" s="53"/>
    </row>
    <row r="30" spans="1:15" ht="17.75" x14ac:dyDescent="0.45">
      <c r="B30" s="54"/>
      <c r="C30" s="54"/>
      <c r="D30" s="55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44"/>
  <sheetViews>
    <sheetView zoomScale="90" zoomScaleNormal="90" workbookViewId="0">
      <selection activeCell="H8" sqref="H8"/>
    </sheetView>
  </sheetViews>
  <sheetFormatPr baseColWidth="10" defaultColWidth="11.3984375" defaultRowHeight="14.55" x14ac:dyDescent="0.35"/>
  <cols>
    <col min="1" max="1" width="3.69921875" style="2" bestFit="1" customWidth="1"/>
    <col min="2" max="2" width="14.09765625" style="3" bestFit="1" customWidth="1"/>
    <col min="3" max="3" width="19.8984375" style="3" customWidth="1"/>
    <col min="4" max="4" width="15.09765625" style="23" customWidth="1"/>
    <col min="5" max="5" width="14.69921875" style="5" customWidth="1"/>
    <col min="6" max="6" width="29.5976562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48" t="s">
        <v>0</v>
      </c>
      <c r="D1" s="48"/>
      <c r="E1" s="48"/>
      <c r="F1" s="48"/>
      <c r="G1" s="48"/>
      <c r="H1" s="48"/>
    </row>
    <row r="2" spans="1:15" ht="38.950000000000003" customHeight="1" x14ac:dyDescent="0.6">
      <c r="B2" s="2"/>
      <c r="C2" s="48" t="s">
        <v>1</v>
      </c>
      <c r="D2" s="48"/>
      <c r="E2" s="48"/>
      <c r="F2" s="48"/>
      <c r="G2" s="48"/>
      <c r="H2" s="48"/>
    </row>
    <row r="3" spans="1:15" ht="24.05" customHeight="1" x14ac:dyDescent="0.55000000000000004">
      <c r="D3" s="4"/>
      <c r="F3" s="24"/>
      <c r="G3" s="32" t="s">
        <v>2</v>
      </c>
      <c r="H3" s="27" t="s">
        <v>27</v>
      </c>
    </row>
    <row r="4" spans="1:15" ht="17.75" x14ac:dyDescent="0.45">
      <c r="B4" s="49" t="s">
        <v>4</v>
      </c>
      <c r="C4" s="49"/>
      <c r="D4" s="49"/>
      <c r="E4" s="35">
        <f>+NOVIEMBRE!H8</f>
        <v>80000</v>
      </c>
      <c r="F4" s="7"/>
      <c r="G4" s="31"/>
    </row>
    <row r="5" spans="1:15" ht="17.75" x14ac:dyDescent="0.45">
      <c r="B5" s="25" t="s">
        <v>5</v>
      </c>
      <c r="C5" s="25"/>
      <c r="D5" s="25"/>
      <c r="E5" s="35">
        <v>20000</v>
      </c>
      <c r="F5" s="7"/>
      <c r="G5" s="31"/>
    </row>
    <row r="6" spans="1:15" ht="17.75" x14ac:dyDescent="0.45">
      <c r="B6" s="49" t="s">
        <v>6</v>
      </c>
      <c r="C6" s="49"/>
      <c r="D6" s="49"/>
      <c r="E6" s="35">
        <v>0</v>
      </c>
      <c r="F6" s="7"/>
    </row>
    <row r="7" spans="1:15" ht="17.75" x14ac:dyDescent="0.45">
      <c r="B7" s="50" t="s">
        <v>7</v>
      </c>
      <c r="C7" s="50"/>
      <c r="D7" s="50"/>
      <c r="E7" s="35">
        <f>SUM(E4:E6)</f>
        <v>100000</v>
      </c>
      <c r="F7" s="7"/>
      <c r="G7" s="26"/>
    </row>
    <row r="8" spans="1:15" ht="17.75" x14ac:dyDescent="0.45">
      <c r="B8" s="47" t="s">
        <v>8</v>
      </c>
      <c r="C8" s="47"/>
      <c r="D8" s="47"/>
      <c r="E8" s="38">
        <f>+G26</f>
        <v>55580</v>
      </c>
      <c r="F8" s="7"/>
      <c r="G8" s="29" t="s">
        <v>9</v>
      </c>
      <c r="H8" s="36">
        <f>E7-E8</f>
        <v>44420</v>
      </c>
    </row>
    <row r="9" spans="1:15" s="1" customFormat="1" ht="24.2" x14ac:dyDescent="0.6">
      <c r="E9" s="10"/>
      <c r="F9" s="11"/>
      <c r="G9" s="9"/>
    </row>
    <row r="10" spans="1:15" s="9" customFormat="1" ht="88.7" x14ac:dyDescent="0.45">
      <c r="A10" s="13" t="s">
        <v>10</v>
      </c>
      <c r="B10" s="14" t="s">
        <v>11</v>
      </c>
      <c r="C10" s="14" t="s">
        <v>12</v>
      </c>
      <c r="D10" s="14" t="s">
        <v>13</v>
      </c>
      <c r="E10" s="14" t="s">
        <v>14</v>
      </c>
      <c r="F10" s="30" t="s">
        <v>15</v>
      </c>
      <c r="G10" s="14" t="s">
        <v>16</v>
      </c>
      <c r="H10" s="34" t="s">
        <v>17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45989</v>
      </c>
      <c r="C11" s="39" t="s">
        <v>64</v>
      </c>
      <c r="D11" s="40">
        <v>32</v>
      </c>
      <c r="E11" s="41"/>
      <c r="F11" s="42" t="s">
        <v>65</v>
      </c>
      <c r="G11" s="44">
        <v>2000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45991</v>
      </c>
      <c r="C12" s="39" t="s">
        <v>66</v>
      </c>
      <c r="D12" s="40">
        <v>16820</v>
      </c>
      <c r="E12" s="41"/>
      <c r="F12" s="42" t="s">
        <v>67</v>
      </c>
      <c r="G12" s="44">
        <v>20000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46007</v>
      </c>
      <c r="C13" s="39" t="s">
        <v>64</v>
      </c>
      <c r="D13" s="40">
        <v>33</v>
      </c>
      <c r="E13" s="41"/>
      <c r="F13" s="42" t="s">
        <v>68</v>
      </c>
      <c r="G13" s="44">
        <v>2000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46013</v>
      </c>
      <c r="C14" s="39" t="s">
        <v>66</v>
      </c>
      <c r="D14" s="40">
        <v>16926299</v>
      </c>
      <c r="E14" s="41"/>
      <c r="F14" s="42" t="s">
        <v>69</v>
      </c>
      <c r="G14" s="44">
        <v>5980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>
        <v>46014</v>
      </c>
      <c r="C15" s="39" t="s">
        <v>66</v>
      </c>
      <c r="D15" s="40">
        <v>3260934153</v>
      </c>
      <c r="E15" s="41"/>
      <c r="F15" s="42" t="s">
        <v>70</v>
      </c>
      <c r="G15" s="44">
        <v>25600</v>
      </c>
      <c r="H15" s="43"/>
      <c r="I15" s="12"/>
      <c r="J15" s="12"/>
      <c r="K15" s="12"/>
      <c r="L15" s="12"/>
      <c r="M15" s="12"/>
      <c r="N15" s="12"/>
      <c r="O15" s="12"/>
    </row>
    <row r="16" spans="1:15" ht="20.3" customHeight="1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19</v>
      </c>
      <c r="C26" s="33"/>
      <c r="D26" s="17"/>
      <c r="E26" s="17"/>
      <c r="F26" s="17"/>
      <c r="G26" s="45">
        <f>SUM(G11:G25)</f>
        <v>55580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49"/>
      <c r="C29" s="49"/>
      <c r="D29" s="51"/>
      <c r="E29" s="52"/>
      <c r="F29" s="53"/>
    </row>
    <row r="30" spans="1:15" ht="17.75" x14ac:dyDescent="0.45">
      <c r="B30" s="54"/>
      <c r="C30" s="54"/>
      <c r="D30" s="55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643ECC-7C26-40C5-896C-8ED06A2FA2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4CA440-9715-496B-8FED-7D2D01B5D344}"/>
</file>

<file path=customXml/itemProps3.xml><?xml version="1.0" encoding="utf-8"?>
<ds:datastoreItem xmlns:ds="http://schemas.openxmlformats.org/officeDocument/2006/customXml" ds:itemID="{1D4554AE-C0D3-4506-A9F9-7CBFB8E492A7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6</vt:i4>
      </vt:variant>
    </vt:vector>
  </HeadingPairs>
  <TitlesOfParts>
    <vt:vector size="18" baseType="lpstr">
      <vt:lpstr>ENERO</vt:lpstr>
      <vt:lpstr>FEBRERO</vt:lpstr>
      <vt:lpstr>MARZO</vt:lpstr>
      <vt:lpstr>ABRIL</vt:lpstr>
      <vt:lpstr>MAYO</vt:lpstr>
      <vt:lpstr>JUNIO</vt:lpstr>
      <vt:lpstr>JULIO </vt:lpstr>
      <vt:lpstr>AGOSTO</vt:lpstr>
      <vt:lpstr>SEPTIEMBRE</vt:lpstr>
      <vt:lpstr>OCTUBRE</vt:lpstr>
      <vt:lpstr>NOVIEMBRE</vt:lpstr>
      <vt:lpstr>DICIEMBRE</vt:lpstr>
      <vt:lpstr>AGOSTO!Área_de_impresión</vt:lpstr>
      <vt:lpstr>DICIEMBRE!Área_de_impresión</vt:lpstr>
      <vt:lpstr>'JULIO '!Área_de_impresión</vt:lpstr>
      <vt:lpstr>NOVIEMBRE!Área_de_impresión</vt:lpstr>
      <vt:lpstr>OCTUBRE!Área_de_impresión</vt:lpstr>
      <vt:lpstr>SEPTIEMBRE!Área_de_impresión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Carolina Cabrera</dc:creator>
  <cp:keywords/>
  <dc:description/>
  <cp:lastModifiedBy>Carolina Cabrera</cp:lastModifiedBy>
  <cp:revision/>
  <dcterms:created xsi:type="dcterms:W3CDTF">2022-02-07T12:32:53Z</dcterms:created>
  <dcterms:modified xsi:type="dcterms:W3CDTF">2026-02-13T21:37:23Z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</Properties>
</file>