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0" documentId="11_09E44D95D123D8A9AC3AA3A732444B79613DB2C2" xr6:coauthVersionLast="47" xr6:coauthVersionMax="47" xr10:uidLastSave="{00000000-0000-0000-0000-000000000000}"/>
  <bookViews>
    <workbookView xWindow="-54" yWindow="3063" windowWidth="20418" windowHeight="7877" firstSheet="7" activeTab="11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  <sheet name=" ENERO 2026" sheetId="13" r:id="rId13"/>
  </sheets>
  <definedNames>
    <definedName name="_xlnm.Print_Area" localSheetId="3">ABRIL!$A$1:$H$27</definedName>
    <definedName name="_xlnm.Print_Area" localSheetId="0">ENERO!$A$1:$H$28</definedName>
    <definedName name="_xlnm.Print_Area" localSheetId="1">FEBRERO!$A$1:$H$27</definedName>
    <definedName name="_xlnm.Print_Area" localSheetId="5">JUNIO!$A$1:$H$27</definedName>
    <definedName name="_xlnm.Print_Area" localSheetId="2">MARZO!$A$1:$H$27</definedName>
    <definedName name="_xlnm.Print_Area" localSheetId="4">MAYO!$A$1:$H$27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3" l="1"/>
  <c r="E8" i="13" s="1"/>
  <c r="G26" i="12" l="1"/>
  <c r="E8" i="12" s="1"/>
  <c r="G26" i="11"/>
  <c r="E8" i="11" s="1"/>
  <c r="G26" i="9"/>
  <c r="E8" i="9" s="1"/>
  <c r="G26" i="10"/>
  <c r="E8" i="10" s="1"/>
  <c r="G26" i="8" l="1"/>
  <c r="E8" i="8" s="1"/>
  <c r="G26" i="7" l="1"/>
  <c r="E8" i="7" s="1"/>
  <c r="G26" i="5" l="1"/>
  <c r="G26" i="4"/>
  <c r="G26" i="1" l="1"/>
  <c r="G26" i="6" l="1"/>
  <c r="E8" i="5"/>
  <c r="E8" i="6" l="1"/>
  <c r="E8" i="4"/>
  <c r="G26" i="3"/>
  <c r="E8" i="3" s="1"/>
  <c r="G26" i="2"/>
  <c r="E8" i="2" s="1"/>
  <c r="E8" i="1"/>
  <c r="E7" i="1" l="1"/>
  <c r="H8" i="1" s="1"/>
  <c r="E4" i="2" s="1"/>
  <c r="E7" i="2" s="1"/>
  <c r="H8" i="2" s="1"/>
  <c r="E4" i="3" s="1"/>
  <c r="E7" i="3" s="1"/>
  <c r="H8" i="3" s="1"/>
  <c r="E4" i="4" s="1"/>
  <c r="E7" i="4" s="1"/>
  <c r="H8" i="4" s="1"/>
  <c r="E4" i="5" s="1"/>
  <c r="E7" i="5" s="1"/>
  <c r="H8" i="5" s="1"/>
  <c r="E4" i="6" l="1"/>
  <c r="E7" i="6" s="1"/>
  <c r="H8" i="6" s="1"/>
  <c r="E4" i="7" s="1"/>
  <c r="E7" i="7" s="1"/>
  <c r="H8" i="7" s="1"/>
  <c r="E4" i="8" s="1"/>
  <c r="E7" i="8" s="1"/>
  <c r="H8" i="8" s="1"/>
  <c r="E4" i="9" s="1"/>
  <c r="E7" i="9" s="1"/>
  <c r="H8" i="9" s="1"/>
  <c r="E4" i="10" s="1"/>
  <c r="E7" i="10" s="1"/>
  <c r="H8" i="10" s="1"/>
  <c r="E4" i="11" s="1"/>
  <c r="E7" i="11" s="1"/>
  <c r="H8" i="11" s="1"/>
  <c r="E4" i="12" s="1"/>
  <c r="E7" i="12" s="1"/>
  <c r="H8" i="12" s="1"/>
  <c r="E4" i="13" s="1"/>
  <c r="E7" i="13" s="1"/>
  <c r="H8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deposito de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deposito de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deposito de Raul</t>
        </r>
      </text>
    </comment>
  </commentList>
</comments>
</file>

<file path=xl/sharedStrings.xml><?xml version="1.0" encoding="utf-8"?>
<sst xmlns="http://schemas.openxmlformats.org/spreadsheetml/2006/main" count="360" uniqueCount="76">
  <si>
    <t xml:space="preserve">RENDICION CAJA CHICA  </t>
  </si>
  <si>
    <t>ESTADO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</si>
  <si>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</si>
  <si>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</si>
  <si>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</si>
  <si>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</si>
  <si>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</si>
  <si>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</si>
  <si>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</si>
  <si>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</si>
  <si>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</si>
  <si>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</si>
  <si>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</si>
  <si>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</si>
  <si>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</si>
  <si>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</si>
  <si>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190</t>
  </si>
  <si>
    <t>AGUA</t>
  </si>
  <si>
    <t>TOTALES</t>
  </si>
  <si>
    <t>BOLETA</t>
  </si>
  <si>
    <t>PAPEL HIGIENICO</t>
  </si>
  <si>
    <t>saldo anterior dejar con link que arrastra valor</t>
  </si>
  <si>
    <t>siempre agregar en deposito el valor que les ingresa Raul</t>
  </si>
  <si>
    <t>no mover link de saldo anterior</t>
  </si>
  <si>
    <t>agua</t>
  </si>
  <si>
    <t xml:space="preserve">Desayuno cumpleños mayerli </t>
  </si>
  <si>
    <t>ENERO</t>
  </si>
  <si>
    <t>ENVIO MATERIAL VISUAL CONCE Y TALCA</t>
  </si>
  <si>
    <t>FEBRERO</t>
  </si>
  <si>
    <t>MARZO</t>
  </si>
  <si>
    <t>boleta</t>
  </si>
  <si>
    <t>ENTRADA A BAÑO PUBLICO</t>
  </si>
  <si>
    <t xml:space="preserve">paños para secar </t>
  </si>
  <si>
    <t>cafes equipo</t>
  </si>
  <si>
    <t>229520025-2126305102</t>
  </si>
  <si>
    <t>bienvenida nuevo integrante</t>
  </si>
  <si>
    <t>pizza cumpleaños</t>
  </si>
  <si>
    <t>papel hgienico</t>
  </si>
  <si>
    <t>DESTORNILLADOR</t>
  </si>
  <si>
    <t>ESPEJO</t>
  </si>
  <si>
    <t>REUNION EQUIPO</t>
  </si>
  <si>
    <t>CINTA DOBLE CONTACTO</t>
  </si>
  <si>
    <t>CAFÉ RECEPCION MERCADERIA</t>
  </si>
  <si>
    <t>mantencin cortina</t>
  </si>
  <si>
    <t>Boleta</t>
  </si>
  <si>
    <t>factura</t>
  </si>
  <si>
    <t>10.047.460-3</t>
  </si>
  <si>
    <t>Candados e iman</t>
  </si>
  <si>
    <t>Aguja para etiquetadora</t>
  </si>
  <si>
    <t>Cerrojo y caja organizadora</t>
  </si>
  <si>
    <t>Luz panel de salon</t>
  </si>
  <si>
    <t>Agua</t>
  </si>
  <si>
    <t>Cafes equipo</t>
  </si>
  <si>
    <t>Aluerzo equipo</t>
  </si>
  <si>
    <t>JUNIO</t>
  </si>
  <si>
    <t>JULIO</t>
  </si>
  <si>
    <t>ABRIL</t>
  </si>
  <si>
    <t>MAYO</t>
  </si>
  <si>
    <t>AGOSTO</t>
  </si>
  <si>
    <t>Pilas control</t>
  </si>
  <si>
    <t>Factura</t>
  </si>
  <si>
    <t>Mantecion cortina</t>
  </si>
  <si>
    <t>SEPTIEMBRE</t>
  </si>
  <si>
    <t>.</t>
  </si>
  <si>
    <t>FACTURA</t>
  </si>
  <si>
    <t>LIMPIEZA DE FACHADAS</t>
  </si>
  <si>
    <t>ALCOHOL</t>
  </si>
  <si>
    <t>CORDEL PLASTICO</t>
  </si>
  <si>
    <t>Desayuno equipo</t>
  </si>
  <si>
    <t>OCTUBRE</t>
  </si>
  <si>
    <t>NOVIEMBRE</t>
  </si>
  <si>
    <t>DICIEMBRE</t>
  </si>
  <si>
    <t>adaptador usb</t>
  </si>
  <si>
    <t xml:space="preserve">articulos para tienda </t>
  </si>
  <si>
    <t>mantencion de cortinas metalicas</t>
  </si>
  <si>
    <t>articulos para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</si>
</sst>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2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i/>
      <sz val="10"/>
      <color rgb="FFFF0000"/>
      <name val="Segoe U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0" fontId="19" fillId="2" borderId="0" xfId="0" applyFont="1" applyFill="1"/>
    <xf numFmtId="1" fontId="17" fillId="2" borderId="3" xfId="0" applyNumberFormat="1" applyFont="1" applyFill="1" applyBorder="1" applyAlignment="1">
      <alignment horizontal="left" wrapText="1"/>
    </xf>
    <xf numFmtId="165" fontId="13" fillId="0" borderId="1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8</xdr:row>
      <xdr:rowOff>127000</xdr:rowOff>
    </xdr:from>
    <xdr:to>
      <xdr:col>17</xdr:col>
      <xdr:colOff>178048</xdr:colOff>
      <xdr:row>21</xdr:row>
      <xdr:rowOff>103046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4917" y="2582333"/>
          <a:ext cx="5797798" cy="3987130"/>
        </a:xfrm>
        <a:prstGeom prst="rect">
          <a:avLst/>
        </a:prstGeom>
      </xdr:spPr>
    </xdr:pic>
    <xdr:clientData/>
  </xdr:twoCellAnchor>
  <xdr:twoCellAnchor editAs="oneCell">
    <xdr:from>
      <xdr:col>9</xdr:col>
      <xdr:colOff>391583</xdr:colOff>
      <xdr:row>4</xdr:row>
      <xdr:rowOff>31750</xdr:rowOff>
    </xdr:from>
    <xdr:to>
      <xdr:col>18</xdr:col>
      <xdr:colOff>173435</xdr:colOff>
      <xdr:row>5</xdr:row>
      <xdr:rowOff>161974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0" y="1598083"/>
          <a:ext cx="6639852" cy="3524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495301</xdr:colOff>
      <xdr:row>2</xdr:row>
      <xdr:rowOff>161568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7000"/>
          <a:ext cx="647700" cy="107279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619126</xdr:colOff>
      <xdr:row>2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647700" cy="1047750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504825</xdr:colOff>
      <xdr:row>7</xdr:row>
      <xdr:rowOff>85725</xdr:rowOff>
    </xdr:from>
    <xdr:to>
      <xdr:col>16</xdr:col>
      <xdr:colOff>677150</xdr:colOff>
      <xdr:row>17</xdr:row>
      <xdr:rowOff>76693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2305050"/>
          <a:ext cx="6268325" cy="35342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857250</xdr:colOff>
      <xdr:row>2</xdr:row>
      <xdr:rowOff>276225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885824" cy="131444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D2D5DB-DD64-4046-8EF1-35504422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2CBF8D-851C-4655-AA67-DCFE2745C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E4D74E4-CB7E-423B-8505-002E1F622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6F44C9-BED6-4ACF-A70F-DB9ED971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BC3A57F-2D47-4A9D-88E1-C6E194C9E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7D35E1A-D87E-43CB-ABCE-6776DAA8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1277507-B548-46D9-93CC-EE2821B7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0</xdr:row>
      <xdr:rowOff>1</xdr:rowOff>
    </xdr:from>
    <xdr:to>
      <xdr:col>1</xdr:col>
      <xdr:colOff>619126</xdr:colOff>
      <xdr:row>2</xdr:row>
      <xdr:rowOff>9526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9F75187-1C56-430A-8D90-A418A6D4C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647700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0</xdr:row>
      <xdr:rowOff>1</xdr:rowOff>
    </xdr:from>
    <xdr:to>
      <xdr:col>1</xdr:col>
      <xdr:colOff>857250</xdr:colOff>
      <xdr:row>2</xdr:row>
      <xdr:rowOff>276225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83DFD58-40A7-4AFF-B376-BDC19113F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885824" cy="13144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857250</xdr:colOff>
      <xdr:row>2</xdr:row>
      <xdr:rowOff>276225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5DC622-9415-4152-8894-CF60BF593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885824" cy="13144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857250</xdr:colOff>
      <xdr:row>2</xdr:row>
      <xdr:rowOff>276225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43FA29-F12A-4889-AA1E-EC8ABFC1F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885824" cy="13144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857250</xdr:colOff>
      <xdr:row>2</xdr:row>
      <xdr:rowOff>276225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D741E8-23D4-4BF8-A6D5-197D50426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885824" cy="13144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219076</xdr:colOff>
      <xdr:row>0</xdr:row>
      <xdr:rowOff>1</xdr:rowOff>
    </xdr:from>
    <xdr:to>
      <xdr:col>1</xdr:col>
      <xdr:colOff>857250</xdr:colOff>
      <xdr:row>6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D741E8-23D4-4BF8-A6D5-197D50426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6" y="1"/>
          <a:ext cx="885824" cy="131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zoomScale="90" zoomScaleNormal="90" workbookViewId="0">
      <selection activeCell="B29" sqref="B29:D29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45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26</v>
      </c>
    </row>
    <row r="4" spans="1:15" ht="17.75" x14ac:dyDescent="0.45">
      <c r="B4" s="49" t="s">
        <v>3</v>
      </c>
      <c r="C4" s="49"/>
      <c r="D4" s="49"/>
      <c r="E4" s="35">
        <v>47530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52470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17830</v>
      </c>
      <c r="F8" s="7"/>
      <c r="G8" s="29" t="s">
        <v>8</v>
      </c>
      <c r="H8" s="36">
        <f>E7-E8</f>
        <v>82170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45673</v>
      </c>
      <c r="C11" s="39" t="s">
        <v>19</v>
      </c>
      <c r="D11" s="40"/>
      <c r="E11" s="41"/>
      <c r="F11" s="42" t="s">
        <v>24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45685</v>
      </c>
      <c r="C12" s="39" t="s">
        <v>19</v>
      </c>
      <c r="D12" s="40">
        <v>2982227679</v>
      </c>
      <c r="E12" s="41"/>
      <c r="F12" s="42" t="s">
        <v>25</v>
      </c>
      <c r="G12" s="44">
        <v>12830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17830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zoomScale="90" zoomScaleNormal="90" workbookViewId="0">
      <selection activeCell="K22" sqref="K22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28</v>
      </c>
      <c r="J3" s="46"/>
    </row>
    <row r="4" spans="1:15" ht="17.75" x14ac:dyDescent="0.45">
      <c r="B4" s="49" t="s">
        <v>3</v>
      </c>
      <c r="C4" s="49"/>
      <c r="D4" s="49"/>
      <c r="E4" s="35">
        <f>+ENERO!H8</f>
        <v>82170</v>
      </c>
      <c r="F4" s="7"/>
      <c r="G4" s="31"/>
    </row>
    <row r="5" spans="1:15" ht="17.75" x14ac:dyDescent="0.45">
      <c r="B5" s="25" t="s">
        <v>4</v>
      </c>
      <c r="C5" s="25"/>
      <c r="D5" s="25"/>
      <c r="E5" s="36">
        <v>17830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26050</v>
      </c>
      <c r="F8" s="7"/>
      <c r="G8" s="29" t="s">
        <v>8</v>
      </c>
      <c r="H8" s="36">
        <f>E7-E8</f>
        <v>73950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45698</v>
      </c>
      <c r="C11" s="39" t="s">
        <v>19</v>
      </c>
      <c r="D11" s="40"/>
      <c r="E11" s="41"/>
      <c r="F11" s="42" t="s">
        <v>17</v>
      </c>
      <c r="G11" s="44">
        <v>10000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45705</v>
      </c>
      <c r="C12" s="39" t="s">
        <v>19</v>
      </c>
      <c r="D12" s="40">
        <v>52940482</v>
      </c>
      <c r="E12" s="41"/>
      <c r="F12" s="42" t="s">
        <v>27</v>
      </c>
      <c r="G12" s="44">
        <v>15050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45692</v>
      </c>
      <c r="C13" s="39" t="s">
        <v>19</v>
      </c>
      <c r="D13" s="40">
        <v>21224466188</v>
      </c>
      <c r="E13" s="41"/>
      <c r="F13" s="42" t="s">
        <v>20</v>
      </c>
      <c r="G13" s="44">
        <v>1000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26050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B8:D8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zoomScale="90" zoomScaleNormal="90" workbookViewId="0">
      <selection activeCell="G18" sqref="G18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7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29</v>
      </c>
    </row>
    <row r="4" spans="1:15" ht="17.75" x14ac:dyDescent="0.45">
      <c r="B4" s="49" t="s">
        <v>3</v>
      </c>
      <c r="C4" s="49"/>
      <c r="D4" s="49"/>
      <c r="E4" s="35">
        <f>+FEBRERO!H8</f>
        <v>73950</v>
      </c>
      <c r="F4" s="7"/>
      <c r="G4" s="31"/>
      <c r="J4" s="46" t="s">
        <v>21</v>
      </c>
    </row>
    <row r="5" spans="1:15" ht="17.75" x14ac:dyDescent="0.45">
      <c r="B5" s="25" t="s">
        <v>4</v>
      </c>
      <c r="C5" s="25"/>
      <c r="D5" s="25"/>
      <c r="E5" s="36">
        <v>26050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51860</v>
      </c>
      <c r="F8" s="7"/>
      <c r="G8" s="29" t="s">
        <v>8</v>
      </c>
      <c r="H8" s="36">
        <f>E7-E8</f>
        <v>48140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45719</v>
      </c>
      <c r="C11" s="39" t="s">
        <v>30</v>
      </c>
      <c r="D11" s="40">
        <v>290598</v>
      </c>
      <c r="E11" s="41"/>
      <c r="F11" s="42" t="s">
        <v>31</v>
      </c>
      <c r="G11" s="44">
        <v>800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45719</v>
      </c>
      <c r="C12" s="39" t="s">
        <v>30</v>
      </c>
      <c r="D12" s="40">
        <v>2126302420</v>
      </c>
      <c r="E12" s="41"/>
      <c r="F12" s="42" t="s">
        <v>32</v>
      </c>
      <c r="G12" s="44">
        <v>4340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45751</v>
      </c>
      <c r="C13" s="39" t="s">
        <v>30</v>
      </c>
      <c r="D13" s="40">
        <v>78680072</v>
      </c>
      <c r="E13" s="41"/>
      <c r="F13" s="42" t="s">
        <v>33</v>
      </c>
      <c r="G13" s="44">
        <v>18320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45722</v>
      </c>
      <c r="C14" s="39" t="s">
        <v>30</v>
      </c>
      <c r="D14" s="40"/>
      <c r="E14" s="41"/>
      <c r="F14" s="42" t="s">
        <v>24</v>
      </c>
      <c r="G14" s="44">
        <v>5000</v>
      </c>
      <c r="H14" s="43"/>
      <c r="I14" s="12"/>
      <c r="J14" s="12"/>
      <c r="K14" s="12"/>
      <c r="L14" s="12"/>
      <c r="M14" s="12"/>
      <c r="N14" s="12"/>
      <c r="O14" s="12"/>
    </row>
    <row r="15" spans="1:15" ht="34.4" x14ac:dyDescent="0.45">
      <c r="A15" s="15">
        <v>5</v>
      </c>
      <c r="B15" s="39">
        <v>45729</v>
      </c>
      <c r="C15" s="39" t="s">
        <v>30</v>
      </c>
      <c r="D15" s="40" t="s">
        <v>34</v>
      </c>
      <c r="E15" s="41"/>
      <c r="F15" s="42" t="s">
        <v>35</v>
      </c>
      <c r="G15" s="44">
        <v>6370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45736</v>
      </c>
      <c r="C16" s="39" t="s">
        <v>30</v>
      </c>
      <c r="D16" s="40">
        <v>16470806</v>
      </c>
      <c r="E16" s="41"/>
      <c r="F16" s="42" t="s">
        <v>36</v>
      </c>
      <c r="G16" s="44">
        <v>9980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45741</v>
      </c>
      <c r="C17" s="39" t="s">
        <v>30</v>
      </c>
      <c r="D17" s="40">
        <v>3029096551</v>
      </c>
      <c r="E17" s="41"/>
      <c r="F17" s="42" t="s">
        <v>37</v>
      </c>
      <c r="G17" s="44">
        <v>2050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45747</v>
      </c>
      <c r="C18" s="39" t="s">
        <v>30</v>
      </c>
      <c r="D18" s="40"/>
      <c r="E18" s="41"/>
      <c r="F18" s="42" t="s">
        <v>24</v>
      </c>
      <c r="G18" s="44">
        <v>5000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51860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4"/>
  <sheetViews>
    <sheetView zoomScale="90" zoomScaleNormal="90" workbookViewId="0">
      <selection activeCell="H3" sqref="H3"/>
    </sheetView>
  </sheetViews>
  <sheetFormatPr baseColWidth="10" defaultColWidth="11.3984375" defaultRowHeight="14.55" x14ac:dyDescent="0.35"/>
  <cols>
    <col min="1" max="1" width="3.69921875" style="2" bestFit="1" customWidth="1"/>
    <col min="2" max="2" width="24.29687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7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  <c r="K2" s="46" t="s">
        <v>23</v>
      </c>
    </row>
    <row r="3" spans="1:15" ht="24.05" customHeight="1" x14ac:dyDescent="0.55000000000000004">
      <c r="D3" s="4"/>
      <c r="F3" s="24"/>
      <c r="G3" s="32" t="s">
        <v>2</v>
      </c>
      <c r="H3" s="27" t="s">
        <v>56</v>
      </c>
      <c r="K3" s="46" t="s">
        <v>22</v>
      </c>
    </row>
    <row r="4" spans="1:15" ht="17.75" x14ac:dyDescent="0.45">
      <c r="B4" s="49" t="s">
        <v>3</v>
      </c>
      <c r="C4" s="49"/>
      <c r="D4" s="49"/>
      <c r="E4" s="35">
        <f>+MARZO!H8</f>
        <v>48140</v>
      </c>
      <c r="F4" s="7"/>
      <c r="G4" s="31"/>
    </row>
    <row r="5" spans="1:15" ht="17.75" x14ac:dyDescent="0.45">
      <c r="B5" s="25" t="s">
        <v>4</v>
      </c>
      <c r="C5" s="25"/>
      <c r="D5" s="25"/>
      <c r="E5" s="36">
        <v>51860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49950</v>
      </c>
      <c r="F8" s="7"/>
      <c r="G8" s="29" t="s">
        <v>8</v>
      </c>
      <c r="H8" s="36">
        <f>E7-E8</f>
        <v>50050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45756</v>
      </c>
      <c r="C11" s="39" t="s">
        <v>19</v>
      </c>
      <c r="D11" s="40">
        <v>3081</v>
      </c>
      <c r="E11" s="41"/>
      <c r="F11" s="42" t="s">
        <v>39</v>
      </c>
      <c r="G11" s="44">
        <v>7990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45754</v>
      </c>
      <c r="C12" s="39" t="s">
        <v>19</v>
      </c>
      <c r="D12" s="40">
        <v>207240</v>
      </c>
      <c r="E12" s="41"/>
      <c r="F12" s="42" t="s">
        <v>38</v>
      </c>
      <c r="G12" s="44">
        <v>8990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45759</v>
      </c>
      <c r="C13" s="39" t="s">
        <v>19</v>
      </c>
      <c r="D13" s="40">
        <v>25587202</v>
      </c>
      <c r="E13" s="41"/>
      <c r="F13" s="42" t="s">
        <v>40</v>
      </c>
      <c r="G13" s="44">
        <v>12480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45761</v>
      </c>
      <c r="C14" s="39" t="s">
        <v>19</v>
      </c>
      <c r="D14" s="40">
        <v>14</v>
      </c>
      <c r="E14" s="41"/>
      <c r="F14" s="42" t="s">
        <v>17</v>
      </c>
      <c r="G14" s="44">
        <v>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45763</v>
      </c>
      <c r="C15" s="39" t="s">
        <v>19</v>
      </c>
      <c r="D15" s="40">
        <v>208625</v>
      </c>
      <c r="E15" s="41"/>
      <c r="F15" s="42" t="s">
        <v>41</v>
      </c>
      <c r="G15" s="44">
        <v>6990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45772</v>
      </c>
      <c r="C16" s="39" t="s">
        <v>19</v>
      </c>
      <c r="D16" s="40">
        <v>141</v>
      </c>
      <c r="E16" s="41"/>
      <c r="F16" s="42" t="s">
        <v>17</v>
      </c>
      <c r="G16" s="44">
        <v>2500</v>
      </c>
      <c r="H16" s="43"/>
      <c r="I16" s="12"/>
      <c r="J16" s="12"/>
      <c r="K16" s="12"/>
      <c r="L16" s="12"/>
      <c r="M16" s="12"/>
      <c r="N16" s="12"/>
      <c r="O16" s="12"/>
    </row>
    <row r="17" spans="1:15" ht="34.4" x14ac:dyDescent="0.45">
      <c r="A17" s="15">
        <v>7</v>
      </c>
      <c r="B17" s="39">
        <v>45776</v>
      </c>
      <c r="C17" s="39" t="s">
        <v>19</v>
      </c>
      <c r="D17" s="40">
        <v>129473</v>
      </c>
      <c r="E17" s="41"/>
      <c r="F17" s="42" t="s">
        <v>42</v>
      </c>
      <c r="G17" s="44">
        <v>6000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49950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4"/>
  <sheetViews>
    <sheetView zoomScale="90" zoomScaleNormal="90" workbookViewId="0">
      <selection activeCell="G13" sqref="G13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57</v>
      </c>
    </row>
    <row r="4" spans="1:15" ht="17.75" x14ac:dyDescent="0.45">
      <c r="B4" s="49" t="s">
        <v>3</v>
      </c>
      <c r="C4" s="49"/>
      <c r="D4" s="49"/>
      <c r="E4" s="35">
        <f>+ABRIL!H8</f>
        <v>50050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49950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20260</v>
      </c>
      <c r="F8" s="7"/>
      <c r="G8" s="29" t="s">
        <v>8</v>
      </c>
      <c r="H8" s="36">
        <f>E7-E8</f>
        <v>79740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45779</v>
      </c>
      <c r="C11" s="39" t="s">
        <v>44</v>
      </c>
      <c r="D11" s="40">
        <v>750</v>
      </c>
      <c r="E11" s="41"/>
      <c r="F11" s="42" t="s">
        <v>24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45786</v>
      </c>
      <c r="C12" s="39" t="s">
        <v>45</v>
      </c>
      <c r="D12" s="40">
        <v>8</v>
      </c>
      <c r="E12" s="41" t="s">
        <v>46</v>
      </c>
      <c r="F12" s="42" t="s">
        <v>43</v>
      </c>
      <c r="G12" s="44">
        <v>10260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45799</v>
      </c>
      <c r="C13" s="39" t="s">
        <v>30</v>
      </c>
      <c r="D13" s="40">
        <v>878</v>
      </c>
      <c r="E13" s="41"/>
      <c r="F13" s="42" t="s">
        <v>24</v>
      </c>
      <c r="G13" s="44">
        <v>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20260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49"/>
      <c r="E29" s="51"/>
      <c r="F29" s="51"/>
    </row>
    <row r="30" spans="1:15" ht="17.75" x14ac:dyDescent="0.45">
      <c r="B30" s="53"/>
      <c r="C30" s="53"/>
      <c r="D30" s="5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4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54</v>
      </c>
    </row>
    <row r="4" spans="1:15" ht="17.75" x14ac:dyDescent="0.45">
      <c r="B4" s="49" t="s">
        <v>3</v>
      </c>
      <c r="C4" s="49"/>
      <c r="D4" s="49"/>
      <c r="E4" s="35">
        <f>+MAYO!H8</f>
        <v>79740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20260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49020</v>
      </c>
      <c r="F8" s="7"/>
      <c r="G8" s="29" t="s">
        <v>8</v>
      </c>
      <c r="H8" s="36">
        <f>E7-E8</f>
        <v>50980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45812</v>
      </c>
      <c r="C11" s="39" t="s">
        <v>44</v>
      </c>
      <c r="D11" s="40">
        <v>1152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45813</v>
      </c>
      <c r="C12" s="39" t="s">
        <v>44</v>
      </c>
      <c r="D12" s="40">
        <v>1557</v>
      </c>
      <c r="E12" s="41"/>
      <c r="F12" s="42" t="s">
        <v>47</v>
      </c>
      <c r="G12" s="44">
        <v>21230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45826</v>
      </c>
      <c r="C13" s="39" t="s">
        <v>44</v>
      </c>
      <c r="D13" s="40">
        <v>22005</v>
      </c>
      <c r="E13" s="41"/>
      <c r="F13" s="42" t="s">
        <v>48</v>
      </c>
      <c r="G13" s="44">
        <v>5210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45827</v>
      </c>
      <c r="C14" s="39" t="s">
        <v>44</v>
      </c>
      <c r="D14" s="40">
        <v>1174</v>
      </c>
      <c r="E14" s="41"/>
      <c r="F14" s="42" t="s">
        <v>17</v>
      </c>
      <c r="G14" s="44">
        <v>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45828</v>
      </c>
      <c r="C15" s="39" t="s">
        <v>44</v>
      </c>
      <c r="D15" s="40">
        <v>791954930</v>
      </c>
      <c r="E15" s="41"/>
      <c r="F15" s="42" t="s">
        <v>49</v>
      </c>
      <c r="G15" s="44">
        <v>12580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49020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topLeftCell="A4" workbookViewId="0">
      <selection activeCell="E6" sqref="E6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55</v>
      </c>
    </row>
    <row r="4" spans="1:15" ht="17.75" x14ac:dyDescent="0.45">
      <c r="B4" s="49" t="s">
        <v>3</v>
      </c>
      <c r="C4" s="49"/>
      <c r="D4" s="49"/>
      <c r="E4" s="35">
        <f>JUNIO!H8</f>
        <v>50980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49020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78570</v>
      </c>
      <c r="F8" s="7"/>
      <c r="G8" s="29" t="s">
        <v>8</v>
      </c>
      <c r="H8" s="36">
        <f>E7-E8</f>
        <v>21430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45855</v>
      </c>
      <c r="C11" s="39" t="s">
        <v>44</v>
      </c>
      <c r="D11" s="40">
        <v>203</v>
      </c>
      <c r="E11" s="41"/>
      <c r="F11" s="42" t="s">
        <v>51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45852</v>
      </c>
      <c r="C12" s="39" t="s">
        <v>44</v>
      </c>
      <c r="D12" s="40">
        <v>48522</v>
      </c>
      <c r="E12" s="41"/>
      <c r="F12" s="42" t="s">
        <v>52</v>
      </c>
      <c r="G12" s="44">
        <v>12000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45853</v>
      </c>
      <c r="C13" s="39" t="s">
        <v>44</v>
      </c>
      <c r="D13" s="40">
        <v>501919</v>
      </c>
      <c r="E13" s="41"/>
      <c r="F13" s="42" t="s">
        <v>53</v>
      </c>
      <c r="G13" s="44">
        <v>52580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45863</v>
      </c>
      <c r="C14" s="39" t="s">
        <v>44</v>
      </c>
      <c r="D14" s="40">
        <v>220033</v>
      </c>
      <c r="E14" s="41"/>
      <c r="F14" s="42" t="s">
        <v>50</v>
      </c>
      <c r="G14" s="44">
        <v>8990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78570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4"/>
  <sheetViews>
    <sheetView workbookViewId="0">
      <selection activeCell="E7" sqref="E7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58</v>
      </c>
    </row>
    <row r="4" spans="1:15" ht="17.75" x14ac:dyDescent="0.45">
      <c r="B4" s="49" t="s">
        <v>3</v>
      </c>
      <c r="C4" s="49"/>
      <c r="D4" s="49"/>
      <c r="E4" s="35">
        <f>JULIO!H8</f>
        <v>21430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78570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29180</v>
      </c>
      <c r="F8" s="7"/>
      <c r="G8" s="29" t="s">
        <v>8</v>
      </c>
      <c r="H8" s="36">
        <f>E7-E8</f>
        <v>70820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45864</v>
      </c>
      <c r="C11" s="39" t="s">
        <v>44</v>
      </c>
      <c r="D11" s="40">
        <v>191</v>
      </c>
      <c r="E11" s="41"/>
      <c r="F11" s="42" t="s">
        <v>51</v>
      </c>
      <c r="G11" s="44">
        <v>2500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45866</v>
      </c>
      <c r="C12" s="39" t="s">
        <v>44</v>
      </c>
      <c r="D12" s="47">
        <v>120188999414</v>
      </c>
      <c r="E12" s="41"/>
      <c r="F12" s="42" t="s">
        <v>59</v>
      </c>
      <c r="G12" s="44">
        <v>7000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45875</v>
      </c>
      <c r="C13" s="39" t="s">
        <v>60</v>
      </c>
      <c r="D13" s="40">
        <v>15</v>
      </c>
      <c r="E13" s="41"/>
      <c r="F13" s="42" t="s">
        <v>61</v>
      </c>
      <c r="G13" s="44">
        <v>14680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45875</v>
      </c>
      <c r="C14" s="39" t="s">
        <v>44</v>
      </c>
      <c r="D14" s="40">
        <v>701</v>
      </c>
      <c r="E14" s="41"/>
      <c r="F14" s="42" t="s">
        <v>51</v>
      </c>
      <c r="G14" s="44">
        <v>2500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45885</v>
      </c>
      <c r="C15" s="39" t="s">
        <v>44</v>
      </c>
      <c r="D15" s="40">
        <v>763</v>
      </c>
      <c r="E15" s="41"/>
      <c r="F15" s="42" t="s">
        <v>51</v>
      </c>
      <c r="G15" s="44">
        <v>2500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29180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4"/>
  <sheetViews>
    <sheetView workbookViewId="0">
      <selection activeCell="H8" sqref="H8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62</v>
      </c>
    </row>
    <row r="4" spans="1:15" ht="17.75" x14ac:dyDescent="0.45">
      <c r="B4" s="49" t="s">
        <v>3</v>
      </c>
      <c r="C4" s="49"/>
      <c r="D4" s="49"/>
      <c r="E4" s="35">
        <f>+AGOSTO!H8</f>
        <v>70820</v>
      </c>
      <c r="F4" s="7"/>
      <c r="G4" s="31"/>
    </row>
    <row r="5" spans="1:15" ht="17.75" x14ac:dyDescent="0.45">
      <c r="B5" s="25" t="s">
        <v>4</v>
      </c>
      <c r="C5" s="25"/>
      <c r="D5" s="25"/>
      <c r="E5" s="35">
        <v>29180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34730</v>
      </c>
      <c r="F8" s="7"/>
      <c r="G8" s="29" t="s">
        <v>8</v>
      </c>
      <c r="H8" s="36">
        <f>E7-E8</f>
        <v>65270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45919</v>
      </c>
      <c r="C11" s="39" t="s">
        <v>19</v>
      </c>
      <c r="D11" s="40">
        <v>380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45917</v>
      </c>
      <c r="C12" s="39" t="s">
        <v>19</v>
      </c>
      <c r="D12" s="47">
        <v>1664950</v>
      </c>
      <c r="E12" s="41"/>
      <c r="F12" s="42" t="s">
        <v>68</v>
      </c>
      <c r="G12" s="44">
        <v>12000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45907</v>
      </c>
      <c r="C13" s="39" t="s">
        <v>19</v>
      </c>
      <c r="D13" s="40">
        <v>177291812</v>
      </c>
      <c r="E13" s="41"/>
      <c r="F13" s="42" t="s">
        <v>68</v>
      </c>
      <c r="G13" s="44">
        <v>12730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45923</v>
      </c>
      <c r="C14" s="39" t="s">
        <v>19</v>
      </c>
      <c r="D14" s="40">
        <v>394</v>
      </c>
      <c r="E14" s="41"/>
      <c r="F14" s="42" t="s">
        <v>17</v>
      </c>
      <c r="G14" s="44">
        <v>5000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 t="s">
        <v>63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34730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49"/>
      <c r="E29" s="51"/>
      <c r="F29" s="51"/>
    </row>
    <row r="30" spans="1:15" ht="17.75" x14ac:dyDescent="0.45">
      <c r="B30" s="53"/>
      <c r="C30" s="53"/>
      <c r="D30" s="53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4"/>
  <sheetViews>
    <sheetView topLeftCell="A4" workbookViewId="0">
      <selection activeCell="H4" sqref="H4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69</v>
      </c>
    </row>
    <row r="4" spans="1:15" ht="17.75" x14ac:dyDescent="0.45">
      <c r="B4" s="49" t="s">
        <v>3</v>
      </c>
      <c r="C4" s="49"/>
      <c r="D4" s="49"/>
      <c r="E4" s="35">
        <f>+SEPTIEMBRE!H8</f>
        <v>65270</v>
      </c>
      <c r="F4" s="7"/>
      <c r="G4" s="31"/>
    </row>
    <row r="5" spans="1:15" ht="17.75" x14ac:dyDescent="0.45">
      <c r="B5" s="25" t="s">
        <v>4</v>
      </c>
      <c r="C5" s="25"/>
      <c r="D5" s="25"/>
      <c r="E5" s="48">
        <v>34730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65240</v>
      </c>
      <c r="F8" s="7"/>
      <c r="G8" s="29" t="s">
        <v>8</v>
      </c>
      <c r="H8" s="36">
        <f>E7-E8</f>
        <v>34760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45929</v>
      </c>
      <c r="C11" s="39" t="s">
        <v>64</v>
      </c>
      <c r="D11" s="40">
        <v>1323</v>
      </c>
      <c r="E11" s="41"/>
      <c r="F11" s="42" t="s">
        <v>65</v>
      </c>
      <c r="G11" s="44">
        <v>50000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45933</v>
      </c>
      <c r="C12" s="39" t="s">
        <v>19</v>
      </c>
      <c r="D12" s="47">
        <v>221</v>
      </c>
      <c r="E12" s="41"/>
      <c r="F12" s="42" t="s">
        <v>17</v>
      </c>
      <c r="G12" s="44">
        <v>2500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45951</v>
      </c>
      <c r="C13" s="39" t="s">
        <v>19</v>
      </c>
      <c r="D13" s="40">
        <v>61664</v>
      </c>
      <c r="E13" s="41"/>
      <c r="F13" s="42" t="s">
        <v>66</v>
      </c>
      <c r="G13" s="44">
        <v>2750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45953</v>
      </c>
      <c r="C14" s="39" t="s">
        <v>19</v>
      </c>
      <c r="D14" s="40">
        <v>230892</v>
      </c>
      <c r="E14" s="41"/>
      <c r="F14" s="42" t="s">
        <v>67</v>
      </c>
      <c r="G14" s="44">
        <v>9990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 t="s">
        <v>63</v>
      </c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65240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4"/>
  <sheetViews>
    <sheetView topLeftCell="A4" workbookViewId="0">
      <selection activeCell="M13" sqref="M13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70</v>
      </c>
    </row>
    <row r="4" spans="1:15" ht="17.75" x14ac:dyDescent="0.45">
      <c r="B4" s="49" t="s">
        <v>3</v>
      </c>
      <c r="C4" s="49"/>
      <c r="D4" s="49"/>
      <c r="E4" s="35">
        <f>+OCTUBRE!H8</f>
        <v>34760</v>
      </c>
      <c r="F4" s="7"/>
      <c r="G4" s="31"/>
    </row>
    <row r="5" spans="1:15" ht="17.75" x14ac:dyDescent="0.45">
      <c r="B5" s="25" t="s">
        <v>4</v>
      </c>
      <c r="C5" s="25"/>
      <c r="D5" s="25"/>
      <c r="E5" s="48">
        <v>65240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22990</v>
      </c>
      <c r="F8" s="7"/>
      <c r="G8" s="29" t="s">
        <v>8</v>
      </c>
      <c r="H8" s="36">
        <f>E7-E8</f>
        <v>77010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45958</v>
      </c>
      <c r="C11" s="39" t="s">
        <v>19</v>
      </c>
      <c r="D11" s="40">
        <v>571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45965</v>
      </c>
      <c r="C12" s="39" t="s">
        <v>19</v>
      </c>
      <c r="D12" s="47">
        <v>15223685</v>
      </c>
      <c r="E12" s="41"/>
      <c r="F12" s="42" t="s">
        <v>72</v>
      </c>
      <c r="G12" s="44">
        <v>12990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45982</v>
      </c>
      <c r="C13" s="39" t="s">
        <v>19</v>
      </c>
      <c r="D13" s="40">
        <v>571</v>
      </c>
      <c r="E13" s="41"/>
      <c r="F13" s="42" t="s">
        <v>17</v>
      </c>
      <c r="G13" s="44">
        <v>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22990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4"/>
  <sheetViews>
    <sheetView tabSelected="1" workbookViewId="0">
      <selection activeCell="H8" sqref="H8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31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71</v>
      </c>
    </row>
    <row r="4" spans="1:15" ht="17.75" x14ac:dyDescent="0.45">
      <c r="B4" s="49" t="s">
        <v>3</v>
      </c>
      <c r="C4" s="49"/>
      <c r="D4" s="49"/>
      <c r="E4" s="35">
        <f>+NOVIEMBRE!H8</f>
        <v>77010</v>
      </c>
      <c r="F4" s="7"/>
      <c r="G4" s="31"/>
    </row>
    <row r="5" spans="1:15" ht="17.75" x14ac:dyDescent="0.45">
      <c r="B5" s="25" t="s">
        <v>4</v>
      </c>
      <c r="C5" s="25"/>
      <c r="D5" s="25"/>
      <c r="E5" s="48">
        <v>22990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28770</v>
      </c>
      <c r="F8" s="7"/>
      <c r="G8" s="29" t="s">
        <v>8</v>
      </c>
      <c r="H8" s="36">
        <f>E7-E8</f>
        <v>71230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45994</v>
      </c>
      <c r="C11" s="39" t="s">
        <v>19</v>
      </c>
      <c r="D11" s="40">
        <v>235466</v>
      </c>
      <c r="E11" s="41"/>
      <c r="F11" s="42" t="s">
        <v>73</v>
      </c>
      <c r="G11" s="44">
        <v>3290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45994</v>
      </c>
      <c r="C12" s="39" t="s">
        <v>19</v>
      </c>
      <c r="D12" s="47">
        <v>3896</v>
      </c>
      <c r="E12" s="41"/>
      <c r="F12" s="42" t="s">
        <v>74</v>
      </c>
      <c r="G12" s="44">
        <v>20000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46008</v>
      </c>
      <c r="C13" s="39" t="s">
        <v>19</v>
      </c>
      <c r="D13" s="40">
        <v>16912202</v>
      </c>
      <c r="E13" s="41"/>
      <c r="F13" s="42" t="s">
        <v>73</v>
      </c>
      <c r="G13" s="44">
        <v>2980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46009</v>
      </c>
      <c r="C14" s="39" t="s">
        <v>19</v>
      </c>
      <c r="D14" s="40">
        <v>137</v>
      </c>
      <c r="E14" s="41"/>
      <c r="F14" s="42" t="s">
        <v>17</v>
      </c>
      <c r="G14" s="44">
        <v>2500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28770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4"/>
  <sheetViews>
    <sheetView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24.69921875" style="3" customWidth="1"/>
    <col min="3" max="3" width="22.09765625" style="3" customWidth="1"/>
    <col min="4" max="4" width="15.09765625" style="23" customWidth="1"/>
    <col min="5" max="5" width="14.69921875" style="5" customWidth="1"/>
    <col min="6" max="6" width="31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5" t="s">
        <v>0</v>
      </c>
      <c r="D1" s="55"/>
      <c r="E1" s="55"/>
      <c r="F1" s="55"/>
      <c r="G1" s="55"/>
      <c r="H1" s="55"/>
    </row>
    <row r="2" spans="1:15" ht="38.950000000000003" customHeight="1" x14ac:dyDescent="0.6">
      <c r="B2" s="2"/>
      <c r="C2" s="55" t="s">
        <v>1</v>
      </c>
      <c r="D2" s="55"/>
      <c r="E2" s="55"/>
      <c r="F2" s="55"/>
      <c r="G2" s="55"/>
      <c r="H2" s="55"/>
    </row>
    <row r="3" spans="1:15" ht="24.05" customHeight="1" x14ac:dyDescent="0.55000000000000004">
      <c r="D3" s="4"/>
      <c r="F3" s="24"/>
      <c r="G3" s="32" t="s">
        <v>2</v>
      </c>
      <c r="H3" s="27" t="s">
        <v>71</v>
      </c>
    </row>
    <row r="4" spans="1:15" ht="17.75" x14ac:dyDescent="0.45">
      <c r="B4" s="49" t="s">
        <v>3</v>
      </c>
      <c r="C4" s="49"/>
      <c r="D4" s="49"/>
      <c r="E4" s="35">
        <f>DICIEMBRE!H8</f>
        <v>71230</v>
      </c>
      <c r="F4" s="7"/>
      <c r="G4" s="31"/>
    </row>
    <row r="5" spans="1:15" ht="17.75" x14ac:dyDescent="0.45">
      <c r="B5" s="25" t="s">
        <v>4</v>
      </c>
      <c r="C5" s="25"/>
      <c r="D5" s="25"/>
      <c r="E5" s="48">
        <v>28770</v>
      </c>
      <c r="F5" s="7"/>
      <c r="G5" s="31"/>
    </row>
    <row r="6" spans="1:15" ht="17.75" x14ac:dyDescent="0.45">
      <c r="B6" s="49" t="s">
        <v>5</v>
      </c>
      <c r="C6" s="49"/>
      <c r="D6" s="49"/>
      <c r="E6" s="35">
        <v>0</v>
      </c>
      <c r="F6" s="7"/>
    </row>
    <row r="7" spans="1:15" ht="17.75" x14ac:dyDescent="0.45">
      <c r="B7" s="56" t="s">
        <v>6</v>
      </c>
      <c r="C7" s="56"/>
      <c r="D7" s="56"/>
      <c r="E7" s="35">
        <f>SUM(E4:E6)</f>
        <v>100000</v>
      </c>
      <c r="F7" s="7"/>
      <c r="G7" s="26"/>
    </row>
    <row r="8" spans="1:15" ht="17.75" x14ac:dyDescent="0.45">
      <c r="B8" s="57" t="s">
        <v>7</v>
      </c>
      <c r="C8" s="57"/>
      <c r="D8" s="57"/>
      <c r="E8" s="38">
        <f>+G26</f>
        <v>13150</v>
      </c>
      <c r="F8" s="7"/>
      <c r="G8" s="29" t="s">
        <v>8</v>
      </c>
      <c r="H8" s="36">
        <f>E7-E8</f>
        <v>86850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9">
        <v>46021</v>
      </c>
      <c r="C11" s="39"/>
      <c r="D11" s="40">
        <v>2003</v>
      </c>
      <c r="E11" s="41"/>
      <c r="F11" s="42" t="s">
        <v>17</v>
      </c>
      <c r="G11" s="44">
        <v>5000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45659</v>
      </c>
      <c r="C12" s="39"/>
      <c r="D12" s="47">
        <v>29924</v>
      </c>
      <c r="E12" s="41"/>
      <c r="F12" s="42" t="s">
        <v>75</v>
      </c>
      <c r="G12" s="44">
        <v>8150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34.549999999999997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18</v>
      </c>
      <c r="C26" s="33"/>
      <c r="D26" s="17"/>
      <c r="E26" s="17"/>
      <c r="F26" s="17"/>
      <c r="G26" s="45">
        <f>SUM(G11:G25)</f>
        <v>13150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0"/>
      <c r="E29" s="51"/>
      <c r="F29" s="52"/>
    </row>
    <row r="30" spans="1:15" ht="17.75" x14ac:dyDescent="0.45">
      <c r="B30" s="53"/>
      <c r="C30" s="53"/>
      <c r="D30" s="54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C11D6-586C-4277-8F0C-A58650EE65A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3B1468E1-4F27-420E-86D3-A656C47E40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C5AAED-8C8A-413F-B793-29C00A3A0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 ENERO 2026</vt:lpstr>
      <vt:lpstr>ABRIL!Área_de_impresión</vt:lpstr>
      <vt:lpstr>ENERO!Área_de_impresión</vt:lpstr>
      <vt:lpstr>FEBRERO!Área_de_impresión</vt:lpstr>
      <vt:lpstr>JUNIO!Área_de_impresión</vt:lpstr>
      <vt:lpstr>MARZO!Área_de_impresión</vt:lpstr>
      <vt:lpstr>MAYO!Área_de_impresión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2026-02-13T21:42:12Z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