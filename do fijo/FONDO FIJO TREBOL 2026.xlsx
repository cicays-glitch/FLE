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82" documentId="13_ncr:1_{E9750862-73E7-444C-8D8D-25E05366F2B1}" xr6:coauthVersionLast="47" xr6:coauthVersionMax="47" xr10:uidLastSave="{57BBD712-DE47-48B5-B325-E392E122811E}"/>
  <bookViews>
    <workbookView xWindow="20525" yWindow="-107" windowWidth="20848" windowHeight="11111" tabRatio="808" activeTab="6" xr2:uid="{00000000-000D-0000-FFFF-FFFF00000000}"/>
  </bookViews>
  <sheets>
    <sheet name="DICIEMBRE_2025" sheetId="19" r:id="rId1"/>
    <sheet name="ENERO_2026" sheetId="20" r:id="rId2"/>
    <sheet name="FEBRERO 2026" sheetId="21" r:id="rId3"/>
    <sheet name="MARZO 2026" sheetId="22" r:id="rId4"/>
    <sheet name="ABRIL 2026" sheetId="23" r:id="rId5"/>
    <sheet name="MAYO 2026" sheetId="24" r:id="rId6"/>
    <sheet name="JUNIO 2026" sheetId="2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5" l="1"/>
  <c r="E7" i="25" s="1"/>
  <c r="H8" i="25" s="1"/>
  <c r="G26" i="25"/>
  <c r="E8" i="25"/>
  <c r="E4" i="24"/>
  <c r="E7" i="24" s="1"/>
  <c r="H8" i="24" s="1"/>
  <c r="G26" i="24"/>
  <c r="E8" i="24"/>
  <c r="E4" i="23"/>
  <c r="G26" i="23"/>
  <c r="E8" i="23"/>
  <c r="E7" i="23"/>
  <c r="H8" i="23" s="1"/>
  <c r="E4" i="22"/>
  <c r="E7" i="22" s="1"/>
  <c r="H8" i="22" s="1"/>
  <c r="G26" i="22"/>
  <c r="E8" i="22"/>
  <c r="G26" i="21"/>
  <c r="E8" i="21"/>
  <c r="G19" i="20"/>
  <c r="E8" i="20" s="1"/>
  <c r="G26" i="19"/>
  <c r="E8" i="19"/>
  <c r="E7" i="19" l="1"/>
  <c r="H8" i="19" s="1"/>
  <c r="E4" i="20" s="1"/>
  <c r="E7" i="20" s="1"/>
  <c r="H8" i="20" s="1"/>
  <c r="E4" i="21" s="1"/>
  <c r="E7" i="21" s="1"/>
  <c r="H8" i="21" s="1"/>
</calcChain>
</file>

<file path=xl/sharedStrings.xml><?xml version="1.0" encoding="utf-8"?>
<sst xmlns="http://schemas.openxmlformats.org/spreadsheetml/2006/main" count="191" uniqueCount="59">
  <si>
    <t xml:space="preserve">RENDICION CAJA CHICA  </t>
  </si>
  <si>
    <t>TREBOL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</si>
  <si>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</si>
  <si>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</si>
  <si>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</si>
  <si>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</si>
  <si>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</si>
  <si>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</si>
  <si>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</si>
  <si>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</si>
  <si>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</si>
  <si>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</si>
  <si>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</si>
  <si>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</si>
  <si>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</si>
  <si>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</si>
  <si>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150</t>
  </si>
  <si>
    <t>RECARGA DE AGUA</t>
  </si>
  <si>
    <t>LIMPIEZA DE VIDRIOS</t>
  </si>
  <si>
    <t>TOTALES</t>
  </si>
  <si>
    <t>77871211-3</t>
  </si>
  <si>
    <t>8992058-2</t>
  </si>
  <si>
    <t>77.871.211-3</t>
  </si>
  <si>
    <t>8.992.058-2</t>
  </si>
  <si>
    <t>78627210-6</t>
  </si>
  <si>
    <t>77960762-3</t>
  </si>
  <si>
    <t xml:space="preserve"> </t>
  </si>
  <si>
    <t>80.478.200-1</t>
  </si>
  <si>
    <t>ABRIL</t>
  </si>
  <si>
    <t>MAYO</t>
  </si>
  <si>
    <t>JUNIO</t>
  </si>
  <si>
    <t>BOLETA VENTA</t>
  </si>
  <si>
    <t>BOLETA HONORARIO</t>
  </si>
  <si>
    <t>122452511290270</t>
  </si>
  <si>
    <t>CINTA ADHESIVA</t>
  </si>
  <si>
    <t>13645308</t>
  </si>
  <si>
    <t>76306594-4</t>
  </si>
  <si>
    <t>CUMPLEAÑOS ROXANA</t>
  </si>
  <si>
    <t>24124</t>
  </si>
  <si>
    <t>122452512090144</t>
  </si>
  <si>
    <t>122452212260342</t>
  </si>
  <si>
    <t>SOBRES Y CANASTO PARA GIFTCARD</t>
  </si>
  <si>
    <t>796908084</t>
  </si>
  <si>
    <t>CUMPLEAÑOS ANDRYS</t>
  </si>
  <si>
    <t>5356</t>
  </si>
  <si>
    <t>LIMPIEZA VIDRIOS NOVIEMBRE</t>
  </si>
  <si>
    <t>5489</t>
  </si>
  <si>
    <t>PASAJE</t>
  </si>
  <si>
    <t>PASAJE BUS A SANTIAGO REUNION OBLIGATORIA</t>
  </si>
  <si>
    <t>UBER A LUGAR DE REUNION</t>
  </si>
  <si>
    <t>PASAJE BUS DE RETORNO REUNION OBLIGATORIA</t>
  </si>
  <si>
    <t>UBER TERMINAL DE SANTIAGO</t>
  </si>
  <si>
    <t>24162</t>
  </si>
  <si>
    <t>57250996</t>
  </si>
  <si>
    <t>COMPRA INSUMOS ESCRITORIO</t>
  </si>
  <si>
    <t>ENERO</t>
  </si>
  <si>
    <t>FEBRERO</t>
  </si>
  <si>
    <t>diciembre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</si>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</sst>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_-* #,##0.00_-;\-* #,##0.00_-;_-* &quot;-&quot;??_-;_-@_-"/>
    <numFmt numFmtId="165" formatCode="_-* #,##0_-;\-* #,##0_-;_-* &quot;-&quot;??_-;_-@_-"/>
    <numFmt numFmtId="166" formatCode="#,##0_ ;\-#,##0\ "/>
    <numFmt numFmtId="167" formatCode="0_);[Red]\(0\)"/>
  </numFmts>
  <fonts count="23">
    <font>
      <sz val="11"/>
      <color theme="1"/>
      <name val="Calibri"/>
      <charset val="134"/>
      <scheme val="minor"/>
    </font>
    <font>
      <i/>
      <sz val="16"/>
      <name val="Segoe UI"/>
      <family val="2"/>
    </font>
    <font>
      <i/>
      <sz val="12"/>
      <name val="Segoe UI"/>
      <family val="2"/>
    </font>
    <font>
      <b/>
      <i/>
      <sz val="10"/>
      <name val="Segoe UI"/>
      <family val="2"/>
    </font>
    <font>
      <i/>
      <sz val="10"/>
      <name val="Segoe UI"/>
      <family val="2"/>
    </font>
    <font>
      <i/>
      <sz val="9"/>
      <name val="Segoe UI"/>
      <family val="2"/>
    </font>
    <font>
      <b/>
      <i/>
      <u/>
      <sz val="16"/>
      <name val="Segoe UI"/>
      <family val="2"/>
    </font>
    <font>
      <b/>
      <i/>
      <sz val="9"/>
      <name val="Segoe UI"/>
      <family val="2"/>
    </font>
    <font>
      <b/>
      <i/>
      <sz val="22"/>
      <name val="Segoe UI"/>
      <family val="2"/>
    </font>
    <font>
      <b/>
      <i/>
      <sz val="14"/>
      <name val="Segoe UI"/>
      <family val="2"/>
    </font>
    <font>
      <b/>
      <i/>
      <sz val="1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name val="Segoe UI"/>
      <family val="2"/>
    </font>
    <font>
      <b/>
      <i/>
      <sz val="12"/>
      <color rgb="FF0070C0"/>
      <name val="Segoe UI"/>
      <family val="2"/>
    </font>
    <font>
      <b/>
      <i/>
      <sz val="12"/>
      <color indexed="10"/>
      <name val="Segoe UI"/>
      <family val="2"/>
    </font>
    <font>
      <b/>
      <i/>
      <sz val="11"/>
      <color rgb="FFFF0000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Segoe UI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16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</cellStyleXfs>
  <cellXfs count="6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1" fontId="4" fillId="2" borderId="0" xfId="0" applyNumberFormat="1" applyFont="1" applyFill="1" applyAlignment="1">
      <alignment vertical="center"/>
    </xf>
    <xf numFmtId="3" fontId="4" fillId="2" borderId="0" xfId="0" applyNumberFormat="1" applyFont="1" applyFill="1"/>
    <xf numFmtId="0" fontId="7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165" fontId="10" fillId="2" borderId="1" xfId="1" applyNumberFormat="1" applyFont="1" applyFill="1" applyBorder="1" applyAlignment="1">
      <alignment horizontal="center" vertical="center"/>
    </xf>
    <xf numFmtId="49" fontId="4" fillId="2" borderId="0" xfId="0" applyNumberFormat="1" applyFont="1" applyFill="1"/>
    <xf numFmtId="49" fontId="2" fillId="2" borderId="0" xfId="0" applyNumberFormat="1" applyFont="1" applyFill="1" applyAlignment="1">
      <alignment horizontal="center" vertical="center"/>
    </xf>
    <xf numFmtId="165" fontId="11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/>
    </xf>
    <xf numFmtId="165" fontId="15" fillId="2" borderId="1" xfId="1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14" fontId="16" fillId="2" borderId="2" xfId="0" applyNumberFormat="1" applyFont="1" applyFill="1" applyBorder="1"/>
    <xf numFmtId="3" fontId="16" fillId="2" borderId="3" xfId="0" applyNumberFormat="1" applyFont="1" applyFill="1" applyBorder="1" applyAlignment="1">
      <alignment horizontal="left" wrapText="1"/>
    </xf>
    <xf numFmtId="166" fontId="16" fillId="2" borderId="2" xfId="1" applyNumberFormat="1" applyFont="1" applyFill="1" applyBorder="1" applyAlignment="1">
      <alignment horizontal="right"/>
    </xf>
    <xf numFmtId="0" fontId="16" fillId="3" borderId="2" xfId="0" applyFont="1" applyFill="1" applyBorder="1" applyAlignment="1">
      <alignment horizontal="center" vertical="center"/>
    </xf>
    <xf numFmtId="3" fontId="16" fillId="2" borderId="3" xfId="0" applyNumberFormat="1" applyFont="1" applyFill="1" applyBorder="1" applyAlignment="1">
      <alignment wrapText="1"/>
    </xf>
    <xf numFmtId="167" fontId="16" fillId="2" borderId="2" xfId="1" applyNumberFormat="1" applyFont="1" applyFill="1" applyBorder="1" applyAlignment="1"/>
    <xf numFmtId="0" fontId="12" fillId="2" borderId="3" xfId="0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6" fontId="17" fillId="2" borderId="2" xfId="1" applyNumberFormat="1" applyFont="1" applyFill="1" applyBorder="1" applyAlignment="1">
      <alignment horizontal="right"/>
    </xf>
    <xf numFmtId="0" fontId="12" fillId="2" borderId="5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3" fontId="12" fillId="2" borderId="5" xfId="0" applyNumberFormat="1" applyFont="1" applyFill="1" applyBorder="1"/>
    <xf numFmtId="0" fontId="1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3" fontId="12" fillId="2" borderId="0" xfId="0" applyNumberFormat="1" applyFont="1" applyFill="1"/>
    <xf numFmtId="0" fontId="3" fillId="2" borderId="0" xfId="0" applyFont="1" applyFill="1" applyAlignment="1">
      <alignment horizontal="center"/>
    </xf>
    <xf numFmtId="0" fontId="12" fillId="2" borderId="0" xfId="0" applyFont="1" applyFill="1"/>
    <xf numFmtId="14" fontId="16" fillId="2" borderId="2" xfId="0" applyNumberFormat="1" applyFont="1" applyFill="1" applyBorder="1" applyAlignment="1">
      <alignment horizontal="center" vertical="center"/>
    </xf>
    <xf numFmtId="14" fontId="16" fillId="2" borderId="2" xfId="0" applyNumberFormat="1" applyFont="1" applyFill="1" applyBorder="1" applyAlignment="1">
      <alignment horizontal="center"/>
    </xf>
    <xf numFmtId="3" fontId="21" fillId="2" borderId="2" xfId="0" applyNumberFormat="1" applyFont="1" applyFill="1" applyBorder="1" applyAlignment="1">
      <alignment wrapText="1"/>
    </xf>
    <xf numFmtId="14" fontId="21" fillId="2" borderId="2" xfId="0" applyNumberFormat="1" applyFont="1" applyFill="1" applyBorder="1"/>
    <xf numFmtId="3" fontId="21" fillId="2" borderId="3" xfId="0" applyNumberFormat="1" applyFont="1" applyFill="1" applyBorder="1" applyAlignment="1">
      <alignment wrapText="1"/>
    </xf>
    <xf numFmtId="49" fontId="20" fillId="0" borderId="2" xfId="0" applyNumberFormat="1" applyFont="1" applyBorder="1"/>
    <xf numFmtId="49" fontId="16" fillId="2" borderId="2" xfId="0" applyNumberFormat="1" applyFont="1" applyFill="1" applyBorder="1" applyAlignment="1">
      <alignment wrapText="1"/>
    </xf>
    <xf numFmtId="49" fontId="16" fillId="2" borderId="2" xfId="0" applyNumberFormat="1" applyFont="1" applyFill="1" applyBorder="1"/>
    <xf numFmtId="49" fontId="21" fillId="2" borderId="2" xfId="0" applyNumberFormat="1" applyFont="1" applyFill="1" applyBorder="1"/>
    <xf numFmtId="49" fontId="3" fillId="2" borderId="4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horizontal="left" wrapText="1"/>
    </xf>
    <xf numFmtId="14" fontId="21" fillId="2" borderId="2" xfId="0" applyNumberFormat="1" applyFont="1" applyFill="1" applyBorder="1" applyAlignment="1">
      <alignment horizontal="center"/>
    </xf>
    <xf numFmtId="49" fontId="21" fillId="2" borderId="2" xfId="0" applyNumberFormat="1" applyFont="1" applyFill="1" applyBorder="1" applyAlignment="1">
      <alignment wrapText="1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/>
    <xf numFmtId="0" fontId="1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49" fontId="13" fillId="2" borderId="1" xfId="0" applyNumberFormat="1" applyFont="1" applyFill="1" applyBorder="1" applyAlignment="1">
      <alignment horizontal="center" vertical="center"/>
    </xf>
  </cellXfs>
  <cellStyles count="4">
    <cellStyle name="Millares" xfId="1" builtinId="3"/>
    <cellStyle name="Moneda 2" xfId="2" xr:uid="{00000000-0005-0000-0000-000031000000}"/>
    <cellStyle name="Normal" xfId="0" builtinId="0"/>
    <cellStyle name="Normal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740410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B4D356-8D0D-49A5-9AD6-A9271F0A0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69010" cy="12477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165751-26C4-4D4C-A679-21C83C99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4720" cy="1165858"/>
        </a:xfrm>
        <a:prstGeom prst="rect">
          <a:avLst/>
        </a:prstGeom>
      </xdr:spPr>
    </xdr:pic>
    <xdr:clientData/>
  </xdr:twoCellAnchor>
  <xdr:twoCellAnchor editAs="oneCell">
    <xdr:from>
      <xdr:col>5</xdr:col>
      <xdr:colOff>3157750</xdr:colOff>
      <xdr:row>4</xdr:row>
      <xdr:rowOff>144619</xdr:rowOff>
    </xdr:from>
    <xdr:to>
      <xdr:col>14</xdr:col>
      <xdr:colOff>236246</xdr:colOff>
      <xdr:row>5</xdr:row>
      <xdr:rowOff>63289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E50B8-CB79-9D27-8BD7-FDF4B06CC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0056" y="1697052"/>
          <a:ext cx="7109600" cy="140446"/>
        </a:xfrm>
        <a:prstGeom prst="rect">
          <a:avLst/>
        </a:prstGeom>
      </xdr:spPr>
    </xdr:pic>
    <xdr:clientData/>
  </xdr:twoCellAnchor>
  <xdr:twoCellAnchor editAs="oneCell">
    <xdr:from>
      <xdr:col>8</xdr:col>
      <xdr:colOff>200008</xdr:colOff>
      <xdr:row>6</xdr:row>
      <xdr:rowOff>134244</xdr:rowOff>
    </xdr:from>
    <xdr:to>
      <xdr:col>15</xdr:col>
      <xdr:colOff>307993</xdr:colOff>
      <xdr:row>9</xdr:row>
      <xdr:rowOff>290014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50480B-78DC-348A-D703-A3E83A74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9657" y="2130229"/>
          <a:ext cx="5362374" cy="9063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780B60-FD2E-47D2-812C-DF2E1709A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9AA778-7492-43DE-AD81-BF7B64B96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0E1963-B2D9-4E84-B0A6-226303D6B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1E5AFA-6DBF-46CA-AC78-C5A3EAD51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410A66-31EC-4B8E-BBFC-D50DCDF31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E68B-A69E-461D-A7B7-D0D2F0457794}">
  <dimension ref="A1:WVB44"/>
  <sheetViews>
    <sheetView workbookViewId="0">
      <selection activeCell="H4" sqref="H4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5" t="s">
        <v>0</v>
      </c>
      <c r="D1" s="65"/>
      <c r="E1" s="65"/>
      <c r="F1" s="65"/>
      <c r="G1" s="65"/>
      <c r="H1" s="65"/>
    </row>
    <row r="2" spans="1:15" ht="38.950000000000003" customHeight="1">
      <c r="B2" s="4"/>
      <c r="C2" s="65" t="s">
        <v>1</v>
      </c>
      <c r="D2" s="65"/>
      <c r="E2" s="65"/>
      <c r="F2" s="65"/>
      <c r="G2" s="65"/>
      <c r="H2" s="65"/>
    </row>
    <row r="3" spans="1:15" ht="24.05" customHeight="1">
      <c r="D3" s="9"/>
      <c r="F3" s="10"/>
      <c r="G3" s="11" t="s">
        <v>2</v>
      </c>
      <c r="H3" s="12" t="s">
        <v>57</v>
      </c>
    </row>
    <row r="4" spans="1:15" ht="17.75">
      <c r="B4" s="59" t="s">
        <v>3</v>
      </c>
      <c r="C4" s="59"/>
      <c r="D4" s="59"/>
      <c r="E4" s="14">
        <v>53486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>
        <v>46514</v>
      </c>
      <c r="F5" s="15"/>
      <c r="G5" s="16"/>
    </row>
    <row r="6" spans="1:15" ht="17.75">
      <c r="B6" s="59" t="s">
        <v>5</v>
      </c>
      <c r="C6" s="59"/>
      <c r="D6" s="59"/>
      <c r="E6" s="14">
        <v>0</v>
      </c>
      <c r="F6" s="15"/>
    </row>
    <row r="7" spans="1:15" ht="17.75">
      <c r="B7" s="66" t="s">
        <v>6</v>
      </c>
      <c r="C7" s="66"/>
      <c r="D7" s="66"/>
      <c r="E7" s="14">
        <f>SUM(E4:E6)</f>
        <v>100000</v>
      </c>
      <c r="F7" s="15"/>
      <c r="G7" s="18"/>
    </row>
    <row r="8" spans="1:15" ht="17.75">
      <c r="B8" s="67" t="s">
        <v>7</v>
      </c>
      <c r="C8" s="67"/>
      <c r="D8" s="67"/>
      <c r="E8" s="17">
        <f>+G26</f>
        <v>69920</v>
      </c>
      <c r="F8" s="15"/>
      <c r="G8" s="19" t="s">
        <v>8</v>
      </c>
      <c r="H8" s="20">
        <f>E7-E8</f>
        <v>30080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>
        <v>45988</v>
      </c>
      <c r="C11" s="28" t="s">
        <v>31</v>
      </c>
      <c r="D11" s="52">
        <v>24106</v>
      </c>
      <c r="E11" s="53" t="s">
        <v>20</v>
      </c>
      <c r="F11" s="29" t="s">
        <v>17</v>
      </c>
      <c r="G11" s="30">
        <v>7000</v>
      </c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>
        <v>45989</v>
      </c>
      <c r="C12" s="28" t="s">
        <v>31</v>
      </c>
      <c r="D12" s="52" t="s">
        <v>44</v>
      </c>
      <c r="E12" s="53" t="s">
        <v>21</v>
      </c>
      <c r="F12" s="29" t="s">
        <v>45</v>
      </c>
      <c r="G12" s="30">
        <v>15000</v>
      </c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>
        <v>45990</v>
      </c>
      <c r="C13" s="28" t="s">
        <v>31</v>
      </c>
      <c r="D13" s="52" t="s">
        <v>33</v>
      </c>
      <c r="E13" s="53" t="s">
        <v>25</v>
      </c>
      <c r="F13" s="29" t="s">
        <v>34</v>
      </c>
      <c r="G13" s="30">
        <v>4900</v>
      </c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>
        <v>45996</v>
      </c>
      <c r="C14" s="28" t="s">
        <v>31</v>
      </c>
      <c r="D14" s="52" t="s">
        <v>35</v>
      </c>
      <c r="E14" s="53" t="s">
        <v>36</v>
      </c>
      <c r="F14" s="29" t="s">
        <v>37</v>
      </c>
      <c r="G14" s="30">
        <v>14060</v>
      </c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>
        <v>46004</v>
      </c>
      <c r="C15" s="28" t="s">
        <v>31</v>
      </c>
      <c r="D15" s="51" t="s">
        <v>38</v>
      </c>
      <c r="E15" s="54" t="s">
        <v>20</v>
      </c>
      <c r="F15" s="48" t="s">
        <v>17</v>
      </c>
      <c r="G15" s="33">
        <v>7000</v>
      </c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>
        <v>46000</v>
      </c>
      <c r="C16" s="49" t="s">
        <v>31</v>
      </c>
      <c r="D16" s="52" t="s">
        <v>39</v>
      </c>
      <c r="E16" s="54" t="s">
        <v>25</v>
      </c>
      <c r="F16" s="50" t="s">
        <v>34</v>
      </c>
      <c r="G16" s="33">
        <v>1900</v>
      </c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>
        <v>46017</v>
      </c>
      <c r="C17" s="28" t="s">
        <v>31</v>
      </c>
      <c r="D17" s="52" t="s">
        <v>40</v>
      </c>
      <c r="E17" s="54" t="s">
        <v>25</v>
      </c>
      <c r="F17" s="32" t="s">
        <v>41</v>
      </c>
      <c r="G17" s="33">
        <v>5500</v>
      </c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7">
        <v>46001</v>
      </c>
      <c r="C18" s="28" t="s">
        <v>31</v>
      </c>
      <c r="D18" s="52" t="s">
        <v>42</v>
      </c>
      <c r="E18" s="53" t="s">
        <v>24</v>
      </c>
      <c r="F18" s="32" t="s">
        <v>43</v>
      </c>
      <c r="G18" s="33">
        <v>14560</v>
      </c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47"/>
      <c r="C19" s="28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B26" s="34" t="s">
        <v>19</v>
      </c>
      <c r="C26" s="35"/>
      <c r="D26" s="55"/>
      <c r="E26" s="55"/>
      <c r="F26" s="36"/>
      <c r="G26" s="37">
        <f>SUM(G11:G25)</f>
        <v>69920</v>
      </c>
    </row>
    <row r="27" spans="1:15" s="3" customFormat="1" ht="17.75">
      <c r="B27" s="38"/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59"/>
      <c r="C29" s="59"/>
      <c r="D29" s="60"/>
      <c r="E29" s="61"/>
      <c r="F29" s="62"/>
    </row>
    <row r="30" spans="1:15" ht="17.75">
      <c r="B30" s="63"/>
      <c r="C30" s="63"/>
      <c r="D30" s="64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037F-88F3-4600-B081-E799262CD7DE}">
  <dimension ref="A1:WVB37"/>
  <sheetViews>
    <sheetView zoomScale="80" zoomScaleNormal="80" workbookViewId="0">
      <selection activeCell="H3" sqref="H3"/>
    </sheetView>
  </sheetViews>
  <sheetFormatPr baseColWidth="10" defaultColWidth="11" defaultRowHeight="14.55"/>
  <cols>
    <col min="1" max="1" width="3.69921875" style="4" customWidth="1"/>
    <col min="2" max="2" width="15.8984375" style="5" customWidth="1"/>
    <col min="3" max="3" width="22.296875" style="5" bestFit="1" customWidth="1"/>
    <col min="4" max="4" width="13.69921875" style="6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5" t="s">
        <v>0</v>
      </c>
      <c r="D1" s="65"/>
      <c r="E1" s="65"/>
      <c r="F1" s="65"/>
      <c r="G1" s="65"/>
      <c r="H1" s="65"/>
    </row>
    <row r="2" spans="1:15" ht="38.950000000000003" customHeight="1">
      <c r="B2" s="4"/>
      <c r="C2" s="65" t="s">
        <v>1</v>
      </c>
      <c r="D2" s="65"/>
      <c r="E2" s="65"/>
      <c r="F2" s="65"/>
      <c r="G2" s="65"/>
      <c r="H2" s="65"/>
    </row>
    <row r="3" spans="1:15" ht="24.05" customHeight="1">
      <c r="D3" s="9"/>
      <c r="F3" s="10"/>
      <c r="G3" s="11" t="s">
        <v>2</v>
      </c>
      <c r="H3" s="68" t="s">
        <v>55</v>
      </c>
    </row>
    <row r="4" spans="1:15" ht="17.75">
      <c r="B4" s="59" t="s">
        <v>3</v>
      </c>
      <c r="C4" s="59"/>
      <c r="D4" s="59"/>
      <c r="E4" s="14">
        <f>+DICIEMBRE_2025!H8</f>
        <v>30080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>
        <v>69920</v>
      </c>
      <c r="F5" s="15"/>
      <c r="G5" s="16"/>
    </row>
    <row r="6" spans="1:15" ht="17.75">
      <c r="B6" s="59" t="s">
        <v>5</v>
      </c>
      <c r="C6" s="59"/>
      <c r="D6" s="59"/>
      <c r="E6" s="14">
        <v>0</v>
      </c>
      <c r="F6" s="15"/>
    </row>
    <row r="7" spans="1:15" ht="17.75">
      <c r="B7" s="66" t="s">
        <v>6</v>
      </c>
      <c r="C7" s="66"/>
      <c r="D7" s="66"/>
      <c r="E7" s="14">
        <f>SUM(E4:E6)</f>
        <v>100000</v>
      </c>
      <c r="F7" s="15"/>
      <c r="G7" s="18"/>
    </row>
    <row r="8" spans="1:15" ht="17.75">
      <c r="B8" s="67" t="s">
        <v>7</v>
      </c>
      <c r="C8" s="67"/>
      <c r="D8" s="67"/>
      <c r="E8" s="17">
        <f>+G19</f>
        <v>97318</v>
      </c>
      <c r="F8" s="15"/>
      <c r="G8" s="19" t="s">
        <v>8</v>
      </c>
      <c r="H8" s="20">
        <f>E7-E8</f>
        <v>2682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>
        <v>46021</v>
      </c>
      <c r="C11" s="28" t="s">
        <v>32</v>
      </c>
      <c r="D11" s="52" t="s">
        <v>46</v>
      </c>
      <c r="E11" s="53" t="s">
        <v>23</v>
      </c>
      <c r="F11" s="29" t="s">
        <v>18</v>
      </c>
      <c r="G11" s="30">
        <v>15000</v>
      </c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>
        <v>46028</v>
      </c>
      <c r="C12" s="28" t="s">
        <v>47</v>
      </c>
      <c r="D12" s="52"/>
      <c r="E12" s="53"/>
      <c r="F12" s="29" t="s">
        <v>48</v>
      </c>
      <c r="G12" s="30">
        <v>20470</v>
      </c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>
        <v>46029</v>
      </c>
      <c r="C13" s="28" t="s">
        <v>47</v>
      </c>
      <c r="D13" s="52"/>
      <c r="E13" s="53"/>
      <c r="F13" s="29" t="s">
        <v>49</v>
      </c>
      <c r="G13" s="30">
        <v>13783</v>
      </c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>
        <v>46030</v>
      </c>
      <c r="C14" s="49" t="s">
        <v>31</v>
      </c>
      <c r="D14" s="58" t="s">
        <v>52</v>
      </c>
      <c r="E14" s="54" t="s">
        <v>22</v>
      </c>
      <c r="F14" s="56" t="s">
        <v>17</v>
      </c>
      <c r="G14" s="30">
        <v>10500</v>
      </c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>
        <v>46031</v>
      </c>
      <c r="C15" s="49" t="s">
        <v>47</v>
      </c>
      <c r="D15" s="52"/>
      <c r="E15" s="53"/>
      <c r="F15" s="56" t="s">
        <v>50</v>
      </c>
      <c r="G15" s="30">
        <v>26250</v>
      </c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>
        <v>46031</v>
      </c>
      <c r="C16" s="49" t="s">
        <v>47</v>
      </c>
      <c r="D16" s="51"/>
      <c r="E16" s="54"/>
      <c r="F16" s="48" t="s">
        <v>51</v>
      </c>
      <c r="G16" s="30">
        <v>6025</v>
      </c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>
        <v>46032</v>
      </c>
      <c r="C17" s="49" t="s">
        <v>31</v>
      </c>
      <c r="D17" s="52" t="s">
        <v>53</v>
      </c>
      <c r="E17" s="54" t="s">
        <v>27</v>
      </c>
      <c r="F17" s="32" t="s">
        <v>54</v>
      </c>
      <c r="G17" s="33">
        <v>5290</v>
      </c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15</v>
      </c>
      <c r="B18" s="28"/>
      <c r="C18" s="28"/>
      <c r="D18" s="52"/>
      <c r="E18" s="53"/>
      <c r="F18" s="32"/>
      <c r="G18" s="33"/>
      <c r="H18" s="31"/>
    </row>
    <row r="19" spans="1:15" s="3" customFormat="1" ht="17.75">
      <c r="C19" s="35"/>
      <c r="D19" s="55"/>
      <c r="E19" s="55"/>
      <c r="F19" s="36"/>
      <c r="G19" s="37">
        <f>SUM(G11:G18)</f>
        <v>97318</v>
      </c>
    </row>
    <row r="20" spans="1:15" s="3" customFormat="1" ht="17.75">
      <c r="B20" s="34" t="s">
        <v>19</v>
      </c>
      <c r="C20" s="38"/>
      <c r="D20" s="39"/>
      <c r="E20" s="39"/>
      <c r="F20" s="39"/>
      <c r="G20" s="40"/>
    </row>
    <row r="21" spans="1:15" s="3" customFormat="1" ht="17.75">
      <c r="B21" s="41"/>
      <c r="C21" s="41"/>
      <c r="D21" s="42"/>
      <c r="E21" s="42"/>
      <c r="F21" s="42"/>
      <c r="G21" s="43"/>
    </row>
    <row r="22" spans="1:15" ht="17.75">
      <c r="B22" s="59"/>
      <c r="C22" s="59"/>
      <c r="D22" s="60"/>
      <c r="E22" s="61"/>
      <c r="F22" s="62"/>
    </row>
    <row r="23" spans="1:15" ht="17.75">
      <c r="B23" s="63"/>
      <c r="C23" s="63"/>
      <c r="D23" s="64"/>
      <c r="E23" s="45"/>
      <c r="F23" s="3"/>
      <c r="G23" s="44"/>
    </row>
    <row r="24" spans="1:15" s="3" customFormat="1" ht="17.75">
      <c r="B24" s="41"/>
      <c r="C24" s="41"/>
      <c r="D24" s="42"/>
      <c r="E24" s="42"/>
      <c r="G24" s="43"/>
    </row>
    <row r="25" spans="1:15" s="3" customFormat="1" ht="17.75">
      <c r="B25" s="41"/>
      <c r="C25" s="41"/>
      <c r="D25" s="42"/>
      <c r="E25" s="42"/>
      <c r="F25" s="42"/>
      <c r="G25" s="43"/>
    </row>
    <row r="26" spans="1:15" s="3" customFormat="1" ht="17.75">
      <c r="B26" s="41"/>
      <c r="C26" s="41"/>
      <c r="D26" s="42"/>
      <c r="E26" s="42"/>
      <c r="F26" s="42"/>
      <c r="G26" s="43"/>
    </row>
    <row r="27" spans="1:15" s="3" customFormat="1" ht="17.75">
      <c r="B27" s="41"/>
      <c r="C27" s="41"/>
      <c r="D27" s="42"/>
      <c r="E27" s="42"/>
      <c r="F27" s="42"/>
      <c r="G27" s="43"/>
    </row>
    <row r="28" spans="1:15" s="3" customFormat="1" ht="17.75">
      <c r="B28" s="41"/>
      <c r="C28" s="41"/>
      <c r="D28" s="42"/>
      <c r="E28" s="42"/>
      <c r="F28" s="42"/>
      <c r="G28" s="43"/>
    </row>
    <row r="29" spans="1:15" s="3" customFormat="1" ht="17.75">
      <c r="B29" s="41"/>
      <c r="C29" s="41"/>
      <c r="D29" s="42"/>
      <c r="E29" s="42"/>
      <c r="F29" s="42"/>
      <c r="G29" s="43"/>
    </row>
    <row r="30" spans="1:15" s="3" customFormat="1" ht="17.75">
      <c r="B30" s="41"/>
      <c r="C30" s="41"/>
      <c r="D30" s="42"/>
      <c r="E30" s="42"/>
      <c r="F30" s="42"/>
      <c r="G30" s="43"/>
    </row>
    <row r="31" spans="1:15" s="3" customFormat="1" ht="17.75">
      <c r="B31" s="41"/>
      <c r="C31" s="41"/>
      <c r="D31" s="42"/>
      <c r="E31" s="42"/>
      <c r="F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</sheetData>
  <mergeCells count="9">
    <mergeCell ref="B22:D22"/>
    <mergeCell ref="E22:F22"/>
    <mergeCell ref="B23:D23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DD59-919C-4073-8411-B8FE1AC3C23D}">
  <dimension ref="A1:WVB44"/>
  <sheetViews>
    <sheetView topLeftCell="A2"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5" t="s">
        <v>0</v>
      </c>
      <c r="D1" s="65"/>
      <c r="E1" s="65"/>
      <c r="F1" s="65"/>
      <c r="G1" s="65"/>
      <c r="H1" s="65"/>
    </row>
    <row r="2" spans="1:15" ht="38.950000000000003" customHeight="1">
      <c r="B2" s="4"/>
      <c r="C2" s="65" t="s">
        <v>1</v>
      </c>
      <c r="D2" s="65"/>
      <c r="E2" s="65"/>
      <c r="F2" s="65"/>
      <c r="G2" s="65"/>
      <c r="H2" s="65"/>
    </row>
    <row r="3" spans="1:15" ht="24.05" customHeight="1">
      <c r="D3" s="9"/>
      <c r="F3" s="10"/>
      <c r="G3" s="11" t="s">
        <v>2</v>
      </c>
      <c r="H3" s="68" t="s">
        <v>56</v>
      </c>
    </row>
    <row r="4" spans="1:15" ht="17.75">
      <c r="B4" s="59" t="s">
        <v>3</v>
      </c>
      <c r="C4" s="59"/>
      <c r="D4" s="59"/>
      <c r="E4" s="14">
        <f>+ENERO_2026!H8</f>
        <v>2682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/>
      <c r="F5" s="15"/>
      <c r="G5" s="16"/>
    </row>
    <row r="6" spans="1:15" ht="17.75">
      <c r="B6" s="59" t="s">
        <v>5</v>
      </c>
      <c r="C6" s="59"/>
      <c r="D6" s="59"/>
      <c r="E6" s="14">
        <v>0</v>
      </c>
      <c r="F6" s="15"/>
    </row>
    <row r="7" spans="1:15" ht="17.75">
      <c r="B7" s="66" t="s">
        <v>6</v>
      </c>
      <c r="C7" s="66"/>
      <c r="D7" s="66"/>
      <c r="E7" s="14">
        <f>SUM(E4:E6)</f>
        <v>2682</v>
      </c>
      <c r="F7" s="15"/>
      <c r="G7" s="18"/>
    </row>
    <row r="8" spans="1:15" ht="17.75">
      <c r="B8" s="67" t="s">
        <v>7</v>
      </c>
      <c r="C8" s="67"/>
      <c r="D8" s="67"/>
      <c r="E8" s="17">
        <f>+G26</f>
        <v>0</v>
      </c>
      <c r="F8" s="15"/>
      <c r="G8" s="19" t="s">
        <v>8</v>
      </c>
      <c r="H8" s="20">
        <f>E7-E8</f>
        <v>2682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/>
      <c r="C11" s="28"/>
      <c r="D11" s="52"/>
      <c r="E11" s="53"/>
      <c r="F11" s="29"/>
      <c r="G11" s="30"/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/>
      <c r="C12" s="28"/>
      <c r="D12" s="52"/>
      <c r="E12" s="53"/>
      <c r="F12" s="29"/>
      <c r="G12" s="30"/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/>
      <c r="C13" s="28"/>
      <c r="D13" s="52"/>
      <c r="E13" s="53"/>
      <c r="F13" s="29"/>
      <c r="G13" s="30"/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/>
      <c r="C14" s="49"/>
      <c r="D14" s="58"/>
      <c r="E14" s="54"/>
      <c r="F14" s="56"/>
      <c r="G14" s="30"/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/>
      <c r="C15" s="49"/>
      <c r="D15" s="52"/>
      <c r="E15" s="53"/>
      <c r="F15" s="56"/>
      <c r="G15" s="30"/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/>
      <c r="C16" s="49"/>
      <c r="D16" s="51"/>
      <c r="E16" s="54"/>
      <c r="F16" s="48"/>
      <c r="G16" s="30"/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/>
      <c r="C17" s="49"/>
      <c r="D17" s="52"/>
      <c r="E17" s="54"/>
      <c r="F17" s="32"/>
      <c r="G17" s="33"/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"/>
      <c r="C18" s="49"/>
      <c r="D18" s="52"/>
      <c r="E18" s="53"/>
      <c r="F18" s="32"/>
      <c r="G18" s="33"/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57"/>
      <c r="C19" s="49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C26" s="35"/>
      <c r="D26" s="55"/>
      <c r="E26" s="55"/>
      <c r="F26" s="36"/>
      <c r="G26" s="37">
        <f>SUM(G11:G25)</f>
        <v>0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59"/>
      <c r="C29" s="59"/>
      <c r="D29" s="60"/>
      <c r="E29" s="61"/>
      <c r="F29" s="62"/>
    </row>
    <row r="30" spans="1:15" ht="17.75">
      <c r="B30" s="63"/>
      <c r="C30" s="63"/>
      <c r="D30" s="64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F418-7EC6-4CA9-A3EE-2690D4764CCD}">
  <dimension ref="A1:WVB44"/>
  <sheetViews>
    <sheetView topLeftCell="A2"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5" t="s">
        <v>0</v>
      </c>
      <c r="D1" s="65"/>
      <c r="E1" s="65"/>
      <c r="F1" s="65"/>
      <c r="G1" s="65"/>
      <c r="H1" s="65"/>
    </row>
    <row r="2" spans="1:15" ht="38.950000000000003" customHeight="1">
      <c r="B2" s="4"/>
      <c r="C2" s="65" t="s">
        <v>1</v>
      </c>
      <c r="D2" s="65"/>
      <c r="E2" s="65"/>
      <c r="F2" s="65"/>
      <c r="G2" s="65"/>
      <c r="H2" s="65"/>
    </row>
    <row r="3" spans="1:15" ht="24.05" customHeight="1">
      <c r="D3" s="9"/>
      <c r="F3" s="10"/>
      <c r="G3" s="11" t="s">
        <v>2</v>
      </c>
      <c r="H3" s="68" t="s">
        <v>58</v>
      </c>
    </row>
    <row r="4" spans="1:15" ht="17.75">
      <c r="B4" s="59" t="s">
        <v>3</v>
      </c>
      <c r="C4" s="59"/>
      <c r="D4" s="59"/>
      <c r="E4" s="14">
        <f>+'FEBRERO 2026'!H8</f>
        <v>2682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/>
      <c r="F5" s="15"/>
      <c r="G5" s="16"/>
    </row>
    <row r="6" spans="1:15" ht="17.75">
      <c r="B6" s="59" t="s">
        <v>5</v>
      </c>
      <c r="C6" s="59"/>
      <c r="D6" s="59"/>
      <c r="E6" s="14">
        <v>0</v>
      </c>
      <c r="F6" s="15"/>
    </row>
    <row r="7" spans="1:15" ht="17.75">
      <c r="B7" s="66" t="s">
        <v>6</v>
      </c>
      <c r="C7" s="66"/>
      <c r="D7" s="66"/>
      <c r="E7" s="14">
        <f>SUM(E4:E6)</f>
        <v>2682</v>
      </c>
      <c r="F7" s="15"/>
      <c r="G7" s="18"/>
    </row>
    <row r="8" spans="1:15" ht="17.75">
      <c r="B8" s="67" t="s">
        <v>7</v>
      </c>
      <c r="C8" s="67"/>
      <c r="D8" s="67"/>
      <c r="E8" s="17">
        <f>+G26</f>
        <v>0</v>
      </c>
      <c r="F8" s="15"/>
      <c r="G8" s="19" t="s">
        <v>8</v>
      </c>
      <c r="H8" s="20">
        <f>E7-E8</f>
        <v>2682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/>
      <c r="C11" s="28"/>
      <c r="D11" s="52"/>
      <c r="E11" s="53"/>
      <c r="F11" s="29"/>
      <c r="G11" s="30"/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/>
      <c r="C12" s="28"/>
      <c r="D12" s="52"/>
      <c r="E12" s="53"/>
      <c r="F12" s="29"/>
      <c r="G12" s="30"/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/>
      <c r="C13" s="28"/>
      <c r="D13" s="52"/>
      <c r="E13" s="53"/>
      <c r="F13" s="29"/>
      <c r="G13" s="30"/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/>
      <c r="C14" s="49"/>
      <c r="D14" s="58"/>
      <c r="E14" s="54"/>
      <c r="F14" s="56"/>
      <c r="G14" s="30"/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/>
      <c r="C15" s="49"/>
      <c r="D15" s="52"/>
      <c r="E15" s="53"/>
      <c r="F15" s="56"/>
      <c r="G15" s="30"/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/>
      <c r="C16" s="49"/>
      <c r="D16" s="51"/>
      <c r="E16" s="54"/>
      <c r="F16" s="48"/>
      <c r="G16" s="30"/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/>
      <c r="C17" s="49"/>
      <c r="D17" s="52"/>
      <c r="E17" s="54"/>
      <c r="F17" s="32"/>
      <c r="G17" s="33"/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"/>
      <c r="C18" s="49"/>
      <c r="D18" s="52"/>
      <c r="E18" s="53"/>
      <c r="F18" s="32"/>
      <c r="G18" s="33"/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57"/>
      <c r="C19" s="49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C26" s="35"/>
      <c r="D26" s="55"/>
      <c r="E26" s="55"/>
      <c r="F26" s="36"/>
      <c r="G26" s="37">
        <f>SUM(G11:G25)</f>
        <v>0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59"/>
      <c r="C29" s="59"/>
      <c r="D29" s="60"/>
      <c r="E29" s="61"/>
      <c r="F29" s="62"/>
    </row>
    <row r="30" spans="1:15" ht="17.75">
      <c r="B30" s="63"/>
      <c r="C30" s="63"/>
      <c r="D30" s="64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01D2-7990-4E72-8F47-17118B9AECE0}">
  <dimension ref="A1:WVB44"/>
  <sheetViews>
    <sheetView topLeftCell="A2"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5" t="s">
        <v>0</v>
      </c>
      <c r="D1" s="65"/>
      <c r="E1" s="65"/>
      <c r="F1" s="65"/>
      <c r="G1" s="65"/>
      <c r="H1" s="65"/>
    </row>
    <row r="2" spans="1:15" ht="38.950000000000003" customHeight="1">
      <c r="B2" s="4"/>
      <c r="C2" s="65" t="s">
        <v>1</v>
      </c>
      <c r="D2" s="65"/>
      <c r="E2" s="65"/>
      <c r="F2" s="65"/>
      <c r="G2" s="65"/>
      <c r="H2" s="65"/>
    </row>
    <row r="3" spans="1:15" ht="24.05" customHeight="1">
      <c r="D3" s="9"/>
      <c r="F3" s="10"/>
      <c r="G3" s="11" t="s">
        <v>2</v>
      </c>
      <c r="H3" s="68" t="s">
        <v>28</v>
      </c>
    </row>
    <row r="4" spans="1:15" ht="17.75">
      <c r="B4" s="59" t="s">
        <v>3</v>
      </c>
      <c r="C4" s="59"/>
      <c r="D4" s="59"/>
      <c r="E4" s="14">
        <f>+'MARZO 2026'!H8</f>
        <v>2682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/>
      <c r="F5" s="15"/>
      <c r="G5" s="16"/>
    </row>
    <row r="6" spans="1:15" ht="17.75">
      <c r="B6" s="59" t="s">
        <v>5</v>
      </c>
      <c r="C6" s="59"/>
      <c r="D6" s="59"/>
      <c r="E6" s="14">
        <v>0</v>
      </c>
      <c r="F6" s="15"/>
    </row>
    <row r="7" spans="1:15" ht="17.75">
      <c r="B7" s="66" t="s">
        <v>6</v>
      </c>
      <c r="C7" s="66"/>
      <c r="D7" s="66"/>
      <c r="E7" s="14">
        <f>SUM(E4:E6)</f>
        <v>2682</v>
      </c>
      <c r="F7" s="15"/>
      <c r="G7" s="18"/>
    </row>
    <row r="8" spans="1:15" ht="17.75">
      <c r="B8" s="67" t="s">
        <v>7</v>
      </c>
      <c r="C8" s="67"/>
      <c r="D8" s="67"/>
      <c r="E8" s="17">
        <f>+G26</f>
        <v>0</v>
      </c>
      <c r="F8" s="15"/>
      <c r="G8" s="19" t="s">
        <v>8</v>
      </c>
      <c r="H8" s="20">
        <f>E7-E8</f>
        <v>2682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/>
      <c r="C11" s="28"/>
      <c r="D11" s="52"/>
      <c r="E11" s="53"/>
      <c r="F11" s="29"/>
      <c r="G11" s="30"/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/>
      <c r="C12" s="28"/>
      <c r="D12" s="52"/>
      <c r="E12" s="53"/>
      <c r="F12" s="29"/>
      <c r="G12" s="30"/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/>
      <c r="C13" s="28"/>
      <c r="D13" s="52"/>
      <c r="E13" s="53"/>
      <c r="F13" s="29"/>
      <c r="G13" s="30"/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/>
      <c r="C14" s="49"/>
      <c r="D14" s="58"/>
      <c r="E14" s="54"/>
      <c r="F14" s="56"/>
      <c r="G14" s="30"/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/>
      <c r="C15" s="49"/>
      <c r="D15" s="52"/>
      <c r="E15" s="53"/>
      <c r="F15" s="56"/>
      <c r="G15" s="30"/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/>
      <c r="C16" s="49"/>
      <c r="D16" s="51"/>
      <c r="E16" s="54"/>
      <c r="F16" s="48"/>
      <c r="G16" s="30"/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/>
      <c r="C17" s="49"/>
      <c r="D17" s="52"/>
      <c r="E17" s="54"/>
      <c r="F17" s="32"/>
      <c r="G17" s="33"/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"/>
      <c r="C18" s="49"/>
      <c r="D18" s="52"/>
      <c r="E18" s="53"/>
      <c r="F18" s="32"/>
      <c r="G18" s="33"/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57"/>
      <c r="C19" s="49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C26" s="35"/>
      <c r="D26" s="55"/>
      <c r="E26" s="55"/>
      <c r="F26" s="36"/>
      <c r="G26" s="37">
        <f>SUM(G11:G25)</f>
        <v>0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59"/>
      <c r="C29" s="59"/>
      <c r="D29" s="60"/>
      <c r="E29" s="61"/>
      <c r="F29" s="62"/>
    </row>
    <row r="30" spans="1:15" ht="17.75">
      <c r="B30" s="63"/>
      <c r="C30" s="63"/>
      <c r="D30" s="64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AEA0-3844-480C-B9FC-5849D8F7534D}">
  <dimension ref="A1:WVB44"/>
  <sheetViews>
    <sheetView topLeftCell="A2"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5" t="s">
        <v>0</v>
      </c>
      <c r="D1" s="65"/>
      <c r="E1" s="65"/>
      <c r="F1" s="65"/>
      <c r="G1" s="65"/>
      <c r="H1" s="65"/>
    </row>
    <row r="2" spans="1:15" ht="38.950000000000003" customHeight="1">
      <c r="B2" s="4"/>
      <c r="C2" s="65" t="s">
        <v>1</v>
      </c>
      <c r="D2" s="65"/>
      <c r="E2" s="65"/>
      <c r="F2" s="65"/>
      <c r="G2" s="65"/>
      <c r="H2" s="65"/>
    </row>
    <row r="3" spans="1:15" ht="24.05" customHeight="1">
      <c r="D3" s="9"/>
      <c r="F3" s="10"/>
      <c r="G3" s="11" t="s">
        <v>2</v>
      </c>
      <c r="H3" s="68" t="s">
        <v>29</v>
      </c>
    </row>
    <row r="4" spans="1:15" ht="17.75">
      <c r="B4" s="59" t="s">
        <v>3</v>
      </c>
      <c r="C4" s="59"/>
      <c r="D4" s="59"/>
      <c r="E4" s="14">
        <f>+'ABRIL 2026'!H8</f>
        <v>2682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/>
      <c r="F5" s="15"/>
      <c r="G5" s="16"/>
    </row>
    <row r="6" spans="1:15" ht="17.75">
      <c r="B6" s="59" t="s">
        <v>5</v>
      </c>
      <c r="C6" s="59"/>
      <c r="D6" s="59"/>
      <c r="E6" s="14">
        <v>0</v>
      </c>
      <c r="F6" s="15"/>
    </row>
    <row r="7" spans="1:15" ht="17.75">
      <c r="B7" s="66" t="s">
        <v>6</v>
      </c>
      <c r="C7" s="66"/>
      <c r="D7" s="66"/>
      <c r="E7" s="14">
        <f>SUM(E4:E6)</f>
        <v>2682</v>
      </c>
      <c r="F7" s="15"/>
      <c r="G7" s="18"/>
    </row>
    <row r="8" spans="1:15" ht="17.75">
      <c r="B8" s="67" t="s">
        <v>7</v>
      </c>
      <c r="C8" s="67"/>
      <c r="D8" s="67"/>
      <c r="E8" s="17">
        <f>+G26</f>
        <v>0</v>
      </c>
      <c r="F8" s="15"/>
      <c r="G8" s="19" t="s">
        <v>8</v>
      </c>
      <c r="H8" s="20">
        <f>E7-E8</f>
        <v>2682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/>
      <c r="C11" s="28"/>
      <c r="D11" s="52"/>
      <c r="E11" s="53"/>
      <c r="F11" s="29"/>
      <c r="G11" s="30"/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/>
      <c r="C12" s="28"/>
      <c r="D12" s="52"/>
      <c r="E12" s="53"/>
      <c r="F12" s="29"/>
      <c r="G12" s="30"/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/>
      <c r="C13" s="28"/>
      <c r="D13" s="52"/>
      <c r="E13" s="53"/>
      <c r="F13" s="29"/>
      <c r="G13" s="30"/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/>
      <c r="C14" s="49"/>
      <c r="D14" s="58"/>
      <c r="E14" s="54"/>
      <c r="F14" s="56"/>
      <c r="G14" s="30"/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/>
      <c r="C15" s="49"/>
      <c r="D15" s="52"/>
      <c r="E15" s="53"/>
      <c r="F15" s="56"/>
      <c r="G15" s="30"/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/>
      <c r="C16" s="49"/>
      <c r="D16" s="51"/>
      <c r="E16" s="54"/>
      <c r="F16" s="48"/>
      <c r="G16" s="30"/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/>
      <c r="C17" s="49"/>
      <c r="D17" s="52"/>
      <c r="E17" s="54"/>
      <c r="F17" s="32"/>
      <c r="G17" s="33"/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"/>
      <c r="C18" s="49"/>
      <c r="D18" s="52"/>
      <c r="E18" s="53"/>
      <c r="F18" s="32"/>
      <c r="G18" s="33"/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57"/>
      <c r="C19" s="49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C26" s="35"/>
      <c r="D26" s="55"/>
      <c r="E26" s="55"/>
      <c r="F26" s="36"/>
      <c r="G26" s="37">
        <f>SUM(G11:G25)</f>
        <v>0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59"/>
      <c r="C29" s="59"/>
      <c r="D29" s="60"/>
      <c r="E29" s="61"/>
      <c r="F29" s="62"/>
    </row>
    <row r="30" spans="1:15" ht="17.75">
      <c r="B30" s="63"/>
      <c r="C30" s="63"/>
      <c r="D30" s="64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A921-E052-4ED1-9E30-8B736BB758F1}">
  <dimension ref="A1:WVB44"/>
  <sheetViews>
    <sheetView tabSelected="1" topLeftCell="A2"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65" t="s">
        <v>0</v>
      </c>
      <c r="D1" s="65"/>
      <c r="E1" s="65"/>
      <c r="F1" s="65"/>
      <c r="G1" s="65"/>
      <c r="H1" s="65"/>
    </row>
    <row r="2" spans="1:15" ht="38.950000000000003" customHeight="1">
      <c r="B2" s="4"/>
      <c r="C2" s="65" t="s">
        <v>1</v>
      </c>
      <c r="D2" s="65"/>
      <c r="E2" s="65"/>
      <c r="F2" s="65"/>
      <c r="G2" s="65"/>
      <c r="H2" s="65"/>
    </row>
    <row r="3" spans="1:15" ht="24.05" customHeight="1">
      <c r="D3" s="9"/>
      <c r="F3" s="10"/>
      <c r="G3" s="11" t="s">
        <v>2</v>
      </c>
      <c r="H3" s="68" t="s">
        <v>30</v>
      </c>
    </row>
    <row r="4" spans="1:15" ht="17.75">
      <c r="B4" s="59" t="s">
        <v>3</v>
      </c>
      <c r="C4" s="59"/>
      <c r="D4" s="59"/>
      <c r="E4" s="14">
        <f>+'MAYO 2026'!H8</f>
        <v>2682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/>
      <c r="F5" s="15"/>
      <c r="G5" s="16"/>
    </row>
    <row r="6" spans="1:15" ht="17.75">
      <c r="B6" s="59" t="s">
        <v>5</v>
      </c>
      <c r="C6" s="59"/>
      <c r="D6" s="59"/>
      <c r="E6" s="14">
        <v>0</v>
      </c>
      <c r="F6" s="15"/>
    </row>
    <row r="7" spans="1:15" ht="17.75">
      <c r="B7" s="66" t="s">
        <v>6</v>
      </c>
      <c r="C7" s="66"/>
      <c r="D7" s="66"/>
      <c r="E7" s="14">
        <f>SUM(E4:E6)</f>
        <v>2682</v>
      </c>
      <c r="F7" s="15"/>
      <c r="G7" s="18"/>
    </row>
    <row r="8" spans="1:15" ht="17.75">
      <c r="B8" s="67" t="s">
        <v>7</v>
      </c>
      <c r="C8" s="67"/>
      <c r="D8" s="67"/>
      <c r="E8" s="17">
        <f>+G26</f>
        <v>0</v>
      </c>
      <c r="F8" s="15"/>
      <c r="G8" s="19" t="s">
        <v>8</v>
      </c>
      <c r="H8" s="20">
        <f>E7-E8</f>
        <v>2682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/>
      <c r="C11" s="28"/>
      <c r="D11" s="52"/>
      <c r="E11" s="53"/>
      <c r="F11" s="29"/>
      <c r="G11" s="30"/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/>
      <c r="C12" s="28"/>
      <c r="D12" s="52"/>
      <c r="E12" s="53"/>
      <c r="F12" s="29"/>
      <c r="G12" s="30"/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/>
      <c r="C13" s="28"/>
      <c r="D13" s="52"/>
      <c r="E13" s="53"/>
      <c r="F13" s="29"/>
      <c r="G13" s="30"/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/>
      <c r="C14" s="49"/>
      <c r="D14" s="58"/>
      <c r="E14" s="54"/>
      <c r="F14" s="56"/>
      <c r="G14" s="30"/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/>
      <c r="C15" s="49"/>
      <c r="D15" s="52"/>
      <c r="E15" s="53"/>
      <c r="F15" s="56"/>
      <c r="G15" s="30"/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/>
      <c r="C16" s="49"/>
      <c r="D16" s="51"/>
      <c r="E16" s="54"/>
      <c r="F16" s="48"/>
      <c r="G16" s="30"/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/>
      <c r="C17" s="49"/>
      <c r="D17" s="52"/>
      <c r="E17" s="54"/>
      <c r="F17" s="32"/>
      <c r="G17" s="33"/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"/>
      <c r="C18" s="49"/>
      <c r="D18" s="52"/>
      <c r="E18" s="53"/>
      <c r="F18" s="32"/>
      <c r="G18" s="33"/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57"/>
      <c r="C19" s="49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C26" s="35"/>
      <c r="D26" s="55"/>
      <c r="E26" s="55"/>
      <c r="F26" s="36"/>
      <c r="G26" s="37">
        <f>SUM(G11:G25)</f>
        <v>0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59"/>
      <c r="C29" s="59"/>
      <c r="D29" s="60"/>
      <c r="E29" s="61"/>
      <c r="F29" s="62"/>
    </row>
    <row r="30" spans="1:15" ht="17.75">
      <c r="B30" s="63"/>
      <c r="C30" s="63"/>
      <c r="D30" s="64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0A4158-F78D-4C06-802C-CAC9F8667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98C418-B5B4-4E6C-AA49-D1D9C2339D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28200B-8B9E-4E88-82A8-19986B5E415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DICIEMBRE_2025</vt:lpstr>
      <vt:lpstr>ENERO_2026</vt:lpstr>
      <vt:lpstr>FEBRERO 2026</vt:lpstr>
      <vt:lpstr>MARZO 2026</vt:lpstr>
      <vt:lpstr>ABRIL 2026</vt:lpstr>
      <vt:lpstr>MAYO 2026</vt:lpstr>
      <vt:lpstr>JUNIO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2022-02-07T12:32:00Z</dcterms:created>
  <dcterms:modified xsi:type="dcterms:W3CDTF">2026-02-13T16:39:11Z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8A4FA03D3AA048149CA1AE7AD26D4107_13</vt:lpwstr>
  </property>
  <property fmtid="{D5CDD505-2E9C-101B-9397-08002B2CF9AE}" pid="3" name="KSOProductBuildVer">
    <vt:lpwstr>2058-12.2.0.21931</vt:lpwstr>
  </property>
  <property fmtid="{D5CDD505-2E9C-101B-9397-08002B2CF9AE}" pid="4" name="ContentTypeId">
    <vt:lpwstr>0x0101008C0FDD3EE9C26F4CA38A0CE1A876A831</vt:lpwstr>
  </property>
  <property fmtid="{D5CDD505-2E9C-101B-9397-08002B2CF9AE}" pid="5" name="MediaServiceImageTags">
    <vt:lpwstr/>
  </property>
</Properties>
</file>