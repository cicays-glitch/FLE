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ABRIL 26/FONDO FIJO/egaña/"/>
    </mc:Choice>
  </mc:AlternateContent>
  <xr:revisionPtr revIDLastSave="4" documentId="11_512D36B74F9CDD291579A16FEEE37B70D8131186" xr6:coauthVersionLast="47" xr6:coauthVersionMax="47" xr10:uidLastSave="{F9C654BF-8435-4F1D-908D-E7CDD7F52FD4}"/>
  <bookViews>
    <workbookView xWindow="-107" yWindow="-107" windowWidth="20847" windowHeight="11111" firstSheet="17" activeTab="21" xr2:uid="{00000000-000D-0000-FFFF-FFFF00000000}"/>
  </bookViews>
  <sheets>
    <sheet name="JULIO " sheetId="1" r:id="rId1"/>
    <sheet name="AGOSTO" sheetId="2" r:id="rId2"/>
    <sheet name="SEPTIEMBRE" sheetId="3" r:id="rId3"/>
    <sheet name="OCTUBRE" sheetId="4" r:id="rId4"/>
    <sheet name="NOVIEMBRE" sheetId="5" r:id="rId5"/>
    <sheet name="DICIEMBRE" sheetId="6" r:id="rId6"/>
    <sheet name="ENERO 2025" sheetId="7" r:id="rId7"/>
    <sheet name="FEBRERO 2025" sheetId="9" r:id="rId8"/>
    <sheet name=" MARZO 2025" sheetId="10" r:id="rId9"/>
    <sheet name="ABRIL 2025" sheetId="11" r:id="rId10"/>
    <sheet name="MAYO 2025" sheetId="12" r:id="rId11"/>
    <sheet name="JUNIO 2025" sheetId="13" r:id="rId12"/>
    <sheet name="JULIO 2025" sheetId="14" r:id="rId13"/>
    <sheet name="AGOSTO 2025" sheetId="15" r:id="rId14"/>
    <sheet name="SEPTIEMBRE 2025" sheetId="16" r:id="rId15"/>
    <sheet name="OCTUBRE 2025" sheetId="17" r:id="rId16"/>
    <sheet name="NOVIEMBRE 2025" sheetId="18" r:id="rId17"/>
    <sheet name="DICIEMBRE 2025" sheetId="19" r:id="rId18"/>
    <sheet name="ENERO 2026" sheetId="20" r:id="rId19"/>
    <sheet name="FEBRERO 2026" sheetId="21" r:id="rId20"/>
    <sheet name="MARZO 2026" sheetId="22" r:id="rId21"/>
    <sheet name="ABRIL 2026" sheetId="23" r:id="rId22"/>
  </sheets>
  <definedNames>
    <definedName name="_xlnm.Print_Area" localSheetId="1">AGOSTO!$A$1:$H$27</definedName>
    <definedName name="_xlnm.Print_Area" localSheetId="5">DICIEMBRE!$A$1:$H$27</definedName>
    <definedName name="_xlnm.Print_Area" localSheetId="0">'JULIO '!$A$1:$H$28</definedName>
    <definedName name="_xlnm.Print_Area" localSheetId="4">NOVIEMBRE!$A$1:$H$27</definedName>
    <definedName name="_xlnm.Print_Area" localSheetId="3">OCTUBRE!$A$1:$H$27</definedName>
    <definedName name="_xlnm.Print_Area" localSheetId="2">SEPTIEMBRE!$A$1:$H$27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23" l="1"/>
  <c r="E8" i="23" s="1"/>
  <c r="G18" i="22" l="1"/>
  <c r="E8" i="22" s="1"/>
  <c r="G18" i="21" l="1"/>
  <c r="E8" i="21" s="1"/>
  <c r="G18" i="20"/>
  <c r="E8" i="20" s="1"/>
  <c r="G20" i="19" l="1"/>
  <c r="E8" i="19" s="1"/>
  <c r="H8" i="19" s="1"/>
  <c r="E4" i="20" s="1"/>
  <c r="E7" i="20" s="1"/>
  <c r="H8" i="20" s="1"/>
  <c r="E4" i="21" s="1"/>
  <c r="E7" i="21" s="1"/>
  <c r="H8" i="21" s="1"/>
  <c r="E4" i="22" s="1"/>
  <c r="E7" i="22" s="1"/>
  <c r="H8" i="22" s="1"/>
  <c r="E4" i="23" s="1"/>
  <c r="E7" i="23" s="1"/>
  <c r="H8" i="23" s="1"/>
  <c r="G20" i="18" l="1"/>
  <c r="E8" i="18" s="1"/>
  <c r="H8" i="18" s="1"/>
  <c r="E4" i="19" s="1"/>
  <c r="G20" i="17" l="1"/>
  <c r="E8" i="17" s="1"/>
  <c r="H8" i="17" s="1"/>
  <c r="E4" i="18" s="1"/>
  <c r="G20" i="16" l="1"/>
  <c r="E8" i="16" s="1"/>
  <c r="H8" i="16" s="1"/>
  <c r="E4" i="17" s="1"/>
  <c r="G20" i="15" l="1"/>
  <c r="E8" i="15" s="1"/>
  <c r="H8" i="15" s="1"/>
  <c r="E4" i="16" s="1"/>
  <c r="G20" i="14"/>
  <c r="E8" i="14" s="1"/>
  <c r="H8" i="14" s="1"/>
  <c r="E4" i="15" s="1"/>
  <c r="G20" i="13" l="1"/>
  <c r="E8" i="13" s="1"/>
  <c r="H8" i="13" s="1"/>
  <c r="E4" i="14" s="1"/>
  <c r="G20" i="12" l="1"/>
  <c r="E8" i="12" s="1"/>
  <c r="H8" i="12" s="1"/>
  <c r="E4" i="13" s="1"/>
  <c r="G26" i="11" l="1"/>
  <c r="E8" i="11" s="1"/>
  <c r="H8" i="11" s="1"/>
  <c r="E4" i="12" s="1"/>
  <c r="G26" i="10" l="1"/>
  <c r="E8" i="10" s="1"/>
  <c r="H8" i="10" s="1"/>
  <c r="E4" i="11" s="1"/>
  <c r="G26" i="9" l="1"/>
  <c r="E8" i="9" s="1"/>
  <c r="H8" i="9" s="1"/>
  <c r="E4" i="10" s="1"/>
  <c r="G26" i="7" l="1"/>
  <c r="E8" i="7" s="1"/>
  <c r="H8" i="7" l="1"/>
  <c r="E4" i="9" s="1"/>
  <c r="G26" i="6" l="1"/>
  <c r="E8" i="6" s="1"/>
  <c r="G26" i="5"/>
  <c r="E8" i="5" s="1"/>
  <c r="G26" i="4"/>
  <c r="E8" i="4" s="1"/>
  <c r="G26" i="3"/>
  <c r="E8" i="3" s="1"/>
  <c r="G26" i="2"/>
  <c r="E8" i="2" s="1"/>
  <c r="E7" i="1"/>
  <c r="G26" i="1"/>
  <c r="E8" i="1" s="1"/>
  <c r="H8" i="1" l="1"/>
  <c r="E4" i="2" s="1"/>
  <c r="E7" i="2" s="1"/>
  <c r="H8" i="2" s="1"/>
  <c r="E4" i="3" s="1"/>
  <c r="E7" i="3" s="1"/>
  <c r="H8" i="3" s="1"/>
  <c r="E4" i="4" s="1"/>
  <c r="E7" i="4" l="1"/>
  <c r="H8" i="4" s="1"/>
  <c r="E4" i="5" s="1"/>
  <c r="E7" i="5" s="1"/>
  <c r="H8" i="5" s="1"/>
  <c r="E4" i="6" s="1"/>
  <c r="E7" i="6" s="1"/>
  <c r="H8" i="6" s="1"/>
  <c r="E4" i="7" s="1"/>
</calcChain>
</file>

<file path=xl/sharedStrings.xml><?xml version="1.0" encoding="utf-8"?>
<sst xmlns="http://schemas.openxmlformats.org/spreadsheetml/2006/main" count="695" uniqueCount="138">
  <si>
    <t xml:space="preserve">RENDICION CAJA CHICA  </t>
  </si>
  <si>
    <t>SALDO ANTERIOR</t>
  </si>
  <si>
    <t>MONTO ADICIONAL</t>
  </si>
  <si>
    <t>MONTO A RENDIR</t>
  </si>
  <si>
    <t>RENDIDO</t>
  </si>
  <si>
    <t>N°</t>
  </si>
  <si>
    <t xml:space="preserve">Fecha  </t>
  </si>
  <si>
    <t>Detalle</t>
  </si>
  <si>
    <t>Total</t>
  </si>
  <si>
    <t>TOTALES</t>
  </si>
  <si>
    <t>MES</t>
  </si>
  <si>
    <t>SALDO AL CIERRE</t>
  </si>
  <si>
    <t>JULIO</t>
  </si>
  <si>
    <t>DEPÓSITO RENDICION ANTERIOR</t>
  </si>
  <si>
    <t>AGOSTO</t>
  </si>
  <si>
    <t>Tipo Documento (boleta venta-boleta honorarios-factura)</t>
  </si>
  <si>
    <t>-</t>
  </si>
  <si>
    <t>SEPTIEMBRE</t>
  </si>
  <si>
    <t>OCTUBRE</t>
  </si>
  <si>
    <t>NOVIEMBRE</t>
  </si>
  <si>
    <t>DICIEMBRE</t>
  </si>
  <si>
    <t>N° documento</t>
  </si>
  <si>
    <t>RUT Titular del documento</t>
  </si>
  <si>
    <t>boleta venta</t>
  </si>
  <si>
    <t>PLAZA EGAÑA</t>
  </si>
  <si>
    <t>Código Imputacion (RSM) 130</t>
  </si>
  <si>
    <t>desayuno recepcion de mercaderia</t>
  </si>
  <si>
    <t>envio telas a talca (visual)</t>
  </si>
  <si>
    <t>estancos de luz para bodega</t>
  </si>
  <si>
    <t>papel absorvente</t>
  </si>
  <si>
    <t>limpieza de vitrina</t>
  </si>
  <si>
    <t>N°28</t>
  </si>
  <si>
    <t>desayuno recepcion mercaderia</t>
  </si>
  <si>
    <t>copia de llaves</t>
  </si>
  <si>
    <t>papel absorvente y agua</t>
  </si>
  <si>
    <t>recepcion nuevo integrante</t>
  </si>
  <si>
    <t xml:space="preserve">cumpleaños ruben </t>
  </si>
  <si>
    <t>factura</t>
  </si>
  <si>
    <t>boleta honorarios</t>
  </si>
  <si>
    <t>pantalon gabriel x1</t>
  </si>
  <si>
    <t>boleta</t>
  </si>
  <si>
    <t>envio material POP a concepcion</t>
  </si>
  <si>
    <t xml:space="preserve">art. Cumpleaños sebastian. </t>
  </si>
  <si>
    <t>desayuna recepcion llenado</t>
  </si>
  <si>
    <t>boleta de honorarios</t>
  </si>
  <si>
    <t>77227317-7</t>
  </si>
  <si>
    <t>limpieza de vidrios y vitrina</t>
  </si>
  <si>
    <t xml:space="preserve">boleta </t>
  </si>
  <si>
    <t>caramelos halloween</t>
  </si>
  <si>
    <t xml:space="preserve">desayuno reunion </t>
  </si>
  <si>
    <t>desayuno reunion planificacion diciembre</t>
  </si>
  <si>
    <t>cable para pc</t>
  </si>
  <si>
    <t>limpieza vidrios y vitrina</t>
  </si>
  <si>
    <t>mantension extintores</t>
  </si>
  <si>
    <t>desayuno reunion dia pick del mes</t>
  </si>
  <si>
    <t>desayuno reunion navidad egaña</t>
  </si>
  <si>
    <t>ENERO</t>
  </si>
  <si>
    <t>bidon de agua</t>
  </si>
  <si>
    <t>cumpleaños Yeison</t>
  </si>
  <si>
    <t>14580359-4</t>
  </si>
  <si>
    <t>limpieza vidrios</t>
  </si>
  <si>
    <t>vale por</t>
  </si>
  <si>
    <t>movilizacion apoyo vespucio</t>
  </si>
  <si>
    <t>cintas adhesivas</t>
  </si>
  <si>
    <t>FEBRERO</t>
  </si>
  <si>
    <t xml:space="preserve">limpieza vidrios </t>
  </si>
  <si>
    <t>MARZO</t>
  </si>
  <si>
    <t>celebracion dia de la mujer</t>
  </si>
  <si>
    <t>boletas de honorarios</t>
  </si>
  <si>
    <t>limpieza de vidrios</t>
  </si>
  <si>
    <t>Abril</t>
  </si>
  <si>
    <t xml:space="preserve">limpieza de vidrios </t>
  </si>
  <si>
    <t>cuerda pita</t>
  </si>
  <si>
    <t>Mayo</t>
  </si>
  <si>
    <t>cintas de regalo</t>
  </si>
  <si>
    <t>cinta embalaje y bidon</t>
  </si>
  <si>
    <t>cintas de embalaje</t>
  </si>
  <si>
    <t>copia de llave</t>
  </si>
  <si>
    <t>JUNIO</t>
  </si>
  <si>
    <t>d25060502102</t>
  </si>
  <si>
    <t>77557273-6</t>
  </si>
  <si>
    <t>caja organizadora</t>
  </si>
  <si>
    <t>80478200-1</t>
  </si>
  <si>
    <t>cinta de embalaje</t>
  </si>
  <si>
    <t>96792430-k</t>
  </si>
  <si>
    <t>desayuno reunion equipo</t>
  </si>
  <si>
    <t>78527210-6</t>
  </si>
  <si>
    <t>dibon de agua</t>
  </si>
  <si>
    <t>96756430-3</t>
  </si>
  <si>
    <t>envío material SALE plaza trebol</t>
  </si>
  <si>
    <t>equipos estanco para led bodega y sellador</t>
  </si>
  <si>
    <t>dispensador agua</t>
  </si>
  <si>
    <t>limpiavidrios</t>
  </si>
  <si>
    <t>bidones de agua</t>
  </si>
  <si>
    <t>estanco para luces led bodega</t>
  </si>
  <si>
    <t>BOLETA DE HONORARIOS</t>
  </si>
  <si>
    <t xml:space="preserve">BOLETA </t>
  </si>
  <si>
    <t>78627210-6</t>
  </si>
  <si>
    <t>limpieza de vitrina y vidrios</t>
  </si>
  <si>
    <t>papel higienico y absorvente</t>
  </si>
  <si>
    <t>empanadas</t>
  </si>
  <si>
    <t>bebestibles y vasos plasticos</t>
  </si>
  <si>
    <t>atr. De limpieza y papel absorvente</t>
  </si>
  <si>
    <t>92642000-3</t>
  </si>
  <si>
    <t>papel carta impresora</t>
  </si>
  <si>
    <t>77093957-7</t>
  </si>
  <si>
    <t>recarga agua</t>
  </si>
  <si>
    <t>LIMPIEZA DE VIDRIOS Y VITRINA</t>
  </si>
  <si>
    <t>NEHUENKO SPA</t>
  </si>
  <si>
    <t>RECARGA AGUA</t>
  </si>
  <si>
    <t>tv box</t>
  </si>
  <si>
    <t>77398220-1</t>
  </si>
  <si>
    <t>bandeja de aluminio</t>
  </si>
  <si>
    <t>d25111506160</t>
  </si>
  <si>
    <t>sobres para giftcard</t>
  </si>
  <si>
    <t>envio calzado a trebol</t>
  </si>
  <si>
    <t>resma impresora</t>
  </si>
  <si>
    <t xml:space="preserve">limpieza vidrios y vitrina </t>
  </si>
  <si>
    <t>toalla de papel</t>
  </si>
  <si>
    <t>5666822-5</t>
  </si>
  <si>
    <t>.</t>
  </si>
  <si>
    <t>limpieza fachada, interior y alturas. Diciembre y enero</t>
  </si>
  <si>
    <t>BOLETA</t>
  </si>
  <si>
    <t>PAGO PATENTE COMERCIAL</t>
  </si>
  <si>
    <t>LIMPIEZA DE VITRINA</t>
  </si>
  <si>
    <t>RESMA</t>
  </si>
  <si>
    <t>CINTA ADHESIVA</t>
  </si>
  <si>
    <t>CINTA EMBALAJE</t>
  </si>
  <si>
    <t>ABRIL</t>
  </si>
  <si>
    <t>BOLETA HONORARIOS</t>
  </si>
  <si>
    <t>LIMPIEZA VIDRIOS Y VITRINA</t>
  </si>
  <si>
    <t>RESMA Y CINTA EMBALAJE</t>
  </si>
  <si>
    <t>PAPEL ABSORVENTE</t>
  </si>
  <si>
    <t>96792430-K</t>
  </si>
  <si>
    <t>PITILLA RAFIA</t>
  </si>
  <si>
    <t>TRASLADO MATERIAL A TALCA Y TREBOL</t>
  </si>
  <si>
    <t>83030600-5</t>
  </si>
  <si>
    <t>PILA CONTROL REMOTO CORTINA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</si>
</sst>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$&quot;* #,##0.00_ ;_ &quot;$&quot;* \-#,##0.00_ ;_ &quot;$&quot;* &quot;-&quot;??_ ;_ @_ "/>
    <numFmt numFmtId="164" formatCode="_-* #,##0.00_-;\-* #,##0.00_-;_-* &quot;-&quot;??_-;_-@_-"/>
    <numFmt numFmtId="165" formatCode="_-* #,##0_-;\-* #,##0_-;_-* &quot;-&quot;??_-;_-@_-"/>
    <numFmt numFmtId="166" formatCode="#,##0_ ;\-#,##0\ "/>
    <numFmt numFmtId="167" formatCode="_-&quot;$&quot;* #,##0_-;\-&quot;$&quot;* #,##0_-;_-&quot;$&quot;* &quot;-&quot;??_-;_-@_-"/>
  </numFmts>
  <fonts count="19" x14ac:knownFonts="1">
    <font>
      <sz val="11"/>
      <color theme="1"/>
      <name val="Calibri"/>
      <family val="2"/>
      <scheme val="minor"/>
    </font>
    <font>
      <i/>
      <sz val="10"/>
      <name val="Segoe UI"/>
      <family val="2"/>
      <charset val="1"/>
    </font>
    <font>
      <i/>
      <sz val="16"/>
      <name val="Segoe UI"/>
      <family val="2"/>
      <charset val="1"/>
    </font>
    <font>
      <b/>
      <i/>
      <u/>
      <sz val="16"/>
      <name val="Segoe UI"/>
      <family val="2"/>
      <charset val="1"/>
    </font>
    <font>
      <b/>
      <i/>
      <sz val="9"/>
      <name val="Segoe UI"/>
      <family val="2"/>
      <charset val="1"/>
    </font>
    <font>
      <b/>
      <i/>
      <sz val="22"/>
      <name val="Segoe UI"/>
      <family val="2"/>
      <charset val="1"/>
    </font>
    <font>
      <b/>
      <i/>
      <sz val="14"/>
      <name val="Segoe UI"/>
      <family val="2"/>
      <charset val="1"/>
    </font>
    <font>
      <b/>
      <i/>
      <sz val="12"/>
      <name val="Segoe UI"/>
      <family val="2"/>
      <charset val="1"/>
    </font>
    <font>
      <i/>
      <sz val="12"/>
      <name val="Segoe UI"/>
      <family val="2"/>
      <charset val="1"/>
    </font>
    <font>
      <b/>
      <i/>
      <sz val="12"/>
      <color indexed="10"/>
      <name val="Segoe UI"/>
      <family val="2"/>
      <charset val="1"/>
    </font>
    <font>
      <b/>
      <i/>
      <sz val="10"/>
      <name val="Segoe UI"/>
      <family val="2"/>
      <charset val="1"/>
    </font>
    <font>
      <i/>
      <sz val="9"/>
      <name val="Segoe UI"/>
      <family val="2"/>
      <charset val="1"/>
    </font>
    <font>
      <sz val="11"/>
      <color theme="1"/>
      <name val="Calibri"/>
      <family val="2"/>
      <scheme val="minor"/>
    </font>
    <font>
      <b/>
      <i/>
      <sz val="10"/>
      <name val="Segoe UI"/>
      <family val="2"/>
    </font>
    <font>
      <b/>
      <i/>
      <sz val="11"/>
      <color rgb="FFFF0000"/>
      <name val="Segoe UI"/>
      <family val="2"/>
    </font>
    <font>
      <b/>
      <i/>
      <sz val="10"/>
      <color rgb="FF0070C0"/>
      <name val="Segoe UI"/>
      <family val="2"/>
    </font>
    <font>
      <b/>
      <i/>
      <sz val="12"/>
      <color rgb="FF0070C0"/>
      <name val="Segoe UI"/>
      <family val="2"/>
      <charset val="1"/>
    </font>
    <font>
      <sz val="11"/>
      <name val="Segoe UI"/>
      <family val="2"/>
    </font>
    <font>
      <b/>
      <sz val="1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0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1" fontId="1" fillId="2" borderId="0" xfId="0" applyNumberFormat="1" applyFont="1" applyFill="1" applyAlignment="1">
      <alignment vertical="center"/>
    </xf>
    <xf numFmtId="3" fontId="1" fillId="2" borderId="0" xfId="0" applyNumberFormat="1" applyFont="1" applyFill="1"/>
    <xf numFmtId="49" fontId="1" fillId="2" borderId="0" xfId="0" applyNumberFormat="1" applyFont="1" applyFill="1"/>
    <xf numFmtId="3" fontId="7" fillId="2" borderId="0" xfId="0" applyNumberFormat="1" applyFont="1" applyFill="1"/>
    <xf numFmtId="0" fontId="8" fillId="2" borderId="0" xfId="0" applyFont="1" applyFill="1"/>
    <xf numFmtId="1" fontId="8" fillId="2" borderId="0" xfId="0" applyNumberFormat="1" applyFont="1" applyFill="1" applyAlignment="1">
      <alignment horizontal="center" vertical="center"/>
    </xf>
    <xf numFmtId="3" fontId="8" fillId="2" borderId="0" xfId="0" applyNumberFormat="1" applyFont="1" applyFill="1" applyAlignment="1">
      <alignment horizontal="center"/>
    </xf>
    <xf numFmtId="0" fontId="10" fillId="2" borderId="0" xfId="0" applyFont="1" applyFill="1"/>
    <xf numFmtId="0" fontId="10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10" fillId="2" borderId="3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0" fontId="10" fillId="2" borderId="5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right" vertical="center"/>
    </xf>
    <xf numFmtId="0" fontId="10" fillId="2" borderId="2" xfId="0" applyFont="1" applyFill="1" applyBorder="1" applyAlignment="1">
      <alignment horizontal="right" vertical="center"/>
    </xf>
    <xf numFmtId="3" fontId="7" fillId="2" borderId="2" xfId="0" applyNumberFormat="1" applyFont="1" applyFill="1" applyBorder="1"/>
    <xf numFmtId="0" fontId="7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0" fontId="11" fillId="2" borderId="0" xfId="0" applyFont="1" applyFill="1"/>
    <xf numFmtId="3" fontId="5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left"/>
    </xf>
    <xf numFmtId="0" fontId="1" fillId="2" borderId="0" xfId="0" applyFont="1" applyFill="1" applyAlignment="1">
      <alignment horizontal="right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9" fillId="2" borderId="0" xfId="0" applyFont="1" applyFill="1" applyAlignment="1">
      <alignment horizontal="left"/>
    </xf>
    <xf numFmtId="3" fontId="7" fillId="2" borderId="4" xfId="0" applyNumberFormat="1" applyFont="1" applyFill="1" applyBorder="1" applyAlignment="1">
      <alignment horizontal="center" vertical="center"/>
    </xf>
    <xf numFmtId="49" fontId="8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left"/>
    </xf>
    <xf numFmtId="0" fontId="7" fillId="2" borderId="5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 wrapText="1"/>
    </xf>
    <xf numFmtId="165" fontId="13" fillId="2" borderId="1" xfId="1" applyNumberFormat="1" applyFont="1" applyFill="1" applyBorder="1" applyAlignment="1">
      <alignment horizontal="center" vertical="center"/>
    </xf>
    <xf numFmtId="165" fontId="14" fillId="2" borderId="1" xfId="1" applyNumberFormat="1" applyFont="1" applyFill="1" applyBorder="1" applyAlignment="1">
      <alignment horizontal="center" vertical="center"/>
    </xf>
    <xf numFmtId="0" fontId="7" fillId="2" borderId="0" xfId="0" applyFont="1" applyFill="1"/>
    <xf numFmtId="165" fontId="15" fillId="2" borderId="1" xfId="1" applyNumberFormat="1" applyFont="1" applyFill="1" applyBorder="1" applyAlignment="1">
      <alignment horizontal="center" vertical="center"/>
    </xf>
    <xf numFmtId="14" fontId="17" fillId="2" borderId="3" xfId="0" applyNumberFormat="1" applyFont="1" applyFill="1" applyBorder="1" applyAlignment="1">
      <alignment horizontal="left"/>
    </xf>
    <xf numFmtId="0" fontId="17" fillId="2" borderId="3" xfId="0" applyFont="1" applyFill="1" applyBorder="1" applyAlignment="1">
      <alignment horizontal="left" wrapText="1"/>
    </xf>
    <xf numFmtId="0" fontId="17" fillId="2" borderId="3" xfId="0" applyFont="1" applyFill="1" applyBorder="1" applyAlignment="1">
      <alignment vertical="center"/>
    </xf>
    <xf numFmtId="3" fontId="17" fillId="2" borderId="4" xfId="0" applyNumberFormat="1" applyFont="1" applyFill="1" applyBorder="1" applyAlignment="1">
      <alignment horizontal="left" wrapText="1"/>
    </xf>
    <xf numFmtId="0" fontId="17" fillId="3" borderId="3" xfId="0" applyFont="1" applyFill="1" applyBorder="1" applyAlignment="1">
      <alignment horizontal="center" vertical="center"/>
    </xf>
    <xf numFmtId="166" fontId="17" fillId="2" borderId="3" xfId="1" applyNumberFormat="1" applyFont="1" applyFill="1" applyBorder="1" applyAlignment="1">
      <alignment horizontal="right"/>
    </xf>
    <xf numFmtId="166" fontId="18" fillId="2" borderId="3" xfId="1" applyNumberFormat="1" applyFont="1" applyFill="1" applyBorder="1" applyAlignment="1">
      <alignment horizontal="right"/>
    </xf>
    <xf numFmtId="14" fontId="0" fillId="0" borderId="3" xfId="0" applyNumberFormat="1" applyBorder="1" applyAlignment="1">
      <alignment horizontal="center" vertical="center" wrapText="1"/>
    </xf>
    <xf numFmtId="14" fontId="0" fillId="2" borderId="3" xfId="0" applyNumberFormat="1" applyFill="1" applyBorder="1" applyAlignment="1">
      <alignment horizontal="center" vertical="center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167" fontId="0" fillId="0" borderId="3" xfId="2" applyNumberFormat="1" applyFont="1" applyBorder="1" applyAlignment="1">
      <alignment vertical="center" wrapText="1"/>
    </xf>
    <xf numFmtId="167" fontId="0" fillId="0" borderId="3" xfId="2" applyNumberFormat="1" applyFont="1" applyBorder="1" applyAlignment="1">
      <alignment vertical="center"/>
    </xf>
    <xf numFmtId="1" fontId="0" fillId="0" borderId="3" xfId="1" applyNumberFormat="1" applyFont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" fontId="0" fillId="0" borderId="3" xfId="0" applyNumberFormat="1" applyBorder="1" applyAlignment="1">
      <alignment horizontal="center"/>
    </xf>
    <xf numFmtId="14" fontId="17" fillId="2" borderId="3" xfId="0" applyNumberFormat="1" applyFont="1" applyFill="1" applyBorder="1" applyAlignment="1">
      <alignment horizontal="center"/>
    </xf>
    <xf numFmtId="0" fontId="17" fillId="2" borderId="3" xfId="0" applyFont="1" applyFill="1" applyBorder="1" applyAlignment="1">
      <alignment horizontal="center" wrapText="1"/>
    </xf>
    <xf numFmtId="0" fontId="17" fillId="2" borderId="3" xfId="0" applyFont="1" applyFill="1" applyBorder="1" applyAlignment="1">
      <alignment horizontal="center" vertical="center"/>
    </xf>
    <xf numFmtId="3" fontId="17" fillId="2" borderId="4" xfId="0" applyNumberFormat="1" applyFont="1" applyFill="1" applyBorder="1" applyAlignment="1">
      <alignment horizontal="center" wrapText="1"/>
    </xf>
    <xf numFmtId="0" fontId="4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0" fillId="2" borderId="5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/>
    </xf>
    <xf numFmtId="165" fontId="13" fillId="4" borderId="1" xfId="1" applyNumberFormat="1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/>
    </xf>
    <xf numFmtId="0" fontId="8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8" fillId="2" borderId="0" xfId="0" applyFont="1" applyFill="1"/>
    <xf numFmtId="0" fontId="1" fillId="2" borderId="0" xfId="0" applyFont="1" applyFill="1"/>
    <xf numFmtId="0" fontId="7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16" fillId="2" borderId="0" xfId="0" applyFont="1" applyFill="1" applyAlignment="1">
      <alignment horizontal="left"/>
    </xf>
    <xf numFmtId="165" fontId="10" fillId="2" borderId="0" xfId="0" applyNumberFormat="1" applyFont="1" applyFill="1"/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79500" cy="9652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79500" cy="9652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209550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11207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209550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11207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127001</xdr:rowOff>
    </xdr:from>
    <xdr:to>
      <xdr:col>1</xdr:col>
      <xdr:colOff>931333</xdr:colOff>
      <xdr:row>2</xdr:row>
      <xdr:rowOff>9526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1"/>
          <a:ext cx="1083733" cy="9207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127002</xdr:rowOff>
    </xdr:from>
    <xdr:to>
      <xdr:col>1</xdr:col>
      <xdr:colOff>542925</xdr:colOff>
      <xdr:row>2</xdr:row>
      <xdr:rowOff>211211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2"/>
          <a:ext cx="695325" cy="112243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127002</xdr:rowOff>
    </xdr:from>
    <xdr:to>
      <xdr:col>1</xdr:col>
      <xdr:colOff>400050</xdr:colOff>
      <xdr:row>3</xdr:row>
      <xdr:rowOff>64071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127002"/>
          <a:ext cx="733424" cy="128009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127003</xdr:rowOff>
    </xdr:from>
    <xdr:to>
      <xdr:col>1</xdr:col>
      <xdr:colOff>485775</xdr:colOff>
      <xdr:row>2</xdr:row>
      <xdr:rowOff>231532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127003"/>
          <a:ext cx="819149" cy="114275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127003</xdr:rowOff>
    </xdr:from>
    <xdr:to>
      <xdr:col>1</xdr:col>
      <xdr:colOff>600075</xdr:colOff>
      <xdr:row>2</xdr:row>
      <xdr:rowOff>228315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127003"/>
          <a:ext cx="933449" cy="113953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127004</xdr:rowOff>
    </xdr:from>
    <xdr:to>
      <xdr:col>1</xdr:col>
      <xdr:colOff>752475</xdr:colOff>
      <xdr:row>2</xdr:row>
      <xdr:rowOff>259773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127004"/>
          <a:ext cx="1085849" cy="117099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127004</xdr:rowOff>
    </xdr:from>
    <xdr:to>
      <xdr:col>1</xdr:col>
      <xdr:colOff>771525</xdr:colOff>
      <xdr:row>2</xdr:row>
      <xdr:rowOff>265160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127004"/>
          <a:ext cx="1104899" cy="117638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161926</xdr:colOff>
      <xdr:row>0</xdr:row>
      <xdr:rowOff>31755</xdr:rowOff>
    </xdr:from>
    <xdr:to>
      <xdr:col>1</xdr:col>
      <xdr:colOff>1362075</xdr:colOff>
      <xdr:row>2</xdr:row>
      <xdr:rowOff>262032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1" y="31755"/>
          <a:ext cx="1200149" cy="126850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161927</xdr:colOff>
      <xdr:row>0</xdr:row>
      <xdr:rowOff>31755</xdr:rowOff>
    </xdr:from>
    <xdr:to>
      <xdr:col>1</xdr:col>
      <xdr:colOff>1262763</xdr:colOff>
      <xdr:row>2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2" y="31755"/>
          <a:ext cx="1100836" cy="115887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161927</xdr:colOff>
      <xdr:row>0</xdr:row>
      <xdr:rowOff>31755</xdr:rowOff>
    </xdr:from>
    <xdr:to>
      <xdr:col>1</xdr:col>
      <xdr:colOff>1400175</xdr:colOff>
      <xdr:row>2</xdr:row>
      <xdr:rowOff>293777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2" y="31755"/>
          <a:ext cx="1238248" cy="130024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161927</xdr:colOff>
      <xdr:row>0</xdr:row>
      <xdr:rowOff>31755</xdr:rowOff>
    </xdr:from>
    <xdr:to>
      <xdr:col>1</xdr:col>
      <xdr:colOff>1400175</xdr:colOff>
      <xdr:row>2</xdr:row>
      <xdr:rowOff>293777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E31959B-EE71-4253-8448-3B88794BF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5479" y="31755"/>
          <a:ext cx="1238248" cy="1292428"/>
        </a:xfrm>
        <a:prstGeom prst="rect">
          <a:avLst/>
        </a:prstGeom>
      </xdr:spPr>
    </xdr:pic>
    <xdr:clientData/>
  </xdr:twoCellAnchor>
  <xdr:twoCellAnchor editAs="oneCell">
    <xdr:from>
      <xdr:col>5</xdr:col>
      <xdr:colOff>96337</xdr:colOff>
      <xdr:row>3</xdr:row>
      <xdr:rowOff>218116</xdr:rowOff>
    </xdr:from>
    <xdr:to>
      <xdr:col>7</xdr:col>
      <xdr:colOff>875418</xdr:colOff>
      <xdr:row>5</xdr:row>
      <xdr:rowOff>31886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66F079-CE80-32B4-7176-D5D78CCF7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07824" y="1542751"/>
          <a:ext cx="4279330" cy="263344"/>
        </a:xfrm>
        <a:prstGeom prst="rect">
          <a:avLst/>
        </a:prstGeom>
      </xdr:spPr>
    </xdr:pic>
    <xdr:clientData/>
  </xdr:twoCellAnchor>
  <xdr:twoCellAnchor editAs="oneCell">
    <xdr:from>
      <xdr:col>1</xdr:col>
      <xdr:colOff>160562</xdr:colOff>
      <xdr:row>19</xdr:row>
      <xdr:rowOff>88310</xdr:rowOff>
    </xdr:from>
    <xdr:to>
      <xdr:col>5</xdr:col>
      <xdr:colOff>1340210</xdr:colOff>
      <xdr:row>29</xdr:row>
      <xdr:rowOff>136289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C2E554A-A8F1-3398-AB04-58AE8F75B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2107" y="5483190"/>
          <a:ext cx="7449590" cy="229584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161927</xdr:colOff>
      <xdr:row>0</xdr:row>
      <xdr:rowOff>31755</xdr:rowOff>
    </xdr:from>
    <xdr:to>
      <xdr:col>1</xdr:col>
      <xdr:colOff>1400175</xdr:colOff>
      <xdr:row>2</xdr:row>
      <xdr:rowOff>293777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640C988-69C9-4D99-AD86-36C131CEE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5479" y="31755"/>
          <a:ext cx="1238248" cy="1292428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161927</xdr:colOff>
      <xdr:row>0</xdr:row>
      <xdr:rowOff>31755</xdr:rowOff>
    </xdr:from>
    <xdr:to>
      <xdr:col>1</xdr:col>
      <xdr:colOff>1371600</xdr:colOff>
      <xdr:row>2</xdr:row>
      <xdr:rowOff>262057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640C988-69C9-4D99-AD86-36C131CEE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2" y="31755"/>
          <a:ext cx="1209673" cy="1268527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161927</xdr:colOff>
      <xdr:row>0</xdr:row>
      <xdr:rowOff>31756</xdr:rowOff>
    </xdr:from>
    <xdr:to>
      <xdr:col>1</xdr:col>
      <xdr:colOff>1295400</xdr:colOff>
      <xdr:row>2</xdr:row>
      <xdr:rowOff>181171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640C988-69C9-4D99-AD86-36C131CEE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2" y="31756"/>
          <a:ext cx="1133473" cy="1187640"/>
        </a:xfrm>
        <a:prstGeom prst="rect">
          <a:avLst/>
        </a:prstGeom>
      </xdr:spPr>
    </xdr:pic>
    <xdr:clientData/>
  </xdr:twoCellAnchor>
  <xdr:twoCellAnchor editAs="oneCell">
    <xdr:from>
      <xdr:col>4</xdr:col>
      <xdr:colOff>575155</xdr:colOff>
      <xdr:row>21</xdr:row>
      <xdr:rowOff>87736</xdr:rowOff>
    </xdr:from>
    <xdr:to>
      <xdr:col>6</xdr:col>
      <xdr:colOff>911590</xdr:colOff>
      <xdr:row>26</xdr:row>
      <xdr:rowOff>191391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6C2378-EE88-D2AA-B324-4D1CEBB27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97466" y="5878286"/>
          <a:ext cx="4966925" cy="12247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zoomScale="90" zoomScaleNormal="90" workbookViewId="0">
      <selection activeCell="E8" sqref="E8"/>
    </sheetView>
  </sheetViews>
  <sheetFormatPr baseColWidth="10" defaultRowHeight="14.55" x14ac:dyDescent="0.35"/>
  <cols>
    <col min="1" max="1" width="3.69921875" style="2" bestFit="1" customWidth="1"/>
    <col min="2" max="2" width="14.09765625" style="3" bestFit="1" customWidth="1"/>
    <col min="3" max="3" width="19.8984375" style="3" customWidth="1"/>
    <col min="4" max="4" width="15.09765625" style="23" customWidth="1"/>
    <col min="5" max="5" width="14.69921875" style="5" customWidth="1"/>
    <col min="6" max="6" width="45.29687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76" t="s">
        <v>0</v>
      </c>
      <c r="D1" s="76"/>
      <c r="E1" s="76"/>
      <c r="F1" s="76"/>
      <c r="G1" s="76"/>
      <c r="H1" s="76"/>
    </row>
    <row r="2" spans="1:15" ht="38.950000000000003" customHeight="1" x14ac:dyDescent="0.6">
      <c r="B2" s="2"/>
      <c r="C2" s="76" t="s">
        <v>24</v>
      </c>
      <c r="D2" s="76"/>
      <c r="E2" s="76"/>
      <c r="F2" s="76"/>
      <c r="G2" s="76"/>
      <c r="H2" s="76"/>
    </row>
    <row r="3" spans="1:15" ht="24.05" customHeight="1" x14ac:dyDescent="0.55000000000000004">
      <c r="D3" s="4"/>
      <c r="F3" s="24"/>
      <c r="G3" s="32" t="s">
        <v>10</v>
      </c>
      <c r="H3" s="27" t="s">
        <v>12</v>
      </c>
    </row>
    <row r="4" spans="1:15" ht="17.75" x14ac:dyDescent="0.45">
      <c r="B4" s="70" t="s">
        <v>1</v>
      </c>
      <c r="C4" s="70"/>
      <c r="D4" s="70"/>
      <c r="E4" s="35">
        <v>100000</v>
      </c>
      <c r="F4" s="7"/>
      <c r="G4" s="31"/>
    </row>
    <row r="5" spans="1:15" ht="17.75" x14ac:dyDescent="0.45">
      <c r="B5" s="25" t="s">
        <v>13</v>
      </c>
      <c r="C5" s="25"/>
      <c r="D5" s="25"/>
      <c r="E5" s="35"/>
      <c r="F5" s="7"/>
      <c r="G5" s="31"/>
    </row>
    <row r="6" spans="1:15" ht="17.75" x14ac:dyDescent="0.45">
      <c r="B6" s="70" t="s">
        <v>2</v>
      </c>
      <c r="C6" s="70"/>
      <c r="D6" s="70"/>
      <c r="E6" s="35">
        <v>0</v>
      </c>
      <c r="F6" s="7"/>
    </row>
    <row r="7" spans="1:15" ht="17.75" x14ac:dyDescent="0.45">
      <c r="B7" s="77" t="s">
        <v>3</v>
      </c>
      <c r="C7" s="77"/>
      <c r="D7" s="77"/>
      <c r="E7" s="35">
        <f>SUM(E4:E6)</f>
        <v>100000</v>
      </c>
      <c r="F7" s="7"/>
      <c r="G7" s="26"/>
    </row>
    <row r="8" spans="1:15" ht="17.75" x14ac:dyDescent="0.45">
      <c r="B8" s="78" t="s">
        <v>4</v>
      </c>
      <c r="C8" s="78"/>
      <c r="D8" s="78"/>
      <c r="E8" s="38">
        <f>+G26</f>
        <v>97670</v>
      </c>
      <c r="F8" s="7"/>
      <c r="G8" s="29" t="s">
        <v>11</v>
      </c>
      <c r="H8" s="36">
        <f>E7-E8</f>
        <v>2330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5</v>
      </c>
      <c r="B10" s="14" t="s">
        <v>6</v>
      </c>
      <c r="C10" s="14" t="s">
        <v>15</v>
      </c>
      <c r="D10" s="14" t="s">
        <v>21</v>
      </c>
      <c r="E10" s="14" t="s">
        <v>22</v>
      </c>
      <c r="F10" s="30" t="s">
        <v>7</v>
      </c>
      <c r="G10" s="14" t="s">
        <v>8</v>
      </c>
      <c r="H10" s="34" t="s">
        <v>25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45475</v>
      </c>
      <c r="C11" s="39" t="s">
        <v>23</v>
      </c>
      <c r="D11" s="40">
        <v>234089455</v>
      </c>
      <c r="E11" s="41" t="s">
        <v>16</v>
      </c>
      <c r="F11" s="42" t="s">
        <v>26</v>
      </c>
      <c r="G11" s="44">
        <v>4380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45478</v>
      </c>
      <c r="C12" s="39" t="s">
        <v>23</v>
      </c>
      <c r="D12" s="40">
        <v>48356796</v>
      </c>
      <c r="E12" s="41" t="s">
        <v>16</v>
      </c>
      <c r="F12" s="42" t="s">
        <v>27</v>
      </c>
      <c r="G12" s="44">
        <v>11993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45482</v>
      </c>
      <c r="C13" s="39" t="s">
        <v>23</v>
      </c>
      <c r="D13" s="40">
        <v>46573944</v>
      </c>
      <c r="E13" s="41" t="s">
        <v>16</v>
      </c>
      <c r="F13" s="42" t="s">
        <v>26</v>
      </c>
      <c r="G13" s="44">
        <v>4270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45482</v>
      </c>
      <c r="C14" s="39" t="s">
        <v>23</v>
      </c>
      <c r="D14" s="40">
        <v>743214891</v>
      </c>
      <c r="E14" s="41" t="s">
        <v>16</v>
      </c>
      <c r="F14" s="42" t="s">
        <v>28</v>
      </c>
      <c r="G14" s="44">
        <v>44970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>
        <v>45489</v>
      </c>
      <c r="C15" s="39" t="s">
        <v>23</v>
      </c>
      <c r="D15" s="40">
        <v>712480310</v>
      </c>
      <c r="E15" s="41" t="s">
        <v>16</v>
      </c>
      <c r="F15" s="42" t="s">
        <v>26</v>
      </c>
      <c r="G15" s="44">
        <v>5734</v>
      </c>
      <c r="H15" s="43"/>
      <c r="I15" s="12"/>
      <c r="J15" s="12"/>
      <c r="K15" s="12"/>
      <c r="L15" s="12"/>
      <c r="M15" s="12"/>
      <c r="N15" s="12"/>
      <c r="O15" s="12"/>
    </row>
    <row r="16" spans="1:15" ht="17.2" x14ac:dyDescent="0.45">
      <c r="A16" s="15">
        <v>6</v>
      </c>
      <c r="B16" s="39">
        <v>45491</v>
      </c>
      <c r="C16" s="39" t="s">
        <v>23</v>
      </c>
      <c r="D16" s="40">
        <v>697436113</v>
      </c>
      <c r="E16" s="41" t="s">
        <v>16</v>
      </c>
      <c r="F16" s="42" t="s">
        <v>29</v>
      </c>
      <c r="G16" s="44">
        <v>5543</v>
      </c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>
        <v>45498</v>
      </c>
      <c r="C17" s="39" t="s">
        <v>16</v>
      </c>
      <c r="D17" s="40" t="s">
        <v>31</v>
      </c>
      <c r="E17" s="41" t="s">
        <v>16</v>
      </c>
      <c r="F17" s="42" t="s">
        <v>30</v>
      </c>
      <c r="G17" s="44">
        <v>15000</v>
      </c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>
        <v>45499</v>
      </c>
      <c r="C18" s="39" t="s">
        <v>23</v>
      </c>
      <c r="D18" s="40">
        <v>46582320</v>
      </c>
      <c r="E18" s="41" t="s">
        <v>16</v>
      </c>
      <c r="F18" s="42" t="s">
        <v>26</v>
      </c>
      <c r="G18" s="44">
        <v>5780</v>
      </c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9</v>
      </c>
      <c r="C26" s="33"/>
      <c r="D26" s="17"/>
      <c r="E26" s="17"/>
      <c r="F26" s="17"/>
      <c r="G26" s="45">
        <f>SUM(G11:G25)</f>
        <v>97670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70"/>
      <c r="C29" s="70"/>
      <c r="D29" s="71"/>
      <c r="E29" s="72"/>
      <c r="F29" s="73"/>
    </row>
    <row r="30" spans="1:15" ht="17.75" x14ac:dyDescent="0.45">
      <c r="B30" s="74"/>
      <c r="C30" s="74"/>
      <c r="D30" s="75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8:D8"/>
    <mergeCell ref="B29:D29"/>
    <mergeCell ref="E29:F29"/>
    <mergeCell ref="B30:D30"/>
    <mergeCell ref="C1:H1"/>
    <mergeCell ref="C2:H2"/>
    <mergeCell ref="B4:D4"/>
    <mergeCell ref="B6:D6"/>
    <mergeCell ref="B7:D7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44"/>
  <sheetViews>
    <sheetView zoomScale="90" zoomScaleNormal="90" workbookViewId="0">
      <selection activeCell="E5" sqref="E5"/>
    </sheetView>
  </sheetViews>
  <sheetFormatPr baseColWidth="10" defaultRowHeight="14.55" x14ac:dyDescent="0.35"/>
  <cols>
    <col min="1" max="1" width="3.69921875" style="2" bestFit="1" customWidth="1"/>
    <col min="2" max="2" width="14.09765625" style="3" bestFit="1" customWidth="1"/>
    <col min="3" max="3" width="19.8984375" style="3" customWidth="1"/>
    <col min="4" max="4" width="15.09765625" style="23" customWidth="1"/>
    <col min="5" max="5" width="14.296875" style="5" bestFit="1" customWidth="1"/>
    <col min="6" max="6" width="29.3984375" style="6" bestFit="1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76" t="s">
        <v>0</v>
      </c>
      <c r="D1" s="76"/>
      <c r="E1" s="76"/>
      <c r="F1" s="76"/>
      <c r="G1" s="76"/>
      <c r="H1" s="76"/>
    </row>
    <row r="2" spans="1:15" ht="38.950000000000003" customHeight="1" x14ac:dyDescent="0.6">
      <c r="B2" s="2"/>
      <c r="C2" s="76" t="s">
        <v>24</v>
      </c>
      <c r="D2" s="76"/>
      <c r="E2" s="76"/>
      <c r="F2" s="76"/>
      <c r="G2" s="76"/>
      <c r="H2" s="76"/>
    </row>
    <row r="3" spans="1:15" ht="24.05" customHeight="1" x14ac:dyDescent="0.55000000000000004">
      <c r="D3" s="4"/>
      <c r="F3" s="24"/>
      <c r="G3" s="32" t="s">
        <v>10</v>
      </c>
      <c r="H3" s="27" t="s">
        <v>14</v>
      </c>
    </row>
    <row r="4" spans="1:15" ht="17.75" x14ac:dyDescent="0.45">
      <c r="B4" s="70" t="s">
        <v>1</v>
      </c>
      <c r="C4" s="70"/>
      <c r="D4" s="70"/>
      <c r="E4" s="35">
        <f>+'JULIO '!H8</f>
        <v>2330</v>
      </c>
      <c r="F4" s="7"/>
      <c r="G4" s="31"/>
    </row>
    <row r="5" spans="1:15" ht="17.75" x14ac:dyDescent="0.45">
      <c r="B5" s="25" t="s">
        <v>13</v>
      </c>
      <c r="C5" s="25"/>
      <c r="D5" s="25"/>
      <c r="E5" s="35">
        <v>97670</v>
      </c>
      <c r="F5" s="7"/>
      <c r="G5" s="31"/>
    </row>
    <row r="6" spans="1:15" ht="17.75" x14ac:dyDescent="0.45">
      <c r="B6" s="70" t="s">
        <v>2</v>
      </c>
      <c r="C6" s="70"/>
      <c r="D6" s="70"/>
      <c r="E6" s="35">
        <v>0</v>
      </c>
      <c r="F6" s="7"/>
    </row>
    <row r="7" spans="1:15" ht="17.75" x14ac:dyDescent="0.45">
      <c r="B7" s="77" t="s">
        <v>3</v>
      </c>
      <c r="C7" s="77"/>
      <c r="D7" s="77"/>
      <c r="E7" s="35">
        <f>SUM(E4:E6)</f>
        <v>100000</v>
      </c>
      <c r="F7" s="7"/>
      <c r="G7" s="26"/>
    </row>
    <row r="8" spans="1:15" ht="17.75" x14ac:dyDescent="0.45">
      <c r="B8" s="78" t="s">
        <v>4</v>
      </c>
      <c r="C8" s="78"/>
      <c r="D8" s="78"/>
      <c r="E8" s="38">
        <f>+G26</f>
        <v>93600</v>
      </c>
      <c r="F8" s="7"/>
      <c r="G8" s="29" t="s">
        <v>11</v>
      </c>
      <c r="H8" s="36">
        <f>E7-E8</f>
        <v>6400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5</v>
      </c>
      <c r="B10" s="14" t="s">
        <v>6</v>
      </c>
      <c r="C10" s="14" t="s">
        <v>15</v>
      </c>
      <c r="D10" s="14" t="s">
        <v>21</v>
      </c>
      <c r="E10" s="14" t="s">
        <v>22</v>
      </c>
      <c r="F10" s="30" t="s">
        <v>7</v>
      </c>
      <c r="G10" s="14" t="s">
        <v>8</v>
      </c>
      <c r="H10" s="34" t="s">
        <v>25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46">
        <v>45503</v>
      </c>
      <c r="C11" s="39" t="s">
        <v>23</v>
      </c>
      <c r="D11" s="53">
        <v>5404406</v>
      </c>
      <c r="E11" s="41"/>
      <c r="F11" s="49" t="s">
        <v>32</v>
      </c>
      <c r="G11" s="51">
        <v>3980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47">
        <v>45513</v>
      </c>
      <c r="C12" s="39" t="s">
        <v>23</v>
      </c>
      <c r="D12" s="54">
        <v>46588713</v>
      </c>
      <c r="E12" s="41"/>
      <c r="F12" s="49" t="s">
        <v>32</v>
      </c>
      <c r="G12" s="52">
        <v>4670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47">
        <v>45509</v>
      </c>
      <c r="C13" s="39" t="s">
        <v>23</v>
      </c>
      <c r="D13" s="55">
        <v>94378</v>
      </c>
      <c r="E13" s="41"/>
      <c r="F13" s="49" t="s">
        <v>33</v>
      </c>
      <c r="G13" s="51">
        <v>1800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47">
        <v>45516</v>
      </c>
      <c r="C14" s="39" t="s">
        <v>23</v>
      </c>
      <c r="D14" s="55">
        <v>720725180</v>
      </c>
      <c r="E14" s="41"/>
      <c r="F14" s="49" t="s">
        <v>34</v>
      </c>
      <c r="G14" s="51">
        <v>5100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48">
        <v>45505</v>
      </c>
      <c r="C15" s="39" t="s">
        <v>23</v>
      </c>
      <c r="D15" s="56">
        <v>719350079</v>
      </c>
      <c r="E15" s="41"/>
      <c r="F15" s="49" t="s">
        <v>35</v>
      </c>
      <c r="G15" s="52">
        <v>6190</v>
      </c>
      <c r="H15" s="43"/>
      <c r="I15" s="12"/>
      <c r="J15" s="12"/>
      <c r="K15" s="12"/>
      <c r="L15" s="12"/>
      <c r="M15" s="12"/>
      <c r="N15" s="12"/>
      <c r="O15" s="12"/>
    </row>
    <row r="16" spans="1:15" ht="20.3" customHeight="1" x14ac:dyDescent="0.45">
      <c r="A16" s="15">
        <v>6</v>
      </c>
      <c r="B16" s="48">
        <v>45521</v>
      </c>
      <c r="C16" s="39" t="s">
        <v>23</v>
      </c>
      <c r="D16" s="56">
        <v>709336876</v>
      </c>
      <c r="E16" s="41"/>
      <c r="F16" s="49" t="s">
        <v>36</v>
      </c>
      <c r="G16" s="52">
        <v>7700</v>
      </c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48">
        <v>45521</v>
      </c>
      <c r="C17" s="39" t="s">
        <v>23</v>
      </c>
      <c r="D17" s="56">
        <v>721690830</v>
      </c>
      <c r="E17" s="41"/>
      <c r="F17" s="49" t="s">
        <v>36</v>
      </c>
      <c r="G17" s="52">
        <v>6990</v>
      </c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48">
        <v>45510</v>
      </c>
      <c r="C18" s="39" t="s">
        <v>23</v>
      </c>
      <c r="D18" s="56">
        <v>46587444</v>
      </c>
      <c r="E18" s="41"/>
      <c r="F18" s="49" t="s">
        <v>32</v>
      </c>
      <c r="G18" s="52">
        <v>5780</v>
      </c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47">
        <v>45533</v>
      </c>
      <c r="C19" s="39" t="s">
        <v>38</v>
      </c>
      <c r="D19" s="54">
        <v>14162</v>
      </c>
      <c r="E19" s="41"/>
      <c r="F19" s="50" t="s">
        <v>30</v>
      </c>
      <c r="G19" s="52">
        <v>15000</v>
      </c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47">
        <v>45523</v>
      </c>
      <c r="C20" s="39" t="s">
        <v>37</v>
      </c>
      <c r="D20" s="55">
        <v>117203</v>
      </c>
      <c r="E20" s="41"/>
      <c r="F20" s="49" t="s">
        <v>39</v>
      </c>
      <c r="G20" s="51">
        <v>32990</v>
      </c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47">
        <v>45534</v>
      </c>
      <c r="C21" s="39" t="s">
        <v>23</v>
      </c>
      <c r="D21" s="54">
        <v>725624626</v>
      </c>
      <c r="E21" s="41"/>
      <c r="F21" s="49" t="s">
        <v>32</v>
      </c>
      <c r="G21" s="52">
        <v>3400</v>
      </c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9</v>
      </c>
      <c r="C26" s="33"/>
      <c r="D26" s="17"/>
      <c r="E26" s="17"/>
      <c r="F26" s="17"/>
      <c r="G26" s="45">
        <f>SUM(G11:G25)</f>
        <v>93600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70"/>
      <c r="C29" s="70"/>
      <c r="D29" s="71"/>
      <c r="E29" s="72"/>
      <c r="F29" s="73"/>
    </row>
    <row r="30" spans="1:15" ht="17.75" x14ac:dyDescent="0.45">
      <c r="B30" s="74"/>
      <c r="C30" s="74"/>
      <c r="D30" s="75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B8:D8"/>
    <mergeCell ref="E29:F29"/>
    <mergeCell ref="B30:D30"/>
    <mergeCell ref="C1:H1"/>
    <mergeCell ref="C2:H2"/>
    <mergeCell ref="B4:D4"/>
    <mergeCell ref="B6:D6"/>
    <mergeCell ref="B7:D7"/>
  </mergeCells>
  <pageMargins left="0.25" right="0.25" top="0.75" bottom="0.75" header="0.3" footer="0.3"/>
  <pageSetup scale="77" fitToHeight="0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4"/>
  <sheetViews>
    <sheetView zoomScale="90" zoomScaleNormal="90" workbookViewId="0">
      <selection activeCell="E5" sqref="E5"/>
    </sheetView>
  </sheetViews>
  <sheetFormatPr baseColWidth="10" defaultRowHeight="14.55" x14ac:dyDescent="0.35"/>
  <cols>
    <col min="1" max="1" width="3.69921875" style="2" bestFit="1" customWidth="1"/>
    <col min="2" max="2" width="14.09765625" style="3" bestFit="1" customWidth="1"/>
    <col min="3" max="3" width="19.8984375" style="3" customWidth="1"/>
    <col min="4" max="4" width="15.09765625" style="23" customWidth="1"/>
    <col min="5" max="5" width="14.69921875" style="5" customWidth="1"/>
    <col min="6" max="6" width="25.0976562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76" t="s">
        <v>0</v>
      </c>
      <c r="D1" s="76"/>
      <c r="E1" s="76"/>
      <c r="F1" s="76"/>
      <c r="G1" s="76"/>
      <c r="H1" s="76"/>
    </row>
    <row r="2" spans="1:15" ht="38.950000000000003" customHeight="1" x14ac:dyDescent="0.6">
      <c r="B2" s="2"/>
      <c r="C2" s="76" t="s">
        <v>24</v>
      </c>
      <c r="D2" s="76"/>
      <c r="E2" s="76"/>
      <c r="F2" s="76"/>
      <c r="G2" s="76"/>
      <c r="H2" s="76"/>
    </row>
    <row r="3" spans="1:15" ht="24.05" customHeight="1" x14ac:dyDescent="0.55000000000000004">
      <c r="D3" s="4"/>
      <c r="F3" s="24"/>
      <c r="G3" s="32" t="s">
        <v>10</v>
      </c>
      <c r="H3" s="27" t="s">
        <v>17</v>
      </c>
    </row>
    <row r="4" spans="1:15" ht="17.75" x14ac:dyDescent="0.45">
      <c r="B4" s="70" t="s">
        <v>1</v>
      </c>
      <c r="C4" s="70"/>
      <c r="D4" s="70"/>
      <c r="E4" s="35">
        <f>+AGOSTO!H8</f>
        <v>6400</v>
      </c>
      <c r="F4" s="7"/>
      <c r="G4" s="31"/>
    </row>
    <row r="5" spans="1:15" ht="17.75" x14ac:dyDescent="0.45">
      <c r="B5" s="25" t="s">
        <v>13</v>
      </c>
      <c r="C5" s="25"/>
      <c r="D5" s="25"/>
      <c r="E5" s="35">
        <v>93600</v>
      </c>
      <c r="F5" s="7"/>
      <c r="G5" s="31"/>
    </row>
    <row r="6" spans="1:15" ht="17.75" x14ac:dyDescent="0.45">
      <c r="B6" s="70" t="s">
        <v>2</v>
      </c>
      <c r="C6" s="70"/>
      <c r="D6" s="70"/>
      <c r="E6" s="35">
        <v>0</v>
      </c>
      <c r="F6" s="7"/>
    </row>
    <row r="7" spans="1:15" ht="17.75" x14ac:dyDescent="0.45">
      <c r="B7" s="77" t="s">
        <v>3</v>
      </c>
      <c r="C7" s="77"/>
      <c r="D7" s="77"/>
      <c r="E7" s="35">
        <f>SUM(E4:E6)</f>
        <v>100000</v>
      </c>
      <c r="F7" s="7"/>
      <c r="G7" s="26"/>
    </row>
    <row r="8" spans="1:15" ht="17.75" x14ac:dyDescent="0.45">
      <c r="B8" s="78" t="s">
        <v>4</v>
      </c>
      <c r="C8" s="78"/>
      <c r="D8" s="78"/>
      <c r="E8" s="38">
        <f>+G26</f>
        <v>25639</v>
      </c>
      <c r="F8" s="7"/>
      <c r="G8" s="29" t="s">
        <v>11</v>
      </c>
      <c r="H8" s="36">
        <f>E7-E8</f>
        <v>74361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5</v>
      </c>
      <c r="B10" s="14" t="s">
        <v>6</v>
      </c>
      <c r="C10" s="14" t="s">
        <v>15</v>
      </c>
      <c r="D10" s="14" t="s">
        <v>21</v>
      </c>
      <c r="E10" s="14" t="s">
        <v>22</v>
      </c>
      <c r="F10" s="30" t="s">
        <v>7</v>
      </c>
      <c r="G10" s="14" t="s">
        <v>8</v>
      </c>
      <c r="H10" s="34" t="s">
        <v>25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45564</v>
      </c>
      <c r="C11" s="39" t="s">
        <v>38</v>
      </c>
      <c r="D11" s="40">
        <v>14162</v>
      </c>
      <c r="E11" s="41"/>
      <c r="F11" s="50" t="s">
        <v>30</v>
      </c>
      <c r="G11" s="44">
        <v>15000</v>
      </c>
      <c r="H11" s="43"/>
      <c r="I11" s="12"/>
      <c r="J11" s="12"/>
      <c r="K11" s="12"/>
      <c r="L11" s="12"/>
      <c r="M11" s="12"/>
      <c r="N11" s="12"/>
      <c r="O11" s="12"/>
    </row>
    <row r="12" spans="1:15" ht="34.4" x14ac:dyDescent="0.45">
      <c r="A12" s="15">
        <v>2</v>
      </c>
      <c r="B12" s="57">
        <v>45545</v>
      </c>
      <c r="C12" s="57" t="s">
        <v>40</v>
      </c>
      <c r="D12" s="58">
        <v>75367474</v>
      </c>
      <c r="E12" s="59"/>
      <c r="F12" s="60" t="s">
        <v>32</v>
      </c>
      <c r="G12" s="44">
        <v>5262</v>
      </c>
      <c r="H12" s="43"/>
      <c r="I12" s="12"/>
      <c r="J12" s="12"/>
      <c r="K12" s="12"/>
      <c r="L12" s="12"/>
      <c r="M12" s="12"/>
      <c r="N12" s="12"/>
      <c r="O12" s="12"/>
    </row>
    <row r="13" spans="1:15" ht="34.4" x14ac:dyDescent="0.45">
      <c r="A13" s="15">
        <v>3</v>
      </c>
      <c r="B13" s="39">
        <v>45562</v>
      </c>
      <c r="C13" s="57" t="s">
        <v>40</v>
      </c>
      <c r="D13" s="40">
        <v>50778211</v>
      </c>
      <c r="E13" s="41"/>
      <c r="F13" s="42" t="s">
        <v>41</v>
      </c>
      <c r="G13" s="44">
        <v>5377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/>
      <c r="C14" s="39"/>
      <c r="D14" s="40"/>
      <c r="E14" s="41"/>
      <c r="F14" s="42"/>
      <c r="G14" s="44"/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/>
      <c r="C15" s="39"/>
      <c r="D15" s="40"/>
      <c r="E15" s="41"/>
      <c r="F15" s="42"/>
      <c r="G15" s="44"/>
      <c r="H15" s="43"/>
      <c r="I15" s="12"/>
      <c r="J15" s="12"/>
      <c r="K15" s="12"/>
      <c r="L15" s="12"/>
      <c r="M15" s="12"/>
      <c r="N15" s="12"/>
      <c r="O15" s="12"/>
    </row>
    <row r="16" spans="1:15" ht="20.3" customHeight="1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9</v>
      </c>
      <c r="C26" s="33"/>
      <c r="D26" s="17"/>
      <c r="E26" s="17"/>
      <c r="F26" s="17"/>
      <c r="G26" s="45">
        <f>SUM(G11:G25)</f>
        <v>25639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70"/>
      <c r="C29" s="70"/>
      <c r="D29" s="71"/>
      <c r="E29" s="72"/>
      <c r="F29" s="73"/>
    </row>
    <row r="30" spans="1:15" ht="17.75" x14ac:dyDescent="0.45">
      <c r="B30" s="74"/>
      <c r="C30" s="74"/>
      <c r="D30" s="75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44"/>
  <sheetViews>
    <sheetView zoomScale="90" zoomScaleNormal="90" workbookViewId="0">
      <selection activeCell="B28" sqref="B28"/>
    </sheetView>
  </sheetViews>
  <sheetFormatPr baseColWidth="10" defaultRowHeight="14.55" x14ac:dyDescent="0.35"/>
  <cols>
    <col min="1" max="1" width="3.69921875" style="2" bestFit="1" customWidth="1"/>
    <col min="2" max="2" width="14.09765625" style="3" bestFit="1" customWidth="1"/>
    <col min="3" max="3" width="21.296875" style="3" bestFit="1" customWidth="1"/>
    <col min="4" max="4" width="15.09765625" style="23" customWidth="1"/>
    <col min="5" max="5" width="14.69921875" style="5" customWidth="1"/>
    <col min="6" max="6" width="26.296875" style="6" bestFit="1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76" t="s">
        <v>0</v>
      </c>
      <c r="D1" s="76"/>
      <c r="E1" s="76"/>
      <c r="F1" s="76"/>
      <c r="G1" s="76"/>
      <c r="H1" s="76"/>
    </row>
    <row r="2" spans="1:15" ht="38.950000000000003" customHeight="1" x14ac:dyDescent="0.6">
      <c r="B2" s="2"/>
      <c r="C2" s="76" t="s">
        <v>24</v>
      </c>
      <c r="D2" s="76"/>
      <c r="E2" s="76"/>
      <c r="F2" s="76"/>
      <c r="G2" s="76"/>
      <c r="H2" s="76"/>
    </row>
    <row r="3" spans="1:15" ht="24.05" customHeight="1" x14ac:dyDescent="0.55000000000000004">
      <c r="D3" s="4"/>
      <c r="F3" s="24"/>
      <c r="G3" s="32" t="s">
        <v>10</v>
      </c>
      <c r="H3" s="27" t="s">
        <v>18</v>
      </c>
    </row>
    <row r="4" spans="1:15" ht="17.75" x14ac:dyDescent="0.45">
      <c r="B4" s="70" t="s">
        <v>1</v>
      </c>
      <c r="C4" s="70"/>
      <c r="D4" s="70"/>
      <c r="E4" s="35">
        <f>+SEPTIEMBRE!H8</f>
        <v>74361</v>
      </c>
      <c r="F4" s="7"/>
      <c r="G4" s="31"/>
    </row>
    <row r="5" spans="1:15" ht="17.75" x14ac:dyDescent="0.45">
      <c r="B5" s="25" t="s">
        <v>13</v>
      </c>
      <c r="C5" s="25"/>
      <c r="D5" s="25"/>
      <c r="E5" s="35">
        <v>25639</v>
      </c>
      <c r="F5" s="7"/>
      <c r="G5" s="31"/>
    </row>
    <row r="6" spans="1:15" ht="17.75" x14ac:dyDescent="0.45">
      <c r="B6" s="70" t="s">
        <v>2</v>
      </c>
      <c r="C6" s="70"/>
      <c r="D6" s="70"/>
      <c r="E6" s="35">
        <v>0</v>
      </c>
      <c r="F6" s="7"/>
    </row>
    <row r="7" spans="1:15" ht="17.75" x14ac:dyDescent="0.45">
      <c r="B7" s="77" t="s">
        <v>3</v>
      </c>
      <c r="C7" s="77"/>
      <c r="D7" s="77"/>
      <c r="E7" s="35">
        <f>SUM(E4:E6)</f>
        <v>100000</v>
      </c>
      <c r="F7" s="7"/>
      <c r="G7" s="26"/>
    </row>
    <row r="8" spans="1:15" ht="17.75" x14ac:dyDescent="0.45">
      <c r="B8" s="78" t="s">
        <v>4</v>
      </c>
      <c r="C8" s="78"/>
      <c r="D8" s="78"/>
      <c r="E8" s="38">
        <f>+G26</f>
        <v>47340</v>
      </c>
      <c r="F8" s="7"/>
      <c r="G8" s="29" t="s">
        <v>11</v>
      </c>
      <c r="H8" s="36">
        <f>E7-E8</f>
        <v>52660</v>
      </c>
    </row>
    <row r="9" spans="1:15" s="1" customFormat="1" ht="24.2" x14ac:dyDescent="0.6">
      <c r="E9" s="10"/>
      <c r="F9" s="11"/>
      <c r="G9" s="9"/>
    </row>
    <row r="10" spans="1:15" s="9" customFormat="1" ht="70.95" x14ac:dyDescent="0.45">
      <c r="A10" s="13" t="s">
        <v>5</v>
      </c>
      <c r="B10" s="14" t="s">
        <v>6</v>
      </c>
      <c r="C10" s="14" t="s">
        <v>15</v>
      </c>
      <c r="D10" s="14" t="s">
        <v>21</v>
      </c>
      <c r="E10" s="14" t="s">
        <v>22</v>
      </c>
      <c r="F10" s="30" t="s">
        <v>7</v>
      </c>
      <c r="G10" s="14" t="s">
        <v>8</v>
      </c>
      <c r="H10" s="34" t="s">
        <v>25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45570</v>
      </c>
      <c r="C11" s="39" t="s">
        <v>40</v>
      </c>
      <c r="D11" s="40">
        <v>731815259</v>
      </c>
      <c r="E11" s="41"/>
      <c r="F11" s="42" t="s">
        <v>42</v>
      </c>
      <c r="G11" s="44">
        <v>18560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45572</v>
      </c>
      <c r="C12" s="39" t="s">
        <v>40</v>
      </c>
      <c r="D12" s="40">
        <v>722498714</v>
      </c>
      <c r="E12" s="41"/>
      <c r="F12" s="42" t="s">
        <v>29</v>
      </c>
      <c r="G12" s="44">
        <v>3690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45573</v>
      </c>
      <c r="C13" s="39" t="s">
        <v>40</v>
      </c>
      <c r="D13" s="40">
        <v>720838663</v>
      </c>
      <c r="E13" s="41"/>
      <c r="F13" s="42" t="s">
        <v>43</v>
      </c>
      <c r="G13" s="44">
        <v>4500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45595</v>
      </c>
      <c r="C14" s="39" t="s">
        <v>44</v>
      </c>
      <c r="D14" s="40">
        <v>14508</v>
      </c>
      <c r="E14" s="41" t="s">
        <v>45</v>
      </c>
      <c r="F14" s="42" t="s">
        <v>46</v>
      </c>
      <c r="G14" s="44">
        <v>15000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>
        <v>45596</v>
      </c>
      <c r="C15" s="39" t="s">
        <v>47</v>
      </c>
      <c r="D15" s="40">
        <v>734253491</v>
      </c>
      <c r="E15" s="41"/>
      <c r="F15" s="42" t="s">
        <v>48</v>
      </c>
      <c r="G15" s="44">
        <v>5590</v>
      </c>
      <c r="H15" s="43"/>
      <c r="I15" s="12"/>
      <c r="J15" s="12"/>
      <c r="K15" s="12"/>
      <c r="L15" s="12"/>
      <c r="M15" s="12"/>
      <c r="N15" s="12"/>
      <c r="O15" s="12"/>
    </row>
    <row r="16" spans="1:15" ht="20.3" customHeight="1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9</v>
      </c>
      <c r="C26" s="33"/>
      <c r="D26" s="17"/>
      <c r="E26" s="17"/>
      <c r="F26" s="17"/>
      <c r="G26" s="45">
        <f>SUM(G11:G25)</f>
        <v>47340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70"/>
      <c r="C29" s="70"/>
      <c r="D29" s="71"/>
      <c r="E29" s="72"/>
      <c r="F29" s="73"/>
    </row>
    <row r="30" spans="1:15" ht="17.75" x14ac:dyDescent="0.45">
      <c r="B30" s="74"/>
      <c r="C30" s="74"/>
      <c r="D30" s="75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69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4"/>
  <sheetViews>
    <sheetView zoomScale="90" zoomScaleNormal="90" workbookViewId="0">
      <selection activeCell="E29" sqref="E29:F29"/>
    </sheetView>
  </sheetViews>
  <sheetFormatPr baseColWidth="10" defaultRowHeight="14.55" x14ac:dyDescent="0.35"/>
  <cols>
    <col min="1" max="1" width="3.69921875" style="2" bestFit="1" customWidth="1"/>
    <col min="2" max="2" width="14.09765625" style="3" bestFit="1" customWidth="1"/>
    <col min="3" max="3" width="19.8984375" style="3" customWidth="1"/>
    <col min="4" max="4" width="15.09765625" style="23" customWidth="1"/>
    <col min="5" max="5" width="14.69921875" style="5" customWidth="1"/>
    <col min="6" max="6" width="25.0976562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76" t="s">
        <v>0</v>
      </c>
      <c r="D1" s="76"/>
      <c r="E1" s="76"/>
      <c r="F1" s="76"/>
      <c r="G1" s="76"/>
      <c r="H1" s="76"/>
    </row>
    <row r="2" spans="1:15" ht="38.950000000000003" customHeight="1" x14ac:dyDescent="0.6">
      <c r="B2" s="2"/>
      <c r="C2" s="76" t="s">
        <v>24</v>
      </c>
      <c r="D2" s="76"/>
      <c r="E2" s="76"/>
      <c r="F2" s="76"/>
      <c r="G2" s="76"/>
      <c r="H2" s="76"/>
    </row>
    <row r="3" spans="1:15" ht="24.05" customHeight="1" x14ac:dyDescent="0.55000000000000004">
      <c r="D3" s="4"/>
      <c r="F3" s="24"/>
      <c r="G3" s="32" t="s">
        <v>10</v>
      </c>
      <c r="H3" s="27" t="s">
        <v>19</v>
      </c>
    </row>
    <row r="4" spans="1:15" ht="17.75" x14ac:dyDescent="0.45">
      <c r="B4" s="70" t="s">
        <v>1</v>
      </c>
      <c r="C4" s="70"/>
      <c r="D4" s="70"/>
      <c r="E4" s="35">
        <f>+OCTUBRE!H8</f>
        <v>52660</v>
      </c>
      <c r="F4" s="7"/>
      <c r="G4" s="31"/>
    </row>
    <row r="5" spans="1:15" ht="17.75" x14ac:dyDescent="0.45">
      <c r="B5" s="25" t="s">
        <v>13</v>
      </c>
      <c r="C5" s="25"/>
      <c r="D5" s="25"/>
      <c r="E5" s="35">
        <v>47340</v>
      </c>
      <c r="F5" s="7"/>
      <c r="G5" s="31"/>
    </row>
    <row r="6" spans="1:15" ht="17.75" x14ac:dyDescent="0.45">
      <c r="B6" s="70" t="s">
        <v>2</v>
      </c>
      <c r="C6" s="70"/>
      <c r="D6" s="70"/>
      <c r="E6" s="35">
        <v>0</v>
      </c>
      <c r="F6" s="7"/>
    </row>
    <row r="7" spans="1:15" ht="17.75" x14ac:dyDescent="0.45">
      <c r="B7" s="77" t="s">
        <v>3</v>
      </c>
      <c r="C7" s="77"/>
      <c r="D7" s="77"/>
      <c r="E7" s="35">
        <f>SUM(E4:E6)</f>
        <v>100000</v>
      </c>
      <c r="F7" s="7"/>
      <c r="G7" s="26"/>
    </row>
    <row r="8" spans="1:15" ht="17.75" x14ac:dyDescent="0.45">
      <c r="B8" s="78" t="s">
        <v>4</v>
      </c>
      <c r="C8" s="78"/>
      <c r="D8" s="78"/>
      <c r="E8" s="38">
        <f>+G26</f>
        <v>44223</v>
      </c>
      <c r="F8" s="7"/>
      <c r="G8" s="29" t="s">
        <v>11</v>
      </c>
      <c r="H8" s="36">
        <f>E7-E8</f>
        <v>55777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5</v>
      </c>
      <c r="B10" s="14" t="s">
        <v>6</v>
      </c>
      <c r="C10" s="14" t="s">
        <v>15</v>
      </c>
      <c r="D10" s="14" t="s">
        <v>21</v>
      </c>
      <c r="E10" s="14" t="s">
        <v>22</v>
      </c>
      <c r="F10" s="30" t="s">
        <v>7</v>
      </c>
      <c r="G10" s="14" t="s">
        <v>8</v>
      </c>
      <c r="H10" s="34" t="s">
        <v>25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45612</v>
      </c>
      <c r="C11" s="39" t="s">
        <v>40</v>
      </c>
      <c r="D11" s="40">
        <v>731588899</v>
      </c>
      <c r="E11" s="41"/>
      <c r="F11" s="42" t="s">
        <v>49</v>
      </c>
      <c r="G11" s="44">
        <v>6330</v>
      </c>
      <c r="H11" s="43"/>
      <c r="I11" s="12"/>
      <c r="J11" s="12"/>
      <c r="K11" s="12"/>
      <c r="L11" s="12"/>
      <c r="M11" s="12"/>
      <c r="N11" s="12"/>
      <c r="O11" s="12"/>
    </row>
    <row r="12" spans="1:15" ht="34.4" x14ac:dyDescent="0.45">
      <c r="A12" s="15">
        <v>2</v>
      </c>
      <c r="B12" s="39">
        <v>45625</v>
      </c>
      <c r="C12" s="39" t="s">
        <v>40</v>
      </c>
      <c r="D12" s="40">
        <v>735381820</v>
      </c>
      <c r="E12" s="41"/>
      <c r="F12" s="42" t="s">
        <v>50</v>
      </c>
      <c r="G12" s="44">
        <v>16243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45625</v>
      </c>
      <c r="C13" s="39" t="s">
        <v>40</v>
      </c>
      <c r="D13" s="40">
        <v>112087</v>
      </c>
      <c r="E13" s="41"/>
      <c r="F13" s="42" t="s">
        <v>51</v>
      </c>
      <c r="G13" s="44">
        <v>6650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45626</v>
      </c>
      <c r="C14" s="39" t="s">
        <v>38</v>
      </c>
      <c r="D14" s="40">
        <v>14671</v>
      </c>
      <c r="E14" s="41"/>
      <c r="F14" s="42" t="s">
        <v>52</v>
      </c>
      <c r="G14" s="44">
        <v>15000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/>
      <c r="C15" s="39"/>
      <c r="D15" s="40"/>
      <c r="E15" s="41"/>
      <c r="F15" s="42"/>
      <c r="G15" s="44"/>
      <c r="H15" s="43"/>
      <c r="I15" s="12"/>
      <c r="J15" s="12"/>
      <c r="K15" s="12"/>
      <c r="L15" s="12"/>
      <c r="M15" s="12"/>
      <c r="N15" s="12"/>
      <c r="O15" s="12"/>
    </row>
    <row r="16" spans="1:15" ht="20.3" customHeight="1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9</v>
      </c>
      <c r="C26" s="33"/>
      <c r="D26" s="17"/>
      <c r="E26" s="17"/>
      <c r="F26" s="17"/>
      <c r="G26" s="45">
        <f>SUM(G11:G25)</f>
        <v>44223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70"/>
      <c r="C29" s="70"/>
      <c r="D29" s="71"/>
      <c r="E29" s="72"/>
      <c r="F29" s="73"/>
    </row>
    <row r="30" spans="1:15" ht="17.75" x14ac:dyDescent="0.45">
      <c r="B30" s="74"/>
      <c r="C30" s="74"/>
      <c r="D30" s="75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4"/>
  <sheetViews>
    <sheetView zoomScale="90" zoomScaleNormal="90" workbookViewId="0">
      <selection activeCell="E5" sqref="E5"/>
    </sheetView>
  </sheetViews>
  <sheetFormatPr baseColWidth="10" defaultRowHeight="14.55" x14ac:dyDescent="0.35"/>
  <cols>
    <col min="1" max="1" width="3.69921875" style="2" bestFit="1" customWidth="1"/>
    <col min="2" max="2" width="14.09765625" style="3" bestFit="1" customWidth="1"/>
    <col min="3" max="3" width="19.8984375" style="3" customWidth="1"/>
    <col min="4" max="4" width="15.09765625" style="23" customWidth="1"/>
    <col min="5" max="5" width="14.69921875" style="5" customWidth="1"/>
    <col min="6" max="6" width="32.0976562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76" t="s">
        <v>0</v>
      </c>
      <c r="D1" s="76"/>
      <c r="E1" s="76"/>
      <c r="F1" s="76"/>
      <c r="G1" s="76"/>
      <c r="H1" s="76"/>
    </row>
    <row r="2" spans="1:15" ht="38.950000000000003" customHeight="1" x14ac:dyDescent="0.6">
      <c r="B2" s="2"/>
      <c r="C2" s="76" t="s">
        <v>24</v>
      </c>
      <c r="D2" s="76"/>
      <c r="E2" s="76"/>
      <c r="F2" s="76"/>
      <c r="G2" s="76"/>
      <c r="H2" s="76"/>
    </row>
    <row r="3" spans="1:15" ht="24.05" customHeight="1" x14ac:dyDescent="0.55000000000000004">
      <c r="D3" s="4"/>
      <c r="F3" s="24"/>
      <c r="G3" s="32" t="s">
        <v>10</v>
      </c>
      <c r="H3" s="27" t="s">
        <v>20</v>
      </c>
    </row>
    <row r="4" spans="1:15" ht="17.75" x14ac:dyDescent="0.45">
      <c r="B4" s="70" t="s">
        <v>1</v>
      </c>
      <c r="C4" s="70"/>
      <c r="D4" s="70"/>
      <c r="E4" s="35">
        <f>+NOVIEMBRE!H8</f>
        <v>55777</v>
      </c>
      <c r="F4" s="7"/>
      <c r="G4" s="31"/>
    </row>
    <row r="5" spans="1:15" ht="17.75" x14ac:dyDescent="0.45">
      <c r="B5" s="25" t="s">
        <v>13</v>
      </c>
      <c r="C5" s="25"/>
      <c r="D5" s="25"/>
      <c r="E5" s="35">
        <v>44223</v>
      </c>
      <c r="F5" s="7"/>
      <c r="G5" s="31"/>
    </row>
    <row r="6" spans="1:15" ht="17.75" x14ac:dyDescent="0.45">
      <c r="B6" s="70" t="s">
        <v>2</v>
      </c>
      <c r="C6" s="70"/>
      <c r="D6" s="70"/>
      <c r="E6" s="35">
        <v>0</v>
      </c>
      <c r="F6" s="7"/>
    </row>
    <row r="7" spans="1:15" ht="17.75" x14ac:dyDescent="0.45">
      <c r="B7" s="77" t="s">
        <v>3</v>
      </c>
      <c r="C7" s="77"/>
      <c r="D7" s="77"/>
      <c r="E7" s="35">
        <f>SUM(E4:E6)</f>
        <v>100000</v>
      </c>
      <c r="F7" s="7"/>
      <c r="G7" s="26"/>
    </row>
    <row r="8" spans="1:15" ht="17.75" x14ac:dyDescent="0.45">
      <c r="B8" s="78" t="s">
        <v>4</v>
      </c>
      <c r="C8" s="78"/>
      <c r="D8" s="78"/>
      <c r="E8" s="38">
        <f>+G26</f>
        <v>64612</v>
      </c>
      <c r="F8" s="7"/>
      <c r="G8" s="29" t="s">
        <v>11</v>
      </c>
      <c r="H8" s="36">
        <f>E7-E8</f>
        <v>35388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5</v>
      </c>
      <c r="B10" s="14" t="s">
        <v>6</v>
      </c>
      <c r="C10" s="14" t="s">
        <v>15</v>
      </c>
      <c r="D10" s="14" t="s">
        <v>21</v>
      </c>
      <c r="E10" s="14" t="s">
        <v>22</v>
      </c>
      <c r="F10" s="30" t="s">
        <v>7</v>
      </c>
      <c r="G10" s="14" t="s">
        <v>8</v>
      </c>
      <c r="H10" s="34" t="s">
        <v>25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45629</v>
      </c>
      <c r="C11" s="39" t="s">
        <v>37</v>
      </c>
      <c r="D11" s="40">
        <v>4729</v>
      </c>
      <c r="E11" s="41" t="s">
        <v>45</v>
      </c>
      <c r="F11" s="42" t="s">
        <v>53</v>
      </c>
      <c r="G11" s="44">
        <v>30583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45647</v>
      </c>
      <c r="C12" s="39" t="s">
        <v>40</v>
      </c>
      <c r="D12" s="40">
        <v>735388267</v>
      </c>
      <c r="E12" s="41"/>
      <c r="F12" s="42" t="s">
        <v>54</v>
      </c>
      <c r="G12" s="44">
        <v>8980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45653</v>
      </c>
      <c r="C13" s="39" t="s">
        <v>40</v>
      </c>
      <c r="D13" s="40">
        <v>735090077</v>
      </c>
      <c r="E13" s="41"/>
      <c r="F13" s="42" t="s">
        <v>55</v>
      </c>
      <c r="G13" s="44">
        <v>10049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45656</v>
      </c>
      <c r="C14" s="39" t="s">
        <v>44</v>
      </c>
      <c r="D14" s="40">
        <v>14807</v>
      </c>
      <c r="E14" s="41"/>
      <c r="F14" s="42" t="s">
        <v>52</v>
      </c>
      <c r="G14" s="44">
        <v>15000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/>
      <c r="C15" s="39"/>
      <c r="D15" s="40"/>
      <c r="E15" s="41"/>
      <c r="F15" s="42"/>
      <c r="G15" s="44"/>
      <c r="H15" s="43"/>
      <c r="I15" s="12"/>
      <c r="J15" s="12"/>
      <c r="K15" s="12"/>
      <c r="L15" s="12"/>
      <c r="M15" s="12"/>
      <c r="N15" s="12"/>
      <c r="O15" s="12"/>
    </row>
    <row r="16" spans="1:15" ht="20.3" customHeight="1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9</v>
      </c>
      <c r="C26" s="33"/>
      <c r="D26" s="17"/>
      <c r="E26" s="17"/>
      <c r="F26" s="17"/>
      <c r="G26" s="45">
        <f>SUM(G11:G25)</f>
        <v>64612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70"/>
      <c r="C29" s="70"/>
      <c r="D29" s="71"/>
      <c r="E29" s="72"/>
      <c r="F29" s="73"/>
    </row>
    <row r="30" spans="1:15" ht="17.75" x14ac:dyDescent="0.45">
      <c r="B30" s="74"/>
      <c r="C30" s="74"/>
      <c r="D30" s="75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44"/>
  <sheetViews>
    <sheetView workbookViewId="0">
      <selection activeCell="E5" sqref="E5"/>
    </sheetView>
  </sheetViews>
  <sheetFormatPr baseColWidth="10" defaultRowHeight="14.55" x14ac:dyDescent="0.35"/>
  <cols>
    <col min="1" max="1" width="3.69921875" style="2" bestFit="1" customWidth="1"/>
    <col min="2" max="2" width="14.09765625" style="3" bestFit="1" customWidth="1"/>
    <col min="3" max="3" width="19.8984375" style="3" customWidth="1"/>
    <col min="4" max="4" width="15.09765625" style="23" customWidth="1"/>
    <col min="5" max="5" width="14.69921875" style="5" customWidth="1"/>
    <col min="6" max="6" width="32.0976562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76" t="s">
        <v>0</v>
      </c>
      <c r="D1" s="76"/>
      <c r="E1" s="76"/>
      <c r="F1" s="76"/>
      <c r="G1" s="76"/>
      <c r="H1" s="76"/>
    </row>
    <row r="2" spans="1:15" ht="38.950000000000003" customHeight="1" x14ac:dyDescent="0.6">
      <c r="B2" s="2"/>
      <c r="C2" s="76" t="s">
        <v>24</v>
      </c>
      <c r="D2" s="76"/>
      <c r="E2" s="76"/>
      <c r="F2" s="76"/>
      <c r="G2" s="76"/>
      <c r="H2" s="76"/>
    </row>
    <row r="3" spans="1:15" ht="24.05" customHeight="1" x14ac:dyDescent="0.55000000000000004">
      <c r="D3" s="4"/>
      <c r="F3" s="24"/>
      <c r="G3" s="32" t="s">
        <v>10</v>
      </c>
      <c r="H3" s="27" t="s">
        <v>56</v>
      </c>
    </row>
    <row r="4" spans="1:15" ht="17.75" x14ac:dyDescent="0.45">
      <c r="B4" s="70" t="s">
        <v>1</v>
      </c>
      <c r="C4" s="70"/>
      <c r="D4" s="70"/>
      <c r="E4" s="35">
        <f>DICIEMBRE!H8</f>
        <v>35388</v>
      </c>
      <c r="F4" s="7"/>
      <c r="G4" s="31"/>
    </row>
    <row r="5" spans="1:15" ht="17.75" x14ac:dyDescent="0.45">
      <c r="B5" s="25" t="s">
        <v>13</v>
      </c>
      <c r="C5" s="25"/>
      <c r="D5" s="25"/>
      <c r="E5" s="35">
        <v>64612</v>
      </c>
      <c r="F5" s="7"/>
      <c r="G5" s="31"/>
    </row>
    <row r="6" spans="1:15" ht="17.75" x14ac:dyDescent="0.45">
      <c r="B6" s="70" t="s">
        <v>2</v>
      </c>
      <c r="C6" s="70"/>
      <c r="D6" s="70"/>
      <c r="E6" s="35">
        <v>0</v>
      </c>
      <c r="F6" s="7"/>
    </row>
    <row r="7" spans="1:15" ht="17.75" x14ac:dyDescent="0.45">
      <c r="B7" s="77" t="s">
        <v>3</v>
      </c>
      <c r="C7" s="77"/>
      <c r="D7" s="77"/>
      <c r="E7" s="35">
        <v>100000</v>
      </c>
      <c r="F7" s="7"/>
      <c r="G7" s="26"/>
    </row>
    <row r="8" spans="1:15" ht="17.75" x14ac:dyDescent="0.45">
      <c r="B8" s="78" t="s">
        <v>4</v>
      </c>
      <c r="C8" s="78"/>
      <c r="D8" s="78"/>
      <c r="E8" s="38">
        <f>+G26</f>
        <v>35810</v>
      </c>
      <c r="F8" s="7"/>
      <c r="G8" s="29" t="s">
        <v>11</v>
      </c>
      <c r="H8" s="36">
        <f>E7-E8</f>
        <v>64190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5</v>
      </c>
      <c r="B10" s="14" t="s">
        <v>6</v>
      </c>
      <c r="C10" s="14" t="s">
        <v>15</v>
      </c>
      <c r="D10" s="14" t="s">
        <v>21</v>
      </c>
      <c r="E10" s="14" t="s">
        <v>22</v>
      </c>
      <c r="F10" s="30" t="s">
        <v>7</v>
      </c>
      <c r="G10" s="14" t="s">
        <v>8</v>
      </c>
      <c r="H10" s="34" t="s">
        <v>25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45659</v>
      </c>
      <c r="C11" s="39" t="s">
        <v>40</v>
      </c>
      <c r="D11" s="40">
        <v>735228627</v>
      </c>
      <c r="E11" s="41"/>
      <c r="F11" s="42" t="s">
        <v>57</v>
      </c>
      <c r="G11" s="44">
        <v>2050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45681</v>
      </c>
      <c r="C12" s="39" t="s">
        <v>40</v>
      </c>
      <c r="D12" s="40">
        <v>749133266</v>
      </c>
      <c r="E12" s="41"/>
      <c r="F12" s="42" t="s">
        <v>58</v>
      </c>
      <c r="G12" s="44">
        <v>16760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45686</v>
      </c>
      <c r="C13" s="39" t="s">
        <v>38</v>
      </c>
      <c r="D13" s="40">
        <v>14988</v>
      </c>
      <c r="E13" s="41" t="s">
        <v>59</v>
      </c>
      <c r="F13" s="42" t="s">
        <v>60</v>
      </c>
      <c r="G13" s="44">
        <v>15000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45687</v>
      </c>
      <c r="C14" s="39" t="s">
        <v>61</v>
      </c>
      <c r="D14" s="40">
        <v>30</v>
      </c>
      <c r="E14" s="41"/>
      <c r="F14" s="42" t="s">
        <v>62</v>
      </c>
      <c r="G14" s="44">
        <v>2000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/>
      <c r="C15" s="39"/>
      <c r="D15" s="40"/>
      <c r="E15" s="41"/>
      <c r="F15" s="42"/>
      <c r="G15" s="44"/>
      <c r="H15" s="43"/>
      <c r="I15" s="12"/>
      <c r="J15" s="12"/>
      <c r="K15" s="12"/>
      <c r="L15" s="12"/>
      <c r="M15" s="12"/>
      <c r="N15" s="12"/>
      <c r="O15" s="12"/>
    </row>
    <row r="16" spans="1:15" ht="20.3" customHeight="1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9</v>
      </c>
      <c r="C26" s="33"/>
      <c r="D26" s="17"/>
      <c r="E26" s="17"/>
      <c r="F26" s="17"/>
      <c r="G26" s="45">
        <f>SUM(G11:G25)</f>
        <v>35810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70"/>
      <c r="C29" s="70"/>
      <c r="D29" s="71"/>
      <c r="E29" s="72"/>
      <c r="F29" s="73"/>
    </row>
    <row r="30" spans="1:15" ht="17.75" x14ac:dyDescent="0.45">
      <c r="B30" s="74"/>
      <c r="C30" s="74"/>
      <c r="D30" s="75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42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44"/>
  <sheetViews>
    <sheetView workbookViewId="0">
      <selection activeCell="E5" sqref="E5"/>
    </sheetView>
  </sheetViews>
  <sheetFormatPr baseColWidth="10" defaultRowHeight="14.55" x14ac:dyDescent="0.35"/>
  <cols>
    <col min="1" max="1" width="3.69921875" style="2" bestFit="1" customWidth="1"/>
    <col min="2" max="2" width="14.09765625" style="3" bestFit="1" customWidth="1"/>
    <col min="3" max="3" width="19.8984375" style="3" customWidth="1"/>
    <col min="4" max="4" width="15.09765625" style="23" customWidth="1"/>
    <col min="5" max="5" width="14.69921875" style="5" customWidth="1"/>
    <col min="6" max="6" width="32.0976562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76" t="s">
        <v>0</v>
      </c>
      <c r="D1" s="76"/>
      <c r="E1" s="76"/>
      <c r="F1" s="76"/>
      <c r="G1" s="76"/>
      <c r="H1" s="76"/>
    </row>
    <row r="2" spans="1:15" ht="38.950000000000003" customHeight="1" x14ac:dyDescent="0.6">
      <c r="B2" s="2"/>
      <c r="C2" s="76" t="s">
        <v>24</v>
      </c>
      <c r="D2" s="76"/>
      <c r="E2" s="76"/>
      <c r="F2" s="76"/>
      <c r="G2" s="76"/>
      <c r="H2" s="76"/>
    </row>
    <row r="3" spans="1:15" ht="24.05" customHeight="1" x14ac:dyDescent="0.55000000000000004">
      <c r="D3" s="4"/>
      <c r="F3" s="24"/>
      <c r="G3" s="32" t="s">
        <v>10</v>
      </c>
      <c r="H3" s="27" t="s">
        <v>64</v>
      </c>
    </row>
    <row r="4" spans="1:15" ht="17.75" x14ac:dyDescent="0.45">
      <c r="B4" s="70" t="s">
        <v>1</v>
      </c>
      <c r="C4" s="70"/>
      <c r="D4" s="70"/>
      <c r="E4" s="35">
        <f>'ENERO 2025'!H8</f>
        <v>64190</v>
      </c>
      <c r="F4" s="7"/>
      <c r="G4" s="31"/>
    </row>
    <row r="5" spans="1:15" ht="17.75" x14ac:dyDescent="0.45">
      <c r="B5" s="25" t="s">
        <v>13</v>
      </c>
      <c r="C5" s="25"/>
      <c r="D5" s="25"/>
      <c r="E5" s="35">
        <v>35810</v>
      </c>
      <c r="F5" s="7"/>
      <c r="G5" s="31"/>
    </row>
    <row r="6" spans="1:15" ht="17.75" x14ac:dyDescent="0.45">
      <c r="B6" s="70" t="s">
        <v>2</v>
      </c>
      <c r="C6" s="70"/>
      <c r="D6" s="70"/>
      <c r="E6" s="35">
        <v>0</v>
      </c>
      <c r="F6" s="7"/>
    </row>
    <row r="7" spans="1:15" ht="17.75" x14ac:dyDescent="0.45">
      <c r="B7" s="77" t="s">
        <v>3</v>
      </c>
      <c r="C7" s="77"/>
      <c r="D7" s="77"/>
      <c r="E7" s="35">
        <v>100000</v>
      </c>
      <c r="F7" s="7"/>
      <c r="G7" s="26"/>
    </row>
    <row r="8" spans="1:15" ht="17.75" x14ac:dyDescent="0.45">
      <c r="B8" s="78" t="s">
        <v>4</v>
      </c>
      <c r="C8" s="78"/>
      <c r="D8" s="78"/>
      <c r="E8" s="38">
        <f>+G26</f>
        <v>23020</v>
      </c>
      <c r="F8" s="7"/>
      <c r="G8" s="29" t="s">
        <v>11</v>
      </c>
      <c r="H8" s="36">
        <f>E7-E8</f>
        <v>76980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5</v>
      </c>
      <c r="B10" s="14" t="s">
        <v>6</v>
      </c>
      <c r="C10" s="14" t="s">
        <v>15</v>
      </c>
      <c r="D10" s="14" t="s">
        <v>21</v>
      </c>
      <c r="E10" s="14" t="s">
        <v>22</v>
      </c>
      <c r="F10" s="30" t="s">
        <v>7</v>
      </c>
      <c r="G10" s="14" t="s">
        <v>8</v>
      </c>
      <c r="H10" s="34" t="s">
        <v>25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45696</v>
      </c>
      <c r="C11" s="39" t="s">
        <v>40</v>
      </c>
      <c r="D11" s="40">
        <v>749619117</v>
      </c>
      <c r="E11" s="41"/>
      <c r="F11" s="42" t="s">
        <v>57</v>
      </c>
      <c r="G11" s="44">
        <v>2050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45706</v>
      </c>
      <c r="C12" s="39" t="s">
        <v>40</v>
      </c>
      <c r="D12" s="40">
        <v>15509747</v>
      </c>
      <c r="E12" s="41"/>
      <c r="F12" s="42" t="s">
        <v>63</v>
      </c>
      <c r="G12" s="44">
        <v>5970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45716</v>
      </c>
      <c r="C13" s="39" t="s">
        <v>38</v>
      </c>
      <c r="D13" s="40">
        <v>15176</v>
      </c>
      <c r="E13" s="41" t="s">
        <v>59</v>
      </c>
      <c r="F13" s="42" t="s">
        <v>65</v>
      </c>
      <c r="G13" s="44">
        <v>15000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/>
      <c r="C14" s="39"/>
      <c r="D14" s="40"/>
      <c r="E14" s="41"/>
      <c r="F14" s="42"/>
      <c r="G14" s="44"/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/>
      <c r="C15" s="39"/>
      <c r="D15" s="40"/>
      <c r="E15" s="41"/>
      <c r="F15" s="42"/>
      <c r="G15" s="44"/>
      <c r="H15" s="43"/>
      <c r="I15" s="12"/>
      <c r="J15" s="12"/>
      <c r="K15" s="12"/>
      <c r="L15" s="12"/>
      <c r="M15" s="12"/>
      <c r="N15" s="12"/>
      <c r="O15" s="12"/>
    </row>
    <row r="16" spans="1:15" ht="20.3" customHeight="1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9</v>
      </c>
      <c r="C26" s="33"/>
      <c r="D26" s="17"/>
      <c r="E26" s="17"/>
      <c r="F26" s="17"/>
      <c r="G26" s="45">
        <f>SUM(G11:G25)</f>
        <v>23020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70"/>
      <c r="C29" s="70"/>
      <c r="D29" s="71"/>
      <c r="E29" s="72"/>
      <c r="F29" s="73"/>
    </row>
    <row r="30" spans="1:15" ht="17.75" x14ac:dyDescent="0.45">
      <c r="B30" s="74"/>
      <c r="C30" s="74"/>
      <c r="D30" s="75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42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O44"/>
  <sheetViews>
    <sheetView workbookViewId="0">
      <selection activeCell="E5" sqref="E5"/>
    </sheetView>
  </sheetViews>
  <sheetFormatPr baseColWidth="10" defaultRowHeight="14.55" x14ac:dyDescent="0.35"/>
  <cols>
    <col min="1" max="1" width="3.69921875" style="2" bestFit="1" customWidth="1"/>
    <col min="2" max="2" width="14.09765625" style="3" bestFit="1" customWidth="1"/>
    <col min="3" max="3" width="19.8984375" style="3" customWidth="1"/>
    <col min="4" max="4" width="15.09765625" style="23" customWidth="1"/>
    <col min="5" max="5" width="14.69921875" style="5" customWidth="1"/>
    <col min="6" max="6" width="32.0976562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76" t="s">
        <v>0</v>
      </c>
      <c r="D1" s="76"/>
      <c r="E1" s="76"/>
      <c r="F1" s="76"/>
      <c r="G1" s="76"/>
      <c r="H1" s="76"/>
    </row>
    <row r="2" spans="1:15" ht="38.950000000000003" customHeight="1" x14ac:dyDescent="0.6">
      <c r="B2" s="2"/>
      <c r="C2" s="76" t="s">
        <v>24</v>
      </c>
      <c r="D2" s="76"/>
      <c r="E2" s="76"/>
      <c r="F2" s="76"/>
      <c r="G2" s="76"/>
      <c r="H2" s="76"/>
    </row>
    <row r="3" spans="1:15" ht="24.05" customHeight="1" x14ac:dyDescent="0.55000000000000004">
      <c r="D3" s="4"/>
      <c r="F3" s="24"/>
      <c r="G3" s="32" t="s">
        <v>10</v>
      </c>
      <c r="H3" s="27" t="s">
        <v>66</v>
      </c>
    </row>
    <row r="4" spans="1:15" ht="17.75" x14ac:dyDescent="0.45">
      <c r="B4" s="70" t="s">
        <v>1</v>
      </c>
      <c r="C4" s="70"/>
      <c r="D4" s="70"/>
      <c r="E4" s="35">
        <f>'FEBRERO 2025'!H8</f>
        <v>76980</v>
      </c>
      <c r="F4" s="7"/>
      <c r="G4" s="31"/>
    </row>
    <row r="5" spans="1:15" ht="17.75" x14ac:dyDescent="0.45">
      <c r="B5" s="25" t="s">
        <v>13</v>
      </c>
      <c r="C5" s="25"/>
      <c r="D5" s="25"/>
      <c r="E5" s="35">
        <v>23020</v>
      </c>
      <c r="F5" s="7"/>
      <c r="G5" s="31"/>
    </row>
    <row r="6" spans="1:15" ht="17.75" x14ac:dyDescent="0.45">
      <c r="B6" s="70" t="s">
        <v>2</v>
      </c>
      <c r="C6" s="70"/>
      <c r="D6" s="70"/>
      <c r="E6" s="35">
        <v>0</v>
      </c>
      <c r="F6" s="7"/>
    </row>
    <row r="7" spans="1:15" ht="17.75" x14ac:dyDescent="0.45">
      <c r="B7" s="77" t="s">
        <v>3</v>
      </c>
      <c r="C7" s="77"/>
      <c r="D7" s="77"/>
      <c r="E7" s="35">
        <v>100000</v>
      </c>
      <c r="F7" s="7"/>
      <c r="G7" s="26"/>
    </row>
    <row r="8" spans="1:15" ht="17.75" x14ac:dyDescent="0.45">
      <c r="B8" s="78" t="s">
        <v>4</v>
      </c>
      <c r="C8" s="78"/>
      <c r="D8" s="78"/>
      <c r="E8" s="38">
        <f>+G26</f>
        <v>37630</v>
      </c>
      <c r="F8" s="7"/>
      <c r="G8" s="29" t="s">
        <v>11</v>
      </c>
      <c r="H8" s="36">
        <f>E7-E8</f>
        <v>62370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5</v>
      </c>
      <c r="B10" s="14" t="s">
        <v>6</v>
      </c>
      <c r="C10" s="14" t="s">
        <v>15</v>
      </c>
      <c r="D10" s="14" t="s">
        <v>21</v>
      </c>
      <c r="E10" s="14" t="s">
        <v>22</v>
      </c>
      <c r="F10" s="30" t="s">
        <v>7</v>
      </c>
      <c r="G10" s="14" t="s">
        <v>8</v>
      </c>
      <c r="H10" s="34" t="s">
        <v>25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45724</v>
      </c>
      <c r="C11" s="39" t="s">
        <v>40</v>
      </c>
      <c r="D11" s="40">
        <v>752848804</v>
      </c>
      <c r="E11" s="41"/>
      <c r="F11" s="42" t="s">
        <v>67</v>
      </c>
      <c r="G11" s="44">
        <v>19630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45747</v>
      </c>
      <c r="C12" s="39" t="s">
        <v>68</v>
      </c>
      <c r="D12" s="40">
        <v>15344</v>
      </c>
      <c r="E12" s="41"/>
      <c r="F12" s="42" t="s">
        <v>69</v>
      </c>
      <c r="G12" s="44">
        <v>18000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/>
      <c r="C13" s="39"/>
      <c r="D13" s="40"/>
      <c r="E13" s="41"/>
      <c r="F13" s="42"/>
      <c r="G13" s="44"/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/>
      <c r="C14" s="39"/>
      <c r="D14" s="40"/>
      <c r="E14" s="41"/>
      <c r="F14" s="42"/>
      <c r="G14" s="44"/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/>
      <c r="C15" s="39"/>
      <c r="D15" s="40"/>
      <c r="E15" s="41"/>
      <c r="F15" s="42"/>
      <c r="G15" s="44"/>
      <c r="H15" s="43"/>
      <c r="I15" s="12"/>
      <c r="J15" s="12"/>
      <c r="K15" s="12"/>
      <c r="L15" s="12"/>
      <c r="M15" s="12"/>
      <c r="N15" s="12"/>
      <c r="O15" s="12"/>
    </row>
    <row r="16" spans="1:15" ht="20.3" customHeight="1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9</v>
      </c>
      <c r="C26" s="33"/>
      <c r="D26" s="17"/>
      <c r="E26" s="17"/>
      <c r="F26" s="17"/>
      <c r="G26" s="45">
        <f>SUM(G11:G25)</f>
        <v>37630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70"/>
      <c r="C29" s="70"/>
      <c r="D29" s="71"/>
      <c r="E29" s="72"/>
      <c r="F29" s="73"/>
    </row>
    <row r="30" spans="1:15" ht="17.75" x14ac:dyDescent="0.45">
      <c r="B30" s="74"/>
      <c r="C30" s="74"/>
      <c r="D30" s="75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paperSize="9" scale="4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O44"/>
  <sheetViews>
    <sheetView workbookViewId="0">
      <selection activeCell="J13" sqref="J13"/>
    </sheetView>
  </sheetViews>
  <sheetFormatPr baseColWidth="10" defaultRowHeight="14.55" x14ac:dyDescent="0.35"/>
  <cols>
    <col min="1" max="1" width="3.69921875" style="2" bestFit="1" customWidth="1"/>
    <col min="2" max="2" width="16.8984375" style="3" customWidth="1"/>
    <col min="3" max="3" width="22" style="3" bestFit="1" customWidth="1"/>
    <col min="4" max="4" width="14" style="23" bestFit="1" customWidth="1"/>
    <col min="5" max="5" width="14.296875" style="5" bestFit="1" customWidth="1"/>
    <col min="6" max="6" width="27.296875" style="6" bestFit="1" customWidth="1"/>
    <col min="7" max="7" width="20.8984375" style="2" bestFit="1" customWidth="1"/>
    <col min="8" max="8" width="14.296875" style="2" bestFit="1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76" t="s">
        <v>0</v>
      </c>
      <c r="D1" s="76"/>
      <c r="E1" s="76"/>
      <c r="F1" s="76"/>
      <c r="G1" s="76"/>
      <c r="H1" s="76"/>
    </row>
    <row r="2" spans="1:15" ht="38.950000000000003" customHeight="1" x14ac:dyDescent="0.6">
      <c r="B2" s="2"/>
      <c r="C2" s="76" t="s">
        <v>24</v>
      </c>
      <c r="D2" s="76"/>
      <c r="E2" s="76"/>
      <c r="F2" s="76"/>
      <c r="G2" s="76"/>
      <c r="H2" s="76"/>
    </row>
    <row r="3" spans="1:15" ht="24.05" customHeight="1" x14ac:dyDescent="0.55000000000000004">
      <c r="D3" s="4"/>
      <c r="F3" s="24"/>
      <c r="G3" s="32" t="s">
        <v>10</v>
      </c>
      <c r="H3" s="27" t="s">
        <v>70</v>
      </c>
    </row>
    <row r="4" spans="1:15" ht="17.75" x14ac:dyDescent="0.45">
      <c r="B4" s="70" t="s">
        <v>1</v>
      </c>
      <c r="C4" s="70"/>
      <c r="D4" s="70"/>
      <c r="E4" s="35">
        <f>' MARZO 2025'!H8</f>
        <v>62370</v>
      </c>
      <c r="F4" s="7"/>
      <c r="G4" s="31"/>
    </row>
    <row r="5" spans="1:15" ht="17.75" x14ac:dyDescent="0.45">
      <c r="B5" s="25" t="s">
        <v>13</v>
      </c>
      <c r="C5" s="25"/>
      <c r="D5" s="25"/>
      <c r="E5" s="35">
        <v>37630</v>
      </c>
      <c r="F5" s="7"/>
      <c r="G5" s="31"/>
    </row>
    <row r="6" spans="1:15" ht="17.75" x14ac:dyDescent="0.45">
      <c r="B6" s="70" t="s">
        <v>2</v>
      </c>
      <c r="C6" s="70"/>
      <c r="D6" s="70"/>
      <c r="E6" s="35">
        <v>0</v>
      </c>
      <c r="F6" s="7"/>
    </row>
    <row r="7" spans="1:15" ht="17.75" x14ac:dyDescent="0.45">
      <c r="B7" s="77" t="s">
        <v>3</v>
      </c>
      <c r="C7" s="77"/>
      <c r="D7" s="77"/>
      <c r="E7" s="35">
        <v>100000</v>
      </c>
      <c r="F7" s="7"/>
      <c r="G7" s="26"/>
    </row>
    <row r="8" spans="1:15" ht="17.75" x14ac:dyDescent="0.45">
      <c r="B8" s="78" t="s">
        <v>4</v>
      </c>
      <c r="C8" s="78"/>
      <c r="D8" s="78"/>
      <c r="E8" s="38">
        <f>+G26</f>
        <v>22000</v>
      </c>
      <c r="F8" s="7"/>
      <c r="G8" s="29" t="s">
        <v>11</v>
      </c>
      <c r="H8" s="36">
        <f>E7-E8</f>
        <v>78000</v>
      </c>
    </row>
    <row r="9" spans="1:15" s="1" customFormat="1" ht="24.2" x14ac:dyDescent="0.6">
      <c r="E9" s="10"/>
      <c r="F9" s="11"/>
      <c r="G9" s="9"/>
    </row>
    <row r="10" spans="1:15" s="9" customFormat="1" ht="70.95" x14ac:dyDescent="0.45">
      <c r="A10" s="13" t="s">
        <v>5</v>
      </c>
      <c r="B10" s="14" t="s">
        <v>6</v>
      </c>
      <c r="C10" s="14" t="s">
        <v>15</v>
      </c>
      <c r="D10" s="14" t="s">
        <v>21</v>
      </c>
      <c r="E10" s="14" t="s">
        <v>22</v>
      </c>
      <c r="F10" s="30" t="s">
        <v>7</v>
      </c>
      <c r="G10" s="14" t="s">
        <v>8</v>
      </c>
      <c r="H10" s="34" t="s">
        <v>25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45754</v>
      </c>
      <c r="C11" s="39" t="s">
        <v>61</v>
      </c>
      <c r="D11" s="40">
        <v>31</v>
      </c>
      <c r="E11" s="41"/>
      <c r="F11" s="42" t="s">
        <v>72</v>
      </c>
      <c r="G11" s="44">
        <v>4000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45777</v>
      </c>
      <c r="C12" s="39" t="s">
        <v>44</v>
      </c>
      <c r="D12" s="40">
        <v>15534</v>
      </c>
      <c r="E12" s="41"/>
      <c r="F12" s="42" t="s">
        <v>71</v>
      </c>
      <c r="G12" s="44">
        <v>18000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/>
      <c r="C13" s="39"/>
      <c r="D13" s="40"/>
      <c r="E13" s="41"/>
      <c r="F13" s="42"/>
      <c r="G13" s="44"/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/>
      <c r="C14" s="39"/>
      <c r="D14" s="40"/>
      <c r="E14" s="41"/>
      <c r="F14" s="42"/>
      <c r="G14" s="44"/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/>
      <c r="C15" s="39"/>
      <c r="D15" s="40"/>
      <c r="E15" s="41"/>
      <c r="F15" s="42"/>
      <c r="G15" s="44"/>
      <c r="H15" s="43"/>
      <c r="I15" s="12"/>
      <c r="J15" s="12"/>
      <c r="K15" s="12"/>
      <c r="L15" s="12"/>
      <c r="M15" s="12"/>
      <c r="N15" s="12"/>
      <c r="O15" s="12"/>
    </row>
    <row r="16" spans="1:15" ht="20.3" customHeight="1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9</v>
      </c>
      <c r="C26" s="33"/>
      <c r="D26" s="17"/>
      <c r="E26" s="17"/>
      <c r="F26" s="17"/>
      <c r="G26" s="45">
        <f>SUM(G11:G25)</f>
        <v>22000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70"/>
      <c r="C29" s="70"/>
      <c r="D29" s="71"/>
      <c r="E29" s="72"/>
      <c r="F29" s="73"/>
    </row>
    <row r="30" spans="1:15" ht="17.75" x14ac:dyDescent="0.45">
      <c r="B30" s="74"/>
      <c r="C30" s="74"/>
      <c r="D30" s="75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42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O38"/>
  <sheetViews>
    <sheetView workbookViewId="0">
      <selection activeCell="E8" sqref="E8"/>
    </sheetView>
  </sheetViews>
  <sheetFormatPr baseColWidth="10" defaultColWidth="23.69921875" defaultRowHeight="14.55" x14ac:dyDescent="0.35"/>
  <cols>
    <col min="1" max="1" width="6.3984375" style="2" customWidth="1"/>
    <col min="2" max="2" width="23.69921875" style="3"/>
    <col min="3" max="3" width="23.8984375" style="3" bestFit="1" customWidth="1"/>
    <col min="4" max="4" width="17.3984375" style="23" bestFit="1" customWidth="1"/>
    <col min="5" max="5" width="17.09765625" style="5" customWidth="1"/>
    <col min="6" max="6" width="29.3984375" style="6" customWidth="1"/>
    <col min="7" max="7" width="20.8984375" style="2" bestFit="1" customWidth="1"/>
    <col min="8" max="8" width="22.3984375" style="2" bestFit="1" customWidth="1"/>
    <col min="9" max="16384" width="23.69921875" style="2"/>
  </cols>
  <sheetData>
    <row r="1" spans="1:15" ht="42.75" customHeight="1" x14ac:dyDescent="0.6">
      <c r="C1" s="76" t="s">
        <v>0</v>
      </c>
      <c r="D1" s="76"/>
      <c r="E1" s="76"/>
      <c r="F1" s="76"/>
      <c r="G1" s="76"/>
      <c r="H1" s="76"/>
    </row>
    <row r="2" spans="1:15" ht="38.950000000000003" customHeight="1" x14ac:dyDescent="0.6">
      <c r="B2" s="2"/>
      <c r="C2" s="76" t="s">
        <v>24</v>
      </c>
      <c r="D2" s="76"/>
      <c r="E2" s="76"/>
      <c r="F2" s="76"/>
      <c r="G2" s="76"/>
      <c r="H2" s="76"/>
    </row>
    <row r="3" spans="1:15" ht="24.05" customHeight="1" x14ac:dyDescent="0.55000000000000004">
      <c r="D3" s="4"/>
      <c r="F3" s="24"/>
      <c r="G3" s="32" t="s">
        <v>10</v>
      </c>
      <c r="H3" s="27" t="s">
        <v>73</v>
      </c>
    </row>
    <row r="4" spans="1:15" ht="17.75" x14ac:dyDescent="0.45">
      <c r="B4" s="70" t="s">
        <v>1</v>
      </c>
      <c r="C4" s="70"/>
      <c r="D4" s="70"/>
      <c r="E4" s="35">
        <f>'ABRIL 2025'!H8</f>
        <v>78000</v>
      </c>
      <c r="F4" s="7"/>
      <c r="G4" s="31"/>
    </row>
    <row r="5" spans="1:15" ht="17.75" x14ac:dyDescent="0.45">
      <c r="B5" s="25" t="s">
        <v>13</v>
      </c>
      <c r="C5" s="25"/>
      <c r="D5" s="25"/>
      <c r="E5" s="35">
        <v>22000</v>
      </c>
      <c r="F5" s="7"/>
      <c r="G5" s="31"/>
    </row>
    <row r="6" spans="1:15" ht="17.75" x14ac:dyDescent="0.45">
      <c r="B6" s="70" t="s">
        <v>2</v>
      </c>
      <c r="C6" s="70"/>
      <c r="D6" s="70"/>
      <c r="E6" s="35">
        <v>0</v>
      </c>
      <c r="F6" s="7"/>
    </row>
    <row r="7" spans="1:15" ht="17.75" x14ac:dyDescent="0.45">
      <c r="B7" s="77" t="s">
        <v>3</v>
      </c>
      <c r="C7" s="77"/>
      <c r="D7" s="77"/>
      <c r="E7" s="35">
        <v>100000</v>
      </c>
      <c r="F7" s="7"/>
      <c r="G7" s="26"/>
    </row>
    <row r="8" spans="1:15" ht="17.75" x14ac:dyDescent="0.45">
      <c r="B8" s="78" t="s">
        <v>4</v>
      </c>
      <c r="C8" s="78"/>
      <c r="D8" s="78"/>
      <c r="E8" s="38">
        <f>+G20</f>
        <v>36030</v>
      </c>
      <c r="F8" s="7"/>
      <c r="G8" s="29" t="s">
        <v>11</v>
      </c>
      <c r="H8" s="36">
        <f>E7-E8</f>
        <v>63970</v>
      </c>
    </row>
    <row r="9" spans="1:15" s="1" customFormat="1" ht="24.2" x14ac:dyDescent="0.6">
      <c r="E9" s="10"/>
      <c r="F9" s="11"/>
      <c r="G9" s="9"/>
    </row>
    <row r="10" spans="1:15" s="9" customFormat="1" ht="53.2" x14ac:dyDescent="0.45">
      <c r="A10" s="13" t="s">
        <v>5</v>
      </c>
      <c r="B10" s="14" t="s">
        <v>6</v>
      </c>
      <c r="C10" s="14" t="s">
        <v>15</v>
      </c>
      <c r="D10" s="14" t="s">
        <v>21</v>
      </c>
      <c r="E10" s="14" t="s">
        <v>22</v>
      </c>
      <c r="F10" s="30" t="s">
        <v>7</v>
      </c>
      <c r="G10" s="14" t="s">
        <v>8</v>
      </c>
      <c r="H10" s="34" t="s">
        <v>25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45779</v>
      </c>
      <c r="C11" s="39" t="s">
        <v>40</v>
      </c>
      <c r="D11" s="40">
        <v>54987146</v>
      </c>
      <c r="E11" s="41"/>
      <c r="F11" s="42" t="s">
        <v>74</v>
      </c>
      <c r="G11" s="44">
        <v>5380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45784</v>
      </c>
      <c r="C12" s="39" t="s">
        <v>40</v>
      </c>
      <c r="D12" s="40">
        <v>778294365</v>
      </c>
      <c r="E12" s="41"/>
      <c r="F12" s="42" t="s">
        <v>75</v>
      </c>
      <c r="G12" s="44">
        <v>5180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45787</v>
      </c>
      <c r="C13" s="39" t="s">
        <v>40</v>
      </c>
      <c r="D13" s="40">
        <v>775136411</v>
      </c>
      <c r="E13" s="41"/>
      <c r="F13" s="42" t="s">
        <v>57</v>
      </c>
      <c r="G13" s="44">
        <v>1690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45790</v>
      </c>
      <c r="C14" s="39" t="s">
        <v>40</v>
      </c>
      <c r="D14" s="40">
        <v>15961950</v>
      </c>
      <c r="E14" s="41"/>
      <c r="F14" s="42" t="s">
        <v>76</v>
      </c>
      <c r="G14" s="44">
        <v>3980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>
        <v>45794</v>
      </c>
      <c r="C15" s="39" t="s">
        <v>40</v>
      </c>
      <c r="D15" s="40">
        <v>127134</v>
      </c>
      <c r="E15" s="41"/>
      <c r="F15" s="42" t="s">
        <v>77</v>
      </c>
      <c r="G15" s="44">
        <v>1800</v>
      </c>
      <c r="H15" s="43"/>
      <c r="I15" s="12"/>
      <c r="J15" s="12"/>
      <c r="K15" s="12"/>
      <c r="L15" s="12"/>
      <c r="M15" s="12"/>
      <c r="N15" s="12"/>
      <c r="O15" s="12"/>
    </row>
    <row r="16" spans="1:15" ht="20.3" customHeight="1" x14ac:dyDescent="0.45">
      <c r="A16" s="15">
        <v>6</v>
      </c>
      <c r="B16" s="39">
        <v>45807</v>
      </c>
      <c r="C16" s="39" t="s">
        <v>44</v>
      </c>
      <c r="D16" s="40">
        <v>15709</v>
      </c>
      <c r="E16" s="41"/>
      <c r="F16" s="42" t="s">
        <v>52</v>
      </c>
      <c r="G16" s="44">
        <v>18000</v>
      </c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s="12" customFormat="1" ht="17.75" x14ac:dyDescent="0.45">
      <c r="B20" s="16" t="s">
        <v>9</v>
      </c>
      <c r="C20" s="33"/>
      <c r="D20" s="17"/>
      <c r="E20" s="17"/>
      <c r="F20" s="17"/>
      <c r="G20" s="45">
        <f>SUM(G11:G19)</f>
        <v>36030</v>
      </c>
    </row>
    <row r="21" spans="1:15" s="12" customFormat="1" ht="17.75" x14ac:dyDescent="0.45">
      <c r="B21" s="18"/>
      <c r="C21" s="18"/>
      <c r="D21" s="19"/>
      <c r="E21" s="19"/>
      <c r="F21" s="19"/>
      <c r="G21" s="20"/>
    </row>
    <row r="22" spans="1:15" s="12" customFormat="1" ht="17.75" x14ac:dyDescent="0.45">
      <c r="B22" s="21"/>
      <c r="C22" s="21"/>
      <c r="D22" s="22"/>
      <c r="E22" s="22"/>
      <c r="F22" s="22"/>
      <c r="G22" s="8"/>
    </row>
    <row r="23" spans="1:15" ht="17.75" x14ac:dyDescent="0.45">
      <c r="B23" s="70"/>
      <c r="C23" s="70"/>
      <c r="D23" s="71"/>
      <c r="E23" s="72"/>
      <c r="F23" s="73"/>
    </row>
    <row r="24" spans="1:15" ht="17.75" x14ac:dyDescent="0.45">
      <c r="B24" s="74"/>
      <c r="C24" s="74"/>
      <c r="D24" s="75"/>
      <c r="E24" s="37"/>
      <c r="F24" s="12"/>
      <c r="G24" s="28"/>
    </row>
    <row r="25" spans="1:15" s="12" customFormat="1" ht="17.75" x14ac:dyDescent="0.45">
      <c r="B25" s="21"/>
      <c r="C25" s="21"/>
      <c r="D25" s="22"/>
      <c r="E25" s="22"/>
      <c r="G25" s="8"/>
    </row>
    <row r="26" spans="1:15" s="12" customFormat="1" ht="17.75" x14ac:dyDescent="0.45">
      <c r="B26" s="21"/>
      <c r="C26" s="21"/>
      <c r="D26" s="22"/>
      <c r="E26" s="22"/>
      <c r="F26" s="22"/>
      <c r="G26" s="8"/>
    </row>
    <row r="27" spans="1:15" s="12" customFormat="1" ht="17.75" x14ac:dyDescent="0.45">
      <c r="B27" s="21"/>
      <c r="C27" s="21"/>
      <c r="D27" s="22"/>
      <c r="E27" s="22"/>
      <c r="F27" s="22"/>
      <c r="G27" s="8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s="12" customFormat="1" ht="17.75" x14ac:dyDescent="0.45">
      <c r="B29" s="21"/>
      <c r="C29" s="21"/>
      <c r="D29" s="22"/>
      <c r="E29" s="22"/>
      <c r="F29" s="22"/>
      <c r="G29" s="8"/>
    </row>
    <row r="30" spans="1:15" s="12" customFormat="1" ht="17.75" x14ac:dyDescent="0.45">
      <c r="B30" s="21"/>
      <c r="C30" s="21"/>
      <c r="D30" s="22"/>
      <c r="E30" s="22"/>
      <c r="F30" s="22"/>
      <c r="G30" s="8"/>
    </row>
    <row r="31" spans="1:15" s="12" customFormat="1" ht="17.75" x14ac:dyDescent="0.45">
      <c r="B31" s="21"/>
      <c r="C31" s="21"/>
      <c r="D31" s="22"/>
      <c r="E31" s="22"/>
      <c r="F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</sheetData>
  <mergeCells count="9">
    <mergeCell ref="B23:D23"/>
    <mergeCell ref="E23:F23"/>
    <mergeCell ref="B24:D24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2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O38"/>
  <sheetViews>
    <sheetView workbookViewId="0">
      <selection activeCell="G20" sqref="G20"/>
    </sheetView>
  </sheetViews>
  <sheetFormatPr baseColWidth="10" defaultColWidth="23.69921875" defaultRowHeight="14.55" x14ac:dyDescent="0.35"/>
  <cols>
    <col min="1" max="1" width="6.3984375" style="2" customWidth="1"/>
    <col min="2" max="2" width="37.3984375" style="3" customWidth="1"/>
    <col min="3" max="3" width="23.8984375" style="3" bestFit="1" customWidth="1"/>
    <col min="4" max="4" width="17.3984375" style="67" bestFit="1" customWidth="1"/>
    <col min="5" max="5" width="17.09765625" style="5" customWidth="1"/>
    <col min="6" max="6" width="26.3984375" style="6" customWidth="1"/>
    <col min="7" max="7" width="20.8984375" style="2" bestFit="1" customWidth="1"/>
    <col min="8" max="8" width="22.3984375" style="2" bestFit="1" customWidth="1"/>
    <col min="9" max="16384" width="23.69921875" style="2"/>
  </cols>
  <sheetData>
    <row r="1" spans="1:15" ht="42.75" customHeight="1" x14ac:dyDescent="0.6">
      <c r="C1" s="76" t="s">
        <v>0</v>
      </c>
      <c r="D1" s="76"/>
      <c r="E1" s="76"/>
      <c r="F1" s="76"/>
      <c r="G1" s="76"/>
      <c r="H1" s="76"/>
    </row>
    <row r="2" spans="1:15" ht="38.950000000000003" customHeight="1" x14ac:dyDescent="0.6">
      <c r="B2" s="2"/>
      <c r="C2" s="76" t="s">
        <v>24</v>
      </c>
      <c r="D2" s="76"/>
      <c r="E2" s="76"/>
      <c r="F2" s="76"/>
      <c r="G2" s="76"/>
      <c r="H2" s="76"/>
    </row>
    <row r="3" spans="1:15" ht="24.05" customHeight="1" x14ac:dyDescent="0.55000000000000004">
      <c r="D3" s="61"/>
      <c r="F3" s="24"/>
      <c r="G3" s="32" t="s">
        <v>10</v>
      </c>
      <c r="H3" s="27" t="s">
        <v>78</v>
      </c>
    </row>
    <row r="4" spans="1:15" ht="17.75" x14ac:dyDescent="0.45">
      <c r="B4" s="70" t="s">
        <v>1</v>
      </c>
      <c r="C4" s="70"/>
      <c r="D4" s="70"/>
      <c r="E4" s="35">
        <f>'MAYO 2025'!H8</f>
        <v>63970</v>
      </c>
      <c r="F4" s="7"/>
      <c r="G4" s="31"/>
    </row>
    <row r="5" spans="1:15" ht="17.75" x14ac:dyDescent="0.45">
      <c r="B5" s="25" t="s">
        <v>13</v>
      </c>
      <c r="C5" s="25"/>
      <c r="D5" s="62"/>
      <c r="E5" s="35">
        <v>36030</v>
      </c>
      <c r="F5" s="7"/>
      <c r="G5" s="31"/>
    </row>
    <row r="6" spans="1:15" ht="17.75" x14ac:dyDescent="0.45">
      <c r="B6" s="70" t="s">
        <v>2</v>
      </c>
      <c r="C6" s="70"/>
      <c r="D6" s="70"/>
      <c r="E6" s="35">
        <v>0</v>
      </c>
      <c r="F6" s="7"/>
    </row>
    <row r="7" spans="1:15" ht="17.75" x14ac:dyDescent="0.45">
      <c r="B7" s="77" t="s">
        <v>3</v>
      </c>
      <c r="C7" s="77"/>
      <c r="D7" s="77"/>
      <c r="E7" s="35">
        <v>100000</v>
      </c>
      <c r="F7" s="7"/>
      <c r="G7" s="26"/>
    </row>
    <row r="8" spans="1:15" ht="17.75" x14ac:dyDescent="0.45">
      <c r="B8" s="78" t="s">
        <v>4</v>
      </c>
      <c r="C8" s="78"/>
      <c r="D8" s="78"/>
      <c r="E8" s="38">
        <f>+G20</f>
        <v>83480</v>
      </c>
      <c r="F8" s="7"/>
      <c r="G8" s="29" t="s">
        <v>11</v>
      </c>
      <c r="H8" s="36">
        <f>E7-E8</f>
        <v>16520</v>
      </c>
    </row>
    <row r="9" spans="1:15" s="1" customFormat="1" ht="24.2" x14ac:dyDescent="0.6">
      <c r="D9" s="63"/>
      <c r="E9" s="10"/>
      <c r="F9" s="11"/>
      <c r="G9" s="9"/>
    </row>
    <row r="10" spans="1:15" s="9" customFormat="1" ht="53.2" x14ac:dyDescent="0.45">
      <c r="A10" s="13" t="s">
        <v>5</v>
      </c>
      <c r="B10" s="14" t="s">
        <v>6</v>
      </c>
      <c r="C10" s="14" t="s">
        <v>15</v>
      </c>
      <c r="D10" s="14" t="s">
        <v>21</v>
      </c>
      <c r="E10" s="14" t="s">
        <v>22</v>
      </c>
      <c r="F10" s="30" t="s">
        <v>7</v>
      </c>
      <c r="G10" s="14" t="s">
        <v>8</v>
      </c>
      <c r="H10" s="34" t="s">
        <v>25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45813</v>
      </c>
      <c r="C11" s="39" t="s">
        <v>40</v>
      </c>
      <c r="D11" s="58" t="s">
        <v>79</v>
      </c>
      <c r="E11" s="41" t="s">
        <v>80</v>
      </c>
      <c r="F11" s="42" t="s">
        <v>81</v>
      </c>
      <c r="G11" s="44">
        <v>6800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45810</v>
      </c>
      <c r="C12" s="39" t="s">
        <v>47</v>
      </c>
      <c r="D12" s="58">
        <v>55269806</v>
      </c>
      <c r="E12" s="41" t="s">
        <v>82</v>
      </c>
      <c r="F12" s="42" t="s">
        <v>83</v>
      </c>
      <c r="G12" s="44">
        <v>3780</v>
      </c>
      <c r="H12" s="43"/>
      <c r="I12" s="12"/>
      <c r="J12" s="12"/>
      <c r="K12" s="12"/>
      <c r="L12" s="12"/>
      <c r="M12" s="12"/>
      <c r="N12" s="12"/>
      <c r="O12" s="12"/>
    </row>
    <row r="13" spans="1:15" ht="34.4" x14ac:dyDescent="0.45">
      <c r="A13" s="15">
        <v>3</v>
      </c>
      <c r="B13" s="39">
        <v>45814</v>
      </c>
      <c r="C13" s="39" t="s">
        <v>40</v>
      </c>
      <c r="D13" s="58">
        <v>789598290</v>
      </c>
      <c r="E13" s="41" t="s">
        <v>84</v>
      </c>
      <c r="F13" s="42" t="s">
        <v>90</v>
      </c>
      <c r="G13" s="44">
        <v>37970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45822</v>
      </c>
      <c r="C14" s="39" t="s">
        <v>40</v>
      </c>
      <c r="D14" s="59">
        <v>781397730</v>
      </c>
      <c r="E14" s="41" t="s">
        <v>86</v>
      </c>
      <c r="F14" s="42" t="s">
        <v>85</v>
      </c>
      <c r="G14" s="44">
        <v>5840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>
        <v>45791</v>
      </c>
      <c r="C15" s="39" t="s">
        <v>40</v>
      </c>
      <c r="D15" s="58">
        <v>774497570</v>
      </c>
      <c r="E15" s="41" t="s">
        <v>86</v>
      </c>
      <c r="F15" s="40" t="s">
        <v>87</v>
      </c>
      <c r="G15" s="44">
        <v>1690</v>
      </c>
      <c r="H15" s="43"/>
      <c r="I15" s="12"/>
      <c r="J15" s="12"/>
      <c r="K15" s="12"/>
      <c r="L15" s="12"/>
      <c r="M15" s="12"/>
      <c r="N15" s="12"/>
      <c r="O15" s="12"/>
    </row>
    <row r="16" spans="1:15" ht="31.7" customHeight="1" x14ac:dyDescent="0.45">
      <c r="A16" s="15">
        <v>6</v>
      </c>
      <c r="B16" s="39">
        <v>45833</v>
      </c>
      <c r="C16" s="39" t="s">
        <v>40</v>
      </c>
      <c r="D16" s="58">
        <v>54786722</v>
      </c>
      <c r="E16" s="41" t="s">
        <v>88</v>
      </c>
      <c r="F16" s="42" t="s">
        <v>89</v>
      </c>
      <c r="G16" s="44">
        <v>9400</v>
      </c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>
        <v>45837</v>
      </c>
      <c r="C17" s="39" t="s">
        <v>44</v>
      </c>
      <c r="D17" s="58">
        <v>15890</v>
      </c>
      <c r="E17" s="41" t="s">
        <v>59</v>
      </c>
      <c r="F17" s="42" t="s">
        <v>30</v>
      </c>
      <c r="G17" s="44">
        <v>18000</v>
      </c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58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58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s="12" customFormat="1" ht="17.75" x14ac:dyDescent="0.45">
      <c r="B20" s="16" t="s">
        <v>9</v>
      </c>
      <c r="C20" s="33"/>
      <c r="D20" s="64"/>
      <c r="E20" s="17"/>
      <c r="F20" s="17"/>
      <c r="G20" s="45">
        <f>SUM(G11:G19)</f>
        <v>83480</v>
      </c>
    </row>
    <row r="21" spans="1:15" s="12" customFormat="1" ht="17.75" x14ac:dyDescent="0.45">
      <c r="B21" s="18"/>
      <c r="C21" s="18"/>
      <c r="D21" s="65"/>
      <c r="E21" s="19"/>
      <c r="F21" s="19"/>
      <c r="G21" s="20"/>
    </row>
    <row r="22" spans="1:15" s="12" customFormat="1" ht="17.75" x14ac:dyDescent="0.45">
      <c r="B22" s="21"/>
      <c r="C22" s="21"/>
      <c r="D22" s="66"/>
      <c r="E22" s="22"/>
      <c r="F22" s="22"/>
      <c r="G22" s="8"/>
    </row>
    <row r="23" spans="1:15" ht="17.75" x14ac:dyDescent="0.45">
      <c r="B23" s="70"/>
      <c r="C23" s="70"/>
      <c r="D23" s="71"/>
      <c r="E23" s="72"/>
      <c r="F23" s="73"/>
    </row>
    <row r="24" spans="1:15" ht="17.75" x14ac:dyDescent="0.45">
      <c r="B24" s="74"/>
      <c r="C24" s="74"/>
      <c r="D24" s="75"/>
      <c r="E24" s="37"/>
      <c r="F24" s="12"/>
      <c r="G24" s="28"/>
    </row>
    <row r="25" spans="1:15" s="12" customFormat="1" ht="17.75" x14ac:dyDescent="0.45">
      <c r="B25" s="21"/>
      <c r="C25" s="21"/>
      <c r="D25" s="66"/>
      <c r="E25" s="22"/>
      <c r="G25" s="8"/>
    </row>
    <row r="26" spans="1:15" s="12" customFormat="1" ht="17.75" x14ac:dyDescent="0.45">
      <c r="B26" s="21"/>
      <c r="C26" s="21"/>
      <c r="D26" s="66"/>
      <c r="E26" s="22"/>
      <c r="F26" s="22"/>
      <c r="G26" s="8"/>
    </row>
    <row r="27" spans="1:15" s="12" customFormat="1" ht="17.75" x14ac:dyDescent="0.45">
      <c r="B27" s="21"/>
      <c r="C27" s="21"/>
      <c r="D27" s="66"/>
      <c r="E27" s="22"/>
      <c r="F27" s="22"/>
      <c r="G27" s="8"/>
    </row>
    <row r="28" spans="1:15" s="12" customFormat="1" ht="17.75" x14ac:dyDescent="0.45">
      <c r="B28" s="21"/>
      <c r="C28" s="21"/>
      <c r="D28" s="66"/>
      <c r="E28" s="22"/>
      <c r="F28" s="22"/>
      <c r="G28" s="8"/>
    </row>
    <row r="29" spans="1:15" s="12" customFormat="1" ht="17.75" x14ac:dyDescent="0.45">
      <c r="B29" s="21"/>
      <c r="C29" s="21"/>
      <c r="D29" s="66"/>
      <c r="E29" s="22"/>
      <c r="F29" s="22"/>
      <c r="G29" s="8"/>
    </row>
    <row r="30" spans="1:15" s="12" customFormat="1" ht="17.75" x14ac:dyDescent="0.45">
      <c r="B30" s="21"/>
      <c r="C30" s="21"/>
      <c r="D30" s="66"/>
      <c r="E30" s="22"/>
      <c r="F30" s="22"/>
      <c r="G30" s="8"/>
    </row>
    <row r="31" spans="1:15" s="12" customFormat="1" ht="17.75" x14ac:dyDescent="0.45">
      <c r="B31" s="21"/>
      <c r="C31" s="21"/>
      <c r="D31" s="66"/>
      <c r="E31" s="22"/>
      <c r="F31" s="22"/>
      <c r="G31" s="8"/>
    </row>
    <row r="32" spans="1:15" s="12" customFormat="1" ht="17.75" x14ac:dyDescent="0.45">
      <c r="B32" s="21"/>
      <c r="C32" s="21"/>
      <c r="D32" s="66"/>
      <c r="E32" s="22"/>
      <c r="F32" s="22"/>
      <c r="G32" s="8"/>
    </row>
    <row r="33" spans="2:7" s="12" customFormat="1" ht="17.75" x14ac:dyDescent="0.45">
      <c r="B33" s="21"/>
      <c r="C33" s="21"/>
      <c r="D33" s="66"/>
      <c r="E33" s="22"/>
      <c r="F33" s="22"/>
      <c r="G33" s="8"/>
    </row>
    <row r="34" spans="2:7" s="12" customFormat="1" ht="17.75" x14ac:dyDescent="0.45">
      <c r="B34" s="21"/>
      <c r="C34" s="21"/>
      <c r="D34" s="66"/>
      <c r="E34" s="22"/>
      <c r="F34" s="22"/>
      <c r="G34" s="8"/>
    </row>
    <row r="35" spans="2:7" s="12" customFormat="1" ht="17.75" x14ac:dyDescent="0.45">
      <c r="B35" s="21"/>
      <c r="C35" s="21"/>
      <c r="D35" s="66"/>
      <c r="E35" s="22"/>
      <c r="F35" s="22"/>
      <c r="G35" s="8"/>
    </row>
    <row r="36" spans="2:7" s="12" customFormat="1" ht="17.75" x14ac:dyDescent="0.45">
      <c r="B36" s="21"/>
      <c r="C36" s="21"/>
      <c r="D36" s="66"/>
      <c r="E36" s="22"/>
      <c r="F36" s="22"/>
      <c r="G36" s="8"/>
    </row>
    <row r="37" spans="2:7" s="12" customFormat="1" ht="17.75" x14ac:dyDescent="0.45">
      <c r="B37" s="21"/>
      <c r="C37" s="21"/>
      <c r="D37" s="66"/>
      <c r="E37" s="22"/>
      <c r="F37" s="22"/>
      <c r="G37" s="8"/>
    </row>
    <row r="38" spans="2:7" s="12" customFormat="1" ht="17.75" x14ac:dyDescent="0.45">
      <c r="B38" s="21"/>
      <c r="C38" s="21"/>
      <c r="D38" s="66"/>
      <c r="E38" s="22"/>
      <c r="F38" s="22"/>
      <c r="G38" s="8"/>
    </row>
  </sheetData>
  <mergeCells count="9">
    <mergeCell ref="B23:D23"/>
    <mergeCell ref="E23:F23"/>
    <mergeCell ref="B24:D24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26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38"/>
  <sheetViews>
    <sheetView workbookViewId="0">
      <selection activeCell="H8" sqref="H8"/>
    </sheetView>
  </sheetViews>
  <sheetFormatPr baseColWidth="10" defaultColWidth="23.69921875" defaultRowHeight="14.55" x14ac:dyDescent="0.35"/>
  <cols>
    <col min="1" max="1" width="6.3984375" style="2" customWidth="1"/>
    <col min="2" max="2" width="37.3984375" style="3" customWidth="1"/>
    <col min="3" max="3" width="23.8984375" style="3" bestFit="1" customWidth="1"/>
    <col min="4" max="4" width="17.3984375" style="67" bestFit="1" customWidth="1"/>
    <col min="5" max="5" width="17.09765625" style="5" customWidth="1"/>
    <col min="6" max="6" width="26.3984375" style="6" customWidth="1"/>
    <col min="7" max="7" width="20.8984375" style="2" bestFit="1" customWidth="1"/>
    <col min="8" max="8" width="22.3984375" style="2" bestFit="1" customWidth="1"/>
    <col min="9" max="16384" width="23.69921875" style="2"/>
  </cols>
  <sheetData>
    <row r="1" spans="1:15" ht="42.75" customHeight="1" x14ac:dyDescent="0.6">
      <c r="C1" s="76" t="s">
        <v>0</v>
      </c>
      <c r="D1" s="76"/>
      <c r="E1" s="76"/>
      <c r="F1" s="76"/>
      <c r="G1" s="76"/>
      <c r="H1" s="76"/>
    </row>
    <row r="2" spans="1:15" ht="38.950000000000003" customHeight="1" x14ac:dyDescent="0.6">
      <c r="B2" s="2"/>
      <c r="C2" s="76" t="s">
        <v>24</v>
      </c>
      <c r="D2" s="76"/>
      <c r="E2" s="76"/>
      <c r="F2" s="76"/>
      <c r="G2" s="76"/>
      <c r="H2" s="76"/>
    </row>
    <row r="3" spans="1:15" ht="24.05" customHeight="1" x14ac:dyDescent="0.55000000000000004">
      <c r="D3" s="61"/>
      <c r="F3" s="24"/>
      <c r="G3" s="32" t="s">
        <v>10</v>
      </c>
      <c r="H3" s="27" t="s">
        <v>12</v>
      </c>
    </row>
    <row r="4" spans="1:15" ht="17.75" x14ac:dyDescent="0.45">
      <c r="B4" s="70" t="s">
        <v>1</v>
      </c>
      <c r="C4" s="70"/>
      <c r="D4" s="70"/>
      <c r="E4" s="35">
        <f>'JUNIO 2025'!H8</f>
        <v>16520</v>
      </c>
      <c r="F4" s="7"/>
      <c r="G4" s="31"/>
    </row>
    <row r="5" spans="1:15" ht="17.75" x14ac:dyDescent="0.45">
      <c r="B5" s="25" t="s">
        <v>13</v>
      </c>
      <c r="C5" s="25"/>
      <c r="D5" s="62"/>
      <c r="E5" s="35">
        <v>36030</v>
      </c>
      <c r="F5" s="7"/>
      <c r="G5" s="31"/>
    </row>
    <row r="6" spans="1:15" ht="17.75" x14ac:dyDescent="0.45">
      <c r="B6" s="70" t="s">
        <v>2</v>
      </c>
      <c r="C6" s="70"/>
      <c r="D6" s="70"/>
      <c r="E6" s="35">
        <v>0</v>
      </c>
      <c r="F6" s="7"/>
    </row>
    <row r="7" spans="1:15" ht="17.75" x14ac:dyDescent="0.45">
      <c r="B7" s="77" t="s">
        <v>3</v>
      </c>
      <c r="C7" s="77"/>
      <c r="D7" s="77"/>
      <c r="E7" s="35">
        <v>100000</v>
      </c>
      <c r="F7" s="7"/>
      <c r="G7" s="26"/>
    </row>
    <row r="8" spans="1:15" ht="17.75" x14ac:dyDescent="0.45">
      <c r="B8" s="78" t="s">
        <v>4</v>
      </c>
      <c r="C8" s="78"/>
      <c r="D8" s="78"/>
      <c r="E8" s="38">
        <f>+G20</f>
        <v>0</v>
      </c>
      <c r="F8" s="7"/>
      <c r="G8" s="29" t="s">
        <v>11</v>
      </c>
      <c r="H8" s="36">
        <f>E7-E8</f>
        <v>100000</v>
      </c>
    </row>
    <row r="9" spans="1:15" s="1" customFormat="1" ht="24.2" x14ac:dyDescent="0.6">
      <c r="D9" s="63"/>
      <c r="E9" s="10"/>
      <c r="F9" s="11"/>
      <c r="G9" s="9"/>
    </row>
    <row r="10" spans="1:15" s="9" customFormat="1" ht="53.2" x14ac:dyDescent="0.45">
      <c r="A10" s="13" t="s">
        <v>5</v>
      </c>
      <c r="B10" s="14" t="s">
        <v>6</v>
      </c>
      <c r="C10" s="14" t="s">
        <v>15</v>
      </c>
      <c r="D10" s="14" t="s">
        <v>21</v>
      </c>
      <c r="E10" s="14" t="s">
        <v>22</v>
      </c>
      <c r="F10" s="30" t="s">
        <v>7</v>
      </c>
      <c r="G10" s="14" t="s">
        <v>8</v>
      </c>
      <c r="H10" s="34" t="s">
        <v>25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/>
      <c r="C11" s="39"/>
      <c r="D11" s="58"/>
      <c r="E11" s="41"/>
      <c r="F11" s="42"/>
      <c r="G11" s="44"/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/>
      <c r="C12" s="39"/>
      <c r="D12" s="58"/>
      <c r="E12" s="41"/>
      <c r="F12" s="42"/>
      <c r="G12" s="44"/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/>
      <c r="C13" s="39"/>
      <c r="D13" s="58"/>
      <c r="E13" s="41"/>
      <c r="F13" s="42"/>
      <c r="G13" s="44"/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/>
      <c r="C14" s="39"/>
      <c r="D14" s="59"/>
      <c r="E14" s="41"/>
      <c r="F14" s="42"/>
      <c r="G14" s="44"/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/>
      <c r="C15" s="39"/>
      <c r="D15" s="58"/>
      <c r="E15" s="41"/>
      <c r="F15" s="40"/>
      <c r="G15" s="44"/>
      <c r="H15" s="43"/>
      <c r="I15" s="12"/>
      <c r="J15" s="12"/>
      <c r="K15" s="12"/>
      <c r="L15" s="12"/>
      <c r="M15" s="12"/>
      <c r="N15" s="12"/>
      <c r="O15" s="12"/>
    </row>
    <row r="16" spans="1:15" ht="31.7" customHeight="1" x14ac:dyDescent="0.45">
      <c r="A16" s="15">
        <v>6</v>
      </c>
      <c r="B16" s="39"/>
      <c r="C16" s="39"/>
      <c r="D16" s="58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58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58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58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s="12" customFormat="1" ht="17.75" x14ac:dyDescent="0.45">
      <c r="B20" s="16" t="s">
        <v>9</v>
      </c>
      <c r="C20" s="33"/>
      <c r="D20" s="64"/>
      <c r="E20" s="17"/>
      <c r="F20" s="17"/>
      <c r="G20" s="45">
        <f>SUM(G11:G19)</f>
        <v>0</v>
      </c>
    </row>
    <row r="21" spans="1:15" s="12" customFormat="1" ht="17.75" x14ac:dyDescent="0.45">
      <c r="B21" s="18"/>
      <c r="C21" s="18"/>
      <c r="D21" s="65"/>
      <c r="E21" s="19"/>
      <c r="F21" s="19"/>
      <c r="G21" s="20"/>
    </row>
    <row r="22" spans="1:15" s="12" customFormat="1" ht="17.75" x14ac:dyDescent="0.45">
      <c r="B22" s="21"/>
      <c r="C22" s="21"/>
      <c r="D22" s="66"/>
      <c r="E22" s="22"/>
      <c r="F22" s="22"/>
      <c r="G22" s="8"/>
    </row>
    <row r="23" spans="1:15" ht="17.75" x14ac:dyDescent="0.45">
      <c r="B23" s="70"/>
      <c r="C23" s="70"/>
      <c r="D23" s="71"/>
      <c r="E23" s="72"/>
      <c r="F23" s="73"/>
    </row>
    <row r="24" spans="1:15" ht="17.75" x14ac:dyDescent="0.45">
      <c r="B24" s="74"/>
      <c r="C24" s="74"/>
      <c r="D24" s="75"/>
      <c r="E24" s="37"/>
      <c r="F24" s="12"/>
      <c r="G24" s="28"/>
    </row>
    <row r="25" spans="1:15" s="12" customFormat="1" ht="17.75" x14ac:dyDescent="0.45">
      <c r="B25" s="21"/>
      <c r="C25" s="21"/>
      <c r="D25" s="66"/>
      <c r="E25" s="22"/>
      <c r="G25" s="8"/>
    </row>
    <row r="26" spans="1:15" s="12" customFormat="1" ht="17.75" x14ac:dyDescent="0.45">
      <c r="B26" s="21"/>
      <c r="C26" s="21"/>
      <c r="D26" s="66"/>
      <c r="E26" s="22"/>
      <c r="F26" s="22"/>
      <c r="G26" s="8"/>
    </row>
    <row r="27" spans="1:15" s="12" customFormat="1" ht="17.75" x14ac:dyDescent="0.45">
      <c r="B27" s="21"/>
      <c r="C27" s="21"/>
      <c r="D27" s="66"/>
      <c r="E27" s="22"/>
      <c r="F27" s="22"/>
      <c r="G27" s="8"/>
    </row>
    <row r="28" spans="1:15" s="12" customFormat="1" ht="17.75" x14ac:dyDescent="0.45">
      <c r="B28" s="21"/>
      <c r="C28" s="21"/>
      <c r="D28" s="66"/>
      <c r="E28" s="22"/>
      <c r="F28" s="22"/>
      <c r="G28" s="8"/>
    </row>
    <row r="29" spans="1:15" s="12" customFormat="1" ht="17.75" x14ac:dyDescent="0.45">
      <c r="B29" s="21"/>
      <c r="C29" s="21"/>
      <c r="D29" s="66"/>
      <c r="E29" s="22"/>
      <c r="F29" s="22"/>
      <c r="G29" s="8"/>
    </row>
    <row r="30" spans="1:15" s="12" customFormat="1" ht="17.75" x14ac:dyDescent="0.45">
      <c r="B30" s="21"/>
      <c r="C30" s="21"/>
      <c r="D30" s="66"/>
      <c r="E30" s="22"/>
      <c r="F30" s="22"/>
      <c r="G30" s="8"/>
    </row>
    <row r="31" spans="1:15" s="12" customFormat="1" ht="17.75" x14ac:dyDescent="0.45">
      <c r="B31" s="21"/>
      <c r="C31" s="21"/>
      <c r="D31" s="66"/>
      <c r="E31" s="22"/>
      <c r="F31" s="22"/>
      <c r="G31" s="8"/>
    </row>
    <row r="32" spans="1:15" s="12" customFormat="1" ht="17.75" x14ac:dyDescent="0.45">
      <c r="B32" s="21"/>
      <c r="C32" s="21"/>
      <c r="D32" s="66"/>
      <c r="E32" s="22"/>
      <c r="F32" s="22"/>
      <c r="G32" s="8"/>
    </row>
    <row r="33" spans="2:7" s="12" customFormat="1" ht="17.75" x14ac:dyDescent="0.45">
      <c r="B33" s="21"/>
      <c r="C33" s="21"/>
      <c r="D33" s="66"/>
      <c r="E33" s="22"/>
      <c r="F33" s="22"/>
      <c r="G33" s="8"/>
    </row>
    <row r="34" spans="2:7" s="12" customFormat="1" ht="17.75" x14ac:dyDescent="0.45">
      <c r="B34" s="21"/>
      <c r="C34" s="21"/>
      <c r="D34" s="66"/>
      <c r="E34" s="22"/>
      <c r="F34" s="22"/>
      <c r="G34" s="8"/>
    </row>
    <row r="35" spans="2:7" s="12" customFormat="1" ht="17.75" x14ac:dyDescent="0.45">
      <c r="B35" s="21"/>
      <c r="C35" s="21"/>
      <c r="D35" s="66"/>
      <c r="E35" s="22"/>
      <c r="F35" s="22"/>
      <c r="G35" s="8"/>
    </row>
    <row r="36" spans="2:7" s="12" customFormat="1" ht="17.75" x14ac:dyDescent="0.45">
      <c r="B36" s="21"/>
      <c r="C36" s="21"/>
      <c r="D36" s="66"/>
      <c r="E36" s="22"/>
      <c r="F36" s="22"/>
      <c r="G36" s="8"/>
    </row>
    <row r="37" spans="2:7" s="12" customFormat="1" ht="17.75" x14ac:dyDescent="0.45">
      <c r="B37" s="21"/>
      <c r="C37" s="21"/>
      <c r="D37" s="66"/>
      <c r="E37" s="22"/>
      <c r="F37" s="22"/>
      <c r="G37" s="8"/>
    </row>
    <row r="38" spans="2:7" s="12" customFormat="1" ht="17.75" x14ac:dyDescent="0.45">
      <c r="B38" s="21"/>
      <c r="C38" s="21"/>
      <c r="D38" s="66"/>
      <c r="E38" s="22"/>
      <c r="F38" s="22"/>
      <c r="G38" s="8"/>
    </row>
  </sheetData>
  <mergeCells count="9">
    <mergeCell ref="B23:D23"/>
    <mergeCell ref="E23:F23"/>
    <mergeCell ref="B24:D24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O38"/>
  <sheetViews>
    <sheetView workbookViewId="0">
      <selection activeCell="I7" sqref="I7"/>
    </sheetView>
  </sheetViews>
  <sheetFormatPr baseColWidth="10" defaultColWidth="23.69921875" defaultRowHeight="14.55" x14ac:dyDescent="0.35"/>
  <cols>
    <col min="1" max="1" width="6.3984375" style="2" customWidth="1"/>
    <col min="2" max="2" width="37.3984375" style="3" customWidth="1"/>
    <col min="3" max="3" width="23.8984375" style="3" bestFit="1" customWidth="1"/>
    <col min="4" max="4" width="17.3984375" style="67" bestFit="1" customWidth="1"/>
    <col min="5" max="5" width="17.09765625" style="5" customWidth="1"/>
    <col min="6" max="6" width="26.3984375" style="6" customWidth="1"/>
    <col min="7" max="7" width="20.8984375" style="2" bestFit="1" customWidth="1"/>
    <col min="8" max="8" width="22.3984375" style="2" bestFit="1" customWidth="1"/>
    <col min="9" max="16384" width="23.69921875" style="2"/>
  </cols>
  <sheetData>
    <row r="1" spans="1:15" ht="42.75" customHeight="1" x14ac:dyDescent="0.6">
      <c r="C1" s="76" t="s">
        <v>0</v>
      </c>
      <c r="D1" s="76"/>
      <c r="E1" s="76"/>
      <c r="F1" s="76"/>
      <c r="G1" s="76"/>
      <c r="H1" s="76"/>
    </row>
    <row r="2" spans="1:15" ht="38.950000000000003" customHeight="1" x14ac:dyDescent="0.6">
      <c r="B2" s="2"/>
      <c r="C2" s="76" t="s">
        <v>24</v>
      </c>
      <c r="D2" s="76"/>
      <c r="E2" s="76"/>
      <c r="F2" s="76"/>
      <c r="G2" s="76"/>
      <c r="H2" s="76"/>
    </row>
    <row r="3" spans="1:15" ht="24.05" customHeight="1" x14ac:dyDescent="0.55000000000000004">
      <c r="D3" s="61"/>
      <c r="F3" s="24"/>
      <c r="G3" s="32" t="s">
        <v>10</v>
      </c>
      <c r="H3" s="27" t="s">
        <v>14</v>
      </c>
    </row>
    <row r="4" spans="1:15" ht="17.75" x14ac:dyDescent="0.45">
      <c r="B4" s="70" t="s">
        <v>1</v>
      </c>
      <c r="C4" s="70"/>
      <c r="D4" s="70"/>
      <c r="E4" s="35">
        <f>'JULIO 2025'!H8</f>
        <v>100000</v>
      </c>
      <c r="F4" s="7"/>
      <c r="G4" s="31"/>
    </row>
    <row r="5" spans="1:15" ht="17.75" x14ac:dyDescent="0.45">
      <c r="B5" s="25" t="s">
        <v>13</v>
      </c>
      <c r="C5" s="25"/>
      <c r="D5" s="62"/>
      <c r="E5" s="35">
        <v>83480</v>
      </c>
      <c r="F5" s="7"/>
      <c r="G5" s="31"/>
    </row>
    <row r="6" spans="1:15" ht="17.75" x14ac:dyDescent="0.45">
      <c r="B6" s="70" t="s">
        <v>2</v>
      </c>
      <c r="C6" s="70"/>
      <c r="D6" s="70"/>
      <c r="E6" s="35">
        <v>0</v>
      </c>
      <c r="F6" s="7"/>
    </row>
    <row r="7" spans="1:15" ht="17.75" x14ac:dyDescent="0.45">
      <c r="B7" s="77" t="s">
        <v>3</v>
      </c>
      <c r="C7" s="77"/>
      <c r="D7" s="77"/>
      <c r="E7" s="35">
        <v>100000</v>
      </c>
      <c r="F7" s="7"/>
      <c r="G7" s="26"/>
    </row>
    <row r="8" spans="1:15" ht="17.75" x14ac:dyDescent="0.45">
      <c r="B8" s="78" t="s">
        <v>4</v>
      </c>
      <c r="C8" s="78"/>
      <c r="D8" s="78"/>
      <c r="E8" s="38">
        <f>+G20</f>
        <v>53630</v>
      </c>
      <c r="F8" s="7"/>
      <c r="G8" s="29" t="s">
        <v>11</v>
      </c>
      <c r="H8" s="36">
        <f>E7-E8</f>
        <v>46370</v>
      </c>
    </row>
    <row r="9" spans="1:15" s="1" customFormat="1" ht="24.2" x14ac:dyDescent="0.6">
      <c r="D9" s="63"/>
      <c r="E9" s="10"/>
      <c r="F9" s="11"/>
      <c r="G9" s="9"/>
    </row>
    <row r="10" spans="1:15" s="9" customFormat="1" ht="53.2" x14ac:dyDescent="0.45">
      <c r="A10" s="13" t="s">
        <v>5</v>
      </c>
      <c r="B10" s="14" t="s">
        <v>6</v>
      </c>
      <c r="C10" s="14" t="s">
        <v>15</v>
      </c>
      <c r="D10" s="14" t="s">
        <v>21</v>
      </c>
      <c r="E10" s="14" t="s">
        <v>22</v>
      </c>
      <c r="F10" s="30" t="s">
        <v>7</v>
      </c>
      <c r="G10" s="14" t="s">
        <v>8</v>
      </c>
      <c r="H10" s="34" t="s">
        <v>25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45862</v>
      </c>
      <c r="C11" s="39" t="s">
        <v>40</v>
      </c>
      <c r="D11" s="58">
        <v>25071803028</v>
      </c>
      <c r="E11" s="41"/>
      <c r="F11" s="42" t="s">
        <v>91</v>
      </c>
      <c r="G11" s="44">
        <v>5990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45867</v>
      </c>
      <c r="C12" s="39" t="s">
        <v>40</v>
      </c>
      <c r="D12" s="58">
        <v>786397742</v>
      </c>
      <c r="E12" s="41"/>
      <c r="F12" s="42" t="s">
        <v>92</v>
      </c>
      <c r="G12" s="44">
        <v>3150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45868</v>
      </c>
      <c r="C13" s="39" t="s">
        <v>40</v>
      </c>
      <c r="D13" s="58">
        <v>21786</v>
      </c>
      <c r="E13" s="41"/>
      <c r="F13" s="42" t="s">
        <v>93</v>
      </c>
      <c r="G13" s="44">
        <v>10500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45868</v>
      </c>
      <c r="C14" s="39" t="s">
        <v>44</v>
      </c>
      <c r="D14" s="59">
        <v>16083</v>
      </c>
      <c r="E14" s="41"/>
      <c r="F14" s="42" t="s">
        <v>69</v>
      </c>
      <c r="G14" s="44">
        <v>18000</v>
      </c>
      <c r="H14" s="43"/>
      <c r="I14" s="12"/>
      <c r="J14" s="12"/>
      <c r="K14" s="12"/>
      <c r="L14" s="12"/>
      <c r="M14" s="12"/>
      <c r="N14" s="12"/>
      <c r="O14" s="12"/>
    </row>
    <row r="15" spans="1:15" ht="34.4" x14ac:dyDescent="0.45">
      <c r="A15" s="15">
        <v>5</v>
      </c>
      <c r="B15" s="39">
        <v>45879</v>
      </c>
      <c r="C15" s="39" t="s">
        <v>40</v>
      </c>
      <c r="D15" s="58">
        <v>797086966</v>
      </c>
      <c r="E15" s="41"/>
      <c r="F15" s="40" t="s">
        <v>94</v>
      </c>
      <c r="G15" s="44">
        <v>15990</v>
      </c>
      <c r="H15" s="43"/>
      <c r="I15" s="12"/>
      <c r="J15" s="12"/>
      <c r="K15" s="12"/>
      <c r="L15" s="12"/>
      <c r="M15" s="12"/>
      <c r="N15" s="12"/>
      <c r="O15" s="12"/>
    </row>
    <row r="16" spans="1:15" ht="31.7" customHeight="1" x14ac:dyDescent="0.45">
      <c r="A16" s="15">
        <v>6</v>
      </c>
      <c r="B16" s="39"/>
      <c r="C16" s="39"/>
      <c r="D16" s="58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58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58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58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s="12" customFormat="1" ht="17.75" x14ac:dyDescent="0.45">
      <c r="B20" s="16" t="s">
        <v>9</v>
      </c>
      <c r="C20" s="33"/>
      <c r="D20" s="64"/>
      <c r="E20" s="17"/>
      <c r="F20" s="17"/>
      <c r="G20" s="45">
        <f>SUM(G11:G19)</f>
        <v>53630</v>
      </c>
    </row>
    <row r="21" spans="1:15" s="12" customFormat="1" ht="17.75" x14ac:dyDescent="0.45">
      <c r="B21" s="18"/>
      <c r="C21" s="18"/>
      <c r="D21" s="65"/>
      <c r="E21" s="19"/>
      <c r="F21" s="19"/>
      <c r="G21" s="20"/>
    </row>
    <row r="22" spans="1:15" s="12" customFormat="1" ht="17.75" x14ac:dyDescent="0.45">
      <c r="B22" s="21"/>
      <c r="C22" s="21"/>
      <c r="D22" s="66"/>
      <c r="E22" s="22"/>
      <c r="F22" s="22"/>
      <c r="G22" s="8"/>
    </row>
    <row r="23" spans="1:15" ht="17.75" x14ac:dyDescent="0.45">
      <c r="B23" s="70"/>
      <c r="C23" s="70"/>
      <c r="D23" s="71"/>
      <c r="E23" s="72"/>
      <c r="F23" s="73"/>
    </row>
    <row r="24" spans="1:15" ht="17.75" x14ac:dyDescent="0.45">
      <c r="B24" s="74"/>
      <c r="C24" s="74"/>
      <c r="D24" s="75"/>
      <c r="E24" s="37"/>
      <c r="F24" s="12"/>
      <c r="G24" s="28"/>
    </row>
    <row r="25" spans="1:15" s="12" customFormat="1" ht="17.75" x14ac:dyDescent="0.45">
      <c r="B25" s="21"/>
      <c r="C25" s="21"/>
      <c r="D25" s="66"/>
      <c r="E25" s="22"/>
      <c r="G25" s="8"/>
    </row>
    <row r="26" spans="1:15" s="12" customFormat="1" ht="17.75" x14ac:dyDescent="0.45">
      <c r="B26" s="21"/>
      <c r="C26" s="21"/>
      <c r="D26" s="66"/>
      <c r="E26" s="22"/>
      <c r="F26" s="22"/>
      <c r="G26" s="8"/>
    </row>
    <row r="27" spans="1:15" s="12" customFormat="1" ht="17.75" x14ac:dyDescent="0.45">
      <c r="B27" s="21"/>
      <c r="C27" s="21"/>
      <c r="D27" s="66"/>
      <c r="E27" s="22"/>
      <c r="F27" s="22"/>
      <c r="G27" s="8"/>
    </row>
    <row r="28" spans="1:15" s="12" customFormat="1" ht="17.75" x14ac:dyDescent="0.45">
      <c r="B28" s="21"/>
      <c r="C28" s="21"/>
      <c r="D28" s="66"/>
      <c r="E28" s="22"/>
      <c r="F28" s="22"/>
      <c r="G28" s="8"/>
    </row>
    <row r="29" spans="1:15" s="12" customFormat="1" ht="17.75" x14ac:dyDescent="0.45">
      <c r="B29" s="21"/>
      <c r="C29" s="21"/>
      <c r="D29" s="66"/>
      <c r="E29" s="22"/>
      <c r="F29" s="22"/>
      <c r="G29" s="8"/>
    </row>
    <row r="30" spans="1:15" s="12" customFormat="1" ht="17.75" x14ac:dyDescent="0.45">
      <c r="B30" s="21"/>
      <c r="C30" s="21"/>
      <c r="D30" s="66"/>
      <c r="E30" s="22"/>
      <c r="F30" s="22"/>
      <c r="G30" s="8"/>
    </row>
    <row r="31" spans="1:15" s="12" customFormat="1" ht="17.75" x14ac:dyDescent="0.45">
      <c r="B31" s="21"/>
      <c r="C31" s="21"/>
      <c r="D31" s="66"/>
      <c r="E31" s="22"/>
      <c r="F31" s="22"/>
      <c r="G31" s="8"/>
    </row>
    <row r="32" spans="1:15" s="12" customFormat="1" ht="17.75" x14ac:dyDescent="0.45">
      <c r="B32" s="21"/>
      <c r="C32" s="21"/>
      <c r="D32" s="66"/>
      <c r="E32" s="22"/>
      <c r="F32" s="22"/>
      <c r="G32" s="8"/>
    </row>
    <row r="33" spans="2:7" s="12" customFormat="1" ht="17.75" x14ac:dyDescent="0.45">
      <c r="B33" s="21"/>
      <c r="C33" s="21"/>
      <c r="D33" s="66"/>
      <c r="E33" s="22"/>
      <c r="F33" s="22"/>
      <c r="G33" s="8"/>
    </row>
    <row r="34" spans="2:7" s="12" customFormat="1" ht="17.75" x14ac:dyDescent="0.45">
      <c r="B34" s="21"/>
      <c r="C34" s="21"/>
      <c r="D34" s="66"/>
      <c r="E34" s="22"/>
      <c r="F34" s="22"/>
      <c r="G34" s="8"/>
    </row>
    <row r="35" spans="2:7" s="12" customFormat="1" ht="17.75" x14ac:dyDescent="0.45">
      <c r="B35" s="21"/>
      <c r="C35" s="21"/>
      <c r="D35" s="66"/>
      <c r="E35" s="22"/>
      <c r="F35" s="22"/>
      <c r="G35" s="8"/>
    </row>
    <row r="36" spans="2:7" s="12" customFormat="1" ht="17.75" x14ac:dyDescent="0.45">
      <c r="B36" s="21"/>
      <c r="C36" s="21"/>
      <c r="D36" s="66"/>
      <c r="E36" s="22"/>
      <c r="F36" s="22"/>
      <c r="G36" s="8"/>
    </row>
    <row r="37" spans="2:7" s="12" customFormat="1" ht="17.75" x14ac:dyDescent="0.45">
      <c r="B37" s="21"/>
      <c r="C37" s="21"/>
      <c r="D37" s="66"/>
      <c r="E37" s="22"/>
      <c r="F37" s="22"/>
      <c r="G37" s="8"/>
    </row>
    <row r="38" spans="2:7" s="12" customFormat="1" ht="17.75" x14ac:dyDescent="0.45">
      <c r="B38" s="21"/>
      <c r="C38" s="21"/>
      <c r="D38" s="66"/>
      <c r="E38" s="22"/>
      <c r="F38" s="22"/>
      <c r="G38" s="8"/>
    </row>
  </sheetData>
  <mergeCells count="9">
    <mergeCell ref="B23:D23"/>
    <mergeCell ref="E23:F23"/>
    <mergeCell ref="B24:D24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26" fitToHeight="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O38"/>
  <sheetViews>
    <sheetView workbookViewId="0">
      <selection activeCell="J6" sqref="J6"/>
    </sheetView>
  </sheetViews>
  <sheetFormatPr baseColWidth="10" defaultColWidth="23.69921875" defaultRowHeight="14.55" x14ac:dyDescent="0.35"/>
  <cols>
    <col min="1" max="1" width="6.3984375" style="2" customWidth="1"/>
    <col min="2" max="2" width="36.09765625" style="3" bestFit="1" customWidth="1"/>
    <col min="3" max="3" width="23.8984375" style="3" bestFit="1" customWidth="1"/>
    <col min="4" max="4" width="17.3984375" style="67" bestFit="1" customWidth="1"/>
    <col min="5" max="5" width="14.296875" style="5" bestFit="1" customWidth="1"/>
    <col min="6" max="6" width="30.3984375" style="6" customWidth="1"/>
    <col min="7" max="7" width="20.8984375" style="2" bestFit="1" customWidth="1"/>
    <col min="8" max="8" width="22.3984375" style="2" bestFit="1" customWidth="1"/>
    <col min="9" max="16384" width="23.69921875" style="2"/>
  </cols>
  <sheetData>
    <row r="1" spans="1:15" ht="42.75" customHeight="1" x14ac:dyDescent="0.6">
      <c r="C1" s="76" t="s">
        <v>0</v>
      </c>
      <c r="D1" s="76"/>
      <c r="E1" s="76"/>
      <c r="F1" s="76"/>
      <c r="G1" s="76"/>
      <c r="H1" s="76"/>
    </row>
    <row r="2" spans="1:15" ht="38.950000000000003" customHeight="1" x14ac:dyDescent="0.6">
      <c r="B2" s="2"/>
      <c r="C2" s="76" t="s">
        <v>24</v>
      </c>
      <c r="D2" s="76"/>
      <c r="E2" s="76"/>
      <c r="F2" s="76"/>
      <c r="G2" s="76"/>
      <c r="H2" s="76"/>
    </row>
    <row r="3" spans="1:15" ht="24.05" customHeight="1" x14ac:dyDescent="0.55000000000000004">
      <c r="D3" s="61"/>
      <c r="F3" s="24"/>
      <c r="G3" s="32" t="s">
        <v>10</v>
      </c>
      <c r="H3" s="27" t="s">
        <v>17</v>
      </c>
    </row>
    <row r="4" spans="1:15" ht="17.75" x14ac:dyDescent="0.45">
      <c r="B4" s="70" t="s">
        <v>1</v>
      </c>
      <c r="C4" s="70"/>
      <c r="D4" s="70"/>
      <c r="E4" s="35">
        <f>'AGOSTO 2025'!H8</f>
        <v>46370</v>
      </c>
      <c r="F4" s="7"/>
      <c r="G4" s="31"/>
    </row>
    <row r="5" spans="1:15" ht="17.75" x14ac:dyDescent="0.45">
      <c r="B5" s="25" t="s">
        <v>13</v>
      </c>
      <c r="C5" s="25"/>
      <c r="D5" s="62"/>
      <c r="E5" s="35">
        <v>53630</v>
      </c>
      <c r="F5" s="7"/>
      <c r="G5" s="31"/>
    </row>
    <row r="6" spans="1:15" ht="17.75" x14ac:dyDescent="0.45">
      <c r="B6" s="70" t="s">
        <v>2</v>
      </c>
      <c r="C6" s="70"/>
      <c r="D6" s="70"/>
      <c r="E6" s="35">
        <v>0</v>
      </c>
      <c r="F6" s="7"/>
    </row>
    <row r="7" spans="1:15" ht="17.75" x14ac:dyDescent="0.45">
      <c r="B7" s="77" t="s">
        <v>3</v>
      </c>
      <c r="C7" s="77"/>
      <c r="D7" s="77"/>
      <c r="E7" s="35">
        <v>100000</v>
      </c>
      <c r="F7" s="7"/>
      <c r="G7" s="26"/>
    </row>
    <row r="8" spans="1:15" ht="17.75" x14ac:dyDescent="0.45">
      <c r="B8" s="78" t="s">
        <v>4</v>
      </c>
      <c r="C8" s="78"/>
      <c r="D8" s="78"/>
      <c r="E8" s="38">
        <f>+G20</f>
        <v>67710</v>
      </c>
      <c r="F8" s="7"/>
      <c r="G8" s="29" t="s">
        <v>11</v>
      </c>
      <c r="H8" s="36">
        <f>E7-E8</f>
        <v>32290</v>
      </c>
    </row>
    <row r="9" spans="1:15" s="1" customFormat="1" ht="24.2" x14ac:dyDescent="0.6">
      <c r="D9" s="63"/>
      <c r="E9" s="10"/>
      <c r="F9" s="11"/>
      <c r="G9" s="9"/>
    </row>
    <row r="10" spans="1:15" s="9" customFormat="1" ht="53.2" x14ac:dyDescent="0.45">
      <c r="A10" s="13" t="s">
        <v>5</v>
      </c>
      <c r="B10" s="14" t="s">
        <v>6</v>
      </c>
      <c r="C10" s="14" t="s">
        <v>15</v>
      </c>
      <c r="D10" s="14" t="s">
        <v>21</v>
      </c>
      <c r="E10" s="14" t="s">
        <v>22</v>
      </c>
      <c r="F10" s="30" t="s">
        <v>7</v>
      </c>
      <c r="G10" s="14" t="s">
        <v>8</v>
      </c>
      <c r="H10" s="34" t="s">
        <v>25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45898</v>
      </c>
      <c r="C11" s="39" t="s">
        <v>95</v>
      </c>
      <c r="D11" s="58">
        <v>16247</v>
      </c>
      <c r="E11" s="41" t="s">
        <v>59</v>
      </c>
      <c r="F11" s="42" t="s">
        <v>98</v>
      </c>
      <c r="G11" s="44">
        <v>18000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45904</v>
      </c>
      <c r="C12" s="39" t="s">
        <v>96</v>
      </c>
      <c r="D12" s="58">
        <v>789722563</v>
      </c>
      <c r="E12" s="41" t="s">
        <v>97</v>
      </c>
      <c r="F12" s="42" t="s">
        <v>99</v>
      </c>
      <c r="G12" s="44">
        <v>4690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45906</v>
      </c>
      <c r="C13" s="39" t="s">
        <v>40</v>
      </c>
      <c r="D13" s="58">
        <v>22212</v>
      </c>
      <c r="E13" s="41" t="s">
        <v>105</v>
      </c>
      <c r="F13" s="42" t="s">
        <v>106</v>
      </c>
      <c r="G13" s="44">
        <v>10500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45916</v>
      </c>
      <c r="C14" s="39" t="s">
        <v>40</v>
      </c>
      <c r="D14" s="58">
        <v>236719</v>
      </c>
      <c r="E14" s="41"/>
      <c r="F14" s="42" t="s">
        <v>100</v>
      </c>
      <c r="G14" s="44">
        <v>16200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>
        <v>45916</v>
      </c>
      <c r="C15" s="39" t="s">
        <v>61</v>
      </c>
      <c r="D15" s="59">
        <v>34</v>
      </c>
      <c r="E15" s="41"/>
      <c r="F15" s="42" t="s">
        <v>101</v>
      </c>
      <c r="G15" s="44">
        <v>8320</v>
      </c>
      <c r="H15" s="43"/>
      <c r="I15" s="12"/>
      <c r="J15" s="12"/>
      <c r="K15" s="12"/>
      <c r="L15" s="12"/>
      <c r="M15" s="12"/>
      <c r="N15" s="12"/>
      <c r="O15" s="12"/>
    </row>
    <row r="16" spans="1:15" ht="34.4" x14ac:dyDescent="0.45">
      <c r="A16" s="15">
        <v>6</v>
      </c>
      <c r="B16" s="39">
        <v>45920</v>
      </c>
      <c r="C16" s="39" t="s">
        <v>40</v>
      </c>
      <c r="D16" s="58">
        <v>786409160</v>
      </c>
      <c r="E16" s="41" t="s">
        <v>97</v>
      </c>
      <c r="F16" s="40" t="s">
        <v>102</v>
      </c>
      <c r="G16" s="44">
        <v>5010</v>
      </c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>
        <v>45922</v>
      </c>
      <c r="C17" s="39" t="s">
        <v>40</v>
      </c>
      <c r="D17" s="58">
        <v>16498489</v>
      </c>
      <c r="E17" s="41" t="s">
        <v>103</v>
      </c>
      <c r="F17" s="42" t="s">
        <v>104</v>
      </c>
      <c r="G17" s="44">
        <v>4990</v>
      </c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58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58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s="12" customFormat="1" ht="17.75" x14ac:dyDescent="0.45">
      <c r="B20" s="16" t="s">
        <v>9</v>
      </c>
      <c r="C20" s="33"/>
      <c r="D20" s="64"/>
      <c r="E20" s="17"/>
      <c r="F20" s="17"/>
      <c r="G20" s="45">
        <f>SUM(G11:G19)</f>
        <v>67710</v>
      </c>
    </row>
    <row r="21" spans="1:15" s="12" customFormat="1" ht="17.75" x14ac:dyDescent="0.45">
      <c r="B21" s="18"/>
      <c r="C21" s="18"/>
      <c r="D21" s="65"/>
      <c r="E21" s="19"/>
      <c r="F21" s="19"/>
      <c r="G21" s="20"/>
    </row>
    <row r="22" spans="1:15" s="12" customFormat="1" ht="17.75" x14ac:dyDescent="0.45">
      <c r="B22" s="21"/>
      <c r="C22" s="21"/>
      <c r="D22" s="66"/>
      <c r="E22" s="22"/>
      <c r="F22" s="22"/>
      <c r="G22" s="8"/>
    </row>
    <row r="23" spans="1:15" ht="17.75" x14ac:dyDescent="0.45">
      <c r="B23" s="70"/>
      <c r="C23" s="70"/>
      <c r="D23" s="71"/>
      <c r="E23" s="72"/>
      <c r="F23" s="73"/>
    </row>
    <row r="24" spans="1:15" ht="17.75" x14ac:dyDescent="0.45">
      <c r="B24" s="74"/>
      <c r="C24" s="74"/>
      <c r="D24" s="75"/>
      <c r="E24" s="37"/>
      <c r="F24" s="12"/>
      <c r="G24" s="28"/>
    </row>
    <row r="25" spans="1:15" s="12" customFormat="1" ht="17.75" x14ac:dyDescent="0.45">
      <c r="B25" s="21"/>
      <c r="C25" s="21"/>
      <c r="D25" s="66"/>
      <c r="E25" s="22"/>
      <c r="G25" s="8"/>
    </row>
    <row r="26" spans="1:15" s="12" customFormat="1" ht="17.75" x14ac:dyDescent="0.45">
      <c r="B26" s="21"/>
      <c r="C26" s="21"/>
      <c r="D26" s="66"/>
      <c r="E26" s="22"/>
      <c r="F26" s="22"/>
      <c r="G26" s="8"/>
    </row>
    <row r="27" spans="1:15" s="12" customFormat="1" ht="17.75" x14ac:dyDescent="0.45">
      <c r="B27" s="21"/>
      <c r="C27" s="21"/>
      <c r="D27" s="66"/>
      <c r="E27" s="22"/>
      <c r="F27" s="22"/>
      <c r="G27" s="8"/>
    </row>
    <row r="28" spans="1:15" s="12" customFormat="1" ht="17.75" x14ac:dyDescent="0.45">
      <c r="B28" s="21"/>
      <c r="C28" s="21"/>
      <c r="D28" s="66"/>
      <c r="E28" s="22"/>
      <c r="F28" s="22"/>
      <c r="G28" s="8"/>
    </row>
    <row r="29" spans="1:15" s="12" customFormat="1" ht="17.75" x14ac:dyDescent="0.45">
      <c r="B29" s="21"/>
      <c r="C29" s="21"/>
      <c r="D29" s="66"/>
      <c r="E29" s="22"/>
      <c r="F29" s="22"/>
      <c r="G29" s="8"/>
    </row>
    <row r="30" spans="1:15" s="12" customFormat="1" ht="17.75" x14ac:dyDescent="0.45">
      <c r="B30" s="21"/>
      <c r="C30" s="21"/>
      <c r="D30" s="66"/>
      <c r="E30" s="22"/>
      <c r="F30" s="22"/>
      <c r="G30" s="8"/>
    </row>
    <row r="31" spans="1:15" s="12" customFormat="1" ht="17.75" x14ac:dyDescent="0.45">
      <c r="B31" s="21"/>
      <c r="C31" s="21"/>
      <c r="D31" s="66"/>
      <c r="E31" s="22"/>
      <c r="F31" s="22"/>
      <c r="G31" s="8"/>
    </row>
    <row r="32" spans="1:15" s="12" customFormat="1" ht="17.75" x14ac:dyDescent="0.45">
      <c r="B32" s="21"/>
      <c r="C32" s="21"/>
      <c r="D32" s="66"/>
      <c r="E32" s="22"/>
      <c r="F32" s="22"/>
      <c r="G32" s="8"/>
    </row>
    <row r="33" spans="2:7" s="12" customFormat="1" ht="17.75" x14ac:dyDescent="0.45">
      <c r="B33" s="21"/>
      <c r="C33" s="21"/>
      <c r="D33" s="66"/>
      <c r="E33" s="22"/>
      <c r="F33" s="22"/>
      <c r="G33" s="8"/>
    </row>
    <row r="34" spans="2:7" s="12" customFormat="1" ht="17.75" x14ac:dyDescent="0.45">
      <c r="B34" s="21"/>
      <c r="C34" s="21"/>
      <c r="D34" s="66"/>
      <c r="E34" s="22"/>
      <c r="F34" s="22"/>
      <c r="G34" s="8"/>
    </row>
    <row r="35" spans="2:7" s="12" customFormat="1" ht="17.75" x14ac:dyDescent="0.45">
      <c r="B35" s="21"/>
      <c r="C35" s="21"/>
      <c r="D35" s="66"/>
      <c r="E35" s="22"/>
      <c r="F35" s="22"/>
      <c r="G35" s="8"/>
    </row>
    <row r="36" spans="2:7" s="12" customFormat="1" ht="17.75" x14ac:dyDescent="0.45">
      <c r="B36" s="21"/>
      <c r="C36" s="21"/>
      <c r="D36" s="66"/>
      <c r="E36" s="22"/>
      <c r="F36" s="22"/>
      <c r="G36" s="8"/>
    </row>
    <row r="37" spans="2:7" s="12" customFormat="1" ht="17.75" x14ac:dyDescent="0.45">
      <c r="B37" s="21"/>
      <c r="C37" s="21"/>
      <c r="D37" s="66"/>
      <c r="E37" s="22"/>
      <c r="F37" s="22"/>
      <c r="G37" s="8"/>
    </row>
    <row r="38" spans="2:7" s="12" customFormat="1" ht="17.75" x14ac:dyDescent="0.45">
      <c r="B38" s="21"/>
      <c r="C38" s="21"/>
      <c r="D38" s="66"/>
      <c r="E38" s="22"/>
      <c r="F38" s="22"/>
      <c r="G38" s="8"/>
    </row>
  </sheetData>
  <mergeCells count="9">
    <mergeCell ref="B23:D23"/>
    <mergeCell ref="E23:F23"/>
    <mergeCell ref="B24:D24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26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O38"/>
  <sheetViews>
    <sheetView workbookViewId="0">
      <selection activeCell="H21" sqref="H21"/>
    </sheetView>
  </sheetViews>
  <sheetFormatPr baseColWidth="10" defaultColWidth="23.69921875" defaultRowHeight="14.55" x14ac:dyDescent="0.35"/>
  <cols>
    <col min="1" max="1" width="6.3984375" style="2" customWidth="1"/>
    <col min="2" max="2" width="36.09765625" style="3" bestFit="1" customWidth="1"/>
    <col min="3" max="3" width="23.8984375" style="3" bestFit="1" customWidth="1"/>
    <col min="4" max="4" width="17.3984375" style="67" bestFit="1" customWidth="1"/>
    <col min="5" max="5" width="14.296875" style="5" bestFit="1" customWidth="1"/>
    <col min="6" max="6" width="30.3984375" style="6" customWidth="1"/>
    <col min="7" max="7" width="20.8984375" style="2" bestFit="1" customWidth="1"/>
    <col min="8" max="8" width="22.3984375" style="2" bestFit="1" customWidth="1"/>
    <col min="9" max="16384" width="23.69921875" style="2"/>
  </cols>
  <sheetData>
    <row r="1" spans="1:15" ht="42.75" customHeight="1" x14ac:dyDescent="0.6">
      <c r="C1" s="76" t="s">
        <v>0</v>
      </c>
      <c r="D1" s="76"/>
      <c r="E1" s="76"/>
      <c r="F1" s="76"/>
      <c r="G1" s="76"/>
      <c r="H1" s="76"/>
    </row>
    <row r="2" spans="1:15" ht="38.950000000000003" customHeight="1" x14ac:dyDescent="0.6">
      <c r="B2" s="2"/>
      <c r="C2" s="76" t="s">
        <v>24</v>
      </c>
      <c r="D2" s="76"/>
      <c r="E2" s="76"/>
      <c r="F2" s="76"/>
      <c r="G2" s="76"/>
      <c r="H2" s="76"/>
    </row>
    <row r="3" spans="1:15" ht="24.05" customHeight="1" x14ac:dyDescent="0.55000000000000004">
      <c r="D3" s="61"/>
      <c r="F3" s="24"/>
      <c r="G3" s="32" t="s">
        <v>10</v>
      </c>
      <c r="H3" s="27" t="s">
        <v>18</v>
      </c>
    </row>
    <row r="4" spans="1:15" ht="17.75" x14ac:dyDescent="0.45">
      <c r="B4" s="70" t="s">
        <v>1</v>
      </c>
      <c r="C4" s="70"/>
      <c r="D4" s="70"/>
      <c r="E4" s="35">
        <f>'SEPTIEMBRE 2025'!H8</f>
        <v>32290</v>
      </c>
      <c r="F4" s="7"/>
      <c r="G4" s="31"/>
    </row>
    <row r="5" spans="1:15" ht="17.75" x14ac:dyDescent="0.45">
      <c r="B5" s="25" t="s">
        <v>13</v>
      </c>
      <c r="C5" s="25"/>
      <c r="D5" s="62"/>
      <c r="E5" s="35">
        <v>67710</v>
      </c>
      <c r="F5" s="7"/>
      <c r="G5" s="31"/>
    </row>
    <row r="6" spans="1:15" ht="17.75" x14ac:dyDescent="0.45">
      <c r="B6" s="70" t="s">
        <v>2</v>
      </c>
      <c r="C6" s="70"/>
      <c r="D6" s="70"/>
      <c r="E6" s="35">
        <v>0</v>
      </c>
      <c r="F6" s="7"/>
    </row>
    <row r="7" spans="1:15" ht="17.75" x14ac:dyDescent="0.45">
      <c r="B7" s="77" t="s">
        <v>3</v>
      </c>
      <c r="C7" s="77"/>
      <c r="D7" s="77"/>
      <c r="E7" s="35">
        <v>100000</v>
      </c>
      <c r="F7" s="7"/>
      <c r="G7" s="26"/>
    </row>
    <row r="8" spans="1:15" ht="17.75" x14ac:dyDescent="0.45">
      <c r="B8" s="78" t="s">
        <v>4</v>
      </c>
      <c r="C8" s="78"/>
      <c r="D8" s="78"/>
      <c r="E8" s="38">
        <f>+G20</f>
        <v>28500</v>
      </c>
      <c r="F8" s="7"/>
      <c r="G8" s="29" t="s">
        <v>11</v>
      </c>
      <c r="H8" s="36">
        <f>E7-E8</f>
        <v>71500</v>
      </c>
    </row>
    <row r="9" spans="1:15" s="1" customFormat="1" ht="24.2" x14ac:dyDescent="0.6">
      <c r="D9" s="63"/>
      <c r="E9" s="10"/>
      <c r="F9" s="11"/>
      <c r="G9" s="9"/>
    </row>
    <row r="10" spans="1:15" s="9" customFormat="1" ht="53.2" x14ac:dyDescent="0.45">
      <c r="A10" s="13" t="s">
        <v>5</v>
      </c>
      <c r="B10" s="14" t="s">
        <v>6</v>
      </c>
      <c r="C10" s="14" t="s">
        <v>15</v>
      </c>
      <c r="D10" s="14" t="s">
        <v>21</v>
      </c>
      <c r="E10" s="14" t="s">
        <v>22</v>
      </c>
      <c r="F10" s="30" t="s">
        <v>7</v>
      </c>
      <c r="G10" s="14" t="s">
        <v>8</v>
      </c>
      <c r="H10" s="34" t="s">
        <v>25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45951</v>
      </c>
      <c r="C11" s="39" t="s">
        <v>95</v>
      </c>
      <c r="D11" s="58">
        <v>16452</v>
      </c>
      <c r="E11" s="41" t="s">
        <v>59</v>
      </c>
      <c r="F11" s="42" t="s">
        <v>107</v>
      </c>
      <c r="G11" s="44">
        <v>18000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45951</v>
      </c>
      <c r="C12" s="39" t="s">
        <v>108</v>
      </c>
      <c r="D12" s="58">
        <v>22690</v>
      </c>
      <c r="E12" s="41" t="s">
        <v>105</v>
      </c>
      <c r="F12" s="42" t="s">
        <v>109</v>
      </c>
      <c r="G12" s="44">
        <v>10500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/>
      <c r="C13" s="39"/>
      <c r="D13" s="58"/>
      <c r="E13" s="41"/>
      <c r="F13" s="42"/>
      <c r="G13" s="44"/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/>
      <c r="C14" s="39"/>
      <c r="D14" s="58"/>
      <c r="E14" s="41"/>
      <c r="F14" s="42"/>
      <c r="G14" s="44"/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/>
      <c r="C15" s="39"/>
      <c r="D15" s="59"/>
      <c r="E15" s="41"/>
      <c r="F15" s="42"/>
      <c r="G15" s="44"/>
      <c r="H15" s="43"/>
      <c r="I15" s="12"/>
      <c r="J15" s="12"/>
      <c r="K15" s="12"/>
      <c r="L15" s="12"/>
      <c r="M15" s="12"/>
      <c r="N15" s="12"/>
      <c r="O15" s="12"/>
    </row>
    <row r="16" spans="1:15" ht="17.2" x14ac:dyDescent="0.45">
      <c r="A16" s="15">
        <v>6</v>
      </c>
      <c r="B16" s="39"/>
      <c r="C16" s="39"/>
      <c r="D16" s="58"/>
      <c r="E16" s="41"/>
      <c r="F16" s="40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58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58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58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s="12" customFormat="1" ht="17.75" x14ac:dyDescent="0.45">
      <c r="B20" s="16" t="s">
        <v>9</v>
      </c>
      <c r="C20" s="33"/>
      <c r="D20" s="64"/>
      <c r="E20" s="17"/>
      <c r="F20" s="17"/>
      <c r="G20" s="45">
        <f>SUM(G11:G19)</f>
        <v>28500</v>
      </c>
    </row>
    <row r="21" spans="1:15" s="12" customFormat="1" ht="17.75" x14ac:dyDescent="0.45">
      <c r="B21" s="18"/>
      <c r="C21" s="18"/>
      <c r="D21" s="65"/>
      <c r="E21" s="19"/>
      <c r="F21" s="19"/>
      <c r="G21" s="20"/>
    </row>
    <row r="22" spans="1:15" s="12" customFormat="1" ht="17.75" x14ac:dyDescent="0.45">
      <c r="B22" s="21"/>
      <c r="C22" s="21"/>
      <c r="D22" s="66"/>
      <c r="E22" s="22"/>
      <c r="F22" s="22"/>
      <c r="G22" s="8"/>
    </row>
    <row r="23" spans="1:15" ht="17.75" x14ac:dyDescent="0.45">
      <c r="B23" s="70"/>
      <c r="C23" s="70"/>
      <c r="D23" s="71"/>
      <c r="E23" s="72"/>
      <c r="F23" s="73"/>
    </row>
    <row r="24" spans="1:15" ht="17.75" x14ac:dyDescent="0.45">
      <c r="B24" s="74"/>
      <c r="C24" s="74"/>
      <c r="D24" s="75"/>
      <c r="E24" s="37"/>
      <c r="F24" s="12"/>
      <c r="G24" s="28"/>
    </row>
    <row r="25" spans="1:15" s="12" customFormat="1" ht="17.75" x14ac:dyDescent="0.45">
      <c r="B25" s="21"/>
      <c r="C25" s="21"/>
      <c r="D25" s="66"/>
      <c r="E25" s="22"/>
      <c r="G25" s="8"/>
    </row>
    <row r="26" spans="1:15" s="12" customFormat="1" ht="17.75" x14ac:dyDescent="0.45">
      <c r="B26" s="21"/>
      <c r="C26" s="21"/>
      <c r="D26" s="66"/>
      <c r="E26" s="22"/>
      <c r="F26" s="22"/>
      <c r="G26" s="8"/>
    </row>
    <row r="27" spans="1:15" s="12" customFormat="1" ht="17.75" x14ac:dyDescent="0.45">
      <c r="B27" s="21"/>
      <c r="C27" s="21"/>
      <c r="D27" s="66"/>
      <c r="E27" s="22"/>
      <c r="F27" s="22"/>
      <c r="G27" s="8"/>
    </row>
    <row r="28" spans="1:15" s="12" customFormat="1" ht="17.75" x14ac:dyDescent="0.45">
      <c r="B28" s="21"/>
      <c r="C28" s="21"/>
      <c r="D28" s="66"/>
      <c r="E28" s="22"/>
      <c r="F28" s="22"/>
      <c r="G28" s="8"/>
    </row>
    <row r="29" spans="1:15" s="12" customFormat="1" ht="17.75" x14ac:dyDescent="0.45">
      <c r="B29" s="21"/>
      <c r="C29" s="21"/>
      <c r="D29" s="66"/>
      <c r="E29" s="22"/>
      <c r="F29" s="22"/>
      <c r="G29" s="8"/>
    </row>
    <row r="30" spans="1:15" s="12" customFormat="1" ht="17.75" x14ac:dyDescent="0.45">
      <c r="B30" s="21"/>
      <c r="C30" s="21"/>
      <c r="D30" s="66"/>
      <c r="E30" s="22"/>
      <c r="F30" s="22"/>
      <c r="G30" s="8"/>
    </row>
    <row r="31" spans="1:15" s="12" customFormat="1" ht="17.75" x14ac:dyDescent="0.45">
      <c r="B31" s="21"/>
      <c r="C31" s="21"/>
      <c r="D31" s="66"/>
      <c r="E31" s="22"/>
      <c r="F31" s="22"/>
      <c r="G31" s="8"/>
    </row>
    <row r="32" spans="1:15" s="12" customFormat="1" ht="17.75" x14ac:dyDescent="0.45">
      <c r="B32" s="21"/>
      <c r="C32" s="21"/>
      <c r="D32" s="66"/>
      <c r="E32" s="22"/>
      <c r="F32" s="22"/>
      <c r="G32" s="8"/>
    </row>
    <row r="33" spans="2:7" s="12" customFormat="1" ht="17.75" x14ac:dyDescent="0.45">
      <c r="B33" s="21"/>
      <c r="C33" s="21"/>
      <c r="D33" s="66"/>
      <c r="E33" s="22"/>
      <c r="F33" s="22"/>
      <c r="G33" s="8"/>
    </row>
    <row r="34" spans="2:7" s="12" customFormat="1" ht="17.75" x14ac:dyDescent="0.45">
      <c r="B34" s="21"/>
      <c r="C34" s="21"/>
      <c r="D34" s="66"/>
      <c r="E34" s="22"/>
      <c r="F34" s="22"/>
      <c r="G34" s="8"/>
    </row>
    <row r="35" spans="2:7" s="12" customFormat="1" ht="17.75" x14ac:dyDescent="0.45">
      <c r="B35" s="21"/>
      <c r="C35" s="21"/>
      <c r="D35" s="66"/>
      <c r="E35" s="22"/>
      <c r="F35" s="22"/>
      <c r="G35" s="8"/>
    </row>
    <row r="36" spans="2:7" s="12" customFormat="1" ht="17.75" x14ac:dyDescent="0.45">
      <c r="B36" s="21"/>
      <c r="C36" s="21"/>
      <c r="D36" s="66"/>
      <c r="E36" s="22"/>
      <c r="F36" s="22"/>
      <c r="G36" s="8"/>
    </row>
    <row r="37" spans="2:7" s="12" customFormat="1" ht="17.75" x14ac:dyDescent="0.45">
      <c r="B37" s="21"/>
      <c r="C37" s="21"/>
      <c r="D37" s="66"/>
      <c r="E37" s="22"/>
      <c r="F37" s="22"/>
      <c r="G37" s="8"/>
    </row>
    <row r="38" spans="2:7" s="12" customFormat="1" ht="17.75" x14ac:dyDescent="0.45">
      <c r="B38" s="21"/>
      <c r="C38" s="21"/>
      <c r="D38" s="66"/>
      <c r="E38" s="22"/>
      <c r="F38" s="22"/>
      <c r="G38" s="8"/>
    </row>
  </sheetData>
  <mergeCells count="9">
    <mergeCell ref="B23:D23"/>
    <mergeCell ref="E23:F23"/>
    <mergeCell ref="B24:D24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paperSize="9" scale="25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O38"/>
  <sheetViews>
    <sheetView workbookViewId="0">
      <selection sqref="A1:XFD1048576"/>
    </sheetView>
  </sheetViews>
  <sheetFormatPr baseColWidth="10" defaultColWidth="23.69921875" defaultRowHeight="14.55" x14ac:dyDescent="0.35"/>
  <cols>
    <col min="1" max="1" width="6.3984375" style="2" customWidth="1"/>
    <col min="2" max="2" width="36.09765625" style="3" bestFit="1" customWidth="1"/>
    <col min="3" max="3" width="23.8984375" style="3" bestFit="1" customWidth="1"/>
    <col min="4" max="4" width="17.3984375" style="67" bestFit="1" customWidth="1"/>
    <col min="5" max="5" width="14.296875" style="5" bestFit="1" customWidth="1"/>
    <col min="6" max="6" width="30.3984375" style="6" customWidth="1"/>
    <col min="7" max="7" width="20.8984375" style="2" bestFit="1" customWidth="1"/>
    <col min="8" max="8" width="22.3984375" style="2" bestFit="1" customWidth="1"/>
    <col min="9" max="16384" width="23.69921875" style="2"/>
  </cols>
  <sheetData>
    <row r="1" spans="1:15" ht="42.75" customHeight="1" x14ac:dyDescent="0.6">
      <c r="C1" s="76" t="s">
        <v>0</v>
      </c>
      <c r="D1" s="76"/>
      <c r="E1" s="76"/>
      <c r="F1" s="76"/>
      <c r="G1" s="76"/>
      <c r="H1" s="76"/>
    </row>
    <row r="2" spans="1:15" ht="38.950000000000003" customHeight="1" x14ac:dyDescent="0.6">
      <c r="B2" s="2"/>
      <c r="C2" s="76" t="s">
        <v>24</v>
      </c>
      <c r="D2" s="76"/>
      <c r="E2" s="76"/>
      <c r="F2" s="76"/>
      <c r="G2" s="76"/>
      <c r="H2" s="76"/>
    </row>
    <row r="3" spans="1:15" ht="24.05" customHeight="1" x14ac:dyDescent="0.55000000000000004">
      <c r="D3" s="61"/>
      <c r="F3" s="24"/>
      <c r="G3" s="32" t="s">
        <v>10</v>
      </c>
      <c r="H3" s="27" t="s">
        <v>19</v>
      </c>
    </row>
    <row r="4" spans="1:15" ht="17.75" x14ac:dyDescent="0.45">
      <c r="B4" s="70" t="s">
        <v>1</v>
      </c>
      <c r="C4" s="70"/>
      <c r="D4" s="70"/>
      <c r="E4" s="35">
        <f>'OCTUBRE 2025'!H8</f>
        <v>71500</v>
      </c>
      <c r="F4" s="7"/>
      <c r="G4" s="31"/>
    </row>
    <row r="5" spans="1:15" ht="17.75" x14ac:dyDescent="0.45">
      <c r="B5" s="25" t="s">
        <v>13</v>
      </c>
      <c r="C5" s="25"/>
      <c r="D5" s="62"/>
      <c r="E5" s="35">
        <v>28500</v>
      </c>
      <c r="F5" s="7"/>
      <c r="G5" s="31"/>
    </row>
    <row r="6" spans="1:15" ht="17.75" x14ac:dyDescent="0.45">
      <c r="B6" s="70" t="s">
        <v>2</v>
      </c>
      <c r="C6" s="70"/>
      <c r="D6" s="70"/>
      <c r="E6" s="35">
        <v>0</v>
      </c>
      <c r="F6" s="7"/>
    </row>
    <row r="7" spans="1:15" ht="17.75" x14ac:dyDescent="0.45">
      <c r="B7" s="77" t="s">
        <v>3</v>
      </c>
      <c r="C7" s="77"/>
      <c r="D7" s="77"/>
      <c r="E7" s="35">
        <v>100000</v>
      </c>
      <c r="F7" s="7"/>
      <c r="G7" s="26"/>
    </row>
    <row r="8" spans="1:15" ht="17.75" x14ac:dyDescent="0.45">
      <c r="B8" s="78" t="s">
        <v>4</v>
      </c>
      <c r="C8" s="78"/>
      <c r="D8" s="78"/>
      <c r="E8" s="38">
        <f>+G20</f>
        <v>49970</v>
      </c>
      <c r="F8" s="7"/>
      <c r="G8" s="29" t="s">
        <v>11</v>
      </c>
      <c r="H8" s="36">
        <f>E7-E8</f>
        <v>50030</v>
      </c>
    </row>
    <row r="9" spans="1:15" s="1" customFormat="1" ht="24.2" x14ac:dyDescent="0.6">
      <c r="D9" s="63"/>
      <c r="E9" s="10"/>
      <c r="F9" s="11"/>
      <c r="G9" s="9"/>
    </row>
    <row r="10" spans="1:15" s="9" customFormat="1" ht="53.2" x14ac:dyDescent="0.45">
      <c r="A10" s="13" t="s">
        <v>5</v>
      </c>
      <c r="B10" s="14" t="s">
        <v>6</v>
      </c>
      <c r="C10" s="14" t="s">
        <v>15</v>
      </c>
      <c r="D10" s="14" t="s">
        <v>21</v>
      </c>
      <c r="E10" s="14" t="s">
        <v>22</v>
      </c>
      <c r="F10" s="30" t="s">
        <v>7</v>
      </c>
      <c r="G10" s="14" t="s">
        <v>8</v>
      </c>
      <c r="H10" s="34" t="s">
        <v>25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45961</v>
      </c>
      <c r="C11" s="39" t="s">
        <v>44</v>
      </c>
      <c r="D11" s="58">
        <v>16631</v>
      </c>
      <c r="E11" s="41" t="s">
        <v>59</v>
      </c>
      <c r="F11" s="42" t="s">
        <v>52</v>
      </c>
      <c r="G11" s="44">
        <v>18000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45965</v>
      </c>
      <c r="C12" s="39" t="s">
        <v>47</v>
      </c>
      <c r="D12" s="58">
        <v>98800103</v>
      </c>
      <c r="E12" s="41" t="s">
        <v>111</v>
      </c>
      <c r="F12" s="42" t="s">
        <v>110</v>
      </c>
      <c r="G12" s="44">
        <v>27990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45976</v>
      </c>
      <c r="C13" s="39" t="s">
        <v>40</v>
      </c>
      <c r="D13" s="58" t="s">
        <v>113</v>
      </c>
      <c r="E13" s="41" t="s">
        <v>80</v>
      </c>
      <c r="F13" s="42" t="s">
        <v>112</v>
      </c>
      <c r="G13" s="44">
        <v>3980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/>
      <c r="C14" s="39"/>
      <c r="D14" s="58"/>
      <c r="E14" s="41"/>
      <c r="F14" s="42"/>
      <c r="G14" s="44"/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/>
      <c r="C15" s="39"/>
      <c r="D15" s="59"/>
      <c r="E15" s="41"/>
      <c r="F15" s="42"/>
      <c r="G15" s="44"/>
      <c r="H15" s="43"/>
      <c r="I15" s="12"/>
      <c r="J15" s="12"/>
      <c r="K15" s="12"/>
      <c r="L15" s="12"/>
      <c r="M15" s="12"/>
      <c r="N15" s="12"/>
      <c r="O15" s="12"/>
    </row>
    <row r="16" spans="1:15" ht="17.2" x14ac:dyDescent="0.45">
      <c r="A16" s="15">
        <v>6</v>
      </c>
      <c r="B16" s="39"/>
      <c r="C16" s="39"/>
      <c r="D16" s="58"/>
      <c r="E16" s="41"/>
      <c r="F16" s="40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58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58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58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s="12" customFormat="1" ht="17.75" x14ac:dyDescent="0.45">
      <c r="B20" s="16" t="s">
        <v>9</v>
      </c>
      <c r="C20" s="33"/>
      <c r="D20" s="64"/>
      <c r="E20" s="17"/>
      <c r="F20" s="17"/>
      <c r="G20" s="45">
        <f>SUM(G11:G19)</f>
        <v>49970</v>
      </c>
    </row>
    <row r="21" spans="1:15" s="12" customFormat="1" ht="17.75" x14ac:dyDescent="0.45">
      <c r="B21" s="18"/>
      <c r="C21" s="18"/>
      <c r="D21" s="65"/>
      <c r="E21" s="19"/>
      <c r="F21" s="19"/>
      <c r="G21" s="20"/>
    </row>
    <row r="22" spans="1:15" s="12" customFormat="1" ht="17.75" x14ac:dyDescent="0.45">
      <c r="B22" s="21"/>
      <c r="C22" s="21"/>
      <c r="D22" s="66"/>
      <c r="E22" s="22"/>
      <c r="F22" s="22"/>
      <c r="G22" s="8"/>
    </row>
    <row r="23" spans="1:15" ht="17.75" x14ac:dyDescent="0.45">
      <c r="B23" s="70"/>
      <c r="C23" s="70"/>
      <c r="D23" s="71"/>
      <c r="E23" s="72"/>
      <c r="F23" s="73"/>
    </row>
    <row r="24" spans="1:15" ht="17.75" x14ac:dyDescent="0.45">
      <c r="B24" s="74"/>
      <c r="C24" s="74"/>
      <c r="D24" s="75"/>
      <c r="E24" s="37"/>
      <c r="F24" s="12"/>
      <c r="G24" s="28"/>
    </row>
    <row r="25" spans="1:15" s="12" customFormat="1" ht="17.75" x14ac:dyDescent="0.45">
      <c r="B25" s="21"/>
      <c r="C25" s="21"/>
      <c r="D25" s="66"/>
      <c r="E25" s="22"/>
      <c r="G25" s="8"/>
    </row>
    <row r="26" spans="1:15" s="12" customFormat="1" ht="17.75" x14ac:dyDescent="0.45">
      <c r="B26" s="21"/>
      <c r="C26" s="21"/>
      <c r="D26" s="66"/>
      <c r="E26" s="22"/>
      <c r="F26" s="22"/>
      <c r="G26" s="8"/>
    </row>
    <row r="27" spans="1:15" s="12" customFormat="1" ht="17.75" x14ac:dyDescent="0.45">
      <c r="B27" s="21"/>
      <c r="C27" s="21"/>
      <c r="D27" s="66"/>
      <c r="E27" s="22"/>
      <c r="F27" s="22"/>
      <c r="G27" s="8"/>
    </row>
    <row r="28" spans="1:15" s="12" customFormat="1" ht="17.75" x14ac:dyDescent="0.45">
      <c r="B28" s="21"/>
      <c r="C28" s="21"/>
      <c r="D28" s="66"/>
      <c r="E28" s="22"/>
      <c r="F28" s="22"/>
      <c r="G28" s="8"/>
    </row>
    <row r="29" spans="1:15" s="12" customFormat="1" ht="17.75" x14ac:dyDescent="0.45">
      <c r="B29" s="21"/>
      <c r="C29" s="21"/>
      <c r="D29" s="66"/>
      <c r="E29" s="22"/>
      <c r="F29" s="22"/>
      <c r="G29" s="8"/>
    </row>
    <row r="30" spans="1:15" s="12" customFormat="1" ht="17.75" x14ac:dyDescent="0.45">
      <c r="B30" s="21"/>
      <c r="C30" s="21"/>
      <c r="D30" s="66"/>
      <c r="E30" s="22"/>
      <c r="F30" s="22"/>
      <c r="G30" s="8"/>
    </row>
    <row r="31" spans="1:15" s="12" customFormat="1" ht="17.75" x14ac:dyDescent="0.45">
      <c r="B31" s="21"/>
      <c r="C31" s="21"/>
      <c r="D31" s="66"/>
      <c r="E31" s="22"/>
      <c r="F31" s="22"/>
      <c r="G31" s="8"/>
    </row>
    <row r="32" spans="1:15" s="12" customFormat="1" ht="17.75" x14ac:dyDescent="0.45">
      <c r="B32" s="21"/>
      <c r="C32" s="21"/>
      <c r="D32" s="66"/>
      <c r="E32" s="22"/>
      <c r="F32" s="22"/>
      <c r="G32" s="8"/>
    </row>
    <row r="33" spans="2:7" s="12" customFormat="1" ht="17.75" x14ac:dyDescent="0.45">
      <c r="B33" s="21"/>
      <c r="C33" s="21"/>
      <c r="D33" s="66"/>
      <c r="E33" s="22"/>
      <c r="F33" s="22"/>
      <c r="G33" s="8"/>
    </row>
    <row r="34" spans="2:7" s="12" customFormat="1" ht="17.75" x14ac:dyDescent="0.45">
      <c r="B34" s="21"/>
      <c r="C34" s="21"/>
      <c r="D34" s="66"/>
      <c r="E34" s="22"/>
      <c r="F34" s="22"/>
      <c r="G34" s="8"/>
    </row>
    <row r="35" spans="2:7" s="12" customFormat="1" ht="17.75" x14ac:dyDescent="0.45">
      <c r="B35" s="21"/>
      <c r="C35" s="21"/>
      <c r="D35" s="66"/>
      <c r="E35" s="22"/>
      <c r="F35" s="22"/>
      <c r="G35" s="8"/>
    </row>
    <row r="36" spans="2:7" s="12" customFormat="1" ht="17.75" x14ac:dyDescent="0.45">
      <c r="B36" s="21"/>
      <c r="C36" s="21"/>
      <c r="D36" s="66"/>
      <c r="E36" s="22"/>
      <c r="F36" s="22"/>
      <c r="G36" s="8"/>
    </row>
    <row r="37" spans="2:7" s="12" customFormat="1" ht="17.75" x14ac:dyDescent="0.45">
      <c r="B37" s="21"/>
      <c r="C37" s="21"/>
      <c r="D37" s="66"/>
      <c r="E37" s="22"/>
      <c r="F37" s="22"/>
      <c r="G37" s="8"/>
    </row>
    <row r="38" spans="2:7" s="12" customFormat="1" ht="17.75" x14ac:dyDescent="0.45">
      <c r="B38" s="21"/>
      <c r="C38" s="21"/>
      <c r="D38" s="66"/>
      <c r="E38" s="22"/>
      <c r="F38" s="22"/>
      <c r="G38" s="8"/>
    </row>
  </sheetData>
  <mergeCells count="9">
    <mergeCell ref="B23:D23"/>
    <mergeCell ref="E23:F23"/>
    <mergeCell ref="B24:D24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26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38"/>
  <sheetViews>
    <sheetView zoomScale="85" zoomScaleNormal="85" workbookViewId="0">
      <selection activeCell="E8" sqref="E8"/>
    </sheetView>
  </sheetViews>
  <sheetFormatPr baseColWidth="10" defaultColWidth="23.69921875" defaultRowHeight="14.55" x14ac:dyDescent="0.35"/>
  <cols>
    <col min="1" max="1" width="6.3984375" style="2" customWidth="1"/>
    <col min="2" max="2" width="36.09765625" style="3" bestFit="1" customWidth="1"/>
    <col min="3" max="3" width="23.8984375" style="3" bestFit="1" customWidth="1"/>
    <col min="4" max="4" width="17.3984375" style="67" bestFit="1" customWidth="1"/>
    <col min="5" max="5" width="14.296875" style="5" bestFit="1" customWidth="1"/>
    <col min="6" max="6" width="30.3984375" style="6" customWidth="1"/>
    <col min="7" max="7" width="20.8984375" style="2" bestFit="1" customWidth="1"/>
    <col min="8" max="8" width="22.3984375" style="2" bestFit="1" customWidth="1"/>
    <col min="9" max="16384" width="23.69921875" style="2"/>
  </cols>
  <sheetData>
    <row r="1" spans="1:15" ht="42.75" customHeight="1" x14ac:dyDescent="0.6">
      <c r="C1" s="76" t="s">
        <v>0</v>
      </c>
      <c r="D1" s="76"/>
      <c r="E1" s="76"/>
      <c r="F1" s="76"/>
      <c r="G1" s="76"/>
      <c r="H1" s="76"/>
    </row>
    <row r="2" spans="1:15" ht="38.950000000000003" customHeight="1" x14ac:dyDescent="0.6">
      <c r="B2" s="2"/>
      <c r="C2" s="76" t="s">
        <v>24</v>
      </c>
      <c r="D2" s="76"/>
      <c r="E2" s="76"/>
      <c r="F2" s="76"/>
      <c r="G2" s="76"/>
      <c r="H2" s="76"/>
    </row>
    <row r="3" spans="1:15" ht="24.05" customHeight="1" x14ac:dyDescent="0.55000000000000004">
      <c r="D3" s="61"/>
      <c r="F3" s="24"/>
      <c r="G3" s="32" t="s">
        <v>10</v>
      </c>
      <c r="H3" s="27" t="s">
        <v>20</v>
      </c>
    </row>
    <row r="4" spans="1:15" ht="17.75" x14ac:dyDescent="0.45">
      <c r="B4" s="70" t="s">
        <v>1</v>
      </c>
      <c r="C4" s="70"/>
      <c r="D4" s="70"/>
      <c r="E4" s="35">
        <f>'NOVIEMBRE 2025'!H8</f>
        <v>50030</v>
      </c>
      <c r="F4" s="7"/>
      <c r="G4" s="31"/>
    </row>
    <row r="5" spans="1:15" ht="17.75" x14ac:dyDescent="0.45">
      <c r="B5" s="25" t="s">
        <v>13</v>
      </c>
      <c r="C5" s="25"/>
      <c r="D5" s="62"/>
      <c r="E5" s="35">
        <v>49970</v>
      </c>
      <c r="F5" s="7"/>
      <c r="G5" s="31"/>
    </row>
    <row r="6" spans="1:15" ht="17.75" x14ac:dyDescent="0.45">
      <c r="B6" s="70" t="s">
        <v>2</v>
      </c>
      <c r="C6" s="70"/>
      <c r="D6" s="70"/>
      <c r="E6" s="35">
        <v>0</v>
      </c>
      <c r="F6" s="7"/>
    </row>
    <row r="7" spans="1:15" ht="17.75" x14ac:dyDescent="0.45">
      <c r="B7" s="77" t="s">
        <v>3</v>
      </c>
      <c r="C7" s="77"/>
      <c r="D7" s="77"/>
      <c r="E7" s="35">
        <v>100000</v>
      </c>
      <c r="F7" s="7"/>
      <c r="G7" s="26"/>
    </row>
    <row r="8" spans="1:15" ht="17.75" x14ac:dyDescent="0.45">
      <c r="B8" s="78" t="s">
        <v>4</v>
      </c>
      <c r="C8" s="78"/>
      <c r="D8" s="78"/>
      <c r="E8" s="38">
        <f>+G20</f>
        <v>46714</v>
      </c>
      <c r="F8" s="7"/>
      <c r="G8" s="29" t="s">
        <v>11</v>
      </c>
      <c r="H8" s="36">
        <f>E7-E8</f>
        <v>53286</v>
      </c>
    </row>
    <row r="9" spans="1:15" s="1" customFormat="1" ht="24.2" x14ac:dyDescent="0.6">
      <c r="D9" s="63"/>
      <c r="E9" s="10"/>
      <c r="F9" s="11"/>
      <c r="G9" s="9"/>
    </row>
    <row r="10" spans="1:15" s="9" customFormat="1" ht="53.2" x14ac:dyDescent="0.45">
      <c r="A10" s="13" t="s">
        <v>5</v>
      </c>
      <c r="B10" s="14" t="s">
        <v>6</v>
      </c>
      <c r="C10" s="14" t="s">
        <v>15</v>
      </c>
      <c r="D10" s="14" t="s">
        <v>21</v>
      </c>
      <c r="E10" s="14" t="s">
        <v>22</v>
      </c>
      <c r="F10" s="30" t="s">
        <v>7</v>
      </c>
      <c r="G10" s="14" t="s">
        <v>8</v>
      </c>
      <c r="H10" s="34" t="s">
        <v>25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45990</v>
      </c>
      <c r="C11" s="39" t="s">
        <v>40</v>
      </c>
      <c r="D11" s="58">
        <v>23122</v>
      </c>
      <c r="E11" s="41" t="s">
        <v>105</v>
      </c>
      <c r="F11" s="42" t="s">
        <v>106</v>
      </c>
      <c r="G11" s="44">
        <v>10500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45991</v>
      </c>
      <c r="C12" s="39" t="s">
        <v>44</v>
      </c>
      <c r="D12" s="58">
        <v>16786</v>
      </c>
      <c r="E12" s="41" t="s">
        <v>59</v>
      </c>
      <c r="F12" s="42" t="s">
        <v>52</v>
      </c>
      <c r="G12" s="44">
        <v>18654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45992</v>
      </c>
      <c r="C13" s="39" t="s">
        <v>40</v>
      </c>
      <c r="D13" s="58">
        <v>16849667</v>
      </c>
      <c r="E13" s="41" t="s">
        <v>103</v>
      </c>
      <c r="F13" s="42" t="s">
        <v>83</v>
      </c>
      <c r="G13" s="44">
        <v>4490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45998</v>
      </c>
      <c r="C14" s="39" t="s">
        <v>40</v>
      </c>
      <c r="D14" s="58">
        <v>766432391</v>
      </c>
      <c r="E14" s="41" t="s">
        <v>97</v>
      </c>
      <c r="F14" s="42" t="s">
        <v>29</v>
      </c>
      <c r="G14" s="44">
        <v>4690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>
        <v>46011</v>
      </c>
      <c r="C15" s="39" t="s">
        <v>40</v>
      </c>
      <c r="D15" s="59">
        <v>25122006202</v>
      </c>
      <c r="E15" s="41" t="s">
        <v>80</v>
      </c>
      <c r="F15" s="42" t="s">
        <v>114</v>
      </c>
      <c r="G15" s="44">
        <v>3000</v>
      </c>
      <c r="H15" s="43"/>
      <c r="I15" s="12"/>
      <c r="J15" s="12"/>
      <c r="K15" s="12"/>
      <c r="L15" s="12"/>
      <c r="M15" s="12"/>
      <c r="N15" s="12"/>
      <c r="O15" s="12"/>
    </row>
    <row r="16" spans="1:15" ht="17.2" x14ac:dyDescent="0.45">
      <c r="A16" s="15">
        <v>6</v>
      </c>
      <c r="B16" s="39">
        <v>46013</v>
      </c>
      <c r="C16" s="39" t="s">
        <v>40</v>
      </c>
      <c r="D16" s="58">
        <v>57212203</v>
      </c>
      <c r="E16" s="41" t="s">
        <v>82</v>
      </c>
      <c r="F16" s="40" t="s">
        <v>74</v>
      </c>
      <c r="G16" s="44">
        <v>5380</v>
      </c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58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58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58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s="12" customFormat="1" ht="17.75" x14ac:dyDescent="0.45">
      <c r="B20" s="16" t="s">
        <v>9</v>
      </c>
      <c r="C20" s="33"/>
      <c r="D20" s="64"/>
      <c r="E20" s="17"/>
      <c r="F20" s="17"/>
      <c r="G20" s="45">
        <f>SUM(G11:G19)</f>
        <v>46714</v>
      </c>
    </row>
    <row r="21" spans="1:15" s="12" customFormat="1" ht="17.75" x14ac:dyDescent="0.45">
      <c r="B21" s="18"/>
      <c r="C21" s="18"/>
      <c r="D21" s="65"/>
      <c r="E21" s="19"/>
      <c r="F21" s="19"/>
      <c r="G21" s="20"/>
    </row>
    <row r="22" spans="1:15" s="12" customFormat="1" ht="17.75" x14ac:dyDescent="0.45">
      <c r="B22" s="21"/>
      <c r="C22" s="21"/>
      <c r="D22" s="66"/>
      <c r="E22" s="22"/>
      <c r="F22" s="22"/>
      <c r="G22" s="8"/>
    </row>
    <row r="23" spans="1:15" ht="17.75" x14ac:dyDescent="0.45">
      <c r="B23" s="70"/>
      <c r="C23" s="70"/>
      <c r="D23" s="71"/>
      <c r="E23" s="72"/>
      <c r="F23" s="73"/>
    </row>
    <row r="24" spans="1:15" ht="17.75" x14ac:dyDescent="0.45">
      <c r="B24" s="74"/>
      <c r="C24" s="74"/>
      <c r="D24" s="75"/>
      <c r="E24" s="37"/>
      <c r="F24" s="12"/>
      <c r="G24" s="28"/>
    </row>
    <row r="25" spans="1:15" s="12" customFormat="1" ht="17.75" x14ac:dyDescent="0.45">
      <c r="B25" s="21"/>
      <c r="C25" s="21"/>
      <c r="D25" s="66"/>
      <c r="E25" s="22"/>
      <c r="G25" s="8"/>
    </row>
    <row r="26" spans="1:15" s="12" customFormat="1" ht="17.75" x14ac:dyDescent="0.45">
      <c r="B26" s="21"/>
      <c r="C26" s="21"/>
      <c r="D26" s="66"/>
      <c r="E26" s="22"/>
      <c r="F26" s="22"/>
      <c r="G26" s="8"/>
    </row>
    <row r="27" spans="1:15" s="12" customFormat="1" ht="17.75" x14ac:dyDescent="0.45">
      <c r="B27" s="21"/>
      <c r="C27" s="21"/>
      <c r="D27" s="66"/>
      <c r="E27" s="22"/>
      <c r="F27" s="22"/>
      <c r="G27" s="8"/>
    </row>
    <row r="28" spans="1:15" s="12" customFormat="1" ht="17.75" x14ac:dyDescent="0.45">
      <c r="B28" s="21"/>
      <c r="C28" s="21"/>
      <c r="D28" s="66"/>
      <c r="E28" s="22"/>
      <c r="F28" s="22"/>
      <c r="G28" s="8"/>
    </row>
    <row r="29" spans="1:15" s="12" customFormat="1" ht="17.75" x14ac:dyDescent="0.45">
      <c r="B29" s="21"/>
      <c r="C29" s="21"/>
      <c r="D29" s="66"/>
      <c r="E29" s="22"/>
      <c r="F29" s="22"/>
      <c r="G29" s="8"/>
    </row>
    <row r="30" spans="1:15" s="12" customFormat="1" ht="17.75" x14ac:dyDescent="0.45">
      <c r="B30" s="21"/>
      <c r="C30" s="21"/>
      <c r="D30" s="66"/>
      <c r="E30" s="22"/>
      <c r="F30" s="22"/>
      <c r="G30" s="8"/>
    </row>
    <row r="31" spans="1:15" s="12" customFormat="1" ht="17.75" x14ac:dyDescent="0.45">
      <c r="B31" s="21"/>
      <c r="C31" s="21"/>
      <c r="D31" s="66"/>
      <c r="E31" s="22"/>
      <c r="F31" s="22"/>
      <c r="G31" s="8"/>
    </row>
    <row r="32" spans="1:15" s="12" customFormat="1" ht="17.75" x14ac:dyDescent="0.45">
      <c r="B32" s="21"/>
      <c r="C32" s="21"/>
      <c r="D32" s="66"/>
      <c r="E32" s="22"/>
      <c r="F32" s="22"/>
      <c r="G32" s="8"/>
    </row>
    <row r="33" spans="2:7" s="12" customFormat="1" ht="17.75" x14ac:dyDescent="0.45">
      <c r="B33" s="21"/>
      <c r="C33" s="21"/>
      <c r="D33" s="66"/>
      <c r="E33" s="22"/>
      <c r="F33" s="22"/>
      <c r="G33" s="8"/>
    </row>
    <row r="34" spans="2:7" s="12" customFormat="1" ht="17.75" x14ac:dyDescent="0.45">
      <c r="B34" s="21"/>
      <c r="C34" s="21"/>
      <c r="D34" s="66"/>
      <c r="E34" s="22"/>
      <c r="F34" s="22"/>
      <c r="G34" s="8"/>
    </row>
    <row r="35" spans="2:7" s="12" customFormat="1" ht="17.75" x14ac:dyDescent="0.45">
      <c r="B35" s="21"/>
      <c r="C35" s="21"/>
      <c r="D35" s="66"/>
      <c r="E35" s="22"/>
      <c r="F35" s="22"/>
      <c r="G35" s="8"/>
    </row>
    <row r="36" spans="2:7" s="12" customFormat="1" ht="17.75" x14ac:dyDescent="0.45">
      <c r="B36" s="21"/>
      <c r="C36" s="21"/>
      <c r="D36" s="66"/>
      <c r="E36" s="22"/>
      <c r="F36" s="22"/>
      <c r="G36" s="8"/>
    </row>
    <row r="37" spans="2:7" s="12" customFormat="1" ht="17.75" x14ac:dyDescent="0.45">
      <c r="B37" s="21"/>
      <c r="C37" s="21"/>
      <c r="D37" s="66"/>
      <c r="E37" s="22"/>
      <c r="F37" s="22"/>
      <c r="G37" s="8"/>
    </row>
    <row r="38" spans="2:7" s="12" customFormat="1" ht="17.75" x14ac:dyDescent="0.45">
      <c r="B38" s="21"/>
      <c r="C38" s="21"/>
      <c r="D38" s="66"/>
      <c r="E38" s="22"/>
      <c r="F38" s="22"/>
      <c r="G38" s="8"/>
    </row>
  </sheetData>
  <mergeCells count="9">
    <mergeCell ref="B23:D23"/>
    <mergeCell ref="E23:F23"/>
    <mergeCell ref="B24:D24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O36"/>
  <sheetViews>
    <sheetView zoomScale="85" zoomScaleNormal="85" workbookViewId="0">
      <selection activeCell="E5" sqref="E5"/>
    </sheetView>
  </sheetViews>
  <sheetFormatPr baseColWidth="10" defaultColWidth="23.69921875" defaultRowHeight="14.55" x14ac:dyDescent="0.35"/>
  <cols>
    <col min="1" max="1" width="6.3984375" style="2" customWidth="1"/>
    <col min="2" max="2" width="36.09765625" style="3" bestFit="1" customWidth="1"/>
    <col min="3" max="3" width="23.8984375" style="3" bestFit="1" customWidth="1"/>
    <col min="4" max="4" width="17.3984375" style="67" bestFit="1" customWidth="1"/>
    <col min="5" max="5" width="14.296875" style="5" bestFit="1" customWidth="1"/>
    <col min="6" max="6" width="30.3984375" style="6" customWidth="1"/>
    <col min="7" max="7" width="20.8984375" style="2" bestFit="1" customWidth="1"/>
    <col min="8" max="8" width="22.3984375" style="2" bestFit="1" customWidth="1"/>
    <col min="9" max="16384" width="23.69921875" style="2"/>
  </cols>
  <sheetData>
    <row r="1" spans="1:15" ht="42.75" customHeight="1" x14ac:dyDescent="0.6">
      <c r="C1" s="76" t="s">
        <v>0</v>
      </c>
      <c r="D1" s="76"/>
      <c r="E1" s="76"/>
      <c r="F1" s="76"/>
      <c r="G1" s="76"/>
      <c r="H1" s="76"/>
    </row>
    <row r="2" spans="1:15" ht="38.950000000000003" customHeight="1" x14ac:dyDescent="0.6">
      <c r="B2" s="2"/>
      <c r="C2" s="76" t="s">
        <v>24</v>
      </c>
      <c r="D2" s="76"/>
      <c r="E2" s="76"/>
      <c r="F2" s="76"/>
      <c r="G2" s="76"/>
      <c r="H2" s="76"/>
    </row>
    <row r="3" spans="1:15" ht="24.05" customHeight="1" x14ac:dyDescent="0.55000000000000004">
      <c r="D3" s="61"/>
      <c r="F3" s="24"/>
      <c r="G3" s="32" t="s">
        <v>10</v>
      </c>
      <c r="H3" s="27" t="s">
        <v>56</v>
      </c>
    </row>
    <row r="4" spans="1:15" ht="17.75" x14ac:dyDescent="0.45">
      <c r="B4" s="70" t="s">
        <v>1</v>
      </c>
      <c r="C4" s="70"/>
      <c r="D4" s="70"/>
      <c r="E4" s="35">
        <f>+'DICIEMBRE 2025'!H8</f>
        <v>53286</v>
      </c>
      <c r="F4" s="7"/>
      <c r="G4" s="31"/>
    </row>
    <row r="5" spans="1:15" ht="17.75" x14ac:dyDescent="0.45">
      <c r="B5" s="25" t="s">
        <v>13</v>
      </c>
      <c r="C5" s="25"/>
      <c r="D5" s="62"/>
      <c r="E5" s="35">
        <v>46624</v>
      </c>
      <c r="F5" s="7"/>
      <c r="G5" s="31"/>
    </row>
    <row r="6" spans="1:15" ht="17.75" x14ac:dyDescent="0.45">
      <c r="B6" s="70" t="s">
        <v>2</v>
      </c>
      <c r="C6" s="70"/>
      <c r="D6" s="70"/>
      <c r="E6" s="35">
        <v>0</v>
      </c>
      <c r="F6" s="7"/>
    </row>
    <row r="7" spans="1:15" ht="17.75" x14ac:dyDescent="0.45">
      <c r="B7" s="77" t="s">
        <v>3</v>
      </c>
      <c r="C7" s="77"/>
      <c r="D7" s="77"/>
      <c r="E7" s="35">
        <f>SUM(E4:E6)</f>
        <v>99910</v>
      </c>
      <c r="F7" s="7"/>
      <c r="G7" s="26"/>
    </row>
    <row r="8" spans="1:15" ht="17.75" x14ac:dyDescent="0.45">
      <c r="B8" s="78" t="s">
        <v>4</v>
      </c>
      <c r="C8" s="78"/>
      <c r="D8" s="78"/>
      <c r="E8" s="38">
        <f>+G18</f>
        <v>58308</v>
      </c>
      <c r="F8" s="7"/>
      <c r="G8" s="29" t="s">
        <v>11</v>
      </c>
      <c r="H8" s="36">
        <f>E7-E8</f>
        <v>41602</v>
      </c>
    </row>
    <row r="9" spans="1:15" s="1" customFormat="1" ht="24.2" x14ac:dyDescent="0.6">
      <c r="D9" s="63"/>
      <c r="E9" s="10"/>
      <c r="F9" s="11"/>
      <c r="G9" s="9"/>
    </row>
    <row r="10" spans="1:15" s="9" customFormat="1" ht="53.2" x14ac:dyDescent="0.45">
      <c r="A10" s="13" t="s">
        <v>5</v>
      </c>
      <c r="B10" s="14" t="s">
        <v>6</v>
      </c>
      <c r="C10" s="14" t="s">
        <v>15</v>
      </c>
      <c r="D10" s="14" t="s">
        <v>21</v>
      </c>
      <c r="E10" s="14" t="s">
        <v>22</v>
      </c>
      <c r="F10" s="30" t="s">
        <v>7</v>
      </c>
      <c r="G10" s="14" t="s">
        <v>8</v>
      </c>
      <c r="H10" s="34" t="s">
        <v>25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46020</v>
      </c>
      <c r="C11" s="39" t="s">
        <v>40</v>
      </c>
      <c r="D11" s="58">
        <v>57529277</v>
      </c>
      <c r="E11" s="41" t="s">
        <v>88</v>
      </c>
      <c r="F11" s="42" t="s">
        <v>115</v>
      </c>
      <c r="G11" s="44">
        <v>24818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46028</v>
      </c>
      <c r="C12" s="39" t="s">
        <v>40</v>
      </c>
      <c r="D12" s="58">
        <v>23495</v>
      </c>
      <c r="E12" s="41" t="s">
        <v>105</v>
      </c>
      <c r="F12" s="42" t="s">
        <v>106</v>
      </c>
      <c r="G12" s="44">
        <v>10500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46031</v>
      </c>
      <c r="C13" s="39" t="s">
        <v>40</v>
      </c>
      <c r="D13" s="58">
        <v>17088541</v>
      </c>
      <c r="E13" s="41" t="s">
        <v>103</v>
      </c>
      <c r="F13" s="42" t="s">
        <v>116</v>
      </c>
      <c r="G13" s="44">
        <v>4990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46033</v>
      </c>
      <c r="C14" s="39" t="s">
        <v>38</v>
      </c>
      <c r="D14" s="58">
        <v>17159</v>
      </c>
      <c r="E14" s="41" t="s">
        <v>59</v>
      </c>
      <c r="F14" s="42" t="s">
        <v>117</v>
      </c>
      <c r="G14" s="44">
        <v>18000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7</v>
      </c>
      <c r="B15" s="39"/>
      <c r="C15" s="39"/>
      <c r="D15" s="58"/>
      <c r="E15" s="41"/>
      <c r="F15" s="42"/>
      <c r="G15" s="44"/>
      <c r="H15" s="43"/>
      <c r="I15" s="12"/>
      <c r="J15" s="12"/>
      <c r="K15" s="12"/>
      <c r="L15" s="12"/>
      <c r="M15" s="12"/>
      <c r="N15" s="12"/>
      <c r="O15" s="12"/>
    </row>
    <row r="16" spans="1:15" ht="17.2" x14ac:dyDescent="0.45">
      <c r="A16" s="15">
        <v>8</v>
      </c>
      <c r="B16" s="39"/>
      <c r="C16" s="39"/>
      <c r="D16" s="58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9</v>
      </c>
      <c r="B17" s="39"/>
      <c r="C17" s="39"/>
      <c r="D17" s="58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s="12" customFormat="1" ht="17.75" x14ac:dyDescent="0.45">
      <c r="B18" s="16" t="s">
        <v>9</v>
      </c>
      <c r="C18" s="33"/>
      <c r="D18" s="64"/>
      <c r="E18" s="17"/>
      <c r="F18" s="17"/>
      <c r="G18" s="45">
        <f>SUM(G11:G17)</f>
        <v>58308</v>
      </c>
    </row>
    <row r="19" spans="1:15" s="12" customFormat="1" ht="17.75" x14ac:dyDescent="0.45">
      <c r="B19" s="18"/>
      <c r="C19" s="18"/>
      <c r="D19" s="65"/>
      <c r="E19" s="19"/>
      <c r="F19" s="19"/>
      <c r="G19" s="20"/>
    </row>
    <row r="20" spans="1:15" s="12" customFormat="1" ht="17.75" x14ac:dyDescent="0.45">
      <c r="B20" s="21"/>
      <c r="C20" s="21"/>
      <c r="D20" s="66"/>
      <c r="E20" s="22"/>
      <c r="F20" s="22"/>
      <c r="G20" s="8"/>
    </row>
    <row r="21" spans="1:15" ht="17.75" x14ac:dyDescent="0.45">
      <c r="B21" s="70"/>
      <c r="C21" s="70"/>
      <c r="D21" s="71"/>
      <c r="E21" s="72"/>
      <c r="F21" s="73"/>
    </row>
    <row r="22" spans="1:15" ht="17.75" x14ac:dyDescent="0.45">
      <c r="B22" s="74"/>
      <c r="C22" s="74"/>
      <c r="D22" s="75"/>
      <c r="E22" s="37"/>
      <c r="F22" s="12"/>
      <c r="G22" s="28"/>
    </row>
    <row r="23" spans="1:15" s="12" customFormat="1" ht="17.75" x14ac:dyDescent="0.45">
      <c r="B23" s="21"/>
      <c r="C23" s="21"/>
      <c r="D23" s="66"/>
      <c r="E23" s="22"/>
      <c r="G23" s="8"/>
    </row>
    <row r="24" spans="1:15" s="12" customFormat="1" ht="17.75" x14ac:dyDescent="0.45">
      <c r="B24" s="21"/>
      <c r="C24" s="21"/>
      <c r="D24" s="66"/>
      <c r="E24" s="22"/>
      <c r="F24" s="22"/>
      <c r="G24" s="8"/>
    </row>
    <row r="25" spans="1:15" s="12" customFormat="1" ht="17.75" x14ac:dyDescent="0.45">
      <c r="B25" s="21"/>
      <c r="C25" s="21"/>
      <c r="D25" s="66"/>
      <c r="E25" s="22"/>
      <c r="F25" s="22"/>
      <c r="G25" s="8"/>
    </row>
    <row r="26" spans="1:15" s="12" customFormat="1" ht="17.75" x14ac:dyDescent="0.45">
      <c r="B26" s="21"/>
      <c r="C26" s="21"/>
      <c r="D26" s="66"/>
      <c r="E26" s="22"/>
      <c r="F26" s="22"/>
      <c r="G26" s="8"/>
    </row>
    <row r="27" spans="1:15" s="12" customFormat="1" ht="17.75" x14ac:dyDescent="0.45">
      <c r="B27" s="21"/>
      <c r="C27" s="21"/>
      <c r="D27" s="66"/>
      <c r="E27" s="22"/>
      <c r="F27" s="22"/>
      <c r="G27" s="8"/>
    </row>
    <row r="28" spans="1:15" s="12" customFormat="1" ht="17.75" x14ac:dyDescent="0.45">
      <c r="B28" s="21"/>
      <c r="C28" s="21"/>
      <c r="D28" s="66"/>
      <c r="E28" s="22"/>
      <c r="F28" s="22"/>
      <c r="G28" s="8"/>
    </row>
    <row r="29" spans="1:15" s="12" customFormat="1" ht="17.75" x14ac:dyDescent="0.45">
      <c r="B29" s="21"/>
      <c r="C29" s="21"/>
      <c r="D29" s="66"/>
      <c r="E29" s="22"/>
      <c r="F29" s="22"/>
      <c r="G29" s="8"/>
    </row>
    <row r="30" spans="1:15" s="12" customFormat="1" ht="17.75" x14ac:dyDescent="0.45">
      <c r="B30" s="21"/>
      <c r="C30" s="21"/>
      <c r="D30" s="66"/>
      <c r="E30" s="22"/>
      <c r="F30" s="22"/>
      <c r="G30" s="8"/>
    </row>
    <row r="31" spans="1:15" s="12" customFormat="1" ht="17.75" x14ac:dyDescent="0.45">
      <c r="B31" s="21"/>
      <c r="C31" s="21"/>
      <c r="D31" s="66"/>
      <c r="E31" s="22"/>
      <c r="F31" s="22"/>
      <c r="G31" s="8"/>
    </row>
    <row r="32" spans="1:15" s="12" customFormat="1" ht="17.75" x14ac:dyDescent="0.45">
      <c r="B32" s="21"/>
      <c r="C32" s="21"/>
      <c r="D32" s="66"/>
      <c r="E32" s="22"/>
      <c r="F32" s="22"/>
      <c r="G32" s="8"/>
    </row>
    <row r="33" spans="2:7" s="12" customFormat="1" ht="17.75" x14ac:dyDescent="0.45">
      <c r="B33" s="21"/>
      <c r="C33" s="21"/>
      <c r="D33" s="66"/>
      <c r="E33" s="22"/>
      <c r="F33" s="22"/>
      <c r="G33" s="8"/>
    </row>
    <row r="34" spans="2:7" s="12" customFormat="1" ht="17.75" x14ac:dyDescent="0.45">
      <c r="B34" s="21"/>
      <c r="C34" s="21"/>
      <c r="D34" s="66"/>
      <c r="E34" s="22"/>
      <c r="F34" s="22"/>
      <c r="G34" s="8"/>
    </row>
    <row r="35" spans="2:7" s="12" customFormat="1" ht="17.75" x14ac:dyDescent="0.45">
      <c r="B35" s="21"/>
      <c r="C35" s="21"/>
      <c r="D35" s="66"/>
      <c r="E35" s="22"/>
      <c r="F35" s="22"/>
      <c r="G35" s="8"/>
    </row>
    <row r="36" spans="2:7" s="12" customFormat="1" ht="17.75" x14ac:dyDescent="0.45">
      <c r="B36" s="21"/>
      <c r="C36" s="21"/>
      <c r="D36" s="66"/>
      <c r="E36" s="22"/>
      <c r="F36" s="22"/>
      <c r="G36" s="8"/>
    </row>
  </sheetData>
  <mergeCells count="9">
    <mergeCell ref="B21:D21"/>
    <mergeCell ref="E21:F21"/>
    <mergeCell ref="B22:D22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26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O36"/>
  <sheetViews>
    <sheetView zoomScale="85" zoomScaleNormal="85" workbookViewId="0">
      <selection activeCell="E5" sqref="E5"/>
    </sheetView>
  </sheetViews>
  <sheetFormatPr baseColWidth="10" defaultColWidth="23.69921875" defaultRowHeight="14.55" x14ac:dyDescent="0.35"/>
  <cols>
    <col min="1" max="1" width="6.3984375" style="2" customWidth="1"/>
    <col min="2" max="2" width="36.09765625" style="3" bestFit="1" customWidth="1"/>
    <col min="3" max="3" width="23.8984375" style="3" bestFit="1" customWidth="1"/>
    <col min="4" max="4" width="17.3984375" style="67" bestFit="1" customWidth="1"/>
    <col min="5" max="5" width="18.09765625" style="5" bestFit="1" customWidth="1"/>
    <col min="6" max="6" width="49.69921875" style="6" bestFit="1" customWidth="1"/>
    <col min="7" max="7" width="20.8984375" style="2" bestFit="1" customWidth="1"/>
    <col min="8" max="8" width="22.3984375" style="2" bestFit="1" customWidth="1"/>
    <col min="9" max="16384" width="23.69921875" style="2"/>
  </cols>
  <sheetData>
    <row r="1" spans="1:15" ht="42.75" customHeight="1" x14ac:dyDescent="0.6">
      <c r="C1" s="76" t="s">
        <v>0</v>
      </c>
      <c r="D1" s="76"/>
      <c r="E1" s="76"/>
      <c r="F1" s="76"/>
      <c r="G1" s="76"/>
      <c r="H1" s="76"/>
    </row>
    <row r="2" spans="1:15" ht="38.950000000000003" customHeight="1" x14ac:dyDescent="0.6">
      <c r="B2" s="2"/>
      <c r="C2" s="76" t="s">
        <v>24</v>
      </c>
      <c r="D2" s="76"/>
      <c r="E2" s="76"/>
      <c r="F2" s="76"/>
      <c r="G2" s="76"/>
      <c r="H2" s="76"/>
    </row>
    <row r="3" spans="1:15" ht="24.05" customHeight="1" x14ac:dyDescent="0.55000000000000004">
      <c r="D3" s="61"/>
      <c r="F3" s="24"/>
      <c r="G3" s="32" t="s">
        <v>10</v>
      </c>
      <c r="H3" s="27" t="s">
        <v>64</v>
      </c>
    </row>
    <row r="4" spans="1:15" ht="17.75" x14ac:dyDescent="0.45">
      <c r="B4" s="70" t="s">
        <v>1</v>
      </c>
      <c r="C4" s="70"/>
      <c r="D4" s="70"/>
      <c r="E4" s="35">
        <f>+'ENERO 2026'!H8</f>
        <v>41602</v>
      </c>
      <c r="F4" s="7"/>
      <c r="G4" s="31"/>
    </row>
    <row r="5" spans="1:15" ht="17.75" x14ac:dyDescent="0.45">
      <c r="B5" s="25" t="s">
        <v>13</v>
      </c>
      <c r="C5" s="25"/>
      <c r="D5" s="62"/>
      <c r="E5" s="68">
        <v>58398</v>
      </c>
      <c r="F5" s="7"/>
      <c r="G5" s="31"/>
    </row>
    <row r="6" spans="1:15" ht="17.75" x14ac:dyDescent="0.45">
      <c r="B6" s="70" t="s">
        <v>2</v>
      </c>
      <c r="C6" s="70"/>
      <c r="D6" s="70"/>
      <c r="E6" s="35">
        <v>0</v>
      </c>
      <c r="F6" s="7"/>
    </row>
    <row r="7" spans="1:15" ht="17.75" x14ac:dyDescent="0.45">
      <c r="B7" s="77" t="s">
        <v>3</v>
      </c>
      <c r="C7" s="77"/>
      <c r="D7" s="77"/>
      <c r="E7" s="35">
        <f>SUM(E4:E6)</f>
        <v>100000</v>
      </c>
      <c r="F7" s="7"/>
      <c r="G7" s="26"/>
    </row>
    <row r="8" spans="1:15" ht="17.75" x14ac:dyDescent="0.45">
      <c r="B8" s="78" t="s">
        <v>4</v>
      </c>
      <c r="C8" s="78"/>
      <c r="D8" s="78"/>
      <c r="E8" s="38">
        <f>+G18</f>
        <v>74480</v>
      </c>
      <c r="F8" s="7"/>
      <c r="G8" s="29" t="s">
        <v>11</v>
      </c>
      <c r="H8" s="36">
        <f>E7-E8</f>
        <v>25520</v>
      </c>
    </row>
    <row r="9" spans="1:15" s="1" customFormat="1" ht="24.2" x14ac:dyDescent="0.6">
      <c r="D9" s="63"/>
      <c r="E9" s="10"/>
      <c r="F9" s="11"/>
      <c r="G9" s="9"/>
    </row>
    <row r="10" spans="1:15" s="9" customFormat="1" ht="53.2" x14ac:dyDescent="0.45">
      <c r="A10" s="13" t="s">
        <v>5</v>
      </c>
      <c r="B10" s="14" t="s">
        <v>6</v>
      </c>
      <c r="C10" s="14" t="s">
        <v>15</v>
      </c>
      <c r="D10" s="14" t="s">
        <v>21</v>
      </c>
      <c r="E10" s="14" t="s">
        <v>22</v>
      </c>
      <c r="F10" s="30" t="s">
        <v>7</v>
      </c>
      <c r="G10" s="14" t="s">
        <v>8</v>
      </c>
      <c r="H10" s="34" t="s">
        <v>25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46052</v>
      </c>
      <c r="C11" s="39" t="s">
        <v>44</v>
      </c>
      <c r="D11" s="58">
        <v>17293</v>
      </c>
      <c r="E11" s="41" t="s">
        <v>59</v>
      </c>
      <c r="F11" s="42" t="s">
        <v>69</v>
      </c>
      <c r="G11" s="44">
        <v>18000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46058</v>
      </c>
      <c r="C12" s="39" t="s">
        <v>40</v>
      </c>
      <c r="D12" s="58">
        <v>17242834</v>
      </c>
      <c r="E12" s="41" t="s">
        <v>103</v>
      </c>
      <c r="F12" s="42" t="s">
        <v>83</v>
      </c>
      <c r="G12" s="44">
        <v>1990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46058</v>
      </c>
      <c r="C13" s="39" t="s">
        <v>40</v>
      </c>
      <c r="D13" s="58">
        <v>814797755</v>
      </c>
      <c r="E13" s="41" t="s">
        <v>97</v>
      </c>
      <c r="F13" s="42" t="s">
        <v>118</v>
      </c>
      <c r="G13" s="44">
        <v>2000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46061</v>
      </c>
      <c r="C14" s="39" t="s">
        <v>40</v>
      </c>
      <c r="D14" s="58">
        <v>17264522</v>
      </c>
      <c r="E14" s="41" t="s">
        <v>103</v>
      </c>
      <c r="F14" s="42" t="s">
        <v>83</v>
      </c>
      <c r="G14" s="44">
        <v>1990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7</v>
      </c>
      <c r="B15" s="39">
        <v>46063</v>
      </c>
      <c r="C15" s="39" t="s">
        <v>40</v>
      </c>
      <c r="D15" s="58">
        <v>23892</v>
      </c>
      <c r="E15" s="41" t="s">
        <v>105</v>
      </c>
      <c r="F15" s="42" t="s">
        <v>106</v>
      </c>
      <c r="G15" s="44">
        <v>10500</v>
      </c>
      <c r="H15" s="43"/>
      <c r="I15" s="12"/>
      <c r="J15" s="12"/>
      <c r="K15" s="12"/>
      <c r="L15" s="12"/>
      <c r="M15" s="12"/>
      <c r="N15" s="12"/>
      <c r="O15" s="12"/>
    </row>
    <row r="16" spans="1:15" ht="16.55" customHeight="1" x14ac:dyDescent="0.45">
      <c r="A16" s="15">
        <v>8</v>
      </c>
      <c r="B16" s="39">
        <v>46030</v>
      </c>
      <c r="C16" s="39" t="s">
        <v>44</v>
      </c>
      <c r="D16" s="69">
        <v>1420</v>
      </c>
      <c r="E16" s="41" t="s">
        <v>119</v>
      </c>
      <c r="F16" s="42" t="s">
        <v>121</v>
      </c>
      <c r="G16" s="44">
        <v>40000</v>
      </c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9</v>
      </c>
      <c r="B17" s="39"/>
      <c r="C17" s="39"/>
      <c r="D17" s="58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s="12" customFormat="1" ht="17.75" x14ac:dyDescent="0.45">
      <c r="B18" s="16" t="s">
        <v>9</v>
      </c>
      <c r="C18" s="33"/>
      <c r="D18" s="64"/>
      <c r="E18" s="17"/>
      <c r="F18" s="17"/>
      <c r="G18" s="45">
        <f>SUM(G11:G17)</f>
        <v>74480</v>
      </c>
      <c r="H18" s="12" t="s">
        <v>120</v>
      </c>
    </row>
    <row r="19" spans="1:15" s="12" customFormat="1" ht="17.75" x14ac:dyDescent="0.45">
      <c r="B19" s="18"/>
      <c r="C19" s="18"/>
      <c r="D19" s="65"/>
      <c r="E19" s="19"/>
      <c r="F19" s="19"/>
      <c r="G19" s="20"/>
    </row>
    <row r="20" spans="1:15" s="12" customFormat="1" ht="17.75" x14ac:dyDescent="0.45">
      <c r="B20" s="21"/>
      <c r="C20" s="21"/>
      <c r="D20" s="66"/>
      <c r="E20" s="22"/>
      <c r="F20" s="22"/>
      <c r="G20" s="8"/>
    </row>
    <row r="21" spans="1:15" ht="17.75" x14ac:dyDescent="0.45">
      <c r="B21" s="70"/>
      <c r="C21" s="70"/>
      <c r="D21" s="71"/>
      <c r="E21" s="72"/>
      <c r="F21" s="73"/>
    </row>
    <row r="22" spans="1:15" ht="17.75" x14ac:dyDescent="0.45">
      <c r="B22" s="74"/>
      <c r="C22" s="74"/>
      <c r="D22" s="75"/>
      <c r="E22" s="37"/>
      <c r="F22" s="12"/>
      <c r="G22" s="28"/>
    </row>
    <row r="23" spans="1:15" s="12" customFormat="1" ht="17.75" x14ac:dyDescent="0.45">
      <c r="B23" s="21"/>
      <c r="C23" s="21"/>
      <c r="D23" s="66"/>
      <c r="E23" s="22"/>
      <c r="G23" s="8"/>
    </row>
    <row r="24" spans="1:15" s="12" customFormat="1" ht="17.75" x14ac:dyDescent="0.45">
      <c r="B24" s="21"/>
      <c r="C24" s="21"/>
      <c r="D24" s="66"/>
      <c r="E24" s="22"/>
      <c r="F24" s="22"/>
      <c r="G24" s="8"/>
    </row>
    <row r="25" spans="1:15" s="12" customFormat="1" ht="17.75" x14ac:dyDescent="0.45">
      <c r="B25" s="21"/>
      <c r="C25" s="21"/>
      <c r="D25" s="66"/>
      <c r="E25" s="22"/>
      <c r="F25" s="22"/>
      <c r="G25" s="8"/>
    </row>
    <row r="26" spans="1:15" s="12" customFormat="1" ht="17.75" x14ac:dyDescent="0.45">
      <c r="B26" s="21"/>
      <c r="C26" s="21"/>
      <c r="D26" s="66"/>
      <c r="E26" s="22"/>
      <c r="F26" s="22"/>
      <c r="G26" s="8"/>
    </row>
    <row r="27" spans="1:15" s="12" customFormat="1" ht="17.75" x14ac:dyDescent="0.45">
      <c r="B27" s="21"/>
      <c r="C27" s="21"/>
      <c r="D27" s="66"/>
      <c r="E27" s="22"/>
      <c r="F27" s="22"/>
      <c r="G27" s="8"/>
    </row>
    <row r="28" spans="1:15" s="12" customFormat="1" ht="17.75" x14ac:dyDescent="0.45">
      <c r="B28" s="21"/>
      <c r="C28" s="21"/>
      <c r="D28" s="66"/>
      <c r="E28" s="22"/>
      <c r="F28" s="22"/>
      <c r="G28" s="8"/>
    </row>
    <row r="29" spans="1:15" s="12" customFormat="1" ht="17.75" x14ac:dyDescent="0.45">
      <c r="B29" s="21"/>
      <c r="C29" s="21"/>
      <c r="D29" s="66"/>
      <c r="E29" s="22"/>
      <c r="F29" s="22"/>
      <c r="G29" s="8"/>
    </row>
    <row r="30" spans="1:15" s="12" customFormat="1" ht="17.75" x14ac:dyDescent="0.45">
      <c r="B30" s="21"/>
      <c r="C30" s="21"/>
      <c r="D30" s="66"/>
      <c r="E30" s="22"/>
      <c r="F30" s="22"/>
      <c r="G30" s="8"/>
    </row>
    <row r="31" spans="1:15" s="12" customFormat="1" ht="17.75" x14ac:dyDescent="0.45">
      <c r="B31" s="21"/>
      <c r="C31" s="21"/>
      <c r="D31" s="66"/>
      <c r="E31" s="22"/>
      <c r="F31" s="22"/>
      <c r="G31" s="8"/>
    </row>
    <row r="32" spans="1:15" s="12" customFormat="1" ht="17.75" x14ac:dyDescent="0.45">
      <c r="B32" s="21"/>
      <c r="C32" s="21"/>
      <c r="D32" s="66"/>
      <c r="E32" s="22"/>
      <c r="F32" s="22"/>
      <c r="G32" s="8"/>
    </row>
    <row r="33" spans="2:7" s="12" customFormat="1" ht="17.75" x14ac:dyDescent="0.45">
      <c r="B33" s="21"/>
      <c r="C33" s="21"/>
      <c r="D33" s="66"/>
      <c r="E33" s="22"/>
      <c r="F33" s="22"/>
      <c r="G33" s="8"/>
    </row>
    <row r="34" spans="2:7" s="12" customFormat="1" ht="17.75" x14ac:dyDescent="0.45">
      <c r="B34" s="21"/>
      <c r="C34" s="21"/>
      <c r="D34" s="66"/>
      <c r="E34" s="22"/>
      <c r="F34" s="22"/>
      <c r="G34" s="8"/>
    </row>
    <row r="35" spans="2:7" s="12" customFormat="1" ht="17.75" x14ac:dyDescent="0.45">
      <c r="B35" s="21"/>
      <c r="C35" s="21"/>
      <c r="D35" s="66"/>
      <c r="E35" s="22"/>
      <c r="F35" s="22"/>
      <c r="G35" s="8"/>
    </row>
    <row r="36" spans="2:7" s="12" customFormat="1" ht="17.75" x14ac:dyDescent="0.45">
      <c r="B36" s="21"/>
      <c r="C36" s="21"/>
      <c r="D36" s="66"/>
      <c r="E36" s="22"/>
      <c r="F36" s="22"/>
      <c r="G36" s="8"/>
    </row>
  </sheetData>
  <sortState xmlns:xlrd2="http://schemas.microsoft.com/office/spreadsheetml/2017/richdata2" ref="B11:G15">
    <sortCondition ref="B11"/>
  </sortState>
  <mergeCells count="9">
    <mergeCell ref="B21:D21"/>
    <mergeCell ref="E21:F21"/>
    <mergeCell ref="B22:D22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paperSize="9" scale="24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O36"/>
  <sheetViews>
    <sheetView zoomScale="70" zoomScaleNormal="70" workbookViewId="0">
      <selection activeCell="F22" sqref="F22"/>
    </sheetView>
  </sheetViews>
  <sheetFormatPr baseColWidth="10" defaultColWidth="23.69921875" defaultRowHeight="14.55" x14ac:dyDescent="0.35"/>
  <cols>
    <col min="1" max="1" width="6.3984375" style="2" customWidth="1"/>
    <col min="2" max="2" width="36.09765625" style="3" bestFit="1" customWidth="1"/>
    <col min="3" max="3" width="23.8984375" style="3" bestFit="1" customWidth="1"/>
    <col min="4" max="4" width="17.3984375" style="67" bestFit="1" customWidth="1"/>
    <col min="5" max="5" width="18.09765625" style="5" bestFit="1" customWidth="1"/>
    <col min="6" max="6" width="49.69921875" style="6" bestFit="1" customWidth="1"/>
    <col min="7" max="7" width="20.8984375" style="2" bestFit="1" customWidth="1"/>
    <col min="8" max="8" width="22.3984375" style="2" bestFit="1" customWidth="1"/>
    <col min="9" max="16384" width="23.69921875" style="2"/>
  </cols>
  <sheetData>
    <row r="1" spans="1:15" ht="42.75" customHeight="1" x14ac:dyDescent="0.6">
      <c r="C1" s="76" t="s">
        <v>0</v>
      </c>
      <c r="D1" s="76"/>
      <c r="E1" s="76"/>
      <c r="F1" s="76"/>
      <c r="G1" s="76"/>
      <c r="H1" s="76"/>
    </row>
    <row r="2" spans="1:15" ht="38.950000000000003" customHeight="1" x14ac:dyDescent="0.6">
      <c r="B2" s="2"/>
      <c r="C2" s="76" t="s">
        <v>24</v>
      </c>
      <c r="D2" s="76"/>
      <c r="E2" s="76"/>
      <c r="F2" s="76"/>
      <c r="G2" s="76"/>
      <c r="H2" s="76"/>
    </row>
    <row r="3" spans="1:15" ht="24.05" customHeight="1" x14ac:dyDescent="0.55000000000000004">
      <c r="D3" s="61"/>
      <c r="F3" s="24"/>
      <c r="G3" s="32" t="s">
        <v>10</v>
      </c>
      <c r="H3" s="27" t="s">
        <v>66</v>
      </c>
    </row>
    <row r="4" spans="1:15" ht="17.75" x14ac:dyDescent="0.45">
      <c r="B4" s="70" t="s">
        <v>1</v>
      </c>
      <c r="C4" s="70"/>
      <c r="D4" s="70"/>
      <c r="E4" s="35">
        <f>+'FEBRERO 2026'!H8</f>
        <v>25520</v>
      </c>
      <c r="F4" s="7"/>
      <c r="G4" s="31"/>
    </row>
    <row r="5" spans="1:15" ht="17.75" x14ac:dyDescent="0.45">
      <c r="B5" s="25" t="s">
        <v>13</v>
      </c>
      <c r="C5" s="25"/>
      <c r="D5" s="62"/>
      <c r="E5" s="68">
        <v>74480</v>
      </c>
      <c r="F5" s="7"/>
      <c r="G5" s="31"/>
    </row>
    <row r="6" spans="1:15" ht="17.75" x14ac:dyDescent="0.45">
      <c r="B6" s="70" t="s">
        <v>2</v>
      </c>
      <c r="C6" s="70"/>
      <c r="D6" s="70"/>
      <c r="E6" s="35">
        <v>0</v>
      </c>
      <c r="F6" s="7"/>
    </row>
    <row r="7" spans="1:15" ht="17.75" x14ac:dyDescent="0.45">
      <c r="B7" s="77" t="s">
        <v>3</v>
      </c>
      <c r="C7" s="77"/>
      <c r="D7" s="77"/>
      <c r="E7" s="35">
        <f>SUM(E4:E6)</f>
        <v>100000</v>
      </c>
      <c r="F7" s="7"/>
      <c r="G7" s="26"/>
    </row>
    <row r="8" spans="1:15" ht="17.75" x14ac:dyDescent="0.45">
      <c r="B8" s="78" t="s">
        <v>4</v>
      </c>
      <c r="C8" s="78"/>
      <c r="D8" s="78"/>
      <c r="E8" s="38">
        <f>+G18</f>
        <v>97350</v>
      </c>
      <c r="F8" s="7"/>
      <c r="G8" s="29" t="s">
        <v>11</v>
      </c>
      <c r="H8" s="36">
        <f>E7-E8</f>
        <v>2650</v>
      </c>
    </row>
    <row r="9" spans="1:15" s="1" customFormat="1" ht="24.2" x14ac:dyDescent="0.6">
      <c r="D9" s="63"/>
      <c r="E9" s="10"/>
      <c r="F9" s="11"/>
      <c r="G9" s="9"/>
    </row>
    <row r="10" spans="1:15" s="9" customFormat="1" ht="53.2" x14ac:dyDescent="0.45">
      <c r="A10" s="13" t="s">
        <v>5</v>
      </c>
      <c r="B10" s="14" t="s">
        <v>6</v>
      </c>
      <c r="C10" s="14" t="s">
        <v>15</v>
      </c>
      <c r="D10" s="14" t="s">
        <v>21</v>
      </c>
      <c r="E10" s="14" t="s">
        <v>22</v>
      </c>
      <c r="F10" s="30" t="s">
        <v>7</v>
      </c>
      <c r="G10" s="14" t="s">
        <v>8</v>
      </c>
      <c r="H10" s="34" t="s">
        <v>25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46081</v>
      </c>
      <c r="C11" s="39" t="s">
        <v>95</v>
      </c>
      <c r="D11" s="58">
        <v>17464</v>
      </c>
      <c r="E11" s="41" t="s">
        <v>59</v>
      </c>
      <c r="F11" s="42" t="s">
        <v>124</v>
      </c>
      <c r="G11" s="44">
        <v>18000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46084</v>
      </c>
      <c r="C12" s="39" t="s">
        <v>122</v>
      </c>
      <c r="D12" s="58">
        <v>909470</v>
      </c>
      <c r="E12" s="41" t="s">
        <v>45</v>
      </c>
      <c r="F12" s="42" t="s">
        <v>123</v>
      </c>
      <c r="G12" s="44">
        <v>57890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46091</v>
      </c>
      <c r="C13" s="39" t="s">
        <v>96</v>
      </c>
      <c r="D13" s="58">
        <v>17412398</v>
      </c>
      <c r="E13" s="41" t="s">
        <v>103</v>
      </c>
      <c r="F13" s="42" t="s">
        <v>125</v>
      </c>
      <c r="G13" s="44">
        <v>4990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46100</v>
      </c>
      <c r="C14" s="39" t="s">
        <v>122</v>
      </c>
      <c r="D14" s="58">
        <v>24267</v>
      </c>
      <c r="E14" s="41" t="s">
        <v>105</v>
      </c>
      <c r="F14" s="42" t="s">
        <v>109</v>
      </c>
      <c r="G14" s="44">
        <v>10500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7</v>
      </c>
      <c r="B15" s="39">
        <v>46104</v>
      </c>
      <c r="C15" s="39" t="s">
        <v>122</v>
      </c>
      <c r="D15" s="69">
        <v>17566085</v>
      </c>
      <c r="E15" s="41" t="s">
        <v>103</v>
      </c>
      <c r="F15" s="42" t="s">
        <v>127</v>
      </c>
      <c r="G15" s="44">
        <v>3980</v>
      </c>
      <c r="H15" s="43"/>
      <c r="I15" s="12"/>
      <c r="J15" s="12"/>
      <c r="K15" s="12"/>
      <c r="L15" s="12"/>
      <c r="M15" s="12"/>
      <c r="N15" s="12"/>
      <c r="O15" s="12"/>
    </row>
    <row r="16" spans="1:15" ht="16.55" customHeight="1" x14ac:dyDescent="0.45">
      <c r="A16" s="15">
        <v>8</v>
      </c>
      <c r="B16" s="39">
        <v>46106</v>
      </c>
      <c r="C16" s="39" t="s">
        <v>96</v>
      </c>
      <c r="D16" s="58">
        <v>17566434</v>
      </c>
      <c r="E16" s="41" t="s">
        <v>103</v>
      </c>
      <c r="F16" s="42" t="s">
        <v>126</v>
      </c>
      <c r="G16" s="44">
        <v>1990</v>
      </c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9</v>
      </c>
      <c r="B17" s="39"/>
      <c r="C17" s="39"/>
      <c r="D17" s="58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s="12" customFormat="1" ht="17.75" x14ac:dyDescent="0.45">
      <c r="B18" s="16" t="s">
        <v>9</v>
      </c>
      <c r="C18" s="33"/>
      <c r="D18" s="64"/>
      <c r="E18" s="17"/>
      <c r="F18" s="17"/>
      <c r="G18" s="45">
        <f>SUM(G11:G17)</f>
        <v>97350</v>
      </c>
      <c r="H18" s="12" t="s">
        <v>120</v>
      </c>
    </row>
    <row r="19" spans="1:15" s="12" customFormat="1" ht="17.75" x14ac:dyDescent="0.45">
      <c r="B19" s="18"/>
      <c r="C19" s="18"/>
      <c r="D19" s="65"/>
      <c r="E19" s="19"/>
      <c r="F19" s="19"/>
      <c r="G19" s="20"/>
    </row>
    <row r="20" spans="1:15" s="12" customFormat="1" ht="17.75" x14ac:dyDescent="0.45">
      <c r="B20" s="21"/>
      <c r="C20" s="21"/>
      <c r="D20" s="66"/>
      <c r="E20" s="22"/>
      <c r="F20" s="22"/>
      <c r="G20" s="8"/>
    </row>
    <row r="21" spans="1:15" ht="17.75" x14ac:dyDescent="0.45">
      <c r="B21" s="70"/>
      <c r="C21" s="70"/>
      <c r="D21" s="71"/>
      <c r="E21" s="72"/>
      <c r="F21" s="73"/>
    </row>
    <row r="22" spans="1:15" ht="17.75" x14ac:dyDescent="0.45">
      <c r="B22" s="74"/>
      <c r="C22" s="74"/>
      <c r="D22" s="75"/>
      <c r="E22" s="37"/>
      <c r="F22" s="79"/>
      <c r="G22" s="28"/>
    </row>
    <row r="23" spans="1:15" s="12" customFormat="1" ht="17.75" x14ac:dyDescent="0.45">
      <c r="B23" s="21"/>
      <c r="C23" s="21"/>
      <c r="D23" s="66"/>
      <c r="E23" s="22"/>
      <c r="G23" s="8"/>
    </row>
    <row r="24" spans="1:15" s="12" customFormat="1" ht="17.75" x14ac:dyDescent="0.45">
      <c r="B24" s="21"/>
      <c r="C24" s="21"/>
      <c r="D24" s="66"/>
      <c r="E24" s="22"/>
      <c r="F24" s="22"/>
      <c r="G24" s="8"/>
    </row>
    <row r="25" spans="1:15" s="12" customFormat="1" ht="17.75" x14ac:dyDescent="0.45">
      <c r="B25" s="21"/>
      <c r="C25" s="21"/>
      <c r="D25" s="66"/>
      <c r="E25" s="22"/>
      <c r="F25" s="22"/>
      <c r="G25" s="8"/>
    </row>
    <row r="26" spans="1:15" s="12" customFormat="1" ht="17.75" x14ac:dyDescent="0.45">
      <c r="B26" s="21"/>
      <c r="C26" s="21"/>
      <c r="D26" s="66"/>
      <c r="E26" s="22"/>
      <c r="F26" s="22"/>
      <c r="G26" s="8"/>
    </row>
    <row r="27" spans="1:15" s="12" customFormat="1" ht="17.75" x14ac:dyDescent="0.45">
      <c r="B27" s="21"/>
      <c r="C27" s="21"/>
      <c r="D27" s="66"/>
      <c r="E27" s="22"/>
      <c r="F27" s="22"/>
      <c r="G27" s="8"/>
    </row>
    <row r="28" spans="1:15" s="12" customFormat="1" ht="17.75" x14ac:dyDescent="0.45">
      <c r="B28" s="21"/>
      <c r="C28" s="21"/>
      <c r="D28" s="66"/>
      <c r="E28" s="22"/>
      <c r="F28" s="22"/>
      <c r="G28" s="8"/>
    </row>
    <row r="29" spans="1:15" s="12" customFormat="1" ht="17.75" x14ac:dyDescent="0.45">
      <c r="B29" s="21"/>
      <c r="C29" s="21"/>
      <c r="D29" s="66"/>
      <c r="E29" s="22"/>
      <c r="F29" s="22"/>
      <c r="G29" s="8"/>
    </row>
    <row r="30" spans="1:15" s="12" customFormat="1" ht="17.75" x14ac:dyDescent="0.45">
      <c r="B30" s="21"/>
      <c r="C30" s="21"/>
      <c r="D30" s="66"/>
      <c r="E30" s="22"/>
      <c r="F30" s="22"/>
      <c r="G30" s="8"/>
    </row>
    <row r="31" spans="1:15" s="12" customFormat="1" ht="17.75" x14ac:dyDescent="0.45">
      <c r="B31" s="21"/>
      <c r="C31" s="21"/>
      <c r="D31" s="66"/>
      <c r="E31" s="22"/>
      <c r="F31" s="22"/>
      <c r="G31" s="8"/>
    </row>
    <row r="32" spans="1:15" s="12" customFormat="1" ht="17.75" x14ac:dyDescent="0.45">
      <c r="B32" s="21"/>
      <c r="C32" s="21"/>
      <c r="D32" s="66"/>
      <c r="E32" s="22"/>
      <c r="F32" s="22"/>
      <c r="G32" s="8"/>
    </row>
    <row r="33" spans="2:7" s="12" customFormat="1" ht="17.75" x14ac:dyDescent="0.45">
      <c r="B33" s="21"/>
      <c r="C33" s="21"/>
      <c r="D33" s="66"/>
      <c r="E33" s="22"/>
      <c r="F33" s="22"/>
      <c r="G33" s="8"/>
    </row>
    <row r="34" spans="2:7" s="12" customFormat="1" ht="17.75" x14ac:dyDescent="0.45">
      <c r="B34" s="21"/>
      <c r="C34" s="21"/>
      <c r="D34" s="66"/>
      <c r="E34" s="22"/>
      <c r="F34" s="22"/>
      <c r="G34" s="8"/>
    </row>
    <row r="35" spans="2:7" s="12" customFormat="1" ht="17.75" x14ac:dyDescent="0.45">
      <c r="B35" s="21"/>
      <c r="C35" s="21"/>
      <c r="D35" s="66"/>
      <c r="E35" s="22"/>
      <c r="F35" s="22"/>
      <c r="G35" s="8"/>
    </row>
    <row r="36" spans="2:7" s="12" customFormat="1" ht="17.75" x14ac:dyDescent="0.45">
      <c r="B36" s="21"/>
      <c r="C36" s="21"/>
      <c r="D36" s="66"/>
      <c r="E36" s="22"/>
      <c r="F36" s="22"/>
      <c r="G36" s="8"/>
    </row>
  </sheetData>
  <sortState xmlns:xlrd2="http://schemas.microsoft.com/office/spreadsheetml/2017/richdata2" ref="B11:G17">
    <sortCondition ref="B11"/>
  </sortState>
  <mergeCells count="9">
    <mergeCell ref="B21:D21"/>
    <mergeCell ref="E21:F21"/>
    <mergeCell ref="B22:D22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25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O39"/>
  <sheetViews>
    <sheetView tabSelected="1" zoomScale="70" zoomScaleNormal="70" workbookViewId="0">
      <selection activeCell="I9" sqref="I9"/>
    </sheetView>
  </sheetViews>
  <sheetFormatPr baseColWidth="10" defaultColWidth="23.69921875" defaultRowHeight="14.55" x14ac:dyDescent="0.35"/>
  <cols>
    <col min="1" max="1" width="6.3984375" style="2" customWidth="1"/>
    <col min="2" max="2" width="36.09765625" style="3" bestFit="1" customWidth="1"/>
    <col min="3" max="3" width="23.8984375" style="3" bestFit="1" customWidth="1"/>
    <col min="4" max="4" width="17.3984375" style="67" bestFit="1" customWidth="1"/>
    <col min="5" max="5" width="18.09765625" style="5" bestFit="1" customWidth="1"/>
    <col min="6" max="6" width="49.69921875" style="6" bestFit="1" customWidth="1"/>
    <col min="7" max="7" width="20.8984375" style="2" bestFit="1" customWidth="1"/>
    <col min="8" max="8" width="22.3984375" style="2" bestFit="1" customWidth="1"/>
    <col min="9" max="16384" width="23.69921875" style="2"/>
  </cols>
  <sheetData>
    <row r="1" spans="1:15" ht="42.75" customHeight="1" x14ac:dyDescent="0.6">
      <c r="C1" s="76" t="s">
        <v>0</v>
      </c>
      <c r="D1" s="76"/>
      <c r="E1" s="76"/>
      <c r="F1" s="76"/>
      <c r="G1" s="76"/>
      <c r="H1" s="76"/>
    </row>
    <row r="2" spans="1:15" ht="38.950000000000003" customHeight="1" x14ac:dyDescent="0.6">
      <c r="B2" s="2"/>
      <c r="C2" s="76" t="s">
        <v>24</v>
      </c>
      <c r="D2" s="76"/>
      <c r="E2" s="76"/>
      <c r="F2" s="76"/>
      <c r="G2" s="76"/>
      <c r="H2" s="76"/>
    </row>
    <row r="3" spans="1:15" ht="24.05" customHeight="1" x14ac:dyDescent="0.55000000000000004">
      <c r="D3" s="61"/>
      <c r="F3" s="24"/>
      <c r="G3" s="32" t="s">
        <v>10</v>
      </c>
      <c r="H3" s="27" t="s">
        <v>128</v>
      </c>
    </row>
    <row r="4" spans="1:15" ht="17.75" x14ac:dyDescent="0.45">
      <c r="B4" s="70" t="s">
        <v>1</v>
      </c>
      <c r="C4" s="70"/>
      <c r="D4" s="70"/>
      <c r="E4" s="35">
        <f>+'MARZO 2026'!H8</f>
        <v>2650</v>
      </c>
      <c r="F4" s="7"/>
      <c r="G4" s="31"/>
    </row>
    <row r="5" spans="1:15" ht="17.75" x14ac:dyDescent="0.45">
      <c r="B5" s="25" t="s">
        <v>13</v>
      </c>
      <c r="C5" s="25"/>
      <c r="D5" s="62"/>
      <c r="E5" s="68">
        <v>97350</v>
      </c>
      <c r="F5" s="7"/>
      <c r="G5" s="31"/>
    </row>
    <row r="6" spans="1:15" ht="17.75" x14ac:dyDescent="0.45">
      <c r="B6" s="70" t="s">
        <v>2</v>
      </c>
      <c r="C6" s="70"/>
      <c r="D6" s="70"/>
      <c r="E6" s="35">
        <v>0</v>
      </c>
      <c r="F6" s="7"/>
    </row>
    <row r="7" spans="1:15" ht="17.75" x14ac:dyDescent="0.45">
      <c r="B7" s="77" t="s">
        <v>3</v>
      </c>
      <c r="C7" s="77"/>
      <c r="D7" s="77"/>
      <c r="E7" s="35">
        <f>SUM(E4:E6)</f>
        <v>100000</v>
      </c>
      <c r="F7" s="7"/>
      <c r="G7" s="26"/>
    </row>
    <row r="8" spans="1:15" ht="17.75" x14ac:dyDescent="0.45">
      <c r="B8" s="78" t="s">
        <v>4</v>
      </c>
      <c r="C8" s="78"/>
      <c r="D8" s="78"/>
      <c r="E8" s="38">
        <f>+G21</f>
        <v>62490</v>
      </c>
      <c r="F8" s="7"/>
      <c r="G8" s="29" t="s">
        <v>11</v>
      </c>
      <c r="H8" s="36">
        <f>E7-E8</f>
        <v>37510</v>
      </c>
    </row>
    <row r="9" spans="1:15" s="1" customFormat="1" ht="24.2" x14ac:dyDescent="0.6">
      <c r="D9" s="63"/>
      <c r="E9" s="10"/>
      <c r="F9" s="11"/>
      <c r="G9" s="9"/>
    </row>
    <row r="10" spans="1:15" s="9" customFormat="1" ht="53.2" x14ac:dyDescent="0.45">
      <c r="A10" s="13" t="s">
        <v>5</v>
      </c>
      <c r="B10" s="14" t="s">
        <v>6</v>
      </c>
      <c r="C10" s="14" t="s">
        <v>15</v>
      </c>
      <c r="D10" s="14" t="s">
        <v>21</v>
      </c>
      <c r="E10" s="14" t="s">
        <v>22</v>
      </c>
      <c r="F10" s="30" t="s">
        <v>7</v>
      </c>
      <c r="G10" s="14" t="s">
        <v>8</v>
      </c>
      <c r="H10" s="34" t="s">
        <v>25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46112</v>
      </c>
      <c r="C11" s="39" t="s">
        <v>129</v>
      </c>
      <c r="D11" s="58">
        <v>17662</v>
      </c>
      <c r="E11" s="41" t="s">
        <v>59</v>
      </c>
      <c r="F11" s="42" t="s">
        <v>130</v>
      </c>
      <c r="G11" s="44">
        <v>18000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46118</v>
      </c>
      <c r="C12" s="39" t="s">
        <v>122</v>
      </c>
      <c r="D12" s="58">
        <v>17617963</v>
      </c>
      <c r="E12" s="41" t="s">
        <v>103</v>
      </c>
      <c r="F12" s="42" t="s">
        <v>131</v>
      </c>
      <c r="G12" s="44">
        <v>6980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46120</v>
      </c>
      <c r="C13" s="39" t="s">
        <v>122</v>
      </c>
      <c r="D13" s="58">
        <v>817929903</v>
      </c>
      <c r="E13" s="41" t="s">
        <v>97</v>
      </c>
      <c r="F13" s="42" t="s">
        <v>132</v>
      </c>
      <c r="G13" s="44">
        <v>3290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46121</v>
      </c>
      <c r="C14" s="39" t="s">
        <v>122</v>
      </c>
      <c r="D14" s="58">
        <v>824556353</v>
      </c>
      <c r="E14" s="41" t="s">
        <v>133</v>
      </c>
      <c r="F14" s="42" t="s">
        <v>134</v>
      </c>
      <c r="G14" s="44">
        <v>2780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>
        <v>46126</v>
      </c>
      <c r="C15" s="39" t="s">
        <v>122</v>
      </c>
      <c r="D15" s="58">
        <v>24518</v>
      </c>
      <c r="E15" s="41" t="s">
        <v>105</v>
      </c>
      <c r="F15" s="42" t="s">
        <v>109</v>
      </c>
      <c r="G15" s="44">
        <v>10500</v>
      </c>
      <c r="H15" s="43"/>
      <c r="I15" s="12"/>
      <c r="J15" s="12"/>
      <c r="K15" s="12"/>
      <c r="L15" s="12"/>
      <c r="M15" s="12"/>
      <c r="N15" s="12"/>
      <c r="O15" s="12"/>
    </row>
    <row r="16" spans="1:15" ht="17.2" x14ac:dyDescent="0.45">
      <c r="A16" s="15">
        <v>6</v>
      </c>
      <c r="B16" s="39">
        <v>46132</v>
      </c>
      <c r="C16" s="39" t="s">
        <v>122</v>
      </c>
      <c r="D16" s="58">
        <v>59068106</v>
      </c>
      <c r="E16" s="41" t="s">
        <v>88</v>
      </c>
      <c r="F16" s="42" t="s">
        <v>135</v>
      </c>
      <c r="G16" s="44">
        <v>11470</v>
      </c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>
        <v>46133</v>
      </c>
      <c r="C17" s="39" t="s">
        <v>122</v>
      </c>
      <c r="D17" s="58">
        <v>829914370</v>
      </c>
      <c r="E17" s="41" t="s">
        <v>97</v>
      </c>
      <c r="F17" s="42" t="s">
        <v>127</v>
      </c>
      <c r="G17" s="44">
        <v>3490</v>
      </c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>
        <v>46135</v>
      </c>
      <c r="C18" s="39" t="s">
        <v>122</v>
      </c>
      <c r="D18" s="69">
        <v>15872002</v>
      </c>
      <c r="E18" s="41" t="s">
        <v>136</v>
      </c>
      <c r="F18" s="42" t="s">
        <v>137</v>
      </c>
      <c r="G18" s="44">
        <v>5980</v>
      </c>
      <c r="H18" s="43"/>
      <c r="I18" s="12"/>
      <c r="J18" s="12"/>
      <c r="K18" s="12"/>
      <c r="L18" s="12"/>
      <c r="M18" s="12"/>
      <c r="N18" s="12"/>
      <c r="O18" s="12"/>
    </row>
    <row r="19" spans="1:15" ht="16.55" customHeight="1" x14ac:dyDescent="0.45">
      <c r="A19" s="15">
        <v>9</v>
      </c>
      <c r="B19" s="39"/>
      <c r="C19" s="39"/>
      <c r="D19" s="58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58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s="12" customFormat="1" ht="17.75" x14ac:dyDescent="0.45">
      <c r="B21" s="16" t="s">
        <v>9</v>
      </c>
      <c r="C21" s="33"/>
      <c r="D21" s="64"/>
      <c r="E21" s="17"/>
      <c r="F21" s="17"/>
      <c r="G21" s="45">
        <f>SUM(G11:G20)</f>
        <v>62490</v>
      </c>
      <c r="H21" s="12" t="s">
        <v>120</v>
      </c>
    </row>
    <row r="22" spans="1:15" s="12" customFormat="1" ht="17.75" x14ac:dyDescent="0.45">
      <c r="B22" s="18"/>
      <c r="C22" s="18"/>
      <c r="D22" s="65"/>
      <c r="E22" s="19"/>
      <c r="F22" s="19"/>
      <c r="G22" s="20"/>
    </row>
    <row r="23" spans="1:15" s="12" customFormat="1" ht="17.75" x14ac:dyDescent="0.45">
      <c r="B23" s="21"/>
      <c r="C23" s="21"/>
      <c r="D23" s="66"/>
      <c r="E23" s="22"/>
      <c r="F23" s="22"/>
      <c r="G23" s="8"/>
    </row>
    <row r="24" spans="1:15" ht="17.75" x14ac:dyDescent="0.45">
      <c r="B24" s="70"/>
      <c r="C24" s="70"/>
      <c r="D24" s="71"/>
      <c r="E24" s="72"/>
      <c r="F24" s="73"/>
    </row>
    <row r="25" spans="1:15" ht="17.75" x14ac:dyDescent="0.45">
      <c r="B25" s="74"/>
      <c r="C25" s="74"/>
      <c r="D25" s="75"/>
      <c r="E25" s="37"/>
      <c r="F25" s="12"/>
      <c r="G25" s="28"/>
    </row>
    <row r="26" spans="1:15" s="12" customFormat="1" ht="17.75" x14ac:dyDescent="0.45">
      <c r="B26" s="21"/>
      <c r="C26" s="21"/>
      <c r="D26" s="66"/>
      <c r="E26" s="22"/>
      <c r="G26" s="8"/>
    </row>
    <row r="27" spans="1:15" s="12" customFormat="1" ht="17.75" x14ac:dyDescent="0.45">
      <c r="B27" s="21"/>
      <c r="C27" s="21"/>
      <c r="D27" s="66"/>
      <c r="E27" s="22"/>
      <c r="F27" s="22"/>
      <c r="G27" s="8"/>
    </row>
    <row r="28" spans="1:15" s="12" customFormat="1" ht="17.75" x14ac:dyDescent="0.45">
      <c r="B28" s="21"/>
      <c r="C28" s="21"/>
      <c r="D28" s="66"/>
      <c r="E28" s="22"/>
      <c r="F28" s="22"/>
      <c r="G28" s="8"/>
    </row>
    <row r="29" spans="1:15" s="12" customFormat="1" ht="17.75" x14ac:dyDescent="0.45">
      <c r="B29" s="21"/>
      <c r="C29" s="21"/>
      <c r="D29" s="66"/>
      <c r="E29" s="22"/>
      <c r="F29" s="22"/>
      <c r="G29" s="8"/>
    </row>
    <row r="30" spans="1:15" s="12" customFormat="1" ht="17.75" x14ac:dyDescent="0.45">
      <c r="B30" s="21"/>
      <c r="C30" s="21"/>
      <c r="D30" s="66"/>
      <c r="E30" s="22"/>
      <c r="F30" s="22"/>
      <c r="G30" s="8"/>
    </row>
    <row r="31" spans="1:15" s="12" customFormat="1" ht="17.75" x14ac:dyDescent="0.45">
      <c r="B31" s="21"/>
      <c r="C31" s="21"/>
      <c r="D31" s="66"/>
      <c r="E31" s="22"/>
      <c r="F31" s="22"/>
      <c r="G31" s="8"/>
    </row>
    <row r="32" spans="1:15" s="12" customFormat="1" ht="17.75" x14ac:dyDescent="0.45">
      <c r="B32" s="21"/>
      <c r="C32" s="21"/>
      <c r="D32" s="66"/>
      <c r="E32" s="22"/>
      <c r="F32" s="22"/>
      <c r="G32" s="8"/>
    </row>
    <row r="33" spans="2:7" s="12" customFormat="1" ht="17.75" x14ac:dyDescent="0.45">
      <c r="B33" s="21"/>
      <c r="C33" s="21"/>
      <c r="D33" s="66"/>
      <c r="E33" s="22"/>
      <c r="F33" s="22"/>
      <c r="G33" s="8"/>
    </row>
    <row r="34" spans="2:7" s="12" customFormat="1" ht="17.75" x14ac:dyDescent="0.45">
      <c r="B34" s="21"/>
      <c r="C34" s="21"/>
      <c r="D34" s="66"/>
      <c r="E34" s="22"/>
      <c r="F34" s="22"/>
      <c r="G34" s="8"/>
    </row>
    <row r="35" spans="2:7" s="12" customFormat="1" ht="17.75" x14ac:dyDescent="0.45">
      <c r="B35" s="21"/>
      <c r="C35" s="21"/>
      <c r="D35" s="66"/>
      <c r="E35" s="22"/>
      <c r="F35" s="22"/>
      <c r="G35" s="8"/>
    </row>
    <row r="36" spans="2:7" s="12" customFormat="1" ht="17.75" x14ac:dyDescent="0.45">
      <c r="B36" s="21"/>
      <c r="C36" s="21"/>
      <c r="D36" s="66"/>
      <c r="E36" s="22"/>
      <c r="F36" s="22"/>
      <c r="G36" s="8"/>
    </row>
    <row r="37" spans="2:7" s="12" customFormat="1" ht="17.75" x14ac:dyDescent="0.45">
      <c r="B37" s="21"/>
      <c r="C37" s="21"/>
      <c r="D37" s="66"/>
      <c r="E37" s="22"/>
      <c r="F37" s="22"/>
      <c r="G37" s="8"/>
    </row>
    <row r="38" spans="2:7" s="12" customFormat="1" ht="17.75" x14ac:dyDescent="0.45">
      <c r="B38" s="21"/>
      <c r="C38" s="21"/>
      <c r="D38" s="66"/>
      <c r="E38" s="22"/>
      <c r="F38" s="22"/>
      <c r="G38" s="8"/>
    </row>
    <row r="39" spans="2:7" s="12" customFormat="1" ht="17.75" x14ac:dyDescent="0.45">
      <c r="B39" s="21"/>
      <c r="C39" s="21"/>
      <c r="D39" s="66"/>
      <c r="E39" s="22"/>
      <c r="F39" s="22"/>
      <c r="G39" s="8"/>
    </row>
  </sheetData>
  <mergeCells count="9">
    <mergeCell ref="B24:D24"/>
    <mergeCell ref="E24:F24"/>
    <mergeCell ref="B25:D25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2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E92C5B-3EE6-4009-A8F0-FE9541ABB7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D5F0FAD-EE76-45F5-90A9-20C241F977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2B9740-FAAF-4990-8D23-C31732AB5506}">
  <ds:schemaRefs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6a7ff2fa-cd4c-4111-a6ab-75351164d87f"/>
    <ds:schemaRef ds:uri="fa8ec313-c772-4af8-8363-8ff52de2e6b8"/>
    <ds:schemaRef ds:uri="http://schemas.microsoft.com/office/2006/documentManagement/types"/>
    <ds:schemaRef ds:uri="http://schemas.microsoft.com/office/2006/metadata/properties"/>
    <ds:schemaRef ds:uri="http://schemas.microsoft.com/sharepoint/v3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6</vt:i4>
      </vt:variant>
    </vt:vector>
  </HeadingPairs>
  <TitlesOfParts>
    <vt:vector size="28" baseType="lpstr">
      <vt:lpstr>JULIO </vt:lpstr>
      <vt:lpstr>AGOSTO</vt:lpstr>
      <vt:lpstr>SEPTIEMBRE</vt:lpstr>
      <vt:lpstr>OCTUBRE</vt:lpstr>
      <vt:lpstr>NOVIEMBRE</vt:lpstr>
      <vt:lpstr>DICIEMBRE</vt:lpstr>
      <vt:lpstr>ENERO 2025</vt:lpstr>
      <vt:lpstr>FEBRERO 2025</vt:lpstr>
      <vt:lpstr> MARZO 2025</vt:lpstr>
      <vt:lpstr>ABRIL 2025</vt:lpstr>
      <vt:lpstr>MAYO 2025</vt:lpstr>
      <vt:lpstr>JUNIO 2025</vt:lpstr>
      <vt:lpstr>JULIO 2025</vt:lpstr>
      <vt:lpstr>AGOSTO 2025</vt:lpstr>
      <vt:lpstr>SEPTIEMBRE 2025</vt:lpstr>
      <vt:lpstr>OCTUBRE 2025</vt:lpstr>
      <vt:lpstr>NOVIEMBRE 2025</vt:lpstr>
      <vt:lpstr>DICIEMBRE 2025</vt:lpstr>
      <vt:lpstr>ENERO 2026</vt:lpstr>
      <vt:lpstr>FEBRERO 2026</vt:lpstr>
      <vt:lpstr>MARZO 2026</vt:lpstr>
      <vt:lpstr>ABRIL 2026</vt:lpstr>
      <vt:lpstr>AGOSTO!Área_de_impresión</vt:lpstr>
      <vt:lpstr>DICIEMBRE!Área_de_impresión</vt:lpstr>
      <vt:lpstr>'JULIO '!Área_de_impresión</vt:lpstr>
      <vt:lpstr>NOVIEMBRE!Área_de_impresión</vt:lpstr>
      <vt:lpstr>OCTUBRE!Área_de_impresión</vt:lpstr>
      <vt:lpstr>SEPTIEMBRE!Área_de_impresión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cp:lastPrinted>2026-04-25T17:40:32Z</cp:lastPrinted>
  <dcterms:created xsi:type="dcterms:W3CDTF">2022-02-07T12:32:53Z</dcterms:created>
  <dcterms:modified xsi:type="dcterms:W3CDTF">2026-05-11T15:22:35Z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