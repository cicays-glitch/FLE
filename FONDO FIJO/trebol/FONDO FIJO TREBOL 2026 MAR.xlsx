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FONDO FIJO/trebol/"/>
    </mc:Choice>
  </mc:AlternateContent>
  <xr:revisionPtr revIDLastSave="6" documentId="11_B40576B021EA5FDABC2819923F3D2A5AB3B65605" xr6:coauthVersionLast="47" xr6:coauthVersionMax="47" xr10:uidLastSave="{D79670A1-ADC4-4A75-B4ED-8FFAEB0945F8}"/>
  <bookViews>
    <workbookView xWindow="-107" yWindow="-107" windowWidth="20847" windowHeight="11111" tabRatio="808" activeTab="4" xr2:uid="{00000000-000D-0000-FFFF-FFFF00000000}"/>
  </bookViews>
  <sheets>
    <sheet name="DICIEMBRE_2025" sheetId="19" r:id="rId1"/>
    <sheet name="ENERO_2026" sheetId="20" r:id="rId2"/>
    <sheet name="FEBRERO 2026" sheetId="21" r:id="rId3"/>
    <sheet name="MARZO 2026" sheetId="22" r:id="rId4"/>
    <sheet name="ABRIL 2026" sheetId="23" r:id="rId5"/>
    <sheet name="MAYO 2026" sheetId="24" r:id="rId6"/>
    <sheet name="JUNIO 2026" sheetId="2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3" l="1"/>
  <c r="G26" i="25" l="1"/>
  <c r="E8" i="25" s="1"/>
  <c r="G26" i="24"/>
  <c r="E8" i="24" s="1"/>
  <c r="E8" i="23"/>
  <c r="G26" i="22"/>
  <c r="E8" i="22"/>
  <c r="E5" i="23" s="1"/>
  <c r="G26" i="21"/>
  <c r="E8" i="21" s="1"/>
  <c r="G19" i="20"/>
  <c r="E8" i="20" s="1"/>
  <c r="G26" i="19"/>
  <c r="E8" i="19" s="1"/>
  <c r="E7" i="19" l="1"/>
  <c r="H8" i="19" s="1"/>
  <c r="E4" i="20" s="1"/>
  <c r="E7" i="20" s="1"/>
  <c r="H8" i="20" s="1"/>
  <c r="E4" i="21" s="1"/>
  <c r="E7" i="21" s="1"/>
  <c r="H8" i="21" s="1"/>
  <c r="E4" i="22" s="1"/>
  <c r="E7" i="22" s="1"/>
  <c r="H8" i="22" s="1"/>
  <c r="E4" i="23" s="1"/>
  <c r="E7" i="23" s="1"/>
  <c r="H8" i="23" s="1"/>
  <c r="E4" i="24" s="1"/>
  <c r="E7" i="24" s="1"/>
  <c r="H8" i="24" s="1"/>
  <c r="E4" i="25" s="1"/>
  <c r="E7" i="25" s="1"/>
  <c r="H8" i="25" s="1"/>
</calcChain>
</file>

<file path=xl/sharedStrings.xml><?xml version="1.0" encoding="utf-8"?>
<sst xmlns="http://schemas.openxmlformats.org/spreadsheetml/2006/main" count="275" uniqueCount="104">
  <si>
    <t xml:space="preserve">RENDICION CAJA CHICA  </t>
  </si>
  <si>
    <t>TREBOL</t>
  </si>
  <si>
    <t>MES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</si>
  <si>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</si>
  <si>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</si>
  <si>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</si>
  <si>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</si>
  <si>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</si>
  <si>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</si>
  <si>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</si>
  <si>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</si>
  <si>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</si>
  <si>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</si>
  <si>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</si>
  <si>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</si>
  <si>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</si>
  <si>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150</t>
  </si>
  <si>
    <t>RECARGA DE AGUA</t>
  </si>
  <si>
    <t>LIMPIEZA DE VIDRIOS</t>
  </si>
  <si>
    <t>TOTALES</t>
  </si>
  <si>
    <t>77871211-3</t>
  </si>
  <si>
    <t>8992058-2</t>
  </si>
  <si>
    <t>77.871.211-3</t>
  </si>
  <si>
    <t>8.992.058-2</t>
  </si>
  <si>
    <t>78627210-6</t>
  </si>
  <si>
    <t>77960762-3</t>
  </si>
  <si>
    <t xml:space="preserve"> </t>
  </si>
  <si>
    <t>80.478.200-1</t>
  </si>
  <si>
    <t>ABRIL</t>
  </si>
  <si>
    <t>MAYO</t>
  </si>
  <si>
    <t>JUNIO</t>
  </si>
  <si>
    <t>BOLETA VENTA</t>
  </si>
  <si>
    <t>BOLETA HONORARIO</t>
  </si>
  <si>
    <t>122452511290270</t>
  </si>
  <si>
    <t>CINTA ADHESIVA</t>
  </si>
  <si>
    <t>13645308</t>
  </si>
  <si>
    <t>76306594-4</t>
  </si>
  <si>
    <t>CUMPLEAÑOS ROXANA</t>
  </si>
  <si>
    <t>24124</t>
  </si>
  <si>
    <t>122452512090144</t>
  </si>
  <si>
    <t>122452212260342</t>
  </si>
  <si>
    <t>SOBRES Y CANASTO PARA GIFTCARD</t>
  </si>
  <si>
    <t>796908084</t>
  </si>
  <si>
    <t>CUMPLEAÑOS ANDRYS</t>
  </si>
  <si>
    <t>5356</t>
  </si>
  <si>
    <t>LIMPIEZA VIDRIOS NOVIEMBRE</t>
  </si>
  <si>
    <t>5489</t>
  </si>
  <si>
    <t>PASAJE</t>
  </si>
  <si>
    <t>PASAJE BUS A SANTIAGO REUNION OBLIGATORIA</t>
  </si>
  <si>
    <t>UBER A LUGAR DE REUNION</t>
  </si>
  <si>
    <t>PASAJE BUS DE RETORNO REUNION OBLIGATORIA</t>
  </si>
  <si>
    <t>UBER TERMINAL DE SANTIAGO</t>
  </si>
  <si>
    <t>24162</t>
  </si>
  <si>
    <t>57250996</t>
  </si>
  <si>
    <t>COMPRA INSUMOS ESCRITORIO</t>
  </si>
  <si>
    <t>ENERO</t>
  </si>
  <si>
    <t>FEBRERO</t>
  </si>
  <si>
    <t>diciembre</t>
  </si>
  <si>
    <t>MARZO</t>
  </si>
  <si>
    <t>BOLETA HONORARIOS</t>
  </si>
  <si>
    <t>5524</t>
  </si>
  <si>
    <t>3293380953</t>
  </si>
  <si>
    <t>81201000-K</t>
  </si>
  <si>
    <t>24103</t>
  </si>
  <si>
    <t>3297865924</t>
  </si>
  <si>
    <t xml:space="preserve">PRODUCTOS DE LIMPIEZA </t>
  </si>
  <si>
    <t>5645</t>
  </si>
  <si>
    <t>LIMPEZA DE VIDRIOS</t>
  </si>
  <si>
    <t>873242</t>
  </si>
  <si>
    <t>78.919.700-8</t>
  </si>
  <si>
    <t>PILAS CONTROL TV</t>
  </si>
  <si>
    <t>16218463</t>
  </si>
  <si>
    <t>78.885.550-8</t>
  </si>
  <si>
    <t>TECLADO PC</t>
  </si>
  <si>
    <t>122442603070053</t>
  </si>
  <si>
    <t>77.960.762-3</t>
  </si>
  <si>
    <t>580298899</t>
  </si>
  <si>
    <t>58030885</t>
  </si>
  <si>
    <t>58031817</t>
  </si>
  <si>
    <t>24263</t>
  </si>
  <si>
    <t xml:space="preserve">DEPÓSITO RAUL </t>
  </si>
  <si>
    <t>5755</t>
  </si>
  <si>
    <t>58031994</t>
  </si>
  <si>
    <t>CINTA DE EMBALAJE</t>
  </si>
  <si>
    <t>122442604080026</t>
  </si>
  <si>
    <t>ARTICULOS DE LIMPIEZA</t>
  </si>
  <si>
    <t>BOELTA VENTA</t>
  </si>
  <si>
    <t>58327433</t>
  </si>
  <si>
    <t xml:space="preserve">BOLETA VENTA </t>
  </si>
  <si>
    <t>24282</t>
  </si>
  <si>
    <t>80.4782.00-1</t>
  </si>
  <si>
    <t>122452604210281</t>
  </si>
  <si>
    <t>ARTICULO DE LIMPIEZA</t>
  </si>
  <si>
    <t>BLETA VENTA</t>
  </si>
  <si>
    <t>82746658</t>
  </si>
  <si>
    <t>96.792.430-K</t>
  </si>
  <si>
    <t xml:space="preserve">AGUARRAS PARA LIMPIEZA DE PISO </t>
  </si>
  <si>
    <t>BOLETA VEBTA</t>
  </si>
  <si>
    <t>2556237141</t>
  </si>
  <si>
    <t>76.134.941-4</t>
  </si>
  <si>
    <t>MUEBLE BODEGA</t>
  </si>
  <si>
    <t>ESCALERA PARA BODEGA</t>
  </si>
  <si>
    <t>74279483</t>
  </si>
  <si>
    <t>76.322.590-9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</si>
</sst>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-* #,##0.00_-;\-* #,##0.00_-;_-* &quot;-&quot;??_-;_-@_-"/>
    <numFmt numFmtId="165" formatCode="_-* #,##0_-;\-* #,##0_-;_-* &quot;-&quot;??_-;_-@_-"/>
    <numFmt numFmtId="166" formatCode="#,##0_ ;\-#,##0\ "/>
    <numFmt numFmtId="167" formatCode="0_);[Red]\(0\)"/>
  </numFmts>
  <fonts count="24">
    <font>
      <sz val="11"/>
      <color theme="1"/>
      <name val="Calibri"/>
      <charset val="134"/>
      <scheme val="minor"/>
    </font>
    <font>
      <i/>
      <sz val="16"/>
      <name val="Segoe UI"/>
      <family val="2"/>
    </font>
    <font>
      <i/>
      <sz val="12"/>
      <name val="Segoe UI"/>
      <family val="2"/>
    </font>
    <font>
      <b/>
      <i/>
      <sz val="10"/>
      <name val="Segoe UI"/>
      <family val="2"/>
    </font>
    <font>
      <i/>
      <sz val="10"/>
      <name val="Segoe UI"/>
      <family val="2"/>
    </font>
    <font>
      <i/>
      <sz val="9"/>
      <name val="Segoe UI"/>
      <family val="2"/>
    </font>
    <font>
      <b/>
      <i/>
      <u/>
      <sz val="16"/>
      <name val="Segoe UI"/>
      <family val="2"/>
    </font>
    <font>
      <b/>
      <i/>
      <sz val="9"/>
      <name val="Segoe UI"/>
      <family val="2"/>
    </font>
    <font>
      <b/>
      <i/>
      <sz val="22"/>
      <name val="Segoe UI"/>
      <family val="2"/>
    </font>
    <font>
      <b/>
      <i/>
      <sz val="14"/>
      <name val="Segoe UI"/>
      <family val="2"/>
    </font>
    <font>
      <b/>
      <i/>
      <sz val="1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name val="Segoe UI"/>
      <family val="2"/>
    </font>
    <font>
      <b/>
      <i/>
      <sz val="12"/>
      <color rgb="FF0070C0"/>
      <name val="Segoe UI"/>
      <family val="2"/>
    </font>
    <font>
      <b/>
      <i/>
      <sz val="12"/>
      <color indexed="10"/>
      <name val="Segoe UI"/>
      <family val="2"/>
    </font>
    <font>
      <b/>
      <i/>
      <sz val="11"/>
      <color rgb="FFFF0000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Segoe UI"/>
      <family val="2"/>
    </font>
    <font>
      <sz val="10"/>
      <name val="Segoe UI"/>
      <family val="2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16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42" fontId="23" fillId="0" borderId="0" applyFont="0" applyFill="0" applyBorder="0" applyAlignment="0" applyProtection="0"/>
  </cellStyleXfs>
  <cellXfs count="7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/>
    <xf numFmtId="1" fontId="4" fillId="2" borderId="0" xfId="0" applyNumberFormat="1" applyFont="1" applyFill="1" applyAlignment="1">
      <alignment vertical="center"/>
    </xf>
    <xf numFmtId="3" fontId="4" fillId="2" borderId="0" xfId="0" applyNumberFormat="1" applyFont="1" applyFill="1"/>
    <xf numFmtId="0" fontId="7" fillId="2" borderId="0" xfId="0" applyFont="1" applyFill="1" applyAlignment="1">
      <alignment horizontal="left"/>
    </xf>
    <xf numFmtId="3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165" fontId="10" fillId="2" borderId="1" xfId="1" applyNumberFormat="1" applyFont="1" applyFill="1" applyBorder="1" applyAlignment="1">
      <alignment horizontal="center" vertical="center"/>
    </xf>
    <xf numFmtId="49" fontId="4" fillId="2" borderId="0" xfId="0" applyNumberFormat="1" applyFont="1" applyFill="1"/>
    <xf numFmtId="49" fontId="2" fillId="2" borderId="0" xfId="0" applyNumberFormat="1" applyFont="1" applyFill="1" applyAlignment="1">
      <alignment horizontal="center" vertical="center"/>
    </xf>
    <xf numFmtId="165" fontId="11" fillId="2" borderId="1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left"/>
    </xf>
    <xf numFmtId="165" fontId="15" fillId="2" borderId="1" xfId="1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 wrapText="1"/>
    </xf>
    <xf numFmtId="1" fontId="3" fillId="2" borderId="2" xfId="0" applyNumberFormat="1" applyFont="1" applyFill="1" applyBorder="1" applyAlignment="1">
      <alignment horizontal="center" vertical="center"/>
    </xf>
    <xf numFmtId="14" fontId="16" fillId="2" borderId="2" xfId="0" applyNumberFormat="1" applyFont="1" applyFill="1" applyBorder="1"/>
    <xf numFmtId="3" fontId="16" fillId="2" borderId="3" xfId="0" applyNumberFormat="1" applyFont="1" applyFill="1" applyBorder="1" applyAlignment="1">
      <alignment horizontal="left" wrapText="1"/>
    </xf>
    <xf numFmtId="166" fontId="16" fillId="2" borderId="2" xfId="1" applyNumberFormat="1" applyFont="1" applyFill="1" applyBorder="1" applyAlignment="1">
      <alignment horizontal="right"/>
    </xf>
    <xf numFmtId="0" fontId="16" fillId="3" borderId="2" xfId="0" applyFont="1" applyFill="1" applyBorder="1" applyAlignment="1">
      <alignment horizontal="center" vertical="center"/>
    </xf>
    <xf numFmtId="3" fontId="16" fillId="2" borderId="3" xfId="0" applyNumberFormat="1" applyFont="1" applyFill="1" applyBorder="1" applyAlignment="1">
      <alignment wrapText="1"/>
    </xf>
    <xf numFmtId="167" fontId="16" fillId="2" borderId="2" xfId="1" applyNumberFormat="1" applyFont="1" applyFill="1" applyBorder="1" applyAlignment="1"/>
    <xf numFmtId="0" fontId="12" fillId="2" borderId="3" xfId="0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6" fontId="17" fillId="2" borderId="2" xfId="1" applyNumberFormat="1" applyFont="1" applyFill="1" applyBorder="1" applyAlignment="1">
      <alignment horizontal="right"/>
    </xf>
    <xf numFmtId="0" fontId="12" fillId="2" borderId="5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3" fontId="12" fillId="2" borderId="5" xfId="0" applyNumberFormat="1" applyFont="1" applyFill="1" applyBorder="1"/>
    <xf numFmtId="0" fontId="1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3" fontId="12" fillId="2" borderId="0" xfId="0" applyNumberFormat="1" applyFont="1" applyFill="1"/>
    <xf numFmtId="0" fontId="3" fillId="2" borderId="0" xfId="0" applyFont="1" applyFill="1" applyAlignment="1">
      <alignment horizontal="center"/>
    </xf>
    <xf numFmtId="0" fontId="12" fillId="2" borderId="0" xfId="0" applyFont="1" applyFill="1"/>
    <xf numFmtId="14" fontId="16" fillId="2" borderId="2" xfId="0" applyNumberFormat="1" applyFont="1" applyFill="1" applyBorder="1" applyAlignment="1">
      <alignment horizontal="center" vertical="center"/>
    </xf>
    <xf numFmtId="14" fontId="16" fillId="2" borderId="2" xfId="0" applyNumberFormat="1" applyFont="1" applyFill="1" applyBorder="1" applyAlignment="1">
      <alignment horizontal="center"/>
    </xf>
    <xf numFmtId="3" fontId="21" fillId="2" borderId="2" xfId="0" applyNumberFormat="1" applyFont="1" applyFill="1" applyBorder="1" applyAlignment="1">
      <alignment wrapText="1"/>
    </xf>
    <xf numFmtId="14" fontId="21" fillId="2" borderId="2" xfId="0" applyNumberFormat="1" applyFont="1" applyFill="1" applyBorder="1"/>
    <xf numFmtId="3" fontId="21" fillId="2" borderId="3" xfId="0" applyNumberFormat="1" applyFont="1" applyFill="1" applyBorder="1" applyAlignment="1">
      <alignment wrapText="1"/>
    </xf>
    <xf numFmtId="49" fontId="20" fillId="0" borderId="2" xfId="0" applyNumberFormat="1" applyFont="1" applyBorder="1"/>
    <xf numFmtId="49" fontId="16" fillId="2" borderId="2" xfId="0" applyNumberFormat="1" applyFont="1" applyFill="1" applyBorder="1" applyAlignment="1">
      <alignment wrapText="1"/>
    </xf>
    <xf numFmtId="49" fontId="16" fillId="2" borderId="2" xfId="0" applyNumberFormat="1" applyFont="1" applyFill="1" applyBorder="1"/>
    <xf numFmtId="49" fontId="21" fillId="2" borderId="2" xfId="0" applyNumberFormat="1" applyFont="1" applyFill="1" applyBorder="1"/>
    <xf numFmtId="49" fontId="3" fillId="2" borderId="4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horizontal="left" wrapText="1"/>
    </xf>
    <xf numFmtId="14" fontId="21" fillId="2" borderId="2" xfId="0" applyNumberFormat="1" applyFont="1" applyFill="1" applyBorder="1" applyAlignment="1">
      <alignment horizontal="center"/>
    </xf>
    <xf numFmtId="49" fontId="21" fillId="2" borderId="2" xfId="0" applyNumberFormat="1" applyFont="1" applyFill="1" applyBorder="1" applyAlignment="1">
      <alignment wrapText="1"/>
    </xf>
    <xf numFmtId="49" fontId="13" fillId="2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4" fontId="21" fillId="2" borderId="2" xfId="0" applyNumberFormat="1" applyFont="1" applyFill="1" applyBorder="1" applyAlignment="1">
      <alignment horizontal="center" vertical="center"/>
    </xf>
    <xf numFmtId="3" fontId="16" fillId="2" borderId="2" xfId="0" applyNumberFormat="1" applyFont="1" applyFill="1" applyBorder="1" applyAlignment="1">
      <alignment wrapText="1"/>
    </xf>
    <xf numFmtId="42" fontId="16" fillId="2" borderId="2" xfId="4" applyFont="1" applyFill="1" applyBorder="1" applyAlignment="1"/>
    <xf numFmtId="42" fontId="16" fillId="2" borderId="2" xfId="4" applyFont="1" applyFill="1" applyBorder="1" applyAlignment="1">
      <alignment horizontal="righ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/>
    <xf numFmtId="0" fontId="1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42" fontId="16" fillId="4" borderId="2" xfId="4" applyFont="1" applyFill="1" applyBorder="1" applyAlignment="1"/>
    <xf numFmtId="42" fontId="17" fillId="4" borderId="2" xfId="4" applyFont="1" applyFill="1" applyBorder="1" applyAlignment="1">
      <alignment horizontal="right"/>
    </xf>
  </cellXfs>
  <cellStyles count="5">
    <cellStyle name="Millares" xfId="1" builtinId="3"/>
    <cellStyle name="Moneda [0]" xfId="4" builtinId="7"/>
    <cellStyle name="Moneda 2" xfId="2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740410</xdr:colOff>
      <xdr:row>2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B4D356-8D0D-49A5-9AD6-A9271F0A0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69010" cy="12477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165751-26C4-4D4C-A679-21C83C995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4720" cy="1165858"/>
        </a:xfrm>
        <a:prstGeom prst="rect">
          <a:avLst/>
        </a:prstGeom>
      </xdr:spPr>
    </xdr:pic>
    <xdr:clientData/>
  </xdr:twoCellAnchor>
  <xdr:twoCellAnchor editAs="oneCell">
    <xdr:from>
      <xdr:col>5</xdr:col>
      <xdr:colOff>3157750</xdr:colOff>
      <xdr:row>4</xdr:row>
      <xdr:rowOff>144619</xdr:rowOff>
    </xdr:from>
    <xdr:to>
      <xdr:col>14</xdr:col>
      <xdr:colOff>236246</xdr:colOff>
      <xdr:row>5</xdr:row>
      <xdr:rowOff>63289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2E50B8-CB79-9D27-8BD7-FDF4B06CC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60056" y="1697052"/>
          <a:ext cx="7109600" cy="140446"/>
        </a:xfrm>
        <a:prstGeom prst="rect">
          <a:avLst/>
        </a:prstGeom>
      </xdr:spPr>
    </xdr:pic>
    <xdr:clientData/>
  </xdr:twoCellAnchor>
  <xdr:twoCellAnchor editAs="oneCell">
    <xdr:from>
      <xdr:col>8</xdr:col>
      <xdr:colOff>200008</xdr:colOff>
      <xdr:row>6</xdr:row>
      <xdr:rowOff>134244</xdr:rowOff>
    </xdr:from>
    <xdr:to>
      <xdr:col>15</xdr:col>
      <xdr:colOff>307993</xdr:colOff>
      <xdr:row>9</xdr:row>
      <xdr:rowOff>290014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50480B-78DC-348A-D703-A3E83A74D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9657" y="2130229"/>
          <a:ext cx="5362374" cy="9063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780B60-FD2E-47D2-812C-DF2E1709A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5744" cy="1159944"/>
        </a:xfrm>
        <a:prstGeom prst="rect">
          <a:avLst/>
        </a:prstGeom>
      </xdr:spPr>
    </xdr:pic>
    <xdr:clientData/>
  </xdr:twoCellAnchor>
  <xdr:twoCellAnchor editAs="oneCell">
    <xdr:from>
      <xdr:col>8</xdr:col>
      <xdr:colOff>255896</xdr:colOff>
      <xdr:row>2</xdr:row>
      <xdr:rowOff>34119</xdr:rowOff>
    </xdr:from>
    <xdr:to>
      <xdr:col>18</xdr:col>
      <xdr:colOff>142059</xdr:colOff>
      <xdr:row>8</xdr:row>
      <xdr:rowOff>46117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92E57D-507E-5A53-2BAD-407A8578A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6127" y="1066232"/>
          <a:ext cx="7392432" cy="14194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9AA778-7492-43DE-AD81-BF7B64B96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5744" cy="1159944"/>
        </a:xfrm>
        <a:prstGeom prst="rect">
          <a:avLst/>
        </a:prstGeom>
      </xdr:spPr>
    </xdr:pic>
    <xdr:clientData/>
  </xdr:twoCellAnchor>
  <xdr:twoCellAnchor editAs="oneCell">
    <xdr:from>
      <xdr:col>5</xdr:col>
      <xdr:colOff>221776</xdr:colOff>
      <xdr:row>3</xdr:row>
      <xdr:rowOff>93829</xdr:rowOff>
    </xdr:from>
    <xdr:to>
      <xdr:col>7</xdr:col>
      <xdr:colOff>138232</xdr:colOff>
      <xdr:row>5</xdr:row>
      <xdr:rowOff>88487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7188C9-40EB-E61F-C7D1-DCF7F95F0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7694" y="1424485"/>
          <a:ext cx="4420217" cy="438211"/>
        </a:xfrm>
        <a:prstGeom prst="rect">
          <a:avLst/>
        </a:prstGeom>
      </xdr:spPr>
    </xdr:pic>
    <xdr:clientData/>
  </xdr:twoCellAnchor>
  <xdr:twoCellAnchor editAs="oneCell">
    <xdr:from>
      <xdr:col>8</xdr:col>
      <xdr:colOff>153537</xdr:colOff>
      <xdr:row>2</xdr:row>
      <xdr:rowOff>8529</xdr:rowOff>
    </xdr:from>
    <xdr:to>
      <xdr:col>17</xdr:col>
      <xdr:colOff>437852</xdr:colOff>
      <xdr:row>8</xdr:row>
      <xdr:rowOff>201527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FBBF24-C560-31EC-BDD9-2974ECAAA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86798" y="1040642"/>
          <a:ext cx="7039957" cy="16004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0E1963-B2D9-4E84-B0A6-226303D6B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5744" cy="1159944"/>
        </a:xfrm>
        <a:prstGeom prst="rect">
          <a:avLst/>
        </a:prstGeom>
      </xdr:spPr>
    </xdr:pic>
    <xdr:clientData/>
  </xdr:twoCellAnchor>
  <xdr:twoCellAnchor editAs="oneCell">
    <xdr:from>
      <xdr:col>8</xdr:col>
      <xdr:colOff>170598</xdr:colOff>
      <xdr:row>8</xdr:row>
      <xdr:rowOff>213246</xdr:rowOff>
    </xdr:from>
    <xdr:to>
      <xdr:col>17</xdr:col>
      <xdr:colOff>721651</xdr:colOff>
      <xdr:row>14</xdr:row>
      <xdr:rowOff>29696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BF5B81-4AEE-FC75-E465-7C994EE84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3859" y="2652784"/>
          <a:ext cx="7306695" cy="19147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1E5AFA-6DBF-46CA-AC78-C5A3EAD51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5744" cy="11599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</xdr:rowOff>
    </xdr:from>
    <xdr:to>
      <xdr:col>1</xdr:col>
      <xdr:colOff>702310</xdr:colOff>
      <xdr:row>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410A66-31EC-4B8E-BBFC-D50DCDF31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"/>
          <a:ext cx="935744" cy="1159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B44"/>
  <sheetViews>
    <sheetView workbookViewId="0">
      <selection activeCell="H4" sqref="H4"/>
    </sheetView>
  </sheetViews>
  <sheetFormatPr baseColWidth="10" defaultColWidth="11" defaultRowHeight="14.55"/>
  <cols>
    <col min="1" max="1" width="3.69921875" style="4" customWidth="1"/>
    <col min="2" max="2" width="34.8984375" style="5" customWidth="1"/>
    <col min="3" max="3" width="22.296875" style="5" bestFit="1" customWidth="1"/>
    <col min="4" max="4" width="18.296875" style="6" bestFit="1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71" t="s">
        <v>0</v>
      </c>
      <c r="D1" s="71"/>
      <c r="E1" s="71"/>
      <c r="F1" s="71"/>
      <c r="G1" s="71"/>
      <c r="H1" s="71"/>
    </row>
    <row r="2" spans="1:15" ht="38.950000000000003" customHeight="1">
      <c r="B2" s="4"/>
      <c r="C2" s="71" t="s">
        <v>1</v>
      </c>
      <c r="D2" s="71"/>
      <c r="E2" s="71"/>
      <c r="F2" s="71"/>
      <c r="G2" s="71"/>
      <c r="H2" s="71"/>
    </row>
    <row r="3" spans="1:15" ht="24.05" customHeight="1">
      <c r="D3" s="9"/>
      <c r="F3" s="10"/>
      <c r="G3" s="11" t="s">
        <v>2</v>
      </c>
      <c r="H3" s="12" t="s">
        <v>57</v>
      </c>
    </row>
    <row r="4" spans="1:15" ht="17.75">
      <c r="B4" s="65" t="s">
        <v>3</v>
      </c>
      <c r="C4" s="65"/>
      <c r="D4" s="65"/>
      <c r="E4" s="14">
        <v>53486</v>
      </c>
      <c r="F4" s="15"/>
      <c r="G4" s="16" t="s">
        <v>26</v>
      </c>
    </row>
    <row r="5" spans="1:15" ht="17.75">
      <c r="B5" s="13" t="s">
        <v>4</v>
      </c>
      <c r="C5" s="13"/>
      <c r="D5" s="13"/>
      <c r="E5" s="17">
        <v>46514</v>
      </c>
      <c r="F5" s="15"/>
      <c r="G5" s="16"/>
    </row>
    <row r="6" spans="1:15" ht="17.75">
      <c r="B6" s="65" t="s">
        <v>5</v>
      </c>
      <c r="C6" s="65"/>
      <c r="D6" s="65"/>
      <c r="E6" s="14">
        <v>0</v>
      </c>
      <c r="F6" s="15"/>
    </row>
    <row r="7" spans="1:15" ht="17.75">
      <c r="B7" s="72" t="s">
        <v>6</v>
      </c>
      <c r="C7" s="72"/>
      <c r="D7" s="72"/>
      <c r="E7" s="14">
        <f>SUM(E4:E6)</f>
        <v>100000</v>
      </c>
      <c r="F7" s="15"/>
      <c r="G7" s="18"/>
    </row>
    <row r="8" spans="1:15" ht="17.75">
      <c r="B8" s="73" t="s">
        <v>7</v>
      </c>
      <c r="C8" s="73"/>
      <c r="D8" s="73"/>
      <c r="E8" s="17">
        <f>+G26</f>
        <v>69920</v>
      </c>
      <c r="F8" s="15"/>
      <c r="G8" s="19" t="s">
        <v>8</v>
      </c>
      <c r="H8" s="20">
        <f>E7-E8</f>
        <v>30080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>
        <v>45988</v>
      </c>
      <c r="C11" s="28" t="s">
        <v>31</v>
      </c>
      <c r="D11" s="52">
        <v>24106</v>
      </c>
      <c r="E11" s="53" t="s">
        <v>20</v>
      </c>
      <c r="F11" s="29" t="s">
        <v>17</v>
      </c>
      <c r="G11" s="30">
        <v>7000</v>
      </c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>
        <v>45989</v>
      </c>
      <c r="C12" s="28" t="s">
        <v>31</v>
      </c>
      <c r="D12" s="52" t="s">
        <v>44</v>
      </c>
      <c r="E12" s="53" t="s">
        <v>21</v>
      </c>
      <c r="F12" s="29" t="s">
        <v>45</v>
      </c>
      <c r="G12" s="30">
        <v>15000</v>
      </c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>
        <v>45990</v>
      </c>
      <c r="C13" s="28" t="s">
        <v>31</v>
      </c>
      <c r="D13" s="52" t="s">
        <v>33</v>
      </c>
      <c r="E13" s="53" t="s">
        <v>25</v>
      </c>
      <c r="F13" s="29" t="s">
        <v>34</v>
      </c>
      <c r="G13" s="30">
        <v>4900</v>
      </c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>
        <v>45996</v>
      </c>
      <c r="C14" s="28" t="s">
        <v>31</v>
      </c>
      <c r="D14" s="52" t="s">
        <v>35</v>
      </c>
      <c r="E14" s="53" t="s">
        <v>36</v>
      </c>
      <c r="F14" s="29" t="s">
        <v>37</v>
      </c>
      <c r="G14" s="30">
        <v>14060</v>
      </c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>
        <v>46004</v>
      </c>
      <c r="C15" s="28" t="s">
        <v>31</v>
      </c>
      <c r="D15" s="51" t="s">
        <v>38</v>
      </c>
      <c r="E15" s="54" t="s">
        <v>20</v>
      </c>
      <c r="F15" s="48" t="s">
        <v>17</v>
      </c>
      <c r="G15" s="33">
        <v>7000</v>
      </c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>
        <v>46000</v>
      </c>
      <c r="C16" s="49" t="s">
        <v>31</v>
      </c>
      <c r="D16" s="52" t="s">
        <v>39</v>
      </c>
      <c r="E16" s="54" t="s">
        <v>25</v>
      </c>
      <c r="F16" s="50" t="s">
        <v>34</v>
      </c>
      <c r="G16" s="33">
        <v>1900</v>
      </c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>
        <v>46017</v>
      </c>
      <c r="C17" s="28" t="s">
        <v>31</v>
      </c>
      <c r="D17" s="52" t="s">
        <v>40</v>
      </c>
      <c r="E17" s="54" t="s">
        <v>25</v>
      </c>
      <c r="F17" s="32" t="s">
        <v>41</v>
      </c>
      <c r="G17" s="33">
        <v>5500</v>
      </c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47">
        <v>46001</v>
      </c>
      <c r="C18" s="28" t="s">
        <v>31</v>
      </c>
      <c r="D18" s="52" t="s">
        <v>42</v>
      </c>
      <c r="E18" s="53" t="s">
        <v>24</v>
      </c>
      <c r="F18" s="32" t="s">
        <v>43</v>
      </c>
      <c r="G18" s="33">
        <v>14560</v>
      </c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47"/>
      <c r="C19" s="28"/>
      <c r="D19" s="52"/>
      <c r="E19" s="53"/>
      <c r="F19" s="32"/>
      <c r="G19" s="33"/>
      <c r="H19" s="31"/>
      <c r="I19" s="3"/>
      <c r="J19" s="3"/>
      <c r="K19" s="3"/>
      <c r="L19" s="3"/>
      <c r="M19" s="3"/>
      <c r="N19" s="3"/>
      <c r="O19" s="3"/>
    </row>
    <row r="20" spans="1:15" ht="17.2">
      <c r="A20" s="27">
        <v>10</v>
      </c>
      <c r="B20" s="47"/>
      <c r="C20" s="28"/>
      <c r="D20" s="52"/>
      <c r="E20" s="53"/>
      <c r="F20" s="32"/>
      <c r="G20" s="33"/>
      <c r="H20" s="31"/>
      <c r="I20" s="3"/>
      <c r="J20" s="3"/>
      <c r="K20" s="3"/>
      <c r="L20" s="3"/>
      <c r="M20" s="3"/>
      <c r="N20" s="3"/>
      <c r="O20" s="3"/>
    </row>
    <row r="21" spans="1:15" ht="17.2">
      <c r="A21" s="27">
        <v>11</v>
      </c>
      <c r="B21" s="47"/>
      <c r="C21" s="28"/>
      <c r="D21" s="52"/>
      <c r="E21" s="53"/>
      <c r="F21" s="32"/>
      <c r="G21" s="33"/>
      <c r="H21" s="31"/>
    </row>
    <row r="22" spans="1:15" ht="17.2">
      <c r="A22" s="27">
        <v>12</v>
      </c>
      <c r="B22" s="28"/>
      <c r="C22" s="28"/>
      <c r="D22" s="52"/>
      <c r="E22" s="53"/>
      <c r="F22" s="32"/>
      <c r="G22" s="33"/>
      <c r="H22" s="31"/>
    </row>
    <row r="23" spans="1:15" ht="17.2">
      <c r="A23" s="27">
        <v>13</v>
      </c>
      <c r="B23" s="28"/>
      <c r="C23" s="28"/>
      <c r="D23" s="52"/>
      <c r="E23" s="53"/>
      <c r="F23" s="32"/>
      <c r="G23" s="33"/>
      <c r="H23" s="31"/>
    </row>
    <row r="24" spans="1:15" ht="17.2">
      <c r="A24" s="27">
        <v>14</v>
      </c>
      <c r="B24" s="28"/>
      <c r="C24" s="28"/>
      <c r="D24" s="52"/>
      <c r="E24" s="53"/>
      <c r="F24" s="32"/>
      <c r="G24" s="33"/>
      <c r="H24" s="31"/>
    </row>
    <row r="25" spans="1:15" ht="17.2">
      <c r="A25" s="27">
        <v>15</v>
      </c>
      <c r="B25" s="28"/>
      <c r="C25" s="28"/>
      <c r="D25" s="52"/>
      <c r="E25" s="53"/>
      <c r="F25" s="32"/>
      <c r="G25" s="33"/>
      <c r="H25" s="31"/>
    </row>
    <row r="26" spans="1:15" s="3" customFormat="1" ht="17.75">
      <c r="B26" s="34" t="s">
        <v>19</v>
      </c>
      <c r="C26" s="35"/>
      <c r="D26" s="55"/>
      <c r="E26" s="55"/>
      <c r="F26" s="36"/>
      <c r="G26" s="37">
        <f>SUM(G11:G25)</f>
        <v>69920</v>
      </c>
    </row>
    <row r="27" spans="1:15" s="3" customFormat="1" ht="17.75">
      <c r="B27" s="38"/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65"/>
      <c r="C29" s="65"/>
      <c r="D29" s="66"/>
      <c r="E29" s="67"/>
      <c r="F29" s="68"/>
    </row>
    <row r="30" spans="1:15" ht="17.75">
      <c r="B30" s="69"/>
      <c r="C30" s="69"/>
      <c r="D30" s="70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VB37"/>
  <sheetViews>
    <sheetView zoomScale="80" zoomScaleNormal="80" workbookViewId="0">
      <selection activeCell="H3" sqref="H3"/>
    </sheetView>
  </sheetViews>
  <sheetFormatPr baseColWidth="10" defaultColWidth="11" defaultRowHeight="14.55"/>
  <cols>
    <col min="1" max="1" width="3.69921875" style="4" customWidth="1"/>
    <col min="2" max="2" width="15.8984375" style="5" customWidth="1"/>
    <col min="3" max="3" width="22.296875" style="5" bestFit="1" customWidth="1"/>
    <col min="4" max="4" width="13.69921875" style="6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71" t="s">
        <v>0</v>
      </c>
      <c r="D1" s="71"/>
      <c r="E1" s="71"/>
      <c r="F1" s="71"/>
      <c r="G1" s="71"/>
      <c r="H1" s="71"/>
    </row>
    <row r="2" spans="1:15" ht="38.950000000000003" customHeight="1">
      <c r="B2" s="4"/>
      <c r="C2" s="71" t="s">
        <v>1</v>
      </c>
      <c r="D2" s="71"/>
      <c r="E2" s="71"/>
      <c r="F2" s="71"/>
      <c r="G2" s="71"/>
      <c r="H2" s="71"/>
    </row>
    <row r="3" spans="1:15" ht="24.05" customHeight="1">
      <c r="D3" s="9"/>
      <c r="F3" s="10"/>
      <c r="G3" s="11" t="s">
        <v>2</v>
      </c>
      <c r="H3" s="59" t="s">
        <v>55</v>
      </c>
    </row>
    <row r="4" spans="1:15" ht="17.75">
      <c r="B4" s="65" t="s">
        <v>3</v>
      </c>
      <c r="C4" s="65"/>
      <c r="D4" s="65"/>
      <c r="E4" s="14">
        <f>+DICIEMBRE_2025!H8</f>
        <v>30080</v>
      </c>
      <c r="F4" s="15"/>
      <c r="G4" s="16" t="s">
        <v>26</v>
      </c>
    </row>
    <row r="5" spans="1:15" ht="17.75">
      <c r="B5" s="13" t="s">
        <v>4</v>
      </c>
      <c r="C5" s="13"/>
      <c r="D5" s="13"/>
      <c r="E5" s="17">
        <v>69920</v>
      </c>
      <c r="F5" s="15"/>
      <c r="G5" s="16"/>
    </row>
    <row r="6" spans="1:15" ht="17.75">
      <c r="B6" s="65" t="s">
        <v>5</v>
      </c>
      <c r="C6" s="65"/>
      <c r="D6" s="65"/>
      <c r="E6" s="14">
        <v>0</v>
      </c>
      <c r="F6" s="15"/>
    </row>
    <row r="7" spans="1:15" ht="17.75">
      <c r="B7" s="72" t="s">
        <v>6</v>
      </c>
      <c r="C7" s="72"/>
      <c r="D7" s="72"/>
      <c r="E7" s="14">
        <f>SUM(E4:E6)</f>
        <v>100000</v>
      </c>
      <c r="F7" s="15"/>
      <c r="G7" s="18"/>
    </row>
    <row r="8" spans="1:15" ht="17.75">
      <c r="B8" s="73" t="s">
        <v>7</v>
      </c>
      <c r="C8" s="73"/>
      <c r="D8" s="73"/>
      <c r="E8" s="17">
        <f>+G19</f>
        <v>97318</v>
      </c>
      <c r="F8" s="15"/>
      <c r="G8" s="19" t="s">
        <v>8</v>
      </c>
      <c r="H8" s="20">
        <f>E7-E8</f>
        <v>2682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>
        <v>46021</v>
      </c>
      <c r="C11" s="28" t="s">
        <v>32</v>
      </c>
      <c r="D11" s="52" t="s">
        <v>46</v>
      </c>
      <c r="E11" s="53" t="s">
        <v>23</v>
      </c>
      <c r="F11" s="29" t="s">
        <v>18</v>
      </c>
      <c r="G11" s="30">
        <v>15000</v>
      </c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>
        <v>46028</v>
      </c>
      <c r="C12" s="28" t="s">
        <v>47</v>
      </c>
      <c r="D12" s="52"/>
      <c r="E12" s="53"/>
      <c r="F12" s="29" t="s">
        <v>48</v>
      </c>
      <c r="G12" s="30">
        <v>20470</v>
      </c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>
        <v>46029</v>
      </c>
      <c r="C13" s="28" t="s">
        <v>47</v>
      </c>
      <c r="D13" s="52"/>
      <c r="E13" s="53"/>
      <c r="F13" s="29" t="s">
        <v>49</v>
      </c>
      <c r="G13" s="30">
        <v>13783</v>
      </c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>
        <v>46030</v>
      </c>
      <c r="C14" s="49" t="s">
        <v>31</v>
      </c>
      <c r="D14" s="58" t="s">
        <v>52</v>
      </c>
      <c r="E14" s="54" t="s">
        <v>22</v>
      </c>
      <c r="F14" s="56" t="s">
        <v>17</v>
      </c>
      <c r="G14" s="30">
        <v>10500</v>
      </c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>
        <v>46031</v>
      </c>
      <c r="C15" s="49" t="s">
        <v>47</v>
      </c>
      <c r="D15" s="52"/>
      <c r="E15" s="53"/>
      <c r="F15" s="56" t="s">
        <v>50</v>
      </c>
      <c r="G15" s="30">
        <v>26250</v>
      </c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>
        <v>46031</v>
      </c>
      <c r="C16" s="49" t="s">
        <v>47</v>
      </c>
      <c r="D16" s="51"/>
      <c r="E16" s="54"/>
      <c r="F16" s="48" t="s">
        <v>51</v>
      </c>
      <c r="G16" s="30">
        <v>6025</v>
      </c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>
        <v>46032</v>
      </c>
      <c r="C17" s="49" t="s">
        <v>31</v>
      </c>
      <c r="D17" s="52" t="s">
        <v>53</v>
      </c>
      <c r="E17" s="54" t="s">
        <v>27</v>
      </c>
      <c r="F17" s="32" t="s">
        <v>54</v>
      </c>
      <c r="G17" s="33">
        <v>5290</v>
      </c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15</v>
      </c>
      <c r="B18" s="28"/>
      <c r="C18" s="28"/>
      <c r="D18" s="52"/>
      <c r="E18" s="53"/>
      <c r="F18" s="32"/>
      <c r="G18" s="33"/>
      <c r="H18" s="31"/>
    </row>
    <row r="19" spans="1:15" s="3" customFormat="1" ht="17.75">
      <c r="C19" s="35"/>
      <c r="D19" s="55"/>
      <c r="E19" s="55"/>
      <c r="F19" s="36"/>
      <c r="G19" s="37">
        <f>SUM(G11:G18)</f>
        <v>97318</v>
      </c>
    </row>
    <row r="20" spans="1:15" s="3" customFormat="1" ht="17.75">
      <c r="B20" s="34" t="s">
        <v>19</v>
      </c>
      <c r="C20" s="38"/>
      <c r="D20" s="39"/>
      <c r="E20" s="39"/>
      <c r="F20" s="39"/>
      <c r="G20" s="40"/>
    </row>
    <row r="21" spans="1:15" s="3" customFormat="1" ht="17.75">
      <c r="B21" s="41"/>
      <c r="C21" s="41"/>
      <c r="D21" s="42"/>
      <c r="E21" s="42"/>
      <c r="F21" s="42"/>
      <c r="G21" s="43"/>
    </row>
    <row r="22" spans="1:15" ht="17.75">
      <c r="B22" s="65"/>
      <c r="C22" s="65"/>
      <c r="D22" s="66"/>
      <c r="E22" s="67"/>
      <c r="F22" s="68"/>
    </row>
    <row r="23" spans="1:15" ht="17.75">
      <c r="B23" s="69"/>
      <c r="C23" s="69"/>
      <c r="D23" s="70"/>
      <c r="E23" s="45"/>
      <c r="F23" s="3"/>
      <c r="G23" s="44"/>
    </row>
    <row r="24" spans="1:15" s="3" customFormat="1" ht="17.75">
      <c r="B24" s="41"/>
      <c r="C24" s="41"/>
      <c r="D24" s="42"/>
      <c r="E24" s="42"/>
      <c r="G24" s="43"/>
    </row>
    <row r="25" spans="1:15" s="3" customFormat="1" ht="17.75">
      <c r="B25" s="41"/>
      <c r="C25" s="41"/>
      <c r="D25" s="42"/>
      <c r="E25" s="42"/>
      <c r="F25" s="42"/>
      <c r="G25" s="43"/>
    </row>
    <row r="26" spans="1:15" s="3" customFormat="1" ht="17.75">
      <c r="B26" s="41"/>
      <c r="C26" s="41"/>
      <c r="D26" s="42"/>
      <c r="E26" s="42"/>
      <c r="F26" s="42"/>
      <c r="G26" s="43"/>
    </row>
    <row r="27" spans="1:15" s="3" customFormat="1" ht="17.75">
      <c r="B27" s="41"/>
      <c r="C27" s="41"/>
      <c r="D27" s="42"/>
      <c r="E27" s="42"/>
      <c r="F27" s="42"/>
      <c r="G27" s="43"/>
    </row>
    <row r="28" spans="1:15" s="3" customFormat="1" ht="17.75">
      <c r="B28" s="41"/>
      <c r="C28" s="41"/>
      <c r="D28" s="42"/>
      <c r="E28" s="42"/>
      <c r="F28" s="42"/>
      <c r="G28" s="43"/>
    </row>
    <row r="29" spans="1:15" s="3" customFormat="1" ht="17.75">
      <c r="B29" s="41"/>
      <c r="C29" s="41"/>
      <c r="D29" s="42"/>
      <c r="E29" s="42"/>
      <c r="F29" s="42"/>
      <c r="G29" s="43"/>
    </row>
    <row r="30" spans="1:15" s="3" customFormat="1" ht="17.75">
      <c r="B30" s="41"/>
      <c r="C30" s="41"/>
      <c r="D30" s="42"/>
      <c r="E30" s="42"/>
      <c r="F30" s="42"/>
      <c r="G30" s="43"/>
    </row>
    <row r="31" spans="1:15" s="3" customFormat="1" ht="17.75">
      <c r="B31" s="41"/>
      <c r="C31" s="41"/>
      <c r="D31" s="42"/>
      <c r="E31" s="42"/>
      <c r="F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</sheetData>
  <mergeCells count="9">
    <mergeCell ref="B22:D22"/>
    <mergeCell ref="E22:F22"/>
    <mergeCell ref="B23:D23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VB44"/>
  <sheetViews>
    <sheetView topLeftCell="A2" zoomScale="80" zoomScaleNormal="80" workbookViewId="0">
      <selection activeCell="E7" sqref="E7"/>
    </sheetView>
  </sheetViews>
  <sheetFormatPr baseColWidth="10" defaultColWidth="11" defaultRowHeight="14.55"/>
  <cols>
    <col min="1" max="1" width="3.69921875" style="4" customWidth="1"/>
    <col min="2" max="2" width="23.8984375" style="5" customWidth="1"/>
    <col min="3" max="3" width="25" style="5" bestFit="1" customWidth="1"/>
    <col min="4" max="4" width="18.296875" style="6" bestFit="1" customWidth="1"/>
    <col min="5" max="5" width="14.69921875" style="7" customWidth="1"/>
    <col min="6" max="6" width="29.6992187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71" t="s">
        <v>0</v>
      </c>
      <c r="D1" s="71"/>
      <c r="E1" s="71"/>
      <c r="F1" s="71"/>
      <c r="G1" s="71"/>
      <c r="H1" s="71"/>
    </row>
    <row r="2" spans="1:15" ht="38.950000000000003" customHeight="1">
      <c r="B2" s="4"/>
      <c r="C2" s="71" t="s">
        <v>1</v>
      </c>
      <c r="D2" s="71"/>
      <c r="E2" s="71"/>
      <c r="F2" s="71"/>
      <c r="G2" s="71"/>
      <c r="H2" s="71"/>
    </row>
    <row r="3" spans="1:15" ht="24.05" customHeight="1">
      <c r="D3" s="9"/>
      <c r="F3" s="10"/>
      <c r="G3" s="11" t="s">
        <v>2</v>
      </c>
      <c r="H3" s="59" t="s">
        <v>56</v>
      </c>
    </row>
    <row r="4" spans="1:15" ht="17.75">
      <c r="B4" s="65" t="s">
        <v>3</v>
      </c>
      <c r="C4" s="65"/>
      <c r="D4" s="65"/>
      <c r="E4" s="14">
        <f>+ENERO_2026!H8</f>
        <v>2682</v>
      </c>
      <c r="F4" s="15"/>
      <c r="G4" s="16" t="s">
        <v>26</v>
      </c>
    </row>
    <row r="5" spans="1:15" ht="17.75">
      <c r="B5" s="13" t="s">
        <v>4</v>
      </c>
      <c r="C5" s="13"/>
      <c r="D5" s="13"/>
      <c r="E5" s="17">
        <v>46490</v>
      </c>
      <c r="F5" s="15"/>
      <c r="G5" s="16"/>
    </row>
    <row r="6" spans="1:15" ht="17.75">
      <c r="B6" s="65" t="s">
        <v>5</v>
      </c>
      <c r="C6" s="65"/>
      <c r="D6" s="65"/>
      <c r="E6" s="14">
        <v>0</v>
      </c>
      <c r="F6" s="15"/>
    </row>
    <row r="7" spans="1:15" ht="17.75">
      <c r="B7" s="72" t="s">
        <v>6</v>
      </c>
      <c r="C7" s="72"/>
      <c r="D7" s="72"/>
      <c r="E7" s="14">
        <f>SUM(E4:E6)</f>
        <v>49172</v>
      </c>
      <c r="F7" s="15"/>
      <c r="G7" s="18"/>
    </row>
    <row r="8" spans="1:15" ht="17.75">
      <c r="B8" s="73" t="s">
        <v>7</v>
      </c>
      <c r="C8" s="73"/>
      <c r="D8" s="73"/>
      <c r="E8" s="17">
        <f>+G26</f>
        <v>34383</v>
      </c>
      <c r="F8" s="15"/>
      <c r="G8" s="19" t="s">
        <v>8</v>
      </c>
      <c r="H8" s="20">
        <f>E7-E8</f>
        <v>14789</v>
      </c>
    </row>
    <row r="9" spans="1:15" s="1" customFormat="1" ht="24.2">
      <c r="E9" s="21"/>
      <c r="F9" s="22"/>
      <c r="G9" s="2"/>
    </row>
    <row r="10" spans="1:15" s="2" customFormat="1" ht="53.2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>
        <v>46049</v>
      </c>
      <c r="C11" s="28" t="s">
        <v>59</v>
      </c>
      <c r="D11" s="52" t="s">
        <v>60</v>
      </c>
      <c r="E11" s="53" t="s">
        <v>21</v>
      </c>
      <c r="F11" s="29" t="s">
        <v>18</v>
      </c>
      <c r="G11" s="30">
        <v>15000</v>
      </c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>
        <v>46053</v>
      </c>
      <c r="C12" s="28" t="s">
        <v>31</v>
      </c>
      <c r="D12" s="52" t="s">
        <v>61</v>
      </c>
      <c r="E12" s="53" t="s">
        <v>62</v>
      </c>
      <c r="F12" s="29" t="s">
        <v>34</v>
      </c>
      <c r="G12" s="30">
        <v>3493</v>
      </c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>
        <v>46053</v>
      </c>
      <c r="C13" s="28" t="s">
        <v>31</v>
      </c>
      <c r="D13" s="52" t="s">
        <v>63</v>
      </c>
      <c r="E13" s="53" t="s">
        <v>20</v>
      </c>
      <c r="F13" s="29" t="s">
        <v>17</v>
      </c>
      <c r="G13" s="30">
        <v>10500</v>
      </c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>
        <v>46059</v>
      </c>
      <c r="C14" s="28" t="s">
        <v>31</v>
      </c>
      <c r="D14" s="52" t="s">
        <v>64</v>
      </c>
      <c r="E14" s="53" t="s">
        <v>62</v>
      </c>
      <c r="F14" s="56" t="s">
        <v>65</v>
      </c>
      <c r="G14" s="30">
        <v>5390</v>
      </c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/>
      <c r="C15" s="49"/>
      <c r="D15" s="52"/>
      <c r="E15" s="53"/>
      <c r="F15" s="56"/>
      <c r="G15" s="30"/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/>
      <c r="C16" s="49"/>
      <c r="D16" s="51"/>
      <c r="E16" s="54"/>
      <c r="F16" s="48"/>
      <c r="G16" s="30"/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/>
      <c r="C17" s="49"/>
      <c r="D17" s="52"/>
      <c r="E17" s="54"/>
      <c r="F17" s="32"/>
      <c r="G17" s="33"/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4"/>
      <c r="C18" s="49"/>
      <c r="D18" s="52"/>
      <c r="E18" s="53"/>
      <c r="F18" s="32"/>
      <c r="G18" s="33"/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57"/>
      <c r="C19" s="49"/>
      <c r="D19" s="52"/>
      <c r="E19" s="53"/>
      <c r="F19" s="32"/>
      <c r="G19" s="33"/>
      <c r="H19" s="31"/>
      <c r="I19" s="3"/>
      <c r="J19" s="3"/>
      <c r="K19" s="3"/>
      <c r="L19" s="3"/>
      <c r="M19" s="3"/>
      <c r="N19" s="3"/>
      <c r="O19" s="3"/>
    </row>
    <row r="20" spans="1:15" ht="17.2">
      <c r="A20" s="27">
        <v>10</v>
      </c>
      <c r="B20" s="47"/>
      <c r="C20" s="28"/>
      <c r="D20" s="52"/>
      <c r="E20" s="53"/>
      <c r="F20" s="32"/>
      <c r="G20" s="33"/>
      <c r="H20" s="31"/>
      <c r="I20" s="3"/>
      <c r="J20" s="3"/>
      <c r="K20" s="3"/>
      <c r="L20" s="3"/>
      <c r="M20" s="3"/>
      <c r="N20" s="3"/>
      <c r="O20" s="3"/>
    </row>
    <row r="21" spans="1:15" ht="17.2">
      <c r="A21" s="27">
        <v>11</v>
      </c>
      <c r="B21" s="47"/>
      <c r="C21" s="28"/>
      <c r="D21" s="52"/>
      <c r="E21" s="53"/>
      <c r="F21" s="32"/>
      <c r="G21" s="33"/>
      <c r="H21" s="31"/>
    </row>
    <row r="22" spans="1:15" ht="17.2">
      <c r="A22" s="27">
        <v>12</v>
      </c>
      <c r="B22" s="28"/>
      <c r="C22" s="28"/>
      <c r="D22" s="52"/>
      <c r="E22" s="53"/>
      <c r="F22" s="32"/>
      <c r="G22" s="33"/>
      <c r="H22" s="31"/>
    </row>
    <row r="23" spans="1:15" ht="17.2">
      <c r="A23" s="27">
        <v>13</v>
      </c>
      <c r="B23" s="28"/>
      <c r="C23" s="28"/>
      <c r="D23" s="52"/>
      <c r="E23" s="53"/>
      <c r="F23" s="32"/>
      <c r="G23" s="33"/>
      <c r="H23" s="31"/>
    </row>
    <row r="24" spans="1:15" ht="17.2">
      <c r="A24" s="27">
        <v>14</v>
      </c>
      <c r="B24" s="28"/>
      <c r="C24" s="28"/>
      <c r="D24" s="52"/>
      <c r="E24" s="53"/>
      <c r="F24" s="32"/>
      <c r="G24" s="33"/>
      <c r="H24" s="31"/>
    </row>
    <row r="25" spans="1:15" ht="17.2">
      <c r="A25" s="27">
        <v>15</v>
      </c>
      <c r="B25" s="28"/>
      <c r="C25" s="28"/>
      <c r="D25" s="52"/>
      <c r="E25" s="53"/>
      <c r="F25" s="32"/>
      <c r="G25" s="33"/>
      <c r="H25" s="31"/>
    </row>
    <row r="26" spans="1:15" s="3" customFormat="1" ht="17.75">
      <c r="C26" s="35"/>
      <c r="D26" s="55"/>
      <c r="E26" s="55"/>
      <c r="F26" s="36"/>
      <c r="G26" s="37">
        <f>SUM(G11:G25)</f>
        <v>34383</v>
      </c>
    </row>
    <row r="27" spans="1:15" s="3" customFormat="1" ht="17.75">
      <c r="B27" s="34" t="s">
        <v>19</v>
      </c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65"/>
      <c r="C29" s="65"/>
      <c r="D29" s="66"/>
      <c r="E29" s="67"/>
      <c r="F29" s="68"/>
    </row>
    <row r="30" spans="1:15" ht="17.75">
      <c r="B30" s="69"/>
      <c r="C30" s="69"/>
      <c r="D30" s="70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VB44"/>
  <sheetViews>
    <sheetView zoomScale="80" zoomScaleNormal="80" workbookViewId="0">
      <selection activeCell="E8" sqref="E8"/>
    </sheetView>
  </sheetViews>
  <sheetFormatPr baseColWidth="10" defaultColWidth="11" defaultRowHeight="14.55"/>
  <cols>
    <col min="1" max="1" width="3.69921875" style="4" customWidth="1"/>
    <col min="2" max="2" width="34.8984375" style="5" customWidth="1"/>
    <col min="3" max="3" width="22.296875" style="5" bestFit="1" customWidth="1"/>
    <col min="4" max="4" width="18.296875" style="6" bestFit="1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71" t="s">
        <v>0</v>
      </c>
      <c r="D1" s="71"/>
      <c r="E1" s="71"/>
      <c r="F1" s="71"/>
      <c r="G1" s="71"/>
      <c r="H1" s="71"/>
    </row>
    <row r="2" spans="1:15" ht="38.950000000000003" customHeight="1">
      <c r="B2" s="4"/>
      <c r="C2" s="71" t="s">
        <v>1</v>
      </c>
      <c r="D2" s="71"/>
      <c r="E2" s="71"/>
      <c r="F2" s="71"/>
      <c r="G2" s="71"/>
      <c r="H2" s="71"/>
    </row>
    <row r="3" spans="1:15" ht="24.05" customHeight="1">
      <c r="D3" s="9"/>
      <c r="F3" s="10"/>
      <c r="G3" s="11" t="s">
        <v>2</v>
      </c>
      <c r="H3" s="59" t="s">
        <v>58</v>
      </c>
    </row>
    <row r="4" spans="1:15" ht="17.75">
      <c r="B4" s="65" t="s">
        <v>3</v>
      </c>
      <c r="C4" s="65"/>
      <c r="D4" s="65"/>
      <c r="E4" s="14">
        <f>+'FEBRERO 2026'!H8</f>
        <v>14789</v>
      </c>
      <c r="F4" s="15"/>
      <c r="G4" s="16" t="s">
        <v>26</v>
      </c>
    </row>
    <row r="5" spans="1:15" ht="17.75">
      <c r="B5" s="13" t="s">
        <v>80</v>
      </c>
      <c r="C5" s="13"/>
      <c r="D5" s="13"/>
      <c r="E5" s="17">
        <v>131701</v>
      </c>
      <c r="F5" s="15"/>
      <c r="G5" s="16"/>
    </row>
    <row r="6" spans="1:15" ht="17.75">
      <c r="B6" s="65" t="s">
        <v>5</v>
      </c>
      <c r="C6" s="65"/>
      <c r="D6" s="65"/>
      <c r="E6" s="14">
        <v>0</v>
      </c>
      <c r="F6" s="15"/>
    </row>
    <row r="7" spans="1:15" ht="17.75">
      <c r="B7" s="72" t="s">
        <v>6</v>
      </c>
      <c r="C7" s="72"/>
      <c r="D7" s="72"/>
      <c r="E7" s="14">
        <f>SUM(E4:E6)</f>
        <v>146490</v>
      </c>
      <c r="F7" s="15"/>
      <c r="G7" s="18"/>
    </row>
    <row r="8" spans="1:15" ht="17.75">
      <c r="B8" s="73" t="s">
        <v>7</v>
      </c>
      <c r="C8" s="73"/>
      <c r="D8" s="73"/>
      <c r="E8" s="17">
        <f>+G26</f>
        <v>52020</v>
      </c>
      <c r="F8" s="15"/>
      <c r="G8" s="19" t="s">
        <v>8</v>
      </c>
      <c r="H8" s="20">
        <f>E7-E8</f>
        <v>94470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>
        <v>46080</v>
      </c>
      <c r="C11" s="28" t="s">
        <v>59</v>
      </c>
      <c r="D11" s="52" t="s">
        <v>66</v>
      </c>
      <c r="E11" s="53" t="s">
        <v>23</v>
      </c>
      <c r="F11" s="29" t="s">
        <v>67</v>
      </c>
      <c r="G11" s="30">
        <v>15000</v>
      </c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>
        <v>46084</v>
      </c>
      <c r="C12" s="28" t="s">
        <v>31</v>
      </c>
      <c r="D12" s="52" t="s">
        <v>68</v>
      </c>
      <c r="E12" s="53" t="s">
        <v>69</v>
      </c>
      <c r="F12" s="29" t="s">
        <v>70</v>
      </c>
      <c r="G12" s="30">
        <v>2100</v>
      </c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>
        <v>46084</v>
      </c>
      <c r="C13" s="28" t="s">
        <v>31</v>
      </c>
      <c r="D13" s="52" t="s">
        <v>71</v>
      </c>
      <c r="E13" s="53" t="s">
        <v>72</v>
      </c>
      <c r="F13" s="29" t="s">
        <v>73</v>
      </c>
      <c r="G13" s="30">
        <v>7990</v>
      </c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6">
        <v>46088</v>
      </c>
      <c r="C14" s="28" t="s">
        <v>31</v>
      </c>
      <c r="D14" s="52" t="s">
        <v>74</v>
      </c>
      <c r="E14" s="53" t="s">
        <v>75</v>
      </c>
      <c r="F14" s="29" t="s">
        <v>34</v>
      </c>
      <c r="G14" s="30">
        <v>2500</v>
      </c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>
        <v>46094</v>
      </c>
      <c r="C15" s="28" t="s">
        <v>31</v>
      </c>
      <c r="D15" s="52" t="s">
        <v>76</v>
      </c>
      <c r="E15" s="53" t="s">
        <v>27</v>
      </c>
      <c r="F15" s="56" t="s">
        <v>34</v>
      </c>
      <c r="G15" s="30">
        <v>1990</v>
      </c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>
        <v>46100</v>
      </c>
      <c r="C16" s="28" t="s">
        <v>31</v>
      </c>
      <c r="D16" s="52" t="s">
        <v>77</v>
      </c>
      <c r="E16" s="53" t="s">
        <v>27</v>
      </c>
      <c r="F16" s="56" t="s">
        <v>34</v>
      </c>
      <c r="G16" s="30">
        <v>7960</v>
      </c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>
        <v>46106</v>
      </c>
      <c r="C17" s="28" t="s">
        <v>31</v>
      </c>
      <c r="D17" s="51" t="s">
        <v>78</v>
      </c>
      <c r="E17" s="53" t="s">
        <v>27</v>
      </c>
      <c r="F17" s="56" t="s">
        <v>34</v>
      </c>
      <c r="G17" s="30">
        <v>3980</v>
      </c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47">
        <v>46107</v>
      </c>
      <c r="C18" s="28" t="s">
        <v>31</v>
      </c>
      <c r="D18" s="52" t="s">
        <v>79</v>
      </c>
      <c r="E18" s="53" t="s">
        <v>22</v>
      </c>
      <c r="F18" s="32" t="s">
        <v>17</v>
      </c>
      <c r="G18" s="33">
        <v>10500</v>
      </c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57"/>
      <c r="C19" s="49"/>
      <c r="D19" s="52"/>
      <c r="E19" s="53"/>
      <c r="F19" s="32"/>
      <c r="G19" s="33"/>
      <c r="H19" s="31"/>
      <c r="I19" s="3"/>
      <c r="J19" s="3"/>
      <c r="K19" s="3"/>
      <c r="L19" s="3"/>
      <c r="M19" s="3"/>
      <c r="N19" s="3"/>
      <c r="O19" s="3"/>
    </row>
    <row r="20" spans="1:15" ht="17.2">
      <c r="A20" s="27">
        <v>10</v>
      </c>
      <c r="B20" s="47"/>
      <c r="C20" s="28"/>
      <c r="D20" s="52"/>
      <c r="E20" s="53"/>
      <c r="F20" s="32"/>
      <c r="G20" s="33"/>
      <c r="H20" s="31"/>
      <c r="I20" s="3"/>
      <c r="J20" s="3"/>
      <c r="K20" s="3"/>
      <c r="L20" s="3"/>
      <c r="M20" s="3"/>
      <c r="N20" s="3"/>
      <c r="O20" s="3"/>
    </row>
    <row r="21" spans="1:15" ht="17.2">
      <c r="A21" s="27">
        <v>11</v>
      </c>
      <c r="B21" s="47"/>
      <c r="C21" s="28"/>
      <c r="D21" s="52"/>
      <c r="E21" s="53"/>
      <c r="F21" s="32"/>
      <c r="G21" s="33"/>
      <c r="H21" s="31"/>
    </row>
    <row r="22" spans="1:15" ht="17.2">
      <c r="A22" s="27">
        <v>12</v>
      </c>
      <c r="B22" s="28"/>
      <c r="C22" s="28"/>
      <c r="D22" s="52"/>
      <c r="E22" s="53"/>
      <c r="F22" s="32"/>
      <c r="G22" s="33"/>
      <c r="H22" s="31"/>
    </row>
    <row r="23" spans="1:15" ht="17.2">
      <c r="A23" s="27">
        <v>13</v>
      </c>
      <c r="B23" s="28"/>
      <c r="C23" s="28"/>
      <c r="D23" s="52"/>
      <c r="E23" s="53"/>
      <c r="F23" s="32"/>
      <c r="G23" s="33"/>
      <c r="H23" s="31"/>
    </row>
    <row r="24" spans="1:15" ht="17.2">
      <c r="A24" s="27">
        <v>14</v>
      </c>
      <c r="B24" s="28"/>
      <c r="C24" s="28"/>
      <c r="D24" s="52"/>
      <c r="E24" s="53"/>
      <c r="F24" s="32"/>
      <c r="G24" s="33"/>
      <c r="H24" s="31"/>
    </row>
    <row r="25" spans="1:15" ht="17.2">
      <c r="A25" s="27">
        <v>15</v>
      </c>
      <c r="B25" s="28"/>
      <c r="C25" s="28"/>
      <c r="D25" s="52"/>
      <c r="E25" s="53"/>
      <c r="F25" s="32"/>
      <c r="G25" s="33"/>
      <c r="H25" s="31"/>
    </row>
    <row r="26" spans="1:15" s="3" customFormat="1" ht="17.75">
      <c r="C26" s="35"/>
      <c r="D26" s="55"/>
      <c r="E26" s="55"/>
      <c r="F26" s="36"/>
      <c r="G26" s="37">
        <f>SUM(G11:G25)</f>
        <v>52020</v>
      </c>
    </row>
    <row r="27" spans="1:15" s="3" customFormat="1" ht="17.75">
      <c r="B27" s="34" t="s">
        <v>19</v>
      </c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65"/>
      <c r="C29" s="65"/>
      <c r="D29" s="66"/>
      <c r="E29" s="67"/>
      <c r="F29" s="68"/>
    </row>
    <row r="30" spans="1:15" ht="17.75">
      <c r="B30" s="69"/>
      <c r="C30" s="69"/>
      <c r="D30" s="70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VB44"/>
  <sheetViews>
    <sheetView tabSelected="1" zoomScale="80" zoomScaleNormal="80" workbookViewId="0">
      <selection activeCell="J25" sqref="J25"/>
    </sheetView>
  </sheetViews>
  <sheetFormatPr baseColWidth="10" defaultColWidth="11" defaultRowHeight="14.55"/>
  <cols>
    <col min="1" max="1" width="3.69921875" style="4" customWidth="1"/>
    <col min="2" max="2" width="34.8984375" style="5" customWidth="1"/>
    <col min="3" max="3" width="22.296875" style="5" bestFit="1" customWidth="1"/>
    <col min="4" max="4" width="18.296875" style="6" bestFit="1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71" t="s">
        <v>0</v>
      </c>
      <c r="D1" s="71"/>
      <c r="E1" s="71"/>
      <c r="F1" s="71"/>
      <c r="G1" s="71"/>
      <c r="H1" s="71"/>
    </row>
    <row r="2" spans="1:15" ht="38.950000000000003" customHeight="1">
      <c r="B2" s="4"/>
      <c r="C2" s="71" t="s">
        <v>1</v>
      </c>
      <c r="D2" s="71"/>
      <c r="E2" s="71"/>
      <c r="F2" s="71"/>
      <c r="G2" s="71"/>
      <c r="H2" s="71"/>
    </row>
    <row r="3" spans="1:15" ht="24.05" customHeight="1">
      <c r="D3" s="9"/>
      <c r="F3" s="10"/>
      <c r="G3" s="11" t="s">
        <v>2</v>
      </c>
      <c r="H3" s="59" t="s">
        <v>28</v>
      </c>
    </row>
    <row r="4" spans="1:15" ht="17.75">
      <c r="B4" s="65" t="s">
        <v>3</v>
      </c>
      <c r="C4" s="65"/>
      <c r="D4" s="65"/>
      <c r="E4" s="14">
        <f>+'MARZO 2026'!H8</f>
        <v>94470</v>
      </c>
      <c r="F4" s="15"/>
      <c r="G4" s="16" t="s">
        <v>26</v>
      </c>
    </row>
    <row r="5" spans="1:15" ht="17.75">
      <c r="B5" s="13" t="s">
        <v>80</v>
      </c>
      <c r="C5" s="13"/>
      <c r="D5" s="13"/>
      <c r="E5" s="17">
        <f>'MARZO 2026'!E8</f>
        <v>52020</v>
      </c>
      <c r="F5" s="15"/>
      <c r="G5" s="16"/>
    </row>
    <row r="6" spans="1:15" ht="17.75">
      <c r="B6" s="65" t="s">
        <v>5</v>
      </c>
      <c r="C6" s="65"/>
      <c r="D6" s="65"/>
      <c r="E6" s="14">
        <v>0</v>
      </c>
      <c r="F6" s="15"/>
    </row>
    <row r="7" spans="1:15" ht="17.75">
      <c r="B7" s="72" t="s">
        <v>6</v>
      </c>
      <c r="C7" s="72"/>
      <c r="D7" s="72"/>
      <c r="E7" s="14">
        <f>SUM(E4:E6)</f>
        <v>146490</v>
      </c>
      <c r="F7" s="15"/>
      <c r="G7" s="18"/>
    </row>
    <row r="8" spans="1:15" ht="17.75">
      <c r="B8" s="73" t="s">
        <v>7</v>
      </c>
      <c r="C8" s="73"/>
      <c r="D8" s="73"/>
      <c r="E8" s="17">
        <f>+G26</f>
        <v>114140</v>
      </c>
      <c r="F8" s="15"/>
      <c r="G8" s="19" t="s">
        <v>8</v>
      </c>
      <c r="H8" s="20">
        <f>E7-E8</f>
        <v>32350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60">
        <v>46107</v>
      </c>
      <c r="C11" s="28" t="s">
        <v>31</v>
      </c>
      <c r="D11" s="52" t="s">
        <v>82</v>
      </c>
      <c r="E11" s="53" t="s">
        <v>27</v>
      </c>
      <c r="F11" s="32" t="s">
        <v>83</v>
      </c>
      <c r="G11" s="74">
        <v>7980</v>
      </c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>
        <v>46111</v>
      </c>
      <c r="C12" s="28" t="s">
        <v>59</v>
      </c>
      <c r="D12" s="52" t="s">
        <v>81</v>
      </c>
      <c r="E12" s="53" t="s">
        <v>23</v>
      </c>
      <c r="F12" s="29" t="s">
        <v>67</v>
      </c>
      <c r="G12" s="64">
        <v>15000</v>
      </c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>
        <v>46120</v>
      </c>
      <c r="C13" s="28" t="s">
        <v>31</v>
      </c>
      <c r="D13" s="52" t="s">
        <v>84</v>
      </c>
      <c r="E13" s="53" t="s">
        <v>75</v>
      </c>
      <c r="F13" s="29" t="s">
        <v>85</v>
      </c>
      <c r="G13" s="64">
        <v>6600</v>
      </c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6">
        <v>38820</v>
      </c>
      <c r="C14" s="28" t="s">
        <v>86</v>
      </c>
      <c r="D14" s="52" t="s">
        <v>87</v>
      </c>
      <c r="E14" s="53" t="s">
        <v>90</v>
      </c>
      <c r="F14" s="56" t="s">
        <v>83</v>
      </c>
      <c r="G14" s="64">
        <v>3590</v>
      </c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6">
        <v>46132</v>
      </c>
      <c r="C15" s="28" t="s">
        <v>88</v>
      </c>
      <c r="D15" s="52" t="s">
        <v>89</v>
      </c>
      <c r="E15" s="53" t="s">
        <v>22</v>
      </c>
      <c r="F15" s="56" t="s">
        <v>17</v>
      </c>
      <c r="G15" s="64">
        <v>10500</v>
      </c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6">
        <v>46133</v>
      </c>
      <c r="C16" s="28" t="s">
        <v>31</v>
      </c>
      <c r="D16" s="51" t="s">
        <v>91</v>
      </c>
      <c r="E16" s="53" t="s">
        <v>75</v>
      </c>
      <c r="F16" s="62" t="s">
        <v>92</v>
      </c>
      <c r="G16" s="64">
        <v>3800</v>
      </c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6">
        <v>46133</v>
      </c>
      <c r="C17" s="28" t="s">
        <v>93</v>
      </c>
      <c r="D17" s="52" t="s">
        <v>94</v>
      </c>
      <c r="E17" s="53" t="s">
        <v>95</v>
      </c>
      <c r="F17" s="32" t="s">
        <v>96</v>
      </c>
      <c r="G17" s="63">
        <v>1690</v>
      </c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61">
        <v>46133</v>
      </c>
      <c r="C18" s="28" t="s">
        <v>31</v>
      </c>
      <c r="D18" s="52" t="s">
        <v>102</v>
      </c>
      <c r="E18" s="53" t="s">
        <v>103</v>
      </c>
      <c r="F18" s="32" t="s">
        <v>101</v>
      </c>
      <c r="G18" s="63">
        <v>29990</v>
      </c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60">
        <v>46134</v>
      </c>
      <c r="C19" s="28" t="s">
        <v>97</v>
      </c>
      <c r="D19" s="52" t="s">
        <v>98</v>
      </c>
      <c r="E19" s="53" t="s">
        <v>99</v>
      </c>
      <c r="F19" s="32" t="s">
        <v>100</v>
      </c>
      <c r="G19" s="63">
        <v>34990</v>
      </c>
      <c r="H19" s="31"/>
      <c r="I19" s="3"/>
      <c r="J19" s="3"/>
      <c r="K19" s="3"/>
      <c r="L19" s="3"/>
      <c r="M19" s="3"/>
      <c r="N19" s="3"/>
      <c r="O19" s="3"/>
    </row>
    <row r="20" spans="1:15" ht="17.2" hidden="1">
      <c r="A20" s="27">
        <v>10</v>
      </c>
      <c r="B20" s="46"/>
      <c r="C20" s="28"/>
      <c r="D20" s="52"/>
      <c r="E20" s="53"/>
      <c r="F20" s="32"/>
      <c r="G20" s="63"/>
      <c r="H20" s="31"/>
      <c r="I20" s="3"/>
      <c r="J20" s="3"/>
      <c r="K20" s="3"/>
      <c r="L20" s="3"/>
      <c r="M20" s="3"/>
      <c r="N20" s="3"/>
      <c r="O20" s="3"/>
    </row>
    <row r="21" spans="1:15" ht="17.2" hidden="1">
      <c r="A21" s="27">
        <v>11</v>
      </c>
      <c r="B21" s="60"/>
      <c r="C21" s="28"/>
      <c r="D21" s="52"/>
      <c r="E21" s="53"/>
      <c r="F21" s="32"/>
      <c r="G21" s="63"/>
      <c r="H21" s="31"/>
    </row>
    <row r="22" spans="1:15" ht="17.2" hidden="1">
      <c r="A22" s="27">
        <v>12</v>
      </c>
      <c r="B22" s="46"/>
      <c r="C22" s="28"/>
      <c r="D22" s="52"/>
      <c r="E22" s="53"/>
      <c r="F22" s="32"/>
      <c r="G22" s="63"/>
      <c r="H22" s="31"/>
    </row>
    <row r="23" spans="1:15" ht="17.2" hidden="1">
      <c r="A23" s="27">
        <v>13</v>
      </c>
      <c r="B23" s="46"/>
      <c r="C23" s="28"/>
      <c r="D23" s="52"/>
      <c r="E23" s="53"/>
      <c r="F23" s="32"/>
      <c r="G23" s="63"/>
      <c r="H23" s="31"/>
    </row>
    <row r="24" spans="1:15" ht="17.2" hidden="1">
      <c r="A24" s="27">
        <v>14</v>
      </c>
      <c r="B24" s="46"/>
      <c r="C24" s="28"/>
      <c r="D24" s="52"/>
      <c r="E24" s="53"/>
      <c r="F24" s="32"/>
      <c r="G24" s="63"/>
      <c r="H24" s="31"/>
    </row>
    <row r="25" spans="1:15" ht="17.2">
      <c r="A25" s="27">
        <v>15</v>
      </c>
      <c r="B25" s="46"/>
      <c r="C25" s="28"/>
      <c r="D25" s="52"/>
      <c r="E25" s="53"/>
      <c r="F25" s="32"/>
      <c r="G25" s="63"/>
      <c r="H25" s="31"/>
    </row>
    <row r="26" spans="1:15" s="3" customFormat="1" ht="17.75">
      <c r="C26" s="35"/>
      <c r="D26" s="55"/>
      <c r="E26" s="55"/>
      <c r="F26" s="36"/>
      <c r="G26" s="75">
        <f>SUM(G11:G25)</f>
        <v>114140</v>
      </c>
    </row>
    <row r="27" spans="1:15" s="3" customFormat="1" ht="17.75">
      <c r="B27" s="34" t="s">
        <v>19</v>
      </c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65"/>
      <c r="C29" s="65"/>
      <c r="D29" s="66"/>
      <c r="E29" s="67"/>
      <c r="F29" s="68"/>
    </row>
    <row r="30" spans="1:15" ht="17.75">
      <c r="B30" s="69"/>
      <c r="C30" s="69"/>
      <c r="D30" s="70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VB44"/>
  <sheetViews>
    <sheetView topLeftCell="A2" zoomScale="80" zoomScaleNormal="80" workbookViewId="0">
      <selection activeCell="F10" sqref="F10"/>
    </sheetView>
  </sheetViews>
  <sheetFormatPr baseColWidth="10" defaultColWidth="11" defaultRowHeight="14.55"/>
  <cols>
    <col min="1" max="1" width="3.69921875" style="4" customWidth="1"/>
    <col min="2" max="2" width="34.8984375" style="5" customWidth="1"/>
    <col min="3" max="3" width="22.296875" style="5" bestFit="1" customWidth="1"/>
    <col min="4" max="4" width="18.296875" style="6" bestFit="1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71" t="s">
        <v>0</v>
      </c>
      <c r="D1" s="71"/>
      <c r="E1" s="71"/>
      <c r="F1" s="71"/>
      <c r="G1" s="71"/>
      <c r="H1" s="71"/>
    </row>
    <row r="2" spans="1:15" ht="38.950000000000003" customHeight="1">
      <c r="B2" s="4"/>
      <c r="C2" s="71" t="s">
        <v>1</v>
      </c>
      <c r="D2" s="71"/>
      <c r="E2" s="71"/>
      <c r="F2" s="71"/>
      <c r="G2" s="71"/>
      <c r="H2" s="71"/>
    </row>
    <row r="3" spans="1:15" ht="24.05" customHeight="1">
      <c r="D3" s="9"/>
      <c r="F3" s="10"/>
      <c r="G3" s="11" t="s">
        <v>2</v>
      </c>
      <c r="H3" s="59" t="s">
        <v>29</v>
      </c>
    </row>
    <row r="4" spans="1:15" ht="17.75">
      <c r="B4" s="65" t="s">
        <v>3</v>
      </c>
      <c r="C4" s="65"/>
      <c r="D4" s="65"/>
      <c r="E4" s="14">
        <f>+'ABRIL 2026'!H8</f>
        <v>32350</v>
      </c>
      <c r="F4" s="15"/>
      <c r="G4" s="16" t="s">
        <v>26</v>
      </c>
    </row>
    <row r="5" spans="1:15" ht="17.75">
      <c r="B5" s="13" t="s">
        <v>80</v>
      </c>
      <c r="C5" s="13"/>
      <c r="D5" s="13"/>
      <c r="E5" s="17"/>
      <c r="F5" s="15"/>
      <c r="G5" s="16"/>
    </row>
    <row r="6" spans="1:15" ht="17.75">
      <c r="B6" s="65" t="s">
        <v>5</v>
      </c>
      <c r="C6" s="65"/>
      <c r="D6" s="65"/>
      <c r="E6" s="14">
        <v>0</v>
      </c>
      <c r="F6" s="15"/>
    </row>
    <row r="7" spans="1:15" ht="17.75">
      <c r="B7" s="72" t="s">
        <v>6</v>
      </c>
      <c r="C7" s="72"/>
      <c r="D7" s="72"/>
      <c r="E7" s="14">
        <f>SUM(E4:E6)</f>
        <v>32350</v>
      </c>
      <c r="F7" s="15"/>
      <c r="G7" s="18"/>
    </row>
    <row r="8" spans="1:15" ht="17.75">
      <c r="B8" s="73" t="s">
        <v>7</v>
      </c>
      <c r="C8" s="73"/>
      <c r="D8" s="73"/>
      <c r="E8" s="17">
        <f>+G26</f>
        <v>0</v>
      </c>
      <c r="F8" s="15"/>
      <c r="G8" s="19" t="s">
        <v>8</v>
      </c>
      <c r="H8" s="20">
        <f>E7-E8</f>
        <v>32350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/>
      <c r="C11" s="28"/>
      <c r="D11" s="52"/>
      <c r="E11" s="53"/>
      <c r="F11" s="29"/>
      <c r="G11" s="30"/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/>
      <c r="C12" s="28"/>
      <c r="D12" s="52"/>
      <c r="E12" s="53"/>
      <c r="F12" s="29"/>
      <c r="G12" s="30"/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/>
      <c r="C13" s="28"/>
      <c r="D13" s="52"/>
      <c r="E13" s="53"/>
      <c r="F13" s="29"/>
      <c r="G13" s="30"/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/>
      <c r="C14" s="49"/>
      <c r="D14" s="58"/>
      <c r="E14" s="54"/>
      <c r="F14" s="56"/>
      <c r="G14" s="30"/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/>
      <c r="C15" s="49"/>
      <c r="D15" s="52"/>
      <c r="E15" s="53"/>
      <c r="F15" s="56"/>
      <c r="G15" s="30"/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/>
      <c r="C16" s="49"/>
      <c r="D16" s="51"/>
      <c r="E16" s="54"/>
      <c r="F16" s="48"/>
      <c r="G16" s="30"/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/>
      <c r="C17" s="49"/>
      <c r="D17" s="52"/>
      <c r="E17" s="54"/>
      <c r="F17" s="32"/>
      <c r="G17" s="33"/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4"/>
      <c r="C18" s="49"/>
      <c r="D18" s="52"/>
      <c r="E18" s="53"/>
      <c r="F18" s="32"/>
      <c r="G18" s="33"/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57"/>
      <c r="C19" s="49"/>
      <c r="D19" s="52"/>
      <c r="E19" s="53"/>
      <c r="F19" s="32"/>
      <c r="G19" s="33"/>
      <c r="H19" s="31"/>
      <c r="I19" s="3"/>
      <c r="J19" s="3"/>
      <c r="K19" s="3"/>
      <c r="L19" s="3"/>
      <c r="M19" s="3"/>
      <c r="N19" s="3"/>
      <c r="O19" s="3"/>
    </row>
    <row r="20" spans="1:15" ht="17.2">
      <c r="A20" s="27">
        <v>10</v>
      </c>
      <c r="B20" s="47"/>
      <c r="C20" s="28"/>
      <c r="D20" s="52"/>
      <c r="E20" s="53"/>
      <c r="F20" s="32"/>
      <c r="G20" s="33"/>
      <c r="H20" s="31"/>
      <c r="I20" s="3"/>
      <c r="J20" s="3"/>
      <c r="K20" s="3"/>
      <c r="L20" s="3"/>
      <c r="M20" s="3"/>
      <c r="N20" s="3"/>
      <c r="O20" s="3"/>
    </row>
    <row r="21" spans="1:15" ht="17.2">
      <c r="A21" s="27">
        <v>11</v>
      </c>
      <c r="B21" s="47"/>
      <c r="C21" s="28"/>
      <c r="D21" s="52"/>
      <c r="E21" s="53"/>
      <c r="F21" s="32"/>
      <c r="G21" s="33"/>
      <c r="H21" s="31"/>
    </row>
    <row r="22" spans="1:15" ht="17.2">
      <c r="A22" s="27">
        <v>12</v>
      </c>
      <c r="B22" s="28"/>
      <c r="C22" s="28"/>
      <c r="D22" s="52"/>
      <c r="E22" s="53"/>
      <c r="F22" s="32"/>
      <c r="G22" s="33"/>
      <c r="H22" s="31"/>
    </row>
    <row r="23" spans="1:15" ht="17.2">
      <c r="A23" s="27">
        <v>13</v>
      </c>
      <c r="B23" s="28"/>
      <c r="C23" s="28"/>
      <c r="D23" s="52"/>
      <c r="E23" s="53"/>
      <c r="F23" s="32"/>
      <c r="G23" s="33"/>
      <c r="H23" s="31"/>
    </row>
    <row r="24" spans="1:15" ht="17.2">
      <c r="A24" s="27">
        <v>14</v>
      </c>
      <c r="B24" s="28"/>
      <c r="C24" s="28"/>
      <c r="D24" s="52"/>
      <c r="E24" s="53"/>
      <c r="F24" s="32"/>
      <c r="G24" s="33"/>
      <c r="H24" s="31"/>
    </row>
    <row r="25" spans="1:15" ht="17.2">
      <c r="A25" s="27">
        <v>15</v>
      </c>
      <c r="B25" s="28"/>
      <c r="C25" s="28"/>
      <c r="D25" s="52"/>
      <c r="E25" s="53"/>
      <c r="F25" s="32"/>
      <c r="G25" s="33"/>
      <c r="H25" s="31"/>
    </row>
    <row r="26" spans="1:15" s="3" customFormat="1" ht="17.75">
      <c r="C26" s="35"/>
      <c r="D26" s="55"/>
      <c r="E26" s="55"/>
      <c r="F26" s="36"/>
      <c r="G26" s="37">
        <f>SUM(G11:G25)</f>
        <v>0</v>
      </c>
    </row>
    <row r="27" spans="1:15" s="3" customFormat="1" ht="17.75">
      <c r="B27" s="34" t="s">
        <v>19</v>
      </c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65"/>
      <c r="C29" s="65"/>
      <c r="D29" s="66"/>
      <c r="E29" s="67"/>
      <c r="F29" s="68"/>
    </row>
    <row r="30" spans="1:15" ht="17.75">
      <c r="B30" s="69"/>
      <c r="C30" s="69"/>
      <c r="D30" s="70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VB44"/>
  <sheetViews>
    <sheetView topLeftCell="A2" zoomScale="80" zoomScaleNormal="80" workbookViewId="0">
      <selection activeCell="B5" sqref="B5"/>
    </sheetView>
  </sheetViews>
  <sheetFormatPr baseColWidth="10" defaultColWidth="11" defaultRowHeight="14.55"/>
  <cols>
    <col min="1" max="1" width="3.69921875" style="4" customWidth="1"/>
    <col min="2" max="2" width="34.8984375" style="5" customWidth="1"/>
    <col min="3" max="3" width="22.296875" style="5" bestFit="1" customWidth="1"/>
    <col min="4" max="4" width="18.296875" style="6" bestFit="1" customWidth="1"/>
    <col min="5" max="5" width="14.69921875" style="7" customWidth="1"/>
    <col min="6" max="6" width="46.5976562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71" t="s">
        <v>0</v>
      </c>
      <c r="D1" s="71"/>
      <c r="E1" s="71"/>
      <c r="F1" s="71"/>
      <c r="G1" s="71"/>
      <c r="H1" s="71"/>
    </row>
    <row r="2" spans="1:15" ht="38.950000000000003" customHeight="1">
      <c r="B2" s="4"/>
      <c r="C2" s="71" t="s">
        <v>1</v>
      </c>
      <c r="D2" s="71"/>
      <c r="E2" s="71"/>
      <c r="F2" s="71"/>
      <c r="G2" s="71"/>
      <c r="H2" s="71"/>
    </row>
    <row r="3" spans="1:15" ht="24.05" customHeight="1">
      <c r="D3" s="9"/>
      <c r="F3" s="10"/>
      <c r="G3" s="11" t="s">
        <v>2</v>
      </c>
      <c r="H3" s="59" t="s">
        <v>30</v>
      </c>
    </row>
    <row r="4" spans="1:15" ht="17.75">
      <c r="B4" s="65" t="s">
        <v>3</v>
      </c>
      <c r="C4" s="65"/>
      <c r="D4" s="65"/>
      <c r="E4" s="14">
        <f>+'MAYO 2026'!H8</f>
        <v>32350</v>
      </c>
      <c r="F4" s="15"/>
      <c r="G4" s="16" t="s">
        <v>26</v>
      </c>
    </row>
    <row r="5" spans="1:15" ht="17.75">
      <c r="B5" s="13" t="s">
        <v>80</v>
      </c>
      <c r="C5" s="13"/>
      <c r="D5" s="13"/>
      <c r="E5" s="17"/>
      <c r="F5" s="15"/>
      <c r="G5" s="16"/>
    </row>
    <row r="6" spans="1:15" ht="17.75">
      <c r="B6" s="65" t="s">
        <v>5</v>
      </c>
      <c r="C6" s="65"/>
      <c r="D6" s="65"/>
      <c r="E6" s="14">
        <v>0</v>
      </c>
      <c r="F6" s="15"/>
    </row>
    <row r="7" spans="1:15" ht="17.75">
      <c r="B7" s="72" t="s">
        <v>6</v>
      </c>
      <c r="C7" s="72"/>
      <c r="D7" s="72"/>
      <c r="E7" s="14">
        <f>SUM(E4:E6)</f>
        <v>32350</v>
      </c>
      <c r="F7" s="15"/>
      <c r="G7" s="18"/>
    </row>
    <row r="8" spans="1:15" ht="17.75">
      <c r="B8" s="73" t="s">
        <v>7</v>
      </c>
      <c r="C8" s="73"/>
      <c r="D8" s="73"/>
      <c r="E8" s="17">
        <f>+G26</f>
        <v>0</v>
      </c>
      <c r="F8" s="15"/>
      <c r="G8" s="19" t="s">
        <v>8</v>
      </c>
      <c r="H8" s="20">
        <f>E7-E8</f>
        <v>32350</v>
      </c>
    </row>
    <row r="9" spans="1:15" s="1" customFormat="1" ht="24.2">
      <c r="E9" s="21"/>
      <c r="F9" s="22"/>
      <c r="G9" s="2"/>
    </row>
    <row r="10" spans="1:15" s="2" customFormat="1" ht="70.95">
      <c r="A10" s="23" t="s">
        <v>9</v>
      </c>
      <c r="B10" s="24" t="s">
        <v>10</v>
      </c>
      <c r="C10" s="24" t="s">
        <v>11</v>
      </c>
      <c r="D10" s="24" t="s">
        <v>12</v>
      </c>
      <c r="E10" s="24" t="s">
        <v>13</v>
      </c>
      <c r="F10" s="25" t="s">
        <v>14</v>
      </c>
      <c r="G10" s="24" t="s">
        <v>15</v>
      </c>
      <c r="H10" s="26" t="s">
        <v>16</v>
      </c>
      <c r="I10" s="3"/>
      <c r="J10" s="3"/>
      <c r="K10" s="3"/>
      <c r="L10" s="3"/>
      <c r="M10" s="3"/>
      <c r="N10" s="3"/>
      <c r="O10" s="3"/>
    </row>
    <row r="11" spans="1:15" ht="17.2">
      <c r="A11" s="27">
        <v>1</v>
      </c>
      <c r="B11" s="46"/>
      <c r="C11" s="28"/>
      <c r="D11" s="52"/>
      <c r="E11" s="53"/>
      <c r="F11" s="29"/>
      <c r="G11" s="30"/>
      <c r="H11" s="31"/>
      <c r="I11" s="3"/>
      <c r="J11" s="3"/>
      <c r="K11" s="3"/>
      <c r="L11" s="3"/>
      <c r="M11" s="3"/>
      <c r="N11" s="3"/>
      <c r="O11" s="3"/>
    </row>
    <row r="12" spans="1:15" ht="17.2">
      <c r="A12" s="27">
        <v>2</v>
      </c>
      <c r="B12" s="46"/>
      <c r="C12" s="28"/>
      <c r="D12" s="52"/>
      <c r="E12" s="53"/>
      <c r="F12" s="29"/>
      <c r="G12" s="30"/>
      <c r="H12" s="31"/>
      <c r="I12" s="3"/>
      <c r="J12" s="3"/>
      <c r="K12" s="3"/>
      <c r="L12" s="3"/>
      <c r="M12" s="3"/>
      <c r="N12" s="3"/>
      <c r="O12" s="3"/>
    </row>
    <row r="13" spans="1:15" ht="17.2">
      <c r="A13" s="27">
        <v>3</v>
      </c>
      <c r="B13" s="46"/>
      <c r="C13" s="28"/>
      <c r="D13" s="52"/>
      <c r="E13" s="53"/>
      <c r="F13" s="29"/>
      <c r="G13" s="30"/>
      <c r="H13" s="31"/>
      <c r="I13" s="3"/>
      <c r="J13" s="3"/>
      <c r="K13" s="3"/>
      <c r="L13" s="3"/>
      <c r="M13" s="3"/>
      <c r="N13" s="3"/>
      <c r="O13" s="3"/>
    </row>
    <row r="14" spans="1:15" ht="17.2">
      <c r="A14" s="27">
        <v>4</v>
      </c>
      <c r="B14" s="47"/>
      <c r="C14" s="49"/>
      <c r="D14" s="58"/>
      <c r="E14" s="54"/>
      <c r="F14" s="56"/>
      <c r="G14" s="30"/>
      <c r="H14" s="31"/>
      <c r="I14" s="3"/>
      <c r="J14" s="3"/>
      <c r="K14" s="3"/>
      <c r="L14" s="3"/>
      <c r="M14" s="3"/>
      <c r="N14" s="3"/>
      <c r="O14" s="3"/>
    </row>
    <row r="15" spans="1:15" ht="18" customHeight="1">
      <c r="A15" s="27">
        <v>5</v>
      </c>
      <c r="B15" s="47"/>
      <c r="C15" s="49"/>
      <c r="D15" s="52"/>
      <c r="E15" s="53"/>
      <c r="F15" s="56"/>
      <c r="G15" s="30"/>
      <c r="H15" s="31"/>
      <c r="I15" s="3"/>
      <c r="J15" s="3"/>
      <c r="K15" s="3"/>
      <c r="L15" s="3"/>
      <c r="M15" s="3"/>
      <c r="N15" s="3"/>
      <c r="O15" s="3"/>
    </row>
    <row r="16" spans="1:15" ht="20.3" customHeight="1">
      <c r="A16" s="27">
        <v>6</v>
      </c>
      <c r="B16" s="47"/>
      <c r="C16" s="49"/>
      <c r="D16" s="51"/>
      <c r="E16" s="54"/>
      <c r="F16" s="48"/>
      <c r="G16" s="30"/>
      <c r="H16" s="31"/>
      <c r="I16" s="3"/>
      <c r="J16" s="3"/>
      <c r="K16" s="3"/>
      <c r="L16" s="3"/>
      <c r="M16" s="3"/>
      <c r="N16" s="3"/>
      <c r="O16" s="3"/>
    </row>
    <row r="17" spans="1:15" ht="17.2">
      <c r="A17" s="27">
        <v>7</v>
      </c>
      <c r="B17" s="47"/>
      <c r="C17" s="49"/>
      <c r="D17" s="52"/>
      <c r="E17" s="54"/>
      <c r="F17" s="32"/>
      <c r="G17" s="33"/>
      <c r="H17" s="31"/>
      <c r="I17" s="3"/>
      <c r="J17" s="3"/>
      <c r="K17" s="3"/>
      <c r="L17" s="3"/>
      <c r="M17" s="3"/>
      <c r="N17" s="3"/>
      <c r="O17" s="3"/>
    </row>
    <row r="18" spans="1:15" ht="17.2">
      <c r="A18" s="27">
        <v>8</v>
      </c>
      <c r="B18" s="4"/>
      <c r="C18" s="49"/>
      <c r="D18" s="52"/>
      <c r="E18" s="53"/>
      <c r="F18" s="32"/>
      <c r="G18" s="33"/>
      <c r="H18" s="31"/>
      <c r="I18" s="3"/>
      <c r="J18" s="3"/>
      <c r="K18" s="3"/>
      <c r="L18" s="3"/>
      <c r="M18" s="3"/>
      <c r="N18" s="3"/>
      <c r="O18" s="3"/>
    </row>
    <row r="19" spans="1:15" ht="17.2">
      <c r="A19" s="27">
        <v>9</v>
      </c>
      <c r="B19" s="57"/>
      <c r="C19" s="49"/>
      <c r="D19" s="52"/>
      <c r="E19" s="53"/>
      <c r="F19" s="32"/>
      <c r="G19" s="33"/>
      <c r="H19" s="31"/>
      <c r="I19" s="3"/>
      <c r="J19" s="3"/>
      <c r="K19" s="3"/>
      <c r="L19" s="3"/>
      <c r="M19" s="3"/>
      <c r="N19" s="3"/>
      <c r="O19" s="3"/>
    </row>
    <row r="20" spans="1:15" ht="17.2">
      <c r="A20" s="27">
        <v>10</v>
      </c>
      <c r="B20" s="47"/>
      <c r="C20" s="28"/>
      <c r="D20" s="52"/>
      <c r="E20" s="53"/>
      <c r="F20" s="32"/>
      <c r="G20" s="33"/>
      <c r="H20" s="31"/>
      <c r="I20" s="3"/>
      <c r="J20" s="3"/>
      <c r="K20" s="3"/>
      <c r="L20" s="3"/>
      <c r="M20" s="3"/>
      <c r="N20" s="3"/>
      <c r="O20" s="3"/>
    </row>
    <row r="21" spans="1:15" ht="17.2">
      <c r="A21" s="27">
        <v>11</v>
      </c>
      <c r="B21" s="47"/>
      <c r="C21" s="28"/>
      <c r="D21" s="52"/>
      <c r="E21" s="53"/>
      <c r="F21" s="32"/>
      <c r="G21" s="33"/>
      <c r="H21" s="31"/>
    </row>
    <row r="22" spans="1:15" ht="17.2">
      <c r="A22" s="27">
        <v>12</v>
      </c>
      <c r="B22" s="28"/>
      <c r="C22" s="28"/>
      <c r="D22" s="52"/>
      <c r="E22" s="53"/>
      <c r="F22" s="32"/>
      <c r="G22" s="33"/>
      <c r="H22" s="31"/>
    </row>
    <row r="23" spans="1:15" ht="17.2">
      <c r="A23" s="27">
        <v>13</v>
      </c>
      <c r="B23" s="28"/>
      <c r="C23" s="28"/>
      <c r="D23" s="52"/>
      <c r="E23" s="53"/>
      <c r="F23" s="32"/>
      <c r="G23" s="33"/>
      <c r="H23" s="31"/>
    </row>
    <row r="24" spans="1:15" ht="17.2">
      <c r="A24" s="27">
        <v>14</v>
      </c>
      <c r="B24" s="28"/>
      <c r="C24" s="28"/>
      <c r="D24" s="52"/>
      <c r="E24" s="53"/>
      <c r="F24" s="32"/>
      <c r="G24" s="33"/>
      <c r="H24" s="31"/>
    </row>
    <row r="25" spans="1:15" ht="17.2">
      <c r="A25" s="27">
        <v>15</v>
      </c>
      <c r="B25" s="28"/>
      <c r="C25" s="28"/>
      <c r="D25" s="52"/>
      <c r="E25" s="53"/>
      <c r="F25" s="32"/>
      <c r="G25" s="33"/>
      <c r="H25" s="31"/>
    </row>
    <row r="26" spans="1:15" s="3" customFormat="1" ht="17.75">
      <c r="C26" s="35"/>
      <c r="D26" s="55"/>
      <c r="E26" s="55"/>
      <c r="F26" s="36"/>
      <c r="G26" s="37">
        <f>SUM(G11:G25)</f>
        <v>0</v>
      </c>
    </row>
    <row r="27" spans="1:15" s="3" customFormat="1" ht="17.75">
      <c r="B27" s="34" t="s">
        <v>19</v>
      </c>
      <c r="C27" s="38"/>
      <c r="D27" s="39"/>
      <c r="E27" s="39"/>
      <c r="F27" s="39"/>
      <c r="G27" s="40"/>
    </row>
    <row r="28" spans="1:15" s="3" customFormat="1" ht="17.75">
      <c r="B28" s="41"/>
      <c r="C28" s="41"/>
      <c r="D28" s="42"/>
      <c r="E28" s="42"/>
      <c r="F28" s="42"/>
      <c r="G28" s="43"/>
    </row>
    <row r="29" spans="1:15" ht="17.75">
      <c r="B29" s="65"/>
      <c r="C29" s="65"/>
      <c r="D29" s="66"/>
      <c r="E29" s="67"/>
      <c r="F29" s="68"/>
    </row>
    <row r="30" spans="1:15" ht="17.75">
      <c r="B30" s="69"/>
      <c r="C30" s="69"/>
      <c r="D30" s="70"/>
      <c r="E30" s="45"/>
      <c r="F30" s="3"/>
      <c r="G30" s="44"/>
    </row>
    <row r="31" spans="1:15" s="3" customFormat="1" ht="17.75">
      <c r="B31" s="41"/>
      <c r="C31" s="41"/>
      <c r="D31" s="42"/>
      <c r="E31" s="42"/>
      <c r="G31" s="43"/>
    </row>
    <row r="32" spans="1:15" s="3" customFormat="1" ht="17.75">
      <c r="B32" s="41"/>
      <c r="C32" s="41"/>
      <c r="D32" s="42"/>
      <c r="E32" s="42"/>
      <c r="F32" s="42"/>
      <c r="G32" s="43"/>
    </row>
    <row r="33" spans="2:7" s="3" customFormat="1" ht="17.75">
      <c r="B33" s="41"/>
      <c r="C33" s="41"/>
      <c r="D33" s="42"/>
      <c r="E33" s="42"/>
      <c r="F33" s="42"/>
      <c r="G33" s="43"/>
    </row>
    <row r="34" spans="2:7" s="3" customFormat="1" ht="17.75">
      <c r="B34" s="41"/>
      <c r="C34" s="41"/>
      <c r="D34" s="42"/>
      <c r="E34" s="42"/>
      <c r="F34" s="42"/>
      <c r="G34" s="43"/>
    </row>
    <row r="35" spans="2:7" s="3" customFormat="1" ht="17.75">
      <c r="B35" s="41"/>
      <c r="C35" s="41"/>
      <c r="D35" s="42"/>
      <c r="E35" s="42"/>
      <c r="F35" s="42"/>
      <c r="G35" s="43"/>
    </row>
    <row r="36" spans="2:7" s="3" customFormat="1" ht="17.75">
      <c r="B36" s="41"/>
      <c r="C36" s="41"/>
      <c r="D36" s="42"/>
      <c r="E36" s="42"/>
      <c r="F36" s="42"/>
      <c r="G36" s="43"/>
    </row>
    <row r="37" spans="2:7" s="3" customFormat="1" ht="17.75">
      <c r="B37" s="41"/>
      <c r="C37" s="41"/>
      <c r="D37" s="42"/>
      <c r="E37" s="42"/>
      <c r="F37" s="42"/>
      <c r="G37" s="43"/>
    </row>
    <row r="38" spans="2:7" s="3" customFormat="1" ht="17.75">
      <c r="B38" s="41"/>
      <c r="C38" s="41"/>
      <c r="D38" s="42"/>
      <c r="E38" s="42"/>
      <c r="F38" s="42"/>
      <c r="G38" s="43"/>
    </row>
    <row r="39" spans="2:7" s="3" customFormat="1" ht="17.75">
      <c r="B39" s="41"/>
      <c r="C39" s="41"/>
      <c r="D39" s="42"/>
      <c r="E39" s="42"/>
      <c r="F39" s="42"/>
      <c r="G39" s="43"/>
    </row>
    <row r="40" spans="2:7" s="3" customFormat="1" ht="17.75">
      <c r="B40" s="41"/>
      <c r="C40" s="41"/>
      <c r="D40" s="42"/>
      <c r="E40" s="42"/>
      <c r="F40" s="42"/>
      <c r="G40" s="43"/>
    </row>
    <row r="41" spans="2:7" s="3" customFormat="1" ht="17.75">
      <c r="B41" s="41"/>
      <c r="C41" s="41"/>
      <c r="D41" s="42"/>
      <c r="E41" s="42"/>
      <c r="F41" s="42"/>
      <c r="G41" s="43"/>
    </row>
    <row r="42" spans="2:7" s="3" customFormat="1" ht="17.75">
      <c r="B42" s="41"/>
      <c r="C42" s="41"/>
      <c r="D42" s="42"/>
      <c r="E42" s="42"/>
      <c r="F42" s="42"/>
      <c r="G42" s="43"/>
    </row>
    <row r="43" spans="2:7" s="3" customFormat="1" ht="17.75">
      <c r="B43" s="41"/>
      <c r="C43" s="41"/>
      <c r="D43" s="42"/>
      <c r="E43" s="42"/>
      <c r="F43" s="42"/>
      <c r="G43" s="43"/>
    </row>
    <row r="44" spans="2:7" s="3" customFormat="1" ht="17.75">
      <c r="B44" s="41"/>
      <c r="C44" s="41"/>
      <c r="D44" s="42"/>
      <c r="E44" s="42"/>
      <c r="F44" s="42"/>
      <c r="G44" s="43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0A4158-F78D-4C06-802C-CAC9F8667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28200B-8B9E-4E88-82A8-19986B5E4150}">
  <ds:schemaRefs>
    <ds:schemaRef ds:uri="http://purl.org/dc/elements/1.1/"/>
    <ds:schemaRef ds:uri="http://schemas.microsoft.com/office/2006/metadata/properties"/>
    <ds:schemaRef ds:uri="http://schemas.microsoft.com/sharepoint/v3"/>
    <ds:schemaRef ds:uri="fa8ec313-c772-4af8-8363-8ff52de2e6b8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6a7ff2fa-cd4c-4111-a6ab-75351164d87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998C418-B5B4-4E6C-AA49-D1D9C2339D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DICIEMBRE_2025</vt:lpstr>
      <vt:lpstr>ENERO_2026</vt:lpstr>
      <vt:lpstr>FEBRERO 2026</vt:lpstr>
      <vt:lpstr>MARZO 2026</vt:lpstr>
      <vt:lpstr>ABRIL 2026</vt:lpstr>
      <vt:lpstr>MAYO 2026</vt:lpstr>
      <vt:lpstr>JUNIO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2022-02-07T12:32:00Z</dcterms:created>
  <dcterms:modified xsi:type="dcterms:W3CDTF">2026-05-11T15:38:52Z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8A4FA03D3AA048149CA1AE7AD26D4107_13</vt:lpwstr>
  </property>
  <property fmtid="{D5CDD505-2E9C-101B-9397-08002B2CF9AE}" pid="3" name="KSOProductBuildVer">
    <vt:lpwstr>2058-12.2.0.21931</vt:lpwstr>
  </property>
  <property fmtid="{D5CDD505-2E9C-101B-9397-08002B2CF9AE}" pid="4" name="ContentTypeId">
    <vt:lpwstr>0x0101008C0FDD3EE9C26F4CA38A0CE1A876A831</vt:lpwstr>
  </property>
  <property fmtid="{D5CDD505-2E9C-101B-9397-08002B2CF9AE}" pid="5" name="MediaServiceImageTags">
    <vt:lpwstr/>
  </property>
</Properties>
</file>