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drawings/drawing14.xml" ContentType="application/vnd.openxmlformats-officedocument.drawing+xml"/>
  <Override PartName="/xl/comments13.xml" ContentType="application/vnd.openxmlformats-officedocument.spreadsheetml.comments+xml"/>
  <Override PartName="/xl/drawings/drawing15.xml" ContentType="application/vnd.openxmlformats-officedocument.drawing+xml"/>
  <Override PartName="/xl/comments14.xml" ContentType="application/vnd.openxmlformats-officedocument.spreadsheetml.comments+xml"/>
  <Override PartName="/xl/drawings/drawing16.xml" ContentType="application/vnd.openxmlformats-officedocument.drawing+xml"/>
  <Override PartName="/xl/comments15.xml" ContentType="application/vnd.openxmlformats-officedocument.spreadsheetml.comments+xml"/>
  <Override PartName="/xl/drawings/drawing17.xml" ContentType="application/vnd.openxmlformats-officedocument.drawing+xml"/>
  <Override PartName="/xl/comments16.xml" ContentType="application/vnd.openxmlformats-officedocument.spreadsheetml.comments+xml"/>
  <Override PartName="/xl/drawings/drawing18.xml" ContentType="application/vnd.openxmlformats-officedocument.drawing+xml"/>
  <Override PartName="/xl/comments17.xml" ContentType="application/vnd.openxmlformats-officedocument.spreadsheetml.comments+xml"/>
  <Override PartName="/xl/drawings/drawing19.xml" ContentType="application/vnd.openxmlformats-officedocument.drawing+xml"/>
  <Override PartName="/xl/comments18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ABRIL 26/FONDO FIJO/plaza norte/"/>
    </mc:Choice>
  </mc:AlternateContent>
  <xr:revisionPtr revIDLastSave="1" documentId="11_B0A99C2476E50C5B591B40D7E9B6833BB398F427" xr6:coauthVersionLast="47" xr6:coauthVersionMax="47" xr10:uidLastSave="{AC4FBB5D-EBB2-42AB-AC3F-91EFD130959B}"/>
  <bookViews>
    <workbookView xWindow="-107" yWindow="-107" windowWidth="20847" windowHeight="11111" firstSheet="13" activeTab="18" xr2:uid="{00000000-000D-0000-FFFF-FFFF00000000}"/>
  </bookViews>
  <sheets>
    <sheet name="OCTUBRE" sheetId="4" r:id="rId1"/>
    <sheet name="NOVIEMBRE" sheetId="5" r:id="rId2"/>
    <sheet name="DICIEMBRE" sheetId="6" r:id="rId3"/>
    <sheet name="ENERO" sheetId="7" r:id="rId4"/>
    <sheet name="FEBRERO" sheetId="8" r:id="rId5"/>
    <sheet name="MARZO" sheetId="9" r:id="rId6"/>
    <sheet name="ABRIL" sheetId="10" r:id="rId7"/>
    <sheet name="MAYO" sheetId="11" r:id="rId8"/>
    <sheet name="JUNIO" sheetId="12" r:id="rId9"/>
    <sheet name="JULIO" sheetId="13" r:id="rId10"/>
    <sheet name="AGOSTO" sheetId="14" r:id="rId11"/>
    <sheet name="SEPTIEMBRE" sheetId="15" r:id="rId12"/>
    <sheet name="OCTUBRE25" sheetId="16" r:id="rId13"/>
    <sheet name="NOVIEMBRE25" sheetId="17" r:id="rId14"/>
    <sheet name="DICIEMBRE25" sheetId="18" r:id="rId15"/>
    <sheet name="ENERO26" sheetId="20" r:id="rId16"/>
    <sheet name="FEBRERO26" sheetId="21" r:id="rId17"/>
    <sheet name="MARZO26" sheetId="22" r:id="rId18"/>
    <sheet name="ABRIL26" sheetId="23" r:id="rId19"/>
  </sheets>
  <definedNames>
    <definedName name="_xlnm.Print_Area" localSheetId="2">DICIEMBRE!$A$1:$H$27</definedName>
    <definedName name="_xlnm.Print_Area" localSheetId="1">NOVIEMBRE!$A$1:$H$27</definedName>
    <definedName name="_xlnm.Print_Area" localSheetId="0">OCTUBRE!$A$1:$H$27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23" l="1"/>
  <c r="E8" i="23" s="1"/>
  <c r="G26" i="22" l="1"/>
  <c r="E8" i="22" s="1"/>
  <c r="G26" i="21" l="1"/>
  <c r="E8" i="21" s="1"/>
  <c r="G26" i="20" l="1"/>
  <c r="E8" i="20" s="1"/>
  <c r="G26" i="18" l="1"/>
  <c r="E8" i="18" s="1"/>
  <c r="G26" i="17" l="1"/>
  <c r="E8" i="17" s="1"/>
  <c r="G26" i="16" l="1"/>
  <c r="E8" i="16" s="1"/>
  <c r="G26" i="15" l="1"/>
  <c r="E8" i="15" s="1"/>
  <c r="G26" i="14" l="1"/>
  <c r="E8" i="14" s="1"/>
  <c r="G26" i="13" l="1"/>
  <c r="E8" i="13"/>
  <c r="G26" i="12" l="1"/>
  <c r="E8" i="12" s="1"/>
  <c r="G26" i="11" l="1"/>
  <c r="E8" i="11" s="1"/>
  <c r="G26" i="10" l="1"/>
  <c r="E8" i="10" s="1"/>
  <c r="G26" i="9" l="1"/>
  <c r="E8" i="9" s="1"/>
  <c r="G26" i="8" l="1"/>
  <c r="E8" i="8" l="1"/>
  <c r="G26" i="7" l="1"/>
  <c r="E8" i="7" s="1"/>
  <c r="G26" i="4" l="1"/>
  <c r="G26" i="6"/>
  <c r="E8" i="6" s="1"/>
  <c r="G26" i="5"/>
  <c r="E8" i="5" s="1"/>
  <c r="E8" i="4"/>
  <c r="E7" i="4" l="1"/>
  <c r="H8" i="4" s="1"/>
  <c r="E4" i="5" s="1"/>
  <c r="E7" i="5" s="1"/>
  <c r="H8" i="5" s="1"/>
  <c r="E4" i="6" s="1"/>
  <c r="E7" i="6" s="1"/>
  <c r="H8" i="6" s="1"/>
  <c r="E4" i="7" s="1"/>
  <c r="E7" i="7" s="1"/>
  <c r="H8" i="7" s="1"/>
  <c r="E4" i="8" s="1"/>
  <c r="E7" i="8" s="1"/>
  <c r="H8" i="8" s="1"/>
  <c r="E4" i="9" s="1"/>
  <c r="E7" i="9" s="1"/>
  <c r="H8" i="9" s="1"/>
  <c r="E4" i="10" s="1"/>
  <c r="E7" i="10" s="1"/>
  <c r="H8" i="10" s="1"/>
  <c r="E4" i="11" s="1"/>
  <c r="E7" i="11" s="1"/>
  <c r="H8" i="11" s="1"/>
  <c r="E4" i="12" s="1"/>
  <c r="E7" i="12" s="1"/>
  <c r="H8" i="12" s="1"/>
  <c r="E4" i="13" s="1"/>
  <c r="E7" i="13" s="1"/>
  <c r="H8" i="13" s="1"/>
  <c r="E4" i="14" s="1"/>
  <c r="E7" i="14" l="1"/>
  <c r="H8" i="14" s="1"/>
  <c r="E4" i="15" s="1"/>
  <c r="E7" i="15" s="1"/>
  <c r="H8" i="15" s="1"/>
  <c r="E4" i="16" s="1"/>
  <c r="E7" i="16" s="1"/>
  <c r="H8" i="16" s="1"/>
  <c r="E4" i="17" s="1"/>
  <c r="E7" i="17" s="1"/>
  <c r="H8" i="17" s="1"/>
  <c r="E4" i="18" s="1"/>
  <c r="E7" i="18" s="1"/>
  <c r="H8" i="18" s="1"/>
  <c r="E4" i="20" s="1"/>
  <c r="E7" i="20" s="1"/>
  <c r="H8" i="20" s="1"/>
  <c r="E4" i="21" s="1"/>
  <c r="E7" i="21" s="1"/>
  <c r="H8" i="21" s="1"/>
  <c r="E4" i="22" s="1"/>
  <c r="E7" i="22" s="1"/>
  <c r="H8" i="22" s="1"/>
  <c r="E4" i="23" s="1"/>
  <c r="E7" i="23" s="1"/>
  <c r="H8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SALDO DE ARRASTRE</t>
        </r>
      </text>
    </comment>
    <comment ref="E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EL DEPOSITO QUE REALIZA RAUL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SALDO DE ARRASTRE</t>
        </r>
      </text>
    </comment>
    <comment ref="E5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EL DEPOSITO QUE REALIZA RAUL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SALDO DE ARRASTRE</t>
        </r>
      </text>
    </comment>
    <comment ref="E5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EL DEPOSITO QUE REALIZA RAUL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SALDO DE ARRASTRE</t>
        </r>
      </text>
    </comment>
    <comment ref="E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EL DEPOSITO QUE REALIZA RAUL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SALDO DE ARRASTRE</t>
        </r>
      </text>
    </comment>
    <comment ref="E5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EL DEPOSITO QUE REALIZA RAUL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SALDO DE ARRASTRE</t>
        </r>
      </text>
    </comment>
    <comment ref="E5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EL DEPOSITO QUE REALIZA RAUL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SALDO DE ARRASTRE</t>
        </r>
      </text>
    </comment>
    <comment ref="E5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EL DEPOSITO QUE REALIZA RAUL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SALDO DE ARRASTRE</t>
        </r>
      </text>
    </comment>
    <comment ref="E5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EL DEPOSITO QUE REALIZA RAUL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SALDO DE ARRASTRE</t>
        </r>
      </text>
    </comment>
    <comment ref="E5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EL DEPOSITO QUE REALIZA RAUL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SALDO DE ARRASTRE</t>
        </r>
      </text>
    </comment>
    <comment ref="E5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EL DEPOSITO QUE REALIZA RAUL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SALDO DE ARRASTRE</t>
        </r>
      </text>
    </comment>
    <comment ref="E5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EL DEPOSITO QUE REALIZA RAUL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SALDO DE ARRASTRE</t>
        </r>
      </text>
    </comment>
    <comment ref="E5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EL DEPOSITO QUE REALIZA RAUL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SALDO DE ARRASTRE</t>
        </r>
      </text>
    </comment>
    <comment ref="E5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EL DEPOSITO QUE REALIZA RAUL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SALDO DE ARRASTRE</t>
        </r>
      </text>
    </comment>
    <comment ref="E5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EL DEPOSITO QUE REALIZA RAUL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SALDO DE ARRASTRE</t>
        </r>
      </text>
    </comment>
    <comment ref="E5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EL DEPOSITO QUE REALIZA RAUL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SALDO DE ARRASTRE</t>
        </r>
      </text>
    </comment>
    <comment ref="E5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EL DEPOSITO QUE REALIZA RAUL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SALDO DE ARRASTRE</t>
        </r>
      </text>
    </comment>
    <comment ref="E5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EL DEPOSITO QUE REALIZA RAUL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SALDO DE ARRASTRE</t>
        </r>
      </text>
    </comment>
    <comment ref="E5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DIGITAR EL DEPOSITO QUE REALIZA RAUL</t>
        </r>
      </text>
    </comment>
  </commentList>
</comments>
</file>

<file path=xl/sharedStrings.xml><?xml version="1.0" encoding="utf-8"?>
<sst xmlns="http://schemas.openxmlformats.org/spreadsheetml/2006/main" count="624" uniqueCount="124">
  <si>
    <t xml:space="preserve">RENDICION CAJA CHICA  </t>
  </si>
  <si>
    <t>MallPlaza Norte</t>
  </si>
  <si>
    <t>MES</t>
  </si>
  <si>
    <t>SALDO ANTERIOR</t>
  </si>
  <si>
    <t>DEPÓSITO RENDICION ANTERIOR</t>
  </si>
  <si>
    <t>MONTO ADICIONAL</t>
  </si>
  <si>
    <t>MONTO A RENDIR</t>
  </si>
  <si>
    <t>RENDIDO</t>
  </si>
  <si>
    <t>SALDO AL CIERRE</t>
  </si>
  <si>
    <t>N°</t>
  </si>
  <si>
    <t xml:space="preserve">Fecha  </t>
  </si>
  <si>
    <t>Tipo Documento (boleta venta-boleta honorarios-factura)</t>
  </si>
  <si>
    <t>N° documento</t>
  </si>
  <si>
    <t>RUT Titular del documento</t>
  </si>
  <si>
    <t>Detalle</t>
  </si>
  <si>
    <t>Total</t>
  </si>
  <si>
    <t>Código Imputacion (RSM) 200</t>
  </si>
  <si>
    <t>TOTALES</t>
  </si>
  <si>
    <t>OCTUBRE</t>
  </si>
  <si>
    <t>BOLETA</t>
  </si>
  <si>
    <t>76457708-6</t>
  </si>
  <si>
    <t>EXTENSION CABLE USB</t>
  </si>
  <si>
    <t>96792430-K</t>
  </si>
  <si>
    <t>SOPORTE PC/ CINTA AISLDORA</t>
  </si>
  <si>
    <t>BIDON AGUA Y VASOS</t>
  </si>
  <si>
    <t>96811130-2</t>
  </si>
  <si>
    <t>DESAYUNO BIENVENIDA</t>
  </si>
  <si>
    <t>TORTA CUMPLEAÑOS LUIS</t>
  </si>
  <si>
    <t>76722559-K</t>
  </si>
  <si>
    <t xml:space="preserve">CABLE USB </t>
  </si>
  <si>
    <t>83030600-5</t>
  </si>
  <si>
    <t>ADAPTADOR PISTOLA</t>
  </si>
  <si>
    <t>ASPIRADORA</t>
  </si>
  <si>
    <t>83030600-K</t>
  </si>
  <si>
    <t>MINICOMPONENTE AUDIO</t>
  </si>
  <si>
    <t>VIAJE JONA</t>
  </si>
  <si>
    <t>NOVIEMBRE</t>
  </si>
  <si>
    <t>DICIEMBRE</t>
  </si>
  <si>
    <t>OC017366</t>
  </si>
  <si>
    <t>77093957-7</t>
  </si>
  <si>
    <t>BIDONES DE AGUA Y BOMBA</t>
  </si>
  <si>
    <t>CAJAS OGANIZADORA</t>
  </si>
  <si>
    <t>PERFORADORA</t>
  </si>
  <si>
    <t xml:space="preserve">CAJERO </t>
  </si>
  <si>
    <t>ESPUMANTE EVENTO INAUGURACION</t>
  </si>
  <si>
    <t>JUEGO DE HERRAMIENTAS</t>
  </si>
  <si>
    <t>77261280-K</t>
  </si>
  <si>
    <t>JEANS LU</t>
  </si>
  <si>
    <t>10172852-8</t>
  </si>
  <si>
    <t>LIMPIEZA VITRINA</t>
  </si>
  <si>
    <t>96.792.430-K</t>
  </si>
  <si>
    <t>ESCALERA PEQUEÑA Y COLGADORES</t>
  </si>
  <si>
    <t>CHIP ENTEL</t>
  </si>
  <si>
    <t>NOVA Y BOLSAS BASURA</t>
  </si>
  <si>
    <t>76.322.590-9</t>
  </si>
  <si>
    <t>CINTAS REGALO</t>
  </si>
  <si>
    <t>92.642.000-3</t>
  </si>
  <si>
    <t>LIMPIEZA VIDRIOS</t>
  </si>
  <si>
    <t>PAPEL IMPRESORA</t>
  </si>
  <si>
    <t>10.172.852-8</t>
  </si>
  <si>
    <t>DESAYUNO RECEPCION MERCADERIA</t>
  </si>
  <si>
    <t>UBER NOCHE</t>
  </si>
  <si>
    <t>COPIA CONTROL</t>
  </si>
  <si>
    <t>ATRIL</t>
  </si>
  <si>
    <t>BIDONES AGUA</t>
  </si>
  <si>
    <t>PERFORADORA CINTURON</t>
  </si>
  <si>
    <t>UBER DE BODEGA</t>
  </si>
  <si>
    <t>BIDEONES DE AGUA</t>
  </si>
  <si>
    <t>UBER A NORTE</t>
  </si>
  <si>
    <t>UBER A OESTE</t>
  </si>
  <si>
    <t>UBER A VESPUCIO</t>
  </si>
  <si>
    <t>MARZO</t>
  </si>
  <si>
    <t>TRASLADO GAEL</t>
  </si>
  <si>
    <t>TORTA DIA DE LA MUJER</t>
  </si>
  <si>
    <t>21321577-9</t>
  </si>
  <si>
    <t>UBER REUNION</t>
  </si>
  <si>
    <t>CUMPLEAÑOS MAURICIO</t>
  </si>
  <si>
    <t>76134941-4</t>
  </si>
  <si>
    <t>77.093.957-7</t>
  </si>
  <si>
    <t>HERVIDOR Y LIJA</t>
  </si>
  <si>
    <t>77.115.570-7</t>
  </si>
  <si>
    <t>DESAYUNO POR MERCADERIA</t>
  </si>
  <si>
    <t>21.321.577-9</t>
  </si>
  <si>
    <t>77.099.010-6</t>
  </si>
  <si>
    <t>HERRAMIENTAS</t>
  </si>
  <si>
    <t>MAYO</t>
  </si>
  <si>
    <t>96.811.130-2</t>
  </si>
  <si>
    <t>DESAYUNO REUNION</t>
  </si>
  <si>
    <t>JUNIO</t>
  </si>
  <si>
    <t>BIDONES DE AGUA</t>
  </si>
  <si>
    <t xml:space="preserve">DESAYUNO BIENVENIDA YARITZA </t>
  </si>
  <si>
    <t>JULIO</t>
  </si>
  <si>
    <t>77.261.280-k</t>
  </si>
  <si>
    <t xml:space="preserve">PANTALONES YARITZA </t>
  </si>
  <si>
    <t>83.030.600-5</t>
  </si>
  <si>
    <t>FUENTE DE PODER (ESTEBAN)</t>
  </si>
  <si>
    <t>AGOSTO</t>
  </si>
  <si>
    <t>76.076.630-5</t>
  </si>
  <si>
    <t xml:space="preserve">PILAS TECLADO </t>
  </si>
  <si>
    <t>78.885.550-8</t>
  </si>
  <si>
    <t>PENDRIVE TELEVISION</t>
  </si>
  <si>
    <t>93.640.000-0</t>
  </si>
  <si>
    <t>AGUJA PISTOLA ETIQUETADORA</t>
  </si>
  <si>
    <t>76.134.941-4</t>
  </si>
  <si>
    <t>ASADO 18</t>
  </si>
  <si>
    <t>21.321.577-7</t>
  </si>
  <si>
    <t>SEPTIEMBRE</t>
  </si>
  <si>
    <t>BIDEONES AGUA</t>
  </si>
  <si>
    <t>77.322.070-0</t>
  </si>
  <si>
    <t>CAMBIO EXTINTORES</t>
  </si>
  <si>
    <t>FACTURA</t>
  </si>
  <si>
    <t>77.261.280-K</t>
  </si>
  <si>
    <t>PANTALONES PEDRO</t>
  </si>
  <si>
    <t>CINTAS DE REGALO</t>
  </si>
  <si>
    <t>77.209.443-4</t>
  </si>
  <si>
    <t>VIAJE UBER REPOSICION NOCHE</t>
  </si>
  <si>
    <t>83.382.700-6</t>
  </si>
  <si>
    <t>PANTALONES LILY</t>
  </si>
  <si>
    <t>ENERO</t>
  </si>
  <si>
    <t>CINTA DE EMBALAJE</t>
  </si>
  <si>
    <t>FEBRERO</t>
  </si>
  <si>
    <t>ABRIL</t>
  </si>
  <si>
    <t>77531555-5</t>
  </si>
  <si>
    <t>LIMPIADOR DE TEXTIL(SILLONES)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</si>
</sst>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#,##0_ ;\-#,##0\ "/>
  </numFmts>
  <fonts count="22" x14ac:knownFonts="1">
    <font>
      <sz val="11"/>
      <color theme="1"/>
      <name val="Calibri"/>
      <family val="2"/>
      <scheme val="minor"/>
    </font>
    <font>
      <i/>
      <sz val="10"/>
      <name val="Segoe UI"/>
      <family val="2"/>
      <charset val="1"/>
    </font>
    <font>
      <i/>
      <sz val="16"/>
      <name val="Segoe UI"/>
      <family val="2"/>
      <charset val="1"/>
    </font>
    <font>
      <b/>
      <i/>
      <u/>
      <sz val="16"/>
      <name val="Segoe UI"/>
      <family val="2"/>
      <charset val="1"/>
    </font>
    <font>
      <b/>
      <i/>
      <sz val="9"/>
      <name val="Segoe UI"/>
      <family val="2"/>
      <charset val="1"/>
    </font>
    <font>
      <b/>
      <i/>
      <sz val="22"/>
      <name val="Segoe UI"/>
      <family val="2"/>
      <charset val="1"/>
    </font>
    <font>
      <b/>
      <i/>
      <sz val="14"/>
      <name val="Segoe UI"/>
      <family val="2"/>
      <charset val="1"/>
    </font>
    <font>
      <b/>
      <i/>
      <sz val="12"/>
      <name val="Segoe UI"/>
      <family val="2"/>
      <charset val="1"/>
    </font>
    <font>
      <i/>
      <sz val="12"/>
      <name val="Segoe UI"/>
      <family val="2"/>
      <charset val="1"/>
    </font>
    <font>
      <b/>
      <i/>
      <sz val="12"/>
      <color indexed="10"/>
      <name val="Segoe UI"/>
      <family val="2"/>
      <charset val="1"/>
    </font>
    <font>
      <b/>
      <i/>
      <sz val="10"/>
      <name val="Segoe UI"/>
      <family val="2"/>
      <charset val="1"/>
    </font>
    <font>
      <i/>
      <sz val="9"/>
      <name val="Segoe UI"/>
      <family val="2"/>
      <charset val="1"/>
    </font>
    <font>
      <sz val="11"/>
      <color theme="1"/>
      <name val="Calibri"/>
      <family val="2"/>
      <scheme val="minor"/>
    </font>
    <font>
      <b/>
      <i/>
      <sz val="10"/>
      <name val="Segoe UI"/>
      <family val="2"/>
    </font>
    <font>
      <b/>
      <i/>
      <sz val="11"/>
      <color rgb="FFFF0000"/>
      <name val="Segoe UI"/>
      <family val="2"/>
    </font>
    <font>
      <b/>
      <i/>
      <sz val="10"/>
      <color rgb="FF0070C0"/>
      <name val="Segoe UI"/>
      <family val="2"/>
    </font>
    <font>
      <b/>
      <i/>
      <sz val="12"/>
      <color rgb="FF0070C0"/>
      <name val="Segoe UI"/>
      <family val="2"/>
      <charset val="1"/>
    </font>
    <font>
      <sz val="11"/>
      <name val="Segoe UI"/>
      <family val="2"/>
    </font>
    <font>
      <b/>
      <sz val="11"/>
      <name val="Segoe UI"/>
      <family val="2"/>
    </font>
    <font>
      <b/>
      <i/>
      <sz val="10"/>
      <color rgb="FFFF0000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2" fillId="0" borderId="0" applyFont="0" applyFill="0" applyBorder="0" applyAlignment="0" applyProtection="0"/>
  </cellStyleXfs>
  <cellXfs count="62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1" fontId="1" fillId="2" borderId="0" xfId="0" applyNumberFormat="1" applyFont="1" applyFill="1" applyAlignment="1">
      <alignment vertical="center"/>
    </xf>
    <xf numFmtId="3" fontId="1" fillId="2" borderId="0" xfId="0" applyNumberFormat="1" applyFont="1" applyFill="1"/>
    <xf numFmtId="49" fontId="1" fillId="2" borderId="0" xfId="0" applyNumberFormat="1" applyFont="1" applyFill="1"/>
    <xf numFmtId="3" fontId="7" fillId="2" borderId="0" xfId="0" applyNumberFormat="1" applyFont="1" applyFill="1"/>
    <xf numFmtId="0" fontId="8" fillId="2" borderId="0" xfId="0" applyFont="1" applyFill="1"/>
    <xf numFmtId="1" fontId="8" fillId="2" borderId="0" xfId="0" applyNumberFormat="1" applyFont="1" applyFill="1" applyAlignment="1">
      <alignment horizontal="center" vertical="center"/>
    </xf>
    <xf numFmtId="3" fontId="8" fillId="2" borderId="0" xfId="0" applyNumberFormat="1" applyFont="1" applyFill="1" applyAlignment="1">
      <alignment horizontal="center"/>
    </xf>
    <xf numFmtId="0" fontId="10" fillId="2" borderId="0" xfId="0" applyFont="1" applyFill="1"/>
    <xf numFmtId="0" fontId="10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10" fillId="2" borderId="3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10" fillId="2" borderId="5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right" vertical="center"/>
    </xf>
    <xf numFmtId="3" fontId="7" fillId="2" borderId="2" xfId="0" applyNumberFormat="1" applyFont="1" applyFill="1" applyBorder="1"/>
    <xf numFmtId="0" fontId="7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1" fillId="2" borderId="0" xfId="0" applyFont="1" applyFill="1"/>
    <xf numFmtId="3" fontId="5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left"/>
    </xf>
    <xf numFmtId="0" fontId="1" fillId="2" borderId="0" xfId="0" applyFont="1" applyFill="1" applyAlignment="1">
      <alignment horizontal="right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9" fillId="2" borderId="0" xfId="0" applyFont="1" applyFill="1" applyAlignment="1">
      <alignment horizontal="left"/>
    </xf>
    <xf numFmtId="3" fontId="7" fillId="2" borderId="4" xfId="0" applyNumberFormat="1" applyFont="1" applyFill="1" applyBorder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7" fillId="2" borderId="5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 wrapText="1"/>
    </xf>
    <xf numFmtId="165" fontId="13" fillId="2" borderId="1" xfId="1" applyNumberFormat="1" applyFont="1" applyFill="1" applyBorder="1" applyAlignment="1">
      <alignment horizontal="center" vertical="center"/>
    </xf>
    <xf numFmtId="165" fontId="14" fillId="2" borderId="1" xfId="1" applyNumberFormat="1" applyFont="1" applyFill="1" applyBorder="1" applyAlignment="1">
      <alignment horizontal="center" vertical="center"/>
    </xf>
    <xf numFmtId="0" fontId="7" fillId="2" borderId="0" xfId="0" applyFont="1" applyFill="1"/>
    <xf numFmtId="165" fontId="15" fillId="2" borderId="1" xfId="1" applyNumberFormat="1" applyFont="1" applyFill="1" applyBorder="1" applyAlignment="1">
      <alignment horizontal="center" vertical="center"/>
    </xf>
    <xf numFmtId="14" fontId="17" fillId="2" borderId="3" xfId="0" applyNumberFormat="1" applyFont="1" applyFill="1" applyBorder="1" applyAlignment="1">
      <alignment horizontal="left"/>
    </xf>
    <xf numFmtId="0" fontId="17" fillId="2" borderId="3" xfId="0" applyFont="1" applyFill="1" applyBorder="1" applyAlignment="1">
      <alignment horizontal="left" wrapText="1"/>
    </xf>
    <xf numFmtId="0" fontId="17" fillId="2" borderId="3" xfId="0" applyFont="1" applyFill="1" applyBorder="1" applyAlignment="1">
      <alignment vertical="center"/>
    </xf>
    <xf numFmtId="3" fontId="17" fillId="2" borderId="4" xfId="0" applyNumberFormat="1" applyFont="1" applyFill="1" applyBorder="1" applyAlignment="1">
      <alignment horizontal="left" wrapText="1"/>
    </xf>
    <xf numFmtId="0" fontId="17" fillId="3" borderId="3" xfId="0" applyFont="1" applyFill="1" applyBorder="1" applyAlignment="1">
      <alignment horizontal="center" vertical="center"/>
    </xf>
    <xf numFmtId="166" fontId="17" fillId="2" borderId="3" xfId="1" applyNumberFormat="1" applyFont="1" applyFill="1" applyBorder="1" applyAlignment="1">
      <alignment horizontal="right"/>
    </xf>
    <xf numFmtId="166" fontId="18" fillId="2" borderId="3" xfId="1" applyNumberFormat="1" applyFont="1" applyFill="1" applyBorder="1" applyAlignment="1">
      <alignment horizontal="right"/>
    </xf>
    <xf numFmtId="14" fontId="17" fillId="4" borderId="3" xfId="0" applyNumberFormat="1" applyFont="1" applyFill="1" applyBorder="1" applyAlignment="1">
      <alignment horizontal="left"/>
    </xf>
    <xf numFmtId="0" fontId="17" fillId="4" borderId="3" xfId="0" applyFont="1" applyFill="1" applyBorder="1" applyAlignment="1">
      <alignment horizontal="left" wrapText="1"/>
    </xf>
    <xf numFmtId="3" fontId="17" fillId="4" borderId="4" xfId="0" applyNumberFormat="1" applyFont="1" applyFill="1" applyBorder="1" applyAlignment="1">
      <alignment horizontal="left" wrapText="1"/>
    </xf>
    <xf numFmtId="166" fontId="17" fillId="4" borderId="3" xfId="1" applyNumberFormat="1" applyFont="1" applyFill="1" applyBorder="1" applyAlignment="1">
      <alignment horizontal="right"/>
    </xf>
    <xf numFmtId="165" fontId="13" fillId="5" borderId="1" xfId="1" applyNumberFormat="1" applyFont="1" applyFill="1" applyBorder="1" applyAlignment="1">
      <alignment horizontal="center" vertical="center"/>
    </xf>
    <xf numFmtId="165" fontId="19" fillId="2" borderId="1" xfId="1" applyNumberFormat="1" applyFont="1" applyFill="1" applyBorder="1" applyAlignment="1">
      <alignment horizontal="center" vertical="center"/>
    </xf>
    <xf numFmtId="166" fontId="0" fillId="0" borderId="0" xfId="0" applyNumberFormat="1"/>
    <xf numFmtId="0" fontId="3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16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8" fillId="2" borderId="0" xfId="0" applyFont="1" applyFill="1"/>
    <xf numFmtId="0" fontId="1" fillId="2" borderId="0" xfId="0" applyFont="1" applyFill="1"/>
    <xf numFmtId="0" fontId="7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C333EB-1F8C-4453-8AC3-96EC0501A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  <xdr:twoCellAnchor editAs="oneCell">
    <xdr:from>
      <xdr:col>8</xdr:col>
      <xdr:colOff>730250</xdr:colOff>
      <xdr:row>9</xdr:row>
      <xdr:rowOff>105833</xdr:rowOff>
    </xdr:from>
    <xdr:to>
      <xdr:col>16</xdr:col>
      <xdr:colOff>456435</xdr:colOff>
      <xdr:row>21</xdr:row>
      <xdr:rowOff>71981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CB318AC-EDF9-534F-892B-183C4143F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96917" y="2889250"/>
          <a:ext cx="5822185" cy="40724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DB21F3F-382C-4EFE-BD92-88755903F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  <xdr:twoCellAnchor editAs="oneCell">
    <xdr:from>
      <xdr:col>9</xdr:col>
      <xdr:colOff>21167</xdr:colOff>
      <xdr:row>9</xdr:row>
      <xdr:rowOff>95250</xdr:rowOff>
    </xdr:from>
    <xdr:to>
      <xdr:col>16</xdr:col>
      <xdr:colOff>509352</xdr:colOff>
      <xdr:row>23</xdr:row>
      <xdr:rowOff>103731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470BDC-B082-4854-8ED5-F7A3E3FC6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67334" y="2878667"/>
          <a:ext cx="5822185" cy="40724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127000</xdr:rowOff>
    </xdr:from>
    <xdr:to>
      <xdr:col>1</xdr:col>
      <xdr:colOff>931333</xdr:colOff>
      <xdr:row>2</xdr:row>
      <xdr:rowOff>55100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087FF4-59E9-4075-B799-666AC364A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7000"/>
          <a:ext cx="1083733" cy="9663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0</xdr:col>
      <xdr:colOff>1178983</xdr:colOff>
      <xdr:row>5</xdr:row>
      <xdr:rowOff>13825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087FF4-59E9-4075-B799-666AC364A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0"/>
          <a:ext cx="1083733" cy="15187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</xdr:rowOff>
    </xdr:from>
    <xdr:to>
      <xdr:col>0</xdr:col>
      <xdr:colOff>1114425</xdr:colOff>
      <xdr:row>4</xdr:row>
      <xdr:rowOff>161926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087FF4-59E9-4075-B799-666AC364A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"/>
          <a:ext cx="1019175" cy="14478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</xdr:rowOff>
    </xdr:from>
    <xdr:to>
      <xdr:col>0</xdr:col>
      <xdr:colOff>838201</xdr:colOff>
      <xdr:row>4</xdr:row>
      <xdr:rowOff>213913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087FF4-59E9-4075-B799-666AC364A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1"/>
          <a:ext cx="742950" cy="149978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</xdr:rowOff>
    </xdr:from>
    <xdr:to>
      <xdr:col>1</xdr:col>
      <xdr:colOff>9526</xdr:colOff>
      <xdr:row>7</xdr:row>
      <xdr:rowOff>166288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087FF4-59E9-4075-B799-666AC364A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1" y="1"/>
          <a:ext cx="742950" cy="149978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</xdr:rowOff>
    </xdr:from>
    <xdr:to>
      <xdr:col>0</xdr:col>
      <xdr:colOff>971549</xdr:colOff>
      <xdr:row>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087FF4-59E9-4075-B799-666AC364A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"/>
          <a:ext cx="876299" cy="137159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</xdr:rowOff>
    </xdr:from>
    <xdr:to>
      <xdr:col>1</xdr:col>
      <xdr:colOff>190499</xdr:colOff>
      <xdr:row>7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087FF4-59E9-4075-B799-666AC364A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"/>
          <a:ext cx="876299" cy="137159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</xdr:rowOff>
    </xdr:from>
    <xdr:to>
      <xdr:col>1</xdr:col>
      <xdr:colOff>28575</xdr:colOff>
      <xdr:row>6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087FF4-59E9-4075-B799-666AC364A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"/>
          <a:ext cx="962025" cy="177164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</xdr:rowOff>
    </xdr:from>
    <xdr:to>
      <xdr:col>0</xdr:col>
      <xdr:colOff>771525</xdr:colOff>
      <xdr:row>6</xdr:row>
      <xdr:rowOff>63752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087FF4-59E9-4075-B799-666AC364A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"/>
          <a:ext cx="676275" cy="178777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2</xdr:rowOff>
    </xdr:from>
    <xdr:to>
      <xdr:col>1</xdr:col>
      <xdr:colOff>38100</xdr:colOff>
      <xdr:row>6</xdr:row>
      <xdr:rowOff>42255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087FF4-59E9-4075-B799-666AC364A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2"/>
          <a:ext cx="781050" cy="176627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95249</xdr:colOff>
      <xdr:row>0</xdr:row>
      <xdr:rowOff>2</xdr:rowOff>
    </xdr:from>
    <xdr:to>
      <xdr:col>0</xdr:col>
      <xdr:colOff>866774</xdr:colOff>
      <xdr:row>6</xdr:row>
      <xdr:rowOff>71008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087FF4-59E9-4075-B799-666AC364A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49" y="2"/>
          <a:ext cx="771525" cy="179503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95249</xdr:colOff>
      <xdr:row>0</xdr:row>
      <xdr:rowOff>2</xdr:rowOff>
    </xdr:from>
    <xdr:to>
      <xdr:col>0</xdr:col>
      <xdr:colOff>771524</xdr:colOff>
      <xdr:row>6</xdr:row>
      <xdr:rowOff>18704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087FF4-59E9-4075-B799-666AC364A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49" y="2"/>
          <a:ext cx="676275" cy="174272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95249</xdr:colOff>
      <xdr:row>0</xdr:row>
      <xdr:rowOff>2</xdr:rowOff>
    </xdr:from>
    <xdr:to>
      <xdr:col>0</xdr:col>
      <xdr:colOff>771524</xdr:colOff>
      <xdr:row>9</xdr:row>
      <xdr:rowOff>28229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087FF4-59E9-4075-B799-666AC364A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49" y="2"/>
          <a:ext cx="676275" cy="174272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95249</xdr:colOff>
      <xdr:row>0</xdr:row>
      <xdr:rowOff>3</xdr:rowOff>
    </xdr:from>
    <xdr:to>
      <xdr:col>0</xdr:col>
      <xdr:colOff>847725</xdr:colOff>
      <xdr:row>3</xdr:row>
      <xdr:rowOff>171451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087FF4-59E9-4075-B799-666AC364A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49" y="3"/>
          <a:ext cx="752476" cy="123824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95249</xdr:colOff>
      <xdr:row>0</xdr:row>
      <xdr:rowOff>4</xdr:rowOff>
    </xdr:from>
    <xdr:to>
      <xdr:col>0</xdr:col>
      <xdr:colOff>752475</xdr:colOff>
      <xdr:row>2</xdr:row>
      <xdr:rowOff>342542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087FF4-59E9-4075-B799-666AC364A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49" y="4"/>
          <a:ext cx="657226" cy="99023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95249</xdr:colOff>
      <xdr:row>0</xdr:row>
      <xdr:rowOff>4</xdr:rowOff>
    </xdr:from>
    <xdr:to>
      <xdr:col>1</xdr:col>
      <xdr:colOff>66675</xdr:colOff>
      <xdr:row>3</xdr:row>
      <xdr:rowOff>118168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087FF4-59E9-4075-B799-666AC364A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49" y="4"/>
          <a:ext cx="733426" cy="118496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95249</xdr:colOff>
      <xdr:row>0</xdr:row>
      <xdr:rowOff>4</xdr:rowOff>
    </xdr:from>
    <xdr:to>
      <xdr:col>1</xdr:col>
      <xdr:colOff>66675</xdr:colOff>
      <xdr:row>6</xdr:row>
      <xdr:rowOff>41968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087FF4-59E9-4075-B799-666AC364A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49" y="4"/>
          <a:ext cx="733426" cy="118496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18</xdr:col>
      <xdr:colOff>247223</xdr:colOff>
      <xdr:row>8</xdr:row>
      <xdr:rowOff>252874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BC44397-86F6-4697-9422-14F1349CF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30854" y="614149"/>
          <a:ext cx="7125694" cy="17814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opLeftCell="A7" zoomScale="90" zoomScaleNormal="90" workbookViewId="0">
      <selection activeCell="G20" sqref="G20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25.0976562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3" t="s">
        <v>0</v>
      </c>
      <c r="D1" s="53"/>
      <c r="E1" s="53"/>
      <c r="F1" s="53"/>
      <c r="G1" s="53"/>
      <c r="H1" s="53"/>
    </row>
    <row r="2" spans="1:15" ht="38.950000000000003" customHeight="1" x14ac:dyDescent="0.6">
      <c r="B2" s="2"/>
      <c r="C2" s="53" t="s">
        <v>1</v>
      </c>
      <c r="D2" s="53"/>
      <c r="E2" s="53"/>
      <c r="F2" s="53"/>
      <c r="G2" s="53"/>
      <c r="H2" s="53"/>
    </row>
    <row r="3" spans="1:15" ht="24.05" customHeight="1" x14ac:dyDescent="0.55000000000000004">
      <c r="D3" s="4"/>
      <c r="F3" s="24"/>
      <c r="G3" s="32" t="s">
        <v>2</v>
      </c>
      <c r="H3" s="27" t="s">
        <v>18</v>
      </c>
    </row>
    <row r="4" spans="1:15" ht="17.75" x14ac:dyDescent="0.45">
      <c r="B4" s="54" t="s">
        <v>3</v>
      </c>
      <c r="C4" s="54"/>
      <c r="D4" s="54"/>
      <c r="E4" s="35">
        <v>250000</v>
      </c>
      <c r="F4" s="7"/>
      <c r="G4" s="31"/>
    </row>
    <row r="5" spans="1:15" ht="17.75" x14ac:dyDescent="0.45">
      <c r="B5" s="25" t="s">
        <v>4</v>
      </c>
      <c r="C5" s="25"/>
      <c r="D5" s="25"/>
      <c r="E5" s="35"/>
      <c r="F5" s="7"/>
      <c r="G5" s="31"/>
    </row>
    <row r="6" spans="1:15" ht="17.75" x14ac:dyDescent="0.45">
      <c r="B6" s="54" t="s">
        <v>5</v>
      </c>
      <c r="C6" s="54"/>
      <c r="D6" s="54"/>
      <c r="E6" s="35">
        <v>0</v>
      </c>
      <c r="F6" s="7"/>
    </row>
    <row r="7" spans="1:15" ht="17.75" x14ac:dyDescent="0.45">
      <c r="B7" s="55" t="s">
        <v>6</v>
      </c>
      <c r="C7" s="55"/>
      <c r="D7" s="55"/>
      <c r="E7" s="35">
        <f>SUM(E4:E6)</f>
        <v>250000</v>
      </c>
      <c r="F7" s="7"/>
      <c r="G7" s="26"/>
    </row>
    <row r="8" spans="1:15" ht="17.75" x14ac:dyDescent="0.45">
      <c r="B8" s="56" t="s">
        <v>7</v>
      </c>
      <c r="C8" s="56"/>
      <c r="D8" s="56"/>
      <c r="E8" s="38">
        <f>+G26</f>
        <v>335405</v>
      </c>
      <c r="F8" s="7"/>
      <c r="G8" s="29" t="s">
        <v>8</v>
      </c>
      <c r="H8" s="36">
        <f>E7-E8</f>
        <v>-85405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45586</v>
      </c>
      <c r="C11" s="39" t="s">
        <v>19</v>
      </c>
      <c r="D11" s="40">
        <v>424063</v>
      </c>
      <c r="E11" s="41" t="s">
        <v>20</v>
      </c>
      <c r="F11" s="42" t="s">
        <v>21</v>
      </c>
      <c r="G11" s="44">
        <v>3900</v>
      </c>
      <c r="H11" s="43"/>
      <c r="I11" s="12"/>
      <c r="J11" s="12"/>
      <c r="K11" s="12"/>
      <c r="L11" s="12"/>
      <c r="M11" s="12"/>
      <c r="N11" s="12"/>
      <c r="O11" s="12"/>
    </row>
    <row r="12" spans="1:15" ht="34.4" x14ac:dyDescent="0.45">
      <c r="A12" s="15">
        <v>2</v>
      </c>
      <c r="B12" s="39">
        <v>45586</v>
      </c>
      <c r="C12" s="39" t="s">
        <v>19</v>
      </c>
      <c r="D12" s="40">
        <v>757213043</v>
      </c>
      <c r="E12" s="41" t="s">
        <v>22</v>
      </c>
      <c r="F12" s="42" t="s">
        <v>23</v>
      </c>
      <c r="G12" s="44">
        <v>27980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45586</v>
      </c>
      <c r="C13" s="39" t="s">
        <v>19</v>
      </c>
      <c r="D13" s="40">
        <v>2277013759</v>
      </c>
      <c r="E13" s="41"/>
      <c r="F13" s="42" t="s">
        <v>24</v>
      </c>
      <c r="G13" s="44">
        <v>3880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45586</v>
      </c>
      <c r="C14" s="39" t="s">
        <v>19</v>
      </c>
      <c r="D14" s="40">
        <v>73142614</v>
      </c>
      <c r="E14" s="41" t="s">
        <v>25</v>
      </c>
      <c r="F14" s="42" t="s">
        <v>26</v>
      </c>
      <c r="G14" s="44">
        <v>33190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45587</v>
      </c>
      <c r="C15" s="39" t="s">
        <v>19</v>
      </c>
      <c r="D15" s="40">
        <v>2356240380</v>
      </c>
      <c r="E15" s="41"/>
      <c r="F15" s="42" t="s">
        <v>27</v>
      </c>
      <c r="G15" s="44">
        <v>6495</v>
      </c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>
        <v>45587</v>
      </c>
      <c r="C16" s="39" t="s">
        <v>19</v>
      </c>
      <c r="D16" s="40">
        <v>77460</v>
      </c>
      <c r="E16" s="41" t="s">
        <v>28</v>
      </c>
      <c r="F16" s="42" t="s">
        <v>29</v>
      </c>
      <c r="G16" s="44">
        <v>4990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>
        <v>45588</v>
      </c>
      <c r="C17" s="39" t="s">
        <v>19</v>
      </c>
      <c r="D17" s="40">
        <v>13887510</v>
      </c>
      <c r="E17" s="41" t="s">
        <v>30</v>
      </c>
      <c r="F17" s="42" t="s">
        <v>31</v>
      </c>
      <c r="G17" s="44">
        <v>4990</v>
      </c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>
        <v>45589</v>
      </c>
      <c r="C18" s="39" t="s">
        <v>19</v>
      </c>
      <c r="D18" s="40">
        <v>757212058</v>
      </c>
      <c r="E18" s="41" t="s">
        <v>22</v>
      </c>
      <c r="F18" s="42" t="s">
        <v>32</v>
      </c>
      <c r="G18" s="44">
        <v>109990</v>
      </c>
      <c r="H18" s="43"/>
      <c r="I18" s="12"/>
      <c r="J18" s="12"/>
      <c r="K18" s="12"/>
      <c r="L18" s="12"/>
      <c r="M18" s="12"/>
      <c r="N18" s="12"/>
      <c r="O18" s="12"/>
    </row>
    <row r="19" spans="1:15" ht="34.4" x14ac:dyDescent="0.45">
      <c r="A19" s="15">
        <v>9</v>
      </c>
      <c r="B19" s="39">
        <v>45589</v>
      </c>
      <c r="C19" s="39" t="s">
        <v>19</v>
      </c>
      <c r="D19" s="40">
        <v>13885599</v>
      </c>
      <c r="E19" s="41" t="s">
        <v>33</v>
      </c>
      <c r="F19" s="42" t="s">
        <v>34</v>
      </c>
      <c r="G19" s="44">
        <v>119990</v>
      </c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>
        <v>45590</v>
      </c>
      <c r="C20" s="39" t="s">
        <v>19</v>
      </c>
      <c r="D20" s="40">
        <v>2591301</v>
      </c>
      <c r="E20" s="41"/>
      <c r="F20" s="42" t="s">
        <v>35</v>
      </c>
      <c r="G20" s="44">
        <v>20000</v>
      </c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17</v>
      </c>
      <c r="C26" s="33"/>
      <c r="D26" s="17"/>
      <c r="E26" s="17"/>
      <c r="F26" s="17"/>
      <c r="G26" s="45">
        <f>SUM(G11:G25)</f>
        <v>335405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54"/>
      <c r="C29" s="54"/>
      <c r="D29" s="57"/>
      <c r="E29" s="58"/>
      <c r="F29" s="59"/>
    </row>
    <row r="30" spans="1:15" ht="17.75" x14ac:dyDescent="0.45">
      <c r="B30" s="60"/>
      <c r="C30" s="60"/>
      <c r="D30" s="61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4"/>
  <sheetViews>
    <sheetView zoomScale="90" zoomScaleNormal="90" workbookViewId="0">
      <selection activeCell="G17" sqref="G17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29.89843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3" t="s">
        <v>0</v>
      </c>
      <c r="D1" s="53"/>
      <c r="E1" s="53"/>
      <c r="F1" s="53"/>
      <c r="G1" s="53"/>
      <c r="H1" s="53"/>
    </row>
    <row r="2" spans="1:15" ht="38.950000000000003" customHeight="1" x14ac:dyDescent="0.6">
      <c r="B2" s="2"/>
      <c r="C2" s="53" t="s">
        <v>1</v>
      </c>
      <c r="D2" s="53"/>
      <c r="E2" s="53"/>
      <c r="F2" s="53"/>
      <c r="G2" s="53"/>
      <c r="H2" s="53"/>
    </row>
    <row r="3" spans="1:15" ht="24.05" customHeight="1" x14ac:dyDescent="0.55000000000000004">
      <c r="D3" s="4"/>
      <c r="F3" s="24"/>
      <c r="G3" s="32" t="s">
        <v>2</v>
      </c>
      <c r="H3" s="27" t="s">
        <v>36</v>
      </c>
    </row>
    <row r="4" spans="1:15" ht="17.75" x14ac:dyDescent="0.45">
      <c r="B4" s="54" t="s">
        <v>3</v>
      </c>
      <c r="C4" s="54"/>
      <c r="D4" s="54"/>
      <c r="E4" s="50">
        <f>+OCTUBRE!H8</f>
        <v>-85405</v>
      </c>
      <c r="F4" s="7"/>
      <c r="G4" s="31"/>
    </row>
    <row r="5" spans="1:15" ht="17.75" x14ac:dyDescent="0.45">
      <c r="B5" s="25" t="s">
        <v>4</v>
      </c>
      <c r="C5" s="25"/>
      <c r="D5" s="25"/>
      <c r="E5" s="51">
        <v>181505</v>
      </c>
      <c r="F5" s="7"/>
      <c r="G5" s="31"/>
    </row>
    <row r="6" spans="1:15" ht="17.75" x14ac:dyDescent="0.45">
      <c r="B6" s="54" t="s">
        <v>5</v>
      </c>
      <c r="C6" s="54"/>
      <c r="D6" s="54"/>
      <c r="E6" s="35">
        <v>0</v>
      </c>
      <c r="F6" s="7"/>
    </row>
    <row r="7" spans="1:15" ht="17.75" x14ac:dyDescent="0.45">
      <c r="B7" s="55" t="s">
        <v>6</v>
      </c>
      <c r="C7" s="55"/>
      <c r="D7" s="55"/>
      <c r="E7" s="35">
        <f>SUM(E4:E6)</f>
        <v>96100</v>
      </c>
      <c r="F7" s="7"/>
      <c r="G7" s="26"/>
    </row>
    <row r="8" spans="1:15" ht="17.75" x14ac:dyDescent="0.45">
      <c r="B8" s="56" t="s">
        <v>7</v>
      </c>
      <c r="C8" s="56"/>
      <c r="D8" s="56"/>
      <c r="E8" s="38">
        <f>+G26</f>
        <v>126020</v>
      </c>
      <c r="F8" s="7"/>
      <c r="G8" s="29" t="s">
        <v>8</v>
      </c>
      <c r="H8" s="36">
        <f>E7-E8</f>
        <v>-29920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17.2" x14ac:dyDescent="0.45">
      <c r="A11" s="15">
        <v>1</v>
      </c>
      <c r="B11" s="39">
        <v>45601</v>
      </c>
      <c r="C11" s="39" t="s">
        <v>19</v>
      </c>
      <c r="D11" s="40" t="s">
        <v>38</v>
      </c>
      <c r="E11" s="41" t="s">
        <v>39</v>
      </c>
      <c r="F11" s="42" t="s">
        <v>40</v>
      </c>
      <c r="G11" s="44">
        <v>29000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45602</v>
      </c>
      <c r="C12" s="39" t="s">
        <v>19</v>
      </c>
      <c r="D12" s="40">
        <v>759284949</v>
      </c>
      <c r="E12" s="41" t="s">
        <v>22</v>
      </c>
      <c r="F12" s="42" t="s">
        <v>41</v>
      </c>
      <c r="G12" s="44">
        <v>7980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45604</v>
      </c>
      <c r="C13" s="39" t="s">
        <v>19</v>
      </c>
      <c r="D13" s="40">
        <v>2277016277</v>
      </c>
      <c r="E13" s="41"/>
      <c r="F13" s="42" t="s">
        <v>42</v>
      </c>
      <c r="G13" s="44">
        <v>6390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45604</v>
      </c>
      <c r="C14" s="39" t="s">
        <v>19</v>
      </c>
      <c r="D14" s="40">
        <v>760187559</v>
      </c>
      <c r="E14" s="41" t="s">
        <v>22</v>
      </c>
      <c r="F14" s="42" t="s">
        <v>43</v>
      </c>
      <c r="G14" s="44">
        <v>10490</v>
      </c>
      <c r="H14" s="43"/>
      <c r="I14" s="12"/>
      <c r="J14" s="12"/>
      <c r="K14" s="12"/>
      <c r="L14" s="12"/>
      <c r="M14" s="12"/>
      <c r="N14" s="12"/>
      <c r="O14" s="12"/>
    </row>
    <row r="15" spans="1:15" ht="34.4" x14ac:dyDescent="0.45">
      <c r="A15" s="15">
        <v>5</v>
      </c>
      <c r="B15" s="39">
        <v>45604</v>
      </c>
      <c r="C15" s="39" t="s">
        <v>19</v>
      </c>
      <c r="D15" s="40">
        <v>2356138687</v>
      </c>
      <c r="E15" s="41"/>
      <c r="F15" s="42" t="s">
        <v>44</v>
      </c>
      <c r="G15" s="44">
        <v>13180</v>
      </c>
      <c r="H15" s="43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6</v>
      </c>
      <c r="B16" s="39">
        <v>45608</v>
      </c>
      <c r="C16" s="39" t="s">
        <v>19</v>
      </c>
      <c r="D16" s="40">
        <v>759775922</v>
      </c>
      <c r="E16" s="41" t="s">
        <v>22</v>
      </c>
      <c r="F16" s="42" t="s">
        <v>45</v>
      </c>
      <c r="G16" s="44">
        <v>10990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46">
        <v>45610</v>
      </c>
      <c r="C17" s="46" t="s">
        <v>19</v>
      </c>
      <c r="D17" s="47">
        <v>842925242</v>
      </c>
      <c r="E17" s="47" t="s">
        <v>46</v>
      </c>
      <c r="F17" s="48" t="s">
        <v>47</v>
      </c>
      <c r="G17" s="49">
        <v>29990</v>
      </c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>
        <v>45616</v>
      </c>
      <c r="C18" s="39" t="s">
        <v>19</v>
      </c>
      <c r="D18" s="40">
        <v>6873</v>
      </c>
      <c r="E18" s="41" t="s">
        <v>48</v>
      </c>
      <c r="F18" s="42" t="s">
        <v>49</v>
      </c>
      <c r="G18" s="44">
        <v>18000</v>
      </c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17</v>
      </c>
      <c r="C26" s="33"/>
      <c r="D26" s="17"/>
      <c r="E26" s="17"/>
      <c r="F26" s="17"/>
      <c r="G26" s="45">
        <f>SUM(G11:G25)</f>
        <v>126020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54"/>
      <c r="C29" s="54"/>
      <c r="D29" s="57"/>
      <c r="E29" s="58"/>
      <c r="F29" s="59"/>
    </row>
    <row r="30" spans="1:15" ht="17.75" x14ac:dyDescent="0.45">
      <c r="B30" s="60"/>
      <c r="C30" s="60"/>
      <c r="D30" s="61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4"/>
  <sheetViews>
    <sheetView zoomScale="90" zoomScaleNormal="90" workbookViewId="0">
      <selection activeCell="E4" sqref="E4"/>
    </sheetView>
  </sheetViews>
  <sheetFormatPr baseColWidth="10" defaultColWidth="11.3984375" defaultRowHeight="14.55" x14ac:dyDescent="0.35"/>
  <cols>
    <col min="1" max="1" width="3.69921875" style="2" bestFit="1" customWidth="1"/>
    <col min="2" max="2" width="14.09765625" style="3" bestFit="1" customWidth="1"/>
    <col min="3" max="3" width="19.8984375" style="3" customWidth="1"/>
    <col min="4" max="4" width="15.09765625" style="23" customWidth="1"/>
    <col min="5" max="5" width="14.69921875" style="5" customWidth="1"/>
    <col min="6" max="6" width="25.0976562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3" t="s">
        <v>0</v>
      </c>
      <c r="D1" s="53"/>
      <c r="E1" s="53"/>
      <c r="F1" s="53"/>
      <c r="G1" s="53"/>
      <c r="H1" s="53"/>
    </row>
    <row r="2" spans="1:15" ht="38.950000000000003" customHeight="1" x14ac:dyDescent="0.6">
      <c r="B2" s="2"/>
      <c r="C2" s="53" t="s">
        <v>1</v>
      </c>
      <c r="D2" s="53"/>
      <c r="E2" s="53"/>
      <c r="F2" s="53"/>
      <c r="G2" s="53"/>
      <c r="H2" s="53"/>
    </row>
    <row r="3" spans="1:15" ht="24.05" customHeight="1" x14ac:dyDescent="0.55000000000000004">
      <c r="D3" s="4"/>
      <c r="F3" s="24"/>
      <c r="G3" s="32" t="s">
        <v>2</v>
      </c>
      <c r="H3" s="27" t="s">
        <v>37</v>
      </c>
    </row>
    <row r="4" spans="1:15" ht="17.75" x14ac:dyDescent="0.45">
      <c r="B4" s="54" t="s">
        <v>3</v>
      </c>
      <c r="C4" s="54"/>
      <c r="D4" s="54"/>
      <c r="E4" s="50">
        <f>+NOVIEMBRE!H8</f>
        <v>-29920</v>
      </c>
      <c r="F4" s="7"/>
      <c r="G4" s="31"/>
    </row>
    <row r="5" spans="1:15" ht="17.75" x14ac:dyDescent="0.45">
      <c r="B5" s="25" t="s">
        <v>4</v>
      </c>
      <c r="C5" s="25"/>
      <c r="D5" s="25"/>
      <c r="E5" s="51">
        <v>126020</v>
      </c>
      <c r="F5" s="7"/>
      <c r="G5" s="31"/>
    </row>
    <row r="6" spans="1:15" ht="17.75" x14ac:dyDescent="0.45">
      <c r="B6" s="54" t="s">
        <v>5</v>
      </c>
      <c r="C6" s="54"/>
      <c r="D6" s="54"/>
      <c r="E6" s="35">
        <v>0</v>
      </c>
      <c r="F6" s="7"/>
    </row>
    <row r="7" spans="1:15" ht="17.75" x14ac:dyDescent="0.45">
      <c r="B7" s="55" t="s">
        <v>6</v>
      </c>
      <c r="C7" s="55"/>
      <c r="D7" s="55"/>
      <c r="E7" s="35">
        <f>SUM(E4:E6)</f>
        <v>96100</v>
      </c>
      <c r="F7" s="7"/>
      <c r="G7" s="26"/>
    </row>
    <row r="8" spans="1:15" ht="17.75" x14ac:dyDescent="0.45">
      <c r="B8" s="56" t="s">
        <v>7</v>
      </c>
      <c r="C8" s="56"/>
      <c r="D8" s="56"/>
      <c r="E8" s="38">
        <f>+G26</f>
        <v>74710</v>
      </c>
      <c r="F8" s="7"/>
      <c r="G8" s="29" t="s">
        <v>8</v>
      </c>
      <c r="H8" s="36">
        <f>E7-E8</f>
        <v>21390</v>
      </c>
    </row>
    <row r="9" spans="1:15" s="1" customFormat="1" ht="24.2" x14ac:dyDescent="0.6">
      <c r="E9" s="10"/>
      <c r="F9" s="11"/>
      <c r="G9" s="9"/>
    </row>
    <row r="10" spans="1:15" s="9" customFormat="1" ht="88.7" x14ac:dyDescent="0.4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  <c r="J10" s="12"/>
      <c r="K10" s="12"/>
      <c r="L10" s="12"/>
      <c r="M10" s="12"/>
      <c r="N10" s="12"/>
      <c r="O10" s="12"/>
    </row>
    <row r="11" spans="1:15" ht="34.4" x14ac:dyDescent="0.45">
      <c r="A11" s="15">
        <v>1</v>
      </c>
      <c r="B11" s="39">
        <v>45625</v>
      </c>
      <c r="C11" s="39" t="s">
        <v>19</v>
      </c>
      <c r="D11" s="40">
        <v>761782847</v>
      </c>
      <c r="E11" s="41" t="s">
        <v>50</v>
      </c>
      <c r="F11" s="42" t="s">
        <v>51</v>
      </c>
      <c r="G11" s="44">
        <v>37970</v>
      </c>
      <c r="H11" s="43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9">
        <v>45624</v>
      </c>
      <c r="C12" s="39" t="s">
        <v>19</v>
      </c>
      <c r="D12" s="40">
        <v>153550</v>
      </c>
      <c r="E12" s="41"/>
      <c r="F12" s="42" t="s">
        <v>52</v>
      </c>
      <c r="G12" s="44">
        <v>3000</v>
      </c>
      <c r="H12" s="43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9">
        <v>45634</v>
      </c>
      <c r="C13" s="39" t="s">
        <v>19</v>
      </c>
      <c r="D13" s="40">
        <v>2351942837</v>
      </c>
      <c r="E13" s="41"/>
      <c r="F13" s="42" t="s">
        <v>53</v>
      </c>
      <c r="G13" s="44">
        <v>4670</v>
      </c>
      <c r="H13" s="43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9">
        <v>45640</v>
      </c>
      <c r="C14" s="39" t="s">
        <v>19</v>
      </c>
      <c r="D14" s="40">
        <v>63952458</v>
      </c>
      <c r="E14" s="41" t="s">
        <v>54</v>
      </c>
      <c r="F14" s="42" t="s">
        <v>55</v>
      </c>
      <c r="G14" s="44">
        <v>5080</v>
      </c>
      <c r="H14" s="43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39">
        <v>45643</v>
      </c>
      <c r="C15" s="39" t="s">
        <v>19</v>
      </c>
      <c r="D15" s="40">
        <v>15139549</v>
      </c>
      <c r="E15" s="41" t="s">
        <v>56</v>
      </c>
      <c r="F15" s="42" t="s">
        <v>58</v>
      </c>
      <c r="G15" s="44">
        <v>5990</v>
      </c>
      <c r="H15" s="43"/>
      <c r="I15" s="12"/>
      <c r="J15" s="12"/>
      <c r="K15" s="12"/>
      <c r="L15" s="12"/>
      <c r="M15" s="12"/>
      <c r="N15" s="12"/>
      <c r="O15" s="12"/>
    </row>
    <row r="16" spans="1:15" ht="20.3" customHeight="1" x14ac:dyDescent="0.45">
      <c r="A16" s="15">
        <v>6</v>
      </c>
      <c r="B16" s="39">
        <v>45644</v>
      </c>
      <c r="C16" s="39" t="s">
        <v>19</v>
      </c>
      <c r="D16" s="40">
        <v>6893</v>
      </c>
      <c r="E16" s="41" t="s">
        <v>59</v>
      </c>
      <c r="F16" s="42" t="s">
        <v>57</v>
      </c>
      <c r="G16" s="44">
        <v>18000</v>
      </c>
      <c r="H16" s="43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  <c r="J20" s="12"/>
      <c r="K20" s="12"/>
      <c r="L20" s="12"/>
      <c r="M20" s="12"/>
      <c r="N20" s="12"/>
      <c r="O20" s="12"/>
    </row>
    <row r="21" spans="1:15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15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15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15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15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15" s="12" customFormat="1" ht="17.75" x14ac:dyDescent="0.45">
      <c r="B26" s="16" t="s">
        <v>17</v>
      </c>
      <c r="C26" s="33"/>
      <c r="D26" s="17"/>
      <c r="E26" s="17"/>
      <c r="F26" s="17"/>
      <c r="G26" s="45">
        <f>SUM(G11:G25)</f>
        <v>74710</v>
      </c>
    </row>
    <row r="27" spans="1:15" s="12" customFormat="1" ht="17.75" x14ac:dyDescent="0.45">
      <c r="B27" s="18"/>
      <c r="C27" s="18"/>
      <c r="D27" s="19"/>
      <c r="E27" s="19"/>
      <c r="F27" s="19"/>
      <c r="G27" s="20"/>
    </row>
    <row r="28" spans="1:15" s="12" customFormat="1" ht="17.75" x14ac:dyDescent="0.45">
      <c r="B28" s="21"/>
      <c r="C28" s="21"/>
      <c r="D28" s="22"/>
      <c r="E28" s="22"/>
      <c r="F28" s="22"/>
      <c r="G28" s="8"/>
    </row>
    <row r="29" spans="1:15" ht="17.75" x14ac:dyDescent="0.45">
      <c r="B29" s="54"/>
      <c r="C29" s="54"/>
      <c r="D29" s="57"/>
      <c r="E29" s="58"/>
      <c r="F29" s="59"/>
    </row>
    <row r="30" spans="1:15" ht="17.75" x14ac:dyDescent="0.45">
      <c r="B30" s="60"/>
      <c r="C30" s="60"/>
      <c r="D30" s="61"/>
      <c r="E30" s="37"/>
      <c r="F30" s="12"/>
      <c r="G30" s="28"/>
    </row>
    <row r="31" spans="1:15" s="12" customFormat="1" ht="17.75" x14ac:dyDescent="0.45">
      <c r="B31" s="21"/>
      <c r="C31" s="21"/>
      <c r="D31" s="22"/>
      <c r="E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  <row r="44" spans="2:7" s="12" customFormat="1" ht="17.75" x14ac:dyDescent="0.45">
      <c r="B44" s="21"/>
      <c r="C44" s="21"/>
      <c r="D44" s="22"/>
      <c r="E44" s="22"/>
      <c r="F44" s="22"/>
      <c r="G44" s="8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pageSetup scale="71" orientation="portrait" r:id="rId1"/>
  <headerFooter>
    <oddFooter>&amp;C_x000D_&amp;1#&amp;"Calibri"&amp;10&amp;K000000 Calificación: Publico, apto para su distribución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1"/>
  <sheetViews>
    <sheetView workbookViewId="0">
      <selection activeCell="E5" sqref="E5"/>
    </sheetView>
  </sheetViews>
  <sheetFormatPr baseColWidth="10" defaultRowHeight="14" x14ac:dyDescent="0.3"/>
  <cols>
    <col min="1" max="1" width="20" customWidth="1"/>
    <col min="2" max="2" width="15.69921875" customWidth="1"/>
    <col min="3" max="3" width="20.69921875" customWidth="1"/>
    <col min="4" max="4" width="15.296875" customWidth="1"/>
    <col min="5" max="5" width="14.09765625" customWidth="1"/>
    <col min="6" max="6" width="23.59765625" customWidth="1"/>
    <col min="7" max="7" width="22.8984375" customWidth="1"/>
    <col min="8" max="8" width="18.69921875" customWidth="1"/>
  </cols>
  <sheetData>
    <row r="1" spans="1:9" ht="24.2" x14ac:dyDescent="0.6">
      <c r="A1" s="2"/>
      <c r="B1" s="3"/>
      <c r="C1" s="53" t="s">
        <v>0</v>
      </c>
      <c r="D1" s="53"/>
      <c r="E1" s="53"/>
      <c r="F1" s="53"/>
      <c r="G1" s="53"/>
      <c r="H1" s="53"/>
      <c r="I1" s="2"/>
    </row>
    <row r="2" spans="1:9" ht="24.2" x14ac:dyDescent="0.6">
      <c r="A2" s="2"/>
      <c r="B2" s="2"/>
      <c r="C2" s="53" t="s">
        <v>1</v>
      </c>
      <c r="D2" s="53"/>
      <c r="E2" s="53"/>
      <c r="F2" s="53"/>
      <c r="G2" s="53"/>
      <c r="H2" s="53"/>
      <c r="I2" s="2"/>
    </row>
    <row r="3" spans="1:9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37</v>
      </c>
      <c r="I3" s="2"/>
    </row>
    <row r="4" spans="1:9" ht="17.75" x14ac:dyDescent="0.45">
      <c r="A4" s="2"/>
      <c r="B4" s="54" t="s">
        <v>3</v>
      </c>
      <c r="C4" s="54"/>
      <c r="D4" s="54"/>
      <c r="E4" s="50">
        <f>+DICIEMBRE!H8</f>
        <v>21390</v>
      </c>
      <c r="F4" s="7"/>
      <c r="G4" s="31"/>
      <c r="H4" s="2"/>
      <c r="I4" s="2"/>
    </row>
    <row r="5" spans="1:9" ht="17.75" x14ac:dyDescent="0.45">
      <c r="A5" s="2"/>
      <c r="B5" s="25" t="s">
        <v>4</v>
      </c>
      <c r="C5" s="25"/>
      <c r="D5" s="25"/>
      <c r="E5" s="51">
        <v>74710</v>
      </c>
      <c r="F5" s="7"/>
      <c r="G5" s="31"/>
      <c r="H5" s="2"/>
      <c r="I5" s="2"/>
    </row>
    <row r="6" spans="1:9" ht="17.75" x14ac:dyDescent="0.45">
      <c r="A6" s="2"/>
      <c r="B6" s="54" t="s">
        <v>5</v>
      </c>
      <c r="C6" s="54"/>
      <c r="D6" s="54"/>
      <c r="E6" s="35">
        <v>0</v>
      </c>
      <c r="F6" s="7"/>
      <c r="G6" s="2"/>
      <c r="H6" s="2"/>
      <c r="I6" s="2"/>
    </row>
    <row r="7" spans="1:9" ht="17.75" x14ac:dyDescent="0.45">
      <c r="A7" s="2"/>
      <c r="B7" s="55" t="s">
        <v>6</v>
      </c>
      <c r="C7" s="55"/>
      <c r="D7" s="55"/>
      <c r="E7" s="35">
        <f>SUM(E4:E6)</f>
        <v>96100</v>
      </c>
      <c r="F7" s="7"/>
      <c r="G7" s="26"/>
      <c r="H7" s="2"/>
      <c r="I7" s="2"/>
    </row>
    <row r="8" spans="1:9" ht="17.75" x14ac:dyDescent="0.45">
      <c r="A8" s="2"/>
      <c r="B8" s="56" t="s">
        <v>7</v>
      </c>
      <c r="C8" s="56"/>
      <c r="D8" s="56"/>
      <c r="E8" s="38">
        <f>+G26</f>
        <v>56427</v>
      </c>
      <c r="F8" s="7"/>
      <c r="G8" s="29" t="s">
        <v>8</v>
      </c>
      <c r="H8" s="36">
        <f>E7-E8</f>
        <v>39673</v>
      </c>
      <c r="I8" s="2"/>
    </row>
    <row r="9" spans="1:9" ht="24.2" x14ac:dyDescent="0.6">
      <c r="A9" s="1"/>
      <c r="B9" s="1"/>
      <c r="C9" s="1"/>
      <c r="D9" s="1"/>
      <c r="E9" s="10"/>
      <c r="F9" s="11"/>
      <c r="G9" s="9"/>
      <c r="H9" s="1"/>
      <c r="I9" s="1"/>
    </row>
    <row r="10" spans="1:9" ht="103.6" customHeight="1" x14ac:dyDescent="0.3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</row>
    <row r="11" spans="1:9" ht="34.4" x14ac:dyDescent="0.45">
      <c r="A11" s="15">
        <v>1</v>
      </c>
      <c r="B11" s="39">
        <v>45667</v>
      </c>
      <c r="C11" s="39" t="s">
        <v>19</v>
      </c>
      <c r="D11" s="40">
        <v>161892081</v>
      </c>
      <c r="E11" s="41"/>
      <c r="F11" s="42" t="s">
        <v>60</v>
      </c>
      <c r="G11" s="44">
        <v>3950</v>
      </c>
      <c r="H11" s="43"/>
      <c r="I11" s="12"/>
    </row>
    <row r="12" spans="1:9" ht="34.4" x14ac:dyDescent="0.45">
      <c r="A12" s="15">
        <v>2</v>
      </c>
      <c r="B12" s="39">
        <v>45667</v>
      </c>
      <c r="C12" s="39" t="s">
        <v>19</v>
      </c>
      <c r="D12" s="40">
        <v>161892082</v>
      </c>
      <c r="E12" s="41"/>
      <c r="F12" s="42" t="s">
        <v>60</v>
      </c>
      <c r="G12" s="44">
        <v>1990</v>
      </c>
      <c r="H12" s="43"/>
      <c r="I12" s="12"/>
    </row>
    <row r="13" spans="1:9" ht="17.2" x14ac:dyDescent="0.45">
      <c r="A13" s="15">
        <v>3</v>
      </c>
      <c r="B13" s="39">
        <v>45667</v>
      </c>
      <c r="C13" s="39" t="s">
        <v>19</v>
      </c>
      <c r="D13" s="40"/>
      <c r="E13" s="41"/>
      <c r="F13" s="42" t="s">
        <v>61</v>
      </c>
      <c r="G13" s="44">
        <v>6597</v>
      </c>
      <c r="H13" s="43"/>
      <c r="I13" s="12"/>
    </row>
    <row r="14" spans="1:9" ht="17.2" x14ac:dyDescent="0.45">
      <c r="A14" s="15">
        <v>4</v>
      </c>
      <c r="B14" s="39">
        <v>45668</v>
      </c>
      <c r="C14" s="39" t="s">
        <v>19</v>
      </c>
      <c r="D14" s="40">
        <v>234850</v>
      </c>
      <c r="E14" s="41"/>
      <c r="F14" s="42" t="s">
        <v>62</v>
      </c>
      <c r="G14" s="44">
        <v>20000</v>
      </c>
      <c r="H14" s="43"/>
      <c r="I14" s="12"/>
    </row>
    <row r="15" spans="1:9" ht="17.2" x14ac:dyDescent="0.45">
      <c r="A15" s="15">
        <v>5</v>
      </c>
      <c r="B15" s="39">
        <v>45680</v>
      </c>
      <c r="C15" s="39" t="s">
        <v>19</v>
      </c>
      <c r="D15" s="40">
        <v>909867</v>
      </c>
      <c r="E15" s="41"/>
      <c r="F15" s="42" t="s">
        <v>63</v>
      </c>
      <c r="G15" s="44">
        <v>12900</v>
      </c>
      <c r="H15" s="43"/>
      <c r="I15" s="12"/>
    </row>
    <row r="16" spans="1:9" ht="17.2" x14ac:dyDescent="0.45">
      <c r="A16" s="15">
        <v>6</v>
      </c>
      <c r="B16" s="39">
        <v>45665</v>
      </c>
      <c r="C16" s="39" t="s">
        <v>19</v>
      </c>
      <c r="D16" s="40">
        <v>19412</v>
      </c>
      <c r="E16" s="41"/>
      <c r="F16" s="42" t="s">
        <v>64</v>
      </c>
      <c r="G16" s="44">
        <v>7000</v>
      </c>
      <c r="H16" s="43"/>
      <c r="I16" s="12"/>
    </row>
    <row r="17" spans="1:9" ht="34.4" x14ac:dyDescent="0.45">
      <c r="A17" s="15">
        <v>7</v>
      </c>
      <c r="B17" s="39">
        <v>45687</v>
      </c>
      <c r="C17" s="39" t="s">
        <v>19</v>
      </c>
      <c r="D17" s="40">
        <v>775336167</v>
      </c>
      <c r="E17" s="41"/>
      <c r="F17" s="42" t="s">
        <v>65</v>
      </c>
      <c r="G17" s="44">
        <v>3990</v>
      </c>
      <c r="H17" s="43"/>
      <c r="I17" s="12"/>
    </row>
    <row r="18" spans="1:9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</row>
    <row r="19" spans="1:9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</row>
    <row r="20" spans="1:9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</row>
    <row r="21" spans="1:9" ht="17.2" x14ac:dyDescent="0.45">
      <c r="A21" s="15">
        <v>11</v>
      </c>
      <c r="B21" s="39"/>
      <c r="C21" s="39"/>
      <c r="D21" s="40"/>
      <c r="E21" s="41"/>
      <c r="F21" s="42"/>
      <c r="G21" s="44"/>
      <c r="H21" s="43"/>
      <c r="I21" s="2"/>
    </row>
    <row r="22" spans="1:9" ht="17.2" x14ac:dyDescent="0.45">
      <c r="A22" s="15">
        <v>12</v>
      </c>
      <c r="B22" s="39"/>
      <c r="C22" s="39"/>
      <c r="D22" s="40"/>
      <c r="E22" s="41"/>
      <c r="F22" s="42"/>
      <c r="G22" s="44"/>
      <c r="H22" s="43"/>
      <c r="I22" s="2"/>
    </row>
    <row r="23" spans="1:9" ht="17.2" x14ac:dyDescent="0.45">
      <c r="A23" s="15">
        <v>13</v>
      </c>
      <c r="B23" s="39"/>
      <c r="C23" s="39"/>
      <c r="D23" s="40"/>
      <c r="E23" s="41"/>
      <c r="F23" s="42"/>
      <c r="G23" s="44"/>
      <c r="H23" s="43"/>
      <c r="I23" s="2"/>
    </row>
    <row r="24" spans="1:9" ht="17.2" x14ac:dyDescent="0.45">
      <c r="A24" s="15">
        <v>14</v>
      </c>
      <c r="B24" s="39"/>
      <c r="C24" s="39"/>
      <c r="D24" s="40"/>
      <c r="E24" s="41"/>
      <c r="F24" s="42"/>
      <c r="G24" s="44"/>
      <c r="H24" s="43"/>
      <c r="I24" s="2"/>
    </row>
    <row r="25" spans="1:9" ht="17.2" x14ac:dyDescent="0.45">
      <c r="A25" s="15">
        <v>15</v>
      </c>
      <c r="B25" s="39"/>
      <c r="C25" s="39"/>
      <c r="D25" s="40"/>
      <c r="E25" s="41"/>
      <c r="F25" s="42"/>
      <c r="G25" s="44"/>
      <c r="H25" s="43"/>
      <c r="I25" s="2"/>
    </row>
    <row r="26" spans="1:9" ht="17.75" x14ac:dyDescent="0.45">
      <c r="A26" s="12"/>
      <c r="B26" s="16" t="s">
        <v>17</v>
      </c>
      <c r="C26" s="33"/>
      <c r="D26" s="17"/>
      <c r="E26" s="17"/>
      <c r="F26" s="17"/>
      <c r="G26" s="45">
        <f>SUM(G11:G25)</f>
        <v>56427</v>
      </c>
      <c r="H26" s="12"/>
      <c r="I26" s="12"/>
    </row>
    <row r="27" spans="1:9" ht="17.75" x14ac:dyDescent="0.45">
      <c r="A27" s="12"/>
      <c r="B27" s="18"/>
      <c r="C27" s="18"/>
      <c r="D27" s="19"/>
      <c r="E27" s="19"/>
      <c r="F27" s="19"/>
      <c r="G27" s="20"/>
      <c r="H27" s="12"/>
      <c r="I27" s="12"/>
    </row>
    <row r="28" spans="1:9" ht="17.75" x14ac:dyDescent="0.45">
      <c r="A28" s="12"/>
      <c r="B28" s="21"/>
      <c r="C28" s="21"/>
      <c r="D28" s="22"/>
      <c r="E28" s="22"/>
      <c r="F28" s="22"/>
      <c r="G28" s="8"/>
      <c r="H28" s="12"/>
      <c r="I28" s="12"/>
    </row>
    <row r="29" spans="1:9" ht="17.75" x14ac:dyDescent="0.45">
      <c r="A29" s="2"/>
      <c r="B29" s="54"/>
      <c r="C29" s="54"/>
      <c r="D29" s="57"/>
      <c r="E29" s="58"/>
      <c r="F29" s="59"/>
      <c r="G29" s="2"/>
      <c r="H29" s="2"/>
      <c r="I29" s="2"/>
    </row>
    <row r="30" spans="1:9" ht="17.75" x14ac:dyDescent="0.45">
      <c r="A30" s="2"/>
      <c r="B30" s="60"/>
      <c r="C30" s="60"/>
      <c r="D30" s="61"/>
      <c r="E30" s="37"/>
      <c r="F30" s="12"/>
      <c r="G30" s="28"/>
      <c r="H30" s="2"/>
      <c r="I30" s="2"/>
    </row>
    <row r="31" spans="1:9" ht="17.75" x14ac:dyDescent="0.45">
      <c r="A31" s="12"/>
      <c r="B31" s="21"/>
      <c r="C31" s="21"/>
      <c r="D31" s="22"/>
      <c r="E31" s="22"/>
      <c r="F31" s="12"/>
      <c r="G31" s="8"/>
      <c r="H31" s="12"/>
      <c r="I31" s="12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1"/>
  <sheetViews>
    <sheetView workbookViewId="0">
      <selection activeCell="E4" sqref="E4"/>
    </sheetView>
  </sheetViews>
  <sheetFormatPr baseColWidth="10" defaultRowHeight="14" x14ac:dyDescent="0.3"/>
  <cols>
    <col min="1" max="1" width="18.09765625" customWidth="1"/>
    <col min="2" max="2" width="23" customWidth="1"/>
    <col min="3" max="3" width="17" customWidth="1"/>
    <col min="4" max="4" width="18" customWidth="1"/>
    <col min="5" max="5" width="20" customWidth="1"/>
    <col min="6" max="6" width="25" customWidth="1"/>
    <col min="7" max="7" width="18.3984375" customWidth="1"/>
    <col min="9" max="9" width="13.59765625" customWidth="1"/>
  </cols>
  <sheetData>
    <row r="1" spans="1:9" ht="24.2" x14ac:dyDescent="0.6">
      <c r="A1" s="2"/>
      <c r="B1" s="3"/>
      <c r="C1" s="53" t="s">
        <v>0</v>
      </c>
      <c r="D1" s="53"/>
      <c r="E1" s="53"/>
      <c r="F1" s="53"/>
      <c r="G1" s="53"/>
      <c r="H1" s="53"/>
      <c r="I1" s="2"/>
    </row>
    <row r="2" spans="1:9" ht="24.2" x14ac:dyDescent="0.6">
      <c r="A2" s="2"/>
      <c r="B2" s="2"/>
      <c r="C2" s="53" t="s">
        <v>1</v>
      </c>
      <c r="D2" s="53"/>
      <c r="E2" s="53"/>
      <c r="F2" s="53"/>
      <c r="G2" s="53"/>
      <c r="H2" s="53"/>
      <c r="I2" s="2"/>
    </row>
    <row r="3" spans="1:9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37</v>
      </c>
      <c r="I3" s="2"/>
    </row>
    <row r="4" spans="1:9" ht="17.75" x14ac:dyDescent="0.45">
      <c r="A4" s="2"/>
      <c r="B4" s="54" t="s">
        <v>3</v>
      </c>
      <c r="C4" s="54"/>
      <c r="D4" s="54"/>
      <c r="E4" s="50">
        <f>+ENERO!H8</f>
        <v>39673</v>
      </c>
      <c r="F4" s="7"/>
      <c r="G4" s="31"/>
      <c r="H4" s="2"/>
      <c r="I4" s="2"/>
    </row>
    <row r="5" spans="1:9" ht="17.75" x14ac:dyDescent="0.45">
      <c r="A5" s="2"/>
      <c r="B5" s="25" t="s">
        <v>4</v>
      </c>
      <c r="C5" s="25"/>
      <c r="D5" s="25"/>
      <c r="E5" s="51">
        <v>56427</v>
      </c>
      <c r="F5" s="7"/>
      <c r="G5" s="31"/>
      <c r="H5" s="2"/>
      <c r="I5" s="2"/>
    </row>
    <row r="6" spans="1:9" ht="17.75" x14ac:dyDescent="0.45">
      <c r="A6" s="2"/>
      <c r="B6" s="54" t="s">
        <v>5</v>
      </c>
      <c r="C6" s="54"/>
      <c r="D6" s="54"/>
      <c r="E6" s="35">
        <v>0</v>
      </c>
      <c r="F6" s="7"/>
      <c r="G6" s="2"/>
      <c r="H6" s="2"/>
      <c r="I6" s="2"/>
    </row>
    <row r="7" spans="1:9" ht="17.75" x14ac:dyDescent="0.45">
      <c r="A7" s="2"/>
      <c r="B7" s="55" t="s">
        <v>6</v>
      </c>
      <c r="C7" s="55"/>
      <c r="D7" s="55"/>
      <c r="E7" s="35">
        <f>SUM(E4:E6)</f>
        <v>96100</v>
      </c>
      <c r="F7" s="7"/>
      <c r="G7" s="26"/>
      <c r="H7" s="2"/>
      <c r="I7" s="2"/>
    </row>
    <row r="8" spans="1:9" ht="17.75" x14ac:dyDescent="0.45">
      <c r="A8" s="2"/>
      <c r="B8" s="56" t="s">
        <v>7</v>
      </c>
      <c r="C8" s="56"/>
      <c r="D8" s="56"/>
      <c r="E8" s="38">
        <f>+G26</f>
        <v>73377</v>
      </c>
      <c r="F8" s="7"/>
      <c r="G8" s="29" t="s">
        <v>8</v>
      </c>
      <c r="H8" s="36">
        <f>E7-E8</f>
        <v>22723</v>
      </c>
      <c r="I8" s="2"/>
    </row>
    <row r="9" spans="1:9" ht="24.2" x14ac:dyDescent="0.6">
      <c r="A9" s="1"/>
      <c r="B9" s="1"/>
      <c r="C9" s="1"/>
      <c r="D9" s="1"/>
      <c r="E9" s="10"/>
      <c r="F9" s="11"/>
      <c r="G9" s="9"/>
      <c r="H9" s="1"/>
      <c r="I9" s="1"/>
    </row>
    <row r="10" spans="1:9" ht="102.8" customHeight="1" x14ac:dyDescent="0.3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</row>
    <row r="11" spans="1:9" ht="15.05" customHeight="1" x14ac:dyDescent="0.45">
      <c r="A11" s="15">
        <v>1</v>
      </c>
      <c r="B11" s="39">
        <v>45694</v>
      </c>
      <c r="C11" s="39" t="s">
        <v>19</v>
      </c>
      <c r="D11" s="40"/>
      <c r="E11" s="41"/>
      <c r="F11" s="42" t="s">
        <v>66</v>
      </c>
      <c r="G11" s="44">
        <v>11774</v>
      </c>
      <c r="H11" s="43"/>
      <c r="I11" s="12"/>
    </row>
    <row r="12" spans="1:9" ht="15.75" customHeight="1" x14ac:dyDescent="0.45">
      <c r="A12" s="15">
        <v>2</v>
      </c>
      <c r="B12" s="39">
        <v>45699</v>
      </c>
      <c r="C12" s="39" t="s">
        <v>19</v>
      </c>
      <c r="D12" s="40">
        <v>19823</v>
      </c>
      <c r="E12" s="41"/>
      <c r="F12" s="42" t="s">
        <v>67</v>
      </c>
      <c r="G12" s="44">
        <v>7000</v>
      </c>
      <c r="H12" s="43"/>
      <c r="I12" s="12"/>
    </row>
    <row r="13" spans="1:9" ht="17.2" x14ac:dyDescent="0.45">
      <c r="A13" s="15">
        <v>3</v>
      </c>
      <c r="B13" s="39">
        <v>45707</v>
      </c>
      <c r="C13" s="39" t="s">
        <v>19</v>
      </c>
      <c r="D13" s="40"/>
      <c r="E13" s="41"/>
      <c r="F13" s="42" t="s">
        <v>68</v>
      </c>
      <c r="G13" s="44">
        <v>8187</v>
      </c>
      <c r="H13" s="43"/>
      <c r="I13" s="12"/>
    </row>
    <row r="14" spans="1:9" ht="17.2" x14ac:dyDescent="0.45">
      <c r="A14" s="15">
        <v>4</v>
      </c>
      <c r="B14" s="39">
        <v>45707</v>
      </c>
      <c r="C14" s="39" t="s">
        <v>19</v>
      </c>
      <c r="D14" s="40"/>
      <c r="E14" s="41"/>
      <c r="F14" s="42" t="s">
        <v>69</v>
      </c>
      <c r="G14" s="44">
        <v>10991</v>
      </c>
      <c r="H14" s="43"/>
      <c r="I14" s="12"/>
    </row>
    <row r="15" spans="1:9" ht="17.2" x14ac:dyDescent="0.45">
      <c r="A15" s="15">
        <v>5</v>
      </c>
      <c r="B15" s="39">
        <v>45708</v>
      </c>
      <c r="C15" s="39" t="s">
        <v>19</v>
      </c>
      <c r="D15" s="40"/>
      <c r="E15" s="41"/>
      <c r="F15" s="42" t="s">
        <v>70</v>
      </c>
      <c r="G15" s="44">
        <v>17425</v>
      </c>
      <c r="H15" s="43"/>
      <c r="I15" s="12"/>
    </row>
    <row r="16" spans="1:9" ht="17.2" x14ac:dyDescent="0.45">
      <c r="A16" s="15">
        <v>6</v>
      </c>
      <c r="B16" s="39">
        <v>45713</v>
      </c>
      <c r="C16" s="39" t="s">
        <v>19</v>
      </c>
      <c r="D16" s="40">
        <v>2680</v>
      </c>
      <c r="E16" s="41"/>
      <c r="F16" s="42" t="s">
        <v>57</v>
      </c>
      <c r="G16" s="44">
        <v>18000</v>
      </c>
      <c r="H16" s="43"/>
      <c r="I16" s="12"/>
    </row>
    <row r="17" spans="1:9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</row>
    <row r="18" spans="1:9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</row>
    <row r="19" spans="1:9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</row>
    <row r="20" spans="1:9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</row>
    <row r="21" spans="1:9" ht="17.2" x14ac:dyDescent="0.45">
      <c r="A21" s="15">
        <v>11</v>
      </c>
      <c r="B21" s="39"/>
      <c r="C21" s="39"/>
      <c r="D21" s="40"/>
      <c r="E21" s="41"/>
      <c r="F21" s="42"/>
      <c r="G21" s="44"/>
      <c r="H21" s="43"/>
      <c r="I21" s="2"/>
    </row>
    <row r="22" spans="1:9" ht="17.2" x14ac:dyDescent="0.45">
      <c r="A22" s="15">
        <v>12</v>
      </c>
      <c r="B22" s="39"/>
      <c r="C22" s="39"/>
      <c r="D22" s="40"/>
      <c r="E22" s="41"/>
      <c r="F22" s="42"/>
      <c r="G22" s="44"/>
      <c r="H22" s="43"/>
      <c r="I22" s="2"/>
    </row>
    <row r="23" spans="1:9" ht="17.2" x14ac:dyDescent="0.45">
      <c r="A23" s="15">
        <v>13</v>
      </c>
      <c r="B23" s="39"/>
      <c r="C23" s="39"/>
      <c r="D23" s="40"/>
      <c r="E23" s="41"/>
      <c r="F23" s="42"/>
      <c r="G23" s="44"/>
      <c r="H23" s="43"/>
      <c r="I23" s="2"/>
    </row>
    <row r="24" spans="1:9" ht="17.2" x14ac:dyDescent="0.45">
      <c r="A24" s="15">
        <v>14</v>
      </c>
      <c r="B24" s="39"/>
      <c r="C24" s="39"/>
      <c r="D24" s="40"/>
      <c r="E24" s="41"/>
      <c r="F24" s="42"/>
      <c r="G24" s="44"/>
      <c r="H24" s="43"/>
      <c r="I24" s="2"/>
    </row>
    <row r="25" spans="1:9" ht="17.2" x14ac:dyDescent="0.45">
      <c r="A25" s="15">
        <v>15</v>
      </c>
      <c r="B25" s="39"/>
      <c r="C25" s="39"/>
      <c r="D25" s="40"/>
      <c r="E25" s="41"/>
      <c r="F25" s="42"/>
      <c r="G25" s="44"/>
      <c r="H25" s="43"/>
      <c r="I25" s="2"/>
    </row>
    <row r="26" spans="1:9" ht="17.75" x14ac:dyDescent="0.45">
      <c r="A26" s="12"/>
      <c r="B26" s="16" t="s">
        <v>17</v>
      </c>
      <c r="C26" s="33"/>
      <c r="D26" s="17"/>
      <c r="E26" s="17"/>
      <c r="F26" s="17"/>
      <c r="G26" s="45">
        <f>SUM(G11:G25)</f>
        <v>73377</v>
      </c>
      <c r="H26" s="12"/>
      <c r="I26" s="12"/>
    </row>
    <row r="27" spans="1:9" ht="17.75" x14ac:dyDescent="0.45">
      <c r="A27" s="12"/>
      <c r="B27" s="18"/>
      <c r="C27" s="18"/>
      <c r="D27" s="19"/>
      <c r="E27" s="19"/>
      <c r="F27" s="19"/>
      <c r="G27" s="20"/>
      <c r="H27" s="12"/>
      <c r="I27" s="12"/>
    </row>
    <row r="28" spans="1:9" ht="17.75" x14ac:dyDescent="0.45">
      <c r="A28" s="12"/>
      <c r="B28" s="21"/>
      <c r="C28" s="21"/>
      <c r="D28" s="22"/>
      <c r="E28" s="22"/>
      <c r="F28" s="22"/>
      <c r="G28" s="8"/>
      <c r="H28" s="12"/>
      <c r="I28" s="12"/>
    </row>
    <row r="29" spans="1:9" ht="17.75" x14ac:dyDescent="0.45">
      <c r="A29" s="2"/>
      <c r="B29" s="54"/>
      <c r="C29" s="54"/>
      <c r="D29" s="57"/>
      <c r="E29" s="58"/>
      <c r="F29" s="59"/>
      <c r="G29" s="2"/>
      <c r="H29" s="2"/>
      <c r="I29" s="2"/>
    </row>
    <row r="30" spans="1:9" ht="17.75" x14ac:dyDescent="0.45">
      <c r="A30" s="2"/>
      <c r="B30" s="60"/>
      <c r="C30" s="60"/>
      <c r="D30" s="61"/>
      <c r="E30" s="37"/>
      <c r="F30" s="12"/>
      <c r="G30" s="28"/>
      <c r="H30" s="2"/>
      <c r="I30" s="2"/>
    </row>
    <row r="31" spans="1:9" ht="17.75" x14ac:dyDescent="0.45">
      <c r="A31" s="12"/>
      <c r="B31" s="21"/>
      <c r="C31" s="21"/>
      <c r="D31" s="22"/>
      <c r="E31" s="22"/>
      <c r="F31" s="12"/>
      <c r="G31" s="8"/>
      <c r="H31" s="12"/>
      <c r="I31" s="12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1"/>
  <sheetViews>
    <sheetView workbookViewId="0">
      <selection activeCell="E4" sqref="E4"/>
    </sheetView>
  </sheetViews>
  <sheetFormatPr baseColWidth="10" defaultRowHeight="14" x14ac:dyDescent="0.3"/>
  <cols>
    <col min="1" max="1" width="14.296875" customWidth="1"/>
    <col min="2" max="2" width="17.69921875" customWidth="1"/>
    <col min="3" max="3" width="17.8984375" customWidth="1"/>
    <col min="4" max="4" width="14.8984375" customWidth="1"/>
    <col min="5" max="5" width="17.09765625" customWidth="1"/>
    <col min="6" max="6" width="28.09765625" customWidth="1"/>
    <col min="8" max="8" width="17.296875" customWidth="1"/>
  </cols>
  <sheetData>
    <row r="1" spans="1:9" ht="24.2" x14ac:dyDescent="0.6">
      <c r="A1" s="2"/>
      <c r="B1" s="3"/>
      <c r="C1" s="53" t="s">
        <v>0</v>
      </c>
      <c r="D1" s="53"/>
      <c r="E1" s="53"/>
      <c r="F1" s="53"/>
      <c r="G1" s="53"/>
      <c r="H1" s="53"/>
      <c r="I1" s="2"/>
    </row>
    <row r="2" spans="1:9" ht="24.2" x14ac:dyDescent="0.6">
      <c r="A2" s="2"/>
      <c r="B2" s="2"/>
      <c r="C2" s="53" t="s">
        <v>1</v>
      </c>
      <c r="D2" s="53"/>
      <c r="E2" s="53"/>
      <c r="F2" s="53"/>
      <c r="G2" s="53"/>
      <c r="H2" s="53"/>
      <c r="I2" s="2"/>
    </row>
    <row r="3" spans="1:9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71</v>
      </c>
      <c r="I3" s="2"/>
    </row>
    <row r="4" spans="1:9" ht="17.75" x14ac:dyDescent="0.45">
      <c r="A4" s="2"/>
      <c r="B4" s="54" t="s">
        <v>3</v>
      </c>
      <c r="C4" s="54"/>
      <c r="D4" s="54"/>
      <c r="E4" s="50">
        <f>+FEBRERO!H8</f>
        <v>22723</v>
      </c>
      <c r="F4" s="7"/>
      <c r="G4" s="31"/>
      <c r="H4" s="2"/>
      <c r="I4" s="2"/>
    </row>
    <row r="5" spans="1:9" ht="17.75" x14ac:dyDescent="0.45">
      <c r="A5" s="2"/>
      <c r="B5" s="25" t="s">
        <v>4</v>
      </c>
      <c r="C5" s="25"/>
      <c r="D5" s="25"/>
      <c r="E5" s="51">
        <v>73377</v>
      </c>
      <c r="F5" s="7"/>
      <c r="G5" s="31"/>
      <c r="H5" s="2"/>
      <c r="I5" s="2"/>
    </row>
    <row r="6" spans="1:9" ht="17.75" x14ac:dyDescent="0.45">
      <c r="A6" s="2"/>
      <c r="B6" s="54" t="s">
        <v>5</v>
      </c>
      <c r="C6" s="54"/>
      <c r="D6" s="54"/>
      <c r="E6" s="35">
        <v>0</v>
      </c>
      <c r="F6" s="7"/>
      <c r="G6" s="2"/>
      <c r="H6" s="2"/>
      <c r="I6" s="2"/>
    </row>
    <row r="7" spans="1:9" ht="17.75" x14ac:dyDescent="0.45">
      <c r="A7" s="2"/>
      <c r="B7" s="55" t="s">
        <v>6</v>
      </c>
      <c r="C7" s="55"/>
      <c r="D7" s="55"/>
      <c r="E7" s="35">
        <f>SUM(E4:E6)</f>
        <v>96100</v>
      </c>
      <c r="F7" s="7"/>
      <c r="G7" s="26"/>
      <c r="H7" s="2"/>
      <c r="I7" s="2"/>
    </row>
    <row r="8" spans="1:9" ht="17.75" x14ac:dyDescent="0.45">
      <c r="A8" s="2"/>
      <c r="B8" s="56" t="s">
        <v>7</v>
      </c>
      <c r="C8" s="56"/>
      <c r="D8" s="56"/>
      <c r="E8" s="38">
        <f>+G26</f>
        <v>62459</v>
      </c>
      <c r="F8" s="7"/>
      <c r="G8" s="29" t="s">
        <v>8</v>
      </c>
      <c r="H8" s="36">
        <f>E7-E8</f>
        <v>33641</v>
      </c>
      <c r="I8" s="2"/>
    </row>
    <row r="9" spans="1:9" ht="24.2" x14ac:dyDescent="0.6">
      <c r="A9" s="1"/>
      <c r="B9" s="1"/>
      <c r="C9" s="1"/>
      <c r="D9" s="1"/>
      <c r="E9" s="10"/>
      <c r="F9" s="11"/>
      <c r="G9" s="9"/>
      <c r="H9" s="1"/>
      <c r="I9" s="1"/>
    </row>
    <row r="10" spans="1:9" ht="106.4" x14ac:dyDescent="0.3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</row>
    <row r="11" spans="1:9" ht="17.2" x14ac:dyDescent="0.45">
      <c r="A11" s="15">
        <v>1</v>
      </c>
      <c r="B11" s="39">
        <v>45723</v>
      </c>
      <c r="C11" s="39"/>
      <c r="D11" s="40"/>
      <c r="E11" s="41"/>
      <c r="F11" s="42" t="s">
        <v>72</v>
      </c>
      <c r="G11" s="44">
        <v>3000</v>
      </c>
      <c r="H11" s="43"/>
      <c r="I11" s="12"/>
    </row>
    <row r="12" spans="1:9" ht="17.2" x14ac:dyDescent="0.45">
      <c r="A12" s="15">
        <v>2</v>
      </c>
      <c r="B12" s="39">
        <v>45724</v>
      </c>
      <c r="C12" s="39" t="s">
        <v>19</v>
      </c>
      <c r="D12" s="40">
        <v>2362449973</v>
      </c>
      <c r="E12" s="41" t="s">
        <v>77</v>
      </c>
      <c r="F12" s="42" t="s">
        <v>73</v>
      </c>
      <c r="G12" s="44">
        <v>10990</v>
      </c>
      <c r="H12" s="43"/>
      <c r="I12" s="12"/>
    </row>
    <row r="13" spans="1:9" ht="17.2" x14ac:dyDescent="0.45">
      <c r="A13" s="15">
        <v>3</v>
      </c>
      <c r="B13" s="39">
        <v>45742</v>
      </c>
      <c r="C13" s="39" t="s">
        <v>19</v>
      </c>
      <c r="D13" s="40">
        <v>2780</v>
      </c>
      <c r="E13" s="41" t="s">
        <v>74</v>
      </c>
      <c r="F13" s="42" t="s">
        <v>57</v>
      </c>
      <c r="G13" s="44">
        <v>18000</v>
      </c>
      <c r="H13" s="43"/>
      <c r="I13" s="12"/>
    </row>
    <row r="14" spans="1:9" ht="17.2" x14ac:dyDescent="0.45">
      <c r="A14" s="15">
        <v>4</v>
      </c>
      <c r="B14" s="39">
        <v>45730</v>
      </c>
      <c r="C14" s="39" t="s">
        <v>19</v>
      </c>
      <c r="D14" s="40">
        <v>20219</v>
      </c>
      <c r="E14" s="41" t="s">
        <v>39</v>
      </c>
      <c r="F14" s="42" t="s">
        <v>64</v>
      </c>
      <c r="G14" s="44">
        <v>7000</v>
      </c>
      <c r="H14" s="43"/>
      <c r="I14" s="12"/>
    </row>
    <row r="15" spans="1:9" ht="17.2" x14ac:dyDescent="0.45">
      <c r="A15" s="15">
        <v>5</v>
      </c>
      <c r="B15" s="39">
        <v>45743</v>
      </c>
      <c r="C15" s="39" t="s">
        <v>19</v>
      </c>
      <c r="D15" s="40"/>
      <c r="E15" s="41"/>
      <c r="F15" s="42" t="s">
        <v>75</v>
      </c>
      <c r="G15" s="44">
        <v>9699</v>
      </c>
      <c r="H15" s="43"/>
      <c r="I15" s="12"/>
    </row>
    <row r="16" spans="1:9" ht="17.2" x14ac:dyDescent="0.45">
      <c r="A16" s="15">
        <v>6</v>
      </c>
      <c r="B16" s="39">
        <v>45745</v>
      </c>
      <c r="C16" s="39" t="s">
        <v>19</v>
      </c>
      <c r="D16" s="40">
        <v>23241667552</v>
      </c>
      <c r="E16" s="41" t="s">
        <v>77</v>
      </c>
      <c r="F16" s="42" t="s">
        <v>76</v>
      </c>
      <c r="G16" s="44">
        <v>13770</v>
      </c>
      <c r="H16" s="43"/>
      <c r="I16" s="12"/>
    </row>
    <row r="17" spans="1:9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</row>
    <row r="18" spans="1:9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</row>
    <row r="19" spans="1:9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</row>
    <row r="20" spans="1:9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</row>
    <row r="21" spans="1:9" ht="17.2" x14ac:dyDescent="0.45">
      <c r="A21" s="15">
        <v>11</v>
      </c>
      <c r="B21" s="39"/>
      <c r="C21" s="39"/>
      <c r="D21" s="40"/>
      <c r="E21" s="41"/>
      <c r="F21" s="42"/>
      <c r="G21" s="44"/>
      <c r="H21" s="43"/>
      <c r="I21" s="2"/>
    </row>
    <row r="22" spans="1:9" ht="17.2" x14ac:dyDescent="0.45">
      <c r="A22" s="15">
        <v>12</v>
      </c>
      <c r="B22" s="39"/>
      <c r="C22" s="39"/>
      <c r="D22" s="40"/>
      <c r="E22" s="41"/>
      <c r="F22" s="42"/>
      <c r="G22" s="44"/>
      <c r="H22" s="43"/>
      <c r="I22" s="2"/>
    </row>
    <row r="23" spans="1:9" ht="17.2" x14ac:dyDescent="0.45">
      <c r="A23" s="15">
        <v>13</v>
      </c>
      <c r="B23" s="39"/>
      <c r="C23" s="39"/>
      <c r="D23" s="40"/>
      <c r="E23" s="41"/>
      <c r="F23" s="42"/>
      <c r="G23" s="44"/>
      <c r="H23" s="43"/>
      <c r="I23" s="2"/>
    </row>
    <row r="24" spans="1:9" ht="17.2" x14ac:dyDescent="0.45">
      <c r="A24" s="15">
        <v>14</v>
      </c>
      <c r="B24" s="39"/>
      <c r="C24" s="39"/>
      <c r="D24" s="40"/>
      <c r="E24" s="41"/>
      <c r="F24" s="42"/>
      <c r="G24" s="44"/>
      <c r="H24" s="43"/>
      <c r="I24" s="2"/>
    </row>
    <row r="25" spans="1:9" ht="17.2" x14ac:dyDescent="0.45">
      <c r="A25" s="15">
        <v>15</v>
      </c>
      <c r="B25" s="39"/>
      <c r="C25" s="39"/>
      <c r="D25" s="40"/>
      <c r="E25" s="41"/>
      <c r="F25" s="42"/>
      <c r="G25" s="44"/>
      <c r="H25" s="43"/>
      <c r="I25" s="2"/>
    </row>
    <row r="26" spans="1:9" ht="17.75" x14ac:dyDescent="0.45">
      <c r="A26" s="12"/>
      <c r="B26" s="16" t="s">
        <v>17</v>
      </c>
      <c r="C26" s="33"/>
      <c r="D26" s="17"/>
      <c r="E26" s="17"/>
      <c r="F26" s="17"/>
      <c r="G26" s="45">
        <f>SUM(G11:G25)</f>
        <v>62459</v>
      </c>
      <c r="H26" s="12"/>
      <c r="I26" s="12"/>
    </row>
    <row r="27" spans="1:9" ht="17.75" x14ac:dyDescent="0.45">
      <c r="A27" s="12"/>
      <c r="B27" s="18"/>
      <c r="C27" s="18"/>
      <c r="D27" s="19"/>
      <c r="E27" s="19"/>
      <c r="F27" s="19"/>
      <c r="G27" s="20"/>
      <c r="H27" s="12"/>
      <c r="I27" s="12"/>
    </row>
    <row r="28" spans="1:9" ht="17.75" x14ac:dyDescent="0.45">
      <c r="A28" s="12"/>
      <c r="B28" s="21"/>
      <c r="C28" s="21"/>
      <c r="D28" s="22"/>
      <c r="E28" s="22"/>
      <c r="F28" s="22"/>
      <c r="G28" s="8"/>
      <c r="H28" s="12"/>
      <c r="I28" s="12"/>
    </row>
    <row r="29" spans="1:9" ht="17.75" x14ac:dyDescent="0.45">
      <c r="A29" s="2"/>
      <c r="B29" s="54"/>
      <c r="C29" s="54"/>
      <c r="D29" s="57"/>
      <c r="E29" s="58"/>
      <c r="F29" s="59"/>
      <c r="G29" s="2"/>
      <c r="H29" s="2"/>
      <c r="I29" s="2"/>
    </row>
    <row r="30" spans="1:9" ht="17.75" x14ac:dyDescent="0.45">
      <c r="A30" s="2"/>
      <c r="B30" s="60"/>
      <c r="C30" s="60"/>
      <c r="D30" s="61"/>
      <c r="E30" s="37"/>
      <c r="F30" s="12"/>
      <c r="G30" s="28"/>
      <c r="H30" s="2"/>
      <c r="I30" s="2"/>
    </row>
    <row r="31" spans="1:9" ht="17.75" x14ac:dyDescent="0.45">
      <c r="A31" s="12"/>
      <c r="B31" s="21"/>
      <c r="C31" s="21"/>
      <c r="D31" s="22"/>
      <c r="E31" s="22"/>
      <c r="F31" s="12"/>
      <c r="G31" s="8"/>
      <c r="H31" s="12"/>
      <c r="I31" s="12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1"/>
  <sheetViews>
    <sheetView workbookViewId="0">
      <selection activeCell="E4" sqref="E4"/>
    </sheetView>
  </sheetViews>
  <sheetFormatPr baseColWidth="10" defaultRowHeight="14" x14ac:dyDescent="0.3"/>
  <cols>
    <col min="1" max="1" width="12.3984375" customWidth="1"/>
    <col min="2" max="3" width="21" customWidth="1"/>
    <col min="4" max="4" width="15" customWidth="1"/>
    <col min="5" max="5" width="17.3984375" customWidth="1"/>
    <col min="6" max="6" width="28.59765625" customWidth="1"/>
    <col min="7" max="7" width="15.296875" customWidth="1"/>
    <col min="8" max="8" width="17.8984375" customWidth="1"/>
  </cols>
  <sheetData>
    <row r="1" spans="1:10" ht="24.2" x14ac:dyDescent="0.6">
      <c r="A1" s="2"/>
      <c r="B1" s="3"/>
      <c r="C1" s="53" t="s">
        <v>0</v>
      </c>
      <c r="D1" s="53"/>
      <c r="E1" s="53"/>
      <c r="F1" s="53"/>
      <c r="G1" s="53"/>
      <c r="H1" s="53"/>
      <c r="I1" s="2"/>
    </row>
    <row r="2" spans="1:10" ht="24.2" x14ac:dyDescent="0.6">
      <c r="A2" s="2"/>
      <c r="B2" s="2"/>
      <c r="C2" s="53" t="s">
        <v>1</v>
      </c>
      <c r="D2" s="53"/>
      <c r="E2" s="53"/>
      <c r="F2" s="53"/>
      <c r="G2" s="53"/>
      <c r="H2" s="53"/>
      <c r="I2" s="2"/>
    </row>
    <row r="3" spans="1:10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71</v>
      </c>
      <c r="I3" s="2"/>
    </row>
    <row r="4" spans="1:10" ht="17.75" x14ac:dyDescent="0.45">
      <c r="A4" s="2"/>
      <c r="B4" s="54" t="s">
        <v>3</v>
      </c>
      <c r="C4" s="54"/>
      <c r="D4" s="54"/>
      <c r="E4" s="50">
        <f>+MARZO!H8</f>
        <v>33641</v>
      </c>
      <c r="F4" s="7"/>
      <c r="G4" s="31"/>
      <c r="H4" s="2"/>
      <c r="I4" s="2"/>
    </row>
    <row r="5" spans="1:10" ht="17.75" x14ac:dyDescent="0.45">
      <c r="A5" s="2"/>
      <c r="B5" s="25" t="s">
        <v>4</v>
      </c>
      <c r="C5" s="25"/>
      <c r="D5" s="25"/>
      <c r="E5" s="51">
        <v>62459</v>
      </c>
      <c r="F5" s="7"/>
      <c r="G5" s="31"/>
      <c r="H5" s="2"/>
      <c r="I5" s="2"/>
    </row>
    <row r="6" spans="1:10" ht="17.75" x14ac:dyDescent="0.45">
      <c r="A6" s="2"/>
      <c r="B6" s="54" t="s">
        <v>5</v>
      </c>
      <c r="C6" s="54"/>
      <c r="D6" s="54"/>
      <c r="E6" s="35">
        <v>0</v>
      </c>
      <c r="F6" s="7"/>
      <c r="G6" s="2"/>
      <c r="H6" s="2"/>
      <c r="I6" s="2"/>
    </row>
    <row r="7" spans="1:10" ht="17.75" x14ac:dyDescent="0.45">
      <c r="A7" s="2"/>
      <c r="B7" s="55" t="s">
        <v>6</v>
      </c>
      <c r="C7" s="55"/>
      <c r="D7" s="55"/>
      <c r="E7" s="35">
        <f>SUM(E4:E6)</f>
        <v>96100</v>
      </c>
      <c r="F7" s="7"/>
      <c r="G7" s="26"/>
      <c r="H7" s="2"/>
      <c r="I7" s="2"/>
    </row>
    <row r="8" spans="1:10" ht="17.75" x14ac:dyDescent="0.45">
      <c r="A8" s="2"/>
      <c r="B8" s="56" t="s">
        <v>7</v>
      </c>
      <c r="C8" s="56"/>
      <c r="D8" s="56"/>
      <c r="E8" s="38">
        <f>+G26</f>
        <v>53374</v>
      </c>
      <c r="F8" s="7"/>
      <c r="G8" s="29" t="s">
        <v>8</v>
      </c>
      <c r="H8" s="36">
        <f>E7-E8</f>
        <v>42726</v>
      </c>
      <c r="I8" s="2"/>
    </row>
    <row r="9" spans="1:10" ht="24.2" x14ac:dyDescent="0.6">
      <c r="A9" s="1"/>
      <c r="B9" s="1"/>
      <c r="C9" s="1"/>
      <c r="D9" s="1"/>
      <c r="E9" s="10"/>
      <c r="F9" s="11"/>
      <c r="G9" s="9"/>
      <c r="H9" s="1"/>
      <c r="I9" s="1"/>
    </row>
    <row r="10" spans="1:10" ht="126.8" customHeight="1" x14ac:dyDescent="0.3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</row>
    <row r="11" spans="1:10" ht="17.2" x14ac:dyDescent="0.45">
      <c r="A11" s="15">
        <v>1</v>
      </c>
      <c r="B11" s="39">
        <v>45755</v>
      </c>
      <c r="C11" s="39" t="s">
        <v>19</v>
      </c>
      <c r="D11" s="40">
        <v>20541</v>
      </c>
      <c r="E11" s="41" t="s">
        <v>78</v>
      </c>
      <c r="F11" s="42" t="s">
        <v>64</v>
      </c>
      <c r="G11" s="44">
        <v>7000</v>
      </c>
      <c r="H11" s="43"/>
      <c r="I11" s="12"/>
    </row>
    <row r="12" spans="1:10" ht="17.2" x14ac:dyDescent="0.45">
      <c r="A12" s="15">
        <v>2</v>
      </c>
      <c r="B12" s="39">
        <v>45775</v>
      </c>
      <c r="C12" s="39" t="s">
        <v>19</v>
      </c>
      <c r="D12" s="40">
        <v>785652971</v>
      </c>
      <c r="E12" s="41" t="s">
        <v>50</v>
      </c>
      <c r="F12" s="42" t="s">
        <v>79</v>
      </c>
      <c r="G12" s="44">
        <v>17380</v>
      </c>
      <c r="H12" s="43"/>
      <c r="I12" s="12"/>
    </row>
    <row r="13" spans="1:10" ht="17.2" x14ac:dyDescent="0.45">
      <c r="A13" s="15">
        <v>3</v>
      </c>
      <c r="B13" s="39">
        <v>45776</v>
      </c>
      <c r="C13" s="39" t="s">
        <v>19</v>
      </c>
      <c r="D13" s="40">
        <v>167644031</v>
      </c>
      <c r="E13" s="41" t="s">
        <v>80</v>
      </c>
      <c r="F13" s="42" t="s">
        <v>81</v>
      </c>
      <c r="G13" s="44">
        <v>8960</v>
      </c>
      <c r="H13" s="43"/>
      <c r="I13" s="12"/>
    </row>
    <row r="14" spans="1:10" ht="17.2" x14ac:dyDescent="0.45">
      <c r="A14" s="15">
        <v>4</v>
      </c>
      <c r="B14" s="39">
        <v>45777</v>
      </c>
      <c r="C14" s="39" t="s">
        <v>19</v>
      </c>
      <c r="D14" s="40">
        <v>2886</v>
      </c>
      <c r="E14" s="41" t="s">
        <v>82</v>
      </c>
      <c r="F14" s="42" t="s">
        <v>57</v>
      </c>
      <c r="G14" s="44">
        <v>18000</v>
      </c>
      <c r="H14" s="43"/>
      <c r="I14" s="12"/>
      <c r="J14" s="52"/>
    </row>
    <row r="15" spans="1:10" ht="17.2" x14ac:dyDescent="0.45">
      <c r="A15" s="15">
        <v>5</v>
      </c>
      <c r="B15" s="39">
        <v>45777</v>
      </c>
      <c r="C15" s="39" t="s">
        <v>19</v>
      </c>
      <c r="D15" s="40">
        <v>785797857</v>
      </c>
      <c r="E15" s="41" t="s">
        <v>83</v>
      </c>
      <c r="F15" s="42" t="s">
        <v>84</v>
      </c>
      <c r="G15" s="44">
        <v>2034</v>
      </c>
      <c r="H15" s="43"/>
      <c r="I15" s="12"/>
    </row>
    <row r="16" spans="1:10" ht="17.2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</row>
    <row r="17" spans="1:9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</row>
    <row r="18" spans="1:9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</row>
    <row r="19" spans="1:9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</row>
    <row r="20" spans="1:9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</row>
    <row r="21" spans="1:9" ht="17.2" x14ac:dyDescent="0.45">
      <c r="A21" s="15">
        <v>11</v>
      </c>
      <c r="B21" s="39"/>
      <c r="C21" s="39"/>
      <c r="D21" s="40"/>
      <c r="E21" s="41"/>
      <c r="F21" s="42"/>
      <c r="G21" s="44"/>
      <c r="H21" s="43"/>
      <c r="I21" s="2"/>
    </row>
    <row r="22" spans="1:9" ht="17.2" x14ac:dyDescent="0.45">
      <c r="A22" s="15">
        <v>12</v>
      </c>
      <c r="B22" s="39"/>
      <c r="C22" s="39"/>
      <c r="D22" s="40"/>
      <c r="E22" s="41"/>
      <c r="F22" s="42"/>
      <c r="G22" s="44"/>
      <c r="H22" s="43"/>
      <c r="I22" s="2"/>
    </row>
    <row r="23" spans="1:9" ht="17.2" x14ac:dyDescent="0.45">
      <c r="A23" s="15">
        <v>13</v>
      </c>
      <c r="B23" s="39"/>
      <c r="C23" s="39"/>
      <c r="D23" s="40"/>
      <c r="E23" s="41"/>
      <c r="F23" s="42"/>
      <c r="G23" s="44"/>
      <c r="H23" s="43"/>
      <c r="I23" s="2"/>
    </row>
    <row r="24" spans="1:9" ht="17.2" x14ac:dyDescent="0.45">
      <c r="A24" s="15">
        <v>14</v>
      </c>
      <c r="B24" s="39"/>
      <c r="C24" s="39"/>
      <c r="D24" s="40"/>
      <c r="E24" s="41"/>
      <c r="F24" s="42"/>
      <c r="G24" s="44"/>
      <c r="H24" s="43"/>
      <c r="I24" s="2"/>
    </row>
    <row r="25" spans="1:9" ht="17.2" x14ac:dyDescent="0.45">
      <c r="A25" s="15">
        <v>15</v>
      </c>
      <c r="B25" s="39"/>
      <c r="C25" s="39"/>
      <c r="D25" s="40"/>
      <c r="E25" s="41"/>
      <c r="F25" s="42"/>
      <c r="G25" s="44"/>
      <c r="H25" s="43"/>
      <c r="I25" s="2"/>
    </row>
    <row r="26" spans="1:9" ht="17.75" x14ac:dyDescent="0.45">
      <c r="A26" s="12"/>
      <c r="B26" s="16" t="s">
        <v>17</v>
      </c>
      <c r="C26" s="33"/>
      <c r="D26" s="17"/>
      <c r="E26" s="17"/>
      <c r="F26" s="17"/>
      <c r="G26" s="45">
        <f>SUM(G11:G25)</f>
        <v>53374</v>
      </c>
      <c r="H26" s="12"/>
      <c r="I26" s="12"/>
    </row>
    <row r="27" spans="1:9" ht="17.75" x14ac:dyDescent="0.45">
      <c r="A27" s="12"/>
      <c r="B27" s="18"/>
      <c r="C27" s="18"/>
      <c r="D27" s="19"/>
      <c r="E27" s="19"/>
      <c r="F27" s="19"/>
      <c r="G27" s="20"/>
      <c r="H27" s="12"/>
      <c r="I27" s="12"/>
    </row>
    <row r="28" spans="1:9" ht="17.75" x14ac:dyDescent="0.45">
      <c r="A28" s="12"/>
      <c r="B28" s="21"/>
      <c r="C28" s="21"/>
      <c r="D28" s="22"/>
      <c r="E28" s="22"/>
      <c r="F28" s="22"/>
      <c r="G28" s="8"/>
      <c r="H28" s="12"/>
      <c r="I28" s="12"/>
    </row>
    <row r="29" spans="1:9" ht="17.75" x14ac:dyDescent="0.45">
      <c r="A29" s="2"/>
      <c r="B29" s="54"/>
      <c r="C29" s="54"/>
      <c r="D29" s="57"/>
      <c r="E29" s="58"/>
      <c r="F29" s="59"/>
      <c r="G29" s="2"/>
      <c r="H29" s="2"/>
      <c r="I29" s="2"/>
    </row>
    <row r="30" spans="1:9" ht="17.75" x14ac:dyDescent="0.45">
      <c r="A30" s="2"/>
      <c r="B30" s="60"/>
      <c r="C30" s="60"/>
      <c r="D30" s="61"/>
      <c r="E30" s="37"/>
      <c r="F30" s="12"/>
      <c r="G30" s="28"/>
      <c r="H30" s="2"/>
      <c r="I30" s="2"/>
    </row>
    <row r="31" spans="1:9" ht="17.75" x14ac:dyDescent="0.45">
      <c r="A31" s="12"/>
      <c r="B31" s="21"/>
      <c r="C31" s="21"/>
      <c r="D31" s="22"/>
      <c r="E31" s="22"/>
      <c r="F31" s="12"/>
      <c r="G31" s="8"/>
      <c r="H31" s="12"/>
      <c r="I31" s="12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1"/>
  <sheetViews>
    <sheetView workbookViewId="0">
      <selection activeCell="E4" sqref="E4"/>
    </sheetView>
  </sheetViews>
  <sheetFormatPr baseColWidth="10" defaultRowHeight="14" x14ac:dyDescent="0.3"/>
  <cols>
    <col min="1" max="1" width="15.296875" customWidth="1"/>
    <col min="2" max="2" width="15.59765625" customWidth="1"/>
    <col min="3" max="3" width="17" customWidth="1"/>
    <col min="4" max="4" width="14.8984375" customWidth="1"/>
    <col min="5" max="5" width="20" customWidth="1"/>
    <col min="6" max="6" width="27" customWidth="1"/>
    <col min="7" max="7" width="15" customWidth="1"/>
    <col min="8" max="8" width="17.09765625" customWidth="1"/>
  </cols>
  <sheetData>
    <row r="1" spans="1:9" ht="24.2" x14ac:dyDescent="0.6">
      <c r="A1" s="2"/>
      <c r="B1" s="3"/>
      <c r="C1" s="53" t="s">
        <v>0</v>
      </c>
      <c r="D1" s="53"/>
      <c r="E1" s="53"/>
      <c r="F1" s="53"/>
      <c r="G1" s="53"/>
      <c r="H1" s="53"/>
      <c r="I1" s="2"/>
    </row>
    <row r="2" spans="1:9" ht="24.2" x14ac:dyDescent="0.6">
      <c r="A2" s="2"/>
      <c r="B2" s="2"/>
      <c r="C2" s="53" t="s">
        <v>1</v>
      </c>
      <c r="D2" s="53"/>
      <c r="E2" s="53"/>
      <c r="F2" s="53"/>
      <c r="G2" s="53"/>
      <c r="H2" s="53"/>
      <c r="I2" s="2"/>
    </row>
    <row r="3" spans="1:9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85</v>
      </c>
      <c r="I3" s="2"/>
    </row>
    <row r="4" spans="1:9" ht="17.75" x14ac:dyDescent="0.45">
      <c r="A4" s="2"/>
      <c r="B4" s="54" t="s">
        <v>3</v>
      </c>
      <c r="C4" s="54"/>
      <c r="D4" s="54"/>
      <c r="E4" s="50">
        <f>+ABRIL!H8</f>
        <v>42726</v>
      </c>
      <c r="F4" s="7"/>
      <c r="G4" s="31"/>
      <c r="H4" s="2"/>
      <c r="I4" s="2"/>
    </row>
    <row r="5" spans="1:9" ht="17.75" x14ac:dyDescent="0.45">
      <c r="A5" s="2"/>
      <c r="B5" s="25" t="s">
        <v>4</v>
      </c>
      <c r="C5" s="25"/>
      <c r="D5" s="25"/>
      <c r="E5" s="51">
        <v>53374</v>
      </c>
      <c r="F5" s="7"/>
      <c r="G5" s="31"/>
      <c r="H5" s="2"/>
      <c r="I5" s="2"/>
    </row>
    <row r="6" spans="1:9" ht="17.75" x14ac:dyDescent="0.45">
      <c r="A6" s="2"/>
      <c r="B6" s="54" t="s">
        <v>5</v>
      </c>
      <c r="C6" s="54"/>
      <c r="D6" s="54"/>
      <c r="E6" s="35">
        <v>0</v>
      </c>
      <c r="F6" s="7"/>
      <c r="G6" s="2"/>
      <c r="H6" s="2"/>
      <c r="I6" s="2"/>
    </row>
    <row r="7" spans="1:9" ht="17.75" x14ac:dyDescent="0.45">
      <c r="A7" s="2"/>
      <c r="B7" s="55" t="s">
        <v>6</v>
      </c>
      <c r="C7" s="55"/>
      <c r="D7" s="55"/>
      <c r="E7" s="35">
        <f>SUM(E4:E6)</f>
        <v>96100</v>
      </c>
      <c r="F7" s="7"/>
      <c r="G7" s="26"/>
      <c r="H7" s="2"/>
      <c r="I7" s="2"/>
    </row>
    <row r="8" spans="1:9" ht="17.75" x14ac:dyDescent="0.45">
      <c r="A8" s="2"/>
      <c r="B8" s="56" t="s">
        <v>7</v>
      </c>
      <c r="C8" s="56"/>
      <c r="D8" s="56"/>
      <c r="E8" s="38">
        <f>+G26</f>
        <v>48978</v>
      </c>
      <c r="F8" s="7"/>
      <c r="G8" s="29" t="s">
        <v>8</v>
      </c>
      <c r="H8" s="36">
        <f>E7-E8</f>
        <v>47122</v>
      </c>
      <c r="I8" s="2"/>
    </row>
    <row r="9" spans="1:9" ht="24.2" x14ac:dyDescent="0.6">
      <c r="A9" s="1"/>
      <c r="B9" s="1"/>
      <c r="C9" s="1"/>
      <c r="D9" s="1"/>
      <c r="E9" s="10"/>
      <c r="F9" s="11"/>
      <c r="G9" s="9"/>
      <c r="H9" s="1"/>
      <c r="I9" s="1"/>
    </row>
    <row r="10" spans="1:9" ht="97.55" customHeight="1" x14ac:dyDescent="0.3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</row>
    <row r="11" spans="1:9" ht="17.2" x14ac:dyDescent="0.45">
      <c r="A11" s="15">
        <v>1</v>
      </c>
      <c r="B11" s="39">
        <v>45782</v>
      </c>
      <c r="C11" s="39" t="s">
        <v>19</v>
      </c>
      <c r="D11" s="40">
        <v>20864</v>
      </c>
      <c r="E11" s="41" t="s">
        <v>78</v>
      </c>
      <c r="F11" s="42" t="s">
        <v>64</v>
      </c>
      <c r="G11" s="44">
        <v>7000</v>
      </c>
      <c r="H11" s="43"/>
      <c r="I11" s="12"/>
    </row>
    <row r="12" spans="1:9" ht="17.2" x14ac:dyDescent="0.45">
      <c r="A12" s="15">
        <v>2</v>
      </c>
      <c r="B12" s="39">
        <v>45801</v>
      </c>
      <c r="C12" s="39" t="s">
        <v>19</v>
      </c>
      <c r="D12" s="40">
        <v>82171958</v>
      </c>
      <c r="E12" s="41" t="s">
        <v>86</v>
      </c>
      <c r="F12" s="42" t="s">
        <v>87</v>
      </c>
      <c r="G12" s="44">
        <v>16978</v>
      </c>
      <c r="H12" s="43"/>
      <c r="I12" s="12"/>
    </row>
    <row r="13" spans="1:9" ht="17.2" x14ac:dyDescent="0.45">
      <c r="A13" s="15">
        <v>3</v>
      </c>
      <c r="B13" s="39">
        <v>45803</v>
      </c>
      <c r="C13" s="39" t="s">
        <v>19</v>
      </c>
      <c r="D13" s="40">
        <v>21096</v>
      </c>
      <c r="E13" s="41" t="s">
        <v>78</v>
      </c>
      <c r="F13" s="42" t="s">
        <v>64</v>
      </c>
      <c r="G13" s="44">
        <v>7000</v>
      </c>
      <c r="H13" s="43"/>
      <c r="I13" s="12"/>
    </row>
    <row r="14" spans="1:9" ht="17.2" x14ac:dyDescent="0.45">
      <c r="A14" s="15">
        <v>4</v>
      </c>
      <c r="B14" s="39">
        <v>45805</v>
      </c>
      <c r="C14" s="39" t="s">
        <v>19</v>
      </c>
      <c r="D14" s="40">
        <v>2966</v>
      </c>
      <c r="E14" s="41" t="s">
        <v>82</v>
      </c>
      <c r="F14" s="42" t="s">
        <v>57</v>
      </c>
      <c r="G14" s="44">
        <v>18000</v>
      </c>
      <c r="H14" s="43"/>
      <c r="I14" s="12"/>
    </row>
    <row r="15" spans="1:9" ht="17.2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</row>
    <row r="16" spans="1:9" ht="17.2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</row>
    <row r="17" spans="1:9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</row>
    <row r="18" spans="1:9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</row>
    <row r="19" spans="1:9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</row>
    <row r="20" spans="1:9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</row>
    <row r="21" spans="1:9" ht="17.2" x14ac:dyDescent="0.45">
      <c r="A21" s="15">
        <v>11</v>
      </c>
      <c r="B21" s="39"/>
      <c r="C21" s="39"/>
      <c r="D21" s="40"/>
      <c r="E21" s="41"/>
      <c r="F21" s="42"/>
      <c r="G21" s="44"/>
      <c r="H21" s="43"/>
      <c r="I21" s="2"/>
    </row>
    <row r="22" spans="1:9" ht="17.2" x14ac:dyDescent="0.45">
      <c r="A22" s="15">
        <v>12</v>
      </c>
      <c r="B22" s="39"/>
      <c r="C22" s="39"/>
      <c r="D22" s="40"/>
      <c r="E22" s="41"/>
      <c r="F22" s="42"/>
      <c r="G22" s="44"/>
      <c r="H22" s="43"/>
      <c r="I22" s="2"/>
    </row>
    <row r="23" spans="1:9" ht="17.2" x14ac:dyDescent="0.45">
      <c r="A23" s="15">
        <v>13</v>
      </c>
      <c r="B23" s="39"/>
      <c r="C23" s="39"/>
      <c r="D23" s="40"/>
      <c r="E23" s="41"/>
      <c r="F23" s="42"/>
      <c r="G23" s="44"/>
      <c r="H23" s="43"/>
      <c r="I23" s="2"/>
    </row>
    <row r="24" spans="1:9" ht="17.2" x14ac:dyDescent="0.45">
      <c r="A24" s="15">
        <v>14</v>
      </c>
      <c r="B24" s="39"/>
      <c r="C24" s="39"/>
      <c r="D24" s="40"/>
      <c r="E24" s="41"/>
      <c r="F24" s="42"/>
      <c r="G24" s="44"/>
      <c r="H24" s="43"/>
      <c r="I24" s="2"/>
    </row>
    <row r="25" spans="1:9" ht="17.2" x14ac:dyDescent="0.45">
      <c r="A25" s="15">
        <v>15</v>
      </c>
      <c r="B25" s="39"/>
      <c r="C25" s="39"/>
      <c r="D25" s="40"/>
      <c r="E25" s="41"/>
      <c r="F25" s="42"/>
      <c r="G25" s="44"/>
      <c r="H25" s="43"/>
      <c r="I25" s="2"/>
    </row>
    <row r="26" spans="1:9" ht="17.75" x14ac:dyDescent="0.45">
      <c r="A26" s="12"/>
      <c r="B26" s="16" t="s">
        <v>17</v>
      </c>
      <c r="C26" s="33"/>
      <c r="D26" s="17"/>
      <c r="E26" s="17"/>
      <c r="F26" s="17"/>
      <c r="G26" s="45">
        <f>SUM(G11:G25)</f>
        <v>48978</v>
      </c>
      <c r="H26" s="12"/>
      <c r="I26" s="12"/>
    </row>
    <row r="27" spans="1:9" ht="17.75" x14ac:dyDescent="0.45">
      <c r="A27" s="12"/>
      <c r="B27" s="18"/>
      <c r="C27" s="18"/>
      <c r="D27" s="19"/>
      <c r="E27" s="19"/>
      <c r="F27" s="19"/>
      <c r="G27" s="20"/>
      <c r="H27" s="12"/>
      <c r="I27" s="12"/>
    </row>
    <row r="28" spans="1:9" ht="17.75" x14ac:dyDescent="0.45">
      <c r="A28" s="12"/>
      <c r="B28" s="21"/>
      <c r="C28" s="21"/>
      <c r="D28" s="22"/>
      <c r="E28" s="22"/>
      <c r="F28" s="22"/>
      <c r="G28" s="8"/>
      <c r="H28" s="12"/>
      <c r="I28" s="12"/>
    </row>
    <row r="29" spans="1:9" ht="17.75" x14ac:dyDescent="0.45">
      <c r="A29" s="2"/>
      <c r="B29" s="54"/>
      <c r="C29" s="54"/>
      <c r="D29" s="57"/>
      <c r="E29" s="58"/>
      <c r="F29" s="59"/>
      <c r="G29" s="2"/>
      <c r="H29" s="2"/>
      <c r="I29" s="2"/>
    </row>
    <row r="30" spans="1:9" ht="17.75" x14ac:dyDescent="0.45">
      <c r="A30" s="2"/>
      <c r="B30" s="60"/>
      <c r="C30" s="60"/>
      <c r="D30" s="61"/>
      <c r="E30" s="37"/>
      <c r="F30" s="12"/>
      <c r="G30" s="28"/>
      <c r="H30" s="2"/>
      <c r="I30" s="2"/>
    </row>
    <row r="31" spans="1:9" ht="17.75" x14ac:dyDescent="0.45">
      <c r="A31" s="12"/>
      <c r="B31" s="21"/>
      <c r="C31" s="21"/>
      <c r="D31" s="22"/>
      <c r="E31" s="22"/>
      <c r="F31" s="12"/>
      <c r="G31" s="8"/>
      <c r="H31" s="12"/>
      <c r="I31" s="12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0"/>
  <sheetViews>
    <sheetView workbookViewId="0">
      <selection activeCell="G14" sqref="B14:G14"/>
    </sheetView>
  </sheetViews>
  <sheetFormatPr baseColWidth="10" defaultRowHeight="14" x14ac:dyDescent="0.3"/>
  <cols>
    <col min="1" max="1" width="11.69921875" customWidth="1"/>
    <col min="2" max="2" width="14.69921875" customWidth="1"/>
    <col min="3" max="3" width="22.09765625" customWidth="1"/>
    <col min="4" max="4" width="14.69921875" customWidth="1"/>
    <col min="5" max="5" width="15.3984375" customWidth="1"/>
    <col min="6" max="6" width="29.69921875" customWidth="1"/>
    <col min="7" max="7" width="13.3984375" customWidth="1"/>
  </cols>
  <sheetData>
    <row r="1" spans="1:9" ht="24.2" x14ac:dyDescent="0.6">
      <c r="A1" s="2"/>
      <c r="B1" s="3"/>
      <c r="C1" s="53" t="s">
        <v>0</v>
      </c>
      <c r="D1" s="53"/>
      <c r="E1" s="53"/>
      <c r="F1" s="53"/>
      <c r="G1" s="53"/>
      <c r="H1" s="53"/>
      <c r="I1" s="2"/>
    </row>
    <row r="2" spans="1:9" ht="24.2" x14ac:dyDescent="0.6">
      <c r="A2" s="2"/>
      <c r="B2" s="2"/>
      <c r="C2" s="53" t="s">
        <v>1</v>
      </c>
      <c r="D2" s="53"/>
      <c r="E2" s="53"/>
      <c r="F2" s="53"/>
      <c r="G2" s="53"/>
      <c r="H2" s="53"/>
      <c r="I2" s="2"/>
    </row>
    <row r="3" spans="1:9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88</v>
      </c>
      <c r="I3" s="2"/>
    </row>
    <row r="4" spans="1:9" ht="17.75" x14ac:dyDescent="0.45">
      <c r="A4" s="2"/>
      <c r="B4" s="54" t="s">
        <v>3</v>
      </c>
      <c r="C4" s="54"/>
      <c r="D4" s="54"/>
      <c r="E4" s="50">
        <f>+MAYO!H8</f>
        <v>47122</v>
      </c>
      <c r="F4" s="7"/>
      <c r="G4" s="31"/>
      <c r="H4" s="2"/>
      <c r="I4" s="2"/>
    </row>
    <row r="5" spans="1:9" ht="17.75" x14ac:dyDescent="0.45">
      <c r="A5" s="2"/>
      <c r="B5" s="25" t="s">
        <v>4</v>
      </c>
      <c r="C5" s="25"/>
      <c r="D5" s="25"/>
      <c r="E5" s="51">
        <v>48978</v>
      </c>
      <c r="F5" s="7"/>
      <c r="G5" s="31"/>
      <c r="H5" s="2"/>
      <c r="I5" s="2"/>
    </row>
    <row r="6" spans="1:9" ht="17.75" x14ac:dyDescent="0.45">
      <c r="A6" s="2"/>
      <c r="B6" s="54" t="s">
        <v>5</v>
      </c>
      <c r="C6" s="54"/>
      <c r="D6" s="54"/>
      <c r="E6" s="35">
        <v>0</v>
      </c>
      <c r="F6" s="7"/>
      <c r="G6" s="2"/>
      <c r="H6" s="2"/>
      <c r="I6" s="2"/>
    </row>
    <row r="7" spans="1:9" ht="17.75" x14ac:dyDescent="0.45">
      <c r="A7" s="2"/>
      <c r="B7" s="55" t="s">
        <v>6</v>
      </c>
      <c r="C7" s="55"/>
      <c r="D7" s="55"/>
      <c r="E7" s="35">
        <f>SUM(E4:E6)</f>
        <v>96100</v>
      </c>
      <c r="F7" s="7"/>
      <c r="G7" s="26"/>
      <c r="H7" s="2"/>
      <c r="I7" s="2"/>
    </row>
    <row r="8" spans="1:9" ht="17.75" x14ac:dyDescent="0.45">
      <c r="A8" s="2"/>
      <c r="B8" s="56" t="s">
        <v>7</v>
      </c>
      <c r="C8" s="56"/>
      <c r="D8" s="56"/>
      <c r="E8" s="38">
        <f>+G26</f>
        <v>39032</v>
      </c>
      <c r="F8" s="7"/>
      <c r="G8" s="29" t="s">
        <v>8</v>
      </c>
      <c r="H8" s="36">
        <f>E7-E8</f>
        <v>57068</v>
      </c>
      <c r="I8" s="2"/>
    </row>
    <row r="9" spans="1:9" ht="24.2" x14ac:dyDescent="0.6">
      <c r="A9" s="1"/>
      <c r="B9" s="1"/>
      <c r="C9" s="1"/>
      <c r="D9" s="1"/>
      <c r="E9" s="10"/>
      <c r="F9" s="11"/>
      <c r="G9" s="9"/>
      <c r="H9" s="1"/>
      <c r="I9" s="1"/>
    </row>
    <row r="10" spans="1:9" ht="118.5" customHeight="1" x14ac:dyDescent="0.3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</row>
    <row r="11" spans="1:9" ht="17.2" x14ac:dyDescent="0.45">
      <c r="A11" s="15">
        <v>1</v>
      </c>
      <c r="B11" s="39">
        <v>45822</v>
      </c>
      <c r="C11" s="39" t="s">
        <v>19</v>
      </c>
      <c r="D11" s="40">
        <v>21315</v>
      </c>
      <c r="E11" s="41" t="s">
        <v>78</v>
      </c>
      <c r="F11" s="42" t="s">
        <v>89</v>
      </c>
      <c r="G11" s="44">
        <v>7000</v>
      </c>
      <c r="H11" s="43"/>
      <c r="I11" s="12"/>
    </row>
    <row r="12" spans="1:9" ht="34.4" x14ac:dyDescent="0.45">
      <c r="A12" s="15">
        <v>2</v>
      </c>
      <c r="B12" s="39">
        <v>45825</v>
      </c>
      <c r="C12" s="39" t="s">
        <v>19</v>
      </c>
      <c r="D12" s="40">
        <v>85627454</v>
      </c>
      <c r="E12" s="41" t="s">
        <v>86</v>
      </c>
      <c r="F12" s="42" t="s">
        <v>90</v>
      </c>
      <c r="G12" s="44">
        <v>7032</v>
      </c>
      <c r="H12" s="43"/>
      <c r="I12" s="12"/>
    </row>
    <row r="13" spans="1:9" ht="17.2" x14ac:dyDescent="0.45">
      <c r="A13" s="15">
        <v>3</v>
      </c>
      <c r="B13" s="39">
        <v>45833</v>
      </c>
      <c r="C13" s="39" t="s">
        <v>19</v>
      </c>
      <c r="D13" s="40">
        <v>3011</v>
      </c>
      <c r="E13" s="41" t="s">
        <v>82</v>
      </c>
      <c r="F13" s="42" t="s">
        <v>57</v>
      </c>
      <c r="G13" s="44">
        <v>18000</v>
      </c>
      <c r="H13" s="43"/>
      <c r="I13" s="12"/>
    </row>
    <row r="14" spans="1:9" ht="17.2" x14ac:dyDescent="0.45">
      <c r="A14" s="15">
        <v>4</v>
      </c>
      <c r="B14" s="39"/>
      <c r="C14" s="39"/>
      <c r="D14" s="40"/>
      <c r="E14" s="41"/>
      <c r="F14" s="42"/>
      <c r="G14" s="44"/>
      <c r="H14" s="43"/>
      <c r="I14" s="12"/>
    </row>
    <row r="15" spans="1:9" ht="17.2" x14ac:dyDescent="0.45">
      <c r="A15" s="15">
        <v>5</v>
      </c>
      <c r="B15" s="39">
        <v>45838</v>
      </c>
      <c r="C15" s="39" t="s">
        <v>19</v>
      </c>
      <c r="D15" s="40">
        <v>21467</v>
      </c>
      <c r="E15" s="41" t="s">
        <v>78</v>
      </c>
      <c r="F15" s="42" t="s">
        <v>89</v>
      </c>
      <c r="G15" s="44">
        <v>7000</v>
      </c>
      <c r="H15" s="43"/>
      <c r="I15" s="12"/>
    </row>
    <row r="16" spans="1:9" ht="17.2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</row>
    <row r="17" spans="1:9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</row>
    <row r="18" spans="1:9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</row>
    <row r="19" spans="1:9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</row>
    <row r="20" spans="1:9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</row>
    <row r="21" spans="1:9" ht="17.2" x14ac:dyDescent="0.45">
      <c r="A21" s="15">
        <v>11</v>
      </c>
      <c r="B21" s="39"/>
      <c r="C21" s="39"/>
      <c r="D21" s="40"/>
      <c r="E21" s="41"/>
      <c r="F21" s="42"/>
      <c r="G21" s="44"/>
      <c r="H21" s="43"/>
      <c r="I21" s="2"/>
    </row>
    <row r="22" spans="1:9" ht="17.2" x14ac:dyDescent="0.45">
      <c r="A22" s="15">
        <v>12</v>
      </c>
      <c r="B22" s="39"/>
      <c r="C22" s="39"/>
      <c r="D22" s="40"/>
      <c r="E22" s="41"/>
      <c r="F22" s="42"/>
      <c r="G22" s="44"/>
      <c r="H22" s="43"/>
      <c r="I22" s="2"/>
    </row>
    <row r="23" spans="1:9" ht="17.2" x14ac:dyDescent="0.45">
      <c r="A23" s="15">
        <v>13</v>
      </c>
      <c r="B23" s="39"/>
      <c r="C23" s="39"/>
      <c r="D23" s="40"/>
      <c r="E23" s="41"/>
      <c r="F23" s="42"/>
      <c r="G23" s="44"/>
      <c r="H23" s="43"/>
      <c r="I23" s="2"/>
    </row>
    <row r="24" spans="1:9" ht="17.2" x14ac:dyDescent="0.45">
      <c r="A24" s="15">
        <v>14</v>
      </c>
      <c r="B24" s="39"/>
      <c r="C24" s="39"/>
      <c r="D24" s="40"/>
      <c r="E24" s="41"/>
      <c r="F24" s="42"/>
      <c r="G24" s="44"/>
      <c r="H24" s="43"/>
      <c r="I24" s="2"/>
    </row>
    <row r="25" spans="1:9" ht="17.2" x14ac:dyDescent="0.45">
      <c r="A25" s="15">
        <v>15</v>
      </c>
      <c r="B25" s="39"/>
      <c r="C25" s="39"/>
      <c r="D25" s="40"/>
      <c r="E25" s="41"/>
      <c r="F25" s="42"/>
      <c r="G25" s="44"/>
      <c r="H25" s="43"/>
      <c r="I25" s="2"/>
    </row>
    <row r="26" spans="1:9" ht="17.75" x14ac:dyDescent="0.45">
      <c r="A26" s="12"/>
      <c r="B26" s="16" t="s">
        <v>17</v>
      </c>
      <c r="C26" s="33"/>
      <c r="D26" s="17"/>
      <c r="E26" s="17"/>
      <c r="F26" s="17"/>
      <c r="G26" s="45">
        <f>SUM(G11:G25)</f>
        <v>39032</v>
      </c>
      <c r="H26" s="12"/>
      <c r="I26" s="12"/>
    </row>
    <row r="27" spans="1:9" ht="17.75" x14ac:dyDescent="0.45">
      <c r="A27" s="12"/>
      <c r="B27" s="18"/>
      <c r="C27" s="18"/>
      <c r="D27" s="19"/>
      <c r="E27" s="19"/>
      <c r="F27" s="19"/>
      <c r="G27" s="20"/>
      <c r="H27" s="12"/>
      <c r="I27" s="12"/>
    </row>
    <row r="28" spans="1:9" ht="17.75" x14ac:dyDescent="0.45">
      <c r="A28" s="12"/>
      <c r="B28" s="21"/>
      <c r="C28" s="21"/>
      <c r="D28" s="22"/>
      <c r="E28" s="22"/>
      <c r="F28" s="22"/>
      <c r="G28" s="8"/>
      <c r="H28" s="12"/>
      <c r="I28" s="12"/>
    </row>
    <row r="29" spans="1:9" ht="17.75" x14ac:dyDescent="0.45">
      <c r="A29" s="2"/>
      <c r="B29" s="54"/>
      <c r="C29" s="54"/>
      <c r="D29" s="57"/>
      <c r="E29" s="58"/>
      <c r="F29" s="59"/>
      <c r="G29" s="2"/>
      <c r="H29" s="2"/>
      <c r="I29" s="2"/>
    </row>
    <row r="30" spans="1:9" ht="17.75" x14ac:dyDescent="0.45">
      <c r="A30" s="2"/>
      <c r="B30" s="60"/>
      <c r="C30" s="60"/>
      <c r="D30" s="61"/>
      <c r="E30" s="37"/>
      <c r="F30" s="12"/>
      <c r="G30" s="28"/>
      <c r="H30" s="2"/>
      <c r="I30" s="2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0"/>
  <sheetViews>
    <sheetView topLeftCell="A7" workbookViewId="0">
      <selection activeCell="K14" sqref="K14"/>
    </sheetView>
  </sheetViews>
  <sheetFormatPr baseColWidth="10" defaultRowHeight="14" x14ac:dyDescent="0.3"/>
  <cols>
    <col min="1" max="1" width="15.3984375" customWidth="1"/>
    <col min="2" max="2" width="17" customWidth="1"/>
    <col min="3" max="3" width="17.69921875" customWidth="1"/>
    <col min="4" max="4" width="17.09765625" customWidth="1"/>
    <col min="5" max="5" width="15.59765625" customWidth="1"/>
    <col min="6" max="6" width="24.8984375" customWidth="1"/>
    <col min="8" max="8" width="15.3984375" customWidth="1"/>
  </cols>
  <sheetData>
    <row r="1" spans="1:9" ht="24.2" x14ac:dyDescent="0.6">
      <c r="A1" s="2"/>
      <c r="B1" s="3"/>
      <c r="C1" s="53" t="s">
        <v>0</v>
      </c>
      <c r="D1" s="53"/>
      <c r="E1" s="53"/>
      <c r="F1" s="53"/>
      <c r="G1" s="53"/>
      <c r="H1" s="53"/>
      <c r="I1" s="2"/>
    </row>
    <row r="2" spans="1:9" ht="24.2" x14ac:dyDescent="0.6">
      <c r="A2" s="2"/>
      <c r="B2" s="2"/>
      <c r="C2" s="53" t="s">
        <v>1</v>
      </c>
      <c r="D2" s="53"/>
      <c r="E2" s="53"/>
      <c r="F2" s="53"/>
      <c r="G2" s="53"/>
      <c r="H2" s="53"/>
      <c r="I2" s="2"/>
    </row>
    <row r="3" spans="1:9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91</v>
      </c>
      <c r="I3" s="2"/>
    </row>
    <row r="4" spans="1:9" ht="17.75" x14ac:dyDescent="0.45">
      <c r="A4" s="2"/>
      <c r="B4" s="54" t="s">
        <v>3</v>
      </c>
      <c r="C4" s="54"/>
      <c r="D4" s="54"/>
      <c r="E4" s="50">
        <f>+JUNIO!H8</f>
        <v>57068</v>
      </c>
      <c r="F4" s="7"/>
      <c r="G4" s="31"/>
      <c r="H4" s="2"/>
      <c r="I4" s="2"/>
    </row>
    <row r="5" spans="1:9" ht="17.75" x14ac:dyDescent="0.45">
      <c r="A5" s="2"/>
      <c r="B5" s="25" t="s">
        <v>4</v>
      </c>
      <c r="C5" s="25"/>
      <c r="D5" s="25"/>
      <c r="E5" s="51">
        <v>39032</v>
      </c>
      <c r="F5" s="7"/>
      <c r="G5" s="31"/>
      <c r="H5" s="2"/>
      <c r="I5" s="2"/>
    </row>
    <row r="6" spans="1:9" ht="17.75" x14ac:dyDescent="0.45">
      <c r="A6" s="2"/>
      <c r="B6" s="54" t="s">
        <v>5</v>
      </c>
      <c r="C6" s="54"/>
      <c r="D6" s="54"/>
      <c r="E6" s="35">
        <v>0</v>
      </c>
      <c r="F6" s="7"/>
      <c r="G6" s="2"/>
      <c r="H6" s="2"/>
      <c r="I6" s="2"/>
    </row>
    <row r="7" spans="1:9" ht="17.75" x14ac:dyDescent="0.45">
      <c r="A7" s="2"/>
      <c r="B7" s="55" t="s">
        <v>6</v>
      </c>
      <c r="C7" s="55"/>
      <c r="D7" s="55"/>
      <c r="E7" s="35">
        <f>SUM(E4:E6)</f>
        <v>96100</v>
      </c>
      <c r="F7" s="7"/>
      <c r="G7" s="26"/>
      <c r="H7" s="2"/>
      <c r="I7" s="2"/>
    </row>
    <row r="8" spans="1:9" ht="17.75" x14ac:dyDescent="0.45">
      <c r="A8" s="2"/>
      <c r="B8" s="56" t="s">
        <v>7</v>
      </c>
      <c r="C8" s="56"/>
      <c r="D8" s="56"/>
      <c r="E8" s="38">
        <f>+G26</f>
        <v>92970</v>
      </c>
      <c r="F8" s="7"/>
      <c r="G8" s="29" t="s">
        <v>8</v>
      </c>
      <c r="H8" s="36">
        <f>E7-E8</f>
        <v>3130</v>
      </c>
      <c r="I8" s="2"/>
    </row>
    <row r="9" spans="1:9" ht="24.2" x14ac:dyDescent="0.6">
      <c r="A9" s="1"/>
      <c r="B9" s="1"/>
      <c r="C9" s="1"/>
      <c r="D9" s="1"/>
      <c r="E9" s="10"/>
      <c r="F9" s="11"/>
      <c r="G9" s="9"/>
      <c r="H9" s="1"/>
      <c r="I9" s="1"/>
    </row>
    <row r="10" spans="1:9" ht="106.4" x14ac:dyDescent="0.3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</row>
    <row r="11" spans="1:9" ht="17.2" x14ac:dyDescent="0.45">
      <c r="A11" s="15">
        <v>1</v>
      </c>
      <c r="B11" s="39">
        <v>45852</v>
      </c>
      <c r="C11" s="39" t="s">
        <v>19</v>
      </c>
      <c r="D11" s="40">
        <v>20219</v>
      </c>
      <c r="E11" s="41" t="s">
        <v>78</v>
      </c>
      <c r="F11" s="42" t="s">
        <v>89</v>
      </c>
      <c r="G11" s="44">
        <v>7000</v>
      </c>
      <c r="H11" s="43"/>
      <c r="I11" s="12"/>
    </row>
    <row r="12" spans="1:9" ht="17.2" x14ac:dyDescent="0.45">
      <c r="A12" s="15">
        <v>2</v>
      </c>
      <c r="B12" s="39">
        <v>45847</v>
      </c>
      <c r="C12" s="39" t="s">
        <v>19</v>
      </c>
      <c r="D12" s="40">
        <v>5300916</v>
      </c>
      <c r="E12" s="41" t="s">
        <v>92</v>
      </c>
      <c r="F12" s="42" t="s">
        <v>93</v>
      </c>
      <c r="G12" s="44">
        <v>49980</v>
      </c>
      <c r="H12" s="43"/>
      <c r="I12" s="12"/>
    </row>
    <row r="13" spans="1:9" ht="34.4" x14ac:dyDescent="0.45">
      <c r="A13" s="15">
        <v>3</v>
      </c>
      <c r="B13" s="39">
        <v>45860</v>
      </c>
      <c r="C13" s="39" t="s">
        <v>19</v>
      </c>
      <c r="D13" s="40">
        <v>14862173</v>
      </c>
      <c r="E13" s="41" t="s">
        <v>94</v>
      </c>
      <c r="F13" s="42" t="s">
        <v>95</v>
      </c>
      <c r="G13" s="44">
        <v>17990</v>
      </c>
      <c r="H13" s="43"/>
      <c r="I13" s="12"/>
    </row>
    <row r="14" spans="1:9" ht="17.2" x14ac:dyDescent="0.45">
      <c r="A14" s="15">
        <v>4</v>
      </c>
      <c r="B14" s="39">
        <v>45868</v>
      </c>
      <c r="C14" s="39" t="s">
        <v>19</v>
      </c>
      <c r="D14" s="40">
        <v>3119</v>
      </c>
      <c r="E14" s="41" t="s">
        <v>82</v>
      </c>
      <c r="F14" s="42" t="s">
        <v>57</v>
      </c>
      <c r="G14" s="44">
        <v>18000</v>
      </c>
      <c r="H14" s="43"/>
      <c r="I14" s="12"/>
    </row>
    <row r="15" spans="1:9" ht="17.2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</row>
    <row r="16" spans="1:9" ht="17.2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</row>
    <row r="17" spans="1:9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</row>
    <row r="18" spans="1:9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</row>
    <row r="19" spans="1:9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</row>
    <row r="20" spans="1:9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</row>
    <row r="21" spans="1:9" ht="17.2" x14ac:dyDescent="0.45">
      <c r="A21" s="15">
        <v>11</v>
      </c>
      <c r="B21" s="39"/>
      <c r="C21" s="39"/>
      <c r="D21" s="40"/>
      <c r="E21" s="41"/>
      <c r="F21" s="42"/>
      <c r="G21" s="44"/>
      <c r="H21" s="43"/>
      <c r="I21" s="2"/>
    </row>
    <row r="22" spans="1:9" ht="17.2" x14ac:dyDescent="0.45">
      <c r="A22" s="15">
        <v>12</v>
      </c>
      <c r="B22" s="39"/>
      <c r="C22" s="39"/>
      <c r="D22" s="40"/>
      <c r="E22" s="41"/>
      <c r="F22" s="42"/>
      <c r="G22" s="44"/>
      <c r="H22" s="43"/>
      <c r="I22" s="2"/>
    </row>
    <row r="23" spans="1:9" ht="17.2" x14ac:dyDescent="0.45">
      <c r="A23" s="15">
        <v>13</v>
      </c>
      <c r="B23" s="39"/>
      <c r="C23" s="39"/>
      <c r="D23" s="40"/>
      <c r="E23" s="41"/>
      <c r="F23" s="42"/>
      <c r="G23" s="44"/>
      <c r="H23" s="43"/>
      <c r="I23" s="2"/>
    </row>
    <row r="24" spans="1:9" ht="17.2" x14ac:dyDescent="0.45">
      <c r="A24" s="15">
        <v>14</v>
      </c>
      <c r="B24" s="39"/>
      <c r="C24" s="39"/>
      <c r="D24" s="40"/>
      <c r="E24" s="41"/>
      <c r="F24" s="42"/>
      <c r="G24" s="44"/>
      <c r="H24" s="43"/>
      <c r="I24" s="2"/>
    </row>
    <row r="25" spans="1:9" ht="17.2" x14ac:dyDescent="0.45">
      <c r="A25" s="15">
        <v>15</v>
      </c>
      <c r="B25" s="39"/>
      <c r="C25" s="39"/>
      <c r="D25" s="40"/>
      <c r="E25" s="41"/>
      <c r="F25" s="42"/>
      <c r="G25" s="44"/>
      <c r="H25" s="43"/>
      <c r="I25" s="2"/>
    </row>
    <row r="26" spans="1:9" ht="17.75" x14ac:dyDescent="0.45">
      <c r="A26" s="12"/>
      <c r="B26" s="16" t="s">
        <v>17</v>
      </c>
      <c r="C26" s="33"/>
      <c r="D26" s="17"/>
      <c r="E26" s="17"/>
      <c r="F26" s="17"/>
      <c r="G26" s="45">
        <f>SUM(G11:G25)</f>
        <v>92970</v>
      </c>
      <c r="H26" s="12"/>
      <c r="I26" s="12"/>
    </row>
    <row r="27" spans="1:9" ht="17.75" x14ac:dyDescent="0.45">
      <c r="A27" s="12"/>
      <c r="B27" s="18"/>
      <c r="C27" s="18"/>
      <c r="D27" s="19"/>
      <c r="E27" s="19"/>
      <c r="F27" s="19"/>
      <c r="G27" s="20"/>
      <c r="H27" s="12"/>
      <c r="I27" s="12"/>
    </row>
    <row r="28" spans="1:9" ht="17.75" x14ac:dyDescent="0.45">
      <c r="A28" s="12"/>
      <c r="B28" s="21"/>
      <c r="C28" s="21"/>
      <c r="D28" s="22"/>
      <c r="E28" s="22"/>
      <c r="F28" s="22"/>
      <c r="G28" s="8"/>
      <c r="H28" s="12"/>
      <c r="I28" s="12"/>
    </row>
    <row r="29" spans="1:9" ht="17.75" x14ac:dyDescent="0.45">
      <c r="A29" s="2"/>
      <c r="B29" s="54"/>
      <c r="C29" s="54"/>
      <c r="D29" s="57"/>
      <c r="E29" s="58"/>
      <c r="F29" s="59"/>
      <c r="G29" s="2"/>
      <c r="H29" s="2"/>
      <c r="I29" s="2"/>
    </row>
    <row r="30" spans="1:9" ht="17.75" x14ac:dyDescent="0.45">
      <c r="A30" s="2"/>
      <c r="B30" s="60"/>
      <c r="C30" s="60"/>
      <c r="D30" s="61"/>
      <c r="E30" s="37"/>
      <c r="F30" s="12"/>
      <c r="G30" s="28"/>
      <c r="H30" s="2"/>
      <c r="I30" s="2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0"/>
  <sheetViews>
    <sheetView workbookViewId="0">
      <selection activeCell="I30" sqref="A1:I30"/>
    </sheetView>
  </sheetViews>
  <sheetFormatPr baseColWidth="10" defaultRowHeight="14" x14ac:dyDescent="0.3"/>
  <cols>
    <col min="1" max="1" width="12.3984375" customWidth="1"/>
    <col min="2" max="2" width="16.59765625" customWidth="1"/>
    <col min="3" max="3" width="20.8984375" customWidth="1"/>
    <col min="4" max="4" width="17" customWidth="1"/>
    <col min="5" max="5" width="23.8984375" customWidth="1"/>
    <col min="6" max="6" width="27.59765625" customWidth="1"/>
    <col min="7" max="7" width="19.296875" customWidth="1"/>
    <col min="8" max="8" width="15.59765625" customWidth="1"/>
  </cols>
  <sheetData>
    <row r="1" spans="1:9" ht="24.2" x14ac:dyDescent="0.6">
      <c r="A1" s="2"/>
      <c r="B1" s="3"/>
      <c r="C1" s="53" t="s">
        <v>0</v>
      </c>
      <c r="D1" s="53"/>
      <c r="E1" s="53"/>
      <c r="F1" s="53"/>
      <c r="G1" s="53"/>
      <c r="H1" s="53"/>
      <c r="I1" s="2"/>
    </row>
    <row r="2" spans="1:9" ht="24.2" x14ac:dyDescent="0.6">
      <c r="A2" s="2"/>
      <c r="B2" s="2"/>
      <c r="C2" s="53" t="s">
        <v>1</v>
      </c>
      <c r="D2" s="53"/>
      <c r="E2" s="53"/>
      <c r="F2" s="53"/>
      <c r="G2" s="53"/>
      <c r="H2" s="53"/>
      <c r="I2" s="2"/>
    </row>
    <row r="3" spans="1:9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96</v>
      </c>
      <c r="I3" s="2"/>
    </row>
    <row r="4" spans="1:9" ht="17.75" x14ac:dyDescent="0.45">
      <c r="A4" s="2"/>
      <c r="B4" s="54" t="s">
        <v>3</v>
      </c>
      <c r="C4" s="54"/>
      <c r="D4" s="54"/>
      <c r="E4" s="50">
        <f>+JULIO!H8</f>
        <v>3130</v>
      </c>
      <c r="F4" s="7"/>
      <c r="G4" s="31"/>
      <c r="H4" s="2"/>
      <c r="I4" s="2"/>
    </row>
    <row r="5" spans="1:9" ht="17.75" x14ac:dyDescent="0.45">
      <c r="A5" s="2"/>
      <c r="B5" s="25" t="s">
        <v>4</v>
      </c>
      <c r="C5" s="25"/>
      <c r="D5" s="25"/>
      <c r="E5" s="51">
        <v>92970</v>
      </c>
      <c r="F5" s="7"/>
      <c r="G5" s="31"/>
      <c r="H5" s="2"/>
      <c r="I5" s="2"/>
    </row>
    <row r="6" spans="1:9" ht="17.75" x14ac:dyDescent="0.45">
      <c r="A6" s="2"/>
      <c r="B6" s="54" t="s">
        <v>5</v>
      </c>
      <c r="C6" s="54"/>
      <c r="D6" s="54"/>
      <c r="E6" s="35">
        <v>0</v>
      </c>
      <c r="F6" s="7"/>
      <c r="G6" s="2"/>
      <c r="H6" s="2"/>
      <c r="I6" s="2"/>
    </row>
    <row r="7" spans="1:9" ht="17.75" x14ac:dyDescent="0.45">
      <c r="A7" s="2"/>
      <c r="B7" s="55" t="s">
        <v>6</v>
      </c>
      <c r="C7" s="55"/>
      <c r="D7" s="55"/>
      <c r="E7" s="35">
        <f>SUM(E4:E6)</f>
        <v>96100</v>
      </c>
      <c r="F7" s="7"/>
      <c r="G7" s="26"/>
      <c r="H7" s="2"/>
      <c r="I7" s="2"/>
    </row>
    <row r="8" spans="1:9" ht="17.75" x14ac:dyDescent="0.45">
      <c r="A8" s="2"/>
      <c r="B8" s="56" t="s">
        <v>7</v>
      </c>
      <c r="C8" s="56"/>
      <c r="D8" s="56"/>
      <c r="E8" s="38">
        <f>+G26</f>
        <v>25000</v>
      </c>
      <c r="F8" s="7"/>
      <c r="G8" s="29" t="s">
        <v>8</v>
      </c>
      <c r="H8" s="36">
        <f>E7-E8</f>
        <v>71100</v>
      </c>
      <c r="I8" s="2"/>
    </row>
    <row r="9" spans="1:9" ht="24.2" x14ac:dyDescent="0.6">
      <c r="A9" s="1"/>
      <c r="B9" s="1"/>
      <c r="C9" s="1"/>
      <c r="D9" s="1"/>
      <c r="E9" s="10"/>
      <c r="F9" s="11"/>
      <c r="G9" s="9"/>
      <c r="H9" s="1"/>
      <c r="I9" s="1"/>
    </row>
    <row r="10" spans="1:9" ht="70.95" x14ac:dyDescent="0.3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</row>
    <row r="11" spans="1:9" ht="17.2" x14ac:dyDescent="0.45">
      <c r="A11" s="15">
        <v>1</v>
      </c>
      <c r="B11" s="39">
        <v>45880</v>
      </c>
      <c r="C11" s="39" t="s">
        <v>19</v>
      </c>
      <c r="D11" s="40">
        <v>21912</v>
      </c>
      <c r="E11" s="41" t="s">
        <v>78</v>
      </c>
      <c r="F11" s="42" t="s">
        <v>64</v>
      </c>
      <c r="G11" s="44">
        <v>7000</v>
      </c>
      <c r="H11" s="43"/>
      <c r="I11" s="12"/>
    </row>
    <row r="12" spans="1:9" ht="17.2" x14ac:dyDescent="0.45">
      <c r="A12" s="15">
        <v>2</v>
      </c>
      <c r="B12" s="39">
        <v>45896</v>
      </c>
      <c r="C12" s="39" t="s">
        <v>19</v>
      </c>
      <c r="D12" s="40">
        <v>3188</v>
      </c>
      <c r="E12" s="41" t="s">
        <v>74</v>
      </c>
      <c r="F12" s="42" t="s">
        <v>57</v>
      </c>
      <c r="G12" s="44">
        <v>18000</v>
      </c>
      <c r="H12" s="43"/>
      <c r="I12" s="12"/>
    </row>
    <row r="13" spans="1:9" ht="17.2" x14ac:dyDescent="0.45">
      <c r="A13" s="15">
        <v>3</v>
      </c>
      <c r="B13" s="39"/>
      <c r="C13" s="39"/>
      <c r="D13" s="40"/>
      <c r="E13" s="41"/>
      <c r="F13" s="42"/>
      <c r="G13" s="44"/>
      <c r="H13" s="43"/>
      <c r="I13" s="12"/>
    </row>
    <row r="14" spans="1:9" ht="17.2" x14ac:dyDescent="0.45">
      <c r="A14" s="15">
        <v>4</v>
      </c>
      <c r="B14" s="39"/>
      <c r="C14" s="39"/>
      <c r="D14" s="40"/>
      <c r="E14" s="41"/>
      <c r="F14" s="42"/>
      <c r="G14" s="44"/>
      <c r="H14" s="43"/>
      <c r="I14" s="12"/>
    </row>
    <row r="15" spans="1:9" ht="17.2" x14ac:dyDescent="0.45">
      <c r="A15" s="15">
        <v>5</v>
      </c>
      <c r="B15" s="39"/>
      <c r="C15" s="39"/>
      <c r="D15" s="40"/>
      <c r="E15" s="41"/>
      <c r="F15" s="42"/>
      <c r="G15" s="44"/>
      <c r="H15" s="43"/>
      <c r="I15" s="12"/>
    </row>
    <row r="16" spans="1:9" ht="17.2" x14ac:dyDescent="0.45">
      <c r="A16" s="15">
        <v>6</v>
      </c>
      <c r="B16" s="39"/>
      <c r="C16" s="39"/>
      <c r="D16" s="40"/>
      <c r="E16" s="41"/>
      <c r="F16" s="42"/>
      <c r="G16" s="44"/>
      <c r="H16" s="43"/>
      <c r="I16" s="12"/>
    </row>
    <row r="17" spans="1:9" ht="17.2" x14ac:dyDescent="0.45">
      <c r="A17" s="15">
        <v>7</v>
      </c>
      <c r="B17" s="39"/>
      <c r="C17" s="39"/>
      <c r="D17" s="40"/>
      <c r="E17" s="41"/>
      <c r="F17" s="42"/>
      <c r="G17" s="44"/>
      <c r="H17" s="43"/>
      <c r="I17" s="12"/>
    </row>
    <row r="18" spans="1:9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</row>
    <row r="19" spans="1:9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</row>
    <row r="20" spans="1:9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</row>
    <row r="21" spans="1:9" ht="17.2" x14ac:dyDescent="0.45">
      <c r="A21" s="15">
        <v>11</v>
      </c>
      <c r="B21" s="39"/>
      <c r="C21" s="39"/>
      <c r="D21" s="40"/>
      <c r="E21" s="41"/>
      <c r="F21" s="42"/>
      <c r="G21" s="44"/>
      <c r="H21" s="43"/>
      <c r="I21" s="2"/>
    </row>
    <row r="22" spans="1:9" ht="17.2" x14ac:dyDescent="0.45">
      <c r="A22" s="15">
        <v>12</v>
      </c>
      <c r="B22" s="39"/>
      <c r="C22" s="39"/>
      <c r="D22" s="40"/>
      <c r="E22" s="41"/>
      <c r="F22" s="42"/>
      <c r="G22" s="44"/>
      <c r="H22" s="43"/>
      <c r="I22" s="2"/>
    </row>
    <row r="23" spans="1:9" ht="17.2" x14ac:dyDescent="0.45">
      <c r="A23" s="15">
        <v>13</v>
      </c>
      <c r="B23" s="39"/>
      <c r="C23" s="39"/>
      <c r="D23" s="40"/>
      <c r="E23" s="41"/>
      <c r="F23" s="42"/>
      <c r="G23" s="44"/>
      <c r="H23" s="43"/>
      <c r="I23" s="2"/>
    </row>
    <row r="24" spans="1:9" ht="17.2" x14ac:dyDescent="0.45">
      <c r="A24" s="15">
        <v>14</v>
      </c>
      <c r="B24" s="39"/>
      <c r="C24" s="39"/>
      <c r="D24" s="40"/>
      <c r="E24" s="41"/>
      <c r="F24" s="42"/>
      <c r="G24" s="44"/>
      <c r="H24" s="43"/>
      <c r="I24" s="2"/>
    </row>
    <row r="25" spans="1:9" ht="17.2" x14ac:dyDescent="0.45">
      <c r="A25" s="15">
        <v>15</v>
      </c>
      <c r="B25" s="39"/>
      <c r="C25" s="39"/>
      <c r="D25" s="40"/>
      <c r="E25" s="41"/>
      <c r="F25" s="42"/>
      <c r="G25" s="44"/>
      <c r="H25" s="43"/>
      <c r="I25" s="2"/>
    </row>
    <row r="26" spans="1:9" ht="17.75" x14ac:dyDescent="0.45">
      <c r="A26" s="12"/>
      <c r="B26" s="16" t="s">
        <v>17</v>
      </c>
      <c r="C26" s="33"/>
      <c r="D26" s="17"/>
      <c r="E26" s="17"/>
      <c r="F26" s="17"/>
      <c r="G26" s="45">
        <f>SUM(G11:G25)</f>
        <v>25000</v>
      </c>
      <c r="H26" s="12"/>
      <c r="I26" s="12"/>
    </row>
    <row r="27" spans="1:9" ht="17.75" x14ac:dyDescent="0.45">
      <c r="A27" s="12"/>
      <c r="B27" s="18"/>
      <c r="C27" s="18"/>
      <c r="D27" s="19"/>
      <c r="E27" s="19"/>
      <c r="F27" s="19"/>
      <c r="G27" s="20"/>
      <c r="H27" s="12"/>
      <c r="I27" s="12"/>
    </row>
    <row r="28" spans="1:9" ht="17.75" x14ac:dyDescent="0.45">
      <c r="A28" s="12"/>
      <c r="B28" s="21"/>
      <c r="C28" s="21"/>
      <c r="D28" s="22"/>
      <c r="E28" s="22"/>
      <c r="F28" s="22"/>
      <c r="G28" s="8"/>
      <c r="H28" s="12"/>
      <c r="I28" s="12"/>
    </row>
    <row r="29" spans="1:9" ht="17.75" x14ac:dyDescent="0.45">
      <c r="A29" s="2"/>
      <c r="B29" s="54"/>
      <c r="C29" s="54"/>
      <c r="D29" s="57"/>
      <c r="E29" s="58"/>
      <c r="F29" s="59"/>
      <c r="G29" s="2"/>
      <c r="H29" s="2"/>
      <c r="I29" s="2"/>
    </row>
    <row r="30" spans="1:9" ht="17.75" x14ac:dyDescent="0.45">
      <c r="A30" s="2"/>
      <c r="B30" s="60"/>
      <c r="C30" s="60"/>
      <c r="D30" s="61"/>
      <c r="E30" s="37"/>
      <c r="F30" s="12"/>
      <c r="G30" s="28"/>
      <c r="H30" s="2"/>
      <c r="I30" s="2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0"/>
  <sheetViews>
    <sheetView workbookViewId="0">
      <selection activeCell="H3" sqref="H3"/>
    </sheetView>
  </sheetViews>
  <sheetFormatPr baseColWidth="10" defaultRowHeight="14" x14ac:dyDescent="0.3"/>
  <cols>
    <col min="1" max="1" width="12.59765625" customWidth="1"/>
    <col min="2" max="2" width="21.8984375" customWidth="1"/>
    <col min="3" max="3" width="18.8984375" customWidth="1"/>
    <col min="4" max="4" width="19.59765625" customWidth="1"/>
    <col min="5" max="5" width="18.3984375" customWidth="1"/>
    <col min="6" max="6" width="27.8984375" customWidth="1"/>
    <col min="7" max="7" width="14" customWidth="1"/>
    <col min="8" max="8" width="15" customWidth="1"/>
  </cols>
  <sheetData>
    <row r="1" spans="1:9" ht="24.2" x14ac:dyDescent="0.6">
      <c r="A1" s="2"/>
      <c r="B1" s="3"/>
      <c r="C1" s="53" t="s">
        <v>0</v>
      </c>
      <c r="D1" s="53"/>
      <c r="E1" s="53"/>
      <c r="F1" s="53"/>
      <c r="G1" s="53"/>
      <c r="H1" s="53"/>
      <c r="I1" s="2"/>
    </row>
    <row r="2" spans="1:9" ht="24.2" x14ac:dyDescent="0.6">
      <c r="A2" s="2"/>
      <c r="B2" s="2"/>
      <c r="C2" s="53" t="s">
        <v>1</v>
      </c>
      <c r="D2" s="53"/>
      <c r="E2" s="53"/>
      <c r="F2" s="53"/>
      <c r="G2" s="53"/>
      <c r="H2" s="53"/>
      <c r="I2" s="2"/>
    </row>
    <row r="3" spans="1:9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106</v>
      </c>
      <c r="I3" s="2"/>
    </row>
    <row r="4" spans="1:9" ht="17.75" x14ac:dyDescent="0.45">
      <c r="A4" s="2"/>
      <c r="B4" s="54" t="s">
        <v>3</v>
      </c>
      <c r="C4" s="54"/>
      <c r="D4" s="54"/>
      <c r="E4" s="50">
        <f>+AGOSTO!H8</f>
        <v>71100</v>
      </c>
      <c r="F4" s="7"/>
      <c r="G4" s="31"/>
      <c r="H4" s="2"/>
      <c r="I4" s="2"/>
    </row>
    <row r="5" spans="1:9" ht="17.75" x14ac:dyDescent="0.45">
      <c r="A5" s="2"/>
      <c r="B5" s="25" t="s">
        <v>4</v>
      </c>
      <c r="C5" s="25"/>
      <c r="D5" s="25"/>
      <c r="E5" s="51">
        <v>25000</v>
      </c>
      <c r="F5" s="7"/>
      <c r="G5" s="31"/>
      <c r="H5" s="2"/>
      <c r="I5" s="2"/>
    </row>
    <row r="6" spans="1:9" ht="17.75" x14ac:dyDescent="0.45">
      <c r="A6" s="2"/>
      <c r="B6" s="54" t="s">
        <v>5</v>
      </c>
      <c r="C6" s="54"/>
      <c r="D6" s="54"/>
      <c r="E6" s="35">
        <v>0</v>
      </c>
      <c r="F6" s="7"/>
      <c r="G6" s="2"/>
      <c r="H6" s="2"/>
      <c r="I6" s="2"/>
    </row>
    <row r="7" spans="1:9" ht="17.75" x14ac:dyDescent="0.45">
      <c r="A7" s="2"/>
      <c r="B7" s="55" t="s">
        <v>6</v>
      </c>
      <c r="C7" s="55"/>
      <c r="D7" s="55"/>
      <c r="E7" s="35">
        <f>SUM(E4:E6)</f>
        <v>96100</v>
      </c>
      <c r="F7" s="7"/>
      <c r="G7" s="26"/>
      <c r="H7" s="2"/>
      <c r="I7" s="2"/>
    </row>
    <row r="8" spans="1:9" ht="17.75" x14ac:dyDescent="0.45">
      <c r="A8" s="2"/>
      <c r="B8" s="56" t="s">
        <v>7</v>
      </c>
      <c r="C8" s="56"/>
      <c r="D8" s="56"/>
      <c r="E8" s="38">
        <f>+G26</f>
        <v>77431</v>
      </c>
      <c r="F8" s="7"/>
      <c r="G8" s="29" t="s">
        <v>8</v>
      </c>
      <c r="H8" s="36">
        <f>E7-E8</f>
        <v>18669</v>
      </c>
      <c r="I8" s="2"/>
    </row>
    <row r="9" spans="1:9" ht="24.2" x14ac:dyDescent="0.6">
      <c r="A9" s="1"/>
      <c r="B9" s="1"/>
      <c r="C9" s="1"/>
      <c r="D9" s="1"/>
      <c r="E9" s="10"/>
      <c r="F9" s="11"/>
      <c r="G9" s="9"/>
      <c r="H9" s="1"/>
      <c r="I9" s="1"/>
    </row>
    <row r="10" spans="1:9" ht="88.7" x14ac:dyDescent="0.35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  <c r="I10" s="12"/>
    </row>
    <row r="11" spans="1:9" ht="17.2" x14ac:dyDescent="0.45">
      <c r="A11" s="15">
        <v>1</v>
      </c>
      <c r="B11" s="39">
        <v>45897</v>
      </c>
      <c r="C11" s="39" t="s">
        <v>19</v>
      </c>
      <c r="D11" s="40">
        <v>22083</v>
      </c>
      <c r="E11" s="41" t="s">
        <v>78</v>
      </c>
      <c r="F11" s="42" t="s">
        <v>64</v>
      </c>
      <c r="G11" s="44">
        <v>7000</v>
      </c>
      <c r="H11" s="43"/>
      <c r="I11" s="12"/>
    </row>
    <row r="12" spans="1:9" ht="17.2" x14ac:dyDescent="0.45">
      <c r="A12" s="15">
        <v>2</v>
      </c>
      <c r="B12" s="39">
        <v>45900</v>
      </c>
      <c r="C12" s="39" t="s">
        <v>19</v>
      </c>
      <c r="D12" s="40">
        <v>42236664</v>
      </c>
      <c r="E12" s="41" t="s">
        <v>97</v>
      </c>
      <c r="F12" s="42" t="s">
        <v>98</v>
      </c>
      <c r="G12" s="44">
        <v>6490</v>
      </c>
      <c r="H12" s="43"/>
      <c r="I12" s="12"/>
    </row>
    <row r="13" spans="1:9" ht="34.4" x14ac:dyDescent="0.45">
      <c r="A13" s="15">
        <v>3</v>
      </c>
      <c r="B13" s="39">
        <v>45905</v>
      </c>
      <c r="C13" s="39" t="s">
        <v>19</v>
      </c>
      <c r="D13" s="40">
        <v>26128</v>
      </c>
      <c r="E13" s="41" t="s">
        <v>101</v>
      </c>
      <c r="F13" s="42" t="s">
        <v>102</v>
      </c>
      <c r="G13" s="44">
        <v>5212</v>
      </c>
      <c r="H13" s="43"/>
      <c r="I13" s="12"/>
    </row>
    <row r="14" spans="1:9" ht="17.2" x14ac:dyDescent="0.45">
      <c r="A14" s="15">
        <v>4</v>
      </c>
      <c r="B14" s="39">
        <v>45910</v>
      </c>
      <c r="C14" s="39" t="s">
        <v>19</v>
      </c>
      <c r="D14" s="40">
        <v>22261</v>
      </c>
      <c r="E14" s="41" t="s">
        <v>78</v>
      </c>
      <c r="F14" s="42" t="s">
        <v>64</v>
      </c>
      <c r="G14" s="44">
        <v>7000</v>
      </c>
      <c r="H14" s="43"/>
      <c r="I14" s="12"/>
    </row>
    <row r="15" spans="1:9" ht="17.2" x14ac:dyDescent="0.45">
      <c r="A15" s="15">
        <v>5</v>
      </c>
      <c r="B15" s="39">
        <v>45915</v>
      </c>
      <c r="C15" s="39" t="s">
        <v>19</v>
      </c>
      <c r="D15" s="40">
        <v>15932934</v>
      </c>
      <c r="E15" s="41" t="s">
        <v>99</v>
      </c>
      <c r="F15" s="42" t="s">
        <v>100</v>
      </c>
      <c r="G15" s="44">
        <v>7490</v>
      </c>
      <c r="H15" s="43"/>
      <c r="I15" s="12"/>
    </row>
    <row r="16" spans="1:9" ht="17.2" x14ac:dyDescent="0.45">
      <c r="A16" s="15">
        <v>6</v>
      </c>
      <c r="B16" s="39">
        <v>45917</v>
      </c>
      <c r="C16" s="39" t="s">
        <v>19</v>
      </c>
      <c r="D16" s="40">
        <v>2448365749</v>
      </c>
      <c r="E16" s="41" t="s">
        <v>103</v>
      </c>
      <c r="F16" s="42" t="s">
        <v>104</v>
      </c>
      <c r="G16" s="44">
        <v>26239</v>
      </c>
      <c r="H16" s="43"/>
      <c r="I16" s="12"/>
    </row>
    <row r="17" spans="1:9" ht="17.2" x14ac:dyDescent="0.45">
      <c r="A17" s="15">
        <v>7</v>
      </c>
      <c r="B17" s="39">
        <v>45924</v>
      </c>
      <c r="C17" s="39" t="s">
        <v>19</v>
      </c>
      <c r="D17" s="40">
        <v>3321</v>
      </c>
      <c r="E17" s="41" t="s">
        <v>105</v>
      </c>
      <c r="F17" s="42" t="s">
        <v>57</v>
      </c>
      <c r="G17" s="44">
        <v>18000</v>
      </c>
      <c r="H17" s="43"/>
      <c r="I17" s="12"/>
    </row>
    <row r="18" spans="1:9" ht="17.2" x14ac:dyDescent="0.45">
      <c r="A18" s="15">
        <v>8</v>
      </c>
      <c r="B18" s="39"/>
      <c r="C18" s="39"/>
      <c r="D18" s="40"/>
      <c r="E18" s="41"/>
      <c r="F18" s="42"/>
      <c r="G18" s="44"/>
      <c r="H18" s="43"/>
      <c r="I18" s="12"/>
    </row>
    <row r="19" spans="1:9" ht="17.2" x14ac:dyDescent="0.45">
      <c r="A19" s="15">
        <v>9</v>
      </c>
      <c r="B19" s="39"/>
      <c r="C19" s="39"/>
      <c r="D19" s="40"/>
      <c r="E19" s="41"/>
      <c r="F19" s="42"/>
      <c r="G19" s="44"/>
      <c r="H19" s="43"/>
      <c r="I19" s="12"/>
    </row>
    <row r="20" spans="1:9" ht="17.2" x14ac:dyDescent="0.45">
      <c r="A20" s="15">
        <v>10</v>
      </c>
      <c r="B20" s="39"/>
      <c r="C20" s="39"/>
      <c r="D20" s="40"/>
      <c r="E20" s="41"/>
      <c r="F20" s="42"/>
      <c r="G20" s="44"/>
      <c r="H20" s="43"/>
      <c r="I20" s="12"/>
    </row>
    <row r="21" spans="1:9" ht="17.2" x14ac:dyDescent="0.45">
      <c r="A21" s="15">
        <v>11</v>
      </c>
      <c r="B21" s="39"/>
      <c r="C21" s="39"/>
      <c r="D21" s="40"/>
      <c r="E21" s="41"/>
      <c r="F21" s="42"/>
      <c r="G21" s="44"/>
      <c r="H21" s="43"/>
      <c r="I21" s="2"/>
    </row>
    <row r="22" spans="1:9" ht="17.2" x14ac:dyDescent="0.45">
      <c r="A22" s="15">
        <v>12</v>
      </c>
      <c r="B22" s="39"/>
      <c r="C22" s="39"/>
      <c r="D22" s="40"/>
      <c r="E22" s="41"/>
      <c r="F22" s="42"/>
      <c r="G22" s="44"/>
      <c r="H22" s="43"/>
      <c r="I22" s="2"/>
    </row>
    <row r="23" spans="1:9" ht="17.2" x14ac:dyDescent="0.45">
      <c r="A23" s="15">
        <v>13</v>
      </c>
      <c r="B23" s="39"/>
      <c r="C23" s="39"/>
      <c r="D23" s="40"/>
      <c r="E23" s="41"/>
      <c r="F23" s="42"/>
      <c r="G23" s="44"/>
      <c r="H23" s="43"/>
      <c r="I23" s="2"/>
    </row>
    <row r="24" spans="1:9" ht="17.2" x14ac:dyDescent="0.45">
      <c r="A24" s="15">
        <v>14</v>
      </c>
      <c r="B24" s="39"/>
      <c r="C24" s="39"/>
      <c r="D24" s="40"/>
      <c r="E24" s="41"/>
      <c r="F24" s="42"/>
      <c r="G24" s="44"/>
      <c r="H24" s="43"/>
      <c r="I24" s="2"/>
    </row>
    <row r="25" spans="1:9" ht="17.2" x14ac:dyDescent="0.45">
      <c r="A25" s="15">
        <v>15</v>
      </c>
      <c r="B25" s="39"/>
      <c r="C25" s="39"/>
      <c r="D25" s="40"/>
      <c r="E25" s="41"/>
      <c r="F25" s="42"/>
      <c r="G25" s="44"/>
      <c r="H25" s="43"/>
      <c r="I25" s="2"/>
    </row>
    <row r="26" spans="1:9" ht="17.75" x14ac:dyDescent="0.45">
      <c r="A26" s="12"/>
      <c r="B26" s="16" t="s">
        <v>17</v>
      </c>
      <c r="C26" s="33"/>
      <c r="D26" s="17"/>
      <c r="E26" s="17"/>
      <c r="F26" s="17"/>
      <c r="G26" s="45">
        <f>SUM(G11:G25)</f>
        <v>77431</v>
      </c>
      <c r="H26" s="12"/>
      <c r="I26" s="12"/>
    </row>
    <row r="27" spans="1:9" ht="17.75" x14ac:dyDescent="0.45">
      <c r="A27" s="12"/>
      <c r="B27" s="18"/>
      <c r="C27" s="18"/>
      <c r="D27" s="19"/>
      <c r="E27" s="19"/>
      <c r="F27" s="19"/>
      <c r="G27" s="20"/>
      <c r="H27" s="12"/>
      <c r="I27" s="12"/>
    </row>
    <row r="28" spans="1:9" ht="17.75" x14ac:dyDescent="0.45">
      <c r="A28" s="12"/>
      <c r="B28" s="21"/>
      <c r="C28" s="21"/>
      <c r="D28" s="22"/>
      <c r="E28" s="22"/>
      <c r="F28" s="22"/>
      <c r="G28" s="8"/>
      <c r="H28" s="12"/>
      <c r="I28" s="12"/>
    </row>
    <row r="29" spans="1:9" ht="17.75" x14ac:dyDescent="0.45">
      <c r="A29" s="2"/>
      <c r="B29" s="54"/>
      <c r="C29" s="54"/>
      <c r="D29" s="57"/>
      <c r="E29" s="58"/>
      <c r="F29" s="59"/>
      <c r="G29" s="2"/>
      <c r="H29" s="2"/>
      <c r="I29" s="2"/>
    </row>
    <row r="30" spans="1:9" ht="17.75" x14ac:dyDescent="0.45">
      <c r="A30" s="2"/>
      <c r="B30" s="60"/>
      <c r="C30" s="60"/>
      <c r="D30" s="61"/>
      <c r="E30" s="37"/>
      <c r="F30" s="12"/>
      <c r="G30" s="28"/>
      <c r="H30" s="2"/>
      <c r="I30" s="2"/>
    </row>
  </sheetData>
  <mergeCells count="9">
    <mergeCell ref="B29:D29"/>
    <mergeCell ref="E29:F29"/>
    <mergeCell ref="B30:D30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7"/>
  <sheetViews>
    <sheetView topLeftCell="A7" workbookViewId="0">
      <selection activeCell="G31" sqref="G31"/>
    </sheetView>
  </sheetViews>
  <sheetFormatPr baseColWidth="10" defaultRowHeight="14" x14ac:dyDescent="0.3"/>
  <cols>
    <col min="1" max="1" width="13.3984375" customWidth="1"/>
    <col min="2" max="2" width="13.09765625" customWidth="1"/>
    <col min="3" max="3" width="20.296875" customWidth="1"/>
    <col min="4" max="4" width="14.09765625" customWidth="1"/>
    <col min="5" max="5" width="16.8984375" customWidth="1"/>
    <col min="6" max="6" width="30" customWidth="1"/>
    <col min="7" max="7" width="12.69921875" customWidth="1"/>
    <col min="8" max="8" width="14.8984375" customWidth="1"/>
  </cols>
  <sheetData>
    <row r="1" spans="1:8" ht="24.2" x14ac:dyDescent="0.6">
      <c r="A1" s="2"/>
      <c r="B1" s="3"/>
      <c r="C1" s="53" t="s">
        <v>0</v>
      </c>
      <c r="D1" s="53"/>
      <c r="E1" s="53"/>
      <c r="F1" s="53"/>
      <c r="G1" s="53"/>
      <c r="H1" s="53"/>
    </row>
    <row r="2" spans="1:8" ht="24.2" x14ac:dyDescent="0.6">
      <c r="A2" s="2"/>
      <c r="B2" s="2"/>
      <c r="C2" s="53" t="s">
        <v>1</v>
      </c>
      <c r="D2" s="53"/>
      <c r="E2" s="53"/>
      <c r="F2" s="53"/>
      <c r="G2" s="53"/>
      <c r="H2" s="53"/>
    </row>
    <row r="3" spans="1:8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18</v>
      </c>
    </row>
    <row r="4" spans="1:8" ht="17.75" x14ac:dyDescent="0.45">
      <c r="A4" s="2"/>
      <c r="B4" s="54" t="s">
        <v>3</v>
      </c>
      <c r="C4" s="54"/>
      <c r="D4" s="54"/>
      <c r="E4" s="50">
        <f>+SEPTIEMBRE!H8</f>
        <v>18669</v>
      </c>
      <c r="F4" s="7"/>
      <c r="G4" s="31"/>
      <c r="H4" s="2"/>
    </row>
    <row r="5" spans="1:8" ht="17.75" x14ac:dyDescent="0.45">
      <c r="A5" s="2"/>
      <c r="B5" s="25" t="s">
        <v>4</v>
      </c>
      <c r="C5" s="25"/>
      <c r="D5" s="25"/>
      <c r="E5" s="51">
        <v>77431</v>
      </c>
      <c r="F5" s="7"/>
      <c r="G5" s="31"/>
      <c r="H5" s="2"/>
    </row>
    <row r="6" spans="1:8" ht="17.75" x14ac:dyDescent="0.45">
      <c r="A6" s="2"/>
      <c r="B6" s="54" t="s">
        <v>5</v>
      </c>
      <c r="C6" s="54"/>
      <c r="D6" s="54"/>
      <c r="E6" s="35">
        <v>0</v>
      </c>
      <c r="F6" s="7"/>
      <c r="G6" s="2"/>
      <c r="H6" s="2"/>
    </row>
    <row r="7" spans="1:8" ht="17.75" x14ac:dyDescent="0.45">
      <c r="A7" s="2"/>
      <c r="B7" s="55" t="s">
        <v>6</v>
      </c>
      <c r="C7" s="55"/>
      <c r="D7" s="55"/>
      <c r="E7" s="35">
        <f>SUM(E4:E6)</f>
        <v>96100</v>
      </c>
      <c r="F7" s="7"/>
      <c r="G7" s="26"/>
      <c r="H7" s="2"/>
    </row>
    <row r="8" spans="1:8" ht="17.75" x14ac:dyDescent="0.45">
      <c r="A8" s="2"/>
      <c r="B8" s="56" t="s">
        <v>7</v>
      </c>
      <c r="C8" s="56"/>
      <c r="D8" s="56"/>
      <c r="E8" s="38">
        <f>+G26</f>
        <v>32000</v>
      </c>
      <c r="F8" s="7"/>
      <c r="G8" s="29" t="s">
        <v>8</v>
      </c>
      <c r="H8" s="36">
        <f>E7-E8</f>
        <v>64100</v>
      </c>
    </row>
    <row r="9" spans="1:8" ht="24.2" x14ac:dyDescent="0.6">
      <c r="A9" s="1"/>
      <c r="B9" s="1"/>
      <c r="C9" s="1"/>
      <c r="D9" s="1"/>
      <c r="E9" s="10"/>
      <c r="F9" s="11"/>
      <c r="G9" s="9"/>
      <c r="H9" s="1"/>
    </row>
    <row r="10" spans="1:8" ht="70.95" x14ac:dyDescent="0.3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</row>
    <row r="11" spans="1:8" ht="17.2" x14ac:dyDescent="0.45">
      <c r="A11" s="15">
        <v>1</v>
      </c>
      <c r="B11" s="39">
        <v>45931</v>
      </c>
      <c r="C11" s="39" t="s">
        <v>19</v>
      </c>
      <c r="D11" s="40">
        <v>22446</v>
      </c>
      <c r="E11" s="41" t="s">
        <v>78</v>
      </c>
      <c r="F11" s="42" t="s">
        <v>107</v>
      </c>
      <c r="G11" s="44">
        <v>7000</v>
      </c>
      <c r="H11" s="43"/>
    </row>
    <row r="12" spans="1:8" ht="17.2" x14ac:dyDescent="0.45">
      <c r="A12" s="15">
        <v>2</v>
      </c>
      <c r="B12" s="39">
        <v>45948</v>
      </c>
      <c r="C12" s="39" t="s">
        <v>19</v>
      </c>
      <c r="D12" s="40">
        <v>22668</v>
      </c>
      <c r="E12" s="41" t="s">
        <v>78</v>
      </c>
      <c r="F12" s="42" t="s">
        <v>107</v>
      </c>
      <c r="G12" s="44">
        <v>7000</v>
      </c>
      <c r="H12" s="43"/>
    </row>
    <row r="13" spans="1:8" ht="17.2" x14ac:dyDescent="0.45">
      <c r="A13" s="15">
        <v>3</v>
      </c>
      <c r="B13" s="39">
        <v>45959</v>
      </c>
      <c r="C13" s="39" t="s">
        <v>19</v>
      </c>
      <c r="D13" s="40">
        <v>3391</v>
      </c>
      <c r="E13" s="41" t="s">
        <v>82</v>
      </c>
      <c r="F13" s="42" t="s">
        <v>57</v>
      </c>
      <c r="G13" s="44">
        <v>18000</v>
      </c>
      <c r="H13" s="43"/>
    </row>
    <row r="14" spans="1:8" ht="17.2" x14ac:dyDescent="0.45">
      <c r="A14" s="15">
        <v>4</v>
      </c>
      <c r="B14" s="39"/>
      <c r="C14" s="39"/>
      <c r="D14" s="40"/>
      <c r="E14" s="41"/>
      <c r="F14" s="42"/>
      <c r="G14" s="44"/>
      <c r="H14" s="43"/>
    </row>
    <row r="15" spans="1:8" ht="17.2" x14ac:dyDescent="0.45">
      <c r="A15" s="15">
        <v>5</v>
      </c>
      <c r="B15" s="39"/>
      <c r="C15" s="39"/>
      <c r="D15" s="40"/>
      <c r="E15" s="41"/>
      <c r="F15" s="42"/>
      <c r="G15" s="44"/>
      <c r="H15" s="43"/>
    </row>
    <row r="16" spans="1:8" ht="17.2" x14ac:dyDescent="0.45">
      <c r="A16" s="15">
        <v>6</v>
      </c>
      <c r="B16" s="39"/>
      <c r="C16" s="39"/>
      <c r="D16" s="40"/>
      <c r="E16" s="41"/>
      <c r="F16" s="42"/>
      <c r="G16" s="44"/>
      <c r="H16" s="43"/>
    </row>
    <row r="17" spans="1:8" ht="17.2" x14ac:dyDescent="0.45">
      <c r="A17" s="15">
        <v>7</v>
      </c>
      <c r="B17" s="39"/>
      <c r="C17" s="39"/>
      <c r="D17" s="40"/>
      <c r="E17" s="41"/>
      <c r="F17" s="42"/>
      <c r="G17" s="44"/>
      <c r="H17" s="43"/>
    </row>
    <row r="18" spans="1:8" ht="17.2" x14ac:dyDescent="0.45">
      <c r="A18" s="15">
        <v>8</v>
      </c>
      <c r="B18" s="39"/>
      <c r="C18" s="39"/>
      <c r="D18" s="40"/>
      <c r="E18" s="41"/>
      <c r="F18" s="42"/>
      <c r="G18" s="44"/>
      <c r="H18" s="43"/>
    </row>
    <row r="19" spans="1:8" ht="17.2" x14ac:dyDescent="0.45">
      <c r="A19" s="15">
        <v>9</v>
      </c>
      <c r="B19" s="39"/>
      <c r="C19" s="39"/>
      <c r="D19" s="40"/>
      <c r="E19" s="41"/>
      <c r="F19" s="42"/>
      <c r="G19" s="44"/>
      <c r="H19" s="43"/>
    </row>
    <row r="20" spans="1:8" ht="17.2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8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8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8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8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8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8" ht="17.75" x14ac:dyDescent="0.45">
      <c r="A26" s="12"/>
      <c r="B26" s="16" t="s">
        <v>17</v>
      </c>
      <c r="C26" s="33"/>
      <c r="D26" s="17"/>
      <c r="E26" s="17"/>
      <c r="F26" s="17"/>
      <c r="G26" s="45">
        <f>SUM(G11:G25)</f>
        <v>32000</v>
      </c>
      <c r="H26" s="12"/>
    </row>
    <row r="27" spans="1:8" ht="17.75" x14ac:dyDescent="0.45">
      <c r="A27" s="12"/>
      <c r="B27" s="18"/>
      <c r="C27" s="18"/>
      <c r="D27" s="19"/>
      <c r="E27" s="19"/>
      <c r="F27" s="19"/>
      <c r="G27" s="20"/>
      <c r="H27" s="12"/>
    </row>
  </sheetData>
  <mergeCells count="6">
    <mergeCell ref="B8:D8"/>
    <mergeCell ref="C1:H1"/>
    <mergeCell ref="C2:H2"/>
    <mergeCell ref="B4:D4"/>
    <mergeCell ref="B6:D6"/>
    <mergeCell ref="B7:D7"/>
  </mergeCells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7"/>
  <sheetViews>
    <sheetView topLeftCell="A7" workbookViewId="0">
      <selection activeCell="C17" sqref="C17"/>
    </sheetView>
  </sheetViews>
  <sheetFormatPr baseColWidth="10" defaultRowHeight="14" x14ac:dyDescent="0.3"/>
  <cols>
    <col min="1" max="1" width="12.3984375" customWidth="1"/>
    <col min="2" max="2" width="14.69921875" customWidth="1"/>
    <col min="3" max="3" width="15.296875" customWidth="1"/>
    <col min="4" max="4" width="14.59765625" customWidth="1"/>
    <col min="5" max="5" width="14.09765625" customWidth="1"/>
    <col min="6" max="6" width="39.09765625" customWidth="1"/>
    <col min="8" max="8" width="13.296875" customWidth="1"/>
  </cols>
  <sheetData>
    <row r="1" spans="1:8" ht="24.2" x14ac:dyDescent="0.6">
      <c r="A1" s="2"/>
      <c r="B1" s="3"/>
      <c r="C1" s="53" t="s">
        <v>0</v>
      </c>
      <c r="D1" s="53"/>
      <c r="E1" s="53"/>
      <c r="F1" s="53"/>
      <c r="G1" s="53"/>
      <c r="H1" s="53"/>
    </row>
    <row r="2" spans="1:8" ht="24.2" x14ac:dyDescent="0.6">
      <c r="A2" s="2"/>
      <c r="B2" s="2"/>
      <c r="C2" s="53" t="s">
        <v>1</v>
      </c>
      <c r="D2" s="53"/>
      <c r="E2" s="53"/>
      <c r="F2" s="53"/>
      <c r="G2" s="53"/>
      <c r="H2" s="53"/>
    </row>
    <row r="3" spans="1:8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36</v>
      </c>
    </row>
    <row r="4" spans="1:8" ht="17.75" x14ac:dyDescent="0.45">
      <c r="A4" s="2"/>
      <c r="B4" s="54" t="s">
        <v>3</v>
      </c>
      <c r="C4" s="54"/>
      <c r="D4" s="54"/>
      <c r="E4" s="50">
        <f>+OCTUBRE25!H8</f>
        <v>64100</v>
      </c>
      <c r="F4" s="7"/>
      <c r="G4" s="31"/>
      <c r="H4" s="2"/>
    </row>
    <row r="5" spans="1:8" ht="17.75" x14ac:dyDescent="0.45">
      <c r="A5" s="2"/>
      <c r="B5" s="25" t="s">
        <v>4</v>
      </c>
      <c r="C5" s="25"/>
      <c r="D5" s="25"/>
      <c r="E5" s="51">
        <v>32000</v>
      </c>
      <c r="F5" s="7"/>
      <c r="G5" s="31"/>
      <c r="H5" s="2"/>
    </row>
    <row r="6" spans="1:8" ht="17.75" x14ac:dyDescent="0.45">
      <c r="A6" s="2"/>
      <c r="B6" s="54" t="s">
        <v>5</v>
      </c>
      <c r="C6" s="54"/>
      <c r="D6" s="54"/>
      <c r="E6" s="35">
        <v>0</v>
      </c>
      <c r="F6" s="7"/>
      <c r="G6" s="2"/>
      <c r="H6" s="2"/>
    </row>
    <row r="7" spans="1:8" ht="17.75" x14ac:dyDescent="0.45">
      <c r="A7" s="2"/>
      <c r="B7" s="55" t="s">
        <v>6</v>
      </c>
      <c r="C7" s="55"/>
      <c r="D7" s="55"/>
      <c r="E7" s="35">
        <f>SUM(E4:E6)</f>
        <v>96100</v>
      </c>
      <c r="F7" s="7"/>
      <c r="G7" s="26"/>
      <c r="H7" s="2"/>
    </row>
    <row r="8" spans="1:8" ht="17.75" x14ac:dyDescent="0.45">
      <c r="A8" s="2"/>
      <c r="B8" s="56" t="s">
        <v>7</v>
      </c>
      <c r="C8" s="56"/>
      <c r="D8" s="56"/>
      <c r="E8" s="38">
        <f>+G26</f>
        <v>78485</v>
      </c>
      <c r="F8" s="7"/>
      <c r="G8" s="29" t="s">
        <v>8</v>
      </c>
      <c r="H8" s="36">
        <f>E7-E8</f>
        <v>17615</v>
      </c>
    </row>
    <row r="9" spans="1:8" ht="24.2" x14ac:dyDescent="0.6">
      <c r="A9" s="1"/>
      <c r="B9" s="1"/>
      <c r="C9" s="1"/>
      <c r="D9" s="1"/>
      <c r="E9" s="10"/>
      <c r="F9" s="11"/>
      <c r="G9" s="9"/>
      <c r="H9" s="1"/>
    </row>
    <row r="10" spans="1:8" ht="126" customHeight="1" x14ac:dyDescent="0.3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</row>
    <row r="11" spans="1:8" ht="17.2" x14ac:dyDescent="0.45">
      <c r="A11" s="15">
        <v>1</v>
      </c>
      <c r="B11" s="39">
        <v>45964</v>
      </c>
      <c r="C11" s="39" t="s">
        <v>19</v>
      </c>
      <c r="D11" s="40">
        <v>22815</v>
      </c>
      <c r="E11" s="41" t="s">
        <v>78</v>
      </c>
      <c r="F11" s="42" t="s">
        <v>64</v>
      </c>
      <c r="G11" s="44">
        <v>7000</v>
      </c>
      <c r="H11" s="43"/>
    </row>
    <row r="12" spans="1:8" ht="17.2" x14ac:dyDescent="0.45">
      <c r="A12" s="15">
        <v>2</v>
      </c>
      <c r="B12" s="39">
        <v>45975</v>
      </c>
      <c r="C12" s="39" t="s">
        <v>19</v>
      </c>
      <c r="D12" s="40">
        <v>7972</v>
      </c>
      <c r="E12" s="41" t="s">
        <v>108</v>
      </c>
      <c r="F12" s="42" t="s">
        <v>109</v>
      </c>
      <c r="G12" s="44">
        <v>64485</v>
      </c>
      <c r="H12" s="43"/>
    </row>
    <row r="13" spans="1:8" ht="17.2" x14ac:dyDescent="0.45">
      <c r="A13" s="15">
        <v>3</v>
      </c>
      <c r="B13" s="39">
        <v>45979</v>
      </c>
      <c r="C13" s="39" t="s">
        <v>19</v>
      </c>
      <c r="D13" s="40">
        <v>22994</v>
      </c>
      <c r="E13" s="41" t="s">
        <v>78</v>
      </c>
      <c r="F13" s="42" t="s">
        <v>64</v>
      </c>
      <c r="G13" s="44">
        <v>7000</v>
      </c>
      <c r="H13" s="43"/>
    </row>
    <row r="14" spans="1:8" ht="17.2" x14ac:dyDescent="0.45">
      <c r="A14" s="15">
        <v>4</v>
      </c>
      <c r="B14" s="39"/>
      <c r="C14" s="39"/>
      <c r="D14" s="40"/>
      <c r="E14" s="41"/>
      <c r="F14" s="42"/>
      <c r="G14" s="44"/>
      <c r="H14" s="43"/>
    </row>
    <row r="15" spans="1:8" ht="17.2" x14ac:dyDescent="0.45">
      <c r="A15" s="15">
        <v>5</v>
      </c>
      <c r="B15" s="39"/>
      <c r="C15" s="39"/>
      <c r="D15" s="40"/>
      <c r="E15" s="41"/>
      <c r="F15" s="42"/>
      <c r="G15" s="44"/>
      <c r="H15" s="43"/>
    </row>
    <row r="16" spans="1:8" ht="17.2" x14ac:dyDescent="0.45">
      <c r="A16" s="15">
        <v>6</v>
      </c>
      <c r="B16" s="39"/>
      <c r="C16" s="39"/>
      <c r="D16" s="40"/>
      <c r="E16" s="41"/>
      <c r="F16" s="42"/>
      <c r="G16" s="44"/>
      <c r="H16" s="43"/>
    </row>
    <row r="17" spans="1:8" ht="17.2" x14ac:dyDescent="0.45">
      <c r="A17" s="15">
        <v>7</v>
      </c>
      <c r="B17" s="39"/>
      <c r="C17" s="39"/>
      <c r="D17" s="40"/>
      <c r="E17" s="41"/>
      <c r="F17" s="42"/>
      <c r="G17" s="44"/>
      <c r="H17" s="43"/>
    </row>
    <row r="18" spans="1:8" ht="17.2" x14ac:dyDescent="0.45">
      <c r="A18" s="15">
        <v>8</v>
      </c>
      <c r="B18" s="39"/>
      <c r="C18" s="39"/>
      <c r="D18" s="40"/>
      <c r="E18" s="41"/>
      <c r="F18" s="42"/>
      <c r="G18" s="44"/>
      <c r="H18" s="43"/>
    </row>
    <row r="19" spans="1:8" ht="17.2" x14ac:dyDescent="0.45">
      <c r="A19" s="15">
        <v>9</v>
      </c>
      <c r="B19" s="39"/>
      <c r="C19" s="39"/>
      <c r="D19" s="40"/>
      <c r="E19" s="41"/>
      <c r="F19" s="42"/>
      <c r="G19" s="44"/>
      <c r="H19" s="43"/>
    </row>
    <row r="20" spans="1:8" ht="17.2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8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8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8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8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8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8" ht="17.75" x14ac:dyDescent="0.45">
      <c r="A26" s="12"/>
      <c r="B26" s="16" t="s">
        <v>17</v>
      </c>
      <c r="C26" s="33"/>
      <c r="D26" s="17"/>
      <c r="E26" s="17"/>
      <c r="F26" s="17"/>
      <c r="G26" s="45">
        <f>SUM(G11:G25)</f>
        <v>78485</v>
      </c>
      <c r="H26" s="12"/>
    </row>
    <row r="27" spans="1:8" ht="17.75" x14ac:dyDescent="0.45">
      <c r="A27" s="12"/>
      <c r="B27" s="18"/>
      <c r="C27" s="18"/>
      <c r="D27" s="19"/>
      <c r="E27" s="19"/>
      <c r="F27" s="19"/>
      <c r="G27" s="20"/>
      <c r="H27" s="12"/>
    </row>
  </sheetData>
  <mergeCells count="6">
    <mergeCell ref="B8:D8"/>
    <mergeCell ref="C1:H1"/>
    <mergeCell ref="C2:H2"/>
    <mergeCell ref="B4:D4"/>
    <mergeCell ref="B6:D6"/>
    <mergeCell ref="B7:D7"/>
  </mergeCells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7"/>
  <sheetViews>
    <sheetView topLeftCell="A4" workbookViewId="0">
      <selection activeCell="F15" sqref="F15"/>
    </sheetView>
  </sheetViews>
  <sheetFormatPr baseColWidth="10" defaultRowHeight="14" x14ac:dyDescent="0.3"/>
  <cols>
    <col min="1" max="1" width="11.8984375" customWidth="1"/>
    <col min="2" max="2" width="17.09765625" customWidth="1"/>
    <col min="3" max="3" width="14.296875" customWidth="1"/>
    <col min="4" max="4" width="14.8984375" customWidth="1"/>
    <col min="5" max="5" width="14.69921875" customWidth="1"/>
    <col min="6" max="6" width="34.59765625" customWidth="1"/>
  </cols>
  <sheetData>
    <row r="1" spans="1:8" ht="24.2" x14ac:dyDescent="0.6">
      <c r="A1" s="2"/>
      <c r="B1" s="3"/>
      <c r="C1" s="53" t="s">
        <v>0</v>
      </c>
      <c r="D1" s="53"/>
      <c r="E1" s="53"/>
      <c r="F1" s="53"/>
      <c r="G1" s="53"/>
      <c r="H1" s="53"/>
    </row>
    <row r="2" spans="1:8" ht="24.2" x14ac:dyDescent="0.6">
      <c r="A2" s="2"/>
      <c r="B2" s="2"/>
      <c r="C2" s="53" t="s">
        <v>1</v>
      </c>
      <c r="D2" s="53"/>
      <c r="E2" s="53"/>
      <c r="F2" s="53"/>
      <c r="G2" s="53"/>
      <c r="H2" s="53"/>
    </row>
    <row r="3" spans="1:8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36</v>
      </c>
    </row>
    <row r="4" spans="1:8" ht="17.75" x14ac:dyDescent="0.45">
      <c r="A4" s="2"/>
      <c r="B4" s="54" t="s">
        <v>3</v>
      </c>
      <c r="C4" s="54"/>
      <c r="D4" s="54"/>
      <c r="E4" s="50">
        <f>+NOVIEMBRE25!H8</f>
        <v>17615</v>
      </c>
      <c r="F4" s="7"/>
      <c r="G4" s="31"/>
      <c r="H4" s="2"/>
    </row>
    <row r="5" spans="1:8" ht="17.75" x14ac:dyDescent="0.45">
      <c r="A5" s="2"/>
      <c r="B5" s="25" t="s">
        <v>4</v>
      </c>
      <c r="C5" s="25"/>
      <c r="D5" s="25"/>
      <c r="E5" s="51">
        <v>78485</v>
      </c>
      <c r="F5" s="7"/>
      <c r="G5" s="31"/>
      <c r="H5" s="2"/>
    </row>
    <row r="6" spans="1:8" ht="17.75" x14ac:dyDescent="0.45">
      <c r="A6" s="2"/>
      <c r="B6" s="54" t="s">
        <v>5</v>
      </c>
      <c r="C6" s="54"/>
      <c r="D6" s="54"/>
      <c r="E6" s="35">
        <v>0</v>
      </c>
      <c r="F6" s="7"/>
      <c r="G6" s="2"/>
      <c r="H6" s="2"/>
    </row>
    <row r="7" spans="1:8" ht="17.75" x14ac:dyDescent="0.45">
      <c r="A7" s="2"/>
      <c r="B7" s="55" t="s">
        <v>6</v>
      </c>
      <c r="C7" s="55"/>
      <c r="D7" s="55"/>
      <c r="E7" s="35">
        <f>SUM(E4:E6)</f>
        <v>96100</v>
      </c>
      <c r="F7" s="7"/>
      <c r="G7" s="26"/>
      <c r="H7" s="2"/>
    </row>
    <row r="8" spans="1:8" ht="17.75" x14ac:dyDescent="0.45">
      <c r="A8" s="2"/>
      <c r="B8" s="56" t="s">
        <v>7</v>
      </c>
      <c r="C8" s="56"/>
      <c r="D8" s="56"/>
      <c r="E8" s="38">
        <f>+G26</f>
        <v>74701</v>
      </c>
      <c r="F8" s="7"/>
      <c r="G8" s="29" t="s">
        <v>8</v>
      </c>
      <c r="H8" s="36">
        <f>E7-E8</f>
        <v>21399</v>
      </c>
    </row>
    <row r="9" spans="1:8" ht="24.2" x14ac:dyDescent="0.6">
      <c r="A9" s="1"/>
      <c r="B9" s="1"/>
      <c r="C9" s="1"/>
      <c r="D9" s="1"/>
      <c r="E9" s="10"/>
      <c r="F9" s="11"/>
      <c r="G9" s="9"/>
      <c r="H9" s="1"/>
    </row>
    <row r="10" spans="1:8" ht="124.15" x14ac:dyDescent="0.3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</row>
    <row r="11" spans="1:8" ht="17.2" x14ac:dyDescent="0.45">
      <c r="A11" s="15">
        <v>1</v>
      </c>
      <c r="B11" s="39">
        <v>45987</v>
      </c>
      <c r="C11" s="39" t="s">
        <v>19</v>
      </c>
      <c r="D11" s="40">
        <v>3465</v>
      </c>
      <c r="E11" s="41" t="s">
        <v>82</v>
      </c>
      <c r="F11" s="42" t="s">
        <v>57</v>
      </c>
      <c r="G11" s="44">
        <v>18000</v>
      </c>
      <c r="H11" s="43"/>
    </row>
    <row r="12" spans="1:8" ht="17.2" x14ac:dyDescent="0.45">
      <c r="A12" s="15">
        <v>2</v>
      </c>
      <c r="B12" s="39">
        <v>45993</v>
      </c>
      <c r="C12" s="39" t="s">
        <v>110</v>
      </c>
      <c r="D12" s="40">
        <v>5482703</v>
      </c>
      <c r="E12" s="41" t="s">
        <v>111</v>
      </c>
      <c r="F12" s="42" t="s">
        <v>112</v>
      </c>
      <c r="G12" s="44">
        <v>29990</v>
      </c>
      <c r="H12" s="43"/>
    </row>
    <row r="13" spans="1:8" ht="17.2" x14ac:dyDescent="0.45">
      <c r="A13" s="15">
        <v>3</v>
      </c>
      <c r="B13" s="39">
        <v>46002</v>
      </c>
      <c r="C13" s="39" t="s">
        <v>19</v>
      </c>
      <c r="D13" s="40">
        <v>23243</v>
      </c>
      <c r="E13" s="41" t="s">
        <v>78</v>
      </c>
      <c r="F13" s="42" t="s">
        <v>64</v>
      </c>
      <c r="G13" s="44">
        <v>7000</v>
      </c>
      <c r="H13" s="43"/>
    </row>
    <row r="14" spans="1:8" ht="17.2" x14ac:dyDescent="0.45">
      <c r="A14" s="15">
        <v>4</v>
      </c>
      <c r="B14" s="39">
        <v>46007</v>
      </c>
      <c r="C14" s="39" t="s">
        <v>19</v>
      </c>
      <c r="D14" s="40">
        <v>71028883</v>
      </c>
      <c r="E14" s="41" t="s">
        <v>54</v>
      </c>
      <c r="F14" s="42" t="s">
        <v>113</v>
      </c>
      <c r="G14" s="44">
        <v>5980</v>
      </c>
      <c r="H14" s="43"/>
    </row>
    <row r="15" spans="1:8" ht="17.2" x14ac:dyDescent="0.45">
      <c r="A15" s="15">
        <v>5</v>
      </c>
      <c r="B15" s="39">
        <v>46010</v>
      </c>
      <c r="C15" s="39" t="s">
        <v>19</v>
      </c>
      <c r="D15" s="40">
        <v>20251226</v>
      </c>
      <c r="E15" s="41" t="s">
        <v>114</v>
      </c>
      <c r="F15" s="42" t="s">
        <v>115</v>
      </c>
      <c r="G15" s="44">
        <v>13731</v>
      </c>
      <c r="H15" s="43"/>
    </row>
    <row r="16" spans="1:8" ht="17.2" x14ac:dyDescent="0.45">
      <c r="A16" s="15">
        <v>6</v>
      </c>
      <c r="B16" s="39"/>
      <c r="C16" s="39"/>
      <c r="D16" s="40"/>
      <c r="E16" s="41"/>
      <c r="F16" s="42"/>
      <c r="G16" s="44"/>
      <c r="H16" s="43"/>
    </row>
    <row r="17" spans="1:8" ht="17.2" x14ac:dyDescent="0.45">
      <c r="A17" s="15">
        <v>7</v>
      </c>
      <c r="B17" s="39"/>
      <c r="C17" s="39"/>
      <c r="D17" s="40"/>
      <c r="E17" s="41"/>
      <c r="F17" s="42"/>
      <c r="G17" s="44"/>
      <c r="H17" s="43"/>
    </row>
    <row r="18" spans="1:8" ht="17.2" x14ac:dyDescent="0.45">
      <c r="A18" s="15">
        <v>8</v>
      </c>
      <c r="B18" s="39"/>
      <c r="C18" s="39"/>
      <c r="D18" s="40"/>
      <c r="E18" s="41"/>
      <c r="F18" s="42"/>
      <c r="G18" s="44"/>
      <c r="H18" s="43"/>
    </row>
    <row r="19" spans="1:8" ht="17.2" x14ac:dyDescent="0.45">
      <c r="A19" s="15">
        <v>9</v>
      </c>
      <c r="B19" s="39"/>
      <c r="C19" s="39"/>
      <c r="D19" s="40"/>
      <c r="E19" s="41"/>
      <c r="F19" s="42"/>
      <c r="G19" s="44"/>
      <c r="H19" s="43"/>
    </row>
    <row r="20" spans="1:8" ht="17.2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8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8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8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8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8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8" ht="17.75" x14ac:dyDescent="0.45">
      <c r="A26" s="12"/>
      <c r="B26" s="16" t="s">
        <v>17</v>
      </c>
      <c r="C26" s="33"/>
      <c r="D26" s="17"/>
      <c r="E26" s="17"/>
      <c r="F26" s="17"/>
      <c r="G26" s="45">
        <f>SUM(G11:G25)</f>
        <v>74701</v>
      </c>
      <c r="H26" s="12"/>
    </row>
    <row r="27" spans="1:8" ht="17.75" x14ac:dyDescent="0.45">
      <c r="A27" s="12"/>
      <c r="B27" s="18"/>
      <c r="C27" s="18"/>
      <c r="D27" s="19"/>
      <c r="E27" s="19"/>
      <c r="F27" s="19"/>
      <c r="G27" s="20"/>
      <c r="H27" s="12"/>
    </row>
  </sheetData>
  <mergeCells count="6">
    <mergeCell ref="B8:D8"/>
    <mergeCell ref="C1:H1"/>
    <mergeCell ref="C2:H2"/>
    <mergeCell ref="B4:D4"/>
    <mergeCell ref="B6:D6"/>
    <mergeCell ref="B7:D7"/>
  </mergeCells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7"/>
  <sheetViews>
    <sheetView topLeftCell="A4" workbookViewId="0">
      <selection activeCell="H27" sqref="A1:H27"/>
    </sheetView>
  </sheetViews>
  <sheetFormatPr baseColWidth="10" defaultRowHeight="14" x14ac:dyDescent="0.3"/>
  <cols>
    <col min="1" max="1" width="13" customWidth="1"/>
    <col min="2" max="2" width="15.3984375" customWidth="1"/>
    <col min="3" max="3" width="16.8984375" customWidth="1"/>
    <col min="4" max="4" width="15.296875" customWidth="1"/>
    <col min="5" max="5" width="16.8984375" customWidth="1"/>
    <col min="6" max="6" width="27.59765625" customWidth="1"/>
    <col min="8" max="8" width="15.09765625" customWidth="1"/>
  </cols>
  <sheetData>
    <row r="1" spans="1:8" ht="24.2" x14ac:dyDescent="0.6">
      <c r="A1" s="2"/>
      <c r="B1" s="3"/>
      <c r="C1" s="53" t="s">
        <v>0</v>
      </c>
      <c r="D1" s="53"/>
      <c r="E1" s="53"/>
      <c r="F1" s="53"/>
      <c r="G1" s="53"/>
      <c r="H1" s="53"/>
    </row>
    <row r="2" spans="1:8" ht="24.2" x14ac:dyDescent="0.6">
      <c r="A2" s="2"/>
      <c r="B2" s="2"/>
      <c r="C2" s="53" t="s">
        <v>1</v>
      </c>
      <c r="D2" s="53"/>
      <c r="E2" s="53"/>
      <c r="F2" s="53"/>
      <c r="G2" s="53"/>
      <c r="H2" s="53"/>
    </row>
    <row r="3" spans="1:8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118</v>
      </c>
    </row>
    <row r="4" spans="1:8" ht="17.75" x14ac:dyDescent="0.45">
      <c r="A4" s="2"/>
      <c r="B4" s="54" t="s">
        <v>3</v>
      </c>
      <c r="C4" s="54"/>
      <c r="D4" s="54"/>
      <c r="E4" s="50">
        <f>+DICIEMBRE25!H8</f>
        <v>21399</v>
      </c>
      <c r="F4" s="7"/>
      <c r="G4" s="31"/>
      <c r="H4" s="2"/>
    </row>
    <row r="5" spans="1:8" ht="17.75" x14ac:dyDescent="0.45">
      <c r="A5" s="2"/>
      <c r="B5" s="25" t="s">
        <v>4</v>
      </c>
      <c r="C5" s="25"/>
      <c r="D5" s="25"/>
      <c r="E5" s="51">
        <v>74701</v>
      </c>
      <c r="F5" s="7"/>
      <c r="G5" s="31"/>
      <c r="H5" s="2"/>
    </row>
    <row r="6" spans="1:8" ht="17.75" x14ac:dyDescent="0.45">
      <c r="A6" s="2"/>
      <c r="B6" s="54" t="s">
        <v>5</v>
      </c>
      <c r="C6" s="54"/>
      <c r="D6" s="54"/>
      <c r="E6" s="35">
        <v>0</v>
      </c>
      <c r="F6" s="7"/>
      <c r="G6" s="2"/>
      <c r="H6" s="2"/>
    </row>
    <row r="7" spans="1:8" ht="17.75" x14ac:dyDescent="0.45">
      <c r="A7" s="2"/>
      <c r="B7" s="55" t="s">
        <v>6</v>
      </c>
      <c r="C7" s="55"/>
      <c r="D7" s="55"/>
      <c r="E7" s="35">
        <f>SUM(E4:E6)</f>
        <v>96100</v>
      </c>
      <c r="F7" s="7"/>
      <c r="G7" s="26"/>
      <c r="H7" s="2"/>
    </row>
    <row r="8" spans="1:8" ht="17.75" x14ac:dyDescent="0.45">
      <c r="A8" s="2"/>
      <c r="B8" s="56" t="s">
        <v>7</v>
      </c>
      <c r="C8" s="56"/>
      <c r="D8" s="56"/>
      <c r="E8" s="38">
        <f>+G26</f>
        <v>48980</v>
      </c>
      <c r="F8" s="7"/>
      <c r="G8" s="29" t="s">
        <v>8</v>
      </c>
      <c r="H8" s="36">
        <f>E7-E8</f>
        <v>47120</v>
      </c>
    </row>
    <row r="9" spans="1:8" ht="24.2" x14ac:dyDescent="0.6">
      <c r="A9" s="1"/>
      <c r="B9" s="1"/>
      <c r="C9" s="1"/>
      <c r="D9" s="1"/>
      <c r="E9" s="10"/>
      <c r="F9" s="11"/>
      <c r="G9" s="9"/>
      <c r="H9" s="1"/>
    </row>
    <row r="10" spans="1:8" ht="106.4" x14ac:dyDescent="0.3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</row>
    <row r="11" spans="1:8" ht="17.2" x14ac:dyDescent="0.45">
      <c r="A11" s="15">
        <v>1</v>
      </c>
      <c r="B11" s="39">
        <v>46015</v>
      </c>
      <c r="C11" s="39" t="s">
        <v>19</v>
      </c>
      <c r="D11" s="40">
        <v>3553</v>
      </c>
      <c r="E11" s="41" t="s">
        <v>82</v>
      </c>
      <c r="F11" s="42" t="s">
        <v>57</v>
      </c>
      <c r="G11" s="44">
        <v>20000</v>
      </c>
      <c r="H11" s="43"/>
    </row>
    <row r="12" spans="1:8" ht="17.2" x14ac:dyDescent="0.45">
      <c r="A12" s="15">
        <v>2</v>
      </c>
      <c r="B12" s="39">
        <v>46029</v>
      </c>
      <c r="C12" s="39" t="s">
        <v>19</v>
      </c>
      <c r="D12" s="40">
        <v>23510</v>
      </c>
      <c r="E12" s="41" t="s">
        <v>78</v>
      </c>
      <c r="F12" s="42" t="s">
        <v>107</v>
      </c>
      <c r="G12" s="44">
        <v>7000</v>
      </c>
      <c r="H12" s="43"/>
    </row>
    <row r="13" spans="1:8" ht="17.2" x14ac:dyDescent="0.45">
      <c r="A13" s="15">
        <v>3</v>
      </c>
      <c r="B13" s="39">
        <v>46042</v>
      </c>
      <c r="C13" s="39" t="s">
        <v>110</v>
      </c>
      <c r="D13" s="40">
        <v>2226374</v>
      </c>
      <c r="E13" s="41" t="s">
        <v>116</v>
      </c>
      <c r="F13" s="42" t="s">
        <v>117</v>
      </c>
      <c r="G13" s="44">
        <v>21980</v>
      </c>
      <c r="H13" s="43"/>
    </row>
    <row r="14" spans="1:8" ht="17.2" x14ac:dyDescent="0.45">
      <c r="A14" s="15">
        <v>4</v>
      </c>
      <c r="B14" s="39"/>
      <c r="C14" s="39"/>
      <c r="D14" s="40"/>
      <c r="E14" s="41"/>
      <c r="F14" s="42"/>
      <c r="G14" s="44"/>
      <c r="H14" s="43"/>
    </row>
    <row r="15" spans="1:8" ht="17.2" x14ac:dyDescent="0.45">
      <c r="A15" s="15">
        <v>5</v>
      </c>
      <c r="B15" s="39"/>
      <c r="C15" s="39"/>
      <c r="D15" s="40"/>
      <c r="E15" s="41"/>
      <c r="F15" s="42"/>
      <c r="G15" s="44"/>
      <c r="H15" s="43"/>
    </row>
    <row r="16" spans="1:8" ht="17.2" x14ac:dyDescent="0.45">
      <c r="A16" s="15">
        <v>6</v>
      </c>
      <c r="B16" s="39"/>
      <c r="C16" s="39"/>
      <c r="D16" s="40"/>
      <c r="E16" s="41"/>
      <c r="F16" s="42"/>
      <c r="G16" s="44"/>
      <c r="H16" s="43"/>
    </row>
    <row r="17" spans="1:8" ht="17.2" x14ac:dyDescent="0.45">
      <c r="A17" s="15">
        <v>7</v>
      </c>
      <c r="B17" s="39"/>
      <c r="C17" s="39"/>
      <c r="D17" s="40"/>
      <c r="E17" s="41"/>
      <c r="F17" s="42"/>
      <c r="G17" s="44"/>
      <c r="H17" s="43"/>
    </row>
    <row r="18" spans="1:8" ht="17.2" x14ac:dyDescent="0.45">
      <c r="A18" s="15">
        <v>8</v>
      </c>
      <c r="B18" s="39"/>
      <c r="C18" s="39"/>
      <c r="D18" s="40"/>
      <c r="E18" s="41"/>
      <c r="F18" s="42"/>
      <c r="G18" s="44"/>
      <c r="H18" s="43"/>
    </row>
    <row r="19" spans="1:8" ht="17.2" x14ac:dyDescent="0.45">
      <c r="A19" s="15">
        <v>9</v>
      </c>
      <c r="B19" s="39"/>
      <c r="C19" s="39"/>
      <c r="D19" s="40"/>
      <c r="E19" s="41"/>
      <c r="F19" s="42"/>
      <c r="G19" s="44"/>
      <c r="H19" s="43"/>
    </row>
    <row r="20" spans="1:8" ht="17.2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8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8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8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8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8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8" ht="17.75" x14ac:dyDescent="0.45">
      <c r="A26" s="12"/>
      <c r="B26" s="16" t="s">
        <v>17</v>
      </c>
      <c r="C26" s="33"/>
      <c r="D26" s="17"/>
      <c r="E26" s="17"/>
      <c r="F26" s="17"/>
      <c r="G26" s="45">
        <f>SUM(G11:G25)</f>
        <v>48980</v>
      </c>
      <c r="H26" s="12"/>
    </row>
    <row r="27" spans="1:8" ht="17.75" x14ac:dyDescent="0.45">
      <c r="A27" s="12"/>
      <c r="B27" s="18"/>
      <c r="C27" s="18"/>
      <c r="D27" s="19"/>
      <c r="E27" s="19"/>
      <c r="F27" s="19"/>
      <c r="G27" s="20"/>
      <c r="H27" s="12"/>
    </row>
  </sheetData>
  <mergeCells count="6">
    <mergeCell ref="B8:D8"/>
    <mergeCell ref="C1:H1"/>
    <mergeCell ref="C2:H2"/>
    <mergeCell ref="B4:D4"/>
    <mergeCell ref="B6:D6"/>
    <mergeCell ref="B7:D7"/>
  </mergeCells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7"/>
  <sheetViews>
    <sheetView topLeftCell="A4" workbookViewId="0">
      <selection activeCell="H27" sqref="A1:H27"/>
    </sheetView>
  </sheetViews>
  <sheetFormatPr baseColWidth="10" defaultRowHeight="14" x14ac:dyDescent="0.3"/>
  <cols>
    <col min="2" max="2" width="13.09765625" customWidth="1"/>
    <col min="3" max="3" width="18.296875" customWidth="1"/>
    <col min="4" max="4" width="15.296875" customWidth="1"/>
    <col min="5" max="5" width="14.296875" customWidth="1"/>
    <col min="6" max="6" width="20.09765625" customWidth="1"/>
    <col min="7" max="7" width="13.296875" customWidth="1"/>
    <col min="8" max="8" width="15.59765625" customWidth="1"/>
  </cols>
  <sheetData>
    <row r="1" spans="1:8" ht="24.2" x14ac:dyDescent="0.6">
      <c r="A1" s="2"/>
      <c r="B1" s="3"/>
      <c r="C1" s="53" t="s">
        <v>0</v>
      </c>
      <c r="D1" s="53"/>
      <c r="E1" s="53"/>
      <c r="F1" s="53"/>
      <c r="G1" s="53"/>
      <c r="H1" s="53"/>
    </row>
    <row r="2" spans="1:8" ht="24.2" x14ac:dyDescent="0.6">
      <c r="A2" s="2"/>
      <c r="B2" s="2"/>
      <c r="C2" s="53" t="s">
        <v>1</v>
      </c>
      <c r="D2" s="53"/>
      <c r="E2" s="53"/>
      <c r="F2" s="53"/>
      <c r="G2" s="53"/>
      <c r="H2" s="53"/>
    </row>
    <row r="3" spans="1:8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120</v>
      </c>
    </row>
    <row r="4" spans="1:8" ht="17.75" x14ac:dyDescent="0.45">
      <c r="A4" s="2"/>
      <c r="B4" s="54" t="s">
        <v>3</v>
      </c>
      <c r="C4" s="54"/>
      <c r="D4" s="54"/>
      <c r="E4" s="50">
        <f>+ENERO26!H8</f>
        <v>47120</v>
      </c>
      <c r="F4" s="7"/>
      <c r="G4" s="31"/>
      <c r="H4" s="2"/>
    </row>
    <row r="5" spans="1:8" ht="17.75" x14ac:dyDescent="0.45">
      <c r="A5" s="2"/>
      <c r="B5" s="25" t="s">
        <v>4</v>
      </c>
      <c r="C5" s="25"/>
      <c r="D5" s="25"/>
      <c r="E5" s="51">
        <v>48980</v>
      </c>
      <c r="F5" s="7"/>
      <c r="G5" s="31"/>
      <c r="H5" s="2"/>
    </row>
    <row r="6" spans="1:8" ht="17.75" x14ac:dyDescent="0.45">
      <c r="A6" s="2"/>
      <c r="B6" s="54" t="s">
        <v>5</v>
      </c>
      <c r="C6" s="54"/>
      <c r="D6" s="54"/>
      <c r="E6" s="35">
        <v>0</v>
      </c>
      <c r="F6" s="7"/>
      <c r="G6" s="2"/>
      <c r="H6" s="2"/>
    </row>
    <row r="7" spans="1:8" ht="17.75" x14ac:dyDescent="0.45">
      <c r="A7" s="2"/>
      <c r="B7" s="55" t="s">
        <v>6</v>
      </c>
      <c r="C7" s="55"/>
      <c r="D7" s="55"/>
      <c r="E7" s="35">
        <f>SUM(E4:E6)</f>
        <v>96100</v>
      </c>
      <c r="F7" s="7"/>
      <c r="G7" s="26"/>
      <c r="H7" s="2"/>
    </row>
    <row r="8" spans="1:8" ht="17.75" x14ac:dyDescent="0.45">
      <c r="A8" s="2"/>
      <c r="B8" s="56" t="s">
        <v>7</v>
      </c>
      <c r="C8" s="56"/>
      <c r="D8" s="56"/>
      <c r="E8" s="38">
        <f>+G26</f>
        <v>55990</v>
      </c>
      <c r="F8" s="7"/>
      <c r="G8" s="29" t="s">
        <v>8</v>
      </c>
      <c r="H8" s="36">
        <f>E7-E8</f>
        <v>40110</v>
      </c>
    </row>
    <row r="9" spans="1:8" ht="24.2" x14ac:dyDescent="0.6">
      <c r="A9" s="1"/>
      <c r="B9" s="1"/>
      <c r="C9" s="1"/>
      <c r="D9" s="1"/>
      <c r="E9" s="10"/>
      <c r="F9" s="11"/>
      <c r="G9" s="9"/>
      <c r="H9" s="1"/>
    </row>
    <row r="10" spans="1:8" ht="106.4" x14ac:dyDescent="0.3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</row>
    <row r="11" spans="1:8" ht="17.2" x14ac:dyDescent="0.45">
      <c r="A11" s="15">
        <v>1</v>
      </c>
      <c r="B11" s="39">
        <v>46050</v>
      </c>
      <c r="C11" s="39" t="s">
        <v>19</v>
      </c>
      <c r="D11" s="40">
        <v>3654</v>
      </c>
      <c r="E11" s="41" t="s">
        <v>82</v>
      </c>
      <c r="F11" s="42" t="s">
        <v>57</v>
      </c>
      <c r="G11" s="44">
        <v>20000</v>
      </c>
      <c r="H11" s="43"/>
    </row>
    <row r="12" spans="1:8" ht="17.2" x14ac:dyDescent="0.45">
      <c r="A12" s="15">
        <v>2</v>
      </c>
      <c r="B12" s="39">
        <v>46050</v>
      </c>
      <c r="C12" s="39" t="s">
        <v>19</v>
      </c>
      <c r="D12" s="40">
        <v>23769</v>
      </c>
      <c r="E12" s="41" t="s">
        <v>78</v>
      </c>
      <c r="F12" s="42" t="s">
        <v>64</v>
      </c>
      <c r="G12" s="44">
        <v>7000</v>
      </c>
      <c r="H12" s="43"/>
    </row>
    <row r="13" spans="1:8" ht="17.2" x14ac:dyDescent="0.45">
      <c r="A13" s="15">
        <v>3</v>
      </c>
      <c r="B13" s="39">
        <v>46063</v>
      </c>
      <c r="C13" s="39" t="s">
        <v>19</v>
      </c>
      <c r="D13" s="40">
        <v>17249846</v>
      </c>
      <c r="E13" s="41" t="s">
        <v>56</v>
      </c>
      <c r="F13" s="42" t="s">
        <v>119</v>
      </c>
      <c r="G13" s="44">
        <v>1990</v>
      </c>
      <c r="H13" s="43"/>
    </row>
    <row r="14" spans="1:8" ht="17.2" x14ac:dyDescent="0.45">
      <c r="A14" s="15">
        <v>4</v>
      </c>
      <c r="B14" s="39">
        <v>46069</v>
      </c>
      <c r="C14" s="39" t="s">
        <v>19</v>
      </c>
      <c r="D14" s="40">
        <v>23948</v>
      </c>
      <c r="E14" s="41" t="s">
        <v>78</v>
      </c>
      <c r="F14" s="42" t="s">
        <v>64</v>
      </c>
      <c r="G14" s="44">
        <v>7000</v>
      </c>
      <c r="H14" s="43"/>
    </row>
    <row r="15" spans="1:8" ht="17.2" x14ac:dyDescent="0.45">
      <c r="A15" s="15">
        <v>5</v>
      </c>
      <c r="B15" s="39">
        <v>46071</v>
      </c>
      <c r="C15" s="39" t="s">
        <v>19</v>
      </c>
      <c r="D15" s="40">
        <v>3728</v>
      </c>
      <c r="E15" s="41" t="s">
        <v>82</v>
      </c>
      <c r="F15" s="42" t="s">
        <v>57</v>
      </c>
      <c r="G15" s="44">
        <v>20000</v>
      </c>
      <c r="H15" s="43"/>
    </row>
    <row r="16" spans="1:8" ht="17.2" x14ac:dyDescent="0.45">
      <c r="A16" s="15">
        <v>6</v>
      </c>
      <c r="B16" s="39"/>
      <c r="C16" s="39"/>
      <c r="D16" s="40"/>
      <c r="E16" s="41"/>
      <c r="F16" s="42"/>
      <c r="G16" s="44"/>
      <c r="H16" s="43"/>
    </row>
    <row r="17" spans="1:8" ht="17.2" x14ac:dyDescent="0.45">
      <c r="A17" s="15">
        <v>7</v>
      </c>
      <c r="B17" s="39"/>
      <c r="C17" s="39"/>
      <c r="D17" s="40"/>
      <c r="E17" s="41"/>
      <c r="F17" s="42"/>
      <c r="G17" s="44"/>
      <c r="H17" s="43"/>
    </row>
    <row r="18" spans="1:8" ht="17.2" x14ac:dyDescent="0.45">
      <c r="A18" s="15">
        <v>8</v>
      </c>
      <c r="B18" s="39"/>
      <c r="C18" s="39"/>
      <c r="D18" s="40"/>
      <c r="E18" s="41"/>
      <c r="F18" s="42"/>
      <c r="G18" s="44"/>
      <c r="H18" s="43"/>
    </row>
    <row r="19" spans="1:8" ht="17.2" x14ac:dyDescent="0.45">
      <c r="A19" s="15">
        <v>9</v>
      </c>
      <c r="B19" s="39"/>
      <c r="C19" s="39"/>
      <c r="D19" s="40"/>
      <c r="E19" s="41"/>
      <c r="F19" s="42"/>
      <c r="G19" s="44"/>
      <c r="H19" s="43"/>
    </row>
    <row r="20" spans="1:8" ht="17.2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8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8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8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8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8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8" ht="17.75" x14ac:dyDescent="0.45">
      <c r="A26" s="12"/>
      <c r="B26" s="16" t="s">
        <v>17</v>
      </c>
      <c r="C26" s="33"/>
      <c r="D26" s="17"/>
      <c r="E26" s="17"/>
      <c r="F26" s="17"/>
      <c r="G26" s="45">
        <f>SUM(G11:G25)</f>
        <v>55990</v>
      </c>
      <c r="H26" s="12"/>
    </row>
    <row r="27" spans="1:8" ht="17.75" x14ac:dyDescent="0.45">
      <c r="A27" s="12"/>
      <c r="B27" s="18"/>
      <c r="C27" s="18"/>
      <c r="D27" s="19"/>
      <c r="E27" s="19"/>
      <c r="F27" s="19"/>
      <c r="G27" s="20"/>
      <c r="H27" s="12"/>
    </row>
  </sheetData>
  <mergeCells count="6">
    <mergeCell ref="B8:D8"/>
    <mergeCell ref="C1:H1"/>
    <mergeCell ref="C2:H2"/>
    <mergeCell ref="B4:D4"/>
    <mergeCell ref="B6:D6"/>
    <mergeCell ref="B7:D7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7"/>
  <sheetViews>
    <sheetView topLeftCell="A10" workbookViewId="0">
      <selection activeCell="G13" sqref="B13:G13"/>
    </sheetView>
  </sheetViews>
  <sheetFormatPr baseColWidth="10" defaultRowHeight="14" x14ac:dyDescent="0.3"/>
  <cols>
    <col min="2" max="2" width="15" customWidth="1"/>
    <col min="3" max="3" width="18.3984375" customWidth="1"/>
    <col min="4" max="4" width="16.69921875" customWidth="1"/>
    <col min="5" max="5" width="14.8984375" customWidth="1"/>
    <col min="6" max="6" width="25.59765625" customWidth="1"/>
    <col min="7" max="7" width="13.69921875" customWidth="1"/>
    <col min="8" max="8" width="14.09765625" customWidth="1"/>
  </cols>
  <sheetData>
    <row r="1" spans="1:8" ht="24.2" x14ac:dyDescent="0.6">
      <c r="A1" s="2"/>
      <c r="B1" s="3"/>
      <c r="C1" s="53" t="s">
        <v>0</v>
      </c>
      <c r="D1" s="53"/>
      <c r="E1" s="53"/>
      <c r="F1" s="53"/>
      <c r="G1" s="53"/>
      <c r="H1" s="53"/>
    </row>
    <row r="2" spans="1:8" ht="24.2" x14ac:dyDescent="0.6">
      <c r="A2" s="2"/>
      <c r="B2" s="2"/>
      <c r="C2" s="53" t="s">
        <v>1</v>
      </c>
      <c r="D2" s="53"/>
      <c r="E2" s="53"/>
      <c r="F2" s="53"/>
      <c r="G2" s="53"/>
      <c r="H2" s="53"/>
    </row>
    <row r="3" spans="1:8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71</v>
      </c>
    </row>
    <row r="4" spans="1:8" ht="17.75" x14ac:dyDescent="0.45">
      <c r="A4" s="2"/>
      <c r="B4" s="54" t="s">
        <v>3</v>
      </c>
      <c r="C4" s="54"/>
      <c r="D4" s="54"/>
      <c r="E4" s="50">
        <f>+FEBRERO26!H8</f>
        <v>40110</v>
      </c>
      <c r="F4" s="7"/>
      <c r="G4" s="31"/>
      <c r="H4" s="2"/>
    </row>
    <row r="5" spans="1:8" ht="17.75" x14ac:dyDescent="0.45">
      <c r="A5" s="2"/>
      <c r="B5" s="25" t="s">
        <v>4</v>
      </c>
      <c r="C5" s="25"/>
      <c r="D5" s="25"/>
      <c r="E5" s="51">
        <v>55990</v>
      </c>
      <c r="F5" s="7"/>
      <c r="G5" s="31"/>
      <c r="H5" s="2"/>
    </row>
    <row r="6" spans="1:8" ht="17.75" x14ac:dyDescent="0.45">
      <c r="A6" s="2"/>
      <c r="B6" s="54" t="s">
        <v>5</v>
      </c>
      <c r="C6" s="54"/>
      <c r="D6" s="54"/>
      <c r="E6" s="35">
        <v>0</v>
      </c>
      <c r="F6" s="7"/>
      <c r="G6" s="2"/>
      <c r="H6" s="2"/>
    </row>
    <row r="7" spans="1:8" ht="17.75" x14ac:dyDescent="0.45">
      <c r="A7" s="2"/>
      <c r="B7" s="55" t="s">
        <v>6</v>
      </c>
      <c r="C7" s="55"/>
      <c r="D7" s="55"/>
      <c r="E7" s="35">
        <f>SUM(E4:E6)</f>
        <v>96100</v>
      </c>
      <c r="F7" s="7"/>
      <c r="G7" s="26"/>
      <c r="H7" s="2"/>
    </row>
    <row r="8" spans="1:8" ht="17.75" x14ac:dyDescent="0.45">
      <c r="A8" s="2"/>
      <c r="B8" s="56" t="s">
        <v>7</v>
      </c>
      <c r="C8" s="56"/>
      <c r="D8" s="56"/>
      <c r="E8" s="38">
        <f>+G26</f>
        <v>28990</v>
      </c>
      <c r="F8" s="7"/>
      <c r="G8" s="29" t="s">
        <v>8</v>
      </c>
      <c r="H8" s="36">
        <f>E7-E8</f>
        <v>67110</v>
      </c>
    </row>
    <row r="9" spans="1:8" ht="24.2" x14ac:dyDescent="0.6">
      <c r="A9" s="1"/>
      <c r="B9" s="1"/>
      <c r="C9" s="1"/>
      <c r="D9" s="1"/>
      <c r="E9" s="10"/>
      <c r="F9" s="11"/>
      <c r="G9" s="9"/>
      <c r="H9" s="1"/>
    </row>
    <row r="10" spans="1:8" ht="132.05000000000001" customHeight="1" x14ac:dyDescent="0.3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</row>
    <row r="11" spans="1:8" ht="17.2" x14ac:dyDescent="0.45">
      <c r="A11" s="15">
        <v>1</v>
      </c>
      <c r="B11" s="39">
        <v>46080</v>
      </c>
      <c r="C11" s="39" t="s">
        <v>19</v>
      </c>
      <c r="D11" s="40">
        <v>17349197</v>
      </c>
      <c r="E11" s="41" t="s">
        <v>56</v>
      </c>
      <c r="F11" s="42" t="s">
        <v>119</v>
      </c>
      <c r="G11" s="44">
        <v>1990</v>
      </c>
      <c r="H11" s="43"/>
    </row>
    <row r="12" spans="1:8" ht="17.2" x14ac:dyDescent="0.45">
      <c r="A12" s="15">
        <v>2</v>
      </c>
      <c r="B12" s="39">
        <v>46097</v>
      </c>
      <c r="C12" s="39" t="s">
        <v>19</v>
      </c>
      <c r="D12" s="40">
        <v>24233</v>
      </c>
      <c r="E12" s="41" t="s">
        <v>78</v>
      </c>
      <c r="F12" s="42" t="s">
        <v>89</v>
      </c>
      <c r="G12" s="44">
        <v>7000</v>
      </c>
      <c r="H12" s="43"/>
    </row>
    <row r="13" spans="1:8" ht="17.2" x14ac:dyDescent="0.45">
      <c r="A13" s="15">
        <v>3</v>
      </c>
      <c r="B13" s="39">
        <v>46106</v>
      </c>
      <c r="C13" s="39" t="s">
        <v>19</v>
      </c>
      <c r="D13" s="40">
        <v>3833</v>
      </c>
      <c r="E13" s="41" t="s">
        <v>82</v>
      </c>
      <c r="F13" s="42" t="s">
        <v>57</v>
      </c>
      <c r="G13" s="44">
        <v>20000</v>
      </c>
      <c r="H13" s="43"/>
    </row>
    <row r="14" spans="1:8" ht="17.2" x14ac:dyDescent="0.45">
      <c r="A14" s="15">
        <v>4</v>
      </c>
      <c r="B14" s="39"/>
      <c r="C14" s="39"/>
      <c r="D14" s="40"/>
      <c r="E14" s="41"/>
      <c r="F14" s="42"/>
      <c r="G14" s="44"/>
      <c r="H14" s="43"/>
    </row>
    <row r="15" spans="1:8" ht="17.2" x14ac:dyDescent="0.45">
      <c r="A15" s="15">
        <v>5</v>
      </c>
      <c r="B15" s="39"/>
      <c r="C15" s="39"/>
      <c r="D15" s="40"/>
      <c r="E15" s="41"/>
      <c r="F15" s="42"/>
      <c r="G15" s="44"/>
      <c r="H15" s="43"/>
    </row>
    <row r="16" spans="1:8" ht="17.2" x14ac:dyDescent="0.45">
      <c r="A16" s="15">
        <v>6</v>
      </c>
      <c r="B16" s="39"/>
      <c r="C16" s="39"/>
      <c r="D16" s="40"/>
      <c r="E16" s="41"/>
      <c r="F16" s="42"/>
      <c r="G16" s="44"/>
      <c r="H16" s="43"/>
    </row>
    <row r="17" spans="1:8" ht="17.2" x14ac:dyDescent="0.45">
      <c r="A17" s="15">
        <v>7</v>
      </c>
      <c r="B17" s="39"/>
      <c r="C17" s="39"/>
      <c r="D17" s="40"/>
      <c r="E17" s="41"/>
      <c r="F17" s="42"/>
      <c r="G17" s="44"/>
      <c r="H17" s="43"/>
    </row>
    <row r="18" spans="1:8" ht="17.2" x14ac:dyDescent="0.45">
      <c r="A18" s="15">
        <v>8</v>
      </c>
      <c r="B18" s="39"/>
      <c r="C18" s="39"/>
      <c r="D18" s="40"/>
      <c r="E18" s="41"/>
      <c r="F18" s="42"/>
      <c r="G18" s="44"/>
      <c r="H18" s="43"/>
    </row>
    <row r="19" spans="1:8" ht="17.2" x14ac:dyDescent="0.45">
      <c r="A19" s="15">
        <v>9</v>
      </c>
      <c r="B19" s="39"/>
      <c r="C19" s="39"/>
      <c r="D19" s="40"/>
      <c r="E19" s="41"/>
      <c r="F19" s="42"/>
      <c r="G19" s="44"/>
      <c r="H19" s="43"/>
    </row>
    <row r="20" spans="1:8" ht="17.2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8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8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8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8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8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8" ht="17.75" x14ac:dyDescent="0.45">
      <c r="A26" s="12"/>
      <c r="B26" s="16" t="s">
        <v>17</v>
      </c>
      <c r="C26" s="33"/>
      <c r="D26" s="17"/>
      <c r="E26" s="17"/>
      <c r="F26" s="17"/>
      <c r="G26" s="45">
        <f>SUM(G11:G25)</f>
        <v>28990</v>
      </c>
      <c r="H26" s="12"/>
    </row>
    <row r="27" spans="1:8" ht="17.75" x14ac:dyDescent="0.45">
      <c r="A27" s="12"/>
      <c r="B27" s="18"/>
      <c r="C27" s="18"/>
      <c r="D27" s="19"/>
      <c r="E27" s="19"/>
      <c r="F27" s="19"/>
      <c r="G27" s="20"/>
      <c r="H27" s="12"/>
    </row>
  </sheetData>
  <mergeCells count="6">
    <mergeCell ref="B8:D8"/>
    <mergeCell ref="C1:H1"/>
    <mergeCell ref="C2:H2"/>
    <mergeCell ref="B4:D4"/>
    <mergeCell ref="B6:D6"/>
    <mergeCell ref="B7:D7"/>
  </mergeCells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27"/>
  <sheetViews>
    <sheetView tabSelected="1" workbookViewId="0">
      <selection activeCell="J3" sqref="J3"/>
    </sheetView>
  </sheetViews>
  <sheetFormatPr baseColWidth="10" defaultRowHeight="14" x14ac:dyDescent="0.3"/>
  <cols>
    <col min="2" max="2" width="13.09765625" customWidth="1"/>
    <col min="3" max="3" width="17.69921875" customWidth="1"/>
    <col min="4" max="4" width="14.8984375" customWidth="1"/>
    <col min="5" max="5" width="18.3984375" customWidth="1"/>
    <col min="6" max="6" width="30.8984375" customWidth="1"/>
    <col min="7" max="7" width="14" customWidth="1"/>
  </cols>
  <sheetData>
    <row r="1" spans="1:8" ht="24.2" x14ac:dyDescent="0.6">
      <c r="A1" s="2"/>
      <c r="B1" s="3"/>
      <c r="C1" s="53" t="s">
        <v>0</v>
      </c>
      <c r="D1" s="53"/>
      <c r="E1" s="53"/>
      <c r="F1" s="53"/>
      <c r="G1" s="53"/>
      <c r="H1" s="53"/>
    </row>
    <row r="2" spans="1:8" ht="24.2" x14ac:dyDescent="0.6">
      <c r="A2" s="2"/>
      <c r="B2" s="2"/>
      <c r="C2" s="53" t="s">
        <v>1</v>
      </c>
      <c r="D2" s="53"/>
      <c r="E2" s="53"/>
      <c r="F2" s="53"/>
      <c r="G2" s="53"/>
      <c r="H2" s="53"/>
    </row>
    <row r="3" spans="1:8" ht="31.7" x14ac:dyDescent="0.55000000000000004">
      <c r="A3" s="2"/>
      <c r="B3" s="3"/>
      <c r="C3" s="3"/>
      <c r="D3" s="4"/>
      <c r="E3" s="5"/>
      <c r="F3" s="24"/>
      <c r="G3" s="32" t="s">
        <v>2</v>
      </c>
      <c r="H3" s="27" t="s">
        <v>121</v>
      </c>
    </row>
    <row r="4" spans="1:8" ht="17.75" x14ac:dyDescent="0.45">
      <c r="A4" s="2"/>
      <c r="B4" s="54" t="s">
        <v>3</v>
      </c>
      <c r="C4" s="54"/>
      <c r="D4" s="54"/>
      <c r="E4" s="50">
        <f>+MARZO26!H8</f>
        <v>67110</v>
      </c>
      <c r="F4" s="7"/>
      <c r="G4" s="31"/>
      <c r="H4" s="2"/>
    </row>
    <row r="5" spans="1:8" ht="17.75" x14ac:dyDescent="0.45">
      <c r="A5" s="2"/>
      <c r="B5" s="25" t="s">
        <v>4</v>
      </c>
      <c r="C5" s="25"/>
      <c r="D5" s="25"/>
      <c r="E5" s="51">
        <v>28990</v>
      </c>
      <c r="F5" s="7"/>
      <c r="G5" s="31"/>
      <c r="H5" s="2"/>
    </row>
    <row r="6" spans="1:8" ht="17.75" x14ac:dyDescent="0.45">
      <c r="A6" s="2"/>
      <c r="B6" s="54" t="s">
        <v>5</v>
      </c>
      <c r="C6" s="54"/>
      <c r="D6" s="54"/>
      <c r="E6" s="35">
        <v>0</v>
      </c>
      <c r="F6" s="7"/>
      <c r="G6" s="2"/>
      <c r="H6" s="2"/>
    </row>
    <row r="7" spans="1:8" ht="17.75" x14ac:dyDescent="0.45">
      <c r="A7" s="2"/>
      <c r="B7" s="55" t="s">
        <v>6</v>
      </c>
      <c r="C7" s="55"/>
      <c r="D7" s="55"/>
      <c r="E7" s="35">
        <f>SUM(E4:E6)</f>
        <v>96100</v>
      </c>
      <c r="F7" s="7"/>
      <c r="G7" s="26"/>
      <c r="H7" s="2"/>
    </row>
    <row r="8" spans="1:8" ht="17.75" x14ac:dyDescent="0.45">
      <c r="A8" s="2"/>
      <c r="B8" s="56" t="s">
        <v>7</v>
      </c>
      <c r="C8" s="56"/>
      <c r="D8" s="56"/>
      <c r="E8" s="38">
        <f>+G26</f>
        <v>59980</v>
      </c>
      <c r="F8" s="7"/>
      <c r="G8" s="29" t="s">
        <v>8</v>
      </c>
      <c r="H8" s="36">
        <f>E7-E8</f>
        <v>36120</v>
      </c>
    </row>
    <row r="9" spans="1:8" ht="24.2" x14ac:dyDescent="0.6">
      <c r="A9" s="1"/>
      <c r="B9" s="1"/>
      <c r="C9" s="1"/>
      <c r="D9" s="1"/>
      <c r="E9" s="10"/>
      <c r="F9" s="11"/>
      <c r="G9" s="9"/>
      <c r="H9" s="1"/>
    </row>
    <row r="10" spans="1:8" ht="106.4" x14ac:dyDescent="0.3">
      <c r="A10" s="13" t="s">
        <v>9</v>
      </c>
      <c r="B10" s="14" t="s">
        <v>10</v>
      </c>
      <c r="C10" s="14" t="s">
        <v>11</v>
      </c>
      <c r="D10" s="14" t="s">
        <v>12</v>
      </c>
      <c r="E10" s="14" t="s">
        <v>13</v>
      </c>
      <c r="F10" s="30" t="s">
        <v>14</v>
      </c>
      <c r="G10" s="14" t="s">
        <v>15</v>
      </c>
      <c r="H10" s="34" t="s">
        <v>16</v>
      </c>
    </row>
    <row r="11" spans="1:8" ht="17.2" x14ac:dyDescent="0.45">
      <c r="A11" s="15">
        <v>1</v>
      </c>
      <c r="B11" s="39">
        <v>46118</v>
      </c>
      <c r="C11" s="39" t="s">
        <v>19</v>
      </c>
      <c r="D11" s="40">
        <v>24437</v>
      </c>
      <c r="E11" s="41" t="s">
        <v>78</v>
      </c>
      <c r="F11" s="42" t="s">
        <v>64</v>
      </c>
      <c r="G11" s="44">
        <v>7000</v>
      </c>
      <c r="H11" s="43"/>
    </row>
    <row r="12" spans="1:8" ht="17.2" x14ac:dyDescent="0.45">
      <c r="A12" s="15">
        <v>2</v>
      </c>
      <c r="B12" s="39">
        <v>46132</v>
      </c>
      <c r="C12" s="39" t="s">
        <v>19</v>
      </c>
      <c r="D12" s="40">
        <v>24585</v>
      </c>
      <c r="E12" s="41" t="s">
        <v>78</v>
      </c>
      <c r="F12" s="42" t="s">
        <v>64</v>
      </c>
      <c r="G12" s="44">
        <v>7000</v>
      </c>
      <c r="H12" s="43"/>
    </row>
    <row r="13" spans="1:8" ht="17.2" x14ac:dyDescent="0.45">
      <c r="A13" s="15">
        <v>3</v>
      </c>
      <c r="B13" s="39">
        <v>46133</v>
      </c>
      <c r="C13" s="39" t="s">
        <v>19</v>
      </c>
      <c r="D13" s="40">
        <v>42293</v>
      </c>
      <c r="E13" s="41" t="s">
        <v>122</v>
      </c>
      <c r="F13" s="42" t="s">
        <v>123</v>
      </c>
      <c r="G13" s="44">
        <v>25980</v>
      </c>
      <c r="H13" s="43"/>
    </row>
    <row r="14" spans="1:8" ht="17.2" x14ac:dyDescent="0.45">
      <c r="A14" s="15">
        <v>4</v>
      </c>
      <c r="B14" s="39">
        <v>46141</v>
      </c>
      <c r="C14" s="39" t="s">
        <v>19</v>
      </c>
      <c r="D14" s="40">
        <v>3890</v>
      </c>
      <c r="E14" s="41" t="s">
        <v>74</v>
      </c>
      <c r="F14" s="42" t="s">
        <v>57</v>
      </c>
      <c r="G14" s="44">
        <v>20000</v>
      </c>
      <c r="H14" s="43"/>
    </row>
    <row r="15" spans="1:8" ht="17.2" x14ac:dyDescent="0.45">
      <c r="A15" s="15">
        <v>5</v>
      </c>
      <c r="B15" s="39"/>
      <c r="C15" s="39"/>
      <c r="D15" s="40"/>
      <c r="E15" s="41"/>
      <c r="F15" s="42"/>
      <c r="G15" s="44"/>
      <c r="H15" s="43"/>
    </row>
    <row r="16" spans="1:8" ht="17.2" x14ac:dyDescent="0.45">
      <c r="A16" s="15">
        <v>6</v>
      </c>
      <c r="B16" s="39"/>
      <c r="C16" s="39"/>
      <c r="D16" s="40"/>
      <c r="E16" s="41"/>
      <c r="F16" s="42"/>
      <c r="G16" s="44"/>
      <c r="H16" s="43"/>
    </row>
    <row r="17" spans="1:8" ht="17.2" x14ac:dyDescent="0.45">
      <c r="A17" s="15">
        <v>7</v>
      </c>
      <c r="B17" s="39"/>
      <c r="C17" s="39"/>
      <c r="D17" s="40"/>
      <c r="E17" s="41"/>
      <c r="F17" s="42"/>
      <c r="G17" s="44"/>
      <c r="H17" s="43"/>
    </row>
    <row r="18" spans="1:8" ht="17.2" x14ac:dyDescent="0.45">
      <c r="A18" s="15">
        <v>8</v>
      </c>
      <c r="B18" s="39"/>
      <c r="C18" s="39"/>
      <c r="D18" s="40"/>
      <c r="E18" s="41"/>
      <c r="F18" s="42"/>
      <c r="G18" s="44"/>
      <c r="H18" s="43"/>
    </row>
    <row r="19" spans="1:8" ht="17.2" x14ac:dyDescent="0.45">
      <c r="A19" s="15">
        <v>9</v>
      </c>
      <c r="B19" s="39"/>
      <c r="C19" s="39"/>
      <c r="D19" s="40"/>
      <c r="E19" s="41"/>
      <c r="F19" s="42"/>
      <c r="G19" s="44"/>
      <c r="H19" s="43"/>
    </row>
    <row r="20" spans="1:8" ht="17.2" x14ac:dyDescent="0.45">
      <c r="A20" s="15">
        <v>10</v>
      </c>
      <c r="B20" s="39"/>
      <c r="C20" s="39"/>
      <c r="D20" s="40"/>
      <c r="E20" s="41"/>
      <c r="F20" s="42"/>
      <c r="G20" s="44"/>
      <c r="H20" s="43"/>
    </row>
    <row r="21" spans="1:8" ht="17.2" x14ac:dyDescent="0.45">
      <c r="A21" s="15">
        <v>11</v>
      </c>
      <c r="B21" s="39"/>
      <c r="C21" s="39"/>
      <c r="D21" s="40"/>
      <c r="E21" s="41"/>
      <c r="F21" s="42"/>
      <c r="G21" s="44"/>
      <c r="H21" s="43"/>
    </row>
    <row r="22" spans="1:8" ht="17.2" x14ac:dyDescent="0.45">
      <c r="A22" s="15">
        <v>12</v>
      </c>
      <c r="B22" s="39"/>
      <c r="C22" s="39"/>
      <c r="D22" s="40"/>
      <c r="E22" s="41"/>
      <c r="F22" s="42"/>
      <c r="G22" s="44"/>
      <c r="H22" s="43"/>
    </row>
    <row r="23" spans="1:8" ht="17.2" x14ac:dyDescent="0.45">
      <c r="A23" s="15">
        <v>13</v>
      </c>
      <c r="B23" s="39"/>
      <c r="C23" s="39"/>
      <c r="D23" s="40"/>
      <c r="E23" s="41"/>
      <c r="F23" s="42"/>
      <c r="G23" s="44"/>
      <c r="H23" s="43"/>
    </row>
    <row r="24" spans="1:8" ht="17.2" x14ac:dyDescent="0.45">
      <c r="A24" s="15">
        <v>14</v>
      </c>
      <c r="B24" s="39"/>
      <c r="C24" s="39"/>
      <c r="D24" s="40"/>
      <c r="E24" s="41"/>
      <c r="F24" s="42"/>
      <c r="G24" s="44"/>
      <c r="H24" s="43"/>
    </row>
    <row r="25" spans="1:8" ht="17.2" x14ac:dyDescent="0.45">
      <c r="A25" s="15">
        <v>15</v>
      </c>
      <c r="B25" s="39"/>
      <c r="C25" s="39"/>
      <c r="D25" s="40"/>
      <c r="E25" s="41"/>
      <c r="F25" s="42"/>
      <c r="G25" s="44"/>
      <c r="H25" s="43"/>
    </row>
    <row r="26" spans="1:8" ht="17.75" x14ac:dyDescent="0.45">
      <c r="A26" s="12"/>
      <c r="B26" s="16" t="s">
        <v>17</v>
      </c>
      <c r="C26" s="33"/>
      <c r="D26" s="17"/>
      <c r="E26" s="17"/>
      <c r="F26" s="17"/>
      <c r="G26" s="45">
        <f>SUM(G11:G25)</f>
        <v>59980</v>
      </c>
      <c r="H26" s="12"/>
    </row>
    <row r="27" spans="1:8" ht="17.75" x14ac:dyDescent="0.45">
      <c r="A27" s="12"/>
      <c r="B27" s="18"/>
      <c r="C27" s="18"/>
      <c r="D27" s="19"/>
      <c r="E27" s="19"/>
      <c r="F27" s="19"/>
      <c r="G27" s="20"/>
      <c r="H27" s="12"/>
    </row>
  </sheetData>
  <mergeCells count="6">
    <mergeCell ref="B8:D8"/>
    <mergeCell ref="C1:H1"/>
    <mergeCell ref="C2:H2"/>
    <mergeCell ref="B4:D4"/>
    <mergeCell ref="B6:D6"/>
    <mergeCell ref="B7:D7"/>
  </mergeCell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  <ESTADO xmlns="fa8ec313-c772-4af8-8363-8ff52de2e6b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727CEC-1910-4ECC-8040-43E0545BBBCA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sharepoint/v3"/>
    <ds:schemaRef ds:uri="6a7ff2fa-cd4c-4111-a6ab-75351164d87f"/>
    <ds:schemaRef ds:uri="fa8ec313-c772-4af8-8363-8ff52de2e6b8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6EC9CA4-5649-4B6A-B148-01A5C92634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F7AFD1-1D5B-46E4-BF07-8AB1BAC45F9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19</vt:i4>
      </vt:variant>
      <vt:variant>
        <vt:lpstr>Rangos con nombre</vt:lpstr>
      </vt:variant>
      <vt:variant>
        <vt:i4>3</vt:i4>
      </vt:variant>
    </vt:vector>
  </HeadingPairs>
  <TitlesOfParts>
    <vt:vector size="22" baseType="lpstr">
      <vt:lpstr>OCTUBRE</vt:lpstr>
      <vt:lpstr>NOVIEMBRE</vt:lpstr>
      <vt:lpstr>DICIEMBRE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OCTUBRE25</vt:lpstr>
      <vt:lpstr>NOVIEMBRE25</vt:lpstr>
      <vt:lpstr>DICIEMBRE25</vt:lpstr>
      <vt:lpstr>ENERO26</vt:lpstr>
      <vt:lpstr>FEBRERO26</vt:lpstr>
      <vt:lpstr>MARZO26</vt:lpstr>
      <vt:lpstr>ABRIL26</vt:lpstr>
      <vt:lpstr>DICIEMBRE!Área_de_impresión</vt:lpstr>
      <vt:lpstr>NOVIEMBRE!Área_de_impresión</vt:lpstr>
      <vt:lpstr>OCTUBRE!Área_de_impresión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Carolina Cabrera</dc:creator>
  <cp:keywords/>
  <dc:description/>
  <cp:lastModifiedBy>Carolina Cabrera</cp:lastModifiedBy>
  <cp:revision/>
  <dcterms:created xsi:type="dcterms:W3CDTF">2022-02-07T12:32:53Z</dcterms:created>
  <dcterms:modified xsi:type="dcterms:W3CDTF">2026-05-11T16:35:45Z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