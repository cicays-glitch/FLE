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costanera/"/>
    </mc:Choice>
  </mc:AlternateContent>
  <xr:revisionPtr revIDLastSave="2" documentId="11_77E0B76467119365B9FE94EC6A6245B4A7DA8DF1" xr6:coauthVersionLast="47" xr6:coauthVersionMax="47" xr10:uidLastSave="{DD9A63A8-CC8F-480C-BF5B-D07EA43829AE}"/>
  <bookViews>
    <workbookView xWindow="-107" yWindow="-107" windowWidth="20847" windowHeight="11111" firstSheet="1" activeTab="5" xr2:uid="{00000000-000D-0000-FFFF-FFFF00000000}"/>
  </bookViews>
  <sheets>
    <sheet name="historico" sheetId="10" state="hidden" r:id="rId1"/>
    <sheet name="DIC 25 " sheetId="16" r:id="rId2"/>
    <sheet name="ENE 2026" sheetId="17" r:id="rId3"/>
    <sheet name="FEB 2026" sheetId="18" r:id="rId4"/>
    <sheet name="MAR 2026" sheetId="19" r:id="rId5"/>
    <sheet name="ABR 2026" sheetId="20" r:id="rId6"/>
    <sheet name="MAY 2026" sheetId="21" r:id="rId7"/>
    <sheet name="JUN 2026" sheetId="22" r:id="rId8"/>
  </sheets>
  <definedNames>
    <definedName name="_xlnm.Print_Area" localSheetId="5">'ABR 2026'!$A$1:$H$21</definedName>
    <definedName name="_xlnm.Print_Area" localSheetId="1">'DIC 25 '!$A$1:$H$21</definedName>
    <definedName name="_xlnm.Print_Area" localSheetId="2">'ENE 2026'!$A$1:$H$21</definedName>
    <definedName name="_xlnm.Print_Area" localSheetId="3">'FEB 2026'!$A$1:$H$19</definedName>
    <definedName name="_xlnm.Print_Area" localSheetId="7">'JUN 2026'!$A$1:$H$21</definedName>
    <definedName name="_xlnm.Print_Area" localSheetId="4">'MAR 2026'!$A$1:$H$21</definedName>
    <definedName name="_xlnm.Print_Area" localSheetId="6">'MAY 2026'!$A$1:$H$21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2" l="1"/>
  <c r="E8" i="22" s="1"/>
  <c r="G20" i="21"/>
  <c r="E8" i="21" s="1"/>
  <c r="G20" i="20"/>
  <c r="E8" i="20" s="1"/>
  <c r="G20" i="19"/>
  <c r="E8" i="19" s="1"/>
  <c r="G18" i="18"/>
  <c r="E8" i="18"/>
  <c r="G20" i="17"/>
  <c r="E8" i="17" s="1"/>
  <c r="G20" i="16"/>
  <c r="E8" i="16" s="1"/>
  <c r="E7" i="16"/>
  <c r="H8" i="16" l="1"/>
  <c r="E4" i="17" s="1"/>
  <c r="E7" i="17" s="1"/>
  <c r="H8" i="17" s="1"/>
  <c r="E4" i="18" s="1"/>
  <c r="E7" i="18" s="1"/>
  <c r="H8" i="18" s="1"/>
  <c r="E4" i="19" s="1"/>
  <c r="E7" i="19" s="1"/>
  <c r="H8" i="19" s="1"/>
  <c r="E4" i="20" s="1"/>
  <c r="E7" i="20" s="1"/>
  <c r="H8" i="20" s="1"/>
  <c r="E4" i="21" s="1"/>
  <c r="E7" i="21" s="1"/>
  <c r="H8" i="21" s="1"/>
  <c r="E4" i="22" s="1"/>
  <c r="E7" i="22" s="1"/>
  <c r="H8" i="22" s="1"/>
  <c r="F35" i="10" l="1"/>
  <c r="C34" i="10"/>
  <c r="D34" i="10" s="1"/>
  <c r="D5" i="10"/>
  <c r="B20" i="10"/>
  <c r="E5" i="10"/>
  <c r="D12" i="10"/>
  <c r="D11" i="10"/>
  <c r="D10" i="10"/>
  <c r="D9" i="10"/>
  <c r="D8" i="10"/>
  <c r="D7" i="10"/>
  <c r="D6" i="10"/>
  <c r="C11" i="10"/>
  <c r="B10" i="10"/>
  <c r="C6" i="10"/>
  <c r="E6" i="10" l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3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sharedStrings.xml><?xml version="1.0" encoding="utf-8"?>
<sst xmlns="http://schemas.openxmlformats.org/spreadsheetml/2006/main" count="234" uniqueCount="50">
  <si>
    <t xml:space="preserve">RENDICION CAJA CHICA  </t>
  </si>
  <si>
    <t>COSTANERA CENTER</t>
  </si>
  <si>
    <t>MES</t>
  </si>
  <si>
    <t>NOVIEMBRE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</si>
  <si>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</si>
  <si>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</si>
  <si>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</si>
  <si>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</si>
  <si>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</si>
  <si>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</si>
  <si>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</si>
  <si>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</si>
  <si>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</si>
  <si>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</si>
  <si>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</si>
  <si>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</si>
  <si>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</si>
  <si>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170</t>
  </si>
  <si>
    <t>TOTALES</t>
  </si>
  <si>
    <t>OCTUBRE</t>
  </si>
  <si>
    <t>77.093.957-7</t>
  </si>
  <si>
    <t>DICIEMBRE</t>
  </si>
  <si>
    <t>ENERO</t>
  </si>
  <si>
    <t>81.201.000-k</t>
  </si>
  <si>
    <t>RESPONSABLE FONDO FIJO</t>
  </si>
  <si>
    <t>Maria Fernanda Pérez</t>
  </si>
  <si>
    <t>FEBRERO</t>
  </si>
  <si>
    <t>MARZO</t>
  </si>
  <si>
    <t>ABRIL</t>
  </si>
  <si>
    <t>MAYO</t>
  </si>
  <si>
    <t>JUNIO</t>
  </si>
  <si>
    <t>SALDOS MES</t>
  </si>
  <si>
    <t>JULIO</t>
  </si>
  <si>
    <t>AGOSTO</t>
  </si>
  <si>
    <t>SEPTIEMBRE</t>
  </si>
  <si>
    <t>DEBITO/PAGO RAUL</t>
  </si>
  <si>
    <t>CREDITOS/REND LOCAL</t>
  </si>
  <si>
    <t>ACUMULADO</t>
  </si>
  <si>
    <t>BOLETA DE VENTA</t>
  </si>
  <si>
    <t>RECARGA AGUA</t>
  </si>
  <si>
    <t>5.666.822-5</t>
  </si>
  <si>
    <t>LIMPIEZA DE FACHADA Y SALÓN DE VENTAS</t>
  </si>
  <si>
    <t>boleta venta</t>
  </si>
  <si>
    <t>INSUMOS REUNIÓN INICIO AÑO</t>
  </si>
  <si>
    <t>76.847.631-4</t>
  </si>
  <si>
    <t>BOLETA</t>
  </si>
  <si>
    <t>76.568.660-1</t>
  </si>
  <si>
    <t>SILLA (CAJA REGISTRADORA)</t>
  </si>
  <si>
    <t>77.093.957-8</t>
  </si>
  <si>
    <t>RAFIA OVILLO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</si>
</sst>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i/>
      <sz val="12"/>
      <name val="Segoe UI"/>
      <family val="2"/>
      <charset val="1"/>
    </font>
    <font>
      <b/>
      <i/>
      <sz val="10"/>
      <name val="Segoe UI"/>
      <family val="2"/>
    </font>
    <font>
      <b/>
      <i/>
      <sz val="12"/>
      <name val="Segoe UI"/>
      <family val="2"/>
      <charset val="1"/>
    </font>
    <font>
      <b/>
      <i/>
      <sz val="12"/>
      <color rgb="FF0070C0"/>
      <name val="Segoe UI"/>
      <family val="2"/>
      <charset val="1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  <charset val="1"/>
    </font>
    <font>
      <b/>
      <i/>
      <sz val="11"/>
      <color rgb="FFFF0000"/>
      <name val="Segoe UI"/>
      <family val="2"/>
    </font>
    <font>
      <i/>
      <sz val="16"/>
      <name val="Segoe UI"/>
      <family val="2"/>
      <charset val="1"/>
    </font>
    <font>
      <b/>
      <i/>
      <sz val="10"/>
      <name val="Segoe UI"/>
      <family val="2"/>
      <charset val="1"/>
    </font>
    <font>
      <sz val="12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9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i/>
      <sz val="12"/>
      <color rgb="FF0070C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49" fontId="2" fillId="2" borderId="0" xfId="0" applyNumberFormat="1" applyFont="1" applyFill="1"/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right" vertical="center"/>
    </xf>
    <xf numFmtId="165" fontId="11" fillId="2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165" fontId="13" fillId="2" borderId="1" xfId="1" applyNumberFormat="1" applyFont="1" applyFill="1" applyBorder="1" applyAlignment="1">
      <alignment horizontal="center" vertical="center"/>
    </xf>
    <xf numFmtId="0" fontId="14" fillId="2" borderId="0" xfId="0" applyFont="1" applyFill="1"/>
    <xf numFmtId="1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1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 wrapText="1"/>
    </xf>
    <xf numFmtId="0" fontId="15" fillId="2" borderId="0" xfId="0" applyFont="1" applyFill="1"/>
    <xf numFmtId="14" fontId="16" fillId="2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17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vertical="center"/>
    </xf>
    <xf numFmtId="3" fontId="17" fillId="2" borderId="3" xfId="0" applyNumberFormat="1" applyFont="1" applyFill="1" applyBorder="1" applyAlignment="1">
      <alignment horizontal="center" wrapText="1"/>
    </xf>
    <xf numFmtId="166" fontId="17" fillId="2" borderId="2" xfId="1" applyNumberFormat="1" applyFont="1" applyFill="1" applyBorder="1" applyAlignment="1">
      <alignment horizontal="right"/>
    </xf>
    <xf numFmtId="0" fontId="17" fillId="3" borderId="2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wrapText="1"/>
    </xf>
    <xf numFmtId="0" fontId="9" fillId="2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166" fontId="18" fillId="2" borderId="2" xfId="1" applyNumberFormat="1" applyFont="1" applyFill="1" applyBorder="1" applyAlignment="1">
      <alignment horizontal="right"/>
    </xf>
    <xf numFmtId="0" fontId="9" fillId="2" borderId="6" xfId="0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3" fontId="9" fillId="2" borderId="6" xfId="0" applyNumberFormat="1" applyFont="1" applyFill="1" applyBorder="1"/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9" fillId="2" borderId="0" xfId="0" applyNumberFormat="1" applyFont="1" applyFill="1"/>
    <xf numFmtId="0" fontId="9" fillId="2" borderId="0" xfId="0" applyFont="1" applyFill="1"/>
    <xf numFmtId="0" fontId="15" fillId="2" borderId="0" xfId="0" applyFont="1" applyFill="1" applyAlignment="1">
      <alignment horizontal="center"/>
    </xf>
    <xf numFmtId="0" fontId="19" fillId="2" borderId="0" xfId="0" applyFont="1" applyFill="1"/>
    <xf numFmtId="3" fontId="2" fillId="2" borderId="0" xfId="0" applyNumberFormat="1" applyFont="1" applyFill="1"/>
    <xf numFmtId="14" fontId="17" fillId="2" borderId="4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5" fontId="8" fillId="4" borderId="1" xfId="1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/>
    </xf>
    <xf numFmtId="41" fontId="0" fillId="0" borderId="0" xfId="2" applyFont="1"/>
    <xf numFmtId="0" fontId="23" fillId="0" borderId="2" xfId="0" applyFont="1" applyBorder="1"/>
    <xf numFmtId="3" fontId="0" fillId="0" borderId="0" xfId="0" applyNumberFormat="1"/>
    <xf numFmtId="41" fontId="0" fillId="0" borderId="0" xfId="0" applyNumberFormat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3" fontId="0" fillId="9" borderId="0" xfId="0" applyNumberForma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3" fontId="0" fillId="13" borderId="0" xfId="0" applyNumberFormat="1" applyFill="1"/>
    <xf numFmtId="3" fontId="25" fillId="0" borderId="0" xfId="0" applyNumberFormat="1" applyFont="1"/>
    <xf numFmtId="0" fontId="24" fillId="0" borderId="0" xfId="0" applyFont="1"/>
    <xf numFmtId="3" fontId="24" fillId="0" borderId="0" xfId="0" applyNumberFormat="1" applyFont="1"/>
    <xf numFmtId="41" fontId="22" fillId="0" borderId="0" xfId="2" applyFont="1"/>
    <xf numFmtId="0" fontId="17" fillId="2" borderId="2" xfId="0" applyFont="1" applyFill="1" applyBorder="1" applyAlignment="1">
      <alignment horizontal="center" wrapText="1"/>
    </xf>
    <xf numFmtId="14" fontId="16" fillId="2" borderId="2" xfId="0" applyNumberFormat="1" applyFont="1" applyFill="1" applyBorder="1" applyAlignment="1">
      <alignment horizontal="left"/>
    </xf>
    <xf numFmtId="0" fontId="26" fillId="0" borderId="0" xfId="0" applyFont="1"/>
    <xf numFmtId="49" fontId="27" fillId="2" borderId="1" xfId="0" applyNumberFormat="1" applyFont="1" applyFill="1" applyBorder="1" applyAlignment="1">
      <alignment horizontal="center" vertical="center"/>
    </xf>
    <xf numFmtId="14" fontId="16" fillId="2" borderId="4" xfId="0" applyNumberFormat="1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24</xdr:row>
      <xdr:rowOff>38100</xdr:rowOff>
    </xdr:from>
    <xdr:to>
      <xdr:col>13</xdr:col>
      <xdr:colOff>619953</xdr:colOff>
      <xdr:row>45</xdr:row>
      <xdr:rowOff>48185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E0531-4B48-9795-AD53-38EF323F6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610100"/>
          <a:ext cx="5934903" cy="4010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D2DD7D-2A74-41C1-9E99-6D16B247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16</xdr:col>
      <xdr:colOff>92335</xdr:colOff>
      <xdr:row>5</xdr:row>
      <xdr:rowOff>29748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76D16-E22E-115D-2C88-37A4C6948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1104" y="1561910"/>
          <a:ext cx="8916644" cy="257211"/>
        </a:xfrm>
        <a:prstGeom prst="rect">
          <a:avLst/>
        </a:prstGeom>
      </xdr:spPr>
    </xdr:pic>
    <xdr:clientData/>
  </xdr:twoCellAnchor>
  <xdr:twoCellAnchor editAs="oneCell">
    <xdr:from>
      <xdr:col>8</xdr:col>
      <xdr:colOff>187655</xdr:colOff>
      <xdr:row>6</xdr:row>
      <xdr:rowOff>127515</xdr:rowOff>
    </xdr:from>
    <xdr:to>
      <xdr:col>14</xdr:col>
      <xdr:colOff>697736</xdr:colOff>
      <xdr:row>9</xdr:row>
      <xdr:rowOff>248716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4CCEFB-817B-18BB-D47E-EC5B5420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1103" y="2123500"/>
          <a:ext cx="5167379" cy="871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FF28F8-025F-48EA-B365-9FA0AF55A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2ED966-78C0-45A7-AB70-FB2F63FE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640AF2-D36C-4FD0-B91C-4FB5FEFC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18</xdr:col>
      <xdr:colOff>558904</xdr:colOff>
      <xdr:row>9</xdr:row>
      <xdr:rowOff>990020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60F24-1526-A17A-D3BD-F51B7495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6141" y="1774209"/>
          <a:ext cx="7544853" cy="1962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77F08E-8032-47B5-B5A4-1831FD03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8728D9-C65B-45C6-86D9-E58C57F29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opLeftCell="A25" workbookViewId="0">
      <selection activeCell="E44" sqref="E44"/>
    </sheetView>
  </sheetViews>
  <sheetFormatPr baseColWidth="10" defaultRowHeight="14" x14ac:dyDescent="0.3"/>
  <cols>
    <col min="2" max="2" width="18.69921875" bestFit="1" customWidth="1"/>
    <col min="3" max="3" width="21.59765625" bestFit="1" customWidth="1"/>
    <col min="6" max="6" width="11.3984375" style="69"/>
  </cols>
  <sheetData>
    <row r="1" spans="1:6" x14ac:dyDescent="0.3">
      <c r="A1">
        <v>2022</v>
      </c>
      <c r="E1">
        <v>2740</v>
      </c>
      <c r="F1" s="69">
        <v>2740</v>
      </c>
    </row>
    <row r="2" spans="1:6" x14ac:dyDescent="0.3">
      <c r="A2">
        <v>2023</v>
      </c>
    </row>
    <row r="3" spans="1:6" x14ac:dyDescent="0.3">
      <c r="A3" s="56" t="s">
        <v>2</v>
      </c>
      <c r="B3" s="56" t="s">
        <v>35</v>
      </c>
      <c r="C3" s="56" t="s">
        <v>36</v>
      </c>
      <c r="D3" s="56" t="s">
        <v>31</v>
      </c>
      <c r="E3" s="56" t="s">
        <v>37</v>
      </c>
    </row>
    <row r="5" spans="1:6" x14ac:dyDescent="0.3">
      <c r="A5" t="s">
        <v>22</v>
      </c>
      <c r="B5" s="59">
        <v>97260</v>
      </c>
      <c r="C5" s="59">
        <v>97260</v>
      </c>
      <c r="D5">
        <f>+B5-C5</f>
        <v>0</v>
      </c>
      <c r="E5" s="55">
        <f>E1+B5-C5</f>
        <v>2740</v>
      </c>
    </row>
    <row r="6" spans="1:6" x14ac:dyDescent="0.3">
      <c r="A6" t="s">
        <v>26</v>
      </c>
      <c r="B6" s="60">
        <v>96190</v>
      </c>
      <c r="C6" s="60">
        <f>96190+86570</f>
        <v>182760</v>
      </c>
      <c r="D6">
        <f t="shared" ref="D6:D12" si="0">+B6-C6</f>
        <v>-86570</v>
      </c>
      <c r="E6" s="58">
        <f>E5+B6-C6</f>
        <v>-83830</v>
      </c>
    </row>
    <row r="7" spans="1:6" x14ac:dyDescent="0.3">
      <c r="A7" t="s">
        <v>27</v>
      </c>
      <c r="B7" s="60">
        <v>86570</v>
      </c>
      <c r="C7">
        <v>99500</v>
      </c>
      <c r="D7">
        <f t="shared" si="0"/>
        <v>-12930</v>
      </c>
      <c r="E7" s="58">
        <f>E6+B7-C7</f>
        <v>-96760</v>
      </c>
      <c r="F7" s="69">
        <v>-99500</v>
      </c>
    </row>
    <row r="8" spans="1:6" x14ac:dyDescent="0.3">
      <c r="A8" t="s">
        <v>28</v>
      </c>
      <c r="B8" s="61">
        <v>94630</v>
      </c>
      <c r="C8" s="61">
        <v>94630</v>
      </c>
      <c r="D8">
        <f t="shared" si="0"/>
        <v>0</v>
      </c>
      <c r="E8" s="58">
        <f t="shared" ref="E8:E16" si="1">E7+B8-C8</f>
        <v>-96760</v>
      </c>
    </row>
    <row r="9" spans="1:6" x14ac:dyDescent="0.3">
      <c r="A9" t="s">
        <v>29</v>
      </c>
      <c r="B9">
        <v>0</v>
      </c>
      <c r="C9" s="62">
        <v>87540</v>
      </c>
      <c r="D9">
        <f t="shared" si="0"/>
        <v>-87540</v>
      </c>
      <c r="E9" s="58">
        <f t="shared" si="1"/>
        <v>-184300</v>
      </c>
    </row>
    <row r="10" spans="1:6" x14ac:dyDescent="0.3">
      <c r="A10" t="s">
        <v>30</v>
      </c>
      <c r="B10" s="62">
        <f>87540+93730</f>
        <v>181270</v>
      </c>
      <c r="C10" s="62">
        <v>93730</v>
      </c>
      <c r="D10">
        <f t="shared" si="0"/>
        <v>87540</v>
      </c>
      <c r="E10" s="58">
        <f t="shared" si="1"/>
        <v>-96760</v>
      </c>
      <c r="F10" s="69">
        <v>-87540</v>
      </c>
    </row>
    <row r="11" spans="1:6" x14ac:dyDescent="0.3">
      <c r="A11" t="s">
        <v>32</v>
      </c>
      <c r="B11">
        <v>0</v>
      </c>
      <c r="C11" s="57">
        <f>76510+66715</f>
        <v>143225</v>
      </c>
      <c r="D11">
        <f t="shared" si="0"/>
        <v>-143225</v>
      </c>
      <c r="E11" s="58">
        <f t="shared" si="1"/>
        <v>-239985</v>
      </c>
      <c r="F11" s="69">
        <v>181270</v>
      </c>
    </row>
    <row r="12" spans="1:6" x14ac:dyDescent="0.3">
      <c r="A12" t="s">
        <v>33</v>
      </c>
      <c r="B12" s="57">
        <v>66715</v>
      </c>
      <c r="C12" s="57">
        <v>112980</v>
      </c>
      <c r="D12">
        <f t="shared" si="0"/>
        <v>-46265</v>
      </c>
      <c r="E12" s="58">
        <f t="shared" si="1"/>
        <v>-286250</v>
      </c>
      <c r="F12" s="69">
        <v>-93730</v>
      </c>
    </row>
    <row r="13" spans="1:6" x14ac:dyDescent="0.3">
      <c r="A13" t="s">
        <v>34</v>
      </c>
      <c r="B13" s="57">
        <v>276527</v>
      </c>
      <c r="C13" s="57">
        <v>83547</v>
      </c>
      <c r="D13" s="57">
        <v>192980</v>
      </c>
      <c r="E13" s="58">
        <f t="shared" si="1"/>
        <v>-93270</v>
      </c>
      <c r="F13" s="70">
        <v>-143225</v>
      </c>
    </row>
    <row r="14" spans="1:6" x14ac:dyDescent="0.3">
      <c r="A14" t="s">
        <v>19</v>
      </c>
      <c r="B14" s="57">
        <v>183927</v>
      </c>
      <c r="C14" s="63">
        <v>91066</v>
      </c>
      <c r="D14" s="57">
        <v>92861</v>
      </c>
      <c r="E14" s="58">
        <f t="shared" si="1"/>
        <v>-409</v>
      </c>
      <c r="F14" s="69">
        <v>66715</v>
      </c>
    </row>
    <row r="15" spans="1:6" x14ac:dyDescent="0.3">
      <c r="A15" t="s">
        <v>3</v>
      </c>
      <c r="B15" s="63">
        <v>91066</v>
      </c>
      <c r="C15" s="64">
        <v>97878</v>
      </c>
      <c r="D15" s="57">
        <v>-6812</v>
      </c>
      <c r="E15" s="58">
        <f t="shared" si="1"/>
        <v>-7221</v>
      </c>
      <c r="F15" s="69">
        <v>-112980</v>
      </c>
    </row>
    <row r="16" spans="1:6" x14ac:dyDescent="0.3">
      <c r="A16" t="s">
        <v>21</v>
      </c>
      <c r="B16" s="64">
        <v>97878</v>
      </c>
      <c r="C16" s="67">
        <v>65443</v>
      </c>
      <c r="D16" s="57">
        <v>32435</v>
      </c>
      <c r="E16" s="58">
        <f t="shared" si="1"/>
        <v>25214</v>
      </c>
      <c r="F16" s="69">
        <v>276527</v>
      </c>
    </row>
    <row r="17" spans="1:6" x14ac:dyDescent="0.3">
      <c r="A17">
        <v>2024</v>
      </c>
      <c r="F17" s="69">
        <v>-83547</v>
      </c>
    </row>
    <row r="18" spans="1:6" x14ac:dyDescent="0.3">
      <c r="A18" s="56" t="s">
        <v>2</v>
      </c>
      <c r="B18" s="56" t="s">
        <v>35</v>
      </c>
      <c r="C18" s="56" t="s">
        <v>36</v>
      </c>
      <c r="D18" s="56" t="s">
        <v>31</v>
      </c>
      <c r="E18" s="56" t="s">
        <v>37</v>
      </c>
      <c r="F18" s="69">
        <v>183927</v>
      </c>
    </row>
    <row r="20" spans="1:6" x14ac:dyDescent="0.3">
      <c r="A20" t="s">
        <v>22</v>
      </c>
      <c r="B20" s="67">
        <f>90657-25214</f>
        <v>65443</v>
      </c>
      <c r="C20" s="64">
        <v>75606</v>
      </c>
      <c r="D20" s="57">
        <v>15051</v>
      </c>
      <c r="E20" s="57">
        <v>15051</v>
      </c>
    </row>
    <row r="21" spans="1:6" x14ac:dyDescent="0.3">
      <c r="A21" t="s">
        <v>26</v>
      </c>
      <c r="B21" s="64">
        <v>75606</v>
      </c>
      <c r="C21">
        <v>0</v>
      </c>
      <c r="D21" s="57">
        <v>75606</v>
      </c>
      <c r="E21" s="57">
        <v>90657</v>
      </c>
    </row>
    <row r="22" spans="1:6" x14ac:dyDescent="0.3">
      <c r="A22" t="s">
        <v>27</v>
      </c>
      <c r="B22" s="57">
        <v>38000</v>
      </c>
      <c r="C22" s="65">
        <v>67057</v>
      </c>
      <c r="D22" s="57">
        <v>-29057</v>
      </c>
      <c r="E22" s="57">
        <v>61600</v>
      </c>
      <c r="F22" s="70"/>
    </row>
    <row r="23" spans="1:6" x14ac:dyDescent="0.3">
      <c r="A23" t="s">
        <v>28</v>
      </c>
      <c r="B23" s="65">
        <v>148301</v>
      </c>
      <c r="C23" s="65">
        <v>81244</v>
      </c>
      <c r="D23" s="57">
        <v>67057</v>
      </c>
      <c r="E23" s="57">
        <v>128657</v>
      </c>
      <c r="F23" s="69">
        <v>-65443</v>
      </c>
    </row>
    <row r="24" spans="1:6" x14ac:dyDescent="0.3">
      <c r="A24" t="s">
        <v>29</v>
      </c>
      <c r="B24" s="57">
        <v>105232</v>
      </c>
      <c r="C24">
        <v>0</v>
      </c>
      <c r="D24" s="57">
        <v>105232</v>
      </c>
      <c r="E24" s="57">
        <v>233889</v>
      </c>
      <c r="F24" s="70">
        <v>38000</v>
      </c>
    </row>
    <row r="25" spans="1:6" x14ac:dyDescent="0.3">
      <c r="A25" t="s">
        <v>30</v>
      </c>
      <c r="B25" s="57">
        <v>93908</v>
      </c>
      <c r="C25" s="57">
        <v>291587</v>
      </c>
      <c r="D25" s="57">
        <v>-197679</v>
      </c>
      <c r="E25" s="57">
        <v>36210</v>
      </c>
      <c r="F25" s="70">
        <v>105232</v>
      </c>
    </row>
    <row r="26" spans="1:6" x14ac:dyDescent="0.3">
      <c r="A26" t="s">
        <v>32</v>
      </c>
      <c r="B26">
        <v>0</v>
      </c>
      <c r="C26" s="66">
        <v>42070</v>
      </c>
      <c r="D26" s="57">
        <v>-42070</v>
      </c>
      <c r="E26" s="57">
        <v>-5860</v>
      </c>
      <c r="F26" s="70">
        <v>93908</v>
      </c>
    </row>
    <row r="27" spans="1:6" x14ac:dyDescent="0.3">
      <c r="A27" t="s">
        <v>33</v>
      </c>
      <c r="B27" s="66">
        <v>42070</v>
      </c>
      <c r="C27" s="66">
        <v>50370</v>
      </c>
      <c r="D27" s="57">
        <v>-8300</v>
      </c>
      <c r="E27" s="57">
        <v>-14160</v>
      </c>
      <c r="F27" s="70">
        <v>-291587</v>
      </c>
    </row>
    <row r="28" spans="1:6" x14ac:dyDescent="0.3">
      <c r="A28" t="s">
        <v>34</v>
      </c>
      <c r="B28" s="66">
        <v>50370</v>
      </c>
      <c r="C28" s="57">
        <v>125525</v>
      </c>
      <c r="D28" s="57">
        <v>-75155</v>
      </c>
      <c r="E28" s="68">
        <v>-89315</v>
      </c>
      <c r="F28" s="70">
        <v>-125525</v>
      </c>
    </row>
    <row r="29" spans="1:6" x14ac:dyDescent="0.3">
      <c r="A29" t="s">
        <v>19</v>
      </c>
      <c r="B29" s="57">
        <v>75545</v>
      </c>
      <c r="C29" s="66">
        <v>44000</v>
      </c>
      <c r="D29" s="57">
        <v>31545</v>
      </c>
      <c r="E29" s="68">
        <v>-57770</v>
      </c>
      <c r="F29" s="70">
        <v>75545</v>
      </c>
    </row>
    <row r="30" spans="1:6" x14ac:dyDescent="0.3">
      <c r="A30" t="s">
        <v>3</v>
      </c>
      <c r="B30" s="66">
        <v>44000</v>
      </c>
      <c r="C30" s="57">
        <v>23115</v>
      </c>
      <c r="D30" s="57">
        <v>20885</v>
      </c>
      <c r="E30" s="68">
        <v>-36885</v>
      </c>
      <c r="F30" s="70">
        <v>73095</v>
      </c>
    </row>
    <row r="31" spans="1:6" x14ac:dyDescent="0.3">
      <c r="A31" t="s">
        <v>21</v>
      </c>
      <c r="B31" s="57">
        <v>73095</v>
      </c>
      <c r="C31" s="57">
        <v>45868</v>
      </c>
      <c r="D31" s="57">
        <v>27227</v>
      </c>
      <c r="E31" s="57">
        <v>-9658</v>
      </c>
      <c r="F31" s="70">
        <v>-23115</v>
      </c>
    </row>
    <row r="32" spans="1:6" x14ac:dyDescent="0.3">
      <c r="A32">
        <v>2025</v>
      </c>
      <c r="F32" s="70">
        <v>-27240</v>
      </c>
    </row>
    <row r="33" spans="1:6" x14ac:dyDescent="0.3">
      <c r="A33" s="56" t="s">
        <v>2</v>
      </c>
      <c r="B33" s="56" t="s">
        <v>35</v>
      </c>
      <c r="C33" s="56" t="s">
        <v>36</v>
      </c>
      <c r="D33" s="56" t="s">
        <v>31</v>
      </c>
      <c r="E33" s="56" t="s">
        <v>37</v>
      </c>
      <c r="F33" s="70"/>
    </row>
    <row r="34" spans="1:6" x14ac:dyDescent="0.3">
      <c r="A34" t="s">
        <v>22</v>
      </c>
      <c r="B34" s="57">
        <v>45868</v>
      </c>
      <c r="C34" s="57">
        <f>36898-9658</f>
        <v>27240</v>
      </c>
      <c r="D34" s="57">
        <f>+B34-C34</f>
        <v>18628</v>
      </c>
      <c r="E34" s="57">
        <f>+E31+B34-C34</f>
        <v>8970</v>
      </c>
    </row>
    <row r="35" spans="1:6" x14ac:dyDescent="0.3">
      <c r="A35" t="s">
        <v>26</v>
      </c>
      <c r="F35" s="71">
        <f>SUM(F1:F32)</f>
        <v>-56473</v>
      </c>
    </row>
    <row r="36" spans="1:6" x14ac:dyDescent="0.3">
      <c r="A36" t="s">
        <v>27</v>
      </c>
    </row>
    <row r="37" spans="1:6" x14ac:dyDescent="0.3">
      <c r="A37" t="s">
        <v>28</v>
      </c>
    </row>
    <row r="38" spans="1:6" x14ac:dyDescent="0.3">
      <c r="A38" t="s">
        <v>29</v>
      </c>
    </row>
    <row r="39" spans="1:6" x14ac:dyDescent="0.3">
      <c r="A39" t="s">
        <v>30</v>
      </c>
    </row>
    <row r="40" spans="1:6" x14ac:dyDescent="0.3">
      <c r="A40" t="s">
        <v>32</v>
      </c>
    </row>
    <row r="41" spans="1:6" x14ac:dyDescent="0.3">
      <c r="A41" t="s">
        <v>33</v>
      </c>
    </row>
    <row r="42" spans="1:6" x14ac:dyDescent="0.3">
      <c r="A42" t="s">
        <v>34</v>
      </c>
    </row>
    <row r="43" spans="1:6" x14ac:dyDescent="0.3">
      <c r="A43" t="s">
        <v>19</v>
      </c>
    </row>
    <row r="44" spans="1:6" x14ac:dyDescent="0.3">
      <c r="A44" t="s">
        <v>3</v>
      </c>
    </row>
    <row r="45" spans="1:6" x14ac:dyDescent="0.3">
      <c r="A45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zoomScale="90" zoomScaleNormal="90" workbookViewId="0">
      <selection activeCell="F19" sqref="F19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" t="s">
        <v>21</v>
      </c>
    </row>
    <row r="4" spans="1:15" ht="17.75" x14ac:dyDescent="0.45">
      <c r="B4" s="78" t="s">
        <v>4</v>
      </c>
      <c r="C4" s="78"/>
      <c r="D4" s="78"/>
      <c r="E4" s="50">
        <v>12010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87990</v>
      </c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100000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47000</v>
      </c>
      <c r="F8" s="9"/>
      <c r="G8" s="14" t="s">
        <v>9</v>
      </c>
      <c r="H8" s="15">
        <f>E7-E8</f>
        <v>53000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46000</v>
      </c>
      <c r="C11" s="48" t="s">
        <v>38</v>
      </c>
      <c r="D11" s="72">
        <v>1393</v>
      </c>
      <c r="E11" s="49" t="s">
        <v>40</v>
      </c>
      <c r="F11" s="30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7" customHeight="1" x14ac:dyDescent="0.45">
      <c r="A12" s="20">
        <v>2</v>
      </c>
      <c r="B12" s="54">
        <v>46003</v>
      </c>
      <c r="C12" s="48" t="s">
        <v>38</v>
      </c>
      <c r="D12" s="72">
        <v>23255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47000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 t="s">
        <v>25</v>
      </c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zoomScale="80" zoomScaleNormal="80" workbookViewId="0">
      <selection activeCell="E8" sqref="E8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22.8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22</v>
      </c>
    </row>
    <row r="4" spans="1:15" ht="17.75" x14ac:dyDescent="0.45">
      <c r="B4" s="78" t="s">
        <v>4</v>
      </c>
      <c r="C4" s="78"/>
      <c r="D4" s="78"/>
      <c r="E4" s="50">
        <f>+'DIC 25 '!H8</f>
        <v>53000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47000</v>
      </c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100000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108130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46043</v>
      </c>
      <c r="C11" s="48" t="s">
        <v>42</v>
      </c>
      <c r="D11" s="72">
        <v>1423</v>
      </c>
      <c r="E11" s="49" t="s">
        <v>40</v>
      </c>
      <c r="F11" s="74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7" customHeight="1" x14ac:dyDescent="0.45">
      <c r="A12" s="20">
        <v>2</v>
      </c>
      <c r="B12" s="54">
        <v>46034</v>
      </c>
      <c r="C12" s="48" t="s">
        <v>42</v>
      </c>
      <c r="D12" s="72">
        <v>23562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>
        <v>46032</v>
      </c>
      <c r="C13" s="48" t="s">
        <v>42</v>
      </c>
      <c r="D13" s="72">
        <v>3275696374</v>
      </c>
      <c r="E13" s="49" t="s">
        <v>23</v>
      </c>
      <c r="F13" s="30" t="s">
        <v>43</v>
      </c>
      <c r="G13" s="31">
        <v>40140</v>
      </c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>
        <v>46032</v>
      </c>
      <c r="C14" s="48" t="s">
        <v>42</v>
      </c>
      <c r="D14" s="72">
        <v>25004</v>
      </c>
      <c r="E14" s="49" t="s">
        <v>44</v>
      </c>
      <c r="F14" s="30" t="s">
        <v>43</v>
      </c>
      <c r="G14" s="31">
        <v>20990</v>
      </c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108130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/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zoomScale="80" zoomScaleNormal="80" workbookViewId="0">
      <selection activeCell="B12" sqref="B12:F12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22.0976562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26</v>
      </c>
    </row>
    <row r="4" spans="1:15" ht="17.75" x14ac:dyDescent="0.45">
      <c r="B4" s="78" t="s">
        <v>4</v>
      </c>
      <c r="C4" s="78"/>
      <c r="D4" s="78"/>
      <c r="E4" s="50">
        <f>+'ENE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0</v>
      </c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-8130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+G18</f>
        <v>96990</v>
      </c>
      <c r="F8" s="9"/>
      <c r="G8" s="14" t="s">
        <v>9</v>
      </c>
      <c r="H8" s="15">
        <f>E7-E8</f>
        <v>-105120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76">
        <v>46059</v>
      </c>
      <c r="C11" s="48" t="s">
        <v>45</v>
      </c>
      <c r="D11" s="72">
        <v>1444</v>
      </c>
      <c r="E11" s="49" t="s">
        <v>40</v>
      </c>
      <c r="F11" s="74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ht="27.8" customHeight="1" x14ac:dyDescent="0.45">
      <c r="A12" s="20">
        <v>2</v>
      </c>
      <c r="B12" s="76">
        <v>46073</v>
      </c>
      <c r="C12" s="48" t="s">
        <v>45</v>
      </c>
      <c r="D12" s="72">
        <v>24001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27">
        <v>46078</v>
      </c>
      <c r="C13" s="48" t="s">
        <v>45</v>
      </c>
      <c r="D13" s="28">
        <v>250281629</v>
      </c>
      <c r="E13" s="49" t="s">
        <v>46</v>
      </c>
      <c r="F13" s="30" t="s">
        <v>47</v>
      </c>
      <c r="G13" s="31">
        <v>49990</v>
      </c>
      <c r="H13" s="32"/>
      <c r="I13" s="24"/>
      <c r="J13" s="24"/>
      <c r="K13" s="24"/>
      <c r="L13" s="24"/>
      <c r="M13" s="24"/>
      <c r="N13" s="24"/>
      <c r="O13" s="24"/>
    </row>
    <row r="14" spans="1:15" ht="17.2" x14ac:dyDescent="0.45">
      <c r="A14" s="20">
        <v>4</v>
      </c>
      <c r="B14" s="27"/>
      <c r="C14" s="27"/>
      <c r="D14" s="28"/>
      <c r="E14" s="2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20.3" customHeight="1" x14ac:dyDescent="0.45">
      <c r="A15" s="20">
        <v>5</v>
      </c>
      <c r="B15" s="27"/>
      <c r="C15" s="27"/>
      <c r="D15" s="28"/>
      <c r="E15" s="2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6</v>
      </c>
      <c r="B16" s="27"/>
      <c r="C16" s="27"/>
      <c r="D16" s="28"/>
      <c r="E16" s="29"/>
      <c r="F16" s="33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17.2" x14ac:dyDescent="0.45">
      <c r="A17" s="20">
        <v>7</v>
      </c>
      <c r="B17" s="27"/>
      <c r="C17" s="27"/>
      <c r="D17" s="28"/>
      <c r="E17" s="29"/>
      <c r="F17" s="33"/>
      <c r="G17" s="31"/>
      <c r="H17" s="32"/>
      <c r="I17" s="24"/>
      <c r="J17" s="24"/>
      <c r="K17" s="24"/>
      <c r="L17" s="24"/>
      <c r="M17" s="24"/>
      <c r="N17" s="24"/>
      <c r="O17" s="24"/>
    </row>
    <row r="18" spans="1:15" s="24" customFormat="1" ht="17.75" x14ac:dyDescent="0.45">
      <c r="B18" s="34" t="s">
        <v>18</v>
      </c>
      <c r="C18" s="35"/>
      <c r="D18" s="36"/>
      <c r="E18" s="36"/>
      <c r="F18" s="36"/>
      <c r="G18" s="37">
        <f>SUM(G11:G17)</f>
        <v>96990</v>
      </c>
    </row>
    <row r="19" spans="1:15" s="24" customFormat="1" ht="17.75" x14ac:dyDescent="0.45">
      <c r="B19" s="38"/>
      <c r="C19" s="38"/>
      <c r="D19" s="39"/>
      <c r="E19" s="39"/>
      <c r="F19" s="39"/>
      <c r="G19" s="40"/>
    </row>
    <row r="20" spans="1:15" s="24" customFormat="1" ht="17.75" x14ac:dyDescent="0.45">
      <c r="B20" s="41"/>
      <c r="C20" s="41"/>
      <c r="D20" s="42"/>
      <c r="E20" s="42"/>
      <c r="F20" s="53" t="s">
        <v>24</v>
      </c>
      <c r="G20" s="43"/>
    </row>
    <row r="21" spans="1:15" ht="17.75" x14ac:dyDescent="0.45">
      <c r="B21" s="78"/>
      <c r="C21" s="78"/>
      <c r="D21" s="79"/>
      <c r="E21" s="19"/>
      <c r="F21" s="52"/>
    </row>
    <row r="22" spans="1:15" ht="17.75" x14ac:dyDescent="0.45">
      <c r="B22" s="80"/>
      <c r="C22" s="80"/>
      <c r="D22" s="81"/>
      <c r="E22" s="44"/>
      <c r="F22" s="24"/>
      <c r="G22" s="45"/>
    </row>
    <row r="23" spans="1:15" s="24" customFormat="1" ht="17.75" x14ac:dyDescent="0.45">
      <c r="B23" s="41"/>
      <c r="C23" s="41"/>
      <c r="D23" s="42"/>
      <c r="E23" s="42"/>
      <c r="G23" s="43"/>
    </row>
    <row r="24" spans="1:15" s="24" customFormat="1" ht="17.75" x14ac:dyDescent="0.45">
      <c r="B24" s="41"/>
      <c r="C24" s="41"/>
      <c r="D24" s="42"/>
      <c r="E24" s="42"/>
      <c r="F24" s="42"/>
      <c r="G24" s="43"/>
    </row>
    <row r="25" spans="1:15" s="24" customFormat="1" ht="17.75" x14ac:dyDescent="0.45">
      <c r="B25" s="41"/>
      <c r="C25" s="41"/>
      <c r="D25" s="42"/>
      <c r="E25" s="42"/>
      <c r="F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</sheetData>
  <mergeCells count="8">
    <mergeCell ref="B21:D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zoomScale="80" zoomScaleNormal="80" workbookViewId="0">
      <selection activeCell="B11" sqref="B11:G12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20.8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27</v>
      </c>
    </row>
    <row r="4" spans="1:15" ht="17.75" x14ac:dyDescent="0.45">
      <c r="B4" s="78" t="s">
        <v>4</v>
      </c>
      <c r="C4" s="78"/>
      <c r="D4" s="78"/>
      <c r="E4" s="50">
        <f>+'FEB 2026'!H8</f>
        <v>-105120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205120</v>
      </c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100000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47000</v>
      </c>
      <c r="F8" s="9"/>
      <c r="G8" s="14" t="s">
        <v>9</v>
      </c>
      <c r="H8" s="15">
        <f>E7-E8</f>
        <v>53000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46104</v>
      </c>
      <c r="C11" s="48" t="s">
        <v>45</v>
      </c>
      <c r="D11" s="72">
        <v>1484</v>
      </c>
      <c r="E11" s="49" t="s">
        <v>40</v>
      </c>
      <c r="F11" s="74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7" customHeight="1" x14ac:dyDescent="0.45">
      <c r="A12" s="20">
        <v>2</v>
      </c>
      <c r="B12" s="76">
        <v>46105</v>
      </c>
      <c r="C12" s="48" t="s">
        <v>45</v>
      </c>
      <c r="D12" s="72">
        <v>24308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47000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/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"/>
  <sheetViews>
    <sheetView tabSelected="1" zoomScale="80" zoomScaleNormal="80" workbookViewId="0">
      <selection activeCell="J6" sqref="J6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21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28</v>
      </c>
    </row>
    <row r="4" spans="1:15" ht="17.75" x14ac:dyDescent="0.45">
      <c r="B4" s="78" t="s">
        <v>4</v>
      </c>
      <c r="C4" s="78"/>
      <c r="D4" s="78"/>
      <c r="E4" s="50">
        <f>+'MAR 2026'!H8</f>
        <v>53000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47000</v>
      </c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100000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55030</v>
      </c>
      <c r="F8" s="9"/>
      <c r="G8" s="14" t="s">
        <v>9</v>
      </c>
      <c r="H8" s="15">
        <f>E7-E8</f>
        <v>44970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46121</v>
      </c>
      <c r="C11" s="48" t="s">
        <v>45</v>
      </c>
      <c r="D11" s="72">
        <v>268666531</v>
      </c>
      <c r="E11" s="49" t="s">
        <v>46</v>
      </c>
      <c r="F11" s="77" t="s">
        <v>49</v>
      </c>
      <c r="G11" s="31">
        <v>8030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25">
        <v>46127</v>
      </c>
      <c r="C12" s="48" t="s">
        <v>45</v>
      </c>
      <c r="D12" s="72">
        <v>1501</v>
      </c>
      <c r="E12" s="49" t="s">
        <v>40</v>
      </c>
      <c r="F12" s="74" t="s">
        <v>41</v>
      </c>
      <c r="G12" s="31">
        <v>40000</v>
      </c>
      <c r="H12" s="26"/>
      <c r="I12" s="24"/>
      <c r="J12" s="24"/>
      <c r="K12" s="24"/>
      <c r="L12" s="24"/>
      <c r="M12" s="24"/>
      <c r="N12" s="24"/>
      <c r="O12" s="24"/>
    </row>
    <row r="13" spans="1:15" ht="32.25" customHeight="1" x14ac:dyDescent="0.45">
      <c r="A13" s="20">
        <v>3</v>
      </c>
      <c r="B13" s="76">
        <v>46140</v>
      </c>
      <c r="C13" s="48" t="s">
        <v>45</v>
      </c>
      <c r="D13" s="72">
        <v>24653</v>
      </c>
      <c r="E13" s="49" t="s">
        <v>48</v>
      </c>
      <c r="F13" s="30" t="s">
        <v>39</v>
      </c>
      <c r="G13" s="31">
        <v>7000</v>
      </c>
      <c r="H13" s="26"/>
      <c r="I13" s="24"/>
      <c r="J13" s="24"/>
      <c r="K13" s="24"/>
      <c r="L13" s="24"/>
      <c r="M13" s="24"/>
      <c r="N13" s="24"/>
      <c r="O13" s="24"/>
    </row>
    <row r="14" spans="1:15" ht="17.75" hidden="1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hidden="1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hidden="1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55030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/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29</v>
      </c>
    </row>
    <row r="4" spans="1:15" ht="17.75" x14ac:dyDescent="0.45">
      <c r="B4" s="78" t="s">
        <v>4</v>
      </c>
      <c r="C4" s="78"/>
      <c r="D4" s="78"/>
      <c r="E4" s="50">
        <f>+'ABR 2026'!H8</f>
        <v>44970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44970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0</v>
      </c>
      <c r="F8" s="9"/>
      <c r="G8" s="14" t="s">
        <v>9</v>
      </c>
      <c r="H8" s="15">
        <f>E7-E8</f>
        <v>44970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74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7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/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"/>
  <sheetViews>
    <sheetView zoomScale="80" zoomScaleNormal="80" workbookViewId="0">
      <selection activeCell="K7" sqref="K7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2" t="s">
        <v>0</v>
      </c>
      <c r="D1" s="82"/>
      <c r="E1" s="82"/>
      <c r="F1" s="82"/>
      <c r="G1" s="82"/>
      <c r="H1" s="82"/>
    </row>
    <row r="2" spans="1:15" ht="38.950000000000003" customHeight="1" x14ac:dyDescent="0.6">
      <c r="B2" s="1"/>
      <c r="C2" s="82" t="s">
        <v>1</v>
      </c>
      <c r="D2" s="82"/>
      <c r="E2" s="82"/>
      <c r="F2" s="82"/>
      <c r="G2" s="82"/>
      <c r="H2" s="82"/>
    </row>
    <row r="3" spans="1:15" ht="24.05" customHeight="1" x14ac:dyDescent="0.55000000000000004">
      <c r="D3" s="3"/>
      <c r="F3" s="5"/>
      <c r="G3" s="6" t="s">
        <v>2</v>
      </c>
      <c r="H3" s="75" t="s">
        <v>30</v>
      </c>
    </row>
    <row r="4" spans="1:15" ht="17.75" x14ac:dyDescent="0.45">
      <c r="B4" s="78" t="s">
        <v>4</v>
      </c>
      <c r="C4" s="78"/>
      <c r="D4" s="78"/>
      <c r="E4" s="50">
        <f>+'MAY 2026'!H8</f>
        <v>44970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8" t="s">
        <v>6</v>
      </c>
      <c r="C6" s="78"/>
      <c r="D6" s="78"/>
      <c r="E6" s="8">
        <v>0</v>
      </c>
      <c r="F6" s="9"/>
    </row>
    <row r="7" spans="1:15" ht="17.75" x14ac:dyDescent="0.45">
      <c r="B7" s="83" t="s">
        <v>7</v>
      </c>
      <c r="C7" s="83"/>
      <c r="D7" s="83"/>
      <c r="E7" s="8">
        <f>SUM(E4:E6)</f>
        <v>44970</v>
      </c>
      <c r="F7" s="9"/>
      <c r="G7" s="12"/>
    </row>
    <row r="8" spans="1:15" ht="17.75" x14ac:dyDescent="0.45">
      <c r="B8" s="84" t="s">
        <v>8</v>
      </c>
      <c r="C8" s="84"/>
      <c r="D8" s="84"/>
      <c r="E8" s="13">
        <f>+G20</f>
        <v>0</v>
      </c>
      <c r="F8" s="9"/>
      <c r="G8" s="14" t="s">
        <v>9</v>
      </c>
      <c r="H8" s="15">
        <f>E7-E8</f>
        <v>44970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74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7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8"/>
      <c r="C23" s="78"/>
      <c r="D23" s="79"/>
      <c r="E23" s="19"/>
      <c r="F23" s="52"/>
    </row>
    <row r="24" spans="1:15" ht="17.75" x14ac:dyDescent="0.45">
      <c r="B24" s="80"/>
      <c r="C24" s="80"/>
      <c r="D24" s="81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44E55BE1-BAAD-4426-968D-B7F3E08C78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526D1-6350-451B-A99A-8701B7451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07D5A4-19F0-41A9-BDC5-1CB180AEAE7D}">
  <ds:schemaRefs>
    <ds:schemaRef ds:uri="http://purl.org/dc/elements/1.1/"/>
    <ds:schemaRef ds:uri="fa8ec313-c772-4af8-8363-8ff52de2e6b8"/>
    <ds:schemaRef ds:uri="http://schemas.microsoft.com/office/2006/metadata/properties"/>
    <ds:schemaRef ds:uri="http://schemas.microsoft.com/sharepoint/v3"/>
    <ds:schemaRef ds:uri="http://purl.org/dc/terms/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historico</vt:lpstr>
      <vt:lpstr>DIC 25 </vt:lpstr>
      <vt:lpstr>ENE 2026</vt:lpstr>
      <vt:lpstr>FEB 2026</vt:lpstr>
      <vt:lpstr>MAR 2026</vt:lpstr>
      <vt:lpstr>ABR 2026</vt:lpstr>
      <vt:lpstr>MAY 2026</vt:lpstr>
      <vt:lpstr>JUN 2026</vt:lpstr>
      <vt:lpstr>'ABR 2026'!Área_de_impresión</vt:lpstr>
      <vt:lpstr>'DIC 25 '!Área_de_impresión</vt:lpstr>
      <vt:lpstr>'ENE 2026'!Área_de_impresión</vt:lpstr>
      <vt:lpstr>'FEB 2026'!Área_de_impresión</vt:lpstr>
      <vt:lpstr>'JUN 2026'!Área_de_impresión</vt:lpstr>
      <vt:lpstr>'MAR 2026'!Área_de_impresión</vt:lpstr>
      <vt:lpstr>'MAY 2026'!Área_de_impresión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Costanera</dc:creator>
  <cp:keywords/>
  <dc:description/>
  <cp:lastModifiedBy>Carolina Cabrera</cp:lastModifiedBy>
  <cp:revision/>
  <dcterms:created xsi:type="dcterms:W3CDTF">2024-10-05T00:14:32Z</dcterms:created>
  <dcterms:modified xsi:type="dcterms:W3CDTF">2026-05-11T15:41:41Z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