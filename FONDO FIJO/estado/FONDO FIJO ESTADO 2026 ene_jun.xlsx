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estado/"/>
    </mc:Choice>
  </mc:AlternateContent>
  <xr:revisionPtr revIDLastSave="7" documentId="11_10E5FD46CA063632A95A10BF0BA4A68B718EB832" xr6:coauthVersionLast="47" xr6:coauthVersionMax="47" xr10:uidLastSave="{6B925B22-FED9-455C-A64B-44E277293FAB}"/>
  <bookViews>
    <workbookView xWindow="-107" yWindow="-107" windowWidth="20847" windowHeight="11111" tabRatio="604" firstSheet="1" activeTab="8" xr2:uid="{00000000-000D-0000-FFFF-FFFF00000000}"/>
  </bookViews>
  <sheets>
    <sheet name="ago" sheetId="8" r:id="rId1"/>
    <sheet name="sep" sheetId="9" r:id="rId2"/>
    <sheet name="oct" sheetId="10" r:id="rId3"/>
    <sheet name="nov" sheetId="11" r:id="rId4"/>
    <sheet name="dic" sheetId="12" r:id="rId5"/>
    <sheet name="ENE 2026" sheetId="13" r:id="rId6"/>
    <sheet name="FEB 2026" sheetId="14" r:id="rId7"/>
    <sheet name="MAR 2026" sheetId="15" r:id="rId8"/>
    <sheet name="ABR 2026" sheetId="16" r:id="rId9"/>
    <sheet name="MAY 2026" sheetId="17" r:id="rId10"/>
    <sheet name="JUN 2026" sheetId="1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8" l="1"/>
  <c r="E8" i="18" s="1"/>
  <c r="G25" i="17"/>
  <c r="E8" i="17" s="1"/>
  <c r="G25" i="16"/>
  <c r="E8" i="16" s="1"/>
  <c r="G25" i="15"/>
  <c r="E8" i="15" s="1"/>
  <c r="G25" i="14"/>
  <c r="E8" i="14" s="1"/>
  <c r="G25" i="13"/>
  <c r="E8" i="13" s="1"/>
  <c r="G25" i="12"/>
  <c r="E8" i="12" s="1"/>
  <c r="G25" i="11"/>
  <c r="E8" i="11"/>
  <c r="G26" i="10"/>
  <c r="E8" i="10" s="1"/>
  <c r="E8" i="9"/>
  <c r="G26" i="9"/>
  <c r="G26" i="8"/>
  <c r="E8" i="8" s="1"/>
  <c r="E7" i="8" l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  <c r="E4" i="13" s="1"/>
  <c r="E7" i="13" s="1"/>
  <c r="H8" i="13" s="1"/>
  <c r="E4" i="14" s="1"/>
  <c r="E7" i="14" s="1"/>
  <c r="H8" i="14" s="1"/>
  <c r="E4" i="15" s="1"/>
  <c r="E7" i="15" s="1"/>
  <c r="H8" i="15" s="1"/>
  <c r="E4" i="16" s="1"/>
  <c r="E7" i="16" s="1"/>
  <c r="H8" i="16" s="1"/>
  <c r="E4" i="17" s="1"/>
  <c r="E7" i="17" s="1"/>
  <c r="H8" i="17" s="1"/>
  <c r="E4" i="18" s="1"/>
  <c r="E7" i="18" s="1"/>
  <c r="H8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sharedStrings.xml><?xml version="1.0" encoding="utf-8"?>
<sst xmlns="http://schemas.openxmlformats.org/spreadsheetml/2006/main" count="280" uniqueCount="55">
  <si>
    <t xml:space="preserve">RENDICION CAJA CHICA  </t>
  </si>
  <si>
    <t>ESTADO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</si>
  <si>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</si>
  <si>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</si>
  <si>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</si>
  <si>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</si>
  <si>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</si>
  <si>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</si>
  <si>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</si>
  <si>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</si>
  <si>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</si>
  <si>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</si>
  <si>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</si>
  <si>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</si>
  <si>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</si>
  <si>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</si>
  <si>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190</t>
  </si>
  <si>
    <t>AGUA</t>
  </si>
  <si>
    <t>TOTALES</t>
  </si>
  <si>
    <t>BOLETA</t>
  </si>
  <si>
    <t>ENERO</t>
  </si>
  <si>
    <t>FEBRERO</t>
  </si>
  <si>
    <t>MARZO</t>
  </si>
  <si>
    <t>Boleta</t>
  </si>
  <si>
    <t>Agua</t>
  </si>
  <si>
    <t>JUNIO</t>
  </si>
  <si>
    <t>ABRIL</t>
  </si>
  <si>
    <t>MAYO</t>
  </si>
  <si>
    <t>AGOSTO</t>
  </si>
  <si>
    <t>Pilas control</t>
  </si>
  <si>
    <t>Factura</t>
  </si>
  <si>
    <t>Mantecion cortina</t>
  </si>
  <si>
    <t>SEPTIEMBRE</t>
  </si>
  <si>
    <t>Desayuno equipo</t>
  </si>
  <si>
    <t>.</t>
  </si>
  <si>
    <t>octubre</t>
  </si>
  <si>
    <t>FACTURA</t>
  </si>
  <si>
    <t>LIMPIEZA DE FACHADAS</t>
  </si>
  <si>
    <t>ALCOHOL</t>
  </si>
  <si>
    <t>CORDEL PLASTICO</t>
  </si>
  <si>
    <t>noviembre</t>
  </si>
  <si>
    <t>adaptador usb</t>
  </si>
  <si>
    <t xml:space="preserve">articulos para tienda </t>
  </si>
  <si>
    <t>mantencion de cortinas metalicas</t>
  </si>
  <si>
    <t>articulos para tienda</t>
  </si>
  <si>
    <t>diciembre</t>
  </si>
  <si>
    <t>MANTENCION CORTINA</t>
  </si>
  <si>
    <t>adaptador</t>
  </si>
  <si>
    <t>TRANSPORTE TRABAJO NOCTURNO</t>
  </si>
  <si>
    <t>CENA TRABAJO NOCTURNO</t>
  </si>
  <si>
    <t>agua</t>
  </si>
  <si>
    <t>boleta</t>
  </si>
  <si>
    <t>cena trabajo nocturno</t>
  </si>
  <si>
    <t>uber trabajo nocturno</t>
  </si>
  <si>
    <t>transporte trabajo nocturno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</si>
</sst>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2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color rgb="FF0070C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" fontId="17" fillId="2" borderId="3" xfId="0" applyNumberFormat="1" applyFont="1" applyFill="1" applyBorder="1" applyAlignment="1">
      <alignment horizontal="left" wrapText="1"/>
    </xf>
    <xf numFmtId="49" fontId="21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0" fillId="2" borderId="0" xfId="0" applyFont="1" applyFill="1" applyAlignment="1">
      <alignment horizontal="center"/>
    </xf>
    <xf numFmtId="165" fontId="13" fillId="4" borderId="1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619126</xdr:colOff>
      <xdr:row>2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647700" cy="1047750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504825</xdr:colOff>
      <xdr:row>7</xdr:row>
      <xdr:rowOff>85725</xdr:rowOff>
    </xdr:from>
    <xdr:to>
      <xdr:col>16</xdr:col>
      <xdr:colOff>677150</xdr:colOff>
      <xdr:row>17</xdr:row>
      <xdr:rowOff>76693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93178-F46F-1780-AB34-FC8AE973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2305050"/>
          <a:ext cx="6268325" cy="3534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161166A-5DFB-87C0-31BD-06C4628F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7</xdr:col>
      <xdr:colOff>810334</xdr:colOff>
      <xdr:row>3</xdr:row>
      <xdr:rowOff>196186</xdr:rowOff>
    </xdr:from>
    <xdr:to>
      <xdr:col>15</xdr:col>
      <xdr:colOff>240510</xdr:colOff>
      <xdr:row>5</xdr:row>
      <xdr:rowOff>67002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B94FE9C-0FFE-BD8F-AA23-021D0C62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3708" y="1526842"/>
          <a:ext cx="5887272" cy="314369"/>
        </a:xfrm>
        <a:prstGeom prst="rect">
          <a:avLst/>
        </a:prstGeom>
      </xdr:spPr>
    </xdr:pic>
    <xdr:clientData/>
  </xdr:twoCellAnchor>
  <xdr:twoCellAnchor editAs="oneCell">
    <xdr:from>
      <xdr:col>8</xdr:col>
      <xdr:colOff>477671</xdr:colOff>
      <xdr:row>7</xdr:row>
      <xdr:rowOff>61354</xdr:rowOff>
    </xdr:from>
    <xdr:to>
      <xdr:col>16</xdr:col>
      <xdr:colOff>218069</xdr:colOff>
      <xdr:row>8</xdr:row>
      <xdr:rowOff>168802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1A0CEA5-C42C-61E3-C867-ADD451DB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4626" y="2279115"/>
          <a:ext cx="5950129" cy="329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4D883E-4458-41B2-923A-20D499BE2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715551</xdr:colOff>
      <xdr:row>5</xdr:row>
      <xdr:rowOff>149751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671F0D-CED6-D413-F522-4CAB111B9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6955" y="1552433"/>
          <a:ext cx="5372850" cy="371527"/>
        </a:xfrm>
        <a:prstGeom prst="rect">
          <a:avLst/>
        </a:prstGeom>
      </xdr:spPr>
    </xdr:pic>
    <xdr:clientData/>
  </xdr:twoCellAnchor>
  <xdr:twoCellAnchor editAs="oneCell">
    <xdr:from>
      <xdr:col>8</xdr:col>
      <xdr:colOff>230306</xdr:colOff>
      <xdr:row>7</xdr:row>
      <xdr:rowOff>91680</xdr:rowOff>
    </xdr:from>
    <xdr:to>
      <xdr:col>16</xdr:col>
      <xdr:colOff>299262</xdr:colOff>
      <xdr:row>8</xdr:row>
      <xdr:rowOff>269607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173AF5-713F-A5EA-14F6-14197B2A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7261" y="2309441"/>
          <a:ext cx="6278687" cy="3997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0FAFB8-9831-4558-9B8D-4FEE3570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383843</xdr:colOff>
      <xdr:row>3</xdr:row>
      <xdr:rowOff>204717</xdr:rowOff>
    </xdr:from>
    <xdr:to>
      <xdr:col>15</xdr:col>
      <xdr:colOff>113599</xdr:colOff>
      <xdr:row>6</xdr:row>
      <xdr:rowOff>25231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9A785DC-4652-0186-FDEE-14E00DBC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798" y="1535373"/>
          <a:ext cx="5163271" cy="485843"/>
        </a:xfrm>
        <a:prstGeom prst="rect">
          <a:avLst/>
        </a:prstGeom>
      </xdr:spPr>
    </xdr:pic>
    <xdr:clientData/>
  </xdr:twoCellAnchor>
  <xdr:twoCellAnchor editAs="oneCell">
    <xdr:from>
      <xdr:col>8</xdr:col>
      <xdr:colOff>417963</xdr:colOff>
      <xdr:row>8</xdr:row>
      <xdr:rowOff>11977</xdr:rowOff>
    </xdr:from>
    <xdr:to>
      <xdr:col>15</xdr:col>
      <xdr:colOff>616540</xdr:colOff>
      <xdr:row>9</xdr:row>
      <xdr:rowOff>82946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9C13B4-55A9-6F6C-9D8A-9B36E3573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4918" y="2451515"/>
          <a:ext cx="5632092" cy="3780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601DB5-5C86-4D48-BA07-96F016121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76769</xdr:colOff>
      <xdr:row>3</xdr:row>
      <xdr:rowOff>153537</xdr:rowOff>
    </xdr:from>
    <xdr:to>
      <xdr:col>15</xdr:col>
      <xdr:colOff>92314</xdr:colOff>
      <xdr:row>5</xdr:row>
      <xdr:rowOff>129142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338C5E-C360-A0AF-76E8-2DC72861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3724" y="1484193"/>
          <a:ext cx="5449060" cy="419158"/>
        </a:xfrm>
        <a:prstGeom prst="rect">
          <a:avLst/>
        </a:prstGeom>
      </xdr:spPr>
    </xdr:pic>
    <xdr:clientData/>
  </xdr:twoCellAnchor>
  <xdr:twoCellAnchor editAs="oneCell">
    <xdr:from>
      <xdr:col>8</xdr:col>
      <xdr:colOff>238836</xdr:colOff>
      <xdr:row>7</xdr:row>
      <xdr:rowOff>165847</xdr:rowOff>
    </xdr:from>
    <xdr:to>
      <xdr:col>16</xdr:col>
      <xdr:colOff>127788</xdr:colOff>
      <xdr:row>15</xdr:row>
      <xdr:rowOff>144689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EE1BF1-2A2F-64F9-2209-62C10793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5791" y="2383608"/>
          <a:ext cx="6098683" cy="33310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BBC1F1-888E-4374-9B75-3C65D7C57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286866</xdr:colOff>
      <xdr:row>5</xdr:row>
      <xdr:rowOff>25909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4893C7A-E848-A21C-76D5-DDA80F35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6955" y="1552433"/>
          <a:ext cx="4944165" cy="247685"/>
        </a:xfrm>
        <a:prstGeom prst="rect">
          <a:avLst/>
        </a:prstGeom>
      </xdr:spPr>
    </xdr:pic>
    <xdr:clientData/>
  </xdr:twoCellAnchor>
  <xdr:twoCellAnchor editAs="oneCell">
    <xdr:from>
      <xdr:col>8</xdr:col>
      <xdr:colOff>136477</xdr:colOff>
      <xdr:row>8</xdr:row>
      <xdr:rowOff>239777</xdr:rowOff>
    </xdr:from>
    <xdr:to>
      <xdr:col>15</xdr:col>
      <xdr:colOff>767846</xdr:colOff>
      <xdr:row>9</xdr:row>
      <xdr:rowOff>1150454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69B323-5010-57CF-3309-2DB41F15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53432" y="2679315"/>
          <a:ext cx="6064884" cy="12177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8F2A72-77D3-481B-9879-7EBE80701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BF10C-D0EA-4606-AC53-68E8B18E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9BBDCE-2B2C-40B4-A5CE-95D0394C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307073</xdr:colOff>
      <xdr:row>9</xdr:row>
      <xdr:rowOff>5957</xdr:rowOff>
    </xdr:from>
    <xdr:to>
      <xdr:col>14</xdr:col>
      <xdr:colOff>242979</xdr:colOff>
      <xdr:row>9</xdr:row>
      <xdr:rowOff>1175245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8B9A15-4AC2-0675-0994-6E984C22C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4028" y="2752570"/>
          <a:ext cx="4593205" cy="1169288"/>
        </a:xfrm>
        <a:prstGeom prst="rect">
          <a:avLst/>
        </a:prstGeom>
      </xdr:spPr>
    </xdr:pic>
    <xdr:clientData/>
  </xdr:twoCellAnchor>
  <xdr:twoCellAnchor editAs="oneCell">
    <xdr:from>
      <xdr:col>5</xdr:col>
      <xdr:colOff>1663319</xdr:colOff>
      <xdr:row>3</xdr:row>
      <xdr:rowOff>196187</xdr:rowOff>
    </xdr:from>
    <xdr:to>
      <xdr:col>14</xdr:col>
      <xdr:colOff>770398</xdr:colOff>
      <xdr:row>5</xdr:row>
      <xdr:rowOff>206453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A59716-0076-3687-8E9C-E35C9C233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40939" y="1526843"/>
          <a:ext cx="8003713" cy="4538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925A1C-59B4-442F-9679-5DED090D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BF61F2-3B00-4A62-8C75-62A4FCD0E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workbookViewId="0">
      <selection activeCell="H8" sqref="H8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27" t="s">
        <v>28</v>
      </c>
    </row>
    <row r="4" spans="1:15" ht="17.75" x14ac:dyDescent="0.45">
      <c r="B4" s="48" t="s">
        <v>3</v>
      </c>
      <c r="C4" s="48"/>
      <c r="D4" s="48"/>
      <c r="E4" s="35">
        <v>-25850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78570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+G26</f>
        <v>29180</v>
      </c>
      <c r="F8" s="7"/>
      <c r="G8" s="29" t="s">
        <v>8</v>
      </c>
      <c r="H8" s="36">
        <f>E7-E8</f>
        <v>23540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45864</v>
      </c>
      <c r="C11" s="39" t="s">
        <v>23</v>
      </c>
      <c r="D11" s="40">
        <v>191</v>
      </c>
      <c r="E11" s="41"/>
      <c r="F11" s="42" t="s">
        <v>24</v>
      </c>
      <c r="G11" s="44">
        <v>2500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45866</v>
      </c>
      <c r="C12" s="39" t="s">
        <v>23</v>
      </c>
      <c r="D12" s="46">
        <v>120188999414</v>
      </c>
      <c r="E12" s="41"/>
      <c r="F12" s="42" t="s">
        <v>29</v>
      </c>
      <c r="G12" s="44">
        <v>7000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45875</v>
      </c>
      <c r="C13" s="39" t="s">
        <v>30</v>
      </c>
      <c r="D13" s="40">
        <v>15</v>
      </c>
      <c r="E13" s="41"/>
      <c r="F13" s="42" t="s">
        <v>31</v>
      </c>
      <c r="G13" s="44">
        <v>14680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45875</v>
      </c>
      <c r="C14" s="39" t="s">
        <v>23</v>
      </c>
      <c r="D14" s="40">
        <v>701</v>
      </c>
      <c r="E14" s="41"/>
      <c r="F14" s="42" t="s">
        <v>24</v>
      </c>
      <c r="G14" s="44">
        <v>2500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45885</v>
      </c>
      <c r="C15" s="39" t="s">
        <v>23</v>
      </c>
      <c r="D15" s="40">
        <v>763</v>
      </c>
      <c r="E15" s="41"/>
      <c r="F15" s="42" t="s">
        <v>24</v>
      </c>
      <c r="G15" s="44">
        <v>2500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29180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8"/>
      <c r="C29" s="48"/>
      <c r="D29" s="54"/>
      <c r="E29" s="49"/>
      <c r="F29" s="55"/>
    </row>
    <row r="30" spans="1:15" ht="17.75" x14ac:dyDescent="0.45">
      <c r="B30" s="50"/>
      <c r="C30" s="50"/>
      <c r="D30" s="56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zoomScale="80" zoomScaleNormal="80" workbookViewId="0">
      <selection activeCell="J10" sqref="J10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27" t="s">
        <v>32</v>
      </c>
    </row>
    <row r="4" spans="1:15" ht="17.75" x14ac:dyDescent="0.45">
      <c r="B4" s="48" t="s">
        <v>3</v>
      </c>
      <c r="C4" s="48"/>
      <c r="D4" s="48"/>
      <c r="E4" s="35">
        <f>+ago!H8</f>
        <v>23540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29180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+G26</f>
        <v>34730</v>
      </c>
      <c r="F8" s="7"/>
      <c r="G8" s="29" t="s">
        <v>8</v>
      </c>
      <c r="H8" s="36">
        <f>E7-E8</f>
        <v>17990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45919</v>
      </c>
      <c r="C11" s="39" t="s">
        <v>19</v>
      </c>
      <c r="D11" s="40">
        <v>380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45917</v>
      </c>
      <c r="C12" s="39" t="s">
        <v>19</v>
      </c>
      <c r="D12" s="46">
        <v>1664950</v>
      </c>
      <c r="E12" s="41"/>
      <c r="F12" s="42" t="s">
        <v>33</v>
      </c>
      <c r="G12" s="44">
        <v>12000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45907</v>
      </c>
      <c r="C13" s="39" t="s">
        <v>19</v>
      </c>
      <c r="D13" s="40">
        <v>177291812</v>
      </c>
      <c r="E13" s="41"/>
      <c r="F13" s="42" t="s">
        <v>33</v>
      </c>
      <c r="G13" s="44">
        <v>12730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45923</v>
      </c>
      <c r="C14" s="39" t="s">
        <v>19</v>
      </c>
      <c r="D14" s="40">
        <v>394</v>
      </c>
      <c r="E14" s="41"/>
      <c r="F14" s="42" t="s">
        <v>17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 t="s">
        <v>34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34730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8"/>
      <c r="C29" s="48"/>
      <c r="D29" s="48"/>
      <c r="E29" s="49"/>
      <c r="F29" s="49"/>
    </row>
    <row r="30" spans="1:15" ht="17.75" x14ac:dyDescent="0.45">
      <c r="B30" s="50"/>
      <c r="C30" s="50"/>
      <c r="D30" s="5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zoomScale="80" zoomScaleNormal="80" workbookViewId="0">
      <selection activeCell="J10" sqref="J10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27" t="s">
        <v>35</v>
      </c>
    </row>
    <row r="4" spans="1:15" ht="17.75" x14ac:dyDescent="0.45">
      <c r="B4" s="48" t="s">
        <v>3</v>
      </c>
      <c r="C4" s="48"/>
      <c r="D4" s="48"/>
      <c r="E4" s="35">
        <f>+sep!H8</f>
        <v>17990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34730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+G26</f>
        <v>65240</v>
      </c>
      <c r="F8" s="7"/>
      <c r="G8" s="29" t="s">
        <v>8</v>
      </c>
      <c r="H8" s="36">
        <f>E7-E8</f>
        <v>-12520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45929</v>
      </c>
      <c r="C11" s="39" t="s">
        <v>36</v>
      </c>
      <c r="D11" s="40">
        <v>1323</v>
      </c>
      <c r="E11" s="41"/>
      <c r="F11" s="42" t="s">
        <v>37</v>
      </c>
      <c r="G11" s="44">
        <v>50000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45933</v>
      </c>
      <c r="C12" s="39" t="s">
        <v>19</v>
      </c>
      <c r="D12" s="46">
        <v>221</v>
      </c>
      <c r="E12" s="41"/>
      <c r="F12" s="42" t="s">
        <v>17</v>
      </c>
      <c r="G12" s="44">
        <v>2500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45951</v>
      </c>
      <c r="C13" s="39" t="s">
        <v>19</v>
      </c>
      <c r="D13" s="40">
        <v>61664</v>
      </c>
      <c r="E13" s="41"/>
      <c r="F13" s="42" t="s">
        <v>38</v>
      </c>
      <c r="G13" s="44">
        <v>2750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45953</v>
      </c>
      <c r="C14" s="39" t="s">
        <v>19</v>
      </c>
      <c r="D14" s="40">
        <v>230892</v>
      </c>
      <c r="E14" s="41"/>
      <c r="F14" s="42" t="s">
        <v>39</v>
      </c>
      <c r="G14" s="44">
        <v>9990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 t="s">
        <v>34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65240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8"/>
      <c r="C29" s="48"/>
      <c r="D29" s="48"/>
      <c r="E29" s="49"/>
      <c r="F29" s="49"/>
    </row>
    <row r="30" spans="1:15" ht="17.75" x14ac:dyDescent="0.45">
      <c r="B30" s="50"/>
      <c r="C30" s="50"/>
      <c r="D30" s="5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zoomScale="80" zoomScaleNormal="80" workbookViewId="0">
      <selection activeCell="C33" sqref="C33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27" t="s">
        <v>40</v>
      </c>
    </row>
    <row r="4" spans="1:15" ht="17.75" x14ac:dyDescent="0.45">
      <c r="B4" s="48" t="s">
        <v>3</v>
      </c>
      <c r="C4" s="48"/>
      <c r="D4" s="48"/>
      <c r="E4" s="35">
        <f>+oct!H8</f>
        <v>-12520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65240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22990</v>
      </c>
      <c r="F8" s="7"/>
      <c r="G8" s="29" t="s">
        <v>8</v>
      </c>
      <c r="H8" s="36">
        <f>E7-E8</f>
        <v>29730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45958</v>
      </c>
      <c r="C11" s="39" t="s">
        <v>19</v>
      </c>
      <c r="D11" s="40">
        <v>571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45965</v>
      </c>
      <c r="C12" s="39" t="s">
        <v>19</v>
      </c>
      <c r="D12" s="46">
        <v>15223685</v>
      </c>
      <c r="E12" s="41"/>
      <c r="F12" s="42" t="s">
        <v>41</v>
      </c>
      <c r="G12" s="44">
        <v>12990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45982</v>
      </c>
      <c r="C13" s="39" t="s">
        <v>19</v>
      </c>
      <c r="D13" s="40">
        <v>571</v>
      </c>
      <c r="E13" s="41"/>
      <c r="F13" s="42" t="s">
        <v>17</v>
      </c>
      <c r="G13" s="44">
        <v>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 t="s">
        <v>34</v>
      </c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22990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3"/>
  <sheetViews>
    <sheetView zoomScale="80" zoomScaleNormal="80" workbookViewId="0">
      <selection activeCell="N27" sqref="N27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27" t="s">
        <v>45</v>
      </c>
    </row>
    <row r="4" spans="1:15" ht="17.75" x14ac:dyDescent="0.45">
      <c r="B4" s="48" t="s">
        <v>3</v>
      </c>
      <c r="C4" s="48"/>
      <c r="D4" s="48"/>
      <c r="E4" s="35">
        <f>+nov!H8</f>
        <v>29730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22990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28770</v>
      </c>
      <c r="F8" s="7"/>
      <c r="G8" s="29" t="s">
        <v>8</v>
      </c>
      <c r="H8" s="36">
        <f>E7-E8</f>
        <v>23950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45994</v>
      </c>
      <c r="C11" s="39" t="s">
        <v>19</v>
      </c>
      <c r="D11" s="40">
        <v>235466</v>
      </c>
      <c r="E11" s="41"/>
      <c r="F11" s="42" t="s">
        <v>42</v>
      </c>
      <c r="G11" s="44">
        <v>3290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45994</v>
      </c>
      <c r="C12" s="39" t="s">
        <v>19</v>
      </c>
      <c r="D12" s="46">
        <v>3896</v>
      </c>
      <c r="E12" s="41"/>
      <c r="F12" s="42" t="s">
        <v>43</v>
      </c>
      <c r="G12" s="44">
        <v>20000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46008</v>
      </c>
      <c r="C13" s="39" t="s">
        <v>19</v>
      </c>
      <c r="D13" s="40">
        <v>16912202</v>
      </c>
      <c r="E13" s="41"/>
      <c r="F13" s="42" t="s">
        <v>42</v>
      </c>
      <c r="G13" s="44">
        <v>2980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46009</v>
      </c>
      <c r="C14" s="39" t="s">
        <v>19</v>
      </c>
      <c r="D14" s="40">
        <v>137</v>
      </c>
      <c r="E14" s="41"/>
      <c r="F14" s="42" t="s">
        <v>17</v>
      </c>
      <c r="G14" s="44">
        <v>2500</v>
      </c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28770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3"/>
  <sheetViews>
    <sheetView zoomScale="80" zoomScaleNormal="80" workbookViewId="0">
      <selection activeCell="Q15" sqref="Q15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47" t="s">
        <v>20</v>
      </c>
    </row>
    <row r="4" spans="1:15" ht="17.75" x14ac:dyDescent="0.45">
      <c r="B4" s="48" t="s">
        <v>3</v>
      </c>
      <c r="C4" s="48"/>
      <c r="D4" s="48"/>
      <c r="E4" s="35">
        <f>+dic!H8</f>
        <v>23950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28770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13150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46021</v>
      </c>
      <c r="C11" s="39"/>
      <c r="D11" s="40">
        <v>2003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45659</v>
      </c>
      <c r="C12" s="39"/>
      <c r="D12" s="46">
        <v>29924</v>
      </c>
      <c r="E12" s="41"/>
      <c r="F12" s="42" t="s">
        <v>44</v>
      </c>
      <c r="G12" s="44">
        <v>8150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13150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3"/>
  <sheetViews>
    <sheetView zoomScale="80" zoomScaleNormal="8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47" t="s">
        <v>21</v>
      </c>
    </row>
    <row r="4" spans="1:15" ht="17.75" x14ac:dyDescent="0.45">
      <c r="B4" s="48" t="s">
        <v>3</v>
      </c>
      <c r="C4" s="48"/>
      <c r="D4" s="48"/>
      <c r="E4" s="35">
        <f>+'ENE 2026'!H8</f>
        <v>39570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13150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36820</v>
      </c>
      <c r="F8" s="7"/>
      <c r="G8" s="29" t="s">
        <v>8</v>
      </c>
      <c r="H8" s="36">
        <f>E7-E8</f>
        <v>15900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46051</v>
      </c>
      <c r="C11" s="39" t="s">
        <v>19</v>
      </c>
      <c r="D11" s="40">
        <v>452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46056</v>
      </c>
      <c r="C12" s="39" t="s">
        <v>36</v>
      </c>
      <c r="D12" s="46">
        <v>3912</v>
      </c>
      <c r="E12" s="41"/>
      <c r="F12" s="42" t="s">
        <v>46</v>
      </c>
      <c r="G12" s="44">
        <v>19830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46064</v>
      </c>
      <c r="C13" s="39" t="s">
        <v>19</v>
      </c>
      <c r="D13" s="40">
        <v>4372</v>
      </c>
      <c r="E13" s="41"/>
      <c r="F13" s="42" t="s">
        <v>47</v>
      </c>
      <c r="G13" s="44">
        <v>6990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46073</v>
      </c>
      <c r="C14" s="39" t="s">
        <v>19</v>
      </c>
      <c r="D14" s="40">
        <v>455</v>
      </c>
      <c r="E14" s="41"/>
      <c r="F14" s="42" t="s">
        <v>17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36820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"/>
  <sheetViews>
    <sheetView zoomScale="80" zoomScaleNormal="80" workbookViewId="0">
      <selection activeCell="L18" sqref="L18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36.69921875" style="6" bestFit="1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47" t="s">
        <v>22</v>
      </c>
    </row>
    <row r="4" spans="1:15" ht="17.75" x14ac:dyDescent="0.45">
      <c r="B4" s="48" t="s">
        <v>3</v>
      </c>
      <c r="C4" s="48"/>
      <c r="D4" s="48"/>
      <c r="E4" s="35">
        <f>+'FEB 2026'!H8</f>
        <v>15900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36820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34470</v>
      </c>
      <c r="F8" s="7"/>
      <c r="G8" s="29" t="s">
        <v>8</v>
      </c>
      <c r="H8" s="36">
        <f>E7-E8</f>
        <v>18250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46099</v>
      </c>
      <c r="C11" s="39" t="s">
        <v>19</v>
      </c>
      <c r="D11" s="40"/>
      <c r="E11" s="41"/>
      <c r="F11" s="42" t="s">
        <v>48</v>
      </c>
      <c r="G11" s="44">
        <v>10300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46099</v>
      </c>
      <c r="C12" s="39" t="s">
        <v>19</v>
      </c>
      <c r="D12" s="46">
        <v>165611</v>
      </c>
      <c r="E12" s="41"/>
      <c r="F12" s="42" t="s">
        <v>49</v>
      </c>
      <c r="G12" s="44">
        <v>7080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46100</v>
      </c>
      <c r="C13" s="39" t="s">
        <v>19</v>
      </c>
      <c r="D13" s="40"/>
      <c r="E13" s="41"/>
      <c r="F13" s="42" t="s">
        <v>48</v>
      </c>
      <c r="G13" s="44">
        <v>8200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46100</v>
      </c>
      <c r="C14" s="39" t="s">
        <v>19</v>
      </c>
      <c r="D14" s="40">
        <v>106780</v>
      </c>
      <c r="E14" s="41"/>
      <c r="F14" s="42" t="s">
        <v>49</v>
      </c>
      <c r="G14" s="44">
        <v>8890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34470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3"/>
  <sheetViews>
    <sheetView tabSelected="1" zoomScale="80" zoomScaleNormal="8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47" t="s">
        <v>26</v>
      </c>
    </row>
    <row r="4" spans="1:15" ht="17.75" x14ac:dyDescent="0.45">
      <c r="B4" s="48" t="s">
        <v>3</v>
      </c>
      <c r="C4" s="48"/>
      <c r="D4" s="48"/>
      <c r="E4" s="35">
        <f>+'MAR 2026'!H8</f>
        <v>18250</v>
      </c>
      <c r="F4" s="7"/>
      <c r="G4" s="31"/>
    </row>
    <row r="5" spans="1:15" ht="17.75" x14ac:dyDescent="0.45">
      <c r="B5" s="25" t="s">
        <v>4</v>
      </c>
      <c r="C5" s="25"/>
      <c r="D5" s="25"/>
      <c r="E5" s="57">
        <v>34470</v>
      </c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52720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41360</v>
      </c>
      <c r="F8" s="7"/>
      <c r="G8" s="29" t="s">
        <v>8</v>
      </c>
      <c r="H8" s="36">
        <f>E7-E8</f>
        <v>11360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46107</v>
      </c>
      <c r="C11" s="39" t="s">
        <v>23</v>
      </c>
      <c r="D11" s="40"/>
      <c r="E11" s="41"/>
      <c r="F11" s="42" t="s">
        <v>53</v>
      </c>
      <c r="G11" s="44">
        <v>12720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46108</v>
      </c>
      <c r="C12" s="39" t="s">
        <v>23</v>
      </c>
      <c r="D12" s="40">
        <v>860</v>
      </c>
      <c r="E12" s="41"/>
      <c r="F12" s="42" t="s">
        <v>50</v>
      </c>
      <c r="G12" s="44">
        <v>5000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46108</v>
      </c>
      <c r="C13" s="39" t="s">
        <v>51</v>
      </c>
      <c r="D13" s="46">
        <v>108004</v>
      </c>
      <c r="E13" s="41"/>
      <c r="F13" s="42" t="s">
        <v>52</v>
      </c>
      <c r="G13" s="44">
        <v>6700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46109</v>
      </c>
      <c r="C14" s="39" t="s">
        <v>51</v>
      </c>
      <c r="D14" s="40"/>
      <c r="E14" s="41"/>
      <c r="F14" s="42" t="s">
        <v>54</v>
      </c>
      <c r="G14" s="44">
        <v>11940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46128</v>
      </c>
      <c r="C15" s="39" t="s">
        <v>19</v>
      </c>
      <c r="D15" s="40">
        <v>891</v>
      </c>
      <c r="E15" s="41"/>
      <c r="F15" s="42" t="s">
        <v>17</v>
      </c>
      <c r="G15" s="44">
        <v>5000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hidden="1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hidden="1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hidden="1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hidden="1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hidden="1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41360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3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47" t="s">
        <v>27</v>
      </c>
    </row>
    <row r="4" spans="1:15" ht="17.75" x14ac:dyDescent="0.45">
      <c r="B4" s="48" t="s">
        <v>3</v>
      </c>
      <c r="C4" s="48"/>
      <c r="D4" s="48"/>
      <c r="E4" s="35">
        <f>+'ABR 2026'!H8</f>
        <v>11360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11360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0</v>
      </c>
      <c r="F8" s="7"/>
      <c r="G8" s="29" t="s">
        <v>8</v>
      </c>
      <c r="H8" s="36">
        <f>E7-E8</f>
        <v>11360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3"/>
  <sheetViews>
    <sheetView zoomScale="80" zoomScaleNormal="80" workbookViewId="0">
      <selection activeCell="O19" sqref="O19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1" t="s">
        <v>0</v>
      </c>
      <c r="D1" s="51"/>
      <c r="E1" s="51"/>
      <c r="F1" s="51"/>
      <c r="G1" s="51"/>
      <c r="H1" s="51"/>
    </row>
    <row r="2" spans="1:15" ht="38.950000000000003" customHeight="1" x14ac:dyDescent="0.6">
      <c r="B2" s="2"/>
      <c r="C2" s="51" t="s">
        <v>1</v>
      </c>
      <c r="D2" s="51"/>
      <c r="E2" s="51"/>
      <c r="F2" s="51"/>
      <c r="G2" s="51"/>
      <c r="H2" s="51"/>
    </row>
    <row r="3" spans="1:15" ht="24.05" customHeight="1" x14ac:dyDescent="0.55000000000000004">
      <c r="D3" s="4"/>
      <c r="F3" s="24"/>
      <c r="G3" s="32" t="s">
        <v>2</v>
      </c>
      <c r="H3" s="47" t="s">
        <v>25</v>
      </c>
    </row>
    <row r="4" spans="1:15" ht="17.75" x14ac:dyDescent="0.45">
      <c r="B4" s="48" t="s">
        <v>3</v>
      </c>
      <c r="C4" s="48"/>
      <c r="D4" s="48"/>
      <c r="E4" s="35">
        <f>+'MAY 2026'!H8</f>
        <v>11360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8" t="s">
        <v>5</v>
      </c>
      <c r="C6" s="48"/>
      <c r="D6" s="48"/>
      <c r="E6" s="35">
        <v>0</v>
      </c>
      <c r="F6" s="7"/>
    </row>
    <row r="7" spans="1:15" ht="17.75" x14ac:dyDescent="0.45">
      <c r="B7" s="52" t="s">
        <v>6</v>
      </c>
      <c r="C7" s="52"/>
      <c r="D7" s="52"/>
      <c r="E7" s="35">
        <f>SUM(E4:E6)</f>
        <v>11360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+G25</f>
        <v>0</v>
      </c>
      <c r="F8" s="7"/>
      <c r="G8" s="29" t="s">
        <v>8</v>
      </c>
      <c r="H8" s="36">
        <f>E7-E8</f>
        <v>11360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8"/>
      <c r="C28" s="48"/>
      <c r="D28" s="48"/>
      <c r="E28" s="49"/>
      <c r="F28" s="49"/>
    </row>
    <row r="29" spans="1:15" ht="17.75" x14ac:dyDescent="0.45">
      <c r="B29" s="50"/>
      <c r="C29" s="50"/>
      <c r="D29" s="50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944F9A-50BD-406F-A40B-6112E02DF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C11D6-586C-4277-8F0C-A58650EE65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3B1468E1-4F27-420E-86D3-A656C47E40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ago</vt:lpstr>
      <vt:lpstr>sep</vt:lpstr>
      <vt:lpstr>oct</vt:lpstr>
      <vt:lpstr>nov</vt:lpstr>
      <vt:lpstr>dic</vt:lpstr>
      <vt:lpstr>ENE 2026</vt:lpstr>
      <vt:lpstr>FEB 2026</vt:lpstr>
      <vt:lpstr>MAR 2026</vt:lpstr>
      <vt:lpstr>ABR 2026</vt:lpstr>
      <vt:lpstr>MAY 2026</vt:lpstr>
      <vt:lpstr>JUN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2026-05-11T15:45:51Z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