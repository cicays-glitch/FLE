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MKT/12/"/>
    </mc:Choice>
  </mc:AlternateContent>
  <xr:revisionPtr revIDLastSave="2132" documentId="8_{62703BC6-5A6B-4F8C-B041-205BFA82B8B5}" xr6:coauthVersionLast="47" xr6:coauthVersionMax="47" xr10:uidLastSave="{E48F546E-C668-4881-8AB2-21CC9B714DC3}"/>
  <bookViews>
    <workbookView minimized="1" xWindow="20579" yWindow="666" windowWidth="20332" windowHeight="5459" tabRatio="720" firstSheet="4" activeTab="12" xr2:uid="{317E68FA-24F3-4B4B-8773-A8671968B245}"/>
  </bookViews>
  <sheets>
    <sheet name="resumen" sheetId="13" r:id="rId1"/>
    <sheet name="Enero" sheetId="1" r:id="rId2"/>
    <sheet name="Febrero" sheetId="2" r:id="rId3"/>
    <sheet name="Marzo" sheetId="3" r:id="rId4"/>
    <sheet name="Abril" sheetId="4" r:id="rId5"/>
    <sheet name="Mayo" sheetId="5" r:id="rId6"/>
    <sheet name="Junio" sheetId="6" r:id="rId7"/>
    <sheet name="Julio" sheetId="7" r:id="rId8"/>
    <sheet name="Agosto" sheetId="8" r:id="rId9"/>
    <sheet name="pptSept" sheetId="9" r:id="rId10"/>
    <sheet name="pptOct" sheetId="10" r:id="rId11"/>
    <sheet name="pptNov" sheetId="11" r:id="rId12"/>
    <sheet name="pptDIC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2" l="1"/>
  <c r="E19" i="13"/>
  <c r="C26" i="12"/>
  <c r="C24" i="12"/>
  <c r="E24" i="12"/>
  <c r="E20" i="12"/>
  <c r="E18" i="12"/>
  <c r="E16" i="12"/>
  <c r="E13" i="12"/>
  <c r="E11" i="12"/>
  <c r="E8" i="12"/>
  <c r="E6" i="12"/>
  <c r="E4" i="12"/>
  <c r="E3" i="12"/>
  <c r="C29" i="11"/>
  <c r="E29" i="11"/>
  <c r="E22" i="11"/>
  <c r="E21" i="11"/>
  <c r="E15" i="11"/>
  <c r="E16" i="11"/>
  <c r="E17" i="11"/>
  <c r="E19" i="11"/>
  <c r="E14" i="11"/>
  <c r="E12" i="11"/>
  <c r="E9" i="11"/>
  <c r="E4" i="11"/>
  <c r="E7" i="11"/>
  <c r="E3" i="11"/>
  <c r="C19" i="11"/>
  <c r="E18" i="10"/>
  <c r="E19" i="10"/>
  <c r="E21" i="10"/>
  <c r="E17" i="10"/>
  <c r="E15" i="10"/>
  <c r="E13" i="10"/>
  <c r="E11" i="10"/>
  <c r="E8" i="10"/>
  <c r="E4" i="10"/>
  <c r="E6" i="10"/>
  <c r="E3" i="10"/>
  <c r="E26" i="10"/>
  <c r="E27" i="10"/>
  <c r="E14" i="13" s="1"/>
  <c r="E25" i="10"/>
  <c r="D14" i="13"/>
  <c r="C14" i="13"/>
  <c r="B14" i="13"/>
  <c r="C25" i="10"/>
  <c r="C22" i="9"/>
  <c r="E22" i="9" s="1"/>
  <c r="E20" i="9"/>
  <c r="E19" i="9"/>
  <c r="E18" i="9"/>
  <c r="E16" i="9"/>
  <c r="E13" i="9"/>
  <c r="E11" i="9"/>
  <c r="E8" i="9"/>
  <c r="E6" i="9"/>
  <c r="E4" i="9"/>
  <c r="E3" i="9"/>
  <c r="C6" i="9"/>
  <c r="C11" i="13"/>
  <c r="D11" i="13"/>
  <c r="E11" i="13"/>
  <c r="B11" i="13"/>
  <c r="C26" i="9" l="1"/>
  <c r="E26" i="9" s="1"/>
  <c r="E10" i="13"/>
  <c r="D10" i="13"/>
  <c r="C10" i="13"/>
  <c r="B10" i="13"/>
  <c r="E9" i="13"/>
  <c r="D9" i="13"/>
  <c r="C9" i="13"/>
  <c r="B9" i="13"/>
  <c r="E8" i="13"/>
  <c r="D8" i="13"/>
  <c r="C8" i="13"/>
  <c r="B8" i="13"/>
  <c r="E7" i="13"/>
  <c r="D7" i="13"/>
  <c r="C7" i="13"/>
  <c r="B7" i="13"/>
  <c r="E6" i="13"/>
  <c r="D6" i="13"/>
  <c r="C6" i="13"/>
  <c r="B6" i="13"/>
  <c r="E5" i="13"/>
  <c r="D5" i="13"/>
  <c r="C5" i="13"/>
  <c r="B5" i="13"/>
  <c r="E4" i="13"/>
  <c r="D4" i="13"/>
  <c r="C4" i="13"/>
  <c r="B4" i="13"/>
  <c r="E3" i="13"/>
  <c r="D3" i="13"/>
  <c r="C3" i="13"/>
  <c r="B3" i="13"/>
  <c r="E26" i="8"/>
  <c r="E27" i="8"/>
  <c r="E21" i="8"/>
  <c r="E16" i="8"/>
  <c r="E11" i="8"/>
  <c r="E6" i="8"/>
  <c r="E25" i="8"/>
  <c r="E19" i="8"/>
  <c r="E18" i="8"/>
  <c r="E15" i="8"/>
  <c r="E14" i="8"/>
  <c r="E13" i="8"/>
  <c r="E8" i="8"/>
  <c r="E4" i="8"/>
  <c r="E3" i="8"/>
  <c r="C20" i="12"/>
  <c r="C16" i="12"/>
  <c r="E15" i="12"/>
  <c r="E14" i="12"/>
  <c r="C11" i="12"/>
  <c r="C6" i="12"/>
  <c r="C21" i="10"/>
  <c r="C25" i="11"/>
  <c r="C12" i="11"/>
  <c r="C7" i="11"/>
  <c r="C6" i="10"/>
  <c r="C15" i="10"/>
  <c r="C11" i="10"/>
  <c r="E14" i="9"/>
  <c r="E25" i="11" l="1"/>
  <c r="B15" i="13"/>
  <c r="B16" i="13"/>
  <c r="C30" i="11" l="1"/>
  <c r="E30" i="11" s="1"/>
  <c r="D15" i="13"/>
  <c r="C26" i="10"/>
  <c r="C25" i="12"/>
  <c r="E25" i="12" s="1"/>
  <c r="D16" i="13"/>
  <c r="C27" i="10" l="1"/>
  <c r="C31" i="11"/>
  <c r="E31" i="11" s="1"/>
  <c r="E26" i="12"/>
  <c r="C16" i="9"/>
  <c r="E15" i="9"/>
  <c r="C11" i="9"/>
  <c r="C25" i="8"/>
  <c r="E27" i="7"/>
  <c r="E26" i="7"/>
  <c r="E21" i="7"/>
  <c r="E16" i="7"/>
  <c r="E11" i="7"/>
  <c r="E6" i="7"/>
  <c r="C15" i="13" l="1"/>
  <c r="E15" i="13"/>
  <c r="E16" i="13"/>
  <c r="E17" i="13" s="1"/>
  <c r="C16" i="13"/>
  <c r="E25" i="7"/>
  <c r="C25" i="7"/>
  <c r="C21" i="8"/>
  <c r="C16" i="8"/>
  <c r="C11" i="8"/>
  <c r="C6" i="8"/>
  <c r="C21" i="7"/>
  <c r="C16" i="7"/>
  <c r="C11" i="7"/>
  <c r="C6" i="7"/>
  <c r="E26" i="6"/>
  <c r="E27" i="6"/>
  <c r="E21" i="6"/>
  <c r="E16" i="6"/>
  <c r="E11" i="6"/>
  <c r="E6" i="6"/>
  <c r="E25" i="6"/>
  <c r="E28" i="5"/>
  <c r="E27" i="5"/>
  <c r="E26" i="5"/>
  <c r="E22" i="5"/>
  <c r="E16" i="5"/>
  <c r="E11" i="5"/>
  <c r="E6" i="5"/>
  <c r="C27" i="9" l="1"/>
  <c r="E27" i="9" s="1"/>
  <c r="B13" i="13"/>
  <c r="B17" i="13" s="1"/>
  <c r="B19" i="13" s="1"/>
  <c r="D13" i="13"/>
  <c r="D17" i="13" s="1"/>
  <c r="D19" i="13" s="1"/>
  <c r="C28" i="9"/>
  <c r="E28" i="9" s="1"/>
  <c r="C26" i="8"/>
  <c r="C26" i="7"/>
  <c r="C27" i="7" s="1"/>
  <c r="C22" i="5"/>
  <c r="C21" i="6"/>
  <c r="C16" i="6"/>
  <c r="C11" i="6"/>
  <c r="C6" i="6"/>
  <c r="C27" i="1"/>
  <c r="C16" i="5"/>
  <c r="C11" i="5"/>
  <c r="C6" i="5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13" i="13" l="1"/>
  <c r="C17" i="13" s="1"/>
  <c r="C19" i="13" s="1"/>
  <c r="E13" i="13"/>
  <c r="C27" i="8"/>
  <c r="C25" i="6"/>
  <c r="C26" i="5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27" i="1"/>
  <c r="E20" i="1"/>
  <c r="E14" i="1"/>
  <c r="E9" i="1"/>
  <c r="C22" i="2"/>
  <c r="C17" i="2"/>
  <c r="C14" i="1"/>
  <c r="C9" i="1"/>
  <c r="C20" i="1"/>
  <c r="C26" i="6" l="1"/>
  <c r="C27" i="5"/>
  <c r="C27" i="4"/>
  <c r="E27" i="4" s="1"/>
  <c r="C31" i="3"/>
  <c r="C32" i="3" s="1"/>
  <c r="C26" i="2"/>
  <c r="C31" i="1"/>
  <c r="C27" i="6" l="1"/>
  <c r="C32" i="1"/>
  <c r="E32" i="1" s="1"/>
  <c r="E31" i="1"/>
  <c r="C33" i="1"/>
  <c r="E33" i="1" s="1"/>
  <c r="C28" i="5"/>
  <c r="C28" i="4"/>
  <c r="E28" i="4" s="1"/>
  <c r="C33" i="3"/>
</calcChain>
</file>

<file path=xl/sharedStrings.xml><?xml version="1.0" encoding="utf-8"?>
<sst xmlns="http://schemas.openxmlformats.org/spreadsheetml/2006/main" count="515" uniqueCount="271">
  <si>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</si>
  <si>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</si>
  <si>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</si>
  <si>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</si>
  <si>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</si>
  <si>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</si>
  <si>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</si>
  <si>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</si>
  <si>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</si>
  <si>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</si>
  <si>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</si>
  <si>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</si>
  <si>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</si>
  <si>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</si>
  <si>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</si>
  <si>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</si>
  <si>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</si>
  <si>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</si>
  <si>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</si>
  <si>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</si>
  <si>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</si>
  <si>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</si>
  <si>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</si>
  <si>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</si>
  <si>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</si>
  <si>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</si>
  <si>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</si>
  <si>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</si>
  <si>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</si>
  <si>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</si>
  <si>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</si>
  <si>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</si>
  <si>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</si>
  <si>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</si>
  <si>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</si>
  <si>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</si>
  <si>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</si>
  <si>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</si>
  <si>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</si>
  <si>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</si>
  <si>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</si>
  <si>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</si>
  <si>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</si>
  <si>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</si>
  <si>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</si>
  <si>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</si>
  <si>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</si>
  <si>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</si>
  <si>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</si>
  <si>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</si>
  <si>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</si>
  <si>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</si>
  <si>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</si>
  <si>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</si>
  <si>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</si>
  <si>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</si>
  <si>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</si>
  <si>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</si>
  <si>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</si>
  <si>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</si>
  <si>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</si>
  <si>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</si>
  <si>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</si>
  <si>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</si>
  <si>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</si>
  <si>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</si>
  <si>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</si>
  <si>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</si>
  <si>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</si>
  <si>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</si>
  <si>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</si>
  <si>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</si>
  <si>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</si>
  <si>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</si>
  <si>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</si>
  <si>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</si>
  <si>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</si>
  <si>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</si>
  <si>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</si>
  <si>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</si>
  <si>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</si>
  <si>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</si>
  <si>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</si>
  <si>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</si>
  <si>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</si>
  <si>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</si>
  <si>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</si>
  <si>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</si>
  <si>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</si>
  <si>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</si>
  <si>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</si>
  <si>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</si>
  <si>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</si>
  <si>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</si>
  <si>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</si>
  <si>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</si>
  <si>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</si>
  <si>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</si>
  <si>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</si>
  <si>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</si>
  <si>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</si>
  <si>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</si>
  <si>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factura 660</t>
  </si>
  <si>
    <t xml:space="preserve">proforma 10 </t>
  </si>
  <si>
    <t>materiales - APSSORTEO</t>
  </si>
  <si>
    <t>APPSORTEOSCOM_0000423932</t>
  </si>
  <si>
    <t>bhe_andy-195</t>
  </si>
  <si>
    <t>Influencers 1 - Luis Ugalde</t>
  </si>
  <si>
    <t>Influencers 2 - Simón Oliveros</t>
  </si>
  <si>
    <t>bhe_infl_luisU-96</t>
  </si>
  <si>
    <t>bhe_simon-112</t>
  </si>
  <si>
    <t>Apoyo - video Vespucio</t>
  </si>
  <si>
    <t>bhe_Sebastian-1</t>
  </si>
  <si>
    <t>1 video Kari Santoro</t>
  </si>
  <si>
    <t>bhe_Kari-95</t>
  </si>
  <si>
    <t>google_8379915865627719_20250531</t>
  </si>
  <si>
    <t>meta_Mayo2025</t>
  </si>
  <si>
    <t>https://www.instagram.com/p/DJ-WGFCv6-I/</t>
  </si>
  <si>
    <t>https://www.instagram.com/p/DKGLFfXxqgK/</t>
  </si>
  <si>
    <t>https://www.instagram.com/p/DJKPmU0R3tF/</t>
  </si>
  <si>
    <t>https://www.instagram.com/p/DJe59iXx3nI/</t>
  </si>
  <si>
    <t>https://www.instagram.com/p/DKVuEpFxgju/</t>
  </si>
  <si>
    <t>video en edición - cierre Vespucio q se atraso</t>
  </si>
  <si>
    <t>https://www.instagram.com/p/DJdFiu1RhqS/</t>
  </si>
  <si>
    <t>* app para poder hacer sorteo de concurso</t>
  </si>
  <si>
    <t>Maca toundro</t>
  </si>
  <si>
    <t>agencia</t>
  </si>
  <si>
    <t>optimización etiqueta .cl</t>
  </si>
  <si>
    <t>* etiqueta que muestra si llega hoy o mañana el calzado, si vives en la region principal del pais, esto ayuda a la decisión de compra del cliente.</t>
  </si>
  <si>
    <t>https://www.flexishoes.cl/mujer</t>
  </si>
  <si>
    <t>Total Mayo</t>
  </si>
  <si>
    <t>Cetryk_F.295</t>
  </si>
  <si>
    <t>factura 671</t>
  </si>
  <si>
    <t>Factura_AgenciaMT385</t>
  </si>
  <si>
    <t>bhe_apoyo-24</t>
  </si>
  <si>
    <t>bhe_Andy-200</t>
  </si>
  <si>
    <t>apoyo video</t>
  </si>
  <si>
    <t>3 videos ig</t>
  </si>
  <si>
    <t>https://www.instagram.com/p/DLbNE0yxRwA/</t>
  </si>
  <si>
    <t>https://www.instagram.com/p/DLWCAlLRo9P/</t>
  </si>
  <si>
    <t>https://www.instagram.com/p/DLGd8TKvbR5/</t>
  </si>
  <si>
    <t>https://www.instagram.com/p/DLisPRgx2VT/</t>
  </si>
  <si>
    <t>Meta normal + cyber</t>
  </si>
  <si>
    <t>Google normal + cyber</t>
  </si>
  <si>
    <t>meta_facturasJunio</t>
  </si>
  <si>
    <t>google_8379915865627719</t>
  </si>
  <si>
    <t>bhe_Kari-101</t>
  </si>
  <si>
    <t>Total Junio</t>
  </si>
  <si>
    <t>Marianne</t>
  </si>
  <si>
    <t>factura 684</t>
  </si>
  <si>
    <t>Proforma 12</t>
  </si>
  <si>
    <t>PAGADO 5.140,48</t>
  </si>
  <si>
    <t>Total Agosto</t>
  </si>
  <si>
    <t>Total Julio</t>
  </si>
  <si>
    <t>Meta_pagosJulio</t>
  </si>
  <si>
    <t>bhe_20Marianne</t>
  </si>
  <si>
    <t>bhe_Andy-209</t>
  </si>
  <si>
    <t>bhe_Mafer-11</t>
  </si>
  <si>
    <t>https://www.instagram.com/p/DLoNTRix7Cz/</t>
  </si>
  <si>
    <t>https://www.instagram.com/p/DL6GQ-Bxiec/</t>
  </si>
  <si>
    <t>https://www.instagram.com/p/DMJnYxWOn5D/</t>
  </si>
  <si>
    <t>google_8379915865627719_20250731</t>
  </si>
  <si>
    <t>Luis Ugalde</t>
  </si>
  <si>
    <t>ugc 50%</t>
  </si>
  <si>
    <t>ugc Talca</t>
  </si>
  <si>
    <t xml:space="preserve">Proforma 13 </t>
  </si>
  <si>
    <t>factura 696</t>
  </si>
  <si>
    <t>pagos_metaAgosto2025</t>
  </si>
  <si>
    <t>bhe_luisUgalde_97</t>
  </si>
  <si>
    <t>Facel 48_50%UGC</t>
  </si>
  <si>
    <t>bhe_felicesporelmundo_39</t>
  </si>
  <si>
    <t>bhe_Andy-215</t>
  </si>
  <si>
    <t>bhe_Coni-26</t>
  </si>
  <si>
    <t>https://www.instagram.com/p/DM_nubhx4e9/</t>
  </si>
  <si>
    <t>https://www.instagram.com/p/DNhE4reRI8g/</t>
  </si>
  <si>
    <t>2 videos ig</t>
  </si>
  <si>
    <t>https://www.instagram.com/p/DNoBAGJua0e/</t>
  </si>
  <si>
    <t>Ugc Creators | Agosto | Flexi</t>
  </si>
  <si>
    <t>Esto se coordino en Agosto para publicar en Septiembre.</t>
  </si>
  <si>
    <t>google_8379915865627719_20250831</t>
  </si>
  <si>
    <t>tarjetas activaciones</t>
  </si>
  <si>
    <t>ugc 50% TM</t>
  </si>
  <si>
    <t>data4sale</t>
  </si>
  <si>
    <t xml:space="preserve">Proforma 14 </t>
  </si>
  <si>
    <t>factura 697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</si>
  <si>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</si>
  <si>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</si>
  <si>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</si>
  <si>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</si>
  <si>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</si>
  <si>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</si>
  <si>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</si>
  <si>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</si>
  <si>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</si>
  <si>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</si>
  <si>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</si>
  <si>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</si>
  <si>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</si>
  <si>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CL NETO</t>
  </si>
  <si>
    <t>CL IVA</t>
  </si>
  <si>
    <t>USD NETO</t>
  </si>
  <si>
    <t>ANUAL</t>
  </si>
  <si>
    <t>INVERTIDO</t>
  </si>
  <si>
    <t>SIN INVERTIR</t>
  </si>
  <si>
    <t>pagado</t>
  </si>
  <si>
    <t>USD TOTAL</t>
  </si>
  <si>
    <t>facturas_MetaSept</t>
  </si>
  <si>
    <t>bhe_andy-221</t>
  </si>
  <si>
    <t>Mafer_bhe-12</t>
  </si>
  <si>
    <t>Facel 60_ugcSeptiembre</t>
  </si>
  <si>
    <t>giftcards_258</t>
  </si>
  <si>
    <t>https://www.instagram.com/p/DPC3G8BjgOw/</t>
  </si>
  <si>
    <t>https://www.instagram.com/p/DOpFZfbDvjD/</t>
  </si>
  <si>
    <t>https://www.instagram.com/p/DOM3ir_jj1A/</t>
  </si>
  <si>
    <t>https://www.instagram.com/p/DOwzQYADpV9/</t>
  </si>
  <si>
    <t>https://www.instagram.com/p/DOcPJ6hjqiJ/</t>
  </si>
  <si>
    <t>google_8379915865627719_20250930</t>
  </si>
  <si>
    <t>Total Septiembre</t>
  </si>
  <si>
    <t>factura 708</t>
  </si>
  <si>
    <t>Proforma 15</t>
  </si>
  <si>
    <t>ok</t>
  </si>
  <si>
    <t>Google (con refuerzo cyber)</t>
  </si>
  <si>
    <t>Meta (con refuerzo cyber)</t>
  </si>
  <si>
    <t>pagos_metaOctubre</t>
  </si>
  <si>
    <t>google_8379915865627719_20251031</t>
  </si>
  <si>
    <t>Facel 65_ugc Oct50%</t>
  </si>
  <si>
    <t>andyOct_226</t>
  </si>
  <si>
    <t>bhe_Coni-28</t>
  </si>
  <si>
    <t>D4SFactura_1863</t>
  </si>
  <si>
    <t>Total Octubre</t>
  </si>
  <si>
    <t>https://www.instagram.com/p/DQaY9rajlXD/</t>
  </si>
  <si>
    <t>https://drive.google.com/drive/folders/1B_LZYTskRkgsIlztw2OrnprfccvBzykg?usp=sharing</t>
  </si>
  <si>
    <t>https://drive.google.com/drive/u/0/folders/1JjMdEJVTwL2wsuxu8QNU0d7peHw6A4kc</t>
  </si>
  <si>
    <t>https://www.instagram.com/p/DQSpcXCjvbH/</t>
  </si>
  <si>
    <t>https://drive.google.com/file/d/1OUQMkcanK4Ozo1ovhLQsXWz0cOEbUHpG/view?usp=sharing</t>
  </si>
  <si>
    <t>influencer MARIANNE</t>
  </si>
  <si>
    <t>factura 718</t>
  </si>
  <si>
    <t xml:space="preserve">Proforma 16 </t>
  </si>
  <si>
    <t>pendiente</t>
  </si>
  <si>
    <t>Google_8379915865627719_20251130</t>
  </si>
  <si>
    <t>meta_facturasNov25</t>
  </si>
  <si>
    <t>Facel 73_ugc(terminooct)</t>
  </si>
  <si>
    <t>Facel75_ugc_Dic</t>
  </si>
  <si>
    <t>bhe_Marianne-23</t>
  </si>
  <si>
    <t>bhe_Andy-237</t>
  </si>
  <si>
    <t>Ugc_talca_45</t>
  </si>
  <si>
    <t>Ugc Talca</t>
  </si>
  <si>
    <t>data4sale (15 dias)</t>
  </si>
  <si>
    <t>e-Factura2088_noviembre(15dias)</t>
  </si>
  <si>
    <t>Total Noviembre</t>
  </si>
  <si>
    <t>https://www.instagram.com/p/DR3Fi8GDkyw/</t>
  </si>
  <si>
    <t>https://www.instagram.com/p/DRfvP1OAEJn/</t>
  </si>
  <si>
    <t>https://www.instagram.com/p/DRazMIkjgqS/</t>
  </si>
  <si>
    <t>https://www.instagram.com/p/DQ-aWLljoQk/</t>
  </si>
  <si>
    <t>https://www.instagram.com/p/DQsZ_oDjvu0/</t>
  </si>
  <si>
    <t>se estan grabando los otros dos para diciembre</t>
  </si>
  <si>
    <t>https://drive.google.com/drive/folders/1RGCOSQsur7mPpoKJm0mwr_OIZo25r4Ql</t>
  </si>
  <si>
    <t>proforma</t>
  </si>
  <si>
    <t>factura 727</t>
  </si>
  <si>
    <t>Hello_2do50%_85</t>
  </si>
  <si>
    <t>bhe_andy-243</t>
  </si>
  <si>
    <t>https://www.instagram.com/flexichile/reel/DSi2BLtjr_U/</t>
  </si>
  <si>
    <t>https://www.instagram.com/flexichile/reel/DSfhppJDnvX/</t>
  </si>
  <si>
    <t>https://www.instagram.com/flexichile/reel/DS3fMxxDuKP/</t>
  </si>
  <si>
    <t>https://www.instagram.com/flexichile/reel/DSGhL-1DiU8/</t>
  </si>
  <si>
    <t>https://www.instagram.com/flexichile/reel/DR3Fi8GDkyw/</t>
  </si>
  <si>
    <t>inv_metaDic25</t>
  </si>
  <si>
    <t>google_8379915865627719_20251231</t>
  </si>
  <si>
    <t>Proforma</t>
  </si>
  <si>
    <t>Total diciembre</t>
  </si>
  <si>
    <t>factura 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</si>
</sst>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&quot;$&quot;\-#,##0.00"/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4" fillId="0" borderId="0" xfId="1"/>
    <xf numFmtId="0" fontId="0" fillId="7" borderId="0" xfId="0" applyFill="1"/>
    <xf numFmtId="0" fontId="0" fillId="6" borderId="0" xfId="0" applyFill="1"/>
    <xf numFmtId="0" fontId="5" fillId="0" borderId="0" xfId="0" applyFont="1"/>
    <xf numFmtId="42" fontId="1" fillId="3" borderId="0" xfId="0" applyNumberFormat="1" applyFont="1" applyFill="1"/>
    <xf numFmtId="44" fontId="1" fillId="0" borderId="0" xfId="0" applyNumberFormat="1" applyFont="1"/>
    <xf numFmtId="0" fontId="0" fillId="5" borderId="0" xfId="0" applyFill="1"/>
    <xf numFmtId="0" fontId="6" fillId="7" borderId="0" xfId="0" applyFont="1" applyFill="1"/>
    <xf numFmtId="42" fontId="1" fillId="7" borderId="0" xfId="0" applyNumberFormat="1" applyFont="1" applyFill="1"/>
    <xf numFmtId="42" fontId="1" fillId="5" borderId="0" xfId="0" applyNumberFormat="1" applyFont="1" applyFill="1"/>
    <xf numFmtId="0" fontId="0" fillId="0" borderId="5" xfId="0" applyBorder="1"/>
    <xf numFmtId="44" fontId="0" fillId="0" borderId="5" xfId="0" applyNumberFormat="1" applyBorder="1"/>
    <xf numFmtId="42" fontId="1" fillId="5" borderId="5" xfId="0" applyNumberFormat="1" applyFont="1" applyFill="1" applyBorder="1"/>
    <xf numFmtId="42" fontId="1" fillId="0" borderId="5" xfId="0" applyNumberFormat="1" applyFont="1" applyBorder="1"/>
    <xf numFmtId="42" fontId="0" fillId="0" borderId="5" xfId="0" applyNumberFormat="1" applyBorder="1"/>
    <xf numFmtId="8" fontId="7" fillId="0" borderId="0" xfId="0" applyNumberFormat="1" applyFont="1"/>
    <xf numFmtId="44" fontId="0" fillId="8" borderId="0" xfId="0" applyNumberFormat="1" applyFill="1"/>
    <xf numFmtId="42" fontId="1" fillId="9" borderId="5" xfId="0" applyNumberFormat="1" applyFont="1" applyFill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/DJ-WGFCv6-I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va.com/design/DAGvIr2gw8o/F49vD_YD61U7vXT7oEJFig/view?utm_content=DAGvIr2gw8o&amp;utm_campaign=designshare&amp;utm_medium=link2&amp;utm_source=uniquelinks&amp;utlId=he19613b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3BFC-160E-44E3-B431-1CCD854BA15E}">
  <dimension ref="A2:K19"/>
  <sheetViews>
    <sheetView zoomScale="102" zoomScaleNormal="102" workbookViewId="0">
      <selection activeCell="E23" sqref="E23"/>
    </sheetView>
  </sheetViews>
  <sheetFormatPr baseColWidth="10" defaultRowHeight="14" x14ac:dyDescent="0.3"/>
  <cols>
    <col min="2" max="2" width="13.19921875" customWidth="1"/>
    <col min="3" max="3" width="13" customWidth="1"/>
    <col min="7" max="7" width="13.19921875" customWidth="1"/>
    <col min="8" max="8" width="12.09765625" customWidth="1"/>
  </cols>
  <sheetData>
    <row r="2" spans="1:9" x14ac:dyDescent="0.3">
      <c r="A2" t="s">
        <v>185</v>
      </c>
      <c r="B2" t="s">
        <v>198</v>
      </c>
      <c r="C2" t="s">
        <v>199</v>
      </c>
      <c r="D2" t="s">
        <v>200</v>
      </c>
      <c r="E2" s="33" t="s">
        <v>205</v>
      </c>
    </row>
    <row r="3" spans="1:9" x14ac:dyDescent="0.3">
      <c r="A3" t="s">
        <v>186</v>
      </c>
      <c r="B3" s="12">
        <f>Enero!C31</f>
        <v>2148322</v>
      </c>
      <c r="C3" s="12">
        <f>Enero!C33</f>
        <v>2556503.1800000002</v>
      </c>
      <c r="D3" s="5">
        <f>Enero!E31</f>
        <v>2217.0505675954591</v>
      </c>
      <c r="E3" s="34">
        <f>Enero!E33</f>
        <v>2638.2901754385966</v>
      </c>
      <c r="F3" t="s">
        <v>204</v>
      </c>
      <c r="G3" s="21"/>
      <c r="H3" s="5"/>
    </row>
    <row r="4" spans="1:9" x14ac:dyDescent="0.3">
      <c r="A4" t="s">
        <v>187</v>
      </c>
      <c r="B4" s="12">
        <f>Febrero!C26</f>
        <v>1651887</v>
      </c>
      <c r="C4" s="12">
        <f>Febrero!C28</f>
        <v>1965745.53</v>
      </c>
      <c r="D4" s="5">
        <f>Febrero!E26</f>
        <v>1733.1546201382841</v>
      </c>
      <c r="E4" s="34">
        <f>Febrero!E28</f>
        <v>2062.4539979645583</v>
      </c>
      <c r="F4" t="s">
        <v>204</v>
      </c>
      <c r="G4" s="21"/>
      <c r="H4" s="5"/>
    </row>
    <row r="5" spans="1:9" x14ac:dyDescent="0.3">
      <c r="A5" t="s">
        <v>188</v>
      </c>
      <c r="B5" s="12">
        <f>Marzo!C31</f>
        <v>3967962</v>
      </c>
      <c r="C5" s="12">
        <f>Marzo!C33</f>
        <v>4721874.78</v>
      </c>
      <c r="D5" s="5">
        <f>Marzo!E31</f>
        <v>4066.3681082188973</v>
      </c>
      <c r="E5" s="34">
        <f>Marzo!E33</f>
        <v>4838.9780487804883</v>
      </c>
      <c r="F5" t="s">
        <v>204</v>
      </c>
      <c r="G5" s="21"/>
      <c r="H5" s="5"/>
      <c r="I5" s="5"/>
    </row>
    <row r="6" spans="1:9" x14ac:dyDescent="0.3">
      <c r="A6" t="s">
        <v>189</v>
      </c>
      <c r="B6" s="12">
        <f>Abril!C26</f>
        <v>3774108</v>
      </c>
      <c r="C6" s="12">
        <f>Abril!C28</f>
        <v>4491188.5199999996</v>
      </c>
      <c r="D6" s="5">
        <f>Abril!E26</f>
        <v>4014.2398264162184</v>
      </c>
      <c r="E6" s="34">
        <f>Abril!E28</f>
        <v>4776.9453934352996</v>
      </c>
      <c r="F6" t="s">
        <v>204</v>
      </c>
      <c r="G6" s="21"/>
      <c r="H6" s="5"/>
    </row>
    <row r="7" spans="1:9" x14ac:dyDescent="0.3">
      <c r="A7" t="s">
        <v>190</v>
      </c>
      <c r="B7" s="12">
        <f>Mayo!C26</f>
        <v>3963334</v>
      </c>
      <c r="C7" s="12">
        <f>Mayo!C28</f>
        <v>4716367.46</v>
      </c>
      <c r="D7" s="5">
        <f>Mayo!E26</f>
        <v>4230.3087875844549</v>
      </c>
      <c r="E7" s="34">
        <f>Mayo!E28</f>
        <v>5034.0674572255011</v>
      </c>
      <c r="F7" t="s">
        <v>204</v>
      </c>
      <c r="G7" s="21"/>
      <c r="H7" s="5"/>
    </row>
    <row r="8" spans="1:9" x14ac:dyDescent="0.3">
      <c r="A8" t="s">
        <v>191</v>
      </c>
      <c r="B8" s="12">
        <f>Junio!C25</f>
        <v>4008150</v>
      </c>
      <c r="C8" s="12">
        <f>Junio!C27</f>
        <v>4769698.5</v>
      </c>
      <c r="D8" s="5">
        <f>Junio!E25</f>
        <v>4326.0731130802687</v>
      </c>
      <c r="E8" s="34">
        <f>Junio!E27</f>
        <v>5148.0270045655197</v>
      </c>
      <c r="F8" t="s">
        <v>204</v>
      </c>
      <c r="G8" s="21"/>
      <c r="H8" s="5"/>
    </row>
    <row r="9" spans="1:9" x14ac:dyDescent="0.3">
      <c r="A9" t="s">
        <v>192</v>
      </c>
      <c r="B9" s="12">
        <f>Julio!C25</f>
        <v>2134824</v>
      </c>
      <c r="C9" s="12">
        <f>Julio!C27</f>
        <v>2540440.56</v>
      </c>
      <c r="D9" s="5">
        <f>Julio!E25</f>
        <v>2209.9627329192544</v>
      </c>
      <c r="E9" s="34">
        <f>Julio!E27</f>
        <v>2629.8556521739133</v>
      </c>
      <c r="F9" t="s">
        <v>204</v>
      </c>
      <c r="G9" s="21"/>
      <c r="H9" s="5"/>
    </row>
    <row r="10" spans="1:9" x14ac:dyDescent="0.3">
      <c r="A10" t="s">
        <v>193</v>
      </c>
      <c r="B10" s="12">
        <f>Agosto!C25</f>
        <v>2217073</v>
      </c>
      <c r="C10" s="12">
        <f>Agosto!C27</f>
        <v>2638316.87</v>
      </c>
      <c r="D10" s="5">
        <f>Agosto!E25</f>
        <v>2275.9518750064158</v>
      </c>
      <c r="E10" s="34">
        <f>Agosto!E27</f>
        <v>2708.382731257635</v>
      </c>
      <c r="F10" t="s">
        <v>204</v>
      </c>
      <c r="G10" s="21"/>
      <c r="H10" s="5"/>
    </row>
    <row r="11" spans="1:9" x14ac:dyDescent="0.3">
      <c r="A11" s="29" t="s">
        <v>202</v>
      </c>
      <c r="B11" s="32">
        <f>SUM(B3:B10)</f>
        <v>23865660</v>
      </c>
      <c r="C11" s="32">
        <f t="shared" ref="C11:E11" si="0">SUM(C3:C10)</f>
        <v>28400135.399999999</v>
      </c>
      <c r="D11" s="32">
        <f t="shared" si="0"/>
        <v>25073.109630959258</v>
      </c>
      <c r="E11" s="35">
        <f t="shared" si="0"/>
        <v>29837.000460841511</v>
      </c>
      <c r="G11" s="21"/>
      <c r="H11" s="5"/>
    </row>
    <row r="12" spans="1:9" x14ac:dyDescent="0.3">
      <c r="B12" s="11"/>
      <c r="C12" s="11"/>
      <c r="D12" s="11"/>
      <c r="E12" s="36"/>
    </row>
    <row r="13" spans="1:9" x14ac:dyDescent="0.3">
      <c r="A13" t="s">
        <v>194</v>
      </c>
      <c r="B13" s="12">
        <f>pptSept!C26</f>
        <v>2502773</v>
      </c>
      <c r="C13" s="12">
        <f>pptSept!C28</f>
        <v>2978299.87</v>
      </c>
      <c r="D13" s="5">
        <f>pptSept!E26</f>
        <v>2602.8797553923914</v>
      </c>
      <c r="E13" s="34">
        <f>pptSept!E28</f>
        <v>3097.4269089169461</v>
      </c>
      <c r="F13" t="s">
        <v>204</v>
      </c>
    </row>
    <row r="14" spans="1:9" x14ac:dyDescent="0.3">
      <c r="A14" t="s">
        <v>195</v>
      </c>
      <c r="B14" s="12">
        <f>pptOct!C25</f>
        <v>4272917</v>
      </c>
      <c r="C14" s="12">
        <f>pptOct!C27</f>
        <v>5084771.2300000004</v>
      </c>
      <c r="D14" s="5">
        <f>pptOct!E25</f>
        <v>4520.9833567868973</v>
      </c>
      <c r="E14" s="34">
        <f>pptOct!E27</f>
        <v>5379.9701945764082</v>
      </c>
      <c r="F14" t="s">
        <v>204</v>
      </c>
    </row>
    <row r="15" spans="1:9" x14ac:dyDescent="0.3">
      <c r="A15" t="s">
        <v>196</v>
      </c>
      <c r="B15" s="12">
        <f>pptNov!C29</f>
        <v>4255240</v>
      </c>
      <c r="C15" s="12">
        <f>pptNov!C31</f>
        <v>5063735.5999999996</v>
      </c>
      <c r="D15" s="5">
        <f>pptNov!E29</f>
        <v>4634.5804062517018</v>
      </c>
      <c r="E15" s="34">
        <f>pptNov!E31</f>
        <v>5515.150683439525</v>
      </c>
      <c r="F15" t="s">
        <v>204</v>
      </c>
    </row>
    <row r="16" spans="1:9" x14ac:dyDescent="0.3">
      <c r="A16" t="s">
        <v>197</v>
      </c>
      <c r="B16" s="12">
        <f>pptDIC!C24</f>
        <v>3751074</v>
      </c>
      <c r="C16" s="12">
        <f>pptDIC!C26</f>
        <v>4463778.0600000005</v>
      </c>
      <c r="D16" s="5">
        <f>pptDIC!E24</f>
        <v>4160.6943597138261</v>
      </c>
      <c r="E16" s="34">
        <f>pptDIC!E26</f>
        <v>4951.2262880594544</v>
      </c>
      <c r="F16" t="s">
        <v>238</v>
      </c>
    </row>
    <row r="17" spans="1:11" x14ac:dyDescent="0.3">
      <c r="A17" s="30" t="s">
        <v>203</v>
      </c>
      <c r="B17" s="31">
        <f>SUM(B13:B16)</f>
        <v>14782004</v>
      </c>
      <c r="C17" s="31">
        <f>SUM(C13:C16)</f>
        <v>17590584.759999998</v>
      </c>
      <c r="D17" s="31">
        <f>SUM(D13:D16)</f>
        <v>15919.137878144818</v>
      </c>
      <c r="E17" s="40">
        <f>SUM(E13:E16)</f>
        <v>18943.774074992332</v>
      </c>
      <c r="F17" s="5"/>
      <c r="K17" s="38"/>
    </row>
    <row r="18" spans="1:11" x14ac:dyDescent="0.3">
      <c r="E18" s="33"/>
    </row>
    <row r="19" spans="1:11" x14ac:dyDescent="0.3">
      <c r="A19" t="s">
        <v>201</v>
      </c>
      <c r="B19" s="12">
        <f>B11+B17</f>
        <v>38647664</v>
      </c>
      <c r="C19" s="12">
        <f t="shared" ref="C19:D19" si="1">C11+C17</f>
        <v>45990720.159999996</v>
      </c>
      <c r="D19" s="12">
        <f t="shared" si="1"/>
        <v>40992.247509104076</v>
      </c>
      <c r="E19" s="37">
        <f>E11+E17</f>
        <v>48780.774535833843</v>
      </c>
      <c r="G19" s="12"/>
    </row>
  </sheetData>
  <phoneticPr fontId="2" type="noConversion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/>
  </sheetPr>
  <dimension ref="A1:G36"/>
  <sheetViews>
    <sheetView zoomScale="83" zoomScaleNormal="83" workbookViewId="0">
      <selection activeCell="H26" sqref="H26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26.296875" customWidth="1"/>
    <col min="5" max="5" width="13" customWidth="1"/>
    <col min="6" max="6" width="38.59765625" customWidth="1"/>
  </cols>
  <sheetData>
    <row r="1" spans="1:7" ht="14.4" x14ac:dyDescent="0.3">
      <c r="A1" s="17">
        <v>45658</v>
      </c>
    </row>
    <row r="2" spans="1:7" ht="14.4" x14ac:dyDescent="0.3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3">
      <c r="A3" s="41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3">
      <c r="A4" s="42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3">
      <c r="A5" s="42"/>
      <c r="B5" s="1" t="s">
        <v>31</v>
      </c>
      <c r="C5" s="2">
        <v>28109</v>
      </c>
      <c r="D5" s="13" t="s">
        <v>27</v>
      </c>
      <c r="E5" s="5"/>
    </row>
    <row r="6" spans="1:7" x14ac:dyDescent="0.3">
      <c r="A6" s="42"/>
      <c r="B6" s="1" t="s">
        <v>31</v>
      </c>
      <c r="C6" s="2">
        <v>55269</v>
      </c>
      <c r="D6" s="13" t="s">
        <v>28</v>
      </c>
      <c r="E6" s="5"/>
    </row>
    <row r="7" spans="1:7" x14ac:dyDescent="0.3">
      <c r="A7" s="42"/>
      <c r="B7" s="1" t="s">
        <v>31</v>
      </c>
      <c r="C7" s="2">
        <v>443730</v>
      </c>
      <c r="D7" s="13" t="s">
        <v>26</v>
      </c>
      <c r="E7" s="5"/>
    </row>
    <row r="8" spans="1:7" x14ac:dyDescent="0.3">
      <c r="A8" s="42"/>
      <c r="B8" s="1"/>
      <c r="C8" s="2"/>
      <c r="D8" s="15"/>
      <c r="E8" s="5"/>
    </row>
    <row r="9" spans="1:7" x14ac:dyDescent="0.3">
      <c r="A9" s="43"/>
      <c r="B9" s="3"/>
      <c r="C9" s="4">
        <f>SUM(C3:C7)</f>
        <v>1424416</v>
      </c>
      <c r="E9" s="5">
        <f>C9/969</f>
        <v>1469.985552115583</v>
      </c>
    </row>
    <row r="11" spans="1:7" x14ac:dyDescent="0.3">
      <c r="A11" s="44" t="s">
        <v>0</v>
      </c>
      <c r="B11" s="1" t="s">
        <v>9</v>
      </c>
      <c r="C11" s="2">
        <v>254038</v>
      </c>
      <c r="D11" s="13" t="s">
        <v>26</v>
      </c>
    </row>
    <row r="12" spans="1:7" x14ac:dyDescent="0.3">
      <c r="A12" s="45"/>
      <c r="B12" s="1" t="s">
        <v>6</v>
      </c>
      <c r="C12" s="2">
        <v>48158</v>
      </c>
      <c r="D12" s="13" t="s">
        <v>25</v>
      </c>
    </row>
    <row r="13" spans="1:7" x14ac:dyDescent="0.3">
      <c r="A13" s="45"/>
      <c r="B13" s="1"/>
      <c r="C13" s="1"/>
    </row>
    <row r="14" spans="1:7" x14ac:dyDescent="0.3">
      <c r="A14" s="46"/>
      <c r="B14" s="3"/>
      <c r="C14" s="4">
        <f>SUM(C11:C12)</f>
        <v>302196</v>
      </c>
      <c r="E14" s="5">
        <f>C14/969</f>
        <v>311.8637770897833</v>
      </c>
    </row>
    <row r="16" spans="1:7" x14ac:dyDescent="0.3">
      <c r="A16" s="41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7" x14ac:dyDescent="0.3">
      <c r="A17" s="42"/>
      <c r="B17" s="1"/>
      <c r="C17" s="2"/>
      <c r="D17" s="13"/>
      <c r="F17" t="s">
        <v>22</v>
      </c>
    </row>
    <row r="18" spans="1:7" x14ac:dyDescent="0.3">
      <c r="A18" s="42"/>
      <c r="B18" s="1" t="s">
        <v>10</v>
      </c>
      <c r="C18" s="2">
        <v>15000</v>
      </c>
      <c r="D18" s="13" t="s">
        <v>20</v>
      </c>
      <c r="F18" t="s">
        <v>23</v>
      </c>
    </row>
    <row r="19" spans="1:7" x14ac:dyDescent="0.3">
      <c r="A19" s="42"/>
      <c r="B19" s="1"/>
      <c r="C19" s="2"/>
      <c r="D19" s="13"/>
    </row>
    <row r="20" spans="1:7" x14ac:dyDescent="0.3">
      <c r="A20" s="43"/>
      <c r="B20" s="3"/>
      <c r="C20" s="4">
        <f>SUM(C16:C19)</f>
        <v>115000</v>
      </c>
      <c r="D20" s="13"/>
      <c r="E20" s="5">
        <f>C20/969</f>
        <v>118.67905056759545</v>
      </c>
      <c r="G20" s="12"/>
    </row>
    <row r="21" spans="1:7" x14ac:dyDescent="0.3">
      <c r="D21" s="13"/>
    </row>
    <row r="22" spans="1:7" ht="14.4" customHeight="1" x14ac:dyDescent="0.3">
      <c r="A22" s="41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7" ht="14.4" customHeight="1" x14ac:dyDescent="0.3">
      <c r="A23" s="42"/>
      <c r="B23" s="1" t="s">
        <v>12</v>
      </c>
      <c r="C23" s="2">
        <v>80000</v>
      </c>
      <c r="D23" s="13" t="s">
        <v>18</v>
      </c>
      <c r="F23" t="s">
        <v>24</v>
      </c>
    </row>
    <row r="24" spans="1:7" x14ac:dyDescent="0.3">
      <c r="A24" s="42"/>
      <c r="B24" s="1" t="s">
        <v>14</v>
      </c>
      <c r="C24" s="2">
        <v>14660</v>
      </c>
      <c r="D24" s="13" t="s">
        <v>16</v>
      </c>
    </row>
    <row r="25" spans="1:7" x14ac:dyDescent="0.3">
      <c r="A25" s="42"/>
      <c r="B25" s="1" t="s">
        <v>15</v>
      </c>
      <c r="C25" s="2">
        <v>132050</v>
      </c>
      <c r="D25" s="13" t="s">
        <v>17</v>
      </c>
    </row>
    <row r="26" spans="1:7" x14ac:dyDescent="0.3">
      <c r="A26" s="42"/>
      <c r="B26" s="1"/>
      <c r="C26" s="1"/>
      <c r="F26" s="12"/>
    </row>
    <row r="27" spans="1:7" x14ac:dyDescent="0.3">
      <c r="A27" s="43"/>
      <c r="B27" s="3"/>
      <c r="C27" s="4">
        <f>SUM(C22:C25)</f>
        <v>306710</v>
      </c>
      <c r="E27" s="5">
        <f>C27/969</f>
        <v>316.52218782249741</v>
      </c>
    </row>
    <row r="28" spans="1:7" x14ac:dyDescent="0.3">
      <c r="A28" s="10"/>
      <c r="C28" s="11"/>
      <c r="E28" s="5"/>
    </row>
    <row r="29" spans="1:7" x14ac:dyDescent="0.3">
      <c r="A29" s="10"/>
      <c r="C29" s="11"/>
      <c r="E29" s="5"/>
    </row>
    <row r="31" spans="1:7" x14ac:dyDescent="0.3">
      <c r="B31" s="6" t="s">
        <v>37</v>
      </c>
      <c r="C31" s="7">
        <f>SUM(C9+C14+C20+C27)</f>
        <v>2148322</v>
      </c>
      <c r="E31" s="8">
        <f>C31/969</f>
        <v>2217.0505675954591</v>
      </c>
    </row>
    <row r="32" spans="1:7" x14ac:dyDescent="0.3">
      <c r="B32" t="s">
        <v>34</v>
      </c>
      <c r="C32" s="16">
        <f>C31*19/100</f>
        <v>408181.18</v>
      </c>
      <c r="E32" s="8">
        <f t="shared" ref="E32:E33" si="0">C32/969</f>
        <v>421.23960784313726</v>
      </c>
    </row>
    <row r="33" spans="2:6" x14ac:dyDescent="0.3">
      <c r="B33" t="s">
        <v>35</v>
      </c>
      <c r="C33" s="12">
        <f>SUM(C31:C32)</f>
        <v>2556503.1800000002</v>
      </c>
      <c r="E33" s="8">
        <f t="shared" si="0"/>
        <v>2638.2901754385966</v>
      </c>
    </row>
    <row r="36" spans="2:6" x14ac:dyDescent="0.3">
      <c r="C36" t="s">
        <v>76</v>
      </c>
      <c r="D36" s="21" t="s">
        <v>77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31"/>
  <sheetViews>
    <sheetView topLeftCell="A10" workbookViewId="0">
      <selection activeCell="H26" sqref="H26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32.296875" customWidth="1"/>
    <col min="5" max="5" width="10.69921875" customWidth="1"/>
    <col min="6" max="6" width="38.5976562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1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3">
      <c r="A4" s="42"/>
      <c r="B4" s="1" t="s">
        <v>31</v>
      </c>
      <c r="C4" s="2">
        <v>444737</v>
      </c>
      <c r="D4" s="13" t="s">
        <v>39</v>
      </c>
      <c r="E4" s="5"/>
    </row>
    <row r="5" spans="1:6" x14ac:dyDescent="0.3">
      <c r="A5" s="42"/>
      <c r="B5" s="1" t="s">
        <v>31</v>
      </c>
      <c r="C5" s="2">
        <v>39376</v>
      </c>
      <c r="D5" s="13" t="s">
        <v>40</v>
      </c>
      <c r="E5" s="5"/>
    </row>
    <row r="6" spans="1:6" x14ac:dyDescent="0.3">
      <c r="A6" s="42"/>
      <c r="B6" s="1" t="s">
        <v>31</v>
      </c>
      <c r="C6" s="2">
        <v>2626</v>
      </c>
      <c r="D6" s="13" t="s">
        <v>38</v>
      </c>
      <c r="E6" s="5"/>
    </row>
    <row r="7" spans="1:6" x14ac:dyDescent="0.3">
      <c r="A7" s="43"/>
      <c r="B7" s="3"/>
      <c r="C7" s="4">
        <f>SUM(C3:C6)</f>
        <v>1318437</v>
      </c>
      <c r="E7" s="5">
        <f>C7/953.11</f>
        <v>1383.2999339005992</v>
      </c>
    </row>
    <row r="9" spans="1:6" x14ac:dyDescent="0.3">
      <c r="A9" s="44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3">
      <c r="A10" s="45"/>
      <c r="B10" s="1"/>
      <c r="C10" s="2">
        <v>1123</v>
      </c>
      <c r="D10" s="13" t="s">
        <v>40</v>
      </c>
    </row>
    <row r="11" spans="1:6" x14ac:dyDescent="0.3">
      <c r="A11" s="45"/>
      <c r="B11" s="1"/>
      <c r="C11" s="1">
        <v>109</v>
      </c>
      <c r="D11" s="13" t="s">
        <v>38</v>
      </c>
    </row>
    <row r="12" spans="1:6" x14ac:dyDescent="0.3">
      <c r="A12" s="46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3">
      <c r="A14" s="41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3">
      <c r="A15" s="42"/>
      <c r="B15" s="1"/>
      <c r="C15" s="2"/>
      <c r="D15" s="13"/>
    </row>
    <row r="16" spans="1:6" x14ac:dyDescent="0.3">
      <c r="A16" s="42"/>
      <c r="B16" s="1"/>
      <c r="C16" s="2"/>
      <c r="D16" s="13"/>
    </row>
    <row r="17" spans="1:6" x14ac:dyDescent="0.3">
      <c r="A17" s="43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3">
      <c r="D18" s="13"/>
    </row>
    <row r="19" spans="1:6" x14ac:dyDescent="0.3">
      <c r="A19" s="41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3">
      <c r="A20" s="42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3">
      <c r="A21" s="42"/>
      <c r="B21" s="1"/>
      <c r="C21" s="1"/>
      <c r="F21" s="12"/>
    </row>
    <row r="22" spans="1:6" x14ac:dyDescent="0.3">
      <c r="A22" s="43"/>
      <c r="B22" s="3"/>
      <c r="C22" s="4">
        <f>SUM(C19:C20)</f>
        <v>160000</v>
      </c>
      <c r="E22" s="5">
        <f>C22/953.11</f>
        <v>167.87149437105896</v>
      </c>
    </row>
    <row r="23" spans="1:6" x14ac:dyDescent="0.3">
      <c r="A23" s="10"/>
      <c r="C23" s="11"/>
      <c r="E23" s="5"/>
    </row>
    <row r="24" spans="1:6" x14ac:dyDescent="0.3">
      <c r="A24" s="10"/>
      <c r="C24" s="11"/>
      <c r="E24" s="5"/>
    </row>
    <row r="25" spans="1:6" x14ac:dyDescent="0.3">
      <c r="C25" t="s">
        <v>48</v>
      </c>
      <c r="E25" t="s">
        <v>49</v>
      </c>
    </row>
    <row r="26" spans="1:6" x14ac:dyDescent="0.3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3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3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3">
      <c r="C31" t="s">
        <v>79</v>
      </c>
      <c r="D31" s="21" t="s">
        <v>78</v>
      </c>
      <c r="F31" s="20" t="s">
        <v>51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5"/>
  <sheetViews>
    <sheetView topLeftCell="A7" workbookViewId="0">
      <selection activeCell="C12" sqref="C12"/>
    </sheetView>
  </sheetViews>
  <sheetFormatPr baseColWidth="10" defaultRowHeight="14" x14ac:dyDescent="0.3"/>
  <cols>
    <col min="1" max="1" width="16.69921875" customWidth="1"/>
    <col min="2" max="2" width="33.3984375" customWidth="1"/>
    <col min="3" max="3" width="14" customWidth="1"/>
    <col min="4" max="4" width="28.8984375" customWidth="1"/>
    <col min="6" max="6" width="26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1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3">
      <c r="A4" s="42"/>
      <c r="B4" s="1" t="s">
        <v>31</v>
      </c>
      <c r="C4" s="2">
        <v>569153</v>
      </c>
      <c r="D4" s="13" t="s">
        <v>73</v>
      </c>
      <c r="E4" s="5"/>
    </row>
    <row r="5" spans="1:6" x14ac:dyDescent="0.3">
      <c r="A5" s="42"/>
      <c r="B5" s="1"/>
      <c r="C5" s="2"/>
      <c r="D5" s="13"/>
      <c r="E5" s="5"/>
    </row>
    <row r="6" spans="1:6" x14ac:dyDescent="0.3">
      <c r="A6" s="42"/>
      <c r="B6" s="1"/>
      <c r="C6" s="2"/>
      <c r="D6" s="13"/>
      <c r="E6" s="5"/>
    </row>
    <row r="7" spans="1:6" x14ac:dyDescent="0.3">
      <c r="A7" s="43"/>
      <c r="B7" s="3"/>
      <c r="C7" s="4">
        <f>SUM(C3:C6)</f>
        <v>1452855</v>
      </c>
      <c r="E7" s="5">
        <f>C7/975.8</f>
        <v>1488.8860422217667</v>
      </c>
    </row>
    <row r="9" spans="1:6" x14ac:dyDescent="0.3">
      <c r="A9" s="44" t="s">
        <v>0</v>
      </c>
      <c r="B9" s="1" t="s">
        <v>71</v>
      </c>
      <c r="C9" s="2">
        <v>1159814</v>
      </c>
      <c r="D9" s="13" t="s">
        <v>73</v>
      </c>
    </row>
    <row r="10" spans="1:6" x14ac:dyDescent="0.3">
      <c r="A10" s="45"/>
      <c r="B10" s="1"/>
      <c r="C10" s="2"/>
      <c r="D10" s="13"/>
    </row>
    <row r="11" spans="1:6" x14ac:dyDescent="0.3">
      <c r="A11" s="45"/>
      <c r="B11" s="1"/>
      <c r="C11" s="1"/>
      <c r="D11" s="13"/>
    </row>
    <row r="12" spans="1:6" x14ac:dyDescent="0.3">
      <c r="A12" s="46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3">
      <c r="A14" s="41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3">
      <c r="A15" s="42"/>
      <c r="B15" s="1"/>
      <c r="C15" s="2"/>
      <c r="F15" t="s">
        <v>53</v>
      </c>
    </row>
    <row r="16" spans="1:6" x14ac:dyDescent="0.3">
      <c r="A16" s="42"/>
      <c r="B16" s="1"/>
      <c r="C16" s="2"/>
      <c r="D16" s="13"/>
      <c r="F16" t="s">
        <v>54</v>
      </c>
    </row>
    <row r="17" spans="1:6" x14ac:dyDescent="0.3">
      <c r="A17" s="42"/>
      <c r="B17" s="1"/>
      <c r="C17" s="2"/>
      <c r="D17" s="13"/>
    </row>
    <row r="18" spans="1:6" x14ac:dyDescent="0.3">
      <c r="A18" s="42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3">
      <c r="A19" s="42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3">
      <c r="A20" s="42"/>
      <c r="B20" s="1" t="s">
        <v>50</v>
      </c>
      <c r="C20" s="2">
        <v>190059</v>
      </c>
      <c r="D20" s="13" t="s">
        <v>59</v>
      </c>
    </row>
    <row r="21" spans="1:6" x14ac:dyDescent="0.3">
      <c r="A21" s="43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3">
      <c r="D22" s="13"/>
    </row>
    <row r="23" spans="1:6" x14ac:dyDescent="0.3">
      <c r="A23" s="41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3">
      <c r="A24" s="42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3">
      <c r="A25" s="42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3">
      <c r="A26" s="42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3">
      <c r="A27" s="43"/>
      <c r="B27" s="3"/>
      <c r="C27" s="4">
        <f>SUM(C23:C26)</f>
        <v>255000</v>
      </c>
      <c r="E27" s="5">
        <f>C27/975.8</f>
        <v>261.32404181184671</v>
      </c>
    </row>
    <row r="28" spans="1:6" x14ac:dyDescent="0.3">
      <c r="A28" s="10"/>
      <c r="C28" s="11"/>
      <c r="E28" s="5"/>
    </row>
    <row r="29" spans="1:6" x14ac:dyDescent="0.3">
      <c r="A29" s="10"/>
      <c r="C29" s="11"/>
      <c r="E29" s="5"/>
    </row>
    <row r="30" spans="1:6" x14ac:dyDescent="0.3">
      <c r="C30" t="s">
        <v>48</v>
      </c>
      <c r="E30" t="s">
        <v>49</v>
      </c>
    </row>
    <row r="31" spans="1:6" x14ac:dyDescent="0.3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3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3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3">
      <c r="C35" t="s">
        <v>80</v>
      </c>
      <c r="D35" s="21" t="s">
        <v>81</v>
      </c>
      <c r="F35" s="20" t="s">
        <v>51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sheetPr>
    <tabColor theme="9"/>
  </sheetPr>
  <dimension ref="A1:H31"/>
  <sheetViews>
    <sheetView workbookViewId="0">
      <selection activeCell="C6" sqref="C6"/>
    </sheetView>
  </sheetViews>
  <sheetFormatPr baseColWidth="10" defaultRowHeight="14" x14ac:dyDescent="0.3"/>
  <cols>
    <col min="1" max="1" width="16.69921875" customWidth="1"/>
    <col min="2" max="2" width="33.3984375" customWidth="1"/>
    <col min="3" max="3" width="14" customWidth="1"/>
    <col min="4" max="4" width="28.8984375" customWidth="1"/>
    <col min="6" max="6" width="38.3984375" customWidth="1"/>
    <col min="7" max="7" width="36.296875" customWidth="1"/>
    <col min="8" max="8" width="37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1" t="s">
        <v>2</v>
      </c>
      <c r="B3" s="1" t="s">
        <v>30</v>
      </c>
      <c r="C3" s="2">
        <v>930834</v>
      </c>
      <c r="D3" s="14" t="s">
        <v>82</v>
      </c>
      <c r="E3" s="5"/>
    </row>
    <row r="4" spans="1:7" x14ac:dyDescent="0.3">
      <c r="A4" s="42"/>
      <c r="B4" s="1" t="s">
        <v>31</v>
      </c>
      <c r="C4" s="2">
        <v>532106</v>
      </c>
      <c r="D4" s="13" t="s">
        <v>88</v>
      </c>
      <c r="E4" s="5"/>
    </row>
    <row r="5" spans="1:7" x14ac:dyDescent="0.3">
      <c r="A5" s="42"/>
      <c r="B5" s="1"/>
      <c r="C5" s="2"/>
      <c r="D5" s="13"/>
      <c r="E5" s="5"/>
    </row>
    <row r="6" spans="1:7" x14ac:dyDescent="0.3">
      <c r="A6" s="43"/>
      <c r="B6" s="3"/>
      <c r="C6" s="4">
        <f>SUM(C3:C5)</f>
        <v>1462940</v>
      </c>
      <c r="E6" s="5">
        <f>C6/940.18</f>
        <v>1556.021187432194</v>
      </c>
    </row>
    <row r="8" spans="1:7" x14ac:dyDescent="0.3">
      <c r="A8" s="44" t="s">
        <v>0</v>
      </c>
      <c r="B8" s="1" t="s">
        <v>71</v>
      </c>
      <c r="C8" s="2">
        <v>1243306</v>
      </c>
      <c r="D8" s="13" t="s">
        <v>88</v>
      </c>
    </row>
    <row r="9" spans="1:7" x14ac:dyDescent="0.3">
      <c r="A9" s="45"/>
      <c r="B9" s="1"/>
      <c r="C9" s="2"/>
      <c r="D9" s="13"/>
    </row>
    <row r="10" spans="1:7" x14ac:dyDescent="0.3">
      <c r="A10" s="45"/>
      <c r="B10" s="1"/>
      <c r="C10" s="1"/>
      <c r="D10" s="13"/>
    </row>
    <row r="11" spans="1:7" x14ac:dyDescent="0.3">
      <c r="A11" s="46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3">
      <c r="A13" s="41" t="s">
        <v>1</v>
      </c>
      <c r="B13" s="1" t="s">
        <v>98</v>
      </c>
      <c r="C13" s="2">
        <v>150000</v>
      </c>
      <c r="D13" s="13" t="s">
        <v>84</v>
      </c>
      <c r="F13" t="s">
        <v>95</v>
      </c>
      <c r="G13" t="s">
        <v>96</v>
      </c>
    </row>
    <row r="14" spans="1:7" x14ac:dyDescent="0.3">
      <c r="A14" s="42"/>
      <c r="B14" s="1" t="s">
        <v>75</v>
      </c>
      <c r="C14" s="2">
        <v>409357</v>
      </c>
      <c r="D14" s="13" t="s">
        <v>83</v>
      </c>
      <c r="F14" t="s">
        <v>92</v>
      </c>
    </row>
    <row r="15" spans="1:7" x14ac:dyDescent="0.3">
      <c r="A15" s="42"/>
      <c r="B15" s="1" t="s">
        <v>50</v>
      </c>
      <c r="C15" s="2">
        <v>102339</v>
      </c>
      <c r="D15" s="13" t="s">
        <v>83</v>
      </c>
    </row>
    <row r="16" spans="1:7" x14ac:dyDescent="0.3">
      <c r="A16" s="43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3">
      <c r="C17" s="12"/>
      <c r="D17" s="13"/>
    </row>
    <row r="18" spans="1:8" x14ac:dyDescent="0.3">
      <c r="A18" s="41" t="s">
        <v>5</v>
      </c>
      <c r="B18" s="1" t="s">
        <v>63</v>
      </c>
      <c r="C18" s="2">
        <v>240000</v>
      </c>
      <c r="D18" s="13" t="s">
        <v>87</v>
      </c>
      <c r="F18" t="s">
        <v>93</v>
      </c>
      <c r="G18" t="s">
        <v>94</v>
      </c>
      <c r="H18" t="s">
        <v>95</v>
      </c>
    </row>
    <row r="19" spans="1:8" x14ac:dyDescent="0.3">
      <c r="A19" s="42"/>
      <c r="B19" s="1" t="s">
        <v>99</v>
      </c>
      <c r="C19" s="2">
        <v>80000</v>
      </c>
      <c r="D19" s="13" t="s">
        <v>87</v>
      </c>
      <c r="F19" t="s">
        <v>92</v>
      </c>
    </row>
    <row r="20" spans="1:8" x14ac:dyDescent="0.3">
      <c r="A20" s="42"/>
      <c r="B20" s="1" t="s">
        <v>89</v>
      </c>
      <c r="C20" s="2">
        <v>20000</v>
      </c>
      <c r="D20" s="13" t="s">
        <v>90</v>
      </c>
      <c r="F20" t="s">
        <v>97</v>
      </c>
    </row>
    <row r="21" spans="1:8" x14ac:dyDescent="0.3">
      <c r="A21" s="42"/>
      <c r="B21" s="1" t="s">
        <v>86</v>
      </c>
      <c r="C21" s="2">
        <v>66166</v>
      </c>
      <c r="D21" s="13" t="s">
        <v>85</v>
      </c>
      <c r="F21" t="s">
        <v>97</v>
      </c>
    </row>
    <row r="22" spans="1:8" x14ac:dyDescent="0.3">
      <c r="A22" s="43"/>
      <c r="B22" s="3"/>
      <c r="C22" s="4">
        <f>SUM(C18:C21)</f>
        <v>406166</v>
      </c>
      <c r="E22" s="5">
        <f>C22/940.18</f>
        <v>432.00876427918058</v>
      </c>
    </row>
    <row r="23" spans="1:8" x14ac:dyDescent="0.3">
      <c r="A23" s="10"/>
      <c r="C23" s="11"/>
      <c r="E23" s="5"/>
    </row>
    <row r="24" spans="1:8" x14ac:dyDescent="0.3">
      <c r="A24" s="10"/>
      <c r="C24" s="11"/>
      <c r="E24" s="5"/>
    </row>
    <row r="25" spans="1:8" x14ac:dyDescent="0.3">
      <c r="C25" t="s">
        <v>48</v>
      </c>
      <c r="E25" t="s">
        <v>49</v>
      </c>
    </row>
    <row r="26" spans="1:8" x14ac:dyDescent="0.3">
      <c r="B26" s="6" t="s">
        <v>100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3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3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3">
      <c r="C31" t="s">
        <v>102</v>
      </c>
      <c r="D31" s="21" t="s">
        <v>103</v>
      </c>
      <c r="F31" s="20" t="s">
        <v>51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sheetPr>
    <tabColor theme="9"/>
  </sheetPr>
  <dimension ref="A1:I31"/>
  <sheetViews>
    <sheetView zoomScale="80" zoomScaleNormal="80" workbookViewId="0">
      <selection activeCell="C27" sqref="C27"/>
    </sheetView>
  </sheetViews>
  <sheetFormatPr baseColWidth="10" defaultRowHeight="14" x14ac:dyDescent="0.3"/>
  <cols>
    <col min="1" max="1" width="15.296875" customWidth="1"/>
    <col min="2" max="2" width="31.8984375" customWidth="1"/>
    <col min="3" max="3" width="14" customWidth="1"/>
    <col min="4" max="4" width="26.3984375" customWidth="1"/>
    <col min="6" max="6" width="37.3984375" customWidth="1"/>
    <col min="7" max="7" width="35.8984375" customWidth="1"/>
    <col min="8" max="8" width="26.69921875" customWidth="1"/>
    <col min="9" max="9" width="37.29687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1" t="s">
        <v>2</v>
      </c>
      <c r="B3" s="1" t="s">
        <v>30</v>
      </c>
      <c r="C3" s="2">
        <v>910543</v>
      </c>
      <c r="D3" s="14" t="s">
        <v>115</v>
      </c>
      <c r="E3" s="5"/>
    </row>
    <row r="4" spans="1:6" x14ac:dyDescent="0.3">
      <c r="A4" s="42"/>
      <c r="B4" s="1" t="s">
        <v>31</v>
      </c>
      <c r="C4" s="2">
        <v>559446</v>
      </c>
      <c r="D4" s="13" t="s">
        <v>116</v>
      </c>
      <c r="E4" s="5"/>
    </row>
    <row r="5" spans="1:6" x14ac:dyDescent="0.3">
      <c r="A5" s="42"/>
      <c r="B5" s="1"/>
      <c r="C5" s="2"/>
      <c r="D5" s="13"/>
      <c r="E5" s="5"/>
    </row>
    <row r="6" spans="1:6" x14ac:dyDescent="0.3">
      <c r="A6" s="43"/>
      <c r="B6" s="3"/>
      <c r="C6" s="4">
        <f>SUM(C3:C5)</f>
        <v>1469989</v>
      </c>
      <c r="E6" s="5">
        <f>C6/936.89</f>
        <v>1569.0091686323901</v>
      </c>
    </row>
    <row r="8" spans="1:6" x14ac:dyDescent="0.3">
      <c r="A8" s="44" t="s">
        <v>0</v>
      </c>
      <c r="B8" s="1" t="s">
        <v>71</v>
      </c>
      <c r="C8" s="2">
        <v>1143954</v>
      </c>
      <c r="D8" s="13" t="s">
        <v>116</v>
      </c>
    </row>
    <row r="9" spans="1:6" x14ac:dyDescent="0.3">
      <c r="A9" s="45"/>
      <c r="B9" s="1"/>
      <c r="C9" s="2"/>
      <c r="D9" s="13"/>
    </row>
    <row r="10" spans="1:6" x14ac:dyDescent="0.3">
      <c r="A10" s="45"/>
      <c r="B10" s="1"/>
      <c r="C10" s="1"/>
      <c r="D10" s="13"/>
    </row>
    <row r="11" spans="1:6" x14ac:dyDescent="0.3">
      <c r="A11" s="46"/>
      <c r="B11" s="3"/>
      <c r="C11" s="4">
        <f>SUM(C8:C10)</f>
        <v>1143954</v>
      </c>
      <c r="D11" s="12"/>
      <c r="E11" s="5">
        <f>C11/936.89</f>
        <v>1221.0120718547535</v>
      </c>
    </row>
    <row r="13" spans="1:6" x14ac:dyDescent="0.3">
      <c r="A13" s="41" t="s">
        <v>1</v>
      </c>
      <c r="B13" s="1" t="s">
        <v>113</v>
      </c>
      <c r="C13" s="2">
        <v>60000</v>
      </c>
      <c r="D13" s="13" t="s">
        <v>114</v>
      </c>
      <c r="F13" s="23" t="s">
        <v>117</v>
      </c>
    </row>
    <row r="14" spans="1:6" x14ac:dyDescent="0.3">
      <c r="A14" s="42"/>
      <c r="B14" s="1" t="s">
        <v>107</v>
      </c>
      <c r="C14" s="2">
        <v>150000</v>
      </c>
      <c r="D14" s="13" t="s">
        <v>109</v>
      </c>
      <c r="F14" t="s">
        <v>119</v>
      </c>
    </row>
    <row r="15" spans="1:6" x14ac:dyDescent="0.3">
      <c r="A15" s="42"/>
      <c r="B15" s="1" t="s">
        <v>108</v>
      </c>
      <c r="C15" s="2">
        <v>350000</v>
      </c>
      <c r="D15" s="13" t="s">
        <v>110</v>
      </c>
      <c r="F15" t="s">
        <v>118</v>
      </c>
    </row>
    <row r="16" spans="1:6" x14ac:dyDescent="0.3">
      <c r="A16" s="43"/>
      <c r="B16" s="3"/>
      <c r="C16" s="4">
        <f>SUM(C13:C15)</f>
        <v>560000</v>
      </c>
      <c r="D16" s="13"/>
      <c r="E16" s="5">
        <f>C16/936.89</f>
        <v>597.722251278165</v>
      </c>
    </row>
    <row r="17" spans="1:9" x14ac:dyDescent="0.3">
      <c r="C17" s="12"/>
      <c r="D17" s="13"/>
    </row>
    <row r="18" spans="1:9" x14ac:dyDescent="0.3">
      <c r="A18" s="41" t="s">
        <v>5</v>
      </c>
      <c r="B18" s="1" t="s">
        <v>101</v>
      </c>
      <c r="C18" s="2">
        <v>320000</v>
      </c>
      <c r="D18" s="13" t="s">
        <v>106</v>
      </c>
      <c r="F18" t="s">
        <v>119</v>
      </c>
      <c r="G18" t="s">
        <v>118</v>
      </c>
      <c r="H18" t="s">
        <v>120</v>
      </c>
      <c r="I18" t="s">
        <v>121</v>
      </c>
    </row>
    <row r="19" spans="1:9" x14ac:dyDescent="0.3">
      <c r="A19" s="42"/>
      <c r="B19" s="1" t="s">
        <v>111</v>
      </c>
      <c r="C19" s="2">
        <v>20000</v>
      </c>
      <c r="D19" s="13" t="s">
        <v>112</v>
      </c>
      <c r="F19" t="s">
        <v>122</v>
      </c>
    </row>
    <row r="20" spans="1:9" x14ac:dyDescent="0.3">
      <c r="A20" s="42"/>
      <c r="B20" s="1" t="s">
        <v>104</v>
      </c>
      <c r="C20" s="2">
        <v>9000</v>
      </c>
      <c r="D20" s="13" t="s">
        <v>105</v>
      </c>
      <c r="F20" t="s">
        <v>123</v>
      </c>
      <c r="G20" t="s">
        <v>124</v>
      </c>
    </row>
    <row r="21" spans="1:9" x14ac:dyDescent="0.3">
      <c r="A21" s="42"/>
      <c r="B21" s="1" t="s">
        <v>127</v>
      </c>
      <c r="C21" s="2">
        <v>440391</v>
      </c>
      <c r="D21" s="13" t="s">
        <v>131</v>
      </c>
      <c r="F21" t="s">
        <v>129</v>
      </c>
      <c r="G21" t="s">
        <v>128</v>
      </c>
    </row>
    <row r="22" spans="1:9" x14ac:dyDescent="0.3">
      <c r="A22" s="43"/>
      <c r="B22" s="3"/>
      <c r="C22" s="4">
        <f>SUM(C18:C21)</f>
        <v>789391</v>
      </c>
      <c r="E22" s="5">
        <f>C22/936.89</f>
        <v>842.56529581914629</v>
      </c>
    </row>
    <row r="23" spans="1:9" x14ac:dyDescent="0.3">
      <c r="A23" s="10"/>
      <c r="C23" s="11"/>
      <c r="E23" s="5"/>
    </row>
    <row r="24" spans="1:9" x14ac:dyDescent="0.3">
      <c r="A24" s="10"/>
      <c r="C24" s="11"/>
      <c r="E24" s="5"/>
    </row>
    <row r="25" spans="1:9" x14ac:dyDescent="0.3">
      <c r="C25" t="s">
        <v>48</v>
      </c>
      <c r="E25" t="s">
        <v>49</v>
      </c>
    </row>
    <row r="26" spans="1:9" x14ac:dyDescent="0.3">
      <c r="B26" s="6" t="s">
        <v>130</v>
      </c>
      <c r="C26" s="7">
        <f>SUM(C6+C11+C16+C22)</f>
        <v>3963334</v>
      </c>
      <c r="E26" s="5">
        <f>C26/936.89</f>
        <v>4230.3087875844549</v>
      </c>
    </row>
    <row r="27" spans="1:9" x14ac:dyDescent="0.3">
      <c r="B27" t="s">
        <v>34</v>
      </c>
      <c r="C27" s="16">
        <f>C26*19/100</f>
        <v>753033.46</v>
      </c>
      <c r="E27" s="5">
        <f>C27/936.89</f>
        <v>803.75866964104637</v>
      </c>
    </row>
    <row r="28" spans="1:9" x14ac:dyDescent="0.3">
      <c r="B28" t="s">
        <v>35</v>
      </c>
      <c r="C28" s="7">
        <f>SUM(C26:C27)</f>
        <v>4716367.46</v>
      </c>
      <c r="E28" s="5">
        <f>C28/936.89</f>
        <v>5034.0674572255011</v>
      </c>
    </row>
    <row r="31" spans="1:9" x14ac:dyDescent="0.3">
      <c r="C31" t="s">
        <v>132</v>
      </c>
      <c r="D31" s="21" t="s">
        <v>91</v>
      </c>
      <c r="E31">
        <v>11</v>
      </c>
      <c r="F31" s="24" t="s">
        <v>51</v>
      </c>
    </row>
  </sheetData>
  <mergeCells count="4">
    <mergeCell ref="A3:A6"/>
    <mergeCell ref="A8:A11"/>
    <mergeCell ref="A13:A16"/>
    <mergeCell ref="A18:A22"/>
  </mergeCells>
  <hyperlinks>
    <hyperlink ref="F13" r:id="rId1" xr:uid="{E634CDED-4BF9-47FC-B369-0E9D9CCA42E1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5C2-DB58-4A24-8A05-2493F6EE1EB6}">
  <sheetPr>
    <tabColor theme="9" tint="0.59999389629810485"/>
  </sheetPr>
  <dimension ref="A1:H30"/>
  <sheetViews>
    <sheetView topLeftCell="A10" zoomScale="97" zoomScaleNormal="97" workbookViewId="0">
      <selection activeCell="E27" sqref="E27"/>
    </sheetView>
  </sheetViews>
  <sheetFormatPr baseColWidth="10" defaultRowHeight="14" x14ac:dyDescent="0.3"/>
  <cols>
    <col min="1" max="1" width="15.296875" customWidth="1"/>
    <col min="2" max="2" width="31.8984375" customWidth="1"/>
    <col min="3" max="3" width="14" customWidth="1"/>
    <col min="4" max="4" width="27.3984375" customWidth="1"/>
    <col min="6" max="6" width="17.8984375" customWidth="1"/>
    <col min="7" max="8" width="22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1" t="s">
        <v>2</v>
      </c>
      <c r="B3" s="1" t="s">
        <v>143</v>
      </c>
      <c r="C3" s="2">
        <v>1529019</v>
      </c>
      <c r="D3" t="s">
        <v>145</v>
      </c>
      <c r="E3" s="5"/>
    </row>
    <row r="4" spans="1:7" x14ac:dyDescent="0.3">
      <c r="A4" s="42"/>
      <c r="B4" s="1" t="s">
        <v>142</v>
      </c>
      <c r="C4" s="2">
        <v>857204</v>
      </c>
      <c r="D4" t="s">
        <v>144</v>
      </c>
      <c r="E4" s="5"/>
    </row>
    <row r="5" spans="1:7" x14ac:dyDescent="0.3">
      <c r="A5" s="42"/>
      <c r="B5" s="1"/>
      <c r="C5" s="2"/>
      <c r="E5" s="5"/>
    </row>
    <row r="6" spans="1:7" x14ac:dyDescent="0.3">
      <c r="A6" s="43"/>
      <c r="B6" s="3"/>
      <c r="C6" s="4">
        <f>SUM(C3:C5)</f>
        <v>2386223</v>
      </c>
      <c r="E6" s="5">
        <f t="shared" ref="E6" si="0">C6/926.51</f>
        <v>2575.4962169863252</v>
      </c>
    </row>
    <row r="8" spans="1:7" x14ac:dyDescent="0.3">
      <c r="A8" s="44" t="s">
        <v>0</v>
      </c>
      <c r="B8" s="1" t="s">
        <v>71</v>
      </c>
      <c r="C8" s="2">
        <v>461927</v>
      </c>
      <c r="D8" t="s">
        <v>144</v>
      </c>
    </row>
    <row r="9" spans="1:7" x14ac:dyDescent="0.3">
      <c r="A9" s="45"/>
      <c r="B9" s="1"/>
      <c r="C9" s="2"/>
    </row>
    <row r="10" spans="1:7" x14ac:dyDescent="0.3">
      <c r="A10" s="45"/>
      <c r="B10" s="1"/>
      <c r="C10" s="1"/>
    </row>
    <row r="11" spans="1:7" x14ac:dyDescent="0.3">
      <c r="A11" s="46"/>
      <c r="B11" s="3"/>
      <c r="C11" s="4">
        <f>SUM(C8:C10)</f>
        <v>461927</v>
      </c>
      <c r="E11" s="5">
        <f t="shared" ref="E11" si="1">C11/926.51</f>
        <v>498.56666414825531</v>
      </c>
    </row>
    <row r="13" spans="1:7" x14ac:dyDescent="0.3">
      <c r="A13" s="41" t="s">
        <v>1</v>
      </c>
      <c r="B13" s="1" t="s">
        <v>98</v>
      </c>
      <c r="C13" s="2">
        <v>100000</v>
      </c>
      <c r="D13" t="s">
        <v>146</v>
      </c>
      <c r="F13" t="s">
        <v>140</v>
      </c>
      <c r="G13" t="s">
        <v>141</v>
      </c>
    </row>
    <row r="14" spans="1:7" x14ac:dyDescent="0.3">
      <c r="A14" s="42"/>
      <c r="B14" s="1" t="s">
        <v>125</v>
      </c>
      <c r="C14" s="2">
        <v>650000</v>
      </c>
      <c r="D14" s="13" t="s">
        <v>133</v>
      </c>
      <c r="F14" t="s">
        <v>121</v>
      </c>
    </row>
    <row r="15" spans="1:7" x14ac:dyDescent="0.3">
      <c r="A15" s="42"/>
      <c r="B15" s="1" t="s">
        <v>126</v>
      </c>
      <c r="C15" s="2">
        <v>150000</v>
      </c>
      <c r="D15" s="13" t="s">
        <v>133</v>
      </c>
      <c r="F15" t="s">
        <v>121</v>
      </c>
    </row>
    <row r="16" spans="1:7" x14ac:dyDescent="0.3">
      <c r="A16" s="43"/>
      <c r="B16" s="3"/>
      <c r="C16" s="4">
        <f>SUM(C13:C15)</f>
        <v>900000</v>
      </c>
      <c r="D16" s="13"/>
      <c r="E16" s="5">
        <f t="shared" ref="E16" si="2">C16/926.51</f>
        <v>971.38724892337916</v>
      </c>
    </row>
    <row r="17" spans="1:8" x14ac:dyDescent="0.3">
      <c r="C17" s="12"/>
      <c r="D17" s="13"/>
    </row>
    <row r="18" spans="1:8" x14ac:dyDescent="0.3">
      <c r="A18" s="41" t="s">
        <v>5</v>
      </c>
      <c r="B18" s="1" t="s">
        <v>137</v>
      </c>
      <c r="C18" s="2">
        <v>240000</v>
      </c>
      <c r="D18" s="13" t="s">
        <v>135</v>
      </c>
      <c r="F18" t="s">
        <v>121</v>
      </c>
      <c r="G18" t="s">
        <v>138</v>
      </c>
      <c r="H18" t="s">
        <v>139</v>
      </c>
    </row>
    <row r="19" spans="1:8" x14ac:dyDescent="0.3">
      <c r="A19" s="42"/>
      <c r="B19" s="1" t="s">
        <v>136</v>
      </c>
      <c r="C19" s="2">
        <v>20000</v>
      </c>
      <c r="D19" s="13" t="s">
        <v>134</v>
      </c>
      <c r="F19" t="s">
        <v>139</v>
      </c>
    </row>
    <row r="20" spans="1:8" x14ac:dyDescent="0.3">
      <c r="A20" s="42"/>
      <c r="B20" s="1"/>
      <c r="C20" s="2"/>
      <c r="D20" s="13"/>
    </row>
    <row r="21" spans="1:8" x14ac:dyDescent="0.3">
      <c r="A21" s="43"/>
      <c r="B21" s="3"/>
      <c r="C21" s="4">
        <f>SUM(C18:C20)</f>
        <v>260000</v>
      </c>
      <c r="E21" s="5">
        <f t="shared" ref="E21" si="3">C21/926.51</f>
        <v>280.62298302230954</v>
      </c>
    </row>
    <row r="22" spans="1:8" x14ac:dyDescent="0.3">
      <c r="A22" s="10"/>
      <c r="C22" s="11"/>
    </row>
    <row r="23" spans="1:8" x14ac:dyDescent="0.3">
      <c r="A23" s="10"/>
      <c r="C23" s="11"/>
    </row>
    <row r="24" spans="1:8" x14ac:dyDescent="0.3">
      <c r="C24" t="s">
        <v>48</v>
      </c>
      <c r="E24" t="s">
        <v>49</v>
      </c>
    </row>
    <row r="25" spans="1:8" x14ac:dyDescent="0.3">
      <c r="B25" s="6" t="s">
        <v>147</v>
      </c>
      <c r="C25" s="7">
        <f>SUM(C6+C11+C16+C21)</f>
        <v>4008150</v>
      </c>
      <c r="E25" s="5">
        <f>C25/926.51</f>
        <v>4326.0731130802687</v>
      </c>
    </row>
    <row r="26" spans="1:8" x14ac:dyDescent="0.3">
      <c r="B26" t="s">
        <v>34</v>
      </c>
      <c r="C26" s="16">
        <f>C25*19/100</f>
        <v>761548.5</v>
      </c>
      <c r="E26" s="5">
        <f t="shared" ref="E26:E27" si="4">C26/926.51</f>
        <v>821.95389148525112</v>
      </c>
    </row>
    <row r="27" spans="1:8" x14ac:dyDescent="0.3">
      <c r="B27" t="s">
        <v>35</v>
      </c>
      <c r="C27" s="7">
        <f>SUM(C25:C26)</f>
        <v>4769698.5</v>
      </c>
      <c r="E27" s="5">
        <f t="shared" si="4"/>
        <v>5148.0270045655197</v>
      </c>
    </row>
    <row r="30" spans="1:8" x14ac:dyDescent="0.3">
      <c r="C30" t="s">
        <v>149</v>
      </c>
      <c r="D30" s="21" t="s">
        <v>150</v>
      </c>
      <c r="E30" s="25" t="s">
        <v>151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0DD5-8813-4B8D-9E85-552B92148D40}">
  <sheetPr>
    <tabColor theme="9"/>
  </sheetPr>
  <dimension ref="A1:H30"/>
  <sheetViews>
    <sheetView topLeftCell="A10" workbookViewId="0">
      <selection activeCell="E27" sqref="E27"/>
    </sheetView>
  </sheetViews>
  <sheetFormatPr baseColWidth="10" defaultRowHeight="14" x14ac:dyDescent="0.3"/>
  <cols>
    <col min="1" max="1" width="16.59765625" customWidth="1"/>
    <col min="2" max="2" width="22.8984375" customWidth="1"/>
    <col min="3" max="3" width="14.59765625" customWidth="1"/>
    <col min="4" max="4" width="30.3984375" customWidth="1"/>
    <col min="6" max="6" width="18.296875" customWidth="1"/>
    <col min="7" max="8" width="19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1" t="s">
        <v>2</v>
      </c>
      <c r="B3" s="1" t="s">
        <v>30</v>
      </c>
      <c r="C3" s="2">
        <v>793708</v>
      </c>
      <c r="D3" t="s">
        <v>161</v>
      </c>
    </row>
    <row r="4" spans="1:6" x14ac:dyDescent="0.3">
      <c r="A4" s="42"/>
      <c r="B4" s="1" t="s">
        <v>6</v>
      </c>
      <c r="C4" s="2">
        <v>422884</v>
      </c>
      <c r="D4" t="s">
        <v>154</v>
      </c>
    </row>
    <row r="5" spans="1:6" x14ac:dyDescent="0.3">
      <c r="A5" s="42"/>
      <c r="B5" s="1"/>
      <c r="C5" s="2"/>
    </row>
    <row r="6" spans="1:6" x14ac:dyDescent="0.3">
      <c r="A6" s="43"/>
      <c r="B6" s="3"/>
      <c r="C6" s="4">
        <f>SUM(C3:C5)</f>
        <v>1216592</v>
      </c>
      <c r="E6" s="5">
        <f>C6/966</f>
        <v>1259.4120082815734</v>
      </c>
    </row>
    <row r="8" spans="1:6" x14ac:dyDescent="0.3">
      <c r="A8" s="44" t="s">
        <v>0</v>
      </c>
      <c r="B8" s="1" t="s">
        <v>71</v>
      </c>
      <c r="C8" s="2">
        <v>308232</v>
      </c>
      <c r="D8" t="s">
        <v>154</v>
      </c>
    </row>
    <row r="9" spans="1:6" x14ac:dyDescent="0.3">
      <c r="A9" s="45"/>
      <c r="B9" s="1"/>
      <c r="C9" s="2"/>
    </row>
    <row r="10" spans="1:6" x14ac:dyDescent="0.3">
      <c r="A10" s="45"/>
      <c r="B10" s="1"/>
      <c r="C10" s="1"/>
    </row>
    <row r="11" spans="1:6" x14ac:dyDescent="0.3">
      <c r="A11" s="46"/>
      <c r="B11" s="3"/>
      <c r="C11" s="4">
        <f>SUM(C8:C10)</f>
        <v>308232</v>
      </c>
      <c r="E11" s="5">
        <f>C11/966</f>
        <v>319.08074534161489</v>
      </c>
    </row>
    <row r="13" spans="1:6" x14ac:dyDescent="0.3">
      <c r="A13" s="41" t="s">
        <v>1</v>
      </c>
      <c r="B13" s="1" t="s">
        <v>148</v>
      </c>
      <c r="C13" s="2">
        <v>350000</v>
      </c>
      <c r="D13" t="s">
        <v>155</v>
      </c>
      <c r="F13" t="s">
        <v>159</v>
      </c>
    </row>
    <row r="14" spans="1:6" x14ac:dyDescent="0.3">
      <c r="A14" s="42"/>
      <c r="B14" s="1"/>
      <c r="C14" s="1"/>
    </row>
    <row r="15" spans="1:6" x14ac:dyDescent="0.3">
      <c r="A15" s="42"/>
      <c r="B15" s="1"/>
      <c r="C15" s="2"/>
    </row>
    <row r="16" spans="1:6" x14ac:dyDescent="0.3">
      <c r="A16" s="43"/>
      <c r="B16" s="3"/>
      <c r="C16" s="4">
        <f>SUM(C13:C15)</f>
        <v>350000</v>
      </c>
      <c r="E16" s="5">
        <f>C16/966</f>
        <v>362.31884057971013</v>
      </c>
    </row>
    <row r="17" spans="1:8" x14ac:dyDescent="0.3">
      <c r="C17" s="12"/>
    </row>
    <row r="18" spans="1:8" x14ac:dyDescent="0.3">
      <c r="A18" s="41" t="s">
        <v>5</v>
      </c>
      <c r="B18" s="1" t="s">
        <v>137</v>
      </c>
      <c r="C18" s="2">
        <v>240000</v>
      </c>
      <c r="D18" t="s">
        <v>156</v>
      </c>
      <c r="F18" t="s">
        <v>158</v>
      </c>
      <c r="G18" t="s">
        <v>159</v>
      </c>
      <c r="H18" t="s">
        <v>160</v>
      </c>
    </row>
    <row r="19" spans="1:8" x14ac:dyDescent="0.3">
      <c r="A19" s="42"/>
      <c r="B19" s="1" t="s">
        <v>136</v>
      </c>
      <c r="C19" s="2">
        <v>20000</v>
      </c>
      <c r="D19" t="s">
        <v>157</v>
      </c>
      <c r="F19" t="s">
        <v>160</v>
      </c>
    </row>
    <row r="20" spans="1:8" x14ac:dyDescent="0.3">
      <c r="A20" s="42"/>
      <c r="B20" s="1"/>
      <c r="C20" s="2"/>
    </row>
    <row r="21" spans="1:8" x14ac:dyDescent="0.3">
      <c r="A21" s="43"/>
      <c r="B21" s="3"/>
      <c r="C21" s="4">
        <f>SUM(C18:C20)</f>
        <v>260000</v>
      </c>
      <c r="E21" s="5">
        <f>C21/966</f>
        <v>269.15113871635612</v>
      </c>
    </row>
    <row r="22" spans="1:8" x14ac:dyDescent="0.3">
      <c r="A22" s="10"/>
      <c r="C22" s="11"/>
    </row>
    <row r="23" spans="1:8" x14ac:dyDescent="0.3">
      <c r="A23" s="10"/>
      <c r="C23" s="11"/>
    </row>
    <row r="24" spans="1:8" x14ac:dyDescent="0.3">
      <c r="C24" t="s">
        <v>48</v>
      </c>
    </row>
    <row r="25" spans="1:8" x14ac:dyDescent="0.3">
      <c r="B25" s="6" t="s">
        <v>153</v>
      </c>
      <c r="C25" s="7">
        <f>SUM(C6+C11+C16+C21)</f>
        <v>2134824</v>
      </c>
      <c r="E25" s="5">
        <f>SUM(E6:E21)</f>
        <v>2209.9627329192544</v>
      </c>
      <c r="F25" s="5"/>
    </row>
    <row r="26" spans="1:8" x14ac:dyDescent="0.3">
      <c r="B26" t="s">
        <v>34</v>
      </c>
      <c r="C26" s="16">
        <f>C25*19/100</f>
        <v>405616.56</v>
      </c>
      <c r="E26" s="5">
        <f>C26/966</f>
        <v>419.89291925465841</v>
      </c>
    </row>
    <row r="27" spans="1:8" x14ac:dyDescent="0.3">
      <c r="B27" t="s">
        <v>35</v>
      </c>
      <c r="C27" s="7">
        <f>SUM(C25:C26)</f>
        <v>2540440.56</v>
      </c>
      <c r="E27" s="5">
        <f>C27/966</f>
        <v>2629.8556521739133</v>
      </c>
    </row>
    <row r="30" spans="1:8" x14ac:dyDescent="0.3">
      <c r="C30" t="s">
        <v>166</v>
      </c>
      <c r="D30" s="21" t="s">
        <v>165</v>
      </c>
      <c r="E30" s="24" t="s">
        <v>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6CF6-97AF-4E41-93D8-CE91423F008B}">
  <sheetPr>
    <tabColor rgb="FF92D050"/>
  </sheetPr>
  <dimension ref="A1:G30"/>
  <sheetViews>
    <sheetView topLeftCell="A10" workbookViewId="0">
      <selection activeCell="F29" sqref="F29"/>
    </sheetView>
  </sheetViews>
  <sheetFormatPr baseColWidth="10" defaultRowHeight="14" x14ac:dyDescent="0.3"/>
  <cols>
    <col min="2" max="2" width="26.69921875" customWidth="1"/>
    <col min="3" max="3" width="14.19921875" customWidth="1"/>
    <col min="4" max="4" width="20.09765625" customWidth="1"/>
    <col min="5" max="5" width="12" customWidth="1"/>
    <col min="6" max="6" width="32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1" t="s">
        <v>2</v>
      </c>
      <c r="B3" s="1" t="s">
        <v>30</v>
      </c>
      <c r="C3" s="2">
        <v>777567</v>
      </c>
      <c r="D3" s="13" t="s">
        <v>179</v>
      </c>
      <c r="E3" s="5">
        <f>C3/974.13</f>
        <v>798.21687043823715</v>
      </c>
    </row>
    <row r="4" spans="1:7" x14ac:dyDescent="0.3">
      <c r="A4" s="42"/>
      <c r="B4" s="1" t="s">
        <v>6</v>
      </c>
      <c r="C4" s="2">
        <v>482226</v>
      </c>
      <c r="D4" s="13" t="s">
        <v>167</v>
      </c>
      <c r="E4" s="5">
        <f>C4/974.13</f>
        <v>495.03249053001139</v>
      </c>
    </row>
    <row r="5" spans="1:7" x14ac:dyDescent="0.3">
      <c r="A5" s="42"/>
      <c r="B5" s="1"/>
      <c r="C5" s="2"/>
      <c r="D5" s="13"/>
    </row>
    <row r="6" spans="1:7" x14ac:dyDescent="0.3">
      <c r="A6" s="43"/>
      <c r="B6" s="3"/>
      <c r="C6" s="4">
        <f>SUM(C3:C5)</f>
        <v>1259793</v>
      </c>
      <c r="D6" s="13"/>
      <c r="E6" s="28">
        <f>C6/974.13</f>
        <v>1293.2493609682485</v>
      </c>
    </row>
    <row r="7" spans="1:7" x14ac:dyDescent="0.3">
      <c r="D7" s="13"/>
    </row>
    <row r="8" spans="1:7" x14ac:dyDescent="0.3">
      <c r="A8" s="44" t="s">
        <v>0</v>
      </c>
      <c r="B8" s="1" t="s">
        <v>71</v>
      </c>
      <c r="C8" s="2">
        <v>302280</v>
      </c>
      <c r="D8" s="13" t="s">
        <v>167</v>
      </c>
      <c r="E8" s="5">
        <f>C8/974.13</f>
        <v>310.30765914200362</v>
      </c>
    </row>
    <row r="9" spans="1:7" x14ac:dyDescent="0.3">
      <c r="A9" s="45"/>
      <c r="B9" s="1"/>
      <c r="C9" s="2"/>
      <c r="D9" s="13"/>
    </row>
    <row r="10" spans="1:7" x14ac:dyDescent="0.3">
      <c r="A10" s="45"/>
      <c r="B10" s="1"/>
      <c r="C10" s="1"/>
      <c r="D10" s="13"/>
    </row>
    <row r="11" spans="1:7" x14ac:dyDescent="0.3">
      <c r="A11" s="46"/>
      <c r="B11" s="3"/>
      <c r="C11" s="4">
        <f>SUM(C8:C10)</f>
        <v>302280</v>
      </c>
      <c r="D11" s="13"/>
      <c r="E11" s="28">
        <f>C11/974.13</f>
        <v>310.30765914200362</v>
      </c>
    </row>
    <row r="12" spans="1:7" x14ac:dyDescent="0.3">
      <c r="D12" s="13"/>
    </row>
    <row r="13" spans="1:7" x14ac:dyDescent="0.3">
      <c r="A13" s="41" t="s">
        <v>1</v>
      </c>
      <c r="B13" s="1" t="s">
        <v>162</v>
      </c>
      <c r="C13" s="2">
        <v>150000</v>
      </c>
      <c r="D13" s="13" t="s">
        <v>168</v>
      </c>
      <c r="E13" s="5">
        <f>C13/974.13</f>
        <v>153.98355455637338</v>
      </c>
      <c r="F13" t="s">
        <v>173</v>
      </c>
    </row>
    <row r="14" spans="1:7" x14ac:dyDescent="0.3">
      <c r="A14" s="42"/>
      <c r="B14" s="1" t="s">
        <v>163</v>
      </c>
      <c r="C14" s="2">
        <v>245000</v>
      </c>
      <c r="D14" s="13" t="s">
        <v>169</v>
      </c>
      <c r="E14" s="5">
        <f>C14/974.13</f>
        <v>251.50647244207653</v>
      </c>
      <c r="F14" s="23" t="s">
        <v>177</v>
      </c>
      <c r="G14" s="26" t="s">
        <v>178</v>
      </c>
    </row>
    <row r="15" spans="1:7" x14ac:dyDescent="0.3">
      <c r="A15" s="42"/>
      <c r="B15" s="1" t="s">
        <v>164</v>
      </c>
      <c r="C15" s="2">
        <v>80000</v>
      </c>
      <c r="D15" s="13" t="s">
        <v>170</v>
      </c>
      <c r="E15" s="5">
        <f>C15/974.13</f>
        <v>82.124562430065808</v>
      </c>
      <c r="F15" t="s">
        <v>176</v>
      </c>
    </row>
    <row r="16" spans="1:7" x14ac:dyDescent="0.3">
      <c r="A16" s="43"/>
      <c r="B16" s="3"/>
      <c r="C16" s="4">
        <f>SUM(C13:C15)</f>
        <v>475000</v>
      </c>
      <c r="D16" s="13"/>
      <c r="E16" s="28">
        <f>C16/974.13</f>
        <v>487.61458942851573</v>
      </c>
    </row>
    <row r="17" spans="1:7" x14ac:dyDescent="0.3">
      <c r="C17" s="12"/>
      <c r="D17" s="13"/>
    </row>
    <row r="18" spans="1:7" x14ac:dyDescent="0.3">
      <c r="A18" s="41" t="s">
        <v>5</v>
      </c>
      <c r="B18" s="1" t="s">
        <v>175</v>
      </c>
      <c r="C18" s="2">
        <v>160000</v>
      </c>
      <c r="D18" s="13" t="s">
        <v>171</v>
      </c>
      <c r="E18" s="5">
        <f>C18/974.13</f>
        <v>164.24912486013162</v>
      </c>
      <c r="F18" t="s">
        <v>173</v>
      </c>
      <c r="G18" t="s">
        <v>174</v>
      </c>
    </row>
    <row r="19" spans="1:7" x14ac:dyDescent="0.3">
      <c r="A19" s="42"/>
      <c r="B19" s="1" t="s">
        <v>136</v>
      </c>
      <c r="C19" s="2">
        <v>20000</v>
      </c>
      <c r="D19" s="13" t="s">
        <v>172</v>
      </c>
      <c r="E19" s="5">
        <f>C19/974.13</f>
        <v>20.531140607516452</v>
      </c>
      <c r="F19" t="s">
        <v>174</v>
      </c>
    </row>
    <row r="20" spans="1:7" x14ac:dyDescent="0.3">
      <c r="A20" s="42"/>
      <c r="B20" s="1"/>
      <c r="C20" s="2"/>
      <c r="D20" s="13"/>
    </row>
    <row r="21" spans="1:7" x14ac:dyDescent="0.3">
      <c r="A21" s="43"/>
      <c r="B21" s="3"/>
      <c r="C21" s="4">
        <f>SUM(C18:C20)</f>
        <v>180000</v>
      </c>
      <c r="D21" s="13"/>
      <c r="E21" s="28">
        <f>C21/974.13</f>
        <v>184.78026546764806</v>
      </c>
    </row>
    <row r="22" spans="1:7" x14ac:dyDescent="0.3">
      <c r="A22" s="10"/>
      <c r="C22" s="11"/>
    </row>
    <row r="23" spans="1:7" x14ac:dyDescent="0.3">
      <c r="A23" s="10"/>
      <c r="C23" s="11"/>
    </row>
    <row r="24" spans="1:7" x14ac:dyDescent="0.3">
      <c r="C24" t="s">
        <v>48</v>
      </c>
    </row>
    <row r="25" spans="1:7" x14ac:dyDescent="0.3">
      <c r="B25" s="6" t="s">
        <v>152</v>
      </c>
      <c r="C25" s="7">
        <f>SUM(C6+C11+C16+C21)</f>
        <v>2217073</v>
      </c>
      <c r="E25" s="5">
        <f>C25/974.13</f>
        <v>2275.9518750064158</v>
      </c>
    </row>
    <row r="26" spans="1:7" x14ac:dyDescent="0.3">
      <c r="B26" t="s">
        <v>34</v>
      </c>
      <c r="C26" s="16">
        <f>C25*19/100</f>
        <v>421243.87</v>
      </c>
      <c r="E26" s="5">
        <f>C26/974.13</f>
        <v>432.43085625121904</v>
      </c>
    </row>
    <row r="27" spans="1:7" x14ac:dyDescent="0.3">
      <c r="B27" t="s">
        <v>35</v>
      </c>
      <c r="C27" s="27">
        <f>SUM(C25:C26)</f>
        <v>2638316.87</v>
      </c>
      <c r="E27" s="28">
        <f>C27/974.13</f>
        <v>2708.382731257635</v>
      </c>
    </row>
    <row r="30" spans="1:7" x14ac:dyDescent="0.3">
      <c r="C30" t="s">
        <v>184</v>
      </c>
      <c r="D30" s="21" t="s">
        <v>183</v>
      </c>
      <c r="E30" s="24" t="s">
        <v>51</v>
      </c>
    </row>
  </sheetData>
  <mergeCells count="4">
    <mergeCell ref="A3:A6"/>
    <mergeCell ref="A8:A11"/>
    <mergeCell ref="A13:A16"/>
    <mergeCell ref="A18:A21"/>
  </mergeCells>
  <hyperlinks>
    <hyperlink ref="F14" r:id="rId1" location="7" display="https://www.canva.com/design/DAGvIr2gw8o/F49vD_YD61U7vXT7oEJFig/view?utm_content=DAGvIr2gw8o&amp;utm_campaign=designshare&amp;utm_medium=link2&amp;utm_source=uniquelinks&amp;utlId=he19613beae - 7" xr:uid="{6DDE2067-9BC3-439F-A04C-3EBB96D11E4B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067D-E91D-480F-AE19-4C297FA2CC93}">
  <sheetPr>
    <tabColor theme="9" tint="0.59999389629810485"/>
  </sheetPr>
  <dimension ref="A1:H31"/>
  <sheetViews>
    <sheetView topLeftCell="B4" workbookViewId="0">
      <selection activeCell="C31" sqref="C31:D31"/>
    </sheetView>
  </sheetViews>
  <sheetFormatPr baseColWidth="10" defaultRowHeight="14" x14ac:dyDescent="0.3"/>
  <cols>
    <col min="1" max="1" width="12.8984375" customWidth="1"/>
    <col min="2" max="2" width="25.296875" customWidth="1"/>
    <col min="3" max="3" width="13.3984375" customWidth="1"/>
    <col min="4" max="4" width="21.796875" customWidth="1"/>
    <col min="6" max="8" width="18.8984375" customWidth="1"/>
  </cols>
  <sheetData>
    <row r="1" spans="1:8" x14ac:dyDescent="0.3">
      <c r="A1" s="9">
        <v>2025</v>
      </c>
    </row>
    <row r="2" spans="1:8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8" x14ac:dyDescent="0.3">
      <c r="A3" s="41" t="s">
        <v>2</v>
      </c>
      <c r="B3" s="1" t="s">
        <v>30</v>
      </c>
      <c r="C3" s="2">
        <v>765488</v>
      </c>
      <c r="D3" s="13" t="s">
        <v>216</v>
      </c>
      <c r="E3" s="5">
        <f>C3/961.54</f>
        <v>796.10624623000604</v>
      </c>
    </row>
    <row r="4" spans="1:8" x14ac:dyDescent="0.3">
      <c r="A4" s="42"/>
      <c r="B4" s="1" t="s">
        <v>6</v>
      </c>
      <c r="C4" s="2">
        <v>495010</v>
      </c>
      <c r="D4" s="13" t="s">
        <v>206</v>
      </c>
      <c r="E4" s="5">
        <f>C4/961.54</f>
        <v>514.80957630467788</v>
      </c>
    </row>
    <row r="5" spans="1:8" x14ac:dyDescent="0.3">
      <c r="A5" s="42"/>
      <c r="B5" s="1"/>
      <c r="C5" s="2"/>
      <c r="D5" s="13"/>
    </row>
    <row r="6" spans="1:8" x14ac:dyDescent="0.3">
      <c r="A6" s="43"/>
      <c r="B6" s="3"/>
      <c r="C6" s="4">
        <f>SUM(C3:C5)</f>
        <v>1260498</v>
      </c>
      <c r="D6" s="13"/>
      <c r="E6" s="5">
        <f>C6/961.54</f>
        <v>1310.9158225346839</v>
      </c>
    </row>
    <row r="7" spans="1:8" x14ac:dyDescent="0.3">
      <c r="D7" s="13"/>
    </row>
    <row r="8" spans="1:8" x14ac:dyDescent="0.3">
      <c r="A8" s="44" t="s">
        <v>0</v>
      </c>
      <c r="B8" s="1" t="s">
        <v>71</v>
      </c>
      <c r="C8" s="2">
        <v>497025</v>
      </c>
      <c r="D8" s="13" t="s">
        <v>206</v>
      </c>
      <c r="E8" s="5">
        <f>C8/961.54</f>
        <v>516.90517295172333</v>
      </c>
    </row>
    <row r="9" spans="1:8" x14ac:dyDescent="0.3">
      <c r="A9" s="45"/>
      <c r="B9" s="1"/>
      <c r="C9" s="2"/>
      <c r="D9" s="13"/>
    </row>
    <row r="10" spans="1:8" x14ac:dyDescent="0.3">
      <c r="A10" s="45"/>
      <c r="B10" s="1"/>
      <c r="C10" s="1"/>
      <c r="D10" s="13"/>
    </row>
    <row r="11" spans="1:8" x14ac:dyDescent="0.3">
      <c r="A11" s="46"/>
      <c r="B11" s="3"/>
      <c r="C11" s="4">
        <f>SUM(C8:C10)</f>
        <v>497025</v>
      </c>
      <c r="D11" s="13"/>
      <c r="E11" s="5">
        <f>C11/961.54</f>
        <v>516.90517295172333</v>
      </c>
    </row>
    <row r="12" spans="1:8" x14ac:dyDescent="0.3">
      <c r="D12" s="13"/>
    </row>
    <row r="13" spans="1:8" x14ac:dyDescent="0.3">
      <c r="A13" s="41" t="s">
        <v>1</v>
      </c>
      <c r="B13" s="1" t="s">
        <v>163</v>
      </c>
      <c r="C13" s="2">
        <v>291550</v>
      </c>
      <c r="D13" s="13" t="s">
        <v>209</v>
      </c>
      <c r="E13" s="5">
        <f>C13/961.54</f>
        <v>303.21151486157623</v>
      </c>
      <c r="F13" t="s">
        <v>213</v>
      </c>
      <c r="G13" t="s">
        <v>212</v>
      </c>
      <c r="H13" t="s">
        <v>211</v>
      </c>
    </row>
    <row r="14" spans="1:8" x14ac:dyDescent="0.3">
      <c r="A14" s="42"/>
      <c r="B14" s="1"/>
      <c r="C14" s="1"/>
      <c r="D14" s="13"/>
      <c r="E14" s="5">
        <f>C14/968.35</f>
        <v>0</v>
      </c>
      <c r="F14" s="23"/>
    </row>
    <row r="15" spans="1:8" x14ac:dyDescent="0.3">
      <c r="A15" s="42"/>
      <c r="B15" s="1"/>
      <c r="C15" s="2"/>
      <c r="D15" s="13"/>
      <c r="E15" s="5">
        <f t="shared" ref="E15" si="0">C15/968.35</f>
        <v>0</v>
      </c>
    </row>
    <row r="16" spans="1:8" x14ac:dyDescent="0.3">
      <c r="A16" s="43"/>
      <c r="B16" s="3"/>
      <c r="C16" s="4">
        <f>SUM(C13:C15)</f>
        <v>291550</v>
      </c>
      <c r="D16" s="13"/>
      <c r="E16" s="5">
        <f>C16/961.54</f>
        <v>303.21151486157623</v>
      </c>
    </row>
    <row r="17" spans="1:7" x14ac:dyDescent="0.3">
      <c r="C17" s="12"/>
      <c r="D17" s="13"/>
    </row>
    <row r="18" spans="1:7" x14ac:dyDescent="0.3">
      <c r="A18" s="41" t="s">
        <v>5</v>
      </c>
      <c r="B18" s="1" t="s">
        <v>175</v>
      </c>
      <c r="C18" s="2">
        <v>160000</v>
      </c>
      <c r="D18" s="13" t="s">
        <v>207</v>
      </c>
      <c r="E18" s="5">
        <f>C18/961.54</f>
        <v>166.39973376042599</v>
      </c>
      <c r="F18" t="s">
        <v>214</v>
      </c>
      <c r="G18" t="s">
        <v>215</v>
      </c>
    </row>
    <row r="19" spans="1:7" x14ac:dyDescent="0.3">
      <c r="A19" s="42"/>
      <c r="B19" s="1" t="s">
        <v>136</v>
      </c>
      <c r="C19" s="2">
        <v>20000</v>
      </c>
      <c r="D19" s="13" t="s">
        <v>208</v>
      </c>
      <c r="E19" s="5">
        <f>C19/961.54</f>
        <v>20.799966720053249</v>
      </c>
      <c r="F19" t="s">
        <v>215</v>
      </c>
    </row>
    <row r="20" spans="1:7" x14ac:dyDescent="0.3">
      <c r="A20" s="42"/>
      <c r="B20" s="1" t="s">
        <v>180</v>
      </c>
      <c r="C20" s="2">
        <v>273700</v>
      </c>
      <c r="D20" s="13" t="s">
        <v>210</v>
      </c>
      <c r="E20" s="5">
        <f>C20/961.54</f>
        <v>284.6475445639287</v>
      </c>
    </row>
    <row r="21" spans="1:7" x14ac:dyDescent="0.3">
      <c r="A21" s="42"/>
      <c r="B21" s="1"/>
      <c r="C21" s="2"/>
      <c r="D21" s="13"/>
    </row>
    <row r="22" spans="1:7" x14ac:dyDescent="0.3">
      <c r="A22" s="43"/>
      <c r="B22" s="3"/>
      <c r="C22" s="4">
        <f>SUM(C18:C20)</f>
        <v>453700</v>
      </c>
      <c r="D22" s="13"/>
      <c r="E22" s="5">
        <f>C22/961.54</f>
        <v>471.84724504440794</v>
      </c>
    </row>
    <row r="23" spans="1:7" x14ac:dyDescent="0.3">
      <c r="A23" s="10"/>
      <c r="C23" s="11"/>
    </row>
    <row r="24" spans="1:7" x14ac:dyDescent="0.3">
      <c r="A24" s="10"/>
      <c r="C24" s="11"/>
    </row>
    <row r="25" spans="1:7" x14ac:dyDescent="0.3">
      <c r="C25" t="s">
        <v>48</v>
      </c>
    </row>
    <row r="26" spans="1:7" x14ac:dyDescent="0.3">
      <c r="B26" s="6" t="s">
        <v>217</v>
      </c>
      <c r="C26" s="7">
        <f>SUM(C6+C11+C16+C22)</f>
        <v>2502773</v>
      </c>
      <c r="E26" s="5">
        <f>C26/961.54</f>
        <v>2602.8797553923914</v>
      </c>
    </row>
    <row r="27" spans="1:7" x14ac:dyDescent="0.3">
      <c r="B27" t="s">
        <v>34</v>
      </c>
      <c r="C27" s="16">
        <f>C26*19/100</f>
        <v>475526.87</v>
      </c>
      <c r="E27" s="5">
        <f>C27/961.54</f>
        <v>494.54715352455435</v>
      </c>
    </row>
    <row r="28" spans="1:7" x14ac:dyDescent="0.3">
      <c r="B28" t="s">
        <v>35</v>
      </c>
      <c r="C28" s="27">
        <f>SUM(C26:C27)</f>
        <v>2978299.87</v>
      </c>
      <c r="E28" s="28">
        <f>C28/961.54</f>
        <v>3097.4269089169461</v>
      </c>
    </row>
    <row r="31" spans="1:7" x14ac:dyDescent="0.3">
      <c r="C31" t="s">
        <v>218</v>
      </c>
      <c r="D31" s="21" t="s">
        <v>219</v>
      </c>
      <c r="E31" s="25" t="s">
        <v>220</v>
      </c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FE7C-C996-4086-8A70-183A1948FBE3}">
  <sheetPr>
    <tabColor theme="9" tint="0.79998168889431442"/>
  </sheetPr>
  <dimension ref="A1:H30"/>
  <sheetViews>
    <sheetView topLeftCell="A7" workbookViewId="0">
      <selection activeCell="E30" sqref="E30"/>
    </sheetView>
  </sheetViews>
  <sheetFormatPr baseColWidth="10" defaultRowHeight="14" x14ac:dyDescent="0.3"/>
  <cols>
    <col min="1" max="1" width="12.8984375" customWidth="1"/>
    <col min="2" max="2" width="25.296875" customWidth="1"/>
    <col min="3" max="3" width="13.3984375" customWidth="1"/>
    <col min="4" max="4" width="21.796875" customWidth="1"/>
    <col min="6" max="6" width="23.296875" customWidth="1"/>
    <col min="7" max="7" width="22.19921875" customWidth="1"/>
    <col min="8" max="8" width="24.69921875" customWidth="1"/>
  </cols>
  <sheetData>
    <row r="1" spans="1:8" x14ac:dyDescent="0.3">
      <c r="A1" s="9">
        <v>2025</v>
      </c>
    </row>
    <row r="2" spans="1:8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8" x14ac:dyDescent="0.3">
      <c r="A3" s="41" t="s">
        <v>2</v>
      </c>
      <c r="B3" s="1" t="s">
        <v>221</v>
      </c>
      <c r="C3" s="2">
        <v>1261548</v>
      </c>
      <c r="D3" s="13" t="s">
        <v>224</v>
      </c>
      <c r="E3" s="5">
        <f>C3/945.13</f>
        <v>1334.7878069683536</v>
      </c>
    </row>
    <row r="4" spans="1:8" x14ac:dyDescent="0.3">
      <c r="A4" s="42"/>
      <c r="B4" s="1" t="s">
        <v>222</v>
      </c>
      <c r="C4" s="2">
        <v>1163655</v>
      </c>
      <c r="D4" s="13" t="s">
        <v>223</v>
      </c>
      <c r="E4" s="5">
        <f t="shared" ref="E4:E6" si="0">C4/945.13</f>
        <v>1231.2115793594533</v>
      </c>
    </row>
    <row r="5" spans="1:8" x14ac:dyDescent="0.3">
      <c r="A5" s="42"/>
      <c r="B5" s="1"/>
      <c r="C5" s="1"/>
      <c r="D5" s="13"/>
      <c r="E5" s="5"/>
    </row>
    <row r="6" spans="1:8" x14ac:dyDescent="0.3">
      <c r="A6" s="43"/>
      <c r="B6" s="3"/>
      <c r="C6" s="4">
        <f>SUM(C3:C4)</f>
        <v>2425203</v>
      </c>
      <c r="D6" s="13"/>
      <c r="E6" s="28">
        <f t="shared" si="0"/>
        <v>2565.9993863278069</v>
      </c>
    </row>
    <row r="7" spans="1:8" x14ac:dyDescent="0.3">
      <c r="D7" s="13"/>
    </row>
    <row r="8" spans="1:8" x14ac:dyDescent="0.3">
      <c r="A8" s="44" t="s">
        <v>0</v>
      </c>
      <c r="B8" s="1" t="s">
        <v>71</v>
      </c>
      <c r="C8" s="2">
        <v>948214</v>
      </c>
      <c r="D8" s="13" t="s">
        <v>223</v>
      </c>
      <c r="E8" s="5">
        <f>C8/945.13</f>
        <v>1003.2630431792452</v>
      </c>
    </row>
    <row r="9" spans="1:8" x14ac:dyDescent="0.3">
      <c r="A9" s="45"/>
      <c r="B9" s="1"/>
      <c r="C9" s="2"/>
      <c r="D9" s="13"/>
    </row>
    <row r="10" spans="1:8" x14ac:dyDescent="0.3">
      <c r="A10" s="45"/>
      <c r="B10" s="1"/>
      <c r="C10" s="1"/>
      <c r="D10" s="13"/>
    </row>
    <row r="11" spans="1:8" x14ac:dyDescent="0.3">
      <c r="A11" s="46"/>
      <c r="B11" s="3"/>
      <c r="C11" s="4">
        <f>SUM(C8:C10)</f>
        <v>948214</v>
      </c>
      <c r="D11" s="13"/>
      <c r="E11" s="28">
        <f>C11/945.13</f>
        <v>1003.2630431792452</v>
      </c>
    </row>
    <row r="12" spans="1:8" x14ac:dyDescent="0.3">
      <c r="D12" s="13"/>
    </row>
    <row r="13" spans="1:8" x14ac:dyDescent="0.3">
      <c r="A13" s="41" t="s">
        <v>1</v>
      </c>
      <c r="B13" s="1" t="s">
        <v>163</v>
      </c>
      <c r="C13" s="2">
        <v>245000</v>
      </c>
      <c r="D13" s="13" t="s">
        <v>225</v>
      </c>
      <c r="E13" s="5">
        <f>C13/945.13</f>
        <v>259.22359886999675</v>
      </c>
      <c r="F13" t="s">
        <v>230</v>
      </c>
      <c r="G13" t="s">
        <v>231</v>
      </c>
      <c r="H13" t="s">
        <v>232</v>
      </c>
    </row>
    <row r="14" spans="1:8" x14ac:dyDescent="0.3">
      <c r="A14" s="42"/>
      <c r="B14" s="1"/>
      <c r="C14" s="2"/>
      <c r="D14" s="13"/>
      <c r="E14" s="5"/>
    </row>
    <row r="15" spans="1:8" x14ac:dyDescent="0.3">
      <c r="A15" s="43"/>
      <c r="B15" s="3"/>
      <c r="C15" s="4">
        <f>SUM(C13:C14)</f>
        <v>245000</v>
      </c>
      <c r="D15" s="13"/>
      <c r="E15" s="28">
        <f>C15/945.13</f>
        <v>259.22359886999675</v>
      </c>
    </row>
    <row r="16" spans="1:8" x14ac:dyDescent="0.3">
      <c r="C16" s="12"/>
      <c r="D16" s="13"/>
    </row>
    <row r="17" spans="1:7" x14ac:dyDescent="0.3">
      <c r="A17" s="41" t="s">
        <v>5</v>
      </c>
      <c r="B17" s="1" t="s">
        <v>175</v>
      </c>
      <c r="C17" s="2">
        <v>160000</v>
      </c>
      <c r="D17" s="13" t="s">
        <v>226</v>
      </c>
      <c r="E17" s="5">
        <f>C17/945.13</f>
        <v>169.28888089469174</v>
      </c>
      <c r="F17" t="s">
        <v>233</v>
      </c>
      <c r="G17" t="s">
        <v>234</v>
      </c>
    </row>
    <row r="18" spans="1:7" x14ac:dyDescent="0.3">
      <c r="A18" s="42"/>
      <c r="B18" s="1" t="s">
        <v>136</v>
      </c>
      <c r="C18" s="2">
        <v>25000</v>
      </c>
      <c r="D18" s="13" t="s">
        <v>227</v>
      </c>
      <c r="E18" s="5">
        <f t="shared" ref="E18:E21" si="1">C18/945.13</f>
        <v>26.451387639795584</v>
      </c>
      <c r="F18" t="s">
        <v>233</v>
      </c>
    </row>
    <row r="19" spans="1:7" x14ac:dyDescent="0.3">
      <c r="A19" s="42"/>
      <c r="B19" s="1" t="s">
        <v>182</v>
      </c>
      <c r="C19" s="2">
        <v>469500</v>
      </c>
      <c r="D19" s="13" t="s">
        <v>228</v>
      </c>
      <c r="E19" s="5">
        <f t="shared" si="1"/>
        <v>496.75705987536105</v>
      </c>
    </row>
    <row r="20" spans="1:7" x14ac:dyDescent="0.3">
      <c r="A20" s="42"/>
      <c r="B20" s="1"/>
      <c r="C20" s="2"/>
      <c r="D20" s="13"/>
      <c r="E20" s="5"/>
    </row>
    <row r="21" spans="1:7" x14ac:dyDescent="0.3">
      <c r="A21" s="43"/>
      <c r="B21" s="3"/>
      <c r="C21" s="4">
        <f>SUM(C17:C19)</f>
        <v>654500</v>
      </c>
      <c r="D21" s="13"/>
      <c r="E21" s="28">
        <f t="shared" si="1"/>
        <v>692.49732840984836</v>
      </c>
    </row>
    <row r="22" spans="1:7" x14ac:dyDescent="0.3">
      <c r="A22" s="10"/>
      <c r="C22" s="11"/>
    </row>
    <row r="23" spans="1:7" x14ac:dyDescent="0.3">
      <c r="A23" s="10"/>
      <c r="C23" s="11"/>
    </row>
    <row r="24" spans="1:7" x14ac:dyDescent="0.3">
      <c r="C24" t="s">
        <v>48</v>
      </c>
    </row>
    <row r="25" spans="1:7" x14ac:dyDescent="0.3">
      <c r="B25" s="6" t="s">
        <v>229</v>
      </c>
      <c r="C25" s="7">
        <f>SUM(C6+C11+C15+C21)</f>
        <v>4272917</v>
      </c>
      <c r="E25" s="5">
        <f>C25/945.13</f>
        <v>4520.9833567868973</v>
      </c>
    </row>
    <row r="26" spans="1:7" x14ac:dyDescent="0.3">
      <c r="B26" t="s">
        <v>34</v>
      </c>
      <c r="C26" s="16">
        <f>C25*19/100</f>
        <v>811854.23</v>
      </c>
      <c r="E26" s="5">
        <f t="shared" ref="E26:E27" si="2">C26/945.13</f>
        <v>858.98683778951045</v>
      </c>
    </row>
    <row r="27" spans="1:7" x14ac:dyDescent="0.3">
      <c r="B27" t="s">
        <v>35</v>
      </c>
      <c r="C27" s="27">
        <f>SUM(C25:C26)</f>
        <v>5084771.2300000004</v>
      </c>
      <c r="E27" s="28">
        <f t="shared" si="2"/>
        <v>5379.9701945764082</v>
      </c>
    </row>
    <row r="30" spans="1:7" x14ac:dyDescent="0.3">
      <c r="C30" t="s">
        <v>236</v>
      </c>
      <c r="D30" s="21" t="s">
        <v>237</v>
      </c>
      <c r="E30" s="24" t="s">
        <v>204</v>
      </c>
    </row>
  </sheetData>
  <mergeCells count="4">
    <mergeCell ref="A3:A6"/>
    <mergeCell ref="A8:A11"/>
    <mergeCell ref="A13:A15"/>
    <mergeCell ref="A17:A21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E378-1A17-4A12-BED4-F4FE429036E7}">
  <sheetPr>
    <tabColor theme="9" tint="0.59999389629810485"/>
  </sheetPr>
  <dimension ref="A1:K34"/>
  <sheetViews>
    <sheetView topLeftCell="A16" workbookViewId="0">
      <selection activeCell="G33" sqref="G33"/>
    </sheetView>
  </sheetViews>
  <sheetFormatPr baseColWidth="10" defaultRowHeight="14" x14ac:dyDescent="0.3"/>
  <cols>
    <col min="1" max="1" width="12.8984375" customWidth="1"/>
    <col min="2" max="2" width="25.296875" customWidth="1"/>
    <col min="3" max="3" width="13.3984375" customWidth="1"/>
    <col min="4" max="4" width="20.796875" customWidth="1"/>
    <col min="6" max="6" width="28.8984375" customWidth="1"/>
    <col min="7" max="7" width="24.59765625" customWidth="1"/>
    <col min="8" max="8" width="18.796875" customWidth="1"/>
  </cols>
  <sheetData>
    <row r="1" spans="1:11" x14ac:dyDescent="0.3">
      <c r="A1" s="9">
        <v>2025</v>
      </c>
    </row>
    <row r="2" spans="1:11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11" x14ac:dyDescent="0.3">
      <c r="A3" s="41" t="s">
        <v>2</v>
      </c>
      <c r="B3" s="1" t="s">
        <v>30</v>
      </c>
      <c r="C3" s="2">
        <v>867932</v>
      </c>
      <c r="D3" s="13" t="s">
        <v>239</v>
      </c>
      <c r="E3" s="5">
        <f>C3/918.15</f>
        <v>945.30523334967052</v>
      </c>
    </row>
    <row r="4" spans="1:11" x14ac:dyDescent="0.3">
      <c r="A4" s="42"/>
      <c r="B4" s="1" t="s">
        <v>6</v>
      </c>
      <c r="C4" s="2">
        <v>762731</v>
      </c>
      <c r="D4" s="13" t="s">
        <v>240</v>
      </c>
      <c r="E4" s="5">
        <f t="shared" ref="E4:E9" si="0">C4/918.15</f>
        <v>830.72591624462234</v>
      </c>
    </row>
    <row r="5" spans="1:11" x14ac:dyDescent="0.3">
      <c r="A5" s="42"/>
      <c r="B5" s="1"/>
      <c r="C5" s="2"/>
      <c r="D5" s="13"/>
      <c r="E5" s="5"/>
    </row>
    <row r="6" spans="1:11" x14ac:dyDescent="0.3">
      <c r="A6" s="42"/>
      <c r="B6" s="1"/>
      <c r="C6" s="2"/>
      <c r="D6" s="13"/>
      <c r="E6" s="5"/>
    </row>
    <row r="7" spans="1:11" x14ac:dyDescent="0.3">
      <c r="A7" s="43"/>
      <c r="B7" s="3"/>
      <c r="C7" s="4">
        <f>SUM(C3:C5)</f>
        <v>1630663</v>
      </c>
      <c r="D7" s="13"/>
      <c r="E7" s="5">
        <f t="shared" si="0"/>
        <v>1776.0311495942929</v>
      </c>
    </row>
    <row r="8" spans="1:11" x14ac:dyDescent="0.3">
      <c r="D8" s="13"/>
    </row>
    <row r="9" spans="1:11" x14ac:dyDescent="0.3">
      <c r="A9" s="44" t="s">
        <v>0</v>
      </c>
      <c r="B9" s="1" t="s">
        <v>71</v>
      </c>
      <c r="C9" s="2">
        <v>1269132</v>
      </c>
      <c r="D9" s="13" t="s">
        <v>240</v>
      </c>
      <c r="E9" s="5">
        <f t="shared" si="0"/>
        <v>1382.2708707727495</v>
      </c>
    </row>
    <row r="10" spans="1:11" x14ac:dyDescent="0.3">
      <c r="A10" s="45"/>
      <c r="B10" s="1"/>
      <c r="C10" s="2"/>
      <c r="D10" s="13"/>
    </row>
    <row r="11" spans="1:11" x14ac:dyDescent="0.3">
      <c r="A11" s="45"/>
      <c r="B11" s="1"/>
      <c r="C11" s="1"/>
      <c r="D11" s="13"/>
      <c r="K11" s="18"/>
    </row>
    <row r="12" spans="1:11" x14ac:dyDescent="0.3">
      <c r="A12" s="46"/>
      <c r="B12" s="3"/>
      <c r="C12" s="4">
        <f>SUM(C9:C11)</f>
        <v>1269132</v>
      </c>
      <c r="D12" s="13"/>
      <c r="E12" s="28">
        <f t="shared" ref="E12" si="1">C12/918.15</f>
        <v>1382.2708707727495</v>
      </c>
    </row>
    <row r="13" spans="1:11" x14ac:dyDescent="0.3">
      <c r="D13" s="13"/>
    </row>
    <row r="14" spans="1:11" x14ac:dyDescent="0.3">
      <c r="A14" s="41" t="s">
        <v>1</v>
      </c>
      <c r="B14" s="1" t="s">
        <v>163</v>
      </c>
      <c r="C14" s="2">
        <v>245000</v>
      </c>
      <c r="D14" s="13" t="s">
        <v>241</v>
      </c>
      <c r="E14" s="5">
        <f t="shared" ref="E14:E25" si="2">C14/918.15</f>
        <v>266.8409301312422</v>
      </c>
      <c r="F14" t="s">
        <v>253</v>
      </c>
      <c r="G14" t="s">
        <v>254</v>
      </c>
      <c r="H14" t="s">
        <v>230</v>
      </c>
    </row>
    <row r="15" spans="1:11" x14ac:dyDescent="0.3">
      <c r="A15" s="42"/>
      <c r="B15" s="1" t="s">
        <v>235</v>
      </c>
      <c r="C15" s="2">
        <v>350000</v>
      </c>
      <c r="D15" s="13" t="s">
        <v>243</v>
      </c>
      <c r="E15" s="5">
        <f t="shared" si="2"/>
        <v>381.20132875891738</v>
      </c>
      <c r="F15" s="23" t="s">
        <v>252</v>
      </c>
      <c r="I15" s="18"/>
    </row>
    <row r="16" spans="1:11" x14ac:dyDescent="0.3">
      <c r="A16" s="42"/>
      <c r="B16" s="1" t="s">
        <v>181</v>
      </c>
      <c r="C16" s="2">
        <v>245000</v>
      </c>
      <c r="D16" s="13" t="s">
        <v>242</v>
      </c>
      <c r="E16" s="5">
        <f t="shared" si="2"/>
        <v>266.8409301312422</v>
      </c>
      <c r="F16" t="s">
        <v>250</v>
      </c>
      <c r="G16" s="18" t="s">
        <v>255</v>
      </c>
      <c r="H16" s="18"/>
    </row>
    <row r="17" spans="1:8" x14ac:dyDescent="0.3">
      <c r="A17" s="42"/>
      <c r="B17" s="1" t="s">
        <v>246</v>
      </c>
      <c r="C17" s="2">
        <v>80000</v>
      </c>
      <c r="D17" s="13" t="s">
        <v>245</v>
      </c>
      <c r="E17" s="5">
        <f t="shared" si="2"/>
        <v>87.131732287752541</v>
      </c>
      <c r="F17" t="s">
        <v>251</v>
      </c>
    </row>
    <row r="18" spans="1:8" x14ac:dyDescent="0.3">
      <c r="A18" s="42"/>
      <c r="B18" s="1"/>
      <c r="C18" s="2"/>
      <c r="D18" s="13"/>
      <c r="E18" s="5"/>
    </row>
    <row r="19" spans="1:8" x14ac:dyDescent="0.3">
      <c r="A19" s="43"/>
      <c r="B19" s="3"/>
      <c r="C19" s="4">
        <f>SUM(C14:C17)</f>
        <v>920000</v>
      </c>
      <c r="D19" s="13"/>
      <c r="E19" s="28">
        <f t="shared" si="2"/>
        <v>1002.0149213091543</v>
      </c>
    </row>
    <row r="20" spans="1:8" x14ac:dyDescent="0.3">
      <c r="C20" s="12"/>
      <c r="D20" s="13"/>
    </row>
    <row r="21" spans="1:8" x14ac:dyDescent="0.3">
      <c r="A21" s="41" t="s">
        <v>5</v>
      </c>
      <c r="B21" s="1" t="s">
        <v>175</v>
      </c>
      <c r="C21" s="2">
        <v>160000</v>
      </c>
      <c r="D21" s="13" t="s">
        <v>244</v>
      </c>
      <c r="E21" s="5">
        <f t="shared" si="2"/>
        <v>174.26346457550508</v>
      </c>
      <c r="F21" s="23" t="s">
        <v>252</v>
      </c>
      <c r="G21" t="s">
        <v>256</v>
      </c>
    </row>
    <row r="22" spans="1:8" x14ac:dyDescent="0.3">
      <c r="A22" s="42"/>
      <c r="B22" s="1" t="s">
        <v>247</v>
      </c>
      <c r="C22" s="2">
        <v>275445</v>
      </c>
      <c r="D22" s="13" t="s">
        <v>248</v>
      </c>
      <c r="E22" s="5">
        <f t="shared" si="2"/>
        <v>300</v>
      </c>
    </row>
    <row r="23" spans="1:8" x14ac:dyDescent="0.3">
      <c r="A23" s="42"/>
      <c r="B23" s="1"/>
      <c r="C23" s="2"/>
      <c r="D23" s="13"/>
      <c r="E23" s="5"/>
    </row>
    <row r="24" spans="1:8" x14ac:dyDescent="0.3">
      <c r="A24" s="42"/>
      <c r="B24" s="1"/>
      <c r="C24" s="2"/>
      <c r="D24" s="13"/>
      <c r="E24" s="5"/>
    </row>
    <row r="25" spans="1:8" x14ac:dyDescent="0.3">
      <c r="A25" s="43"/>
      <c r="B25" s="3"/>
      <c r="C25" s="4">
        <f>SUM(C21:C23)</f>
        <v>435445</v>
      </c>
      <c r="D25" s="13"/>
      <c r="E25" s="28">
        <f t="shared" si="2"/>
        <v>474.26346457550511</v>
      </c>
    </row>
    <row r="26" spans="1:8" x14ac:dyDescent="0.3">
      <c r="A26" s="10"/>
      <c r="C26" s="11"/>
    </row>
    <row r="27" spans="1:8" x14ac:dyDescent="0.3">
      <c r="A27" s="10"/>
      <c r="C27" s="11"/>
      <c r="H27" s="18"/>
    </row>
    <row r="28" spans="1:8" x14ac:dyDescent="0.3">
      <c r="C28" t="s">
        <v>48</v>
      </c>
    </row>
    <row r="29" spans="1:8" x14ac:dyDescent="0.3">
      <c r="B29" s="6" t="s">
        <v>249</v>
      </c>
      <c r="C29" s="7">
        <f>SUM(C7+C12+C19+C25)</f>
        <v>4255240</v>
      </c>
      <c r="E29" s="5">
        <f>C29/918.15</f>
        <v>4634.5804062517018</v>
      </c>
    </row>
    <row r="30" spans="1:8" x14ac:dyDescent="0.3">
      <c r="B30" t="s">
        <v>34</v>
      </c>
      <c r="C30" s="16">
        <f>C29*19/100</f>
        <v>808495.6</v>
      </c>
      <c r="E30" s="5">
        <f t="shared" ref="E30" si="3">C30/918.15</f>
        <v>880.57027718782331</v>
      </c>
    </row>
    <row r="31" spans="1:8" x14ac:dyDescent="0.3">
      <c r="B31" t="s">
        <v>35</v>
      </c>
      <c r="C31" s="27">
        <f>SUM(C29:C30)</f>
        <v>5063735.5999999996</v>
      </c>
      <c r="E31" s="28">
        <f>C31/918.15</f>
        <v>5515.150683439525</v>
      </c>
    </row>
    <row r="34" spans="3:6" x14ac:dyDescent="0.3">
      <c r="C34" t="s">
        <v>258</v>
      </c>
      <c r="D34" s="21" t="s">
        <v>257</v>
      </c>
      <c r="E34" s="29">
        <v>17</v>
      </c>
      <c r="F34" s="24" t="s">
        <v>204</v>
      </c>
    </row>
  </sheetData>
  <mergeCells count="4">
    <mergeCell ref="A3:A7"/>
    <mergeCell ref="A9:A12"/>
    <mergeCell ref="A14:A19"/>
    <mergeCell ref="A21:A25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3528-88FB-40C3-BBF5-2280B17D0C03}">
  <sheetPr>
    <tabColor rgb="FFFFFF00"/>
  </sheetPr>
  <dimension ref="A1:H38"/>
  <sheetViews>
    <sheetView tabSelected="1" topLeftCell="A10" workbookViewId="0">
      <selection activeCell="F27" sqref="F27"/>
    </sheetView>
  </sheetViews>
  <sheetFormatPr baseColWidth="10" defaultRowHeight="14" x14ac:dyDescent="0.3"/>
  <cols>
    <col min="1" max="1" width="12.8984375" customWidth="1"/>
    <col min="2" max="2" width="25.296875" customWidth="1"/>
    <col min="3" max="3" width="13.3984375" customWidth="1"/>
    <col min="4" max="4" width="20" customWidth="1"/>
    <col min="6" max="6" width="21.3984375" customWidth="1"/>
    <col min="7" max="7" width="26.3984375" customWidth="1"/>
    <col min="8" max="8" width="18.59765625" customWidth="1"/>
  </cols>
  <sheetData>
    <row r="1" spans="1:8" x14ac:dyDescent="0.3">
      <c r="A1" s="9">
        <v>2025</v>
      </c>
    </row>
    <row r="2" spans="1:8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8" x14ac:dyDescent="0.3">
      <c r="A3" s="41" t="s">
        <v>2</v>
      </c>
      <c r="B3" s="1" t="s">
        <v>30</v>
      </c>
      <c r="C3" s="2">
        <v>1167934</v>
      </c>
      <c r="D3" s="13" t="s">
        <v>267</v>
      </c>
      <c r="E3" s="5">
        <f>C3/901.55</f>
        <v>1295.4733514502802</v>
      </c>
    </row>
    <row r="4" spans="1:8" x14ac:dyDescent="0.3">
      <c r="A4" s="42"/>
      <c r="B4" s="1" t="s">
        <v>6</v>
      </c>
      <c r="C4" s="2">
        <v>922070</v>
      </c>
      <c r="D4" s="13" t="s">
        <v>266</v>
      </c>
      <c r="E4" s="5">
        <f>C4/901.55</f>
        <v>1022.7608008429927</v>
      </c>
    </row>
    <row r="5" spans="1:8" x14ac:dyDescent="0.3">
      <c r="A5" s="42"/>
      <c r="B5" s="1"/>
      <c r="C5" s="1"/>
      <c r="E5" s="5"/>
    </row>
    <row r="6" spans="1:8" x14ac:dyDescent="0.3">
      <c r="A6" s="43"/>
      <c r="B6" s="3"/>
      <c r="C6" s="4">
        <f>SUM(C3:C4)</f>
        <v>2090004</v>
      </c>
      <c r="D6" s="13"/>
      <c r="E6" s="28">
        <f>C6/901.55</f>
        <v>2318.2341522932729</v>
      </c>
    </row>
    <row r="7" spans="1:8" x14ac:dyDescent="0.3">
      <c r="D7" s="13"/>
    </row>
    <row r="8" spans="1:8" x14ac:dyDescent="0.3">
      <c r="A8" s="44" t="s">
        <v>0</v>
      </c>
      <c r="B8" s="1" t="s">
        <v>71</v>
      </c>
      <c r="C8" s="2">
        <v>1256070</v>
      </c>
      <c r="D8" s="13" t="s">
        <v>266</v>
      </c>
      <c r="E8" s="5">
        <f>C8/901.55</f>
        <v>1393.2338749930675</v>
      </c>
    </row>
    <row r="9" spans="1:8" x14ac:dyDescent="0.3">
      <c r="A9" s="45"/>
      <c r="B9" s="1"/>
      <c r="C9" s="2"/>
      <c r="D9" s="13"/>
    </row>
    <row r="10" spans="1:8" x14ac:dyDescent="0.3">
      <c r="A10" s="45"/>
      <c r="B10" s="1"/>
      <c r="C10" s="1"/>
      <c r="D10" s="13"/>
    </row>
    <row r="11" spans="1:8" x14ac:dyDescent="0.3">
      <c r="A11" s="46"/>
      <c r="B11" s="3"/>
      <c r="C11" s="4">
        <f>SUM(C8:C10)</f>
        <v>1256070</v>
      </c>
      <c r="D11" s="13"/>
      <c r="E11" s="28">
        <f>C11/901.55</f>
        <v>1393.2338749930675</v>
      </c>
    </row>
    <row r="12" spans="1:8" x14ac:dyDescent="0.3">
      <c r="D12" s="13"/>
    </row>
    <row r="13" spans="1:8" x14ac:dyDescent="0.3">
      <c r="A13" s="41" t="s">
        <v>1</v>
      </c>
      <c r="B13" s="1" t="s">
        <v>163</v>
      </c>
      <c r="C13" s="2">
        <v>245000</v>
      </c>
      <c r="D13" s="13" t="s">
        <v>259</v>
      </c>
      <c r="E13" s="5">
        <f>C13/901.55</f>
        <v>271.75420109810881</v>
      </c>
      <c r="F13" t="s">
        <v>263</v>
      </c>
      <c r="G13" t="s">
        <v>264</v>
      </c>
      <c r="H13" t="s">
        <v>265</v>
      </c>
    </row>
    <row r="14" spans="1:8" x14ac:dyDescent="0.3">
      <c r="A14" s="42"/>
      <c r="B14" s="1"/>
      <c r="C14" s="2"/>
      <c r="D14" s="13"/>
      <c r="E14" s="5">
        <f>C14/968.35</f>
        <v>0</v>
      </c>
      <c r="F14" s="23"/>
    </row>
    <row r="15" spans="1:8" x14ac:dyDescent="0.3">
      <c r="A15" s="42"/>
      <c r="B15" s="1"/>
      <c r="C15" s="2"/>
      <c r="D15" s="13"/>
      <c r="E15" s="5">
        <f t="shared" ref="E15" si="0">C15/968.35</f>
        <v>0</v>
      </c>
    </row>
    <row r="16" spans="1:8" x14ac:dyDescent="0.3">
      <c r="A16" s="43"/>
      <c r="B16" s="3"/>
      <c r="C16" s="4">
        <f>SUM(C13:C15)</f>
        <v>245000</v>
      </c>
      <c r="D16" s="13"/>
      <c r="E16" s="28">
        <f>C16/901.55</f>
        <v>271.75420109810881</v>
      </c>
    </row>
    <row r="17" spans="1:8" x14ac:dyDescent="0.3">
      <c r="C17" s="12"/>
      <c r="D17" s="13"/>
    </row>
    <row r="18" spans="1:8" x14ac:dyDescent="0.3">
      <c r="A18" s="41" t="s">
        <v>5</v>
      </c>
      <c r="B18" s="1" t="s">
        <v>175</v>
      </c>
      <c r="C18" s="2">
        <v>160000</v>
      </c>
      <c r="D18" s="13" t="s">
        <v>260</v>
      </c>
      <c r="E18" s="5">
        <f>C18/901.55</f>
        <v>177.47213132937719</v>
      </c>
      <c r="F18" t="s">
        <v>261</v>
      </c>
      <c r="G18" t="s">
        <v>262</v>
      </c>
    </row>
    <row r="19" spans="1:8" x14ac:dyDescent="0.3">
      <c r="A19" s="42"/>
      <c r="B19" s="1"/>
      <c r="C19" s="2"/>
      <c r="D19" s="13"/>
    </row>
    <row r="20" spans="1:8" x14ac:dyDescent="0.3">
      <c r="A20" s="43"/>
      <c r="B20" s="3"/>
      <c r="C20" s="4">
        <f>SUM(C18:C19)</f>
        <v>160000</v>
      </c>
      <c r="D20" s="13"/>
      <c r="E20" s="28">
        <f>C20/901.55</f>
        <v>177.47213132937719</v>
      </c>
    </row>
    <row r="21" spans="1:8" x14ac:dyDescent="0.3">
      <c r="A21" s="10"/>
      <c r="C21" s="11"/>
    </row>
    <row r="22" spans="1:8" x14ac:dyDescent="0.3">
      <c r="A22" s="10"/>
      <c r="C22" s="11"/>
    </row>
    <row r="23" spans="1:8" x14ac:dyDescent="0.3">
      <c r="C23" t="s">
        <v>48</v>
      </c>
    </row>
    <row r="24" spans="1:8" x14ac:dyDescent="0.3">
      <c r="B24" s="6" t="s">
        <v>269</v>
      </c>
      <c r="C24" s="7">
        <f>SUM(C6+C11+C16+C20)</f>
        <v>3751074</v>
      </c>
      <c r="E24" s="5">
        <f>C24/901.55</f>
        <v>4160.6943597138261</v>
      </c>
    </row>
    <row r="25" spans="1:8" x14ac:dyDescent="0.3">
      <c r="B25" t="s">
        <v>34</v>
      </c>
      <c r="C25" s="16">
        <f>C24*19/100</f>
        <v>712704.06</v>
      </c>
      <c r="E25" s="5">
        <f>C25/901.55</f>
        <v>790.53192834562708</v>
      </c>
    </row>
    <row r="26" spans="1:8" x14ac:dyDescent="0.3">
      <c r="B26" t="s">
        <v>35</v>
      </c>
      <c r="C26" s="27">
        <f>SUM(C24:C25)</f>
        <v>4463778.0600000005</v>
      </c>
      <c r="E26" s="28">
        <f>C26/901.55</f>
        <v>4951.2262880594544</v>
      </c>
      <c r="F26" s="5">
        <f>E26-4884</f>
        <v>67.226288059454419</v>
      </c>
      <c r="H26" s="28"/>
    </row>
    <row r="29" spans="1:8" x14ac:dyDescent="0.3">
      <c r="C29" t="s">
        <v>270</v>
      </c>
      <c r="D29" s="21" t="s">
        <v>268</v>
      </c>
      <c r="E29" s="29">
        <v>18</v>
      </c>
    </row>
    <row r="33" spans="3:6" x14ac:dyDescent="0.3">
      <c r="F33" s="39"/>
    </row>
    <row r="38" spans="3:6" x14ac:dyDescent="0.3">
      <c r="C38" s="11"/>
    </row>
  </sheetData>
  <mergeCells count="4">
    <mergeCell ref="A3:A6"/>
    <mergeCell ref="A8:A11"/>
    <mergeCell ref="A13:A16"/>
    <mergeCell ref="A18:A20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8A8D81-1576-4EE3-A42B-F58B89FDD7BD}"/>
</file>

<file path=customXml/itemProps2.xml><?xml version="1.0" encoding="utf-8"?>
<ds:datastoreItem xmlns:ds="http://schemas.openxmlformats.org/officeDocument/2006/customXml" ds:itemID="{A5F0F988-655A-446C-BFF0-62E985DD540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4D383984-1784-4B3B-9934-7669FEF9712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pptSept</vt:lpstr>
      <vt:lpstr>pptOct</vt:lpstr>
      <vt:lpstr>pptNov</vt:lpstr>
      <vt:lpstr>pptDIC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dcterms:created xsi:type="dcterms:W3CDTF">2025-01-09T21:01:51Z</dcterms:created>
  <dcterms:modified xsi:type="dcterms:W3CDTF">2026-03-10T21:10:01Z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