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"/>
    </mc:Choice>
  </mc:AlternateContent>
  <xr:revisionPtr revIDLastSave="41" documentId="8_{3C1DE600-0A1B-4B4F-99DF-000C95CDB23D}" xr6:coauthVersionLast="47" xr6:coauthVersionMax="47" xr10:uidLastSave="{31E1BE95-9E20-4B92-A20E-0CD3B79634EA}"/>
  <bookViews>
    <workbookView xWindow="20611" yWindow="140" windowWidth="20203" windowHeight="5093" xr2:uid="{1A0EE710-73A4-44C0-B5FC-431451DBBFFF}"/>
  </bookViews>
  <sheets>
    <sheet name="COMPRAS" sheetId="1" r:id="rId1"/>
    <sheet name="Titulares COMPRAS" sheetId="2" r:id="rId2"/>
    <sheet name="Cto Cto COMPRAS" sheetId="3" r:id="rId3"/>
    <sheet name="HONORARIOS" sheetId="4" r:id="rId4"/>
    <sheet name="Titulares HONORARIOS" sheetId="5" r:id="rId5"/>
    <sheet name="Cto Cto HONORARIOS" sheetId="6" r:id="rId6"/>
  </sheets>
  <definedNames>
    <definedName name="_xlnm._FilterDatabase" localSheetId="0" hidden="1">COMPRAS!$A$1:$V$125</definedName>
    <definedName name="_xlnm._FilterDatabase" localSheetId="1" hidden="1">'Titulares COMPRAS'!$A$1:$K$369</definedName>
    <definedName name="MGDATOS" localSheetId="2">#REF!</definedName>
    <definedName name="MGDATOS" localSheetId="5">#REF!</definedName>
    <definedName name="MGDATOS" localSheetId="3">#REF!</definedName>
    <definedName name="MGDATOS" localSheetId="4">#REF!</definedName>
    <definedName name="MGDATOS">#REF!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" l="1"/>
  <c r="K21" i="4"/>
  <c r="J21" i="4"/>
  <c r="I21" i="4"/>
  <c r="H21" i="4"/>
  <c r="I24" i="4" s="1"/>
  <c r="D7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Belen Ayala Leon</author>
  </authors>
  <commentList>
    <comment ref="A78" authorId="0" shapeId="0" xr:uid="{716AE9B9-7992-4522-9B0E-20FDEB4469F5}">
      <text>
        <r>
          <rPr>
            <b/>
            <sz val="9"/>
            <color indexed="81"/>
            <rFont val="Tahoma"/>
            <family val="2"/>
          </rPr>
          <t>Valentina Belen Ayala Leon:</t>
        </r>
        <r>
          <rPr>
            <sz val="9"/>
            <color indexed="81"/>
            <rFont val="Tahoma"/>
            <family val="2"/>
          </rPr>
          <t xml:space="preserve">
SE INGRESA COMO MULTICENTRO POR AHORA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Valentina Belen Ayala Leon</author>
  </authors>
  <commentList>
    <comment ref="A78" authorId="0" shapeId="0" xr:uid="{6D1AB895-8C29-45DD-9A21-3256F5E1E8EC}">
      <text>
        <r>
          <rPr>
            <b/>
            <sz val="9"/>
            <color indexed="81"/>
            <rFont val="Tahoma"/>
            <family val="2"/>
          </rPr>
          <t>Valentina Belen Ayala Leon:</t>
        </r>
        <r>
          <rPr>
            <sz val="9"/>
            <color indexed="81"/>
            <rFont val="Tahoma"/>
            <family val="2"/>
          </rPr>
          <t xml:space="preserve">
SE INGRESA COMO MULTICENTRO POR AHORA</t>
        </r>
      </text>
    </comment>
  </commentList>
</comments>
</file>

<file path=xl/sharedStrings.xml><?xml version="1.0" encoding="utf-8"?>
<sst xmlns="http://schemas.openxmlformats.org/spreadsheetml/2006/main" count="2877" uniqueCount="1201">
  <si>
    <t>Nro</t>
  </si>
  <si>
    <t>Tipo Doc</t>
  </si>
  <si>
    <t>Tipo Compra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</si>
  <si>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</si>
  <si>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</si>
  <si>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</si>
  <si>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</si>
  <si>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</si>
  <si>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</si>
  <si>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</si>
  <si>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Total</t>
  </si>
  <si>
    <t>Glosa documento/descripcion gasto o servicio</t>
  </si>
  <si>
    <t>Numero cta Magnus</t>
  </si>
  <si>
    <t>Nombre Cuenta</t>
  </si>
  <si>
    <t>Centro Costo</t>
  </si>
  <si>
    <t>RESPALDO PDF</t>
  </si>
  <si>
    <t>REFERENCIA</t>
  </si>
  <si>
    <t>OBSERVACION</t>
  </si>
  <si>
    <t>Del Giro</t>
  </si>
  <si>
    <t>LA VITRINERIA DISENO LIMITADA</t>
  </si>
  <si>
    <t>ELEMENTOS PROYECTO 2831</t>
  </si>
  <si>
    <t>PROVISIONES VARIAS</t>
  </si>
  <si>
    <r>
      <rPr>
        <sz val="12"/>
        <color rgb="FFFF0000"/>
        <rFont val="Calibri"/>
        <family val="2"/>
      </rPr>
      <t>Ø</t>
    </r>
    <r>
      <rPr>
        <sz val="12"/>
        <color rgb="FFFF0000"/>
        <rFont val="Tahoma"/>
        <family val="2"/>
      </rPr>
      <t xml:space="preserve"> Documentado</t>
    </r>
  </si>
  <si>
    <t>BODEGAS SAN FRANCISCO LIMITADA</t>
  </si>
  <si>
    <t>C.C: LAGUNA SUR G007;PERIODO: 01-01-2026 AL 31-01-2026;SERVICIO DE BODEGAJE : UF 71.00 x 39727,96 AL 31-12-2025;DESCUENTO PRONTO PAGO 8%;GASTOS POR SERVICIOS COMUNES MES ANTERIOR 0.12 %;ELECTRICIDAD - CONSUMO KW 1386.00;RETIRO BASURA</t>
  </si>
  <si>
    <t>ARRIENDO DE BODEGAS</t>
  </si>
  <si>
    <t>VERISURE CHILE SPA</t>
  </si>
  <si>
    <t>MONITOREO MES DE 01/2026  CONTRATO 1714186</t>
  </si>
  <si>
    <t>SERVICIO DE VIGILANCIA</t>
  </si>
  <si>
    <t>VTEX CHILE SPA</t>
  </si>
  <si>
    <t>Software - Fixed Software - Fixed; Software - TakeRate Software - TakeRate</t>
  </si>
  <si>
    <t>Telefonica Chile S.A</t>
  </si>
  <si>
    <t>OF_FACT_PROY_I OF_FACT_PROY_I+chi-003716271-1   internet dedicado a 4,</t>
  </si>
  <si>
    <t>SERVICIOS DE TELECOMUNICACION</t>
  </si>
  <si>
    <t>TELEFONICA</t>
  </si>
  <si>
    <t>SACO SHIPPING S.P.A.</t>
  </si>
  <si>
    <t>THC (B); MANIFIESTO ELECTRONICO (B); DESCONSOLIDACION (B);HANDLING HB/L (B);Container fee (B)</t>
  </si>
  <si>
    <t>MERCADERIA EN TRANSITO</t>
  </si>
  <si>
    <t>PROVEEDORES INTEGRALES PRISA S A</t>
  </si>
  <si>
    <t xml:space="preserve"> DESODOR/AMB. AIRWICK 250ML RPTO.MATIC CITRICO; TOALLA PAPEL  2 ROLL. 150 MT TECNOROLL H/S; BOLSA ASEO 80 X 110 10 UN VIRUTEX  26 MC; LIMPIADOR PISO 4 LT VIRUTEX DESINF/CITRICO;CORDEL PLASTICO CORRIENTE 1 KILO Nø 8 (1000MT.APR); MOPA LIMPIEZA VIRUTEX RPTO. 300 GR; PAPEL FOTOC. CARTA 75 GR EQUALIT LASER 500HJ; CUCHILLO CARTONERO GRANDE ISOFIT 80 C/RIEL;CINTA EMBALAJE 48 X 100 MT TRANSP. MAX SELLOCINTA</t>
  </si>
  <si>
    <t>UTILES DE OFICINA Y PAPELERIA</t>
  </si>
  <si>
    <t>DIVIDIR 10</t>
  </si>
  <si>
    <t>PAPEL FOTOC. CARTA 75 GR PRISA 500 HJ M/POSITO; LAPIZ PASTA P.MED OFIXPRES AZUL 1.0; LIMPIADOR M/USO LIQ. 5 LT TREMEX;DESODOR/AMB. AROM A/SOL 225 GR (360CC)FANT/MARINA;DESODOR/AMB. GLADE RPTO/MATIC FLOR/FRUT/ROJOS 270C; CAFE INST. NESCAFE TRADICION  170 GR POLVO TARRO;AZUCAR 1 KL. COLISEO GRADO 2; MARCADOR MULTIUSO SHARPIE NEGRO DOBLE PUNTA TWIN; CAJA ARCHIVO AMERICANA MEMPHIS L40.5 AN 30 AL 26;ENDULZANTE IANSA CERO K ALULOSA SUCRALOSA 250 M; CUCHARA PLASTICA PARA TE O CAFE PQ X 100 UN INKA; BOLSA ASEO ROLLO 50 X 70 10 UN IMPEKE 16 MCR;BOLSA ASEO 110 X 120 5 UN 90 MC ECOPLAST;PILA ALCALINA AA X  5 UN. MAXELL TROQUELADA; PILA ALCALINA AAA X  5 UN. MAXELL TROQUELADA;DESTACADOR TORRE MINI COL.PASTEL GLITTER X 5 UN;TOALLA PAPEL  2 ROLL. 250 MT. TECNOROLL H/S; PAPEL HIG.  4 ROLLOS 500 MT. H/S TECNOROLL</t>
  </si>
  <si>
    <t>AP LOGISTICS SPA</t>
  </si>
  <si>
    <t>APERTURA DE MANIFIESTO;CAMBIO ALMACEN</t>
  </si>
  <si>
    <t>COSTOS OPERATIVOS -FLETES INTERNOS</t>
  </si>
  <si>
    <t>FINTOC SPA</t>
  </si>
  <si>
    <t>Uso API Fintoc 12/2025 - Iniciación de Pagos</t>
  </si>
  <si>
    <t>SERVICIOS  - CANAL DIGITAL</t>
  </si>
  <si>
    <t>Comercial Eccsa S.A.</t>
  </si>
  <si>
    <t>MKP Cobro logístico parcial del despacho primera milla;MKP Cobro despacho logistica inversa</t>
  </si>
  <si>
    <t>FLETES - CANAL DIGITAL</t>
  </si>
  <si>
    <t>MKP Penalidad - Cancelacion</t>
  </si>
  <si>
    <t>Migratoria Servicios InformÃ¡ticos Limitada</t>
  </si>
  <si>
    <t xml:space="preserve"> Microsoft 365 Business Basic;Microsoft 365 Business Standard</t>
  </si>
  <si>
    <t>HONORARIOS POR ASESORIAS INFORMATICAS</t>
  </si>
  <si>
    <t>Transbank S.A</t>
  </si>
  <si>
    <t xml:space="preserve">COMISIONES NACIONALES DEBITO   ;COMISIONES INTERNACIONALES DEBITO  </t>
  </si>
  <si>
    <t>97036000K</t>
  </si>
  <si>
    <t>Santander - Chile</t>
  </si>
  <si>
    <t>Comision Recepcion Orden de Pago.;Comision / IVA / Total / TC / Referencia;35,00/6,65/41,65/907,13/202599370676</t>
  </si>
  <si>
    <t>COMISIONES Y GASTOS BANCARIOS</t>
  </si>
  <si>
    <t>HELLO CONTENT SPA</t>
  </si>
  <si>
    <t>VIDEOS UGC ENERO</t>
  </si>
  <si>
    <t>GASTOS DE PUBLICIDAD Y MARKETING</t>
  </si>
  <si>
    <t>Despacho de productos MKP Ventas del: 28/12/2025 al 05/01/202</t>
  </si>
  <si>
    <t>Comision Ventas MKP del: 28/12/2025 al 05/01/2026</t>
  </si>
  <si>
    <t>COMISIÓN - CANAL DIGITAL</t>
  </si>
  <si>
    <t>TERMINAL EXTRAPORTUARIO VALPARAISO S.A.</t>
  </si>
  <si>
    <t>SEPARACION DE CARGA POR BL SEGUN MANIFIESTO; DESPACHO DE CARGA GENERAL DE IMPORTACION INDIRECTA; RECEPCION PARA ALMACENAJE DE CARGA LCL GENERAL;ALMACENAJE DE CARGA GENERAL</t>
  </si>
  <si>
    <t>Getty Images Chile SPA</t>
  </si>
  <si>
    <t>SUBISTOCKPREM1M10 iStock Signature 10 - 1 Month (10 downloads)</t>
  </si>
  <si>
    <t>SUMINISTROS VISUAL</t>
  </si>
  <si>
    <t>PAMELA FRANCISCA BARRA QUINTANA</t>
  </si>
  <si>
    <t>Inst vitrina mall trebol</t>
  </si>
  <si>
    <t>GASTO MANTENCION SUCURSALES</t>
  </si>
  <si>
    <t>HAPAG-LLOYD CHILE SPA</t>
  </si>
  <si>
    <t>DANOS CTR DEST-EDS;GATE IN</t>
  </si>
  <si>
    <t>IVA no Recuperable</t>
  </si>
  <si>
    <t>LATAMFIT CHILE SPA</t>
  </si>
  <si>
    <t>CONVENIO SMART FIT DICIEMBRE 2025</t>
  </si>
  <si>
    <t>ASIA SHIPPING INTERNATIONAL TRANSPORT CHILE S.P.A.</t>
  </si>
  <si>
    <t>-</t>
  </si>
  <si>
    <t>Օ Sin Documento</t>
  </si>
  <si>
    <t>4014 BAF €</t>
  </si>
  <si>
    <t>RSM CHILE ACCOUNTING TAX AND CONSULTING SERVICES LIMITADA</t>
  </si>
  <si>
    <t>SERVICIOS DE CONTABILIDAD UF  35 A T/C 39731.79 . PERIODO 01-2026 COMENTARIO: N;REMUNERACIONES UF  30 A T/C 39731.79 . PERIODO 01-2026 COMENTARIO: NADA1;CUMPLIMIENTO TRIBUTARIO UF  10 A T/C 39731.79 . PERIODO 01-2026 COMENTARIO: NADA;SERVICIOS DE BACK OFFICE UF  20 A T/C 39731.79 . PERIODO 01-2026 COMENTARIO: BAC;ASISTENCIA ANTE INSTITUCIONES REGULADORAS UF  3 A T/C 39731.79 . PERIODO 01-2026</t>
  </si>
  <si>
    <t>ASESORIA CONTABLE</t>
  </si>
  <si>
    <t>CI COMPRA USD - 000000000041.65 - 0907.1; 202599370676;0000000004165;013C-000</t>
  </si>
  <si>
    <t>ASOCIACION GREMIAL DEL RETAIL COMERCIAL A.G.</t>
  </si>
  <si>
    <t>Cuota Soc 1er Trim 2026</t>
  </si>
  <si>
    <t>MEMBRESÍAS Y ASOCIACIONES</t>
  </si>
  <si>
    <t>Banco de Chile</t>
  </si>
  <si>
    <t>RENTA ARRENDAMIENTO DE BIEN INMUEBLE NO AMOBLADO]ESTADO 202,SANTIAG</t>
  </si>
  <si>
    <t>ARRIENDOS</t>
  </si>
  <si>
    <t>MercadoLibre Chile LTDA</t>
  </si>
  <si>
    <t>SERVICIOS DE CONTABILIDAD;REMUNERACIONES;CUMPLIMIENTO TRIBUTARIO;SERVICIOS DE BACK OFFICE;ASISTENCIA  ANTE INSTITUCIONES REGULADORAS</t>
  </si>
  <si>
    <t>VS CARGO SPA</t>
  </si>
  <si>
    <t>Servicio de Distribucion</t>
  </si>
  <si>
    <t>Cencosud_Shopping_S.A.</t>
  </si>
  <si>
    <t>*01.12.2025-31.12.2025  ARRIENDO POR INCREMENTO DEL VALOR MÍNIMO MENS; *01.12.2025-31.12.2025  SERVICIOS DE ADMINISTRACIÓN POR INCREMENTO DI; *01.01.2026-31.01.2026  ARRIENDO FIJO  VALOR MÍNIMO MENSUAL VMM; *01.01.2026-31.01.2026  SERVICIOS DE ADMINISTRACIÓN SOBRE VMM Y VPM</t>
  </si>
  <si>
    <t>ADM_C.C._CENCOSUD_SPA.</t>
  </si>
  <si>
    <t>*01.12.2025-31.12.2025  APORTE MENSUAL PUBLICIDAD POR INCREMENTO DICI;*01.01.2026-31.01.2026  APORTE MENSUAL PUBLICIDAD</t>
  </si>
  <si>
    <t>*01.01.2026-31.01.2026  APORTE MENSUAL PUBLICIDAD; *01.12.2025-31.12.2025  APORTE MENSUAL PUBLICIDAD POR INCREMENTO DICI</t>
  </si>
  <si>
    <t>Comercializadora_Costanera_Center_SPA</t>
  </si>
  <si>
    <t xml:space="preserve"> *01.12.2025-31.12.2025  ARRIENDO POR INCREMENTO DEL VALOR MÍNIMO MENS; *01.12.2025-31.12.2025  SERVICIOS DE ADMINISTRACIÓN POR INCREMENTO DI; *01.01.2026-31.01.2026  ARRIENDO FIJO  VALOR MÍNIMO MENSUAL VMM;*01.01.2026-31.01.2026  SERVICIOS DE ADMINISTRACIÓN SOBRE VMM Y VPM</t>
  </si>
  <si>
    <t>77624225K</t>
  </si>
  <si>
    <t>SERVICIOS DE MANTENCIÃ“N LABBÃ‰ SPA</t>
  </si>
  <si>
    <t>DEMOLICION LOCAL FLEXI</t>
  </si>
  <si>
    <t>PLAZA MAULE S.A.</t>
  </si>
  <si>
    <t>PA¥O ATRAPA POLVO FIBRO C/MANGO + 1 RPTO.;MOPA LIMPIEZA VIRUTEX REPTO. ALGODON 30CM.;PAPEL HIG.  8 ROLLOS  40 MT. H/D CONFORT;LIMPIADOR PISO 4 LT POETT BEBE; CINTA ADHE. CRISTAL 18 X 25 MT. 3M REF: 500;ETIQUETA MANUAL MIX FLUOR 11X17MM 10HJ ADETEC; TOALLA PAPEL  2 ROLL. 200 MT. TECNOROLL H/S; PA¥O MICROFIBRA X 1 CRISTALES 38X40 CISNE CELESTE;MARCADOR MULTIUSO SHARPIE NEGRO DOBLE PUNTA TWIN;CLORO  4 LT. CLORINDA TRADICIONAL;CALENDARIO PRISA</t>
  </si>
  <si>
    <t>Jach Technology SpA</t>
  </si>
  <si>
    <t>Gestión de conversión; Benchmark Industria;Servicio IoT</t>
  </si>
  <si>
    <t>MONITOREO COMERCIAL</t>
  </si>
  <si>
    <t>CINTA ADHE. CRISTAL 18 X 25 MT. 3M REF: 500; CINTA EMBALAJE 48 X 40 MT TRANSP. 3M TRABAJO LIVIA; LAPIZ PASTA P.FINA BIC ORANGE AZUL.; MARCADOR MULTIUSO SHARPIE NEGRO; ARCHIVADOR OFICIO ANCHO BURDEO ARTEL; BOLSA ASEO ROLLO 70 X 90 10 UN IMPEKE  16 MC; BOLSA ASEO ROLLO 50 X 70 10 UN IMPEKE 16 MCR;PA¥O MICROFIBRA X 5 VIRUTEX 40X40 AZUL M/USO;ALCOHOL DESNATURAL. DESINFEC. 1LT 70% DIFEM; PA¥O MICROFIBRA X 5 MANOS 40X40 AZUL M/USO</t>
  </si>
  <si>
    <t>ASESORIAS E INV. HOWDEN-PATAGONIA S.A.</t>
  </si>
  <si>
    <t>Servicio administracion programa seguro mercancias; OBSERVACIONES;INFORMACION ADUANERA</t>
  </si>
  <si>
    <t>GTD MANQUEHUE S.A.</t>
  </si>
  <si>
    <t>Banda Ancha</t>
  </si>
  <si>
    <t>CHIC DESIGN SPA</t>
  </si>
  <si>
    <t>Anticipo por construcción</t>
  </si>
  <si>
    <t>MUEBLES, UTILES Y OTROS</t>
  </si>
  <si>
    <t>CONFIRMAR ACTIVO FIJO</t>
  </si>
  <si>
    <t>*01.01.2026-31.01.2026  GASTOS COMUNES ADMINISTRACIÓN, MANTENIMIENTO</t>
  </si>
  <si>
    <t>ADVICOM COMPUTACION LIMITADA</t>
  </si>
  <si>
    <t>SUSCRIPCION SIAL PARA 10 TIENDAS USD 1721 MES DE;ENERO 2026 VALOR POR TIENDA USD 210</t>
  </si>
  <si>
    <t>LICENCIAS SOFTWARE RENTAS</t>
  </si>
  <si>
    <t>DIVIDIR 14</t>
  </si>
  <si>
    <t>TAG SALE FLEXI</t>
  </si>
  <si>
    <t>01.01.2026-31.01.2026  GASTOS COMUNES ADMINISTRACIÓN, MANTENIMIENTO</t>
  </si>
  <si>
    <t>Manantial S.A</t>
  </si>
  <si>
    <t>Botellon 20 litros; Arriendo Dispensador Agua Fria-Caliente</t>
  </si>
  <si>
    <t>GASTOS DIVERSOS</t>
  </si>
  <si>
    <t>DESPACHALO  SPA</t>
  </si>
  <si>
    <t>Servicios de despacho</t>
  </si>
  <si>
    <t>ENVIAME LATAM SPA</t>
  </si>
  <si>
    <t>Facturación Enviame Diciembre 2025 Flexi Chiles MKT -105830</t>
  </si>
  <si>
    <t>MULTIVENDE SPA</t>
  </si>
  <si>
    <t>PLAN PLATAFORMA | BCN: ENERO - 2026</t>
  </si>
  <si>
    <t xml:space="preserve"> MOPA LIMPIEZA CISNE MICROFIB. 150 GR COLOR REPTO.;PAPEL FOTOC. CARTA 75 GR PRISA 500 HJ M/POSITO; MARCADOR MULTIUSO SHARPIE NEGRO;ALCOHOL DESNATURAL.HIGIENIZ.MANOS 1LT 70% DIFEM;DESODOR/AMB. GLADE RPTO/MATIC FLOR/FRUT/ROJOS 270C;TOALLA PAPEL  2 ROLL. 190 MT. RENDIPEL PRO H/S</t>
  </si>
  <si>
    <t>TOALLA PAPEL  2 ROLL. 200 MT. OVELLA H/D; PAPEL FOTOC. CARTA 75 GR PRISA 500 HJ M/POSITO;BOLSA ASEO ROLLO 50 X 70 10 UN IMPEKE 16 MCR; TRAPERO SIMPLE C/OJAL 50X70 ROMMEL ALGODÓN;CINTA EMBALAJE 48 X 40 MT TRANSP. 3M TRABAJO LIVIA</t>
  </si>
  <si>
    <t>TERMINAL PACIFICO SUR VAP S A</t>
  </si>
  <si>
    <t>1450000111;1450000136</t>
  </si>
  <si>
    <t xml:space="preserve"> PAPEL FOTOC. CARTA 75 GR PRISA 500 HJ M/POSITO; LIMPIAVIDRIOS  5 LT. TREMEX MULTIUSO; CINTA EMBALAJE 48 X 40 MT TRANSP. 3M TRABAJO LIVIA; CINTA ADHE. CRISTAL 18 X 25 MT. 3M REF: 500;CONFITE FRUGELE GOMITA AMBROSOLI 430 GRS.;CONFITE MASTICABLES 800 GR FRUTALES ARCOR; CORCHETES  26/ 6 DE 5000 TORRE 25HJS; TOALLA PAPEL  2 ROLL. 250 MT. TECNOROLL H/S; LIMPIADOR PISO 4 LT POETT BEBE;BOLSA ASEO ROLLO 70 X 90 10 UN IMPEKE  16 MC;BOLSA ASEO ROLLO 50 X 70 10 UN IMPEKE 16 MCR</t>
  </si>
  <si>
    <t>RVR CLIMATIZACION LIMITADA</t>
  </si>
  <si>
    <t>Detalle:</t>
  </si>
  <si>
    <t xml:space="preserve"> TOALLAS DESINF. IGENIX 105 UN CITRICO; BOLSA ASEO 80 X 110 10 UN VIRUTEX  26 MC;CINTA ADHE. CRISTAL 18 X 30 MT. 3M X 3UN. 500;TONER HP CF248A (48A) NG M15W/M16/17W/M28/MFP M29;BOLIGRAFO PILOT SUPER GEL 0.7 MM AZUL;BOLIGRAFO PILOT SUPER GEL 0.7 MM NEGRO;ALCOHOL GEL 320 ML. ELITE;PAPEL FOTOC. CARTA 75 GR PRISA 500 HJ M/POSITO; DESODOR/AMB. POETT A/SOL 360CC BRISA PRIMAVERAL; DESODOR/AMB. AROM A/SOL 225 GR (360CC)FANT/MARINA; DESINFEC. A/SOL LYSOFORM 360 CC LAVANDA A/BACT.</t>
  </si>
  <si>
    <t>Entel PCS Telecomunicaciones S.A.</t>
  </si>
  <si>
    <t>Servicios de acceso a Internet</t>
  </si>
  <si>
    <t>Plaza del TrÃ©bol SpA</t>
  </si>
  <si>
    <t>OBLIGACIONES EMANADAS DEL CONTRATO DE ARRENDAMIENTO;Según E. Cuenta: 35394-01-2026;Mallplaza Trebol (PTR);ARRIENDO EXENTO</t>
  </si>
  <si>
    <t>Plaza Oeste SpA</t>
  </si>
  <si>
    <t>OBLIGACIONES EMANADAS DEL CONTRATO DE ARRENDAMIENTO;Según E. Cuenta: 30906-01-2026;Mallplaza Norte (PNO);ARRIENDO EXENTO</t>
  </si>
  <si>
    <t>OBLIGACIONES EMANADAS DEL CONTRATO DE ARRENDAMIENTO;Según E. Cuenta: 30917-01-2026;Mallplaza Oeste (POE);ARRIENDO EXENTO</t>
  </si>
  <si>
    <t>OBLIGACIONES EMANADAS DEL CONTRATO DE ARRENDAMIENTO;Según E. Cuenta: 61326-01-2026;Mallplaza Egaña (PEG);ARRIENDO EXENTO</t>
  </si>
  <si>
    <t>COSCO SHIPPING LINES (CHILE)</t>
  </si>
  <si>
    <t>XIN OU ZHOU V/076W Ag. Emision de BL Booking - BL:COSU6436184830 Container: 11</t>
  </si>
  <si>
    <t>Despacho de productos MKP Ventas del: 05/01/2026 al 13/01/202</t>
  </si>
  <si>
    <t>ARTE IMPRESO LIMITADA</t>
  </si>
  <si>
    <t xml:space="preserve"> ADHESIVO ECO.</t>
  </si>
  <si>
    <t>COCO DISEÃ‘O SPA</t>
  </si>
  <si>
    <t>40% Proyecto Arquitectura</t>
  </si>
  <si>
    <t>76531741K</t>
  </si>
  <si>
    <t>INVERSIONES IMPERIO SPA</t>
  </si>
  <si>
    <t>SMARTCTL SPA</t>
  </si>
  <si>
    <t>Cinta de Cera Zebra 01600BK11045 110MM X 450MT 1600 Wax;Despacho</t>
  </si>
  <si>
    <t>CHANNELS MEDIA S.A.</t>
  </si>
  <si>
    <t>EQUIPOS COMPUTACIONALES</t>
  </si>
  <si>
    <t>CHUBB SEGUROS CHILE S.A</t>
  </si>
  <si>
    <t>Pol N: 0-5662109 Cert: 1552 Mon: USD Prima Af: 342,00 T/C: 904,5400</t>
  </si>
  <si>
    <t>96908970K</t>
  </si>
  <si>
    <t>San Antonio Terminal Internacional S.A.</t>
  </si>
  <si>
    <t>TARIFA DE SEGURIDAD EN LA TRANSFERENCIA DE CONTENEDORES Cant: 1;Op.:2025-870 Nave: XIN HONG KONG | CNT: CSGU 625151-3/ | OF 27249 | ID Voucher 1;1901202612205044027;AGA: G11 Rut: 10853224-6 CARLOS ARREDONDO SOLORZA;   NETO US$: 17.29;IVA 19% US$ 3.29;TOTAL PAGAR US$ 20.58</t>
  </si>
  <si>
    <t>COMERCIAL ECCSA S.A.</t>
  </si>
  <si>
    <t>4 PA REG BRENDA-C</t>
  </si>
  <si>
    <t>UNIFORMES</t>
  </si>
  <si>
    <t>Comision Envio Orden de Pago.;Comision / IVA / Total / TC / Referencia;133,00/25,27/158,27/888,66/202688010245</t>
  </si>
  <si>
    <t>Comision Envio Orden de Pago.;Comision / IVA / Total / TC / Referencia;358,00/68,02/426,02/888,66/202688010244</t>
  </si>
  <si>
    <t>PROYECTO N 2844</t>
  </si>
  <si>
    <t>Proyecto N 2844</t>
  </si>
  <si>
    <t>Comision Ventas MKP del: 13/01/2026 al 20/01/2026</t>
  </si>
  <si>
    <t>Despacho de productos MKP Ventas del: 13/01/2026 al 20/01/202</t>
  </si>
  <si>
    <t>Servicio CCP</t>
  </si>
  <si>
    <t>Falabella.com SpA</t>
  </si>
  <si>
    <t>ENVIO: A CARGO DEL CLIENTE;CANCELACIONES;LOGISTICA INVERSA (DEVOLUCIONES);COMISIONES;ENVIO: FALABELLA DIRECTO (FALABELLA FLEX;ENVIO: COFINANCIAMIENTO LOGISTICO;PROMOCIONES DE ENVIO F.COM</t>
  </si>
  <si>
    <t>MercadoLibre Chile Ltda.</t>
  </si>
  <si>
    <t>Servicios de publicación y ventas en MercadoLibre.Com</t>
  </si>
  <si>
    <t>Hanseatic Global Terminals ChileExtraportuarios S.A.</t>
  </si>
  <si>
    <t>2AP14CNSA</t>
  </si>
  <si>
    <t>COMISION DE MANTENCION DE PLAN</t>
  </si>
  <si>
    <t>MARIA ISABEL SANTANA MOLINA</t>
  </si>
  <si>
    <t>poleras verano;poleras bodega</t>
  </si>
  <si>
    <t>Despacho de productos MKP Ventas del: 20/01/2026 al 28/01/202</t>
  </si>
  <si>
    <t>Comision Ventas MKP del: 20/01/2026 al 28/01/2026</t>
  </si>
  <si>
    <t>AGENCIA DE ADUANA CARLOS ARREDONDO</t>
  </si>
  <si>
    <t xml:space="preserve"> HONORARIOS;DERECHOS AD. VALOREM; I.V.A. GCP;GASTOS DE DESPACHO;HOWDEN-PATAGONIA  FT-81826/13-1-2026; INFORMACION ADUANERA</t>
  </si>
  <si>
    <t xml:space="preserve"> HONORARIOS; I.V.A. GCP; GASTOS DE DESPACHO; FLETE SAN ANTONIO;ASIA SHIPPING  FT-60671/30-12-2025; STI  FT-4167658/19-1-2026; CHUBB DE CHILE  FT-3973014/19-1-2026;INFORMACION ADUANERA</t>
  </si>
  <si>
    <t xml:space="preserve"> HONORARIOS;I.V.A. GCP; GASTOS DE DESPACHO; FLETE SAN ANTONIO;COSCO  CO-0/16-1-2026;COSCO  FT-368298/16-1-2026; HANSEATIC GLOBAL TERMINALS  FT-1608344/27-1-2026;INFORMACION ADUANERA</t>
  </si>
  <si>
    <t>HONORARIOS; I.V.A. GCP;GASTOS DE DESPACHO; FLETE VALPARAISO;SACO SHIPPING S.A  FT-76205/2-1-2026; SACO SHIPPING S.A  FT-36919/2-1-2026;TEXVAL  FT-537691/9-1-2026; INFORMACION ADUANERA</t>
  </si>
  <si>
    <t>HONORARIOS; DERECHOS AD. VALOREM;I.V.A. GCP; GASTOS DE DESPACHO; FLETE VALPARAISO; AP LOGISTICS  CO-5393/2-1-2026;AP LOGISTICS  FT-7343/2-1-2026; HOWDEN-PATAGONIA  FT-81349/7-1-2026; HAPAG LLOYD  FT-1548889/12-1-2026; TPS  FT-554105/13-1-2026;INFORMACION ADUANERA</t>
  </si>
  <si>
    <t xml:space="preserve">AJUSTE COMISION CREDITO ;AJUSTE COMISION DEBITO  ;COMISIONES NACIONALES CREDITO;COMISIONES INTERNACIONALES CREDITO ;SERVICIO TBK ;SAA ALIANZA VTEX </t>
  </si>
  <si>
    <t>COMISIONES TRANSBANK</t>
  </si>
  <si>
    <t>TRANSBANK</t>
  </si>
  <si>
    <t>SOCIEDAD OPERADORA DE TARJETAS DE PAGO SANTANDER GETNET CHILE S.A.</t>
  </si>
  <si>
    <t xml:space="preserve"> COMISIÓN VENTA; SERVICIO ADQUIRENCIA; AJUSTE COMISIÓN</t>
  </si>
  <si>
    <t>COMISIÓNES GETNET</t>
  </si>
  <si>
    <t>COMISIÓN VENTA; SERVICIO ADQUIRENCIA</t>
  </si>
  <si>
    <t>SERVICIOS DE CONTABILIDAD UF  30 A T/C 39762,52;REMUNERACIONES UF  25 A T/C 39762,52;CUMPLIMIENTO TRIBUTARIO UF  5 A T/C 39762,52;SERVICIOS DE BACK OFFICE UF  15 A T/C 39762,52;ASISTENCIA ANTE INSTITUCIONES REGULADORAS UF  3 A T/C 39762,52</t>
  </si>
  <si>
    <t>OBLIGACIONES EMANADAS DEL CONTRATO DE ARRENDAMIENTO;Según E. Cuenta: 30906-01-2026;Mallplaza Norte (PNO)</t>
  </si>
  <si>
    <t>OBLIGACIONES EMANADAS DEL CONTRATO DE ARRENDAMIENTO;Según E. Cuenta: 30917-01-2026;Mallplaza Oeste (POE)</t>
  </si>
  <si>
    <t>OBLIGACIONES EMANADAS DEL CONTRATO DE ARRENDAMIENTO;Según E. Cuenta: 61326-01-2026;Mallplaza Egaña (PEG)</t>
  </si>
  <si>
    <t>OBLIGACIONES EMANADAS DEL CONTRATO DE ARRENDAMIENTO;Según E. Cuenta: 35394-01-2026;Mallplaza Trebol (PTR)</t>
  </si>
  <si>
    <t>ECU WORLDWIDE (CHILE) S.A</t>
  </si>
  <si>
    <t>1;101;120;216;32727;32744;130929</t>
  </si>
  <si>
    <t>Anulación bonif. por uso de la plataforma MercadoLibre- Flex</t>
  </si>
  <si>
    <t>PROMOCIONES PRODUCTO</t>
  </si>
  <si>
    <t>Bonificaciones por uso de la plataforma MercadoLibre- Flex</t>
  </si>
  <si>
    <t>COMISIONES;ENVIO: FALABELLA DIRECTO (FALABELLA FLEX;PROMOCIONES PRODUCTO;PROMOCIONES DE ENVIO F.COM</t>
  </si>
  <si>
    <t>TRANSBANK S.A.</t>
  </si>
  <si>
    <t>AJUSTES MDR CREDITO DICIEMBRE</t>
  </si>
  <si>
    <t>Gestión de conversión;Benchmark Industria; Servicio IoT</t>
  </si>
  <si>
    <t>DIFERENCIA TARIFA 2026 Y TIENDA CERRADAM;EN ENERO</t>
  </si>
  <si>
    <t>AJUSTE MDR DEBITO DICIEMBRE</t>
  </si>
  <si>
    <t>Titular</t>
  </si>
  <si>
    <t>Nombre Titular</t>
  </si>
  <si>
    <t>Nro Doc</t>
  </si>
  <si>
    <t>NUMERO CTA</t>
  </si>
  <si>
    <t>GASTO</t>
  </si>
  <si>
    <t>CTO CTO</t>
  </si>
  <si>
    <t>5618113K</t>
  </si>
  <si>
    <t>OSCAR GERARDO HIDALGO GALVEZ</t>
  </si>
  <si>
    <t>RUTCL</t>
  </si>
  <si>
    <t>ANGEL CUSTODIO PINO LAGOS</t>
  </si>
  <si>
    <t>77470182</t>
  </si>
  <si>
    <t>108532246</t>
  </si>
  <si>
    <t>760965189</t>
  </si>
  <si>
    <t>760988200</t>
  </si>
  <si>
    <t>JACH TECHNOLOGY SPA</t>
  </si>
  <si>
    <t>761104365</t>
  </si>
  <si>
    <t>BSALE CHILE S A</t>
  </si>
  <si>
    <t>761361449</t>
  </si>
  <si>
    <t>GASTOS FACTURACION ELECTRONICA</t>
  </si>
  <si>
    <t>TEXTILES DIGITALES LIMITADA</t>
  </si>
  <si>
    <t>761448854</t>
  </si>
  <si>
    <t>WEBSUMINISTROS LTDA</t>
  </si>
  <si>
    <t>761486969</t>
  </si>
  <si>
    <t>SUMINISTROS COMPUTACIONALES</t>
  </si>
  <si>
    <t>76169135K</t>
  </si>
  <si>
    <t>RIQUELME GRIEBE LIMITADA</t>
  </si>
  <si>
    <t>Big Foot Chile SpA</t>
  </si>
  <si>
    <t>761702858</t>
  </si>
  <si>
    <t>3102108 o  3102104</t>
  </si>
  <si>
    <t>SOCIEDAD DE INVERSIONES COMERCIAL Y TRANSPORTES CHEVALIER LIMITADA</t>
  </si>
  <si>
    <t>762000180</t>
  </si>
  <si>
    <t>762032996</t>
  </si>
  <si>
    <t>COSTANERAS CENTER</t>
  </si>
  <si>
    <t>INVERSIONES BAZAYA CHILE LIMITADA/FALABELLA.COM SPA</t>
  </si>
  <si>
    <t>762124920</t>
  </si>
  <si>
    <t>THE WATER COMPANY SOCIEDAD ANONIMA</t>
  </si>
  <si>
    <t>762183285</t>
  </si>
  <si>
    <t>764333101</t>
  </si>
  <si>
    <t>FLORIDA CENTER</t>
  </si>
  <si>
    <t>COINSEK SPA</t>
  </si>
  <si>
    <t>764889193</t>
  </si>
  <si>
    <t>LK DISENO LIMITADA</t>
  </si>
  <si>
    <t>765839203</t>
  </si>
  <si>
    <t>76736881k</t>
  </si>
  <si>
    <t>IMACOF SPA</t>
  </si>
  <si>
    <t>76736881K</t>
  </si>
  <si>
    <t>SEGURIDAD INDUSTRIAL</t>
  </si>
  <si>
    <t>BAP OBRAS CIVILES SPA</t>
  </si>
  <si>
    <t>768198470</t>
  </si>
  <si>
    <t>CERVANTES PRODUCCIONES SPA</t>
  </si>
  <si>
    <t>768322481</t>
  </si>
  <si>
    <t>Par Cuatro S.A.</t>
  </si>
  <si>
    <t>768337500</t>
  </si>
  <si>
    <t>Nuevos Desarrollos S.A.</t>
  </si>
  <si>
    <t>768823308</t>
  </si>
  <si>
    <t>COMERCIALIZADORA E IMPORTADORA VIKINGA SPA</t>
  </si>
  <si>
    <t>770877237</t>
  </si>
  <si>
    <t>Soc. Manufacturera de Plásticos Ltda</t>
  </si>
  <si>
    <t>771245005</t>
  </si>
  <si>
    <t>GASTO PAGADO POR ANTICIPADO</t>
  </si>
  <si>
    <t>NEURALIS SPA</t>
  </si>
  <si>
    <t>771577679</t>
  </si>
  <si>
    <t>FOMENTO AL ESPARCIMIENTO</t>
  </si>
  <si>
    <t>77261280K</t>
  </si>
  <si>
    <t>FALABELLA RETAIL S.A.</t>
  </si>
  <si>
    <t>GL GROUP S.A.</t>
  </si>
  <si>
    <t>773750904</t>
  </si>
  <si>
    <t>773982201</t>
  </si>
  <si>
    <t>DYNAMICS CORP. SPA</t>
  </si>
  <si>
    <t>774653414</t>
  </si>
  <si>
    <t>HEADCOUNT SPA</t>
  </si>
  <si>
    <t>774905359</t>
  </si>
  <si>
    <t>775451475</t>
  </si>
  <si>
    <t>784089908</t>
  </si>
  <si>
    <t>170-180</t>
  </si>
  <si>
    <t>VALOR MAS ALTO COSTANERA VALOR MENOR FLORIDA CENTER, S FACTURAS C/U</t>
  </si>
  <si>
    <t>PERSONAL COMPUTER FACTORY S.A.</t>
  </si>
  <si>
    <t>788855508</t>
  </si>
  <si>
    <t>1202402 O 3106802</t>
  </si>
  <si>
    <t>EQUIPOS COMPUTACIONALES O SUMINISTROS COMPUTACIONALES</t>
  </si>
  <si>
    <t>Administradora Plaza Vespucio S.A.</t>
  </si>
  <si>
    <t>799906708</t>
  </si>
  <si>
    <t>81201000K</t>
  </si>
  <si>
    <t>CENCOSUD RETAIL S.A.</t>
  </si>
  <si>
    <t>DEPENDE 3102104</t>
  </si>
  <si>
    <t>400 o 403</t>
  </si>
  <si>
    <t>833827006</t>
  </si>
  <si>
    <t>404 (MKTP) O 501</t>
  </si>
  <si>
    <t>Plaza Vespucio SpA</t>
  </si>
  <si>
    <t>965382305</t>
  </si>
  <si>
    <t>965569405</t>
  </si>
  <si>
    <t>Plaza del Trebol SpA</t>
  </si>
  <si>
    <t>966536608</t>
  </si>
  <si>
    <t>966893109</t>
  </si>
  <si>
    <t>MANANTIAL S.A.</t>
  </si>
  <si>
    <t>967115908</t>
  </si>
  <si>
    <t>96734110k</t>
  </si>
  <si>
    <t>Arauco Malls Chile S.A.</t>
  </si>
  <si>
    <t>96734110K</t>
  </si>
  <si>
    <t>Chilexpress S A</t>
  </si>
  <si>
    <t>967564303</t>
  </si>
  <si>
    <t>ZARA CHILE S.A.</t>
  </si>
  <si>
    <t>967858609</t>
  </si>
  <si>
    <t>96792430K</t>
  </si>
  <si>
    <t>SODIMAC S.A.</t>
  </si>
  <si>
    <t>DEPENDE</t>
  </si>
  <si>
    <t>96799250k</t>
  </si>
  <si>
    <t>CLARO CHILE S,A</t>
  </si>
  <si>
    <t>96799250K</t>
  </si>
  <si>
    <t>CLARO</t>
  </si>
  <si>
    <t>generalmente provisionada</t>
  </si>
  <si>
    <t>968056905</t>
  </si>
  <si>
    <t>SAN ANTONIO TERMINAL INTERNACIONAL S.A.</t>
  </si>
  <si>
    <t>SANTANDER - CHILE</t>
  </si>
  <si>
    <t>970040005</t>
  </si>
  <si>
    <t>992250003</t>
  </si>
  <si>
    <t>HDI SEGUROS S.A.</t>
  </si>
  <si>
    <t>992310006</t>
  </si>
  <si>
    <t>3106506 o 1106801</t>
  </si>
  <si>
    <t>SEGUROS (MERCADERIA EN TRANSITO)</t>
  </si>
  <si>
    <t>TelefÃ³nica MÃ³viles Chile S.A.</t>
  </si>
  <si>
    <t>GASTO DE TELEFONIA MOVIL</t>
  </si>
  <si>
    <t>76853019K</t>
  </si>
  <si>
    <t>GRUPO DERZA SPA</t>
  </si>
  <si>
    <t>Mall del Centro de ConcepciÃ³n</t>
  </si>
  <si>
    <t>RSM CHILE CONTABILIDAD Y PROCESOS LIMITADA</t>
  </si>
  <si>
    <t>COMERCIALIZADORA Y VENTA AL POR MAYOR DE ARTICULOS DE OFICINA SPA</t>
  </si>
  <si>
    <t>3106803 O 3106802 (TONER)</t>
  </si>
  <si>
    <t>UTILES DE OFICINA Y PAPELERIA O SUMINISTROS COMPUTACIONALES</t>
  </si>
  <si>
    <t>ANDES AMBIENTE Y ASOCIADOS SPA</t>
  </si>
  <si>
    <t>ANYMARKET CHILE SPA</t>
  </si>
  <si>
    <t>licencia software</t>
  </si>
  <si>
    <t>76044068K</t>
  </si>
  <si>
    <t>KREATINA SPA</t>
  </si>
  <si>
    <t>CIA NACIONAL DE TELEFONOS TELEFONICA DEL SUR S A</t>
  </si>
  <si>
    <t>90299000</t>
  </si>
  <si>
    <t>Cencosud_Fidelidad_S.A</t>
  </si>
  <si>
    <t>PATRICIA DEL CARMEN ARAYA MARTINEZ</t>
  </si>
  <si>
    <t>EMPRESA DE SERVICIOS TRANSITORIOS TRUP SPA</t>
  </si>
  <si>
    <t>HONORARIOS ADMINISTRACIÓN DE PERSONAL</t>
  </si>
  <si>
    <t>DIGITAL PAYMENTS SPA</t>
  </si>
  <si>
    <t>MARIA GLORIA ZUNIGA CHANDIA</t>
  </si>
  <si>
    <t>ENVASES Y TEXTIL ENVATEX LIMITADA</t>
  </si>
  <si>
    <t>Accor Chile SA</t>
  </si>
  <si>
    <t>GASTOS DE REPRESENTACION</t>
  </si>
  <si>
    <t>JETSMART AIRLINES SPA</t>
  </si>
  <si>
    <t>77033652K</t>
  </si>
  <si>
    <t>COMERCIALIZADORA DIMAG SPA</t>
  </si>
  <si>
    <t>DIMERC S.A</t>
  </si>
  <si>
    <t>COMERCIALIZADORA CATATUMBO SPA</t>
  </si>
  <si>
    <t>COMERCIAL ECCSA CHILE S.A.</t>
  </si>
  <si>
    <t>77205551K</t>
  </si>
  <si>
    <t>RSM CHILE AUDITORES LIMITADA</t>
  </si>
  <si>
    <t>RENTOKIL INITIAL CHILE SPA</t>
  </si>
  <si>
    <t>Bestseller Wholesale Chile SpA</t>
  </si>
  <si>
    <t>ENERGÃA Y SERVICIOS LIMITE 21 SPA</t>
  </si>
  <si>
    <t>FERRETERIA Y QUINCALLERIA SAN ANTONIO  LIMITADA</t>
  </si>
  <si>
    <t>HampM HENNES amp MAURITZ SPA</t>
  </si>
  <si>
    <t>Sociedad Comercial y Publicitaria PROD DiseÃ±o Integral Ltda.</t>
  </si>
  <si>
    <t>Publicitaria Tempo Limitada</t>
  </si>
  <si>
    <t>COMERCIALIZADORA AYL SPA</t>
  </si>
  <si>
    <t>BOLSA IMPRESA</t>
  </si>
  <si>
    <t>PRONTO INMOBILIARIA SA</t>
  </si>
  <si>
    <t>OTROS ARRIENDOS</t>
  </si>
  <si>
    <t>99551740K</t>
  </si>
  <si>
    <t>ESIGN SA</t>
  </si>
  <si>
    <t>Plaza ValparaÃ­so S.A.</t>
  </si>
  <si>
    <t>CETRIK SPA</t>
  </si>
  <si>
    <t>1202402 O 3106209</t>
  </si>
  <si>
    <t>EQUIPOS COMPUTACIONALES O HONORARIOS POR ASESORIAS INFORMATICAS</t>
  </si>
  <si>
    <t>1 O 100</t>
  </si>
  <si>
    <t>WOM S.A.</t>
  </si>
  <si>
    <t>DIVIDIR 11</t>
  </si>
  <si>
    <t>RSM CHILE TAX AND LEGAL LIMITADA</t>
  </si>
  <si>
    <t>PRODUCCIONES RELP SPA</t>
  </si>
  <si>
    <t>ARTERIAL PRODUCCIONES SPA</t>
  </si>
  <si>
    <t>COMERCIALIZADORA AVYMAQ SPA</t>
  </si>
  <si>
    <t>MUBLES,UTILES Y OTROS</t>
  </si>
  <si>
    <t>GRAFISOFT CHILE LIMITADA</t>
  </si>
  <si>
    <t>CLIMATIZACIÃ“N Y CONSTRUCCIÃ“N DIEGO BALBOA ESPARZA E.I.R.L.</t>
  </si>
  <si>
    <t>POLIMIN COMERCIAL E INDUSTRIAL S.p.A.</t>
  </si>
  <si>
    <t>797603104</t>
  </si>
  <si>
    <t>763763153</t>
  </si>
  <si>
    <t>77256239K</t>
  </si>
  <si>
    <t>LA  PERVEN SPA</t>
  </si>
  <si>
    <t>GASTOS DE ALMACENAJE</t>
  </si>
  <si>
    <t>EVERGREEN SHIPPING AGENCY (CHILE) SPA</t>
  </si>
  <si>
    <t>76492245K</t>
  </si>
  <si>
    <t>SOCIEDAD COMERCIAL V Y G LIMITADA</t>
  </si>
  <si>
    <t>76685687K</t>
  </si>
  <si>
    <t>AGUA GASIFICADA Y NATURAL POSEIDON LIMITADA</t>
  </si>
  <si>
    <t>INGENIERIA INFORMATICA ASOCIADA LIMITADA</t>
  </si>
  <si>
    <t>PUERTO COLUMBO SA</t>
  </si>
  <si>
    <t>PARQUE SUR SPA</t>
  </si>
  <si>
    <t>Equipos y Soluciones Logisticas SPA</t>
  </si>
  <si>
    <t>ZAMBON Y ZAMBON S A</t>
  </si>
  <si>
    <t>772475101</t>
  </si>
  <si>
    <t>CONTEMPORA COMPANIA DE SEGUROS GENERALES S.A.</t>
  </si>
  <si>
    <t>SEGUROS</t>
  </si>
  <si>
    <t>Ultramar Agencia MarÃ­tima Ltda.</t>
  </si>
  <si>
    <t>INDUSTRIAS MECANICAS Y PLASTICAS ALUPLAST S.A COMERCIAL E INDUS.</t>
  </si>
  <si>
    <t>TOOLMANIA SPA</t>
  </si>
  <si>
    <t>TECHNOPLUS SPA</t>
  </si>
  <si>
    <t>COMERCIAL GRAFICA MILLANTUE LTDA</t>
  </si>
  <si>
    <t>EQUIPOS CONTRA INCENDIO RALLY S.A</t>
  </si>
  <si>
    <t>76943478K</t>
  </si>
  <si>
    <t>WALZ DISEÃ‘O Y FABRICACIÃ“N SPA</t>
  </si>
  <si>
    <t>92171000-3</t>
  </si>
  <si>
    <t>MANUFACTURAS INTERAMERICANA S.A</t>
  </si>
  <si>
    <t>ESTRUCTURAS Y MONTAJES RAUL VALLADARES E.I.R.L.</t>
  </si>
  <si>
    <t>EDAPI S.A.</t>
  </si>
  <si>
    <t>INGENIERIA Y QUIMICOS KOT SPA</t>
  </si>
  <si>
    <t>771999638</t>
  </si>
  <si>
    <t>GRAFTON SUPPORT SERVICES S A</t>
  </si>
  <si>
    <t>IDEALS T SERVICES SPA</t>
  </si>
  <si>
    <t>ACCIONA FACILITY SPA</t>
  </si>
  <si>
    <t>VALLEJOS CHARTIER LIMITADA</t>
  </si>
  <si>
    <t>comision canal</t>
  </si>
  <si>
    <t>LIBRERIAS TUCAN S.A</t>
  </si>
  <si>
    <t>SOCIEDAD DESARROLLO TURISMO TALCA S.A.</t>
  </si>
  <si>
    <t>IMEXBA RETAIL INVERSIONES SPA</t>
  </si>
  <si>
    <t>GERARDO VALLE CLAVERO</t>
  </si>
  <si>
    <t>72742370</t>
  </si>
  <si>
    <t>LUISA DEL CARMEN PENAILILLO OLIVEIRA</t>
  </si>
  <si>
    <t>79014125</t>
  </si>
  <si>
    <t>MIGUEL ANGEL MARINO PASCAL</t>
  </si>
  <si>
    <t>86386275</t>
  </si>
  <si>
    <t>IGNACIO BULNES ALAMOS</t>
  </si>
  <si>
    <t>8704534K</t>
  </si>
  <si>
    <t>RAUL MARDONES</t>
  </si>
  <si>
    <t>96411626</t>
  </si>
  <si>
    <t>97844895</t>
  </si>
  <si>
    <t>ALEJANDRO ANTONIO IBACACHE ESPINOZA</t>
  </si>
  <si>
    <t>98776133</t>
  </si>
  <si>
    <t>HERNAN VEGA</t>
  </si>
  <si>
    <t>99687339</t>
  </si>
  <si>
    <t>MIRIELLE DE LAS MERCEDES ARANDA CANETE</t>
  </si>
  <si>
    <t>102395972</t>
  </si>
  <si>
    <t>RICHARD RUBEN LAGOS ARRIAGADA</t>
  </si>
  <si>
    <t>102953711</t>
  </si>
  <si>
    <t>CRISTIAN DAVID MUNOZ VALDES</t>
  </si>
  <si>
    <t>108205717</t>
  </si>
  <si>
    <t>CENTRO DE PODOLOGIA CLINICA MARIA IGNACIA PEREZ E.I.R.L</t>
  </si>
  <si>
    <t>10924936K</t>
  </si>
  <si>
    <t>BERNARDITA PINO</t>
  </si>
  <si>
    <t>109805203</t>
  </si>
  <si>
    <t>FRANCISCO JAVIER JASCURA GUERRA</t>
  </si>
  <si>
    <t>121704536</t>
  </si>
  <si>
    <t>GONZALEZ BRADANOVIC RAUL ANTONIO</t>
  </si>
  <si>
    <t>122425967</t>
  </si>
  <si>
    <t>MARIANO ANTONIO DEVIA GALLARDO</t>
  </si>
  <si>
    <t>122806146</t>
  </si>
  <si>
    <t>FERNANDO ALEX VILLALOBOS ACOSTA</t>
  </si>
  <si>
    <t>126755708</t>
  </si>
  <si>
    <t>RODRIGO ALFREDO DAZA PEREZ</t>
  </si>
  <si>
    <t>130157580</t>
  </si>
  <si>
    <t>CRISTIAN SEGOVIA</t>
  </si>
  <si>
    <t>130666000</t>
  </si>
  <si>
    <t>CRISTIAN ALEJANDRO DIAZ ESPINO</t>
  </si>
  <si>
    <t>130843018</t>
  </si>
  <si>
    <t>CRISTIAN OYARZUN</t>
  </si>
  <si>
    <t>132460922</t>
  </si>
  <si>
    <t>RODRIGO EDUARDO MESIAS ACUNA</t>
  </si>
  <si>
    <t>136997130</t>
  </si>
  <si>
    <t>SIGRID ALEGRIA CONRADS</t>
  </si>
  <si>
    <t>138896218</t>
  </si>
  <si>
    <t>JUAN CARLOS SAEZ MONSALVES</t>
  </si>
  <si>
    <t>140359181</t>
  </si>
  <si>
    <t>FLOR CEA COLLINAO</t>
  </si>
  <si>
    <t>141355392</t>
  </si>
  <si>
    <t>ISABEL ADRIANA SYLVA MIRANDA</t>
  </si>
  <si>
    <t>141631810</t>
  </si>
  <si>
    <t>ANGELO LUIS MEDINA TORRES</t>
  </si>
  <si>
    <t>145803594</t>
  </si>
  <si>
    <t>PAULA LORETO BATISTA CORTES</t>
  </si>
  <si>
    <t>153349576</t>
  </si>
  <si>
    <t>MARILYN ALEJANDRA CAMPOS ARAVE</t>
  </si>
  <si>
    <t>155891238</t>
  </si>
  <si>
    <t>CLAUDIA ALEJANDRA DIAZ GUTIERR</t>
  </si>
  <si>
    <t>15838308K</t>
  </si>
  <si>
    <t>SIMON OLIVEROS BUSTAMANTE</t>
  </si>
  <si>
    <t>159055566</t>
  </si>
  <si>
    <t>FABIAN EDGARDO QUIROZ CADIZ</t>
  </si>
  <si>
    <t>160316136</t>
  </si>
  <si>
    <t>ESTEBAN FRANCISCO MARCHANT GALAZ</t>
  </si>
  <si>
    <t>160893184</t>
  </si>
  <si>
    <t>BUCCIONI AZOCAR ANTONINO LEONARDO</t>
  </si>
  <si>
    <t>161866725</t>
  </si>
  <si>
    <t>LUIS FABIAN JERIA GONZALEZ</t>
  </si>
  <si>
    <t>161971456</t>
  </si>
  <si>
    <t>MELISSA LUCERO RODRIGUEZ</t>
  </si>
  <si>
    <t>163741253</t>
  </si>
  <si>
    <t>MAXIMILIANO ZAMORA</t>
  </si>
  <si>
    <t>RODRIGO SOTO</t>
  </si>
  <si>
    <t>167625622</t>
  </si>
  <si>
    <t>RICARDO ESTEBAN VALDIVIA REYES</t>
  </si>
  <si>
    <t>16953974K</t>
  </si>
  <si>
    <t>JUAN LUIS GUENTULLE MOYA</t>
  </si>
  <si>
    <t>171478022</t>
  </si>
  <si>
    <t>PAULINA MARLENE ZAMBRANO NUÑEZ</t>
  </si>
  <si>
    <t>172087582</t>
  </si>
  <si>
    <t>ABRAHAM PINO</t>
  </si>
  <si>
    <t>172573584</t>
  </si>
  <si>
    <t>RUTH VINCA ALVARADO MATAMALA</t>
  </si>
  <si>
    <t>176525444</t>
  </si>
  <si>
    <t>ADRIAN ALEJANDRO BEJARANO MIRA</t>
  </si>
  <si>
    <t>176655062</t>
  </si>
  <si>
    <t>RODRIGO ISMAEL VALDES PAVEZ</t>
  </si>
  <si>
    <t>177380954</t>
  </si>
  <si>
    <t>LUCAS EFRAIN ARAYA CHAVEZ</t>
  </si>
  <si>
    <t>180666397</t>
  </si>
  <si>
    <t>SEBASTIAN CRISTOBAL SAAVEDRA JARA</t>
  </si>
  <si>
    <t>180820310</t>
  </si>
  <si>
    <t>181111186</t>
  </si>
  <si>
    <t>MARIA JESUS SEPULVEDA CONCHA</t>
  </si>
  <si>
    <t>181660635</t>
  </si>
  <si>
    <t>YASNA ANDREA ZUNIGA LEON</t>
  </si>
  <si>
    <t>188283179</t>
  </si>
  <si>
    <t>CARMINA GROSSI ALEGRIA</t>
  </si>
  <si>
    <t>190378403</t>
  </si>
  <si>
    <t>JAVIERA IGNACIA PARRA VALENZUELA</t>
  </si>
  <si>
    <t>195136556</t>
  </si>
  <si>
    <t>JUAN IGNACIO ESPINOZA BENAVIDE</t>
  </si>
  <si>
    <t>195839301</t>
  </si>
  <si>
    <t>MANUELA DEL CARMEN DONOSO HUENCHUAL</t>
  </si>
  <si>
    <t>197314850</t>
  </si>
  <si>
    <t>TOMAS EDGARDO HENRIQUEZ CHAVEZ</t>
  </si>
  <si>
    <t>19794045K</t>
  </si>
  <si>
    <t>ELISEO NATANAEL CHAVEZ TRUJILL</t>
  </si>
  <si>
    <t>202211062</t>
  </si>
  <si>
    <t>ESTEBAN ISAAC CHAVEZ MARTINEZ</t>
  </si>
  <si>
    <t>203915977</t>
  </si>
  <si>
    <t>DAVID ANDRES ARAYA CHAVEZ</t>
  </si>
  <si>
    <t>204175225</t>
  </si>
  <si>
    <t>FERNANDA ANTONIA OLGUEA CARREN</t>
  </si>
  <si>
    <t>209490226</t>
  </si>
  <si>
    <t>SIMON ANDRES CHAVEZ MARTINEZ</t>
  </si>
  <si>
    <t>209871068</t>
  </si>
  <si>
    <t>RAUL JOSE VALLADARES CONDORI</t>
  </si>
  <si>
    <t>225822573</t>
  </si>
  <si>
    <t>JORGE ANTONIO CUBAS CORDOVA</t>
  </si>
  <si>
    <t>229325272</t>
  </si>
  <si>
    <t>JERSON VITMER RUMUALDO CORDOVA</t>
  </si>
  <si>
    <t>246047286</t>
  </si>
  <si>
    <t>LUIS FERNANDO ZAMBRANO HERNAND</t>
  </si>
  <si>
    <t>265239188</t>
  </si>
  <si>
    <t>LUIS ALEJANDRO CARRILLO</t>
  </si>
  <si>
    <t>266665466</t>
  </si>
  <si>
    <t>YURI HUGEIDY CORDERO ROJAS</t>
  </si>
  <si>
    <t>267310734</t>
  </si>
  <si>
    <t>COMUNIDAD COND. EDIF. OFICINAS PRINCIPE DE GALES</t>
  </si>
  <si>
    <t>533228089</t>
  </si>
  <si>
    <t>DISTRIBUIDORA ALYC, S.A. DE C.V.</t>
  </si>
  <si>
    <t>555555555</t>
  </si>
  <si>
    <t>Grupo Flexi de León SAPI de CV</t>
  </si>
  <si>
    <t>Distribuidora QLI, S A P I de C.V.</t>
  </si>
  <si>
    <t>Distribuidora Flexi, S.A. de C.V.</t>
  </si>
  <si>
    <t>TESORERIA GENERAL DE LA REPUBLICA</t>
  </si>
  <si>
    <t>608050000</t>
  </si>
  <si>
    <t>UNIVERSIDAD DE CHILE</t>
  </si>
  <si>
    <t>609100001</t>
  </si>
  <si>
    <t>Corporacion Educacional</t>
  </si>
  <si>
    <t>651257263</t>
  </si>
  <si>
    <t>651932858</t>
  </si>
  <si>
    <t>760089591</t>
  </si>
  <si>
    <t>TACOTRONIX S.A.</t>
  </si>
  <si>
    <t>760129496</t>
  </si>
  <si>
    <t>MIMICA Y MIMICA LIMITADA</t>
  </si>
  <si>
    <t>760306185</t>
  </si>
  <si>
    <t>Cia. Seguros Generales Continental S.A.</t>
  </si>
  <si>
    <t>76039758K</t>
  </si>
  <si>
    <t>ORION SEGUROS GENERALES S.A</t>
  </si>
  <si>
    <t>760429651</t>
  </si>
  <si>
    <t>KLEVERONE PUBLICIDAD LIMITADA</t>
  </si>
  <si>
    <t>760512419</t>
  </si>
  <si>
    <t>BON VOYAGE LOGISTICS CHILE SPA</t>
  </si>
  <si>
    <t>760797499</t>
  </si>
  <si>
    <t>MUNDO FUTURO S.A.</t>
  </si>
  <si>
    <t>76084134K</t>
  </si>
  <si>
    <t>CHILELOGISTICA LIMITADA</t>
  </si>
  <si>
    <t>761029517</t>
  </si>
  <si>
    <t>HOTEL ALTO ATACAMA SPA</t>
  </si>
  <si>
    <t>761056271</t>
  </si>
  <si>
    <t>OLIVETO SPA</t>
  </si>
  <si>
    <t>761154362</t>
  </si>
  <si>
    <t>SOCIEDAD COMERCIAL VIDEOVISION LIMITADA</t>
  </si>
  <si>
    <t>76115771K</t>
  </si>
  <si>
    <t>EGLO CHILE ILUMINACION LTDA.</t>
  </si>
  <si>
    <t>761167804</t>
  </si>
  <si>
    <t>GRAFICA PUBLICITARIA LIMITADA</t>
  </si>
  <si>
    <t>761256327</t>
  </si>
  <si>
    <t>ADMIN. DE SUPERMERCADOS HIPER LIMITADA</t>
  </si>
  <si>
    <t>761349414</t>
  </si>
  <si>
    <t>DP WORLD SAN ANTONIO S.A.</t>
  </si>
  <si>
    <t>761585134</t>
  </si>
  <si>
    <t>TRANSPORTES LOS PIONEROS SPA.</t>
  </si>
  <si>
    <t>76161794K</t>
  </si>
  <si>
    <t>Central de Restaurantes Aramark Limitada</t>
  </si>
  <si>
    <t>761783602</t>
  </si>
  <si>
    <t>Pablo Herrera Rocafort EIRL</t>
  </si>
  <si>
    <t>761810413</t>
  </si>
  <si>
    <t>MEGAMEDIA S.A.</t>
  </si>
  <si>
    <t>761859641</t>
  </si>
  <si>
    <t>ASESORIAS E INVERSIONES IGNACIO BULNES ALAMOS E.I.R.L.</t>
  </si>
  <si>
    <t>762473143</t>
  </si>
  <si>
    <t>COMERCIAL ATP SPA</t>
  </si>
  <si>
    <t>76253293K</t>
  </si>
  <si>
    <t>IMPORTADORA Y EXPORTADORA LIFS LTDA.</t>
  </si>
  <si>
    <t>762552663</t>
  </si>
  <si>
    <t>ASESORIAS Y PRODUCCIONES GRAFICAS EXPERTA LIMITADA</t>
  </si>
  <si>
    <t>762658631</t>
  </si>
  <si>
    <t>CENTRY INNOVACIONES SPA</t>
  </si>
  <si>
    <t>762984261</t>
  </si>
  <si>
    <t>NEXUS LOGISTICS S.A.</t>
  </si>
  <si>
    <t>763203409</t>
  </si>
  <si>
    <t>MOTOBOY CHILE SPA</t>
  </si>
  <si>
    <t>763219275</t>
  </si>
  <si>
    <t>STUDIO 2 ARQUITECTOS SPA</t>
  </si>
  <si>
    <t>763512274</t>
  </si>
  <si>
    <t>763802175</t>
  </si>
  <si>
    <t>MOLINA PARRA JUAN BAUTISTA Y COMPAÑIA LIMITADA</t>
  </si>
  <si>
    <t>763963829</t>
  </si>
  <si>
    <t>MAGNUS SPA</t>
  </si>
  <si>
    <t>764095057</t>
  </si>
  <si>
    <t>Hotelera Centro Costanera S.A.</t>
  </si>
  <si>
    <t>764378865</t>
  </si>
  <si>
    <t>TELAS ATRILES SPA</t>
  </si>
  <si>
    <t>764465490</t>
  </si>
  <si>
    <t>DEC-HAUS SPA</t>
  </si>
  <si>
    <t>764484940</t>
  </si>
  <si>
    <t>WAREHOUSEMAQ SPA</t>
  </si>
  <si>
    <t>764624211</t>
  </si>
  <si>
    <t>CONSULTORIA</t>
  </si>
  <si>
    <t>764790669</t>
  </si>
  <si>
    <t>ASESORIAS Y SERVICIOS M &amp; J LIMITADA</t>
  </si>
  <si>
    <t>764839358</t>
  </si>
  <si>
    <t>Inversiones Saez y Aroca Spa</t>
  </si>
  <si>
    <t>765118204</t>
  </si>
  <si>
    <t>AMBIENTAL INGENIERIA LIMITADA</t>
  </si>
  <si>
    <t>765377803</t>
  </si>
  <si>
    <t>RODRIGO DAZA</t>
  </si>
  <si>
    <t>765939038</t>
  </si>
  <si>
    <t>Aseguradora Porvenir</t>
  </si>
  <si>
    <t>765986257</t>
  </si>
  <si>
    <t>SCHLACK Y RODRIGUEZ LIMITADA</t>
  </si>
  <si>
    <t>766122051</t>
  </si>
  <si>
    <t>COMERCIALIZADORA HOEVEL LIMITADA</t>
  </si>
  <si>
    <t>766954383</t>
  </si>
  <si>
    <t>ELECTRODAVIS CHILE SPA</t>
  </si>
  <si>
    <t>767481047</t>
  </si>
  <si>
    <t>IMPORTADORA BEST STORE SPA</t>
  </si>
  <si>
    <t>767533969</t>
  </si>
  <si>
    <t>COMERCIALIZADORA MONAL SPA</t>
  </si>
  <si>
    <t>767693028</t>
  </si>
  <si>
    <t>ANDES LOGISTICS DE CHILE SA</t>
  </si>
  <si>
    <t>767880502</t>
  </si>
  <si>
    <t>SR ELEVADORES SPA</t>
  </si>
  <si>
    <t>768022046</t>
  </si>
  <si>
    <t>PUNTODEARRIENDO SPA</t>
  </si>
  <si>
    <t>768187215</t>
  </si>
  <si>
    <t>ASESORIA EN IMPRESION DIGITAL CGINTALACIONES SPA</t>
  </si>
  <si>
    <t>76840299K</t>
  </si>
  <si>
    <t>CO.PAGE DIGITAL FILMS SPA</t>
  </si>
  <si>
    <t>768473935</t>
  </si>
  <si>
    <t>MARIA ISABEL ZULUETA Y CIA LTDA</t>
  </si>
  <si>
    <t>768511101</t>
  </si>
  <si>
    <t>F Y F ELECTRONICA SPA</t>
  </si>
  <si>
    <t>76866420K</t>
  </si>
  <si>
    <t>ATMOS DECO SPA</t>
  </si>
  <si>
    <t>768752532</t>
  </si>
  <si>
    <t>SPRINGS DIGITAL SPA</t>
  </si>
  <si>
    <t>76881483K</t>
  </si>
  <si>
    <t>AGENCIA DE PUBLICIDAD HI HERNAN ORLANDO VEGA GOMEZ E.I.R.L.</t>
  </si>
  <si>
    <t>769186506</t>
  </si>
  <si>
    <t>LAUS SPA</t>
  </si>
  <si>
    <t>769258922</t>
  </si>
  <si>
    <t>SOUTHERN TECHNOLOGY GROUP LIMITADA</t>
  </si>
  <si>
    <t>RSM CHILE SPA</t>
  </si>
  <si>
    <t>769277137</t>
  </si>
  <si>
    <t>COMERCIAL FLEMING SPA</t>
  </si>
  <si>
    <t>769450092</t>
  </si>
  <si>
    <t>MZ ORTODONCIA SPA</t>
  </si>
  <si>
    <t>769628029</t>
  </si>
  <si>
    <t>ESMEL SPA</t>
  </si>
  <si>
    <t>769630430</t>
  </si>
  <si>
    <t>RODAZA FOTO SPA</t>
  </si>
  <si>
    <t>769732179</t>
  </si>
  <si>
    <t>depende o 7</t>
  </si>
  <si>
    <t>FOLLOWING SPA</t>
  </si>
  <si>
    <t>769863478</t>
  </si>
  <si>
    <t>MASSIVA  S.A.</t>
  </si>
  <si>
    <t>770229103</t>
  </si>
  <si>
    <t>CONFECCIÓN</t>
  </si>
  <si>
    <t>770407397</t>
  </si>
  <si>
    <t>HGDC SPA</t>
  </si>
  <si>
    <t>770998131</t>
  </si>
  <si>
    <t>DELL COMPUTER DE CHILE LIMITADA</t>
  </si>
  <si>
    <t>770999804</t>
  </si>
  <si>
    <t>DG Producciones SPA</t>
  </si>
  <si>
    <t>771002099</t>
  </si>
  <si>
    <t>FABULA SERVICIOS SPA</t>
  </si>
  <si>
    <t>77101917K</t>
  </si>
  <si>
    <t>INGENIERIA ELECTRICA HECTOR BARRERA LECAROS  E.I.R.L.</t>
  </si>
  <si>
    <t>771273343</t>
  </si>
  <si>
    <t>POLEX SERVICIOS SPA</t>
  </si>
  <si>
    <t>771392067</t>
  </si>
  <si>
    <t>PROCLIMA SERVICES SPA</t>
  </si>
  <si>
    <t>771607829</t>
  </si>
  <si>
    <t>AGUILERA Y COMPANIA LIMITADA</t>
  </si>
  <si>
    <t>771972403</t>
  </si>
  <si>
    <t xml:space="preserve">FLEXI CHILE SPA					</t>
  </si>
  <si>
    <t>772273177</t>
  </si>
  <si>
    <t>nota de credito</t>
  </si>
  <si>
    <t>existencia o mds en transito</t>
  </si>
  <si>
    <t>Estetica Fuentes y Vera Limitada</t>
  </si>
  <si>
    <t>772370873</t>
  </si>
  <si>
    <t>NEOVIVIR INMOBILIARIA SPA</t>
  </si>
  <si>
    <t>772618182</t>
  </si>
  <si>
    <t>TRUP SPA</t>
  </si>
  <si>
    <t>772718934</t>
  </si>
  <si>
    <t>KEYNET SOLUCIONES COMPUTACIONALES SPA</t>
  </si>
  <si>
    <t>77292626K</t>
  </si>
  <si>
    <t>pizzeria bjh spa</t>
  </si>
  <si>
    <t>773004587</t>
  </si>
  <si>
    <t>NEWTRANS LOGISTICS CHILE S.A.</t>
  </si>
  <si>
    <t>773209707</t>
  </si>
  <si>
    <t>PC LINK SPA</t>
  </si>
  <si>
    <t>773234183</t>
  </si>
  <si>
    <t>Taylor y Montgomery Ltda.</t>
  </si>
  <si>
    <t>773301603</t>
  </si>
  <si>
    <t>SERVICIOS COMPUTACIONALES CHILERED LIMITADA</t>
  </si>
  <si>
    <t>774228500</t>
  </si>
  <si>
    <t>COMERCIAL MIPP SPA</t>
  </si>
  <si>
    <t>PUBLICIDAD- CANAL DIGITAL</t>
  </si>
  <si>
    <t>IMPORTADORA Y EXPORTADORA GLOBUS SPA</t>
  </si>
  <si>
    <t>775874406</t>
  </si>
  <si>
    <t>AUTOEDIFICA SOLUCIONES SPA</t>
  </si>
  <si>
    <t>ASESORIAS E INVERSIONES VVS SPA</t>
  </si>
  <si>
    <t>776996009</t>
  </si>
  <si>
    <t>SOLUCIONES INTEGRALES DE EMBALAJE MILLAQUEN SPA</t>
  </si>
  <si>
    <t>787768008</t>
  </si>
  <si>
    <t>RENE LAGOS</t>
  </si>
  <si>
    <t>789566402</t>
  </si>
  <si>
    <t>CENTRO MEDICO DE DIALISIS LTDA</t>
  </si>
  <si>
    <t>798243802</t>
  </si>
  <si>
    <t>COMERCIAL TOTAL PACK LTDA.</t>
  </si>
  <si>
    <t>79948840K</t>
  </si>
  <si>
    <t>ILOP S A</t>
  </si>
  <si>
    <t>804782001</t>
  </si>
  <si>
    <t>ULTRAMAR AGENCIA MARITIMA LTDA.</t>
  </si>
  <si>
    <t>809920003</t>
  </si>
  <si>
    <t>DONNEBAUM S A</t>
  </si>
  <si>
    <t>817066003</t>
  </si>
  <si>
    <t>ELECTRONICA CASA ROYAL LIMITADA</t>
  </si>
  <si>
    <t>830306005</t>
  </si>
  <si>
    <t>CLEAR CHANNEL CHILE PUBLICIDAD LTDA.</t>
  </si>
  <si>
    <t>843832008</t>
  </si>
  <si>
    <t>ARRIMAQ</t>
  </si>
  <si>
    <t>852757000</t>
  </si>
  <si>
    <t>Industria Metalurgica Procesa SA</t>
  </si>
  <si>
    <t>855064006</t>
  </si>
  <si>
    <t>COREL SPA</t>
  </si>
  <si>
    <t>856812006</t>
  </si>
  <si>
    <t>SERVICIOS EQUIFAX CHILE LIMITADA</t>
  </si>
  <si>
    <t>858961009</t>
  </si>
  <si>
    <t>866546002</t>
  </si>
  <si>
    <t>MANIQUIES ALFREDO ORTEGA FARIAS E.I.R.L</t>
  </si>
  <si>
    <t>88444800K</t>
  </si>
  <si>
    <t>INGENIERIA Y CONSTRUCCION RICARDO RODRIGUEZ Y CIA LTDA</t>
  </si>
  <si>
    <t>89912300K</t>
  </si>
  <si>
    <t>Empresa El Mercurio S.A.P.</t>
  </si>
  <si>
    <t>901930007</t>
  </si>
  <si>
    <t>CAP S A</t>
  </si>
  <si>
    <t>912970000</t>
  </si>
  <si>
    <t>COLCHONES ROSEN S.A.I.C.</t>
  </si>
  <si>
    <t>931290002</t>
  </si>
  <si>
    <t>ANOVO ANDES S A</t>
  </si>
  <si>
    <t>965168109</t>
  </si>
  <si>
    <t>TRECK</t>
  </si>
  <si>
    <t>965424903</t>
  </si>
  <si>
    <t>SODEXO SERVICIOS S.A.</t>
  </si>
  <si>
    <t>965509607</t>
  </si>
  <si>
    <t>AGENCIAS UNIVERSALES S.A.</t>
  </si>
  <si>
    <t>96566940K</t>
  </si>
  <si>
    <t>PROYECTOS Y MONTAJES S A</t>
  </si>
  <si>
    <t>966098503</t>
  </si>
  <si>
    <t>FastAir Almacenes de Carga S.A.</t>
  </si>
  <si>
    <t>966315202</t>
  </si>
  <si>
    <t>MAERSK CHILE S.p.A</t>
  </si>
  <si>
    <t>966538902</t>
  </si>
  <si>
    <t>BICE VIDA COMPAÑIA DE SEGUROS S.A.</t>
  </si>
  <si>
    <t>966564105</t>
  </si>
  <si>
    <t>SERVICIOS COMPUTACIONALES GLOBAL SA</t>
  </si>
  <si>
    <t>96661420K</t>
  </si>
  <si>
    <t>SAAM EXTRAPORTUARIOS S.A.</t>
  </si>
  <si>
    <t>967985201</t>
  </si>
  <si>
    <t>Adecco Recursos Humanos S A</t>
  </si>
  <si>
    <t>968201700</t>
  </si>
  <si>
    <t>IMPOVAR SA</t>
  </si>
  <si>
    <t>96876330K</t>
  </si>
  <si>
    <t>COMER Y BEBER S A</t>
  </si>
  <si>
    <t>969111608</t>
  </si>
  <si>
    <t>Adecco EST S A</t>
  </si>
  <si>
    <t>969530503</t>
  </si>
  <si>
    <t>PRECISION SpA</t>
  </si>
  <si>
    <t>969809109</t>
  </si>
  <si>
    <t>HOTELERA SAN FRANCISCO S.A</t>
  </si>
  <si>
    <t>995111004</t>
  </si>
  <si>
    <t>SOCIEDAD INDUSTRIAL JORRATT Y ZAMORA S.A</t>
  </si>
  <si>
    <t>99567520K</t>
  </si>
  <si>
    <t>CHUBB SEGUROS DE VIDA CHILE S.A.</t>
  </si>
  <si>
    <t>995880601</t>
  </si>
  <si>
    <t>MS CONSULTORES SPA</t>
  </si>
  <si>
    <t>GASTOS DE CAPACITACION</t>
  </si>
  <si>
    <t>IMPORTADORA Y COMERCIAL JENNIFER LENG E.I.R.L.</t>
  </si>
  <si>
    <t>COLORJET SPA</t>
  </si>
  <si>
    <t>VF CARGO SPA</t>
  </si>
  <si>
    <t>77661031-3</t>
  </si>
  <si>
    <t>GRAFTON RECRUITMENT EST SA</t>
  </si>
  <si>
    <t>76733030-8</t>
  </si>
  <si>
    <t>COMERCIALIZADORA Y PRODUCTORA THE WHO LIMITADA</t>
  </si>
  <si>
    <t>76578240-6</t>
  </si>
  <si>
    <t>SEGURIDAD FUEGO Y TECNOLOGIA SPA</t>
  </si>
  <si>
    <t>76866454-4</t>
  </si>
  <si>
    <t>Hites S.A.</t>
  </si>
  <si>
    <t>81675600-6</t>
  </si>
  <si>
    <t>SISTEMAS DE SEGURIDAD DYO SPA</t>
  </si>
  <si>
    <t>77911698-0</t>
  </si>
  <si>
    <t>78556470-7</t>
  </si>
  <si>
    <t>76563427K</t>
  </si>
  <si>
    <t>SERVICIOS DE INFORMÃTICA ALAN SMITH E.I.R.L.</t>
  </si>
  <si>
    <t>76563427-K</t>
  </si>
  <si>
    <t>ISABEL MARGARITA RIVERA VARAS</t>
  </si>
  <si>
    <t>8909872-6</t>
  </si>
  <si>
    <t>SEAPORT S.A.</t>
  </si>
  <si>
    <t>96796080-2</t>
  </si>
  <si>
    <t>COMPAÃ‘IA PUERTO DE CORONEL S.A.</t>
  </si>
  <si>
    <t>79895330-3</t>
  </si>
  <si>
    <t>JARUFE Y JARUFE HERMANOS LIMITADA</t>
  </si>
  <si>
    <t>78341740-5</t>
  </si>
  <si>
    <t>Comercial Total Pack Ltda.</t>
  </si>
  <si>
    <t>170-200-210</t>
  </si>
  <si>
    <t>CHARTER LINK  LOGISTICS CHILE SPA</t>
  </si>
  <si>
    <t>76948268-7</t>
  </si>
  <si>
    <t>77190692-3</t>
  </si>
  <si>
    <t>200 y 210</t>
  </si>
  <si>
    <t>NUEVOS ALMACENES INTERNACIONALES SA</t>
  </si>
  <si>
    <t>96582950-4</t>
  </si>
  <si>
    <t>76976740-1</t>
  </si>
  <si>
    <t>TRANSPORTES Y LOGÃSTICA SOLORZA SPA</t>
  </si>
  <si>
    <t>77444385-1</t>
  </si>
  <si>
    <t>AGUNSA EXTRAPORTUARIO S.A.</t>
  </si>
  <si>
    <t>76451351-7</t>
  </si>
  <si>
    <t>SOLYLUNA GUILLEN</t>
  </si>
  <si>
    <t>25820600-2</t>
  </si>
  <si>
    <t>PNEUMA TERMIK SPA</t>
  </si>
  <si>
    <t>77555921-7</t>
  </si>
  <si>
    <t>Universidad de Chile</t>
  </si>
  <si>
    <t>60910000-1</t>
  </si>
  <si>
    <t>ISLA NAVARINO SPA</t>
  </si>
  <si>
    <t>77166818-6</t>
  </si>
  <si>
    <t>PCS</t>
  </si>
  <si>
    <t>96806980-2</t>
  </si>
  <si>
    <t>96653650-0</t>
  </si>
  <si>
    <t>210 o 200</t>
  </si>
  <si>
    <t>96566940-K</t>
  </si>
  <si>
    <t>SITRANS ALM EXTRAPORTUARIOS LTDA.</t>
  </si>
  <si>
    <t>77938830-1</t>
  </si>
  <si>
    <t>COOPERCARAB LTDA</t>
  </si>
  <si>
    <t>81242500-5</t>
  </si>
  <si>
    <t>PANORAMICA3D SPA</t>
  </si>
  <si>
    <t>77478691-0</t>
  </si>
  <si>
    <t>76731982-7</t>
  </si>
  <si>
    <t>76449667-1</t>
  </si>
  <si>
    <t>EQUILIBRIO LAB SPA</t>
  </si>
  <si>
    <t>78117786-5</t>
  </si>
  <si>
    <t>LETRAS LIVIANAS SPA</t>
  </si>
  <si>
    <t>77962454-4</t>
  </si>
  <si>
    <t>IMP Y EXP DE PRODUCTOS TECNOLOGICOS S A</t>
  </si>
  <si>
    <t>99539070-1</t>
  </si>
  <si>
    <t>COMERCIAL RODRIGUEZ E HIJAS LIMITADA</t>
  </si>
  <si>
    <t>76266155-1</t>
  </si>
  <si>
    <t>ADAN ENRIQUE LOPEZ GALLARDO</t>
  </si>
  <si>
    <t>12950071-9</t>
  </si>
  <si>
    <t>Desarrollos e Inv. Internacionales SPA</t>
  </si>
  <si>
    <t>76883720-1</t>
  </si>
  <si>
    <t>78124998K</t>
  </si>
  <si>
    <t>ME CONECTO SPA</t>
  </si>
  <si>
    <t>78124998-K</t>
  </si>
  <si>
    <t>HONORARIOS PROFESIONALES</t>
  </si>
  <si>
    <t>SERVICIOS AEROPORTUARIOS AEROSAN SA</t>
  </si>
  <si>
    <t>94058000-5</t>
  </si>
  <si>
    <t>93737000-8</t>
  </si>
  <si>
    <t>COMERCIAL FASHIONS PARK S.A.</t>
  </si>
  <si>
    <t>78533100-1</t>
  </si>
  <si>
    <t>METALPLASTIC SPA</t>
  </si>
  <si>
    <t>76751342-9</t>
  </si>
  <si>
    <t>AGENCIA DE COMUNICACIONES COMUNICALO Y PUNTO LIMITADA</t>
  </si>
  <si>
    <t>76762209-0</t>
  </si>
  <si>
    <t>77270485-2</t>
  </si>
  <si>
    <t>INDUSTRIAS AUTOMATIK LIMITADA</t>
  </si>
  <si>
    <t>76570090-6</t>
  </si>
  <si>
    <t>76776927K</t>
  </si>
  <si>
    <t>Comercial Campos  Parra Limitada</t>
  </si>
  <si>
    <t>76776927-K</t>
  </si>
  <si>
    <t>76007873-5</t>
  </si>
  <si>
    <t>78042986-0</t>
  </si>
  <si>
    <t>INVERSIONES TRANCURA LIMITADA</t>
  </si>
  <si>
    <t>78386380-4</t>
  </si>
  <si>
    <t>CORTINAS METALICAS MARIA MAGDALENA TANTALEAN MONTENEGRO E.I.R.L.</t>
  </si>
  <si>
    <t>77563856-7</t>
  </si>
  <si>
    <t>TDT SPA</t>
  </si>
  <si>
    <t>76783262-1</t>
  </si>
  <si>
    <t>JMV SPA</t>
  </si>
  <si>
    <t>77833808-4</t>
  </si>
  <si>
    <t>TODO PARA VIAJAR SPA</t>
  </si>
  <si>
    <t>77388616-4</t>
  </si>
  <si>
    <t>DISTRIBUIDOR QISHENG SPA</t>
  </si>
  <si>
    <t>77685577-4</t>
  </si>
  <si>
    <t>SEPÃšLVEDA ASOCIADOS SPA</t>
  </si>
  <si>
    <t>78143165-6</t>
  </si>
  <si>
    <t>LOGISTICA Y TRANSPORTE AP LIMITADA</t>
  </si>
  <si>
    <t>76346799-6</t>
  </si>
  <si>
    <t>76835594-0</t>
  </si>
  <si>
    <t>YAPO.CL SPA</t>
  </si>
  <si>
    <t>76169003-5</t>
  </si>
  <si>
    <t>DICOMGRAF LIMITADA</t>
  </si>
  <si>
    <t>76286217-4</t>
  </si>
  <si>
    <t>UNIBAG SPA</t>
  </si>
  <si>
    <t>76283675-0</t>
  </si>
  <si>
    <t>INVERSIONES MUNDO LAMAR LIMITADA</t>
  </si>
  <si>
    <t>77509336-6</t>
  </si>
  <si>
    <t>RAFAEL ANTONIO OBREQUE PEREIRA</t>
  </si>
  <si>
    <t>13693247-0</t>
  </si>
  <si>
    <t>ANDESCARD SPA</t>
  </si>
  <si>
    <t>76849876-8</t>
  </si>
  <si>
    <t>76199043-8</t>
  </si>
  <si>
    <t>3106201, SUMINISTRO VISUAL</t>
  </si>
  <si>
    <t>77423523K</t>
  </si>
  <si>
    <t>NIKEMATECH SPA</t>
  </si>
  <si>
    <t>77423523-K</t>
  </si>
  <si>
    <t>SON BOLSAS QUE SE VENDEN?</t>
  </si>
  <si>
    <t>77624225-K</t>
  </si>
  <si>
    <t>76319739-5</t>
  </si>
  <si>
    <t>96908870-3</t>
  </si>
  <si>
    <t>76531741-K</t>
  </si>
  <si>
    <t>DIVIDIR</t>
  </si>
  <si>
    <t>DIGITAL</t>
  </si>
  <si>
    <t>ADMINISTRACION</t>
  </si>
  <si>
    <t>PLAZA EGAÑA</t>
  </si>
  <si>
    <t>PLAZA VESPUCIO</t>
  </si>
  <si>
    <t>EL TREBOL</t>
  </si>
  <si>
    <t>COSTANERA CENTER</t>
  </si>
  <si>
    <t>ESTADO</t>
  </si>
  <si>
    <t>TALCA (MAULE)</t>
  </si>
  <si>
    <t>FLEXI PLAZA NORTE</t>
  </si>
  <si>
    <t>PLAZA OESTE</t>
  </si>
  <si>
    <t>CEDIS</t>
  </si>
  <si>
    <t>MULTICENTRO</t>
  </si>
  <si>
    <t>CEDIS CHILE</t>
  </si>
  <si>
    <t>AGRUPACION CENTRO DE COSTO</t>
  </si>
  <si>
    <t>PROPUESTA MEXICO</t>
  </si>
  <si>
    <t>CC DISPONIBLES</t>
  </si>
  <si>
    <t>NRO</t>
  </si>
  <si>
    <t>VESPUCIO</t>
  </si>
  <si>
    <t>EGAÑA</t>
  </si>
  <si>
    <t>TREBOL</t>
  </si>
  <si>
    <t>DOMINICOS</t>
  </si>
  <si>
    <t>MAIPU</t>
  </si>
  <si>
    <t>COSTANERA</t>
  </si>
  <si>
    <t>FLORIDA</t>
  </si>
  <si>
    <t xml:space="preserve">BARROS ARANA </t>
  </si>
  <si>
    <t>CERRADA</t>
  </si>
  <si>
    <t>OESTE</t>
  </si>
  <si>
    <t>TIENDA ONLINE</t>
  </si>
  <si>
    <t>MARKETPLACES</t>
  </si>
  <si>
    <t>MERCADO LIBRE</t>
  </si>
  <si>
    <t>MAYORISTA</t>
  </si>
  <si>
    <t>INACTIVOS</t>
  </si>
  <si>
    <t>EN TRANSITO</t>
  </si>
  <si>
    <t>MARKETING</t>
  </si>
  <si>
    <t>Direcciones de locales</t>
  </si>
  <si>
    <t>Francisco de Villagra 327 dpto 1601-B</t>
  </si>
  <si>
    <t>FLEXI ECOMMERCE</t>
  </si>
  <si>
    <t>FLEXI PLAZA LOS DOMINICOS</t>
  </si>
  <si>
    <t>Avda. Padre Hurtado Sur 875 local C-2057-A</t>
  </si>
  <si>
    <t>FLEXI PLAZA EGAÑA</t>
  </si>
  <si>
    <t>Avda. Larrain 5862 A-2045/A2049</t>
  </si>
  <si>
    <t>FLEXI PLAZA VESPUCIO</t>
  </si>
  <si>
    <t>Vicuña Mackenna 7110 local 77/78</t>
  </si>
  <si>
    <t>FLEXI EL TREBOL</t>
  </si>
  <si>
    <t>Jorge Alessandri 3177 local A-237-239</t>
  </si>
  <si>
    <t>FLEXI ARAUCO MAIPU</t>
  </si>
  <si>
    <t>Americo Vespucio 399 L-639</t>
  </si>
  <si>
    <t>FLEXI COSTANERA CENTER</t>
  </si>
  <si>
    <t>Andres Bello 2447 local 2200</t>
  </si>
  <si>
    <t>FLEXI FLORIDA CENTER</t>
  </si>
  <si>
    <t>Vicuña Mackenna 6100 loc-2068</t>
  </si>
  <si>
    <t>FLEXI BARROS ARANA</t>
  </si>
  <si>
    <t>Barros Arana 1068 local 17</t>
  </si>
  <si>
    <t>FLEXI ESTADO</t>
  </si>
  <si>
    <t>Estado 202</t>
  </si>
  <si>
    <t>FLEXI TALCA</t>
  </si>
  <si>
    <t>DAFITI</t>
  </si>
  <si>
    <t>big foot</t>
  </si>
  <si>
    <t>mercadio libre</t>
  </si>
  <si>
    <t>CENCOSUD</t>
  </si>
  <si>
    <t>RIPLEY MARKETPLACE</t>
  </si>
  <si>
    <t>eccsa</t>
  </si>
  <si>
    <t>FALABELLA</t>
  </si>
  <si>
    <t>RIPLEY</t>
  </si>
  <si>
    <t>Boleta</t>
  </si>
  <si>
    <t>Emisor</t>
  </si>
  <si>
    <t>Honorarios</t>
  </si>
  <si>
    <t>N°</t>
  </si>
  <si>
    <t>Fecha</t>
  </si>
  <si>
    <t>Estado</t>
  </si>
  <si>
    <t>Fecha Anulación</t>
  </si>
  <si>
    <t>Rut</t>
  </si>
  <si>
    <t>Nombre o Razón Social</t>
  </si>
  <si>
    <t>Soc. Prof.</t>
  </si>
  <si>
    <t>Brutos</t>
  </si>
  <si>
    <t>Retenido 14.5%</t>
  </si>
  <si>
    <t>prestamo 3%</t>
  </si>
  <si>
    <t>Pagado</t>
  </si>
  <si>
    <t>Glosa Docuemnto</t>
  </si>
  <si>
    <t>Cta ADVICOM</t>
  </si>
  <si>
    <t>C/Costo ADVICOM</t>
  </si>
  <si>
    <t>VIGENTE</t>
  </si>
  <si>
    <t>5666822-5</t>
  </si>
  <si>
    <t>JUAN ANTONIO MELO SAAVEDRA</t>
  </si>
  <si>
    <t>NO</t>
  </si>
  <si>
    <t xml:space="preserve">LIMPIEZA DE VIDRIOS ,LOGO ,ESPEJOS, LOCAL CERRILLOS </t>
  </si>
  <si>
    <t>3106601</t>
  </si>
  <si>
    <t>NULA</t>
  </si>
  <si>
    <t xml:space="preserve">LIMPIEZA DE LETRERO </t>
  </si>
  <si>
    <t>LIMPIEZA DE FACHADA Y SALON DE VENTAS</t>
  </si>
  <si>
    <t>170 o 210</t>
  </si>
  <si>
    <t>FALTA CONFIRMACION AL RECIBIR RENDICION 170</t>
  </si>
  <si>
    <t>14580359-4</t>
  </si>
  <si>
    <t>LIMPIEZA DE VIDRIOS MES DICIEMBRE MAL PLAZA EGANA</t>
  </si>
  <si>
    <t>14473304-5</t>
  </si>
  <si>
    <t>LORENA ELISA QUINTANILLA LEON</t>
  </si>
  <si>
    <t>FINIQUITO</t>
  </si>
  <si>
    <t>GASTOS LEGALES Y NOTARIALES</t>
  </si>
  <si>
    <t>LIMPIEZA DE VIDRIOS MES DICIEMBRE LOCAL FLEXI FLORIDA CENTER</t>
  </si>
  <si>
    <t>18538136-6</t>
  </si>
  <si>
    <t>SOFIA ALEJANDRA JORQUERA ESPIN</t>
  </si>
  <si>
    <t>REEL INFLUENCER SANDALIAS SOPHIEJORK</t>
  </si>
  <si>
    <t>14046459-7</t>
  </si>
  <si>
    <t>JORGE ORLANDO VENEGAS GOMEZ</t>
  </si>
  <si>
    <t>ATENCION ELECTRICA EN TIENDA ESTADO;CAMBIO DE FUENTE DE PODER DE LETRERO</t>
  </si>
  <si>
    <t xml:space="preserve">LIMPIEZA DE VIDRIOS Y ESPEJOS </t>
  </si>
  <si>
    <t>21104595-7</t>
  </si>
  <si>
    <t>JANICE DESIREE CACERES BARRIA</t>
  </si>
  <si>
    <t>VIDEO PROMOCIONAL</t>
  </si>
  <si>
    <t>LIMPIEZA DE VIDRIOS ,LOGO ,ESPEJOS, LOCAL CERRILLOA</t>
  </si>
  <si>
    <t>8992058-2</t>
  </si>
  <si>
    <t>JUAN JESUS ARRIAGADA GONZALEZ</t>
  </si>
  <si>
    <t>LIMPIEZA Y MANTENCION DE VITRINAS TIENDA FLEXI MALL PLAZA
TREBOL MES DE ENERO</t>
  </si>
  <si>
    <t>24964619-9</t>
  </si>
  <si>
    <t>ANA PAULA MARTINS DA SILVA</t>
  </si>
  <si>
    <t>LIMPIEZA DE VITRINA LOCAL MALL PLAZA MAULE TALCA</t>
  </si>
  <si>
    <t>21321577-9</t>
  </si>
  <si>
    <t>FERNANDO ANTONIO OLGUEA CARREN</t>
  </si>
  <si>
    <t>MANTENCION DE VITRINAS 4 AL MES 1 POR SEMANA MALL NORTE</t>
  </si>
  <si>
    <t>21491629-0</t>
  </si>
  <si>
    <t>CATALINA ANTONIA BAHAMONDE BET</t>
  </si>
  <si>
    <t>GENERACION DE CONTENIDO PARA MEDIOS DIGITALES</t>
  </si>
  <si>
    <t>LIMPIEZA DE VIDRIOS MES ENERO MAL PLAZA EGANA</t>
  </si>
  <si>
    <t>Nombre</t>
  </si>
  <si>
    <t>Cta</t>
  </si>
  <si>
    <t>Nombre Cta</t>
  </si>
  <si>
    <t>C.costo</t>
  </si>
  <si>
    <t>17738095-4</t>
  </si>
  <si>
    <t>130, 140 o 180</t>
  </si>
  <si>
    <t>12831484-9</t>
  </si>
  <si>
    <t>MARCIA ALEJANDRA LIZANA GUERRE</t>
  </si>
  <si>
    <t>26624445-2</t>
  </si>
  <si>
    <t>JESUS MANUEL RODRIGUEZ CORTEZ</t>
  </si>
  <si>
    <t>7553462-0</t>
  </si>
  <si>
    <t>JUAN NICOLAS LUDUENA REBECO</t>
  </si>
  <si>
    <t>18828317-9</t>
  </si>
  <si>
    <t>20949022-6</t>
  </si>
  <si>
    <t>185 o 150</t>
  </si>
  <si>
    <t>27453748-5</t>
  </si>
  <si>
    <t>ROLANDO JOSE ALEMAN ANGEL</t>
  </si>
  <si>
    <t>10820571-7</t>
  </si>
  <si>
    <t>18685489-6</t>
  </si>
  <si>
    <t>GERALDINE ELIZABETH NEIRA BETA</t>
  </si>
  <si>
    <t>27697697-4</t>
  </si>
  <si>
    <t>LARRY RAMON ZAMBRANO HERNANDEZ</t>
  </si>
  <si>
    <t>18365442-K</t>
  </si>
  <si>
    <t>VICTOR ISAAC CARRASCO VELASQUE</t>
  </si>
  <si>
    <t>14035918-1</t>
  </si>
  <si>
    <t>21325523-1</t>
  </si>
  <si>
    <t>ALAN MATIAS TORRES NAHUELPI</t>
  </si>
  <si>
    <t>26797857-3</t>
  </si>
  <si>
    <t>MARIA FERNANDA PEREZ PEREZ</t>
  </si>
  <si>
    <t>16089318-4</t>
  </si>
  <si>
    <t>ESTEBAN FRANCISCO MARCHANT GAL</t>
  </si>
  <si>
    <t>VIATICOS VISUAL MERCHANDISE</t>
  </si>
  <si>
    <t>10172852-8</t>
  </si>
  <si>
    <t>LEYLA LUISA CARRENO ROJAS</t>
  </si>
  <si>
    <t>21220054-9</t>
  </si>
  <si>
    <t>CATALINA ANTONIA ZAVALLA ARTEA</t>
  </si>
  <si>
    <t>20857531-7</t>
  </si>
  <si>
    <t>DIEGO ANDRES VEAS SALDIAS</t>
  </si>
  <si>
    <t>17025300-0</t>
  </si>
  <si>
    <t>MIGUEL ANGEL ARAVENA FARIAS</t>
  </si>
  <si>
    <t>16719338-2</t>
  </si>
  <si>
    <t>ROGER NICK BURGOS TAPIA</t>
  </si>
  <si>
    <t>20558797-7</t>
  </si>
  <si>
    <t>DIEGO IGNACIO CASTRO ARANGUIZ</t>
  </si>
  <si>
    <t>21389318-1</t>
  </si>
  <si>
    <t>MACKARENA CRISTINA PIZARRO TABILO</t>
  </si>
  <si>
    <t>15334957-6</t>
  </si>
  <si>
    <t>7169558-1</t>
  </si>
  <si>
    <t>ARMANDO LUIS MOYA ESPINOSA</t>
  </si>
  <si>
    <t>22536079-0</t>
  </si>
  <si>
    <t>JHON RUIZ VILLACORTA</t>
  </si>
  <si>
    <t>15371509-2</t>
  </si>
  <si>
    <t>ALEXANDER GABRIEL VALDES MUNOZ</t>
  </si>
  <si>
    <t>15177100-9</t>
  </si>
  <si>
    <t>MONICA ANDREA YANEZ BETANCOUR</t>
  </si>
  <si>
    <t>19022449-K</t>
  </si>
  <si>
    <t>FELIPE ANDRES CID GUTIERREZ</t>
  </si>
  <si>
    <t>12410932-9</t>
  </si>
  <si>
    <t>ANDRES ADOLFO RAMIREZ JAQUE</t>
  </si>
  <si>
    <t>9662559-6</t>
  </si>
  <si>
    <t>CARLOS SEGUNDO ZUNIGA BARRERA</t>
  </si>
  <si>
    <t>13246092-2</t>
  </si>
  <si>
    <t>CRISTIAN OYARZUN FLORES</t>
  </si>
  <si>
    <t>20999204-3</t>
  </si>
  <si>
    <t>MANUEL EDUARDO BOBADILLA ROJAS</t>
  </si>
  <si>
    <t>19648429-9</t>
  </si>
  <si>
    <t>KARINA ANDREA SANTORO CANALES</t>
  </si>
  <si>
    <t>18440300-5</t>
  </si>
  <si>
    <t>KEVIN ANDRES RIQUELME MUJICA</t>
  </si>
  <si>
    <t>8176006-3</t>
  </si>
  <si>
    <t>ONIAS AMADOLID CUBILLOS MALDON</t>
  </si>
  <si>
    <t>17307424-7</t>
  </si>
  <si>
    <t>MICHAEL ARIEL BEIZA LEON</t>
  </si>
  <si>
    <t>11863443-8</t>
  </si>
  <si>
    <t>JUAN MANUEL VERGARA GONZALEZ</t>
  </si>
  <si>
    <t>18253022-0</t>
  </si>
  <si>
    <t>ANDY GONZALEZ ROJAS</t>
  </si>
  <si>
    <t>13889621-8</t>
  </si>
  <si>
    <t>18244713-7</t>
  </si>
  <si>
    <t>DANIELLA JAVIERA JIMENEZ DARAT</t>
  </si>
  <si>
    <t>10047460-3</t>
  </si>
  <si>
    <t>JUAN MAURICIO BRAVO SAN MARTIN</t>
  </si>
  <si>
    <t>60306045-8</t>
  </si>
  <si>
    <t>CONSERVADOR DE BIENES RAICES D</t>
  </si>
  <si>
    <t>7411804-6</t>
  </si>
  <si>
    <t>ALVARO DAVID GONZALEZ SALINAS</t>
  </si>
  <si>
    <t>130 o 200</t>
  </si>
  <si>
    <t>20753473-0</t>
  </si>
  <si>
    <t>DIEGO ALONSO RAMIREZ RODRIGUEZ</t>
  </si>
  <si>
    <t>12563382-K</t>
  </si>
  <si>
    <t>VICTOR MANUEL MARTINEZ VALENZU</t>
  </si>
  <si>
    <t>8760281-8</t>
  </si>
  <si>
    <t>GABRIELA SOFIA GEMMA ARAYA NEU</t>
  </si>
  <si>
    <t>15960430-6</t>
  </si>
  <si>
    <t>LUIS ALBERTO UGALDE ARAYA</t>
  </si>
  <si>
    <t>15905556-6</t>
  </si>
  <si>
    <t>19211686-4</t>
  </si>
  <si>
    <t>SEBASTIAN EDUARDO JARA GODOY</t>
  </si>
  <si>
    <t>18461403-0</t>
  </si>
  <si>
    <t>CONSTANZA VALENTINA GARCIA MAD</t>
  </si>
  <si>
    <t>12328090-3</t>
  </si>
  <si>
    <t>MARIANNE SOLEDAD SCHMIDT ORTIZ</t>
  </si>
  <si>
    <t>17665506-2</t>
  </si>
  <si>
    <t>15141463-K</t>
  </si>
  <si>
    <t>PABLO ESTEBAN LOPEZ GOMEZ</t>
  </si>
  <si>
    <t>21795374-K</t>
  </si>
  <si>
    <t>JESHUA ANTONIO ANINIR RUBIO</t>
  </si>
  <si>
    <t>INDICAR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</si>
</sst>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Tahoma"/>
      <family val="2"/>
    </font>
    <font>
      <sz val="12"/>
      <color theme="8" tint="-0.249977111117893"/>
      <name val="Calibri"/>
      <family val="2"/>
    </font>
    <font>
      <sz val="11"/>
      <name val="Calibri"/>
      <family val="2"/>
      <scheme val="minor"/>
    </font>
    <font>
      <sz val="8.25"/>
      <color rgb="FF000000"/>
      <name val="Tahoma"/>
      <family val="2"/>
    </font>
    <font>
      <sz val="8.25"/>
      <color theme="0"/>
      <name val="Tahoma"/>
      <family val="2"/>
    </font>
    <font>
      <b/>
      <sz val="11"/>
      <color rgb="FF000000"/>
      <name val="Calibri"/>
      <family val="2"/>
      <scheme val="minor"/>
    </font>
    <font>
      <sz val="1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 val="singleAccounting"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0F0F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CC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7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/>
    <xf numFmtId="14" fontId="0" fillId="0" borderId="5" xfId="0" applyNumberFormat="1" applyBorder="1"/>
    <xf numFmtId="0" fontId="6" fillId="0" borderId="5" xfId="0" applyFont="1" applyBorder="1"/>
    <xf numFmtId="0" fontId="0" fillId="0" borderId="5" xfId="0" applyBorder="1" applyAlignment="1">
      <alignment horizontal="right"/>
    </xf>
    <xf numFmtId="3" fontId="7" fillId="0" borderId="5" xfId="1" applyNumberFormat="1" applyFont="1" applyFill="1" applyBorder="1"/>
    <xf numFmtId="0" fontId="10" fillId="2" borderId="5" xfId="0" applyFont="1" applyFill="1" applyBorder="1"/>
    <xf numFmtId="0" fontId="0" fillId="5" borderId="5" xfId="0" applyFill="1" applyBorder="1"/>
    <xf numFmtId="3" fontId="7" fillId="0" borderId="0" xfId="1" applyNumberFormat="1" applyFont="1" applyFill="1" applyBorder="1"/>
    <xf numFmtId="0" fontId="0" fillId="0" borderId="6" xfId="0" applyBorder="1"/>
    <xf numFmtId="0" fontId="10" fillId="0" borderId="5" xfId="0" applyFont="1" applyBorder="1"/>
    <xf numFmtId="0" fontId="0" fillId="0" borderId="7" xfId="0" applyBorder="1"/>
    <xf numFmtId="0" fontId="6" fillId="6" borderId="5" xfId="0" applyFont="1" applyFill="1" applyBorder="1"/>
    <xf numFmtId="0" fontId="0" fillId="6" borderId="5" xfId="0" applyFill="1" applyBorder="1" applyAlignment="1">
      <alignment horizontal="right"/>
    </xf>
    <xf numFmtId="0" fontId="0" fillId="6" borderId="0" xfId="0" applyFill="1"/>
    <xf numFmtId="0" fontId="11" fillId="0" borderId="5" xfId="0" applyFont="1" applyBorder="1"/>
    <xf numFmtId="0" fontId="11" fillId="0" borderId="5" xfId="0" applyFont="1" applyBorder="1" applyAlignment="1">
      <alignment horizontal="right"/>
    </xf>
    <xf numFmtId="49" fontId="12" fillId="7" borderId="8" xfId="0" applyNumberFormat="1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right" vertical="center" wrapText="1"/>
    </xf>
    <xf numFmtId="49" fontId="13" fillId="8" borderId="9" xfId="0" applyNumberFormat="1" applyFont="1" applyFill="1" applyBorder="1" applyAlignment="1">
      <alignment horizontal="left" vertical="center" wrapText="1"/>
    </xf>
    <xf numFmtId="49" fontId="13" fillId="8" borderId="10" xfId="0" applyNumberFormat="1" applyFont="1" applyFill="1" applyBorder="1" applyAlignment="1">
      <alignment horizontal="left" vertical="center" wrapText="1"/>
    </xf>
    <xf numFmtId="0" fontId="4" fillId="8" borderId="5" xfId="0" applyFont="1" applyFill="1" applyBorder="1"/>
    <xf numFmtId="0" fontId="4" fillId="8" borderId="5" xfId="0" applyFont="1" applyFill="1" applyBorder="1" applyAlignment="1">
      <alignment horizontal="right"/>
    </xf>
    <xf numFmtId="0" fontId="4" fillId="9" borderId="5" xfId="0" applyFont="1" applyFill="1" applyBorder="1" applyAlignment="1">
      <alignment horizontal="right"/>
    </xf>
    <xf numFmtId="0" fontId="4" fillId="8" borderId="0" xfId="0" applyFont="1" applyFill="1"/>
    <xf numFmtId="0" fontId="13" fillId="8" borderId="11" xfId="0" applyFont="1" applyFill="1" applyBorder="1" applyAlignment="1">
      <alignment horizontal="right" vertical="center" wrapText="1"/>
    </xf>
    <xf numFmtId="49" fontId="13" fillId="8" borderId="11" xfId="0" applyNumberFormat="1" applyFont="1" applyFill="1" applyBorder="1" applyAlignment="1">
      <alignment horizontal="left" vertical="center" wrapText="1"/>
    </xf>
    <xf numFmtId="0" fontId="4" fillId="8" borderId="12" xfId="0" applyFont="1" applyFill="1" applyBorder="1"/>
    <xf numFmtId="0" fontId="4" fillId="8" borderId="12" xfId="0" applyFont="1" applyFill="1" applyBorder="1" applyAlignment="1">
      <alignment horizontal="right"/>
    </xf>
    <xf numFmtId="0" fontId="13" fillId="8" borderId="13" xfId="0" applyFont="1" applyFill="1" applyBorder="1" applyAlignment="1">
      <alignment horizontal="right" vertical="center" wrapText="1"/>
    </xf>
    <xf numFmtId="49" fontId="13" fillId="8" borderId="13" xfId="0" applyNumberFormat="1" applyFont="1" applyFill="1" applyBorder="1" applyAlignment="1">
      <alignment horizontal="left" vertical="center"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0" fontId="12" fillId="10" borderId="9" xfId="0" applyFont="1" applyFill="1" applyBorder="1" applyAlignment="1">
      <alignment horizontal="right" vertical="center" wrapText="1"/>
    </xf>
    <xf numFmtId="49" fontId="12" fillId="10" borderId="9" xfId="0" applyNumberFormat="1" applyFont="1" applyFill="1" applyBorder="1" applyAlignment="1">
      <alignment horizontal="left" vertical="center" wrapText="1"/>
    </xf>
    <xf numFmtId="49" fontId="12" fillId="10" borderId="1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11" borderId="5" xfId="0" applyFill="1" applyBorder="1"/>
    <xf numFmtId="0" fontId="11" fillId="11" borderId="5" xfId="0" applyFont="1" applyFill="1" applyBorder="1"/>
    <xf numFmtId="0" fontId="0" fillId="12" borderId="5" xfId="0" applyFill="1" applyBorder="1" applyAlignment="1">
      <alignment horizontal="center" vertical="center"/>
    </xf>
    <xf numFmtId="0" fontId="12" fillId="10" borderId="0" xfId="0" applyFont="1" applyFill="1" applyAlignment="1">
      <alignment horizontal="right" vertical="center" wrapText="1"/>
    </xf>
    <xf numFmtId="49" fontId="12" fillId="10" borderId="0" xfId="0" applyNumberFormat="1" applyFont="1" applyFill="1" applyAlignment="1">
      <alignment horizontal="left" vertical="center" wrapText="1"/>
    </xf>
    <xf numFmtId="0" fontId="12" fillId="10" borderId="13" xfId="0" applyFont="1" applyFill="1" applyBorder="1" applyAlignment="1">
      <alignment horizontal="right" vertical="center" wrapText="1"/>
    </xf>
    <xf numFmtId="49" fontId="12" fillId="10" borderId="13" xfId="0" applyNumberFormat="1" applyFont="1" applyFill="1" applyBorder="1" applyAlignment="1">
      <alignment horizontal="left" vertical="center" wrapText="1"/>
    </xf>
    <xf numFmtId="0" fontId="0" fillId="0" borderId="14" xfId="0" applyBorder="1"/>
    <xf numFmtId="0" fontId="11" fillId="12" borderId="5" xfId="0" applyFont="1" applyFill="1" applyBorder="1"/>
    <xf numFmtId="0" fontId="2" fillId="3" borderId="5" xfId="0" applyFont="1" applyFill="1" applyBorder="1" applyAlignment="1">
      <alignment horizontal="right"/>
    </xf>
    <xf numFmtId="0" fontId="0" fillId="12" borderId="5" xfId="0" applyFill="1" applyBorder="1"/>
    <xf numFmtId="0" fontId="12" fillId="0" borderId="9" xfId="0" applyFont="1" applyBorder="1" applyAlignment="1">
      <alignment horizontal="right" vertical="center" wrapText="1"/>
    </xf>
    <xf numFmtId="49" fontId="12" fillId="0" borderId="9" xfId="0" applyNumberFormat="1" applyFont="1" applyBorder="1" applyAlignment="1">
      <alignment horizontal="left" vertical="center" wrapText="1"/>
    </xf>
    <xf numFmtId="49" fontId="12" fillId="0" borderId="10" xfId="0" applyNumberFormat="1" applyFont="1" applyBorder="1" applyAlignment="1">
      <alignment horizontal="left" vertical="center" wrapText="1"/>
    </xf>
    <xf numFmtId="0" fontId="0" fillId="3" borderId="5" xfId="0" applyFill="1" applyBorder="1" applyAlignment="1">
      <alignment horizontal="right"/>
    </xf>
    <xf numFmtId="0" fontId="11" fillId="3" borderId="5" xfId="0" applyFont="1" applyFill="1" applyBorder="1"/>
    <xf numFmtId="0" fontId="0" fillId="0" borderId="9" xfId="0" applyBorder="1"/>
    <xf numFmtId="0" fontId="0" fillId="0" borderId="10" xfId="0" applyBorder="1"/>
    <xf numFmtId="0" fontId="0" fillId="9" borderId="5" xfId="0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horizontal="right"/>
    </xf>
    <xf numFmtId="0" fontId="4" fillId="4" borderId="5" xfId="0" applyFont="1" applyFill="1" applyBorder="1"/>
    <xf numFmtId="0" fontId="4" fillId="4" borderId="5" xfId="0" applyFont="1" applyFill="1" applyBorder="1" applyAlignment="1">
      <alignment horizontal="right"/>
    </xf>
    <xf numFmtId="0" fontId="13" fillId="3" borderId="9" xfId="0" applyFont="1" applyFill="1" applyBorder="1" applyAlignment="1">
      <alignment horizontal="right" vertical="center" wrapText="1"/>
    </xf>
    <xf numFmtId="49" fontId="13" fillId="3" borderId="9" xfId="0" applyNumberFormat="1" applyFont="1" applyFill="1" applyBorder="1" applyAlignment="1">
      <alignment horizontal="left" vertical="center" wrapText="1"/>
    </xf>
    <xf numFmtId="0" fontId="14" fillId="13" borderId="15" xfId="0" applyFont="1" applyFill="1" applyBorder="1" applyAlignment="1">
      <alignment horizontal="center"/>
    </xf>
    <xf numFmtId="0" fontId="14" fillId="13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13" borderId="14" xfId="0" applyFill="1" applyBorder="1"/>
    <xf numFmtId="0" fontId="0" fillId="13" borderId="17" xfId="0" applyFill="1" applyBorder="1"/>
    <xf numFmtId="0" fontId="14" fillId="0" borderId="0" xfId="0" applyFont="1" applyAlignment="1">
      <alignment horizontal="center"/>
    </xf>
    <xf numFmtId="0" fontId="15" fillId="0" borderId="0" xfId="0" applyFont="1"/>
    <xf numFmtId="0" fontId="11" fillId="0" borderId="0" xfId="0" applyFont="1"/>
    <xf numFmtId="0" fontId="0" fillId="13" borderId="18" xfId="0" applyFill="1" applyBorder="1"/>
    <xf numFmtId="0" fontId="0" fillId="13" borderId="19" xfId="0" applyFill="1" applyBorder="1"/>
    <xf numFmtId="0" fontId="0" fillId="14" borderId="0" xfId="0" applyFill="1"/>
    <xf numFmtId="0" fontId="0" fillId="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3" borderId="0" xfId="0" applyFill="1"/>
    <xf numFmtId="0" fontId="3" fillId="0" borderId="0" xfId="0" applyFont="1"/>
    <xf numFmtId="0" fontId="6" fillId="18" borderId="0" xfId="0" applyFont="1" applyFill="1"/>
    <xf numFmtId="0" fontId="6" fillId="0" borderId="0" xfId="0" applyFont="1"/>
    <xf numFmtId="0" fontId="6" fillId="19" borderId="0" xfId="0" applyFont="1" applyFill="1"/>
    <xf numFmtId="0" fontId="3" fillId="20" borderId="23" xfId="0" applyFont="1" applyFill="1" applyBorder="1" applyAlignment="1">
      <alignment horizontal="center" wrapText="1"/>
    </xf>
    <xf numFmtId="0" fontId="3" fillId="21" borderId="24" xfId="0" applyFont="1" applyFill="1" applyBorder="1" applyAlignment="1">
      <alignment horizontal="center" wrapText="1"/>
    </xf>
    <xf numFmtId="0" fontId="3" fillId="21" borderId="23" xfId="0" applyFont="1" applyFill="1" applyBorder="1" applyAlignment="1">
      <alignment horizontal="center" wrapText="1"/>
    </xf>
    <xf numFmtId="0" fontId="0" fillId="4" borderId="23" xfId="0" applyFill="1" applyBorder="1" applyAlignment="1">
      <alignment wrapText="1"/>
    </xf>
    <xf numFmtId="14" fontId="0" fillId="0" borderId="23" xfId="0" applyNumberFormat="1" applyBorder="1" applyAlignment="1">
      <alignment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5" xfId="0" applyBorder="1"/>
    <xf numFmtId="41" fontId="0" fillId="0" borderId="23" xfId="2" applyFont="1" applyFill="1" applyBorder="1" applyAlignment="1">
      <alignment horizontal="left"/>
    </xf>
    <xf numFmtId="0" fontId="11" fillId="0" borderId="23" xfId="0" applyFont="1" applyBorder="1" applyAlignment="1">
      <alignment horizontal="center" vertical="center" wrapText="1"/>
    </xf>
    <xf numFmtId="0" fontId="0" fillId="6" borderId="23" xfId="0" applyFill="1" applyBorder="1" applyAlignment="1">
      <alignment wrapText="1"/>
    </xf>
    <xf numFmtId="14" fontId="0" fillId="6" borderId="23" xfId="0" applyNumberFormat="1" applyFill="1" applyBorder="1" applyAlignment="1">
      <alignment wrapText="1"/>
    </xf>
    <xf numFmtId="0" fontId="0" fillId="6" borderId="23" xfId="0" applyFill="1" applyBorder="1" applyAlignment="1">
      <alignment horizontal="right" wrapText="1"/>
    </xf>
    <xf numFmtId="1" fontId="0" fillId="6" borderId="23" xfId="0" applyNumberFormat="1" applyFill="1" applyBorder="1" applyAlignment="1">
      <alignment horizontal="right" wrapText="1"/>
    </xf>
    <xf numFmtId="0" fontId="0" fillId="3" borderId="23" xfId="0" applyFill="1" applyBorder="1" applyAlignment="1">
      <alignment horizontal="right" wrapText="1"/>
    </xf>
    <xf numFmtId="41" fontId="0" fillId="3" borderId="23" xfId="2" applyFont="1" applyFill="1" applyBorder="1" applyAlignment="1">
      <alignment horizontal="left"/>
    </xf>
    <xf numFmtId="0" fontId="11" fillId="3" borderId="23" xfId="0" applyFont="1" applyFill="1" applyBorder="1" applyAlignment="1">
      <alignment horizontal="center" vertical="center" wrapText="1"/>
    </xf>
    <xf numFmtId="0" fontId="0" fillId="22" borderId="0" xfId="0" applyFill="1"/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42" fontId="18" fillId="0" borderId="0" xfId="3" applyFont="1"/>
    <xf numFmtId="1" fontId="18" fillId="0" borderId="0" xfId="3" applyNumberFormat="1" applyFont="1"/>
    <xf numFmtId="42" fontId="0" fillId="0" borderId="0" xfId="0" applyNumberFormat="1"/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left" vertical="center"/>
    </xf>
    <xf numFmtId="41" fontId="0" fillId="0" borderId="5" xfId="2" applyFont="1" applyFill="1" applyBorder="1" applyAlignment="1">
      <alignment horizontal="left"/>
    </xf>
    <xf numFmtId="0" fontId="0" fillId="0" borderId="26" xfId="0" applyBorder="1" applyAlignment="1">
      <alignment horizontal="center" vertical="center" wrapText="1"/>
    </xf>
    <xf numFmtId="41" fontId="0" fillId="0" borderId="20" xfId="2" applyFont="1" applyFill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3" xfId="0" applyBorder="1"/>
    <xf numFmtId="41" fontId="0" fillId="0" borderId="23" xfId="4" applyFont="1" applyFill="1" applyBorder="1" applyAlignment="1">
      <alignment horizontal="left" wrapText="1"/>
    </xf>
    <xf numFmtId="0" fontId="11" fillId="0" borderId="5" xfId="0" applyFont="1" applyBorder="1" applyAlignment="1">
      <alignment wrapText="1"/>
    </xf>
    <xf numFmtId="0" fontId="0" fillId="0" borderId="24" xfId="0" applyBorder="1" applyAlignment="1">
      <alignment horizontal="center" vertical="center" wrapText="1"/>
    </xf>
    <xf numFmtId="41" fontId="0" fillId="0" borderId="20" xfId="4" applyFont="1" applyFill="1" applyBorder="1" applyAlignment="1">
      <alignment horizontal="left" wrapText="1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center" vertical="center" wrapText="1"/>
    </xf>
    <xf numFmtId="41" fontId="0" fillId="0" borderId="27" xfId="4" applyFont="1" applyFill="1" applyBorder="1" applyAlignment="1">
      <alignment horizontal="left" wrapText="1"/>
    </xf>
    <xf numFmtId="0" fontId="0" fillId="0" borderId="28" xfId="0" applyBorder="1" applyAlignment="1">
      <alignment horizontal="center" vertical="center" wrapText="1"/>
    </xf>
    <xf numFmtId="0" fontId="0" fillId="23" borderId="5" xfId="0" applyFill="1" applyBorder="1"/>
    <xf numFmtId="0" fontId="3" fillId="20" borderId="20" xfId="0" applyFont="1" applyFill="1" applyBorder="1" applyAlignment="1">
      <alignment horizontal="center" wrapText="1"/>
    </xf>
    <xf numFmtId="0" fontId="3" fillId="20" borderId="21" xfId="0" applyFont="1" applyFill="1" applyBorder="1" applyAlignment="1">
      <alignment horizontal="center" wrapText="1"/>
    </xf>
    <xf numFmtId="0" fontId="3" fillId="20" borderId="22" xfId="0" applyFont="1" applyFill="1" applyBorder="1" applyAlignment="1">
      <alignment horizontal="center" wrapText="1"/>
    </xf>
    <xf numFmtId="0" fontId="0" fillId="24" borderId="5" xfId="0" applyFill="1" applyBorder="1"/>
  </cellXfs>
  <cellStyles count="5">
    <cellStyle name="Millares" xfId="1" builtinId="3"/>
    <cellStyle name="Millares [0]" xfId="2" builtinId="6"/>
    <cellStyle name="Millares [0] 2" xfId="4" xr:uid="{38F63FD9-5402-4D56-B57C-5757424A64C4}"/>
    <cellStyle name="Moneda [0]" xfId="3" builtinId="7"/>
    <cellStyle name="Normal" xfId="0" builtinId="0"/>
  </cellStyles>
  <dxfs count="1">
    <dxf>
      <fill>
        <patternFill patternType="solid">
          <fgColor rgb="FF375623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21</xdr:row>
      <xdr:rowOff>180975</xdr:rowOff>
    </xdr:from>
    <xdr:to>
      <xdr:col>3</xdr:col>
      <xdr:colOff>619125</xdr:colOff>
      <xdr:row>48</xdr:row>
      <xdr:rowOff>47625</xdr:rowOff>
    </xdr:to>
    <xdr:pic>
      <xdr:nvPicPr>
        <xdr:cNvPr id="2" name="x_x_Imagen 12" descr="Interfaz de usuario gráfica, Aplicación&#10;&#10;Descripción generada automáticamente con confianza media">
          <a:extLst>
            <a:ext uri="{FF2B5EF4-FFF2-40B4-BE49-F238E27FC236}">
              <a16:creationId xmlns:a16="http://schemas.microsoft.com/office/drawing/2014/main" id="{DA686E12-D996-49F5-A609-988291E82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98925"/>
          <a:ext cx="3073400" cy="483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1171575</xdr:colOff>
      <xdr:row>24</xdr:row>
      <xdr:rowOff>142875</xdr:rowOff>
    </xdr:from>
    <xdr:to>
      <xdr:col>3</xdr:col>
      <xdr:colOff>733425</xdr:colOff>
      <xdr:row>25</xdr:row>
      <xdr:rowOff>28575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A72EC1D-F570-4EA4-A99E-0A02C33E9CA1}"/>
            </a:ext>
          </a:extLst>
        </xdr:cNvPr>
        <xdr:cNvCxnSpPr/>
      </xdr:nvCxnSpPr>
      <xdr:spPr>
        <a:xfrm flipV="1">
          <a:off x="1933575" y="4613275"/>
          <a:ext cx="1606550" cy="6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1019175</xdr:colOff>
      <xdr:row>26</xdr:row>
      <xdr:rowOff>104775</xdr:rowOff>
    </xdr:from>
    <xdr:to>
      <xdr:col>3</xdr:col>
      <xdr:colOff>714375</xdr:colOff>
      <xdr:row>27</xdr:row>
      <xdr:rowOff>28575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DB174CD9-3702-4882-A12A-A66187A7E0CA}"/>
            </a:ext>
          </a:extLst>
        </xdr:cNvPr>
        <xdr:cNvCxnSpPr/>
      </xdr:nvCxnSpPr>
      <xdr:spPr>
        <a:xfrm flipV="1">
          <a:off x="1781175" y="4943475"/>
          <a:ext cx="1739900" cy="107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457199</xdr:colOff>
      <xdr:row>27</xdr:row>
      <xdr:rowOff>28575</xdr:rowOff>
    </xdr:from>
    <xdr:to>
      <xdr:col>4</xdr:col>
      <xdr:colOff>9524</xdr:colOff>
      <xdr:row>38</xdr:row>
      <xdr:rowOff>161925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88A3E001-0BD0-4CE1-B914-03B2E681A363}"/>
            </a:ext>
          </a:extLst>
        </xdr:cNvPr>
        <xdr:cNvSpPr/>
      </xdr:nvSpPr>
      <xdr:spPr>
        <a:xfrm rot="10800000">
          <a:off x="3263899" y="5051425"/>
          <a:ext cx="314325" cy="2159000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304800</xdr:colOff>
      <xdr:row>41</xdr:row>
      <xdr:rowOff>114300</xdr:rowOff>
    </xdr:from>
    <xdr:to>
      <xdr:col>4</xdr:col>
      <xdr:colOff>0</xdr:colOff>
      <xdr:row>41</xdr:row>
      <xdr:rowOff>180975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545002E-F271-4E11-862F-DB659450D9FA}"/>
            </a:ext>
          </a:extLst>
        </xdr:cNvPr>
        <xdr:cNvCxnSpPr/>
      </xdr:nvCxnSpPr>
      <xdr:spPr>
        <a:xfrm flipV="1">
          <a:off x="3111500" y="7715250"/>
          <a:ext cx="457200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42</xdr:row>
      <xdr:rowOff>95250</xdr:rowOff>
    </xdr:from>
    <xdr:to>
      <xdr:col>3</xdr:col>
      <xdr:colOff>733425</xdr:colOff>
      <xdr:row>42</xdr:row>
      <xdr:rowOff>171450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1474956-4276-45F0-B5AF-4A0EDD1022AC}"/>
            </a:ext>
          </a:extLst>
        </xdr:cNvPr>
        <xdr:cNvCxnSpPr/>
      </xdr:nvCxnSpPr>
      <xdr:spPr>
        <a:xfrm flipV="1">
          <a:off x="3178175" y="7880350"/>
          <a:ext cx="361950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1038225</xdr:colOff>
      <xdr:row>46</xdr:row>
      <xdr:rowOff>133350</xdr:rowOff>
    </xdr:from>
    <xdr:to>
      <xdr:col>3</xdr:col>
      <xdr:colOff>752475</xdr:colOff>
      <xdr:row>47</xdr:row>
      <xdr:rowOff>114300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4C13D1C-0A12-4F99-9D5A-0BAB4828CEAE}"/>
            </a:ext>
          </a:extLst>
        </xdr:cNvPr>
        <xdr:cNvCxnSpPr/>
      </xdr:nvCxnSpPr>
      <xdr:spPr>
        <a:xfrm>
          <a:off x="1800225" y="8655050"/>
          <a:ext cx="175895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114300</xdr:colOff>
      <xdr:row>24</xdr:row>
      <xdr:rowOff>187883</xdr:rowOff>
    </xdr:from>
    <xdr:to>
      <xdr:col>12</xdr:col>
      <xdr:colOff>304367</xdr:colOff>
      <xdr:row>35</xdr:row>
      <xdr:rowOff>85396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E9363D2-2A47-4B40-8B31-1E6A086C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2200" y="4651933"/>
          <a:ext cx="2742767" cy="1929513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35</xdr:row>
      <xdr:rowOff>114300</xdr:rowOff>
    </xdr:from>
    <xdr:to>
      <xdr:col>12</xdr:col>
      <xdr:colOff>312101</xdr:colOff>
      <xdr:row>42</xdr:row>
      <xdr:rowOff>120991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EB413-C643-4313-BD48-350FCAA8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2200" y="6610350"/>
          <a:ext cx="2750501" cy="1295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21</xdr:row>
      <xdr:rowOff>180975</xdr:rowOff>
    </xdr:from>
    <xdr:to>
      <xdr:col>3</xdr:col>
      <xdr:colOff>619125</xdr:colOff>
      <xdr:row>48</xdr:row>
      <xdr:rowOff>47625</xdr:rowOff>
    </xdr:to>
    <xdr:pic>
      <xdr:nvPicPr>
        <xdr:cNvPr id="2" name="x_x_Imagen 12" descr="Interfaz de usuario gráfica, Aplicación&#10;&#10;Descripción generada automáticamente con confianza media">
          <a:extLst>
            <a:ext uri="{FF2B5EF4-FFF2-40B4-BE49-F238E27FC236}">
              <a16:creationId xmlns:a16="http://schemas.microsoft.com/office/drawing/2014/main" id="{06ADC6ED-ACF2-4CCD-B455-C98539EA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98925"/>
          <a:ext cx="3073400" cy="483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1171575</xdr:colOff>
      <xdr:row>24</xdr:row>
      <xdr:rowOff>142875</xdr:rowOff>
    </xdr:from>
    <xdr:to>
      <xdr:col>3</xdr:col>
      <xdr:colOff>733425</xdr:colOff>
      <xdr:row>25</xdr:row>
      <xdr:rowOff>28575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1207839-D086-4BE4-AA50-8E69BA4F479D}"/>
            </a:ext>
          </a:extLst>
        </xdr:cNvPr>
        <xdr:cNvCxnSpPr/>
      </xdr:nvCxnSpPr>
      <xdr:spPr>
        <a:xfrm flipV="1">
          <a:off x="1933575" y="4613275"/>
          <a:ext cx="1606550" cy="6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1019175</xdr:colOff>
      <xdr:row>26</xdr:row>
      <xdr:rowOff>104775</xdr:rowOff>
    </xdr:from>
    <xdr:to>
      <xdr:col>3</xdr:col>
      <xdr:colOff>714375</xdr:colOff>
      <xdr:row>27</xdr:row>
      <xdr:rowOff>28575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D18EE96-8CF3-4028-AA8F-E4CB96DA7ACB}"/>
            </a:ext>
          </a:extLst>
        </xdr:cNvPr>
        <xdr:cNvCxnSpPr/>
      </xdr:nvCxnSpPr>
      <xdr:spPr>
        <a:xfrm flipV="1">
          <a:off x="1781175" y="4943475"/>
          <a:ext cx="1739900" cy="107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457199</xdr:colOff>
      <xdr:row>27</xdr:row>
      <xdr:rowOff>28575</xdr:rowOff>
    </xdr:from>
    <xdr:to>
      <xdr:col>4</xdr:col>
      <xdr:colOff>9524</xdr:colOff>
      <xdr:row>38</xdr:row>
      <xdr:rowOff>161925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4211DA26-4044-4462-9588-85E29AFD80FC}"/>
            </a:ext>
          </a:extLst>
        </xdr:cNvPr>
        <xdr:cNvSpPr/>
      </xdr:nvSpPr>
      <xdr:spPr>
        <a:xfrm rot="10800000">
          <a:off x="3263899" y="5051425"/>
          <a:ext cx="314325" cy="2159000"/>
        </a:xfrm>
        <a:prstGeom prst="rightBrac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304800</xdr:colOff>
      <xdr:row>41</xdr:row>
      <xdr:rowOff>114300</xdr:rowOff>
    </xdr:from>
    <xdr:to>
      <xdr:col>4</xdr:col>
      <xdr:colOff>0</xdr:colOff>
      <xdr:row>41</xdr:row>
      <xdr:rowOff>180975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3C49F3F1-13CB-4BA5-8288-7437A3BA53CF}"/>
            </a:ext>
          </a:extLst>
        </xdr:cNvPr>
        <xdr:cNvCxnSpPr/>
      </xdr:nvCxnSpPr>
      <xdr:spPr>
        <a:xfrm flipV="1">
          <a:off x="3111500" y="7715250"/>
          <a:ext cx="457200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42</xdr:row>
      <xdr:rowOff>95250</xdr:rowOff>
    </xdr:from>
    <xdr:to>
      <xdr:col>3</xdr:col>
      <xdr:colOff>733425</xdr:colOff>
      <xdr:row>42</xdr:row>
      <xdr:rowOff>171450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41ACA547-1B29-44B3-89DA-957AC4DF6DBA}"/>
            </a:ext>
          </a:extLst>
        </xdr:cNvPr>
        <xdr:cNvCxnSpPr/>
      </xdr:nvCxnSpPr>
      <xdr:spPr>
        <a:xfrm flipV="1">
          <a:off x="3178175" y="7880350"/>
          <a:ext cx="361950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1038225</xdr:colOff>
      <xdr:row>46</xdr:row>
      <xdr:rowOff>133350</xdr:rowOff>
    </xdr:from>
    <xdr:to>
      <xdr:col>3</xdr:col>
      <xdr:colOff>752475</xdr:colOff>
      <xdr:row>47</xdr:row>
      <xdr:rowOff>114300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44A3D3AC-4D23-4C2A-8763-C62D050EDC86}"/>
            </a:ext>
          </a:extLst>
        </xdr:cNvPr>
        <xdr:cNvCxnSpPr/>
      </xdr:nvCxnSpPr>
      <xdr:spPr>
        <a:xfrm>
          <a:off x="1800225" y="8655050"/>
          <a:ext cx="175895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114300</xdr:colOff>
      <xdr:row>24</xdr:row>
      <xdr:rowOff>187883</xdr:rowOff>
    </xdr:from>
    <xdr:to>
      <xdr:col>12</xdr:col>
      <xdr:colOff>304367</xdr:colOff>
      <xdr:row>35</xdr:row>
      <xdr:rowOff>85396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54AD9E9-F45E-4FD4-9617-5C5ED33B3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2200" y="4651933"/>
          <a:ext cx="2742767" cy="1929513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35</xdr:row>
      <xdr:rowOff>114300</xdr:rowOff>
    </xdr:from>
    <xdr:to>
      <xdr:col>12</xdr:col>
      <xdr:colOff>312101</xdr:colOff>
      <xdr:row>42</xdr:row>
      <xdr:rowOff>120991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4B7B74-F970-4079-B7BE-B5A7E0586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2200" y="6610350"/>
          <a:ext cx="2750501" cy="12957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D24B-F334-4B28-B6CC-E0B61EBEA975}">
  <sheetPr filterMode="1">
    <tabColor theme="8"/>
  </sheetPr>
  <dimension ref="A1:V125"/>
  <sheetViews>
    <sheetView tabSelected="1" topLeftCell="D1" zoomScale="80" zoomScaleNormal="80" workbookViewId="0">
      <pane ySplit="1" topLeftCell="A31" activePane="bottomLeft" state="frozen"/>
      <selection activeCell="F40" sqref="F40"/>
      <selection pane="bottomLeft" activeCell="I57" sqref="I57"/>
    </sheetView>
  </sheetViews>
  <sheetFormatPr baseColWidth="10" defaultRowHeight="14" x14ac:dyDescent="0.3"/>
  <cols>
    <col min="1" max="1" width="4.5" customWidth="1"/>
    <col min="2" max="2" width="9" customWidth="1"/>
    <col min="3" max="4" width="12.5" customWidth="1"/>
    <col min="5" max="5" width="31.5" customWidth="1"/>
    <col min="7" max="7" width="11.5" customWidth="1"/>
    <col min="8" max="8" width="13.296875" customWidth="1"/>
    <col min="9" max="9" width="14.19921875" customWidth="1"/>
    <col min="10" max="10" width="17.796875" customWidth="1"/>
    <col min="11" max="11" width="14.796875" customWidth="1"/>
    <col min="12" max="12" width="14.19921875" customWidth="1"/>
    <col min="13" max="13" width="25" customWidth="1"/>
    <col min="14" max="14" width="11.5" customWidth="1"/>
    <col min="15" max="15" width="31.19921875" customWidth="1"/>
    <col min="16" max="16" width="11.5" customWidth="1"/>
    <col min="17" max="17" width="19.796875" customWidth="1"/>
    <col min="18" max="18" width="20.69921875" bestFit="1" customWidth="1"/>
  </cols>
  <sheetData>
    <row r="1" spans="1:22" s="7" customFormat="1" ht="27.9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10</v>
      </c>
      <c r="M1" s="4" t="s">
        <v>11</v>
      </c>
      <c r="N1" s="5" t="s">
        <v>12</v>
      </c>
      <c r="O1" s="1" t="s">
        <v>13</v>
      </c>
      <c r="P1" s="1" t="s">
        <v>14</v>
      </c>
      <c r="Q1" s="1" t="s">
        <v>15</v>
      </c>
      <c r="R1" t="s">
        <v>16</v>
      </c>
      <c r="S1" t="s">
        <v>17</v>
      </c>
      <c r="T1" s="6"/>
      <c r="U1" s="6"/>
      <c r="V1" s="6"/>
    </row>
    <row r="2" spans="1:22" ht="15.6" hidden="1" x14ac:dyDescent="0.35">
      <c r="A2" s="8">
        <v>1</v>
      </c>
      <c r="B2" s="9">
        <v>33</v>
      </c>
      <c r="C2" s="9" t="s">
        <v>18</v>
      </c>
      <c r="D2" s="9">
        <v>761990438</v>
      </c>
      <c r="E2" s="9" t="s">
        <v>19</v>
      </c>
      <c r="F2" s="10">
        <v>2904</v>
      </c>
      <c r="G2" s="11">
        <v>46021</v>
      </c>
      <c r="H2" s="9">
        <v>0</v>
      </c>
      <c r="I2" s="9">
        <v>3</v>
      </c>
      <c r="J2" s="9">
        <v>1</v>
      </c>
      <c r="K2" s="9"/>
      <c r="L2" s="9">
        <v>4</v>
      </c>
      <c r="M2" s="9" t="s">
        <v>20</v>
      </c>
      <c r="N2" s="12">
        <v>2102605</v>
      </c>
      <c r="O2" s="12" t="s">
        <v>21</v>
      </c>
      <c r="P2" s="13">
        <v>1</v>
      </c>
      <c r="Q2" s="14" t="s">
        <v>22</v>
      </c>
    </row>
    <row r="3" spans="1:22" ht="15.6" hidden="1" x14ac:dyDescent="0.35">
      <c r="A3" s="9">
        <v>2</v>
      </c>
      <c r="B3" s="9">
        <v>33</v>
      </c>
      <c r="C3" s="9" t="s">
        <v>18</v>
      </c>
      <c r="D3" s="9">
        <v>760988200</v>
      </c>
      <c r="E3" s="9" t="s">
        <v>23</v>
      </c>
      <c r="F3" s="10">
        <v>223641</v>
      </c>
      <c r="G3" s="11">
        <v>46023</v>
      </c>
      <c r="H3" s="9">
        <v>0</v>
      </c>
      <c r="I3" s="9">
        <v>3126087</v>
      </c>
      <c r="J3" s="9">
        <v>593957</v>
      </c>
      <c r="K3" s="9"/>
      <c r="L3" s="9">
        <v>3720044</v>
      </c>
      <c r="M3" s="9" t="s">
        <v>24</v>
      </c>
      <c r="N3" s="12">
        <v>3106302</v>
      </c>
      <c r="O3" s="12" t="s">
        <v>25</v>
      </c>
      <c r="P3" s="13">
        <v>300</v>
      </c>
      <c r="Q3" s="14" t="s">
        <v>22</v>
      </c>
    </row>
    <row r="4" spans="1:22" ht="15.6" hidden="1" x14ac:dyDescent="0.35">
      <c r="A4" s="9">
        <v>3</v>
      </c>
      <c r="B4" s="9">
        <v>33</v>
      </c>
      <c r="C4" s="9" t="s">
        <v>18</v>
      </c>
      <c r="D4" s="9">
        <v>760586471</v>
      </c>
      <c r="E4" s="9" t="s">
        <v>26</v>
      </c>
      <c r="F4" s="10">
        <v>11769443</v>
      </c>
      <c r="G4" s="11">
        <v>46023</v>
      </c>
      <c r="H4" s="9">
        <v>0</v>
      </c>
      <c r="I4" s="9">
        <v>61186</v>
      </c>
      <c r="J4" s="9">
        <v>11626</v>
      </c>
      <c r="K4" s="9"/>
      <c r="L4" s="9">
        <v>72812</v>
      </c>
      <c r="M4" s="9" t="s">
        <v>27</v>
      </c>
      <c r="N4" s="12">
        <v>3106507</v>
      </c>
      <c r="O4" s="12" t="s">
        <v>28</v>
      </c>
      <c r="P4" s="13">
        <v>190</v>
      </c>
      <c r="Q4" s="14" t="s">
        <v>22</v>
      </c>
    </row>
    <row r="5" spans="1:22" ht="15.6" hidden="1" x14ac:dyDescent="0.35">
      <c r="A5" s="8">
        <v>4</v>
      </c>
      <c r="B5" s="9">
        <v>33</v>
      </c>
      <c r="C5" s="9" t="s">
        <v>18</v>
      </c>
      <c r="D5" s="9">
        <v>763763153</v>
      </c>
      <c r="E5" s="9" t="s">
        <v>29</v>
      </c>
      <c r="F5" s="10">
        <v>17083</v>
      </c>
      <c r="G5" s="11">
        <v>46022</v>
      </c>
      <c r="H5" s="9">
        <v>0</v>
      </c>
      <c r="I5" s="9">
        <v>1419049</v>
      </c>
      <c r="J5" s="9">
        <v>269619</v>
      </c>
      <c r="K5" s="9"/>
      <c r="L5" s="9">
        <v>1688668</v>
      </c>
      <c r="M5" s="9" t="s">
        <v>30</v>
      </c>
      <c r="N5" s="12">
        <v>2102605</v>
      </c>
      <c r="O5" s="12" t="s">
        <v>21</v>
      </c>
      <c r="P5" s="13">
        <v>1</v>
      </c>
      <c r="Q5" s="14" t="s">
        <v>22</v>
      </c>
    </row>
    <row r="6" spans="1:22" ht="15.6" hidden="1" x14ac:dyDescent="0.35">
      <c r="A6" s="9">
        <v>5</v>
      </c>
      <c r="B6" s="9">
        <v>33</v>
      </c>
      <c r="C6" s="9" t="s">
        <v>18</v>
      </c>
      <c r="D6" s="9">
        <v>906350009</v>
      </c>
      <c r="E6" s="9" t="s">
        <v>31</v>
      </c>
      <c r="F6" s="10">
        <v>54132382</v>
      </c>
      <c r="G6" s="11">
        <v>46023</v>
      </c>
      <c r="H6" s="9">
        <v>0</v>
      </c>
      <c r="I6" s="9">
        <v>648423</v>
      </c>
      <c r="J6" s="9">
        <v>123200</v>
      </c>
      <c r="K6" s="9"/>
      <c r="L6" s="9">
        <v>771623</v>
      </c>
      <c r="M6" s="9" t="s">
        <v>32</v>
      </c>
      <c r="N6" s="12">
        <v>3106401</v>
      </c>
      <c r="O6" s="12" t="s">
        <v>33</v>
      </c>
      <c r="P6" s="13" t="s">
        <v>34</v>
      </c>
      <c r="Q6" s="14" t="s">
        <v>22</v>
      </c>
    </row>
    <row r="7" spans="1:22" ht="15.6" hidden="1" x14ac:dyDescent="0.35">
      <c r="A7" s="9">
        <v>6</v>
      </c>
      <c r="B7" s="9">
        <v>33</v>
      </c>
      <c r="C7" s="9" t="s">
        <v>18</v>
      </c>
      <c r="D7" s="9">
        <v>772704852</v>
      </c>
      <c r="E7" s="9" t="s">
        <v>35</v>
      </c>
      <c r="F7" s="10">
        <v>76205</v>
      </c>
      <c r="G7" s="11">
        <v>46024</v>
      </c>
      <c r="H7" s="9">
        <v>0</v>
      </c>
      <c r="I7" s="9">
        <v>888171</v>
      </c>
      <c r="J7" s="9">
        <v>168752</v>
      </c>
      <c r="K7" s="9"/>
      <c r="L7" s="9">
        <v>1056923</v>
      </c>
      <c r="M7" s="9" t="s">
        <v>36</v>
      </c>
      <c r="N7" s="12">
        <v>1106801</v>
      </c>
      <c r="O7" s="12" t="s">
        <v>37</v>
      </c>
      <c r="P7" s="13">
        <v>1</v>
      </c>
      <c r="Q7" s="14" t="s">
        <v>22</v>
      </c>
    </row>
    <row r="8" spans="1:22" ht="15.6" hidden="1" x14ac:dyDescent="0.35">
      <c r="A8" s="9">
        <v>7</v>
      </c>
      <c r="B8" s="9">
        <v>33</v>
      </c>
      <c r="C8" s="9" t="s">
        <v>18</v>
      </c>
      <c r="D8" s="9">
        <v>965569405</v>
      </c>
      <c r="E8" s="9" t="s">
        <v>38</v>
      </c>
      <c r="F8" s="10">
        <v>14191146</v>
      </c>
      <c r="G8" s="11">
        <v>46027</v>
      </c>
      <c r="H8" s="9">
        <v>0</v>
      </c>
      <c r="I8" s="9">
        <v>41703</v>
      </c>
      <c r="J8" s="9">
        <v>7924</v>
      </c>
      <c r="K8" s="9"/>
      <c r="L8" s="9">
        <v>49627</v>
      </c>
      <c r="M8" s="9" t="s">
        <v>39</v>
      </c>
      <c r="N8" s="12">
        <v>3106803</v>
      </c>
      <c r="O8" s="12" t="s">
        <v>40</v>
      </c>
      <c r="P8" s="13" t="s">
        <v>41</v>
      </c>
      <c r="Q8" s="14" t="s">
        <v>22</v>
      </c>
    </row>
    <row r="9" spans="1:22" ht="15.6" hidden="1" x14ac:dyDescent="0.35">
      <c r="A9" s="9">
        <v>8</v>
      </c>
      <c r="B9" s="9">
        <v>33</v>
      </c>
      <c r="C9" s="9" t="s">
        <v>18</v>
      </c>
      <c r="D9" s="9">
        <v>965569405</v>
      </c>
      <c r="E9" s="9" t="s">
        <v>38</v>
      </c>
      <c r="F9" s="10">
        <v>14191159</v>
      </c>
      <c r="G9" s="11">
        <v>46027</v>
      </c>
      <c r="H9" s="9">
        <v>0</v>
      </c>
      <c r="I9" s="9">
        <v>107127</v>
      </c>
      <c r="J9" s="9">
        <v>20354</v>
      </c>
      <c r="K9" s="9"/>
      <c r="L9" s="9">
        <v>127481</v>
      </c>
      <c r="M9" s="9" t="s">
        <v>42</v>
      </c>
      <c r="N9" s="12">
        <v>3106803</v>
      </c>
      <c r="O9" s="12" t="s">
        <v>40</v>
      </c>
      <c r="P9" s="13" t="s">
        <v>41</v>
      </c>
      <c r="Q9" s="14" t="s">
        <v>22</v>
      </c>
    </row>
    <row r="10" spans="1:22" ht="15.6" hidden="1" x14ac:dyDescent="0.35">
      <c r="A10" s="9">
        <v>9</v>
      </c>
      <c r="B10" s="9">
        <v>33</v>
      </c>
      <c r="C10" s="9" t="s">
        <v>18</v>
      </c>
      <c r="D10" s="9">
        <v>763467996</v>
      </c>
      <c r="E10" s="9" t="s">
        <v>43</v>
      </c>
      <c r="F10" s="10">
        <v>7343</v>
      </c>
      <c r="G10" s="11">
        <v>46024</v>
      </c>
      <c r="H10" s="9">
        <v>0</v>
      </c>
      <c r="I10" s="9">
        <v>179300</v>
      </c>
      <c r="J10" s="9">
        <v>34067</v>
      </c>
      <c r="K10" s="9"/>
      <c r="L10" s="9">
        <v>213367</v>
      </c>
      <c r="M10" s="9" t="s">
        <v>44</v>
      </c>
      <c r="N10" s="12">
        <v>3102102</v>
      </c>
      <c r="O10" s="12" t="s">
        <v>45</v>
      </c>
      <c r="P10" s="13">
        <v>300</v>
      </c>
      <c r="Q10" s="14" t="s">
        <v>22</v>
      </c>
    </row>
    <row r="11" spans="1:22" ht="15.6" hidden="1" x14ac:dyDescent="0.35">
      <c r="A11" s="9">
        <v>10</v>
      </c>
      <c r="B11" s="9">
        <v>33</v>
      </c>
      <c r="C11" s="9" t="s">
        <v>18</v>
      </c>
      <c r="D11" s="9">
        <v>771433855</v>
      </c>
      <c r="E11" s="9" t="s">
        <v>46</v>
      </c>
      <c r="F11" s="10">
        <v>16080</v>
      </c>
      <c r="G11" s="11">
        <v>46024</v>
      </c>
      <c r="H11" s="9">
        <v>0</v>
      </c>
      <c r="I11" s="9">
        <v>15497</v>
      </c>
      <c r="J11" s="9">
        <v>2944</v>
      </c>
      <c r="K11" s="9"/>
      <c r="L11" s="9">
        <v>18441</v>
      </c>
      <c r="M11" s="9" t="s">
        <v>47</v>
      </c>
      <c r="N11" s="12">
        <v>3102108</v>
      </c>
      <c r="O11" s="12" t="s">
        <v>48</v>
      </c>
      <c r="P11" s="13">
        <v>400</v>
      </c>
      <c r="Q11" s="14" t="s">
        <v>22</v>
      </c>
    </row>
    <row r="12" spans="1:22" ht="15.6" hidden="1" x14ac:dyDescent="0.35">
      <c r="A12" s="9">
        <v>11</v>
      </c>
      <c r="B12" s="9">
        <v>33</v>
      </c>
      <c r="C12" s="9" t="s">
        <v>18</v>
      </c>
      <c r="D12" s="9">
        <v>833827006</v>
      </c>
      <c r="E12" s="9" t="s">
        <v>49</v>
      </c>
      <c r="F12" s="10">
        <v>2287732</v>
      </c>
      <c r="G12" s="11">
        <v>46024</v>
      </c>
      <c r="H12" s="9">
        <v>0</v>
      </c>
      <c r="I12" s="9">
        <v>21909</v>
      </c>
      <c r="J12" s="9">
        <v>4163</v>
      </c>
      <c r="K12" s="9"/>
      <c r="L12" s="9">
        <v>26072</v>
      </c>
      <c r="M12" s="9" t="s">
        <v>50</v>
      </c>
      <c r="N12" s="12">
        <v>3102105</v>
      </c>
      <c r="O12" s="12" t="s">
        <v>51</v>
      </c>
      <c r="P12" s="13">
        <v>404</v>
      </c>
      <c r="Q12" s="14" t="s">
        <v>22</v>
      </c>
    </row>
    <row r="13" spans="1:22" ht="15.6" hidden="1" x14ac:dyDescent="0.35">
      <c r="A13" s="9">
        <v>12</v>
      </c>
      <c r="B13" s="9">
        <v>33</v>
      </c>
      <c r="C13" s="9" t="s">
        <v>18</v>
      </c>
      <c r="D13" s="9">
        <v>833827006</v>
      </c>
      <c r="E13" s="9" t="s">
        <v>49</v>
      </c>
      <c r="F13" s="10">
        <v>2288287</v>
      </c>
      <c r="G13" s="11">
        <v>46024</v>
      </c>
      <c r="H13" s="9">
        <v>0</v>
      </c>
      <c r="I13" s="9">
        <v>6301</v>
      </c>
      <c r="J13" s="9">
        <v>1197</v>
      </c>
      <c r="K13" s="9"/>
      <c r="L13" s="9">
        <v>7498</v>
      </c>
      <c r="M13" s="9" t="s">
        <v>52</v>
      </c>
      <c r="N13" s="12">
        <v>3102108</v>
      </c>
      <c r="O13" s="12" t="s">
        <v>48</v>
      </c>
      <c r="P13" s="13">
        <v>404</v>
      </c>
      <c r="Q13" s="14" t="s">
        <v>22</v>
      </c>
    </row>
    <row r="14" spans="1:22" ht="15.6" hidden="1" x14ac:dyDescent="0.35">
      <c r="A14" s="9">
        <v>13</v>
      </c>
      <c r="B14" s="9">
        <v>33</v>
      </c>
      <c r="C14" s="9" t="s">
        <v>18</v>
      </c>
      <c r="D14" s="9">
        <v>765642396</v>
      </c>
      <c r="E14" s="9" t="s">
        <v>53</v>
      </c>
      <c r="F14" s="10">
        <v>7168</v>
      </c>
      <c r="G14" s="11">
        <v>46024</v>
      </c>
      <c r="H14" s="9">
        <v>0</v>
      </c>
      <c r="I14" s="9">
        <v>179571</v>
      </c>
      <c r="J14" s="9">
        <v>34118</v>
      </c>
      <c r="K14" s="9"/>
      <c r="L14" s="9">
        <v>213689</v>
      </c>
      <c r="M14" s="9" t="s">
        <v>54</v>
      </c>
      <c r="N14" s="12">
        <v>3106209</v>
      </c>
      <c r="O14" s="12" t="s">
        <v>55</v>
      </c>
      <c r="P14" s="13">
        <v>2</v>
      </c>
      <c r="Q14" s="14" t="s">
        <v>22</v>
      </c>
    </row>
    <row r="15" spans="1:22" ht="15.6" hidden="1" x14ac:dyDescent="0.35">
      <c r="A15" s="8">
        <v>14</v>
      </c>
      <c r="B15" s="9">
        <v>33</v>
      </c>
      <c r="C15" s="9" t="s">
        <v>18</v>
      </c>
      <c r="D15" s="9">
        <v>966893109</v>
      </c>
      <c r="E15" s="9" t="s">
        <v>56</v>
      </c>
      <c r="F15" s="10">
        <v>57003685</v>
      </c>
      <c r="G15" s="11">
        <v>46020</v>
      </c>
      <c r="H15" s="9">
        <v>0</v>
      </c>
      <c r="I15" s="9">
        <v>1653696</v>
      </c>
      <c r="J15" s="9">
        <v>314202</v>
      </c>
      <c r="K15" s="9"/>
      <c r="L15" s="9">
        <v>1967898</v>
      </c>
      <c r="M15" s="9" t="s">
        <v>57</v>
      </c>
      <c r="N15" s="12">
        <v>2102605</v>
      </c>
      <c r="O15" s="12" t="s">
        <v>21</v>
      </c>
      <c r="P15" s="13">
        <v>1</v>
      </c>
      <c r="Q15" s="14" t="s">
        <v>22</v>
      </c>
    </row>
    <row r="16" spans="1:22" ht="15.6" hidden="1" x14ac:dyDescent="0.35">
      <c r="A16" s="9">
        <v>15</v>
      </c>
      <c r="B16" s="9">
        <v>33</v>
      </c>
      <c r="C16" s="9" t="s">
        <v>18</v>
      </c>
      <c r="D16" s="9" t="s">
        <v>58</v>
      </c>
      <c r="E16" s="9" t="s">
        <v>59</v>
      </c>
      <c r="F16" s="10">
        <v>54315967</v>
      </c>
      <c r="G16" s="11">
        <v>46024</v>
      </c>
      <c r="H16" s="9">
        <v>0</v>
      </c>
      <c r="I16" s="9">
        <v>31750</v>
      </c>
      <c r="J16" s="9">
        <v>6032</v>
      </c>
      <c r="K16" s="9"/>
      <c r="L16" s="9">
        <v>37782</v>
      </c>
      <c r="M16" s="9" t="s">
        <v>60</v>
      </c>
      <c r="N16" s="12">
        <v>3106806</v>
      </c>
      <c r="O16" s="12" t="s">
        <v>61</v>
      </c>
      <c r="P16" s="13">
        <v>2</v>
      </c>
      <c r="Q16" s="14" t="s">
        <v>22</v>
      </c>
    </row>
    <row r="17" spans="1:17" ht="15.6" hidden="1" x14ac:dyDescent="0.35">
      <c r="A17" s="9">
        <v>16</v>
      </c>
      <c r="B17" s="9">
        <v>33</v>
      </c>
      <c r="C17" s="9" t="s">
        <v>18</v>
      </c>
      <c r="D17" s="9">
        <v>780429860</v>
      </c>
      <c r="E17" s="9" t="s">
        <v>62</v>
      </c>
      <c r="F17" s="10">
        <v>87</v>
      </c>
      <c r="G17" s="11">
        <v>46027</v>
      </c>
      <c r="H17" s="9">
        <v>0</v>
      </c>
      <c r="I17" s="9">
        <v>245000</v>
      </c>
      <c r="J17" s="9">
        <v>46550</v>
      </c>
      <c r="K17" s="9"/>
      <c r="L17" s="9">
        <v>291550</v>
      </c>
      <c r="M17" s="9" t="s">
        <v>63</v>
      </c>
      <c r="N17" s="12">
        <v>3107822</v>
      </c>
      <c r="O17" s="12" t="s">
        <v>64</v>
      </c>
      <c r="P17" s="13">
        <v>3</v>
      </c>
      <c r="Q17" s="14" t="s">
        <v>22</v>
      </c>
    </row>
    <row r="18" spans="1:17" ht="15.6" hidden="1" x14ac:dyDescent="0.35">
      <c r="A18" s="9">
        <v>17</v>
      </c>
      <c r="B18" s="9">
        <v>33</v>
      </c>
      <c r="C18" s="9" t="s">
        <v>18</v>
      </c>
      <c r="D18" s="9">
        <v>833827006</v>
      </c>
      <c r="E18" s="9" t="s">
        <v>49</v>
      </c>
      <c r="F18" s="10">
        <v>2300495</v>
      </c>
      <c r="G18" s="11">
        <v>46027</v>
      </c>
      <c r="H18" s="9">
        <v>0</v>
      </c>
      <c r="I18" s="9">
        <v>14252</v>
      </c>
      <c r="J18" s="9">
        <v>2708</v>
      </c>
      <c r="K18" s="9"/>
      <c r="L18" s="9">
        <v>16960</v>
      </c>
      <c r="M18" s="9" t="s">
        <v>65</v>
      </c>
      <c r="N18" s="12">
        <v>3102105</v>
      </c>
      <c r="O18" s="12" t="s">
        <v>51</v>
      </c>
      <c r="P18" s="13">
        <v>404</v>
      </c>
      <c r="Q18" s="14" t="s">
        <v>22</v>
      </c>
    </row>
    <row r="19" spans="1:17" ht="15.6" hidden="1" x14ac:dyDescent="0.35">
      <c r="A19" s="9">
        <v>18</v>
      </c>
      <c r="B19" s="9">
        <v>33</v>
      </c>
      <c r="C19" s="9" t="s">
        <v>18</v>
      </c>
      <c r="D19" s="9">
        <v>833827006</v>
      </c>
      <c r="E19" s="9" t="s">
        <v>49</v>
      </c>
      <c r="F19" s="10">
        <v>2300494</v>
      </c>
      <c r="G19" s="11">
        <v>46027</v>
      </c>
      <c r="H19" s="9">
        <v>0</v>
      </c>
      <c r="I19" s="9">
        <v>22708</v>
      </c>
      <c r="J19" s="9">
        <v>4315</v>
      </c>
      <c r="K19" s="9"/>
      <c r="L19" s="9">
        <v>27023</v>
      </c>
      <c r="M19" s="9" t="s">
        <v>66</v>
      </c>
      <c r="N19" s="12">
        <v>3102104</v>
      </c>
      <c r="O19" s="12" t="s">
        <v>67</v>
      </c>
      <c r="P19" s="13">
        <v>404</v>
      </c>
      <c r="Q19" s="14" t="s">
        <v>22</v>
      </c>
    </row>
    <row r="20" spans="1:17" ht="15.6" hidden="1" x14ac:dyDescent="0.35">
      <c r="A20" s="9">
        <v>19</v>
      </c>
      <c r="B20" s="9">
        <v>33</v>
      </c>
      <c r="C20" s="9" t="s">
        <v>18</v>
      </c>
      <c r="D20" s="9">
        <v>760078735</v>
      </c>
      <c r="E20" s="9" t="s">
        <v>68</v>
      </c>
      <c r="F20" s="10">
        <v>537691</v>
      </c>
      <c r="G20" s="11">
        <v>46031</v>
      </c>
      <c r="H20" s="9">
        <v>0</v>
      </c>
      <c r="I20" s="9">
        <v>1558795</v>
      </c>
      <c r="J20" s="9">
        <v>296171</v>
      </c>
      <c r="K20" s="9"/>
      <c r="L20" s="9">
        <v>1854966</v>
      </c>
      <c r="M20" s="9" t="s">
        <v>69</v>
      </c>
      <c r="N20" s="12">
        <v>1106801</v>
      </c>
      <c r="O20" s="12" t="s">
        <v>37</v>
      </c>
      <c r="P20" s="13">
        <v>1</v>
      </c>
      <c r="Q20" s="14" t="s">
        <v>22</v>
      </c>
    </row>
    <row r="21" spans="1:17" ht="15.6" hidden="1" x14ac:dyDescent="0.35">
      <c r="A21" s="9">
        <v>20</v>
      </c>
      <c r="B21" s="9">
        <v>33</v>
      </c>
      <c r="C21" s="9" t="s">
        <v>18</v>
      </c>
      <c r="D21" s="9">
        <v>767319827</v>
      </c>
      <c r="E21" s="9" t="s">
        <v>70</v>
      </c>
      <c r="F21" s="10">
        <v>62646</v>
      </c>
      <c r="G21" s="11">
        <v>46031</v>
      </c>
      <c r="H21" s="9">
        <v>0</v>
      </c>
      <c r="I21" s="9">
        <v>23100</v>
      </c>
      <c r="J21" s="9">
        <v>4389</v>
      </c>
      <c r="K21" s="9"/>
      <c r="L21" s="9">
        <v>27489</v>
      </c>
      <c r="M21" s="9" t="s">
        <v>71</v>
      </c>
      <c r="N21" s="12">
        <v>3107833</v>
      </c>
      <c r="O21" s="12" t="s">
        <v>72</v>
      </c>
      <c r="P21" s="13" t="s">
        <v>41</v>
      </c>
      <c r="Q21" s="14" t="s">
        <v>22</v>
      </c>
    </row>
    <row r="22" spans="1:17" ht="15.6" hidden="1" x14ac:dyDescent="0.35">
      <c r="A22" s="9">
        <v>21</v>
      </c>
      <c r="B22" s="9">
        <v>33</v>
      </c>
      <c r="C22" s="9" t="s">
        <v>18</v>
      </c>
      <c r="D22" s="9">
        <v>833827006</v>
      </c>
      <c r="E22" s="9" t="s">
        <v>49</v>
      </c>
      <c r="F22" s="10">
        <v>2288923</v>
      </c>
      <c r="G22" s="11">
        <v>46031</v>
      </c>
      <c r="H22" s="9">
        <v>0</v>
      </c>
      <c r="I22" s="9">
        <v>14606</v>
      </c>
      <c r="J22" s="9">
        <v>2775</v>
      </c>
      <c r="K22" s="9"/>
      <c r="L22" s="9">
        <v>17381</v>
      </c>
      <c r="M22" s="9" t="s">
        <v>50</v>
      </c>
      <c r="N22" s="12">
        <v>3102105</v>
      </c>
      <c r="O22" s="12" t="s">
        <v>51</v>
      </c>
      <c r="P22" s="13">
        <v>404</v>
      </c>
      <c r="Q22" s="14" t="s">
        <v>22</v>
      </c>
    </row>
    <row r="23" spans="1:17" ht="15.6" hidden="1" x14ac:dyDescent="0.35">
      <c r="A23" s="9">
        <v>22</v>
      </c>
      <c r="B23" s="9">
        <v>33</v>
      </c>
      <c r="C23" s="9" t="s">
        <v>18</v>
      </c>
      <c r="D23" s="9">
        <v>181111186</v>
      </c>
      <c r="E23" s="9" t="s">
        <v>73</v>
      </c>
      <c r="F23" s="10">
        <v>509</v>
      </c>
      <c r="G23" s="11">
        <v>46031</v>
      </c>
      <c r="H23" s="9">
        <v>0</v>
      </c>
      <c r="I23" s="9">
        <v>80000</v>
      </c>
      <c r="J23" s="9">
        <v>15200</v>
      </c>
      <c r="K23" s="9"/>
      <c r="L23" s="9">
        <v>95200</v>
      </c>
      <c r="M23" s="9" t="s">
        <v>74</v>
      </c>
      <c r="N23" s="12">
        <v>3106601</v>
      </c>
      <c r="O23" s="12" t="s">
        <v>75</v>
      </c>
      <c r="P23" s="13">
        <v>150</v>
      </c>
      <c r="Q23" s="14" t="s">
        <v>22</v>
      </c>
    </row>
    <row r="24" spans="1:17" ht="15.6" hidden="1" x14ac:dyDescent="0.35">
      <c r="A24" s="9">
        <v>23</v>
      </c>
      <c r="B24" s="9">
        <v>33</v>
      </c>
      <c r="C24" s="9" t="s">
        <v>18</v>
      </c>
      <c r="D24" s="9">
        <v>763802175</v>
      </c>
      <c r="E24" s="9" t="s">
        <v>76</v>
      </c>
      <c r="F24" s="10">
        <v>1548889</v>
      </c>
      <c r="G24" s="11">
        <v>46034</v>
      </c>
      <c r="H24" s="9">
        <v>0</v>
      </c>
      <c r="I24" s="9">
        <v>212500</v>
      </c>
      <c r="J24" s="9">
        <v>40375</v>
      </c>
      <c r="K24" s="9"/>
      <c r="L24" s="9">
        <v>252875</v>
      </c>
      <c r="M24" s="9" t="s">
        <v>77</v>
      </c>
      <c r="N24" s="12">
        <v>1106801</v>
      </c>
      <c r="O24" s="12" t="s">
        <v>37</v>
      </c>
      <c r="P24" s="13">
        <v>1</v>
      </c>
      <c r="Q24" s="14" t="s">
        <v>22</v>
      </c>
    </row>
    <row r="25" spans="1:17" ht="15.6" hidden="1" x14ac:dyDescent="0.35">
      <c r="A25" s="8">
        <v>24</v>
      </c>
      <c r="B25" s="9">
        <v>33</v>
      </c>
      <c r="C25" s="9" t="s">
        <v>78</v>
      </c>
      <c r="D25" s="9">
        <v>769767401</v>
      </c>
      <c r="E25" s="9" t="s">
        <v>79</v>
      </c>
      <c r="F25" s="10">
        <v>16947</v>
      </c>
      <c r="G25" s="11">
        <v>46022</v>
      </c>
      <c r="H25" s="9">
        <v>0</v>
      </c>
      <c r="I25" s="9">
        <v>265331</v>
      </c>
      <c r="J25" s="9"/>
      <c r="K25" s="9">
        <v>50413</v>
      </c>
      <c r="L25" s="9">
        <v>315744</v>
      </c>
      <c r="M25" s="9" t="s">
        <v>80</v>
      </c>
      <c r="N25" s="12">
        <v>2102605</v>
      </c>
      <c r="O25" s="12" t="s">
        <v>21</v>
      </c>
      <c r="P25" s="13">
        <v>1</v>
      </c>
      <c r="Q25" s="14" t="s">
        <v>22</v>
      </c>
    </row>
    <row r="26" spans="1:17" ht="15.6" hidden="1" x14ac:dyDescent="0.35">
      <c r="A26" s="8">
        <v>25</v>
      </c>
      <c r="B26" s="9">
        <v>34</v>
      </c>
      <c r="C26" s="9" t="s">
        <v>18</v>
      </c>
      <c r="D26" s="9">
        <v>761394770</v>
      </c>
      <c r="E26" s="9" t="s">
        <v>81</v>
      </c>
      <c r="F26" s="10">
        <v>60671</v>
      </c>
      <c r="G26" s="11">
        <v>46021</v>
      </c>
      <c r="H26" s="9">
        <v>534226</v>
      </c>
      <c r="I26" s="9">
        <v>0</v>
      </c>
      <c r="J26" s="9">
        <v>0</v>
      </c>
      <c r="K26" s="9"/>
      <c r="L26" s="9">
        <v>534226</v>
      </c>
      <c r="M26" s="9" t="s">
        <v>82</v>
      </c>
      <c r="N26" s="12">
        <v>2102605</v>
      </c>
      <c r="O26" s="12" t="s">
        <v>21</v>
      </c>
      <c r="P26" s="13">
        <v>1</v>
      </c>
      <c r="Q26" s="15" t="s">
        <v>83</v>
      </c>
    </row>
    <row r="27" spans="1:17" ht="15.6" hidden="1" x14ac:dyDescent="0.35">
      <c r="A27" s="9">
        <v>26</v>
      </c>
      <c r="B27" s="9">
        <v>34</v>
      </c>
      <c r="C27" s="9" t="s">
        <v>18</v>
      </c>
      <c r="D27" s="9">
        <v>772704852</v>
      </c>
      <c r="E27" s="9" t="s">
        <v>35</v>
      </c>
      <c r="F27" s="10">
        <v>36919</v>
      </c>
      <c r="G27" s="11">
        <v>46024</v>
      </c>
      <c r="H27" s="9">
        <v>574908</v>
      </c>
      <c r="I27" s="9">
        <v>0</v>
      </c>
      <c r="J27" s="9">
        <v>0</v>
      </c>
      <c r="K27" s="9"/>
      <c r="L27" s="9">
        <v>574908</v>
      </c>
      <c r="M27" s="9" t="s">
        <v>84</v>
      </c>
      <c r="N27" s="12">
        <v>1106801</v>
      </c>
      <c r="O27" s="12" t="s">
        <v>37</v>
      </c>
      <c r="P27" s="13">
        <v>1</v>
      </c>
      <c r="Q27" s="14" t="s">
        <v>22</v>
      </c>
    </row>
    <row r="28" spans="1:17" ht="15.6" hidden="1" x14ac:dyDescent="0.35">
      <c r="A28" s="9">
        <v>27</v>
      </c>
      <c r="B28" s="9">
        <v>34</v>
      </c>
      <c r="C28" s="9" t="s">
        <v>18</v>
      </c>
      <c r="D28" s="9">
        <v>777163124</v>
      </c>
      <c r="E28" s="9" t="s">
        <v>85</v>
      </c>
      <c r="F28" s="10">
        <v>6152</v>
      </c>
      <c r="G28" s="11">
        <v>46023</v>
      </c>
      <c r="H28" s="9">
        <v>3893716</v>
      </c>
      <c r="I28" s="9">
        <v>0</v>
      </c>
      <c r="J28" s="9">
        <v>0</v>
      </c>
      <c r="K28" s="9"/>
      <c r="L28" s="9">
        <v>3893716</v>
      </c>
      <c r="M28" s="9" t="s">
        <v>86</v>
      </c>
      <c r="N28" s="12">
        <v>3106206</v>
      </c>
      <c r="O28" s="12" t="s">
        <v>87</v>
      </c>
      <c r="P28" s="13">
        <v>2</v>
      </c>
      <c r="Q28" s="14" t="s">
        <v>22</v>
      </c>
    </row>
    <row r="29" spans="1:17" ht="15.6" hidden="1" x14ac:dyDescent="0.35">
      <c r="A29" s="9">
        <v>28</v>
      </c>
      <c r="B29" s="9">
        <v>34</v>
      </c>
      <c r="C29" s="9" t="s">
        <v>18</v>
      </c>
      <c r="D29" s="9" t="s">
        <v>58</v>
      </c>
      <c r="E29" s="9" t="s">
        <v>59</v>
      </c>
      <c r="F29" s="10">
        <v>14510652</v>
      </c>
      <c r="G29" s="11">
        <v>46024</v>
      </c>
      <c r="H29" s="9">
        <v>0</v>
      </c>
      <c r="I29" s="9">
        <v>0</v>
      </c>
      <c r="J29" s="9">
        <v>0</v>
      </c>
      <c r="K29" s="9"/>
      <c r="L29" s="9">
        <v>0</v>
      </c>
      <c r="M29" s="9" t="s">
        <v>88</v>
      </c>
      <c r="N29" s="12">
        <v>3106806</v>
      </c>
      <c r="O29" s="12" t="s">
        <v>61</v>
      </c>
      <c r="P29" s="13">
        <v>2</v>
      </c>
      <c r="Q29" s="14" t="s">
        <v>22</v>
      </c>
    </row>
    <row r="30" spans="1:17" ht="15.6" hidden="1" x14ac:dyDescent="0.35">
      <c r="A30" s="9">
        <v>29</v>
      </c>
      <c r="B30" s="9">
        <v>34</v>
      </c>
      <c r="C30" s="9" t="s">
        <v>18</v>
      </c>
      <c r="D30" s="9">
        <v>651932858</v>
      </c>
      <c r="E30" s="9" t="s">
        <v>89</v>
      </c>
      <c r="F30" s="10">
        <v>1982</v>
      </c>
      <c r="G30" s="11">
        <v>46034</v>
      </c>
      <c r="H30" s="9">
        <v>268190</v>
      </c>
      <c r="I30" s="9">
        <v>0</v>
      </c>
      <c r="J30" s="9">
        <v>0</v>
      </c>
      <c r="K30" s="9"/>
      <c r="L30" s="9">
        <v>268190</v>
      </c>
      <c r="M30" s="9" t="s">
        <v>90</v>
      </c>
      <c r="N30" s="12">
        <v>3106831</v>
      </c>
      <c r="O30" s="12" t="s">
        <v>91</v>
      </c>
      <c r="P30" s="13">
        <v>2</v>
      </c>
      <c r="Q30" s="14" t="s">
        <v>22</v>
      </c>
    </row>
    <row r="31" spans="1:17" ht="15.6" x14ac:dyDescent="0.35">
      <c r="A31" s="9">
        <v>30</v>
      </c>
      <c r="B31" s="9">
        <v>34</v>
      </c>
      <c r="C31" s="9" t="s">
        <v>18</v>
      </c>
      <c r="D31" s="9">
        <v>970040005</v>
      </c>
      <c r="E31" s="9" t="s">
        <v>92</v>
      </c>
      <c r="F31" s="10">
        <v>28192192</v>
      </c>
      <c r="G31" s="11">
        <v>46034</v>
      </c>
      <c r="H31" s="9">
        <v>6953063</v>
      </c>
      <c r="I31" s="9">
        <v>0</v>
      </c>
      <c r="J31" s="9">
        <v>0</v>
      </c>
      <c r="K31" s="9"/>
      <c r="L31" s="9">
        <v>6953063</v>
      </c>
      <c r="M31" s="9" t="s">
        <v>93</v>
      </c>
      <c r="N31" s="12">
        <v>3106301</v>
      </c>
      <c r="O31" s="12" t="s">
        <v>94</v>
      </c>
      <c r="P31" s="13">
        <v>190</v>
      </c>
      <c r="Q31" s="14" t="s">
        <v>22</v>
      </c>
    </row>
    <row r="32" spans="1:17" ht="15.6" hidden="1" x14ac:dyDescent="0.35">
      <c r="A32" s="8">
        <v>31</v>
      </c>
      <c r="B32" s="9">
        <v>43</v>
      </c>
      <c r="C32" s="9" t="s">
        <v>18</v>
      </c>
      <c r="D32" s="9">
        <v>773982201</v>
      </c>
      <c r="E32" s="9" t="s">
        <v>95</v>
      </c>
      <c r="F32" s="10">
        <v>880229</v>
      </c>
      <c r="G32" s="11">
        <v>46022</v>
      </c>
      <c r="H32" s="9">
        <v>0</v>
      </c>
      <c r="I32" s="9">
        <v>0</v>
      </c>
      <c r="J32" s="9">
        <v>0</v>
      </c>
      <c r="K32" s="9"/>
      <c r="L32" s="9">
        <v>0</v>
      </c>
      <c r="M32" s="9" t="s">
        <v>82</v>
      </c>
      <c r="N32" s="12">
        <v>2102605</v>
      </c>
      <c r="O32" s="12" t="s">
        <v>21</v>
      </c>
      <c r="P32" s="13">
        <v>1</v>
      </c>
      <c r="Q32" s="15" t="s">
        <v>83</v>
      </c>
    </row>
    <row r="33" spans="1:19" ht="15.6" hidden="1" x14ac:dyDescent="0.35">
      <c r="A33" s="8">
        <v>32</v>
      </c>
      <c r="B33" s="9">
        <v>61</v>
      </c>
      <c r="C33" s="9" t="s">
        <v>18</v>
      </c>
      <c r="D33" s="9">
        <v>761990438</v>
      </c>
      <c r="E33" s="9" t="s">
        <v>19</v>
      </c>
      <c r="F33" s="10">
        <v>330</v>
      </c>
      <c r="G33" s="11">
        <v>46021</v>
      </c>
      <c r="H33" s="9">
        <v>0</v>
      </c>
      <c r="I33" s="9">
        <v>3</v>
      </c>
      <c r="J33" s="9">
        <v>1</v>
      </c>
      <c r="K33" s="9"/>
      <c r="L33" s="9">
        <v>4</v>
      </c>
      <c r="M33" s="9" t="s">
        <v>20</v>
      </c>
      <c r="N33" s="12">
        <v>2102605</v>
      </c>
      <c r="O33" s="12" t="s">
        <v>21</v>
      </c>
      <c r="P33" s="13">
        <v>1</v>
      </c>
      <c r="Q33" s="14" t="s">
        <v>22</v>
      </c>
      <c r="R33">
        <v>2904</v>
      </c>
    </row>
    <row r="34" spans="1:19" ht="15.6" hidden="1" x14ac:dyDescent="0.35">
      <c r="A34" s="9">
        <v>33</v>
      </c>
      <c r="B34" s="9">
        <v>61</v>
      </c>
      <c r="C34" s="9" t="s">
        <v>18</v>
      </c>
      <c r="D34" s="9">
        <v>777163124</v>
      </c>
      <c r="E34" s="9" t="s">
        <v>85</v>
      </c>
      <c r="F34" s="10">
        <v>2235</v>
      </c>
      <c r="G34" s="11">
        <v>46031</v>
      </c>
      <c r="H34" s="9">
        <v>3893716</v>
      </c>
      <c r="I34" s="9">
        <v>0</v>
      </c>
      <c r="J34" s="9">
        <v>0</v>
      </c>
      <c r="K34" s="9"/>
      <c r="L34" s="9">
        <v>3893716</v>
      </c>
      <c r="M34" s="9" t="s">
        <v>96</v>
      </c>
      <c r="N34" s="12">
        <v>3106206</v>
      </c>
      <c r="O34" s="12" t="s">
        <v>87</v>
      </c>
      <c r="P34" s="13">
        <v>2</v>
      </c>
      <c r="Q34" s="14" t="s">
        <v>22</v>
      </c>
      <c r="R34">
        <v>6152</v>
      </c>
    </row>
    <row r="35" spans="1:19" ht="15.6" hidden="1" x14ac:dyDescent="0.35">
      <c r="A35" s="9">
        <v>34</v>
      </c>
      <c r="B35" s="9">
        <v>33</v>
      </c>
      <c r="C35" s="9" t="s">
        <v>18</v>
      </c>
      <c r="D35" s="9">
        <v>776610313</v>
      </c>
      <c r="E35" s="9" t="s">
        <v>97</v>
      </c>
      <c r="F35" s="16">
        <v>193</v>
      </c>
      <c r="G35" s="11">
        <v>46027</v>
      </c>
      <c r="H35" s="9">
        <v>0</v>
      </c>
      <c r="I35" s="9">
        <v>967680</v>
      </c>
      <c r="J35" s="9">
        <v>183859</v>
      </c>
      <c r="K35" s="9"/>
      <c r="L35" s="9">
        <v>1151539</v>
      </c>
      <c r="M35" s="9" t="s">
        <v>98</v>
      </c>
      <c r="N35" s="12">
        <v>3102102</v>
      </c>
      <c r="O35" s="12" t="s">
        <v>45</v>
      </c>
      <c r="P35" s="13">
        <v>1</v>
      </c>
      <c r="Q35" s="14" t="s">
        <v>22</v>
      </c>
      <c r="R35" s="17"/>
    </row>
    <row r="36" spans="1:19" ht="15.6" hidden="1" x14ac:dyDescent="0.35">
      <c r="A36" s="9">
        <v>35</v>
      </c>
      <c r="B36" s="9">
        <v>33</v>
      </c>
      <c r="C36" s="9" t="s">
        <v>18</v>
      </c>
      <c r="D36" s="9">
        <v>764333101</v>
      </c>
      <c r="E36" s="9" t="s">
        <v>99</v>
      </c>
      <c r="F36" s="16">
        <v>159758</v>
      </c>
      <c r="G36" s="11">
        <v>46027</v>
      </c>
      <c r="H36" s="9">
        <v>0</v>
      </c>
      <c r="I36" s="9">
        <v>7481208</v>
      </c>
      <c r="J36" s="9">
        <v>1421430</v>
      </c>
      <c r="K36" s="9"/>
      <c r="L36" s="9">
        <v>8902638</v>
      </c>
      <c r="M36" s="9" t="s">
        <v>100</v>
      </c>
      <c r="N36" s="12">
        <v>3106301</v>
      </c>
      <c r="O36" s="12" t="s">
        <v>94</v>
      </c>
      <c r="P36" s="13">
        <v>180</v>
      </c>
      <c r="Q36" s="14" t="s">
        <v>22</v>
      </c>
    </row>
    <row r="37" spans="1:19" ht="15.6" hidden="1" x14ac:dyDescent="0.35">
      <c r="A37" s="9">
        <v>36</v>
      </c>
      <c r="B37" s="9">
        <v>33</v>
      </c>
      <c r="C37" s="9" t="s">
        <v>18</v>
      </c>
      <c r="D37" s="9">
        <v>784089908</v>
      </c>
      <c r="E37" s="9" t="s">
        <v>101</v>
      </c>
      <c r="F37" s="16">
        <v>780166</v>
      </c>
      <c r="G37" s="11">
        <v>46027</v>
      </c>
      <c r="H37" s="9">
        <v>0</v>
      </c>
      <c r="I37" s="9">
        <v>712269</v>
      </c>
      <c r="J37" s="9">
        <v>135331</v>
      </c>
      <c r="K37" s="9"/>
      <c r="L37" s="9">
        <v>847600</v>
      </c>
      <c r="M37" s="9" t="s">
        <v>102</v>
      </c>
      <c r="N37" s="12">
        <v>3106301</v>
      </c>
      <c r="O37" s="12" t="s">
        <v>94</v>
      </c>
      <c r="P37" s="13">
        <v>180</v>
      </c>
      <c r="Q37" s="14" t="s">
        <v>22</v>
      </c>
    </row>
    <row r="38" spans="1:19" ht="15.6" hidden="1" x14ac:dyDescent="0.35">
      <c r="A38" s="9">
        <v>37</v>
      </c>
      <c r="B38" s="9">
        <v>33</v>
      </c>
      <c r="C38" s="9" t="s">
        <v>18</v>
      </c>
      <c r="D38" s="9">
        <v>784089908</v>
      </c>
      <c r="E38" s="9" t="s">
        <v>101</v>
      </c>
      <c r="F38" s="16">
        <v>781007</v>
      </c>
      <c r="G38" s="11">
        <v>46027</v>
      </c>
      <c r="H38" s="9">
        <v>0</v>
      </c>
      <c r="I38" s="9">
        <v>1736156</v>
      </c>
      <c r="J38" s="9">
        <v>329870</v>
      </c>
      <c r="K38" s="9"/>
      <c r="L38" s="9">
        <v>2066026</v>
      </c>
      <c r="M38" s="9" t="s">
        <v>103</v>
      </c>
      <c r="N38" s="12">
        <v>3106301</v>
      </c>
      <c r="O38" s="12" t="s">
        <v>94</v>
      </c>
      <c r="P38" s="13">
        <v>180</v>
      </c>
      <c r="Q38" s="14" t="s">
        <v>22</v>
      </c>
    </row>
    <row r="39" spans="1:19" ht="15.6" hidden="1" x14ac:dyDescent="0.35">
      <c r="A39" s="9">
        <v>38</v>
      </c>
      <c r="B39" s="9">
        <v>33</v>
      </c>
      <c r="C39" s="9" t="s">
        <v>18</v>
      </c>
      <c r="D39" s="9">
        <v>762032996</v>
      </c>
      <c r="E39" s="9" t="s">
        <v>104</v>
      </c>
      <c r="F39" s="16">
        <v>69333</v>
      </c>
      <c r="G39" s="11">
        <v>46027</v>
      </c>
      <c r="H39" s="9">
        <v>0</v>
      </c>
      <c r="I39" s="9">
        <v>18229632</v>
      </c>
      <c r="J39" s="9">
        <v>3463630</v>
      </c>
      <c r="K39" s="9"/>
      <c r="L39" s="9">
        <v>21693262</v>
      </c>
      <c r="M39" s="9" t="s">
        <v>105</v>
      </c>
      <c r="N39" s="12">
        <v>3106301</v>
      </c>
      <c r="O39" s="12" t="s">
        <v>94</v>
      </c>
      <c r="P39" s="13">
        <v>170</v>
      </c>
      <c r="Q39" s="14" t="s">
        <v>22</v>
      </c>
    </row>
    <row r="40" spans="1:19" ht="15.6" hidden="1" x14ac:dyDescent="0.35">
      <c r="A40" s="9">
        <v>39</v>
      </c>
      <c r="B40" s="9">
        <v>33</v>
      </c>
      <c r="C40" s="9" t="s">
        <v>18</v>
      </c>
      <c r="D40" s="9" t="s">
        <v>106</v>
      </c>
      <c r="E40" s="9" t="s">
        <v>107</v>
      </c>
      <c r="F40" s="16">
        <v>179</v>
      </c>
      <c r="G40" s="11">
        <v>46027</v>
      </c>
      <c r="H40" s="9">
        <v>0</v>
      </c>
      <c r="I40" s="9">
        <v>5072199</v>
      </c>
      <c r="J40" s="9">
        <v>963718</v>
      </c>
      <c r="K40" s="9"/>
      <c r="L40" s="9">
        <v>6035917</v>
      </c>
      <c r="M40" s="9" t="s">
        <v>108</v>
      </c>
      <c r="N40" s="12">
        <v>3106601</v>
      </c>
      <c r="O40" s="12" t="s">
        <v>75</v>
      </c>
      <c r="P40" s="13">
        <v>185</v>
      </c>
      <c r="Q40" s="14" t="s">
        <v>22</v>
      </c>
    </row>
    <row r="41" spans="1:19" ht="15.6" hidden="1" x14ac:dyDescent="0.35">
      <c r="A41" s="9">
        <v>40</v>
      </c>
      <c r="B41" s="9">
        <v>33</v>
      </c>
      <c r="C41" s="9" t="s">
        <v>18</v>
      </c>
      <c r="D41" s="9">
        <v>761990438</v>
      </c>
      <c r="E41" s="9" t="s">
        <v>19</v>
      </c>
      <c r="F41" s="16">
        <v>2911</v>
      </c>
      <c r="G41" s="11">
        <v>46028</v>
      </c>
      <c r="H41" s="9">
        <v>0</v>
      </c>
      <c r="I41" s="9">
        <v>1415500</v>
      </c>
      <c r="J41" s="9">
        <v>268945</v>
      </c>
      <c r="K41" s="9"/>
      <c r="L41" s="9">
        <v>1684445</v>
      </c>
      <c r="M41" s="18" t="s">
        <v>20</v>
      </c>
      <c r="N41" s="12">
        <v>3107833</v>
      </c>
      <c r="O41" s="12" t="s">
        <v>72</v>
      </c>
      <c r="P41" s="13" t="s">
        <v>41</v>
      </c>
      <c r="Q41" s="14" t="s">
        <v>22</v>
      </c>
    </row>
    <row r="42" spans="1:19" ht="15.05" hidden="1" customHeight="1" x14ac:dyDescent="0.35">
      <c r="A42" s="9">
        <v>41</v>
      </c>
      <c r="B42" s="9">
        <v>33</v>
      </c>
      <c r="C42" s="9" t="s">
        <v>18</v>
      </c>
      <c r="D42" s="9">
        <v>969219301</v>
      </c>
      <c r="E42" s="9" t="s">
        <v>109</v>
      </c>
      <c r="F42" s="16">
        <v>47459</v>
      </c>
      <c r="G42" s="11">
        <v>46024</v>
      </c>
      <c r="H42" s="9">
        <v>0</v>
      </c>
      <c r="I42" s="9">
        <v>243455</v>
      </c>
      <c r="J42" s="9">
        <v>46256</v>
      </c>
      <c r="K42" s="9"/>
      <c r="L42" s="9">
        <v>289711</v>
      </c>
      <c r="M42" s="9" t="s">
        <v>82</v>
      </c>
      <c r="N42" s="12">
        <v>3106301</v>
      </c>
      <c r="O42" s="12" t="s">
        <v>94</v>
      </c>
      <c r="P42" s="13">
        <v>195</v>
      </c>
      <c r="Q42" s="19" t="s">
        <v>83</v>
      </c>
    </row>
    <row r="43" spans="1:19" ht="15.6" hidden="1" x14ac:dyDescent="0.35">
      <c r="A43" s="9">
        <v>42</v>
      </c>
      <c r="B43" s="9">
        <v>33</v>
      </c>
      <c r="C43" s="9" t="s">
        <v>18</v>
      </c>
      <c r="D43" s="9">
        <v>965569405</v>
      </c>
      <c r="E43" s="9" t="s">
        <v>38</v>
      </c>
      <c r="F43" s="16">
        <v>14194455</v>
      </c>
      <c r="G43" s="11">
        <v>46029</v>
      </c>
      <c r="H43" s="9">
        <v>0</v>
      </c>
      <c r="I43" s="9">
        <v>35613</v>
      </c>
      <c r="J43" s="9">
        <v>6766</v>
      </c>
      <c r="K43" s="9"/>
      <c r="L43" s="9">
        <v>42379</v>
      </c>
      <c r="M43" s="9" t="s">
        <v>110</v>
      </c>
      <c r="N43" s="12">
        <v>3106803</v>
      </c>
      <c r="O43" s="12" t="s">
        <v>40</v>
      </c>
      <c r="P43" s="13" t="s">
        <v>41</v>
      </c>
      <c r="Q43" s="14" t="s">
        <v>22</v>
      </c>
    </row>
    <row r="44" spans="1:19" ht="15.6" hidden="1" x14ac:dyDescent="0.35">
      <c r="A44" s="9">
        <v>43</v>
      </c>
      <c r="B44" s="9">
        <v>33</v>
      </c>
      <c r="C44" s="9" t="s">
        <v>18</v>
      </c>
      <c r="D44" s="9">
        <v>761104365</v>
      </c>
      <c r="E44" s="9" t="s">
        <v>111</v>
      </c>
      <c r="F44" s="16">
        <v>15286</v>
      </c>
      <c r="G44" s="11">
        <v>46027</v>
      </c>
      <c r="H44" s="9">
        <v>0</v>
      </c>
      <c r="I44" s="9">
        <v>854564</v>
      </c>
      <c r="J44" s="9">
        <v>162367</v>
      </c>
      <c r="K44" s="9"/>
      <c r="L44" s="9">
        <v>1016931</v>
      </c>
      <c r="M44" s="9" t="s">
        <v>112</v>
      </c>
      <c r="N44" s="12">
        <v>3106837</v>
      </c>
      <c r="O44" s="12" t="s">
        <v>113</v>
      </c>
      <c r="P44" s="13">
        <v>1</v>
      </c>
      <c r="Q44" s="14" t="s">
        <v>22</v>
      </c>
    </row>
    <row r="45" spans="1:19" ht="15.6" hidden="1" x14ac:dyDescent="0.35">
      <c r="A45" s="9">
        <v>44</v>
      </c>
      <c r="B45" s="9">
        <v>33</v>
      </c>
      <c r="C45" s="9" t="s">
        <v>18</v>
      </c>
      <c r="D45" s="9">
        <v>965569405</v>
      </c>
      <c r="E45" s="9" t="s">
        <v>38</v>
      </c>
      <c r="F45" s="16">
        <v>14195476</v>
      </c>
      <c r="G45" s="11">
        <v>46029</v>
      </c>
      <c r="H45" s="9">
        <v>0</v>
      </c>
      <c r="I45" s="9">
        <v>23287</v>
      </c>
      <c r="J45" s="9">
        <v>4425</v>
      </c>
      <c r="K45" s="9"/>
      <c r="L45" s="9">
        <v>27712</v>
      </c>
      <c r="M45" s="9" t="s">
        <v>114</v>
      </c>
      <c r="N45" s="12">
        <v>3106803</v>
      </c>
      <c r="O45" s="12" t="s">
        <v>40</v>
      </c>
      <c r="P45" s="13" t="s">
        <v>41</v>
      </c>
      <c r="Q45" s="14" t="s">
        <v>22</v>
      </c>
    </row>
    <row r="46" spans="1:19" ht="15.6" hidden="1" x14ac:dyDescent="0.35">
      <c r="A46" s="9">
        <v>45</v>
      </c>
      <c r="B46" s="9">
        <v>33</v>
      </c>
      <c r="C46" s="9" t="s">
        <v>18</v>
      </c>
      <c r="D46" s="9">
        <v>762000180</v>
      </c>
      <c r="E46" s="9" t="s">
        <v>115</v>
      </c>
      <c r="F46" s="16">
        <v>81349</v>
      </c>
      <c r="G46" s="11">
        <v>46029</v>
      </c>
      <c r="H46" s="9">
        <v>0</v>
      </c>
      <c r="I46" s="9">
        <v>268194</v>
      </c>
      <c r="J46" s="9">
        <v>50957</v>
      </c>
      <c r="K46" s="9"/>
      <c r="L46" s="9">
        <v>319151</v>
      </c>
      <c r="M46" s="20" t="s">
        <v>116</v>
      </c>
      <c r="N46" s="12">
        <v>1106801</v>
      </c>
      <c r="O46" s="12" t="s">
        <v>37</v>
      </c>
      <c r="P46" s="13">
        <v>1</v>
      </c>
      <c r="Q46" s="14" t="s">
        <v>22</v>
      </c>
    </row>
    <row r="47" spans="1:19" ht="15.6" hidden="1" x14ac:dyDescent="0.35">
      <c r="A47" s="9">
        <v>46</v>
      </c>
      <c r="B47" s="9">
        <v>33</v>
      </c>
      <c r="C47" s="9" t="s">
        <v>18</v>
      </c>
      <c r="D47" s="9">
        <v>937370008</v>
      </c>
      <c r="E47" s="9" t="s">
        <v>117</v>
      </c>
      <c r="F47" s="16">
        <v>2831909</v>
      </c>
      <c r="G47" s="11">
        <v>46027</v>
      </c>
      <c r="H47" s="9">
        <v>0</v>
      </c>
      <c r="I47" s="9">
        <v>93361</v>
      </c>
      <c r="J47" s="9">
        <v>17738</v>
      </c>
      <c r="K47" s="9"/>
      <c r="L47" s="9">
        <v>111099</v>
      </c>
      <c r="M47" s="20" t="s">
        <v>118</v>
      </c>
      <c r="N47" s="12">
        <v>3106401</v>
      </c>
      <c r="O47" s="12" t="s">
        <v>33</v>
      </c>
      <c r="P47" s="13">
        <v>185</v>
      </c>
      <c r="Q47" s="14" t="s">
        <v>22</v>
      </c>
    </row>
    <row r="48" spans="1:19" ht="15.6" hidden="1" x14ac:dyDescent="0.35">
      <c r="A48" s="9">
        <v>47</v>
      </c>
      <c r="B48" s="9">
        <v>33</v>
      </c>
      <c r="C48" s="9" t="s">
        <v>18</v>
      </c>
      <c r="D48" s="9">
        <v>763197395</v>
      </c>
      <c r="E48" s="9" t="s">
        <v>119</v>
      </c>
      <c r="F48" s="132">
        <v>662</v>
      </c>
      <c r="G48" s="11">
        <v>46029</v>
      </c>
      <c r="H48" s="9">
        <v>0</v>
      </c>
      <c r="I48" s="9">
        <v>36505040</v>
      </c>
      <c r="J48" s="9">
        <v>6935958</v>
      </c>
      <c r="K48" s="9"/>
      <c r="L48" s="9">
        <v>43440998</v>
      </c>
      <c r="M48" s="20" t="s">
        <v>120</v>
      </c>
      <c r="N48" s="21">
        <v>1202401</v>
      </c>
      <c r="O48" s="21" t="s">
        <v>121</v>
      </c>
      <c r="P48" s="22">
        <v>0</v>
      </c>
      <c r="Q48" s="14" t="s">
        <v>22</v>
      </c>
      <c r="S48" s="23" t="s">
        <v>122</v>
      </c>
    </row>
    <row r="49" spans="1:18" ht="15.6" hidden="1" x14ac:dyDescent="0.35">
      <c r="A49" s="9">
        <v>48</v>
      </c>
      <c r="B49" s="9">
        <v>33</v>
      </c>
      <c r="C49" s="9" t="s">
        <v>18</v>
      </c>
      <c r="D49" s="9">
        <v>784089908</v>
      </c>
      <c r="E49" s="9" t="s">
        <v>101</v>
      </c>
      <c r="F49" s="16">
        <v>781599</v>
      </c>
      <c r="G49" s="11">
        <v>46029</v>
      </c>
      <c r="H49" s="9">
        <v>0</v>
      </c>
      <c r="I49" s="136">
        <v>1752865</v>
      </c>
      <c r="J49" s="9">
        <v>333044</v>
      </c>
      <c r="K49" s="9"/>
      <c r="L49" s="9">
        <v>2085909</v>
      </c>
      <c r="M49" s="20" t="s">
        <v>123</v>
      </c>
      <c r="N49" s="12">
        <v>3106301</v>
      </c>
      <c r="O49" s="12" t="s">
        <v>94</v>
      </c>
      <c r="P49" s="13">
        <v>170</v>
      </c>
      <c r="Q49" s="14" t="s">
        <v>22</v>
      </c>
    </row>
    <row r="50" spans="1:18" ht="15.6" hidden="1" x14ac:dyDescent="0.35">
      <c r="A50" s="9">
        <v>49</v>
      </c>
      <c r="B50" s="9">
        <v>33</v>
      </c>
      <c r="C50" s="9" t="s">
        <v>18</v>
      </c>
      <c r="D50" s="9">
        <v>780738200</v>
      </c>
      <c r="E50" s="9" t="s">
        <v>124</v>
      </c>
      <c r="F50" s="16">
        <v>3631</v>
      </c>
      <c r="G50" s="11">
        <v>46029</v>
      </c>
      <c r="H50" s="9">
        <v>0</v>
      </c>
      <c r="I50" s="9">
        <v>1881600</v>
      </c>
      <c r="J50" s="9">
        <v>357504</v>
      </c>
      <c r="K50" s="9"/>
      <c r="L50" s="9">
        <v>2239104</v>
      </c>
      <c r="M50" s="20" t="s">
        <v>125</v>
      </c>
      <c r="N50" s="12">
        <v>3106818</v>
      </c>
      <c r="O50" s="12" t="s">
        <v>126</v>
      </c>
      <c r="P50" s="13" t="s">
        <v>127</v>
      </c>
      <c r="Q50" s="14" t="s">
        <v>22</v>
      </c>
    </row>
    <row r="51" spans="1:18" ht="15.6" hidden="1" x14ac:dyDescent="0.35">
      <c r="A51" s="9">
        <v>50</v>
      </c>
      <c r="B51" s="9">
        <v>33</v>
      </c>
      <c r="C51" s="9" t="s">
        <v>18</v>
      </c>
      <c r="D51" s="9">
        <v>776610313</v>
      </c>
      <c r="E51" s="9" t="s">
        <v>97</v>
      </c>
      <c r="F51" s="16">
        <v>194</v>
      </c>
      <c r="G51" s="11">
        <v>46029</v>
      </c>
      <c r="H51" s="9">
        <v>0</v>
      </c>
      <c r="I51" s="9">
        <v>725760</v>
      </c>
      <c r="J51" s="9">
        <v>137894</v>
      </c>
      <c r="K51" s="9"/>
      <c r="L51" s="9">
        <v>863654</v>
      </c>
      <c r="M51" s="20" t="s">
        <v>128</v>
      </c>
      <c r="N51" s="12">
        <v>3102102</v>
      </c>
      <c r="O51" s="12" t="s">
        <v>45</v>
      </c>
      <c r="P51" s="13" t="s">
        <v>41</v>
      </c>
      <c r="Q51" s="14" t="s">
        <v>22</v>
      </c>
    </row>
    <row r="52" spans="1:18" ht="15.6" hidden="1" x14ac:dyDescent="0.35">
      <c r="A52" s="9">
        <v>51</v>
      </c>
      <c r="B52" s="9">
        <v>33</v>
      </c>
      <c r="C52" s="9" t="s">
        <v>18</v>
      </c>
      <c r="D52" s="9">
        <v>784089908</v>
      </c>
      <c r="E52" s="9" t="s">
        <v>101</v>
      </c>
      <c r="F52" s="16">
        <v>782390</v>
      </c>
      <c r="G52" s="11">
        <v>46029</v>
      </c>
      <c r="H52" s="9">
        <v>0</v>
      </c>
      <c r="I52" s="136">
        <v>2497977</v>
      </c>
      <c r="J52" s="9">
        <v>474616</v>
      </c>
      <c r="K52" s="9"/>
      <c r="L52" s="9">
        <v>2972593</v>
      </c>
      <c r="M52" s="20" t="s">
        <v>129</v>
      </c>
      <c r="N52" s="12">
        <v>3106301</v>
      </c>
      <c r="O52" s="12" t="s">
        <v>94</v>
      </c>
      <c r="P52" s="13">
        <v>170</v>
      </c>
      <c r="Q52" s="14" t="s">
        <v>22</v>
      </c>
    </row>
    <row r="53" spans="1:18" ht="15.6" hidden="1" x14ac:dyDescent="0.35">
      <c r="A53" s="9">
        <v>52</v>
      </c>
      <c r="B53" s="9">
        <v>33</v>
      </c>
      <c r="C53" s="9" t="s">
        <v>18</v>
      </c>
      <c r="D53" s="9">
        <v>967115908</v>
      </c>
      <c r="E53" s="9" t="s">
        <v>130</v>
      </c>
      <c r="F53" s="16">
        <v>6418447</v>
      </c>
      <c r="G53" s="11">
        <v>46022</v>
      </c>
      <c r="H53" s="9">
        <v>0</v>
      </c>
      <c r="I53" s="9">
        <v>17716</v>
      </c>
      <c r="J53" s="9">
        <v>3366</v>
      </c>
      <c r="K53" s="9"/>
      <c r="L53" s="9">
        <v>21082</v>
      </c>
      <c r="M53" s="9" t="s">
        <v>131</v>
      </c>
      <c r="N53" s="12">
        <v>3106305</v>
      </c>
      <c r="O53" s="12" t="s">
        <v>132</v>
      </c>
      <c r="P53" s="13">
        <v>300</v>
      </c>
      <c r="Q53" s="14" t="s">
        <v>22</v>
      </c>
    </row>
    <row r="54" spans="1:18" ht="15.6" hidden="1" x14ac:dyDescent="0.35">
      <c r="A54" s="9">
        <v>53</v>
      </c>
      <c r="B54" s="9">
        <v>33</v>
      </c>
      <c r="C54" s="9" t="s">
        <v>18</v>
      </c>
      <c r="D54" s="9">
        <v>771763448</v>
      </c>
      <c r="E54" s="9" t="s">
        <v>133</v>
      </c>
      <c r="F54" s="16">
        <v>6625</v>
      </c>
      <c r="G54" s="11">
        <v>46030</v>
      </c>
      <c r="H54" s="9">
        <v>0</v>
      </c>
      <c r="I54" s="9">
        <v>345000</v>
      </c>
      <c r="J54" s="9">
        <v>65550</v>
      </c>
      <c r="K54" s="9"/>
      <c r="L54" s="9">
        <v>410550</v>
      </c>
      <c r="M54" s="9" t="s">
        <v>134</v>
      </c>
      <c r="N54" s="24">
        <v>3102105</v>
      </c>
      <c r="O54" s="24" t="s">
        <v>51</v>
      </c>
      <c r="P54" s="25">
        <v>100</v>
      </c>
      <c r="Q54" s="14" t="s">
        <v>22</v>
      </c>
    </row>
    <row r="55" spans="1:18" ht="15.6" hidden="1" x14ac:dyDescent="0.35">
      <c r="A55" s="9">
        <v>54</v>
      </c>
      <c r="B55" s="9">
        <v>33</v>
      </c>
      <c r="C55" s="9" t="s">
        <v>18</v>
      </c>
      <c r="D55" s="9">
        <v>766695086</v>
      </c>
      <c r="E55" s="9" t="s">
        <v>135</v>
      </c>
      <c r="F55" s="16">
        <v>63626</v>
      </c>
      <c r="G55" s="11">
        <v>46031</v>
      </c>
      <c r="H55" s="9">
        <v>0</v>
      </c>
      <c r="I55" s="9">
        <v>4684604</v>
      </c>
      <c r="J55" s="9">
        <v>890075</v>
      </c>
      <c r="K55" s="9"/>
      <c r="L55" s="9">
        <v>5574679</v>
      </c>
      <c r="M55" s="9" t="s">
        <v>136</v>
      </c>
      <c r="N55" s="12">
        <v>3102105</v>
      </c>
      <c r="O55" s="12" t="s">
        <v>51</v>
      </c>
      <c r="P55" s="13">
        <v>100</v>
      </c>
      <c r="Q55" s="14" t="s">
        <v>22</v>
      </c>
    </row>
    <row r="56" spans="1:18" ht="15.6" hidden="1" x14ac:dyDescent="0.35">
      <c r="A56" s="9">
        <v>55</v>
      </c>
      <c r="B56" s="9">
        <v>33</v>
      </c>
      <c r="C56" s="9" t="s">
        <v>18</v>
      </c>
      <c r="D56" s="9">
        <v>764496671</v>
      </c>
      <c r="E56" s="9" t="s">
        <v>137</v>
      </c>
      <c r="F56" s="16">
        <v>20550</v>
      </c>
      <c r="G56" s="11">
        <v>46034</v>
      </c>
      <c r="H56" s="9">
        <v>0</v>
      </c>
      <c r="I56" s="9">
        <v>198680</v>
      </c>
      <c r="J56" s="9">
        <v>37749</v>
      </c>
      <c r="K56" s="9"/>
      <c r="L56" s="9">
        <v>236429</v>
      </c>
      <c r="M56" s="9" t="s">
        <v>138</v>
      </c>
      <c r="N56" s="12">
        <v>3106818</v>
      </c>
      <c r="O56" s="12" t="s">
        <v>126</v>
      </c>
      <c r="P56" s="13">
        <v>100</v>
      </c>
      <c r="Q56" s="14" t="s">
        <v>22</v>
      </c>
      <c r="R56" s="17"/>
    </row>
    <row r="57" spans="1:18" ht="15.6" hidden="1" x14ac:dyDescent="0.35">
      <c r="A57" s="9">
        <v>56</v>
      </c>
      <c r="B57" s="9">
        <v>33</v>
      </c>
      <c r="C57" s="9" t="s">
        <v>18</v>
      </c>
      <c r="D57" s="9">
        <v>969219301</v>
      </c>
      <c r="E57" s="9" t="s">
        <v>109</v>
      </c>
      <c r="F57" s="16">
        <v>47645</v>
      </c>
      <c r="G57" s="11">
        <v>46031</v>
      </c>
      <c r="H57" s="9">
        <v>0</v>
      </c>
      <c r="I57" s="9">
        <v>877400</v>
      </c>
      <c r="J57" s="9">
        <v>166706</v>
      </c>
      <c r="K57" s="9"/>
      <c r="L57" s="9">
        <v>1044106</v>
      </c>
      <c r="M57" s="9" t="s">
        <v>82</v>
      </c>
      <c r="N57" s="12">
        <v>3106301</v>
      </c>
      <c r="O57" s="12" t="s">
        <v>94</v>
      </c>
      <c r="P57" s="13">
        <v>195</v>
      </c>
      <c r="Q57" s="19" t="s">
        <v>83</v>
      </c>
      <c r="R57" s="17"/>
    </row>
    <row r="58" spans="1:18" ht="15.6" hidden="1" x14ac:dyDescent="0.35">
      <c r="A58" s="9">
        <v>57</v>
      </c>
      <c r="B58" s="9">
        <v>33</v>
      </c>
      <c r="C58" s="9" t="s">
        <v>18</v>
      </c>
      <c r="D58" s="9">
        <v>965569405</v>
      </c>
      <c r="E58" s="9" t="s">
        <v>38</v>
      </c>
      <c r="F58" s="16">
        <v>14206076</v>
      </c>
      <c r="G58" s="11">
        <v>46036</v>
      </c>
      <c r="H58" s="9">
        <v>0</v>
      </c>
      <c r="I58" s="9">
        <v>21205</v>
      </c>
      <c r="J58" s="9">
        <v>4029</v>
      </c>
      <c r="K58" s="9"/>
      <c r="L58" s="9">
        <v>25234</v>
      </c>
      <c r="M58" s="9" t="s">
        <v>139</v>
      </c>
      <c r="N58" s="12">
        <v>3106803</v>
      </c>
      <c r="O58" s="12" t="s">
        <v>40</v>
      </c>
      <c r="P58" s="13" t="s">
        <v>41</v>
      </c>
      <c r="Q58" s="14" t="s">
        <v>22</v>
      </c>
      <c r="R58" s="17"/>
    </row>
    <row r="59" spans="1:18" ht="15.6" hidden="1" x14ac:dyDescent="0.35">
      <c r="A59" s="9">
        <v>58</v>
      </c>
      <c r="B59" s="9">
        <v>33</v>
      </c>
      <c r="C59" s="9" t="s">
        <v>18</v>
      </c>
      <c r="D59" s="9">
        <v>762000180</v>
      </c>
      <c r="E59" s="9" t="s">
        <v>115</v>
      </c>
      <c r="F59" s="16">
        <v>81826</v>
      </c>
      <c r="G59" s="11">
        <v>46035</v>
      </c>
      <c r="H59" s="9">
        <v>0</v>
      </c>
      <c r="I59" s="9">
        <v>474466</v>
      </c>
      <c r="J59" s="9">
        <v>90149</v>
      </c>
      <c r="K59" s="9"/>
      <c r="L59" s="9">
        <v>564615</v>
      </c>
      <c r="M59" s="9" t="s">
        <v>116</v>
      </c>
      <c r="N59" s="12">
        <v>1106801</v>
      </c>
      <c r="O59" s="12" t="s">
        <v>37</v>
      </c>
      <c r="P59" s="13">
        <v>1</v>
      </c>
      <c r="Q59" s="14" t="s">
        <v>22</v>
      </c>
      <c r="R59" s="17"/>
    </row>
    <row r="60" spans="1:18" ht="15.6" hidden="1" x14ac:dyDescent="0.35">
      <c r="A60" s="9">
        <v>59</v>
      </c>
      <c r="B60" s="9">
        <v>33</v>
      </c>
      <c r="C60" s="9" t="s">
        <v>18</v>
      </c>
      <c r="D60" s="9">
        <v>965569405</v>
      </c>
      <c r="E60" s="9" t="s">
        <v>38</v>
      </c>
      <c r="F60" s="16">
        <v>14206610</v>
      </c>
      <c r="G60" s="11">
        <v>46036</v>
      </c>
      <c r="H60" s="9">
        <v>0</v>
      </c>
      <c r="I60" s="9">
        <v>23314</v>
      </c>
      <c r="J60" s="9">
        <v>4430</v>
      </c>
      <c r="K60" s="9"/>
      <c r="L60" s="9">
        <v>27744</v>
      </c>
      <c r="M60" s="9" t="s">
        <v>140</v>
      </c>
      <c r="N60" s="12">
        <v>3106803</v>
      </c>
      <c r="O60" s="12" t="s">
        <v>40</v>
      </c>
      <c r="P60" s="13" t="s">
        <v>41</v>
      </c>
      <c r="Q60" s="14" t="s">
        <v>22</v>
      </c>
      <c r="R60" s="17"/>
    </row>
    <row r="61" spans="1:18" ht="15.6" hidden="1" x14ac:dyDescent="0.35">
      <c r="A61" s="9">
        <v>60</v>
      </c>
      <c r="B61" s="9">
        <v>33</v>
      </c>
      <c r="C61" s="9" t="s">
        <v>18</v>
      </c>
      <c r="D61" s="9">
        <v>969088703</v>
      </c>
      <c r="E61" s="9" t="s">
        <v>141</v>
      </c>
      <c r="F61" s="16">
        <v>554105</v>
      </c>
      <c r="G61" s="11">
        <v>46035</v>
      </c>
      <c r="H61" s="9">
        <v>0</v>
      </c>
      <c r="I61" s="9">
        <v>27457</v>
      </c>
      <c r="J61" s="9">
        <v>5217</v>
      </c>
      <c r="K61" s="9"/>
      <c r="L61" s="9">
        <v>32674</v>
      </c>
      <c r="M61" s="9" t="s">
        <v>142</v>
      </c>
      <c r="N61" s="12">
        <v>1106801</v>
      </c>
      <c r="O61" s="12" t="s">
        <v>37</v>
      </c>
      <c r="P61" s="13">
        <v>1</v>
      </c>
      <c r="Q61" s="14" t="s">
        <v>22</v>
      </c>
      <c r="R61" s="17"/>
    </row>
    <row r="62" spans="1:18" ht="15.6" hidden="1" x14ac:dyDescent="0.35">
      <c r="A62" s="9">
        <v>61</v>
      </c>
      <c r="B62" s="9">
        <v>33</v>
      </c>
      <c r="C62" s="9" t="s">
        <v>18</v>
      </c>
      <c r="D62" s="9">
        <v>965569405</v>
      </c>
      <c r="E62" s="9" t="s">
        <v>38</v>
      </c>
      <c r="F62" s="16">
        <v>14207529</v>
      </c>
      <c r="G62" s="11">
        <v>46036</v>
      </c>
      <c r="H62" s="9">
        <v>0</v>
      </c>
      <c r="I62" s="9">
        <v>36433</v>
      </c>
      <c r="J62" s="9">
        <v>6922</v>
      </c>
      <c r="K62" s="9"/>
      <c r="L62" s="9">
        <v>43355</v>
      </c>
      <c r="M62" s="9" t="s">
        <v>143</v>
      </c>
      <c r="N62" s="12">
        <v>3106803</v>
      </c>
      <c r="O62" s="12" t="s">
        <v>40</v>
      </c>
      <c r="P62" s="13" t="s">
        <v>41</v>
      </c>
      <c r="Q62" s="14" t="s">
        <v>22</v>
      </c>
      <c r="R62" s="17"/>
    </row>
    <row r="63" spans="1:18" ht="15.6" hidden="1" x14ac:dyDescent="0.35">
      <c r="A63" s="9">
        <v>62</v>
      </c>
      <c r="B63" s="9">
        <v>33</v>
      </c>
      <c r="C63" s="9" t="s">
        <v>18</v>
      </c>
      <c r="D63" s="9">
        <v>768355940</v>
      </c>
      <c r="E63" s="9" t="s">
        <v>144</v>
      </c>
      <c r="F63" s="16">
        <v>304</v>
      </c>
      <c r="G63" s="11">
        <v>46036</v>
      </c>
      <c r="H63" s="9">
        <v>0</v>
      </c>
      <c r="I63" s="9">
        <v>319960</v>
      </c>
      <c r="J63" s="9">
        <v>60792</v>
      </c>
      <c r="K63" s="9"/>
      <c r="L63" s="9">
        <v>380752</v>
      </c>
      <c r="M63" s="9" t="s">
        <v>145</v>
      </c>
      <c r="N63" s="12">
        <v>3106601</v>
      </c>
      <c r="O63" s="12" t="s">
        <v>75</v>
      </c>
      <c r="P63" s="13">
        <v>300</v>
      </c>
      <c r="Q63" s="14" t="s">
        <v>22</v>
      </c>
      <c r="R63" s="17"/>
    </row>
    <row r="64" spans="1:18" ht="15.6" hidden="1" x14ac:dyDescent="0.35">
      <c r="A64" s="9">
        <v>63</v>
      </c>
      <c r="B64" s="9">
        <v>33</v>
      </c>
      <c r="C64" s="9" t="s">
        <v>18</v>
      </c>
      <c r="D64" s="9">
        <v>965569405</v>
      </c>
      <c r="E64" s="9" t="s">
        <v>38</v>
      </c>
      <c r="F64" s="16">
        <v>14209326</v>
      </c>
      <c r="G64" s="11">
        <v>46037</v>
      </c>
      <c r="H64" s="9">
        <v>0</v>
      </c>
      <c r="I64" s="9">
        <v>82908</v>
      </c>
      <c r="J64" s="9">
        <v>15753</v>
      </c>
      <c r="K64" s="9"/>
      <c r="L64" s="9">
        <v>98661</v>
      </c>
      <c r="M64" s="9" t="s">
        <v>146</v>
      </c>
      <c r="N64" s="12">
        <v>3106803</v>
      </c>
      <c r="O64" s="12" t="s">
        <v>40</v>
      </c>
      <c r="P64" s="13" t="s">
        <v>41</v>
      </c>
      <c r="Q64" s="14" t="s">
        <v>22</v>
      </c>
      <c r="R64" s="17"/>
    </row>
    <row r="65" spans="1:19" ht="15.6" hidden="1" x14ac:dyDescent="0.35">
      <c r="A65" s="9">
        <v>64</v>
      </c>
      <c r="B65" s="9">
        <v>33</v>
      </c>
      <c r="C65" s="9" t="s">
        <v>18</v>
      </c>
      <c r="D65" s="9" t="s">
        <v>106</v>
      </c>
      <c r="E65" s="9" t="s">
        <v>107</v>
      </c>
      <c r="F65" s="16">
        <v>180</v>
      </c>
      <c r="G65" s="11">
        <v>46036</v>
      </c>
      <c r="H65" s="9">
        <v>0</v>
      </c>
      <c r="I65" s="9">
        <v>1716000</v>
      </c>
      <c r="J65" s="9">
        <v>326040</v>
      </c>
      <c r="K65" s="9"/>
      <c r="L65" s="9">
        <v>2042040</v>
      </c>
      <c r="M65" s="9" t="s">
        <v>108</v>
      </c>
      <c r="N65" s="12">
        <v>3106601</v>
      </c>
      <c r="O65" s="12" t="s">
        <v>75</v>
      </c>
      <c r="P65" s="13">
        <v>185</v>
      </c>
      <c r="Q65" s="14" t="s">
        <v>22</v>
      </c>
      <c r="R65" s="17"/>
    </row>
    <row r="66" spans="1:19" ht="15.6" hidden="1" x14ac:dyDescent="0.35">
      <c r="A66" s="9">
        <v>65</v>
      </c>
      <c r="B66" s="9">
        <v>33</v>
      </c>
      <c r="C66" s="9" t="s">
        <v>18</v>
      </c>
      <c r="D66" s="9">
        <v>968069802</v>
      </c>
      <c r="E66" s="9" t="s">
        <v>147</v>
      </c>
      <c r="F66" s="16">
        <v>52725477</v>
      </c>
      <c r="G66" s="11">
        <v>46037</v>
      </c>
      <c r="H66" s="9">
        <v>0</v>
      </c>
      <c r="I66" s="9">
        <v>84354</v>
      </c>
      <c r="J66" s="9">
        <v>16027</v>
      </c>
      <c r="K66" s="9"/>
      <c r="L66" s="9">
        <v>100381</v>
      </c>
      <c r="M66" s="18" t="s">
        <v>148</v>
      </c>
      <c r="N66" s="12">
        <v>3106401</v>
      </c>
      <c r="O66" s="12" t="s">
        <v>33</v>
      </c>
      <c r="P66" s="13" t="s">
        <v>127</v>
      </c>
      <c r="Q66" s="14" t="s">
        <v>22</v>
      </c>
      <c r="R66" s="17"/>
    </row>
    <row r="67" spans="1:19" ht="15.6" hidden="1" x14ac:dyDescent="0.35">
      <c r="A67" s="9">
        <v>66</v>
      </c>
      <c r="B67" s="9">
        <v>33</v>
      </c>
      <c r="C67" s="9" t="s">
        <v>18</v>
      </c>
      <c r="D67" s="9">
        <v>966536608</v>
      </c>
      <c r="E67" s="9" t="s">
        <v>149</v>
      </c>
      <c r="F67" s="16">
        <v>132257</v>
      </c>
      <c r="G67" s="11">
        <v>46036</v>
      </c>
      <c r="H67" s="9">
        <v>944814</v>
      </c>
      <c r="I67" s="9">
        <v>7196567</v>
      </c>
      <c r="J67" s="9">
        <v>1367348</v>
      </c>
      <c r="K67" s="9"/>
      <c r="L67" s="9">
        <v>9508729</v>
      </c>
      <c r="M67" s="9" t="s">
        <v>150</v>
      </c>
      <c r="N67" s="12">
        <v>3106301</v>
      </c>
      <c r="O67" s="12" t="s">
        <v>94</v>
      </c>
      <c r="P67" s="13">
        <v>150</v>
      </c>
      <c r="Q67" s="14" t="s">
        <v>22</v>
      </c>
      <c r="R67" s="17"/>
    </row>
    <row r="68" spans="1:19" ht="15.6" hidden="1" x14ac:dyDescent="0.35">
      <c r="A68" s="9">
        <v>67</v>
      </c>
      <c r="B68" s="9">
        <v>33</v>
      </c>
      <c r="C68" s="9" t="s">
        <v>18</v>
      </c>
      <c r="D68" s="9">
        <v>966536500</v>
      </c>
      <c r="E68" s="9" t="s">
        <v>151</v>
      </c>
      <c r="F68" s="16">
        <v>181419</v>
      </c>
      <c r="G68" s="11">
        <v>46036</v>
      </c>
      <c r="H68" s="9">
        <v>688490</v>
      </c>
      <c r="I68" s="9">
        <v>6471675</v>
      </c>
      <c r="J68" s="9">
        <v>1229618</v>
      </c>
      <c r="K68" s="9"/>
      <c r="L68" s="9">
        <v>8389783</v>
      </c>
      <c r="M68" s="9" t="s">
        <v>152</v>
      </c>
      <c r="N68" s="12">
        <v>3106301</v>
      </c>
      <c r="O68" s="12" t="s">
        <v>94</v>
      </c>
      <c r="P68" s="13">
        <v>200</v>
      </c>
      <c r="Q68" s="14" t="s">
        <v>22</v>
      </c>
      <c r="R68" s="17"/>
    </row>
    <row r="69" spans="1:19" ht="15.6" hidden="1" x14ac:dyDescent="0.35">
      <c r="A69" s="9">
        <v>68</v>
      </c>
      <c r="B69" s="9">
        <v>33</v>
      </c>
      <c r="C69" s="9" t="s">
        <v>18</v>
      </c>
      <c r="D69" s="9">
        <v>966536500</v>
      </c>
      <c r="E69" s="9" t="s">
        <v>151</v>
      </c>
      <c r="F69" s="16">
        <v>181428</v>
      </c>
      <c r="G69" s="11">
        <v>46036</v>
      </c>
      <c r="H69" s="9">
        <v>514795</v>
      </c>
      <c r="I69" s="9">
        <v>7803704</v>
      </c>
      <c r="J69" s="9">
        <v>1482704</v>
      </c>
      <c r="K69" s="9"/>
      <c r="L69" s="9">
        <v>9801203</v>
      </c>
      <c r="M69" s="9" t="s">
        <v>153</v>
      </c>
      <c r="N69" s="12">
        <v>3106301</v>
      </c>
      <c r="O69" s="12" t="s">
        <v>94</v>
      </c>
      <c r="P69" s="13">
        <v>210</v>
      </c>
      <c r="Q69" s="14" t="s">
        <v>22</v>
      </c>
      <c r="R69" s="17"/>
    </row>
    <row r="70" spans="1:19" ht="15.6" hidden="1" x14ac:dyDescent="0.35">
      <c r="A70" s="9">
        <v>69</v>
      </c>
      <c r="B70" s="9">
        <v>33</v>
      </c>
      <c r="C70" s="9" t="s">
        <v>18</v>
      </c>
      <c r="D70" s="9">
        <v>966536500</v>
      </c>
      <c r="E70" s="9" t="s">
        <v>151</v>
      </c>
      <c r="F70" s="16">
        <v>182661</v>
      </c>
      <c r="G70" s="11">
        <v>46036</v>
      </c>
      <c r="H70" s="9">
        <v>994840</v>
      </c>
      <c r="I70" s="9">
        <v>7059872</v>
      </c>
      <c r="J70" s="9">
        <v>1341376</v>
      </c>
      <c r="K70" s="9"/>
      <c r="L70" s="9">
        <v>9396088</v>
      </c>
      <c r="M70" s="18" t="s">
        <v>154</v>
      </c>
      <c r="N70" s="12">
        <v>3106301</v>
      </c>
      <c r="O70" s="12" t="s">
        <v>94</v>
      </c>
      <c r="P70" s="13">
        <v>130</v>
      </c>
      <c r="Q70" s="14" t="s">
        <v>22</v>
      </c>
      <c r="R70" s="17"/>
    </row>
    <row r="71" spans="1:19" ht="15.6" hidden="1" x14ac:dyDescent="0.35">
      <c r="A71" s="9">
        <v>70</v>
      </c>
      <c r="B71" s="9">
        <v>33</v>
      </c>
      <c r="C71" s="9" t="s">
        <v>18</v>
      </c>
      <c r="D71" s="9">
        <v>968056905</v>
      </c>
      <c r="E71" s="9" t="s">
        <v>155</v>
      </c>
      <c r="F71" s="16">
        <v>368298</v>
      </c>
      <c r="G71" s="11">
        <v>46038</v>
      </c>
      <c r="H71" s="9">
        <v>0</v>
      </c>
      <c r="I71" s="9">
        <v>55000</v>
      </c>
      <c r="J71" s="9">
        <v>10450</v>
      </c>
      <c r="K71" s="9"/>
      <c r="L71" s="9">
        <v>65450</v>
      </c>
      <c r="M71" s="9" t="s">
        <v>156</v>
      </c>
      <c r="N71" s="12">
        <v>1106801</v>
      </c>
      <c r="O71" s="12" t="s">
        <v>37</v>
      </c>
      <c r="P71" s="13">
        <v>1</v>
      </c>
      <c r="Q71" s="14" t="s">
        <v>22</v>
      </c>
      <c r="R71" s="17"/>
    </row>
    <row r="72" spans="1:19" ht="15.6" hidden="1" x14ac:dyDescent="0.35">
      <c r="A72" s="9">
        <v>71</v>
      </c>
      <c r="B72" s="9">
        <v>33</v>
      </c>
      <c r="C72" s="9" t="s">
        <v>18</v>
      </c>
      <c r="D72" s="9">
        <v>833827006</v>
      </c>
      <c r="E72" s="9" t="s">
        <v>49</v>
      </c>
      <c r="F72" s="16">
        <v>2302973</v>
      </c>
      <c r="G72" s="11">
        <v>46035</v>
      </c>
      <c r="H72" s="9">
        <v>0</v>
      </c>
      <c r="I72" s="9">
        <v>86318</v>
      </c>
      <c r="J72" s="9">
        <v>16400</v>
      </c>
      <c r="K72" s="9"/>
      <c r="L72" s="9">
        <v>102718</v>
      </c>
      <c r="M72" s="9" t="s">
        <v>82</v>
      </c>
      <c r="N72" s="12">
        <v>3102108</v>
      </c>
      <c r="O72" s="12" t="s">
        <v>48</v>
      </c>
      <c r="P72" s="13">
        <v>404</v>
      </c>
      <c r="Q72" s="19" t="s">
        <v>83</v>
      </c>
      <c r="R72" s="17"/>
    </row>
    <row r="73" spans="1:19" ht="15.6" hidden="1" x14ac:dyDescent="0.35">
      <c r="A73" s="9">
        <v>72</v>
      </c>
      <c r="B73" s="9">
        <v>33</v>
      </c>
      <c r="C73" s="9" t="s">
        <v>18</v>
      </c>
      <c r="D73" s="9">
        <v>833827006</v>
      </c>
      <c r="E73" s="9" t="s">
        <v>49</v>
      </c>
      <c r="F73" s="16">
        <v>2302974</v>
      </c>
      <c r="G73" s="11">
        <v>46035</v>
      </c>
      <c r="H73" s="9">
        <v>0</v>
      </c>
      <c r="I73" s="9">
        <v>25143</v>
      </c>
      <c r="J73" s="9">
        <v>4777</v>
      </c>
      <c r="K73" s="9"/>
      <c r="L73" s="9">
        <v>29920</v>
      </c>
      <c r="M73" s="9" t="s">
        <v>157</v>
      </c>
      <c r="N73" s="24">
        <v>3102105</v>
      </c>
      <c r="O73" s="24" t="s">
        <v>51</v>
      </c>
      <c r="P73" s="13">
        <v>404</v>
      </c>
      <c r="Q73" s="14" t="s">
        <v>22</v>
      </c>
      <c r="R73" s="17"/>
    </row>
    <row r="74" spans="1:19" ht="15.6" hidden="1" x14ac:dyDescent="0.35">
      <c r="A74" s="9">
        <v>73</v>
      </c>
      <c r="B74" s="9">
        <v>33</v>
      </c>
      <c r="C74" s="9" t="s">
        <v>18</v>
      </c>
      <c r="D74" s="9">
        <v>833827006</v>
      </c>
      <c r="E74" s="9" t="s">
        <v>49</v>
      </c>
      <c r="F74" s="16">
        <v>2289752</v>
      </c>
      <c r="G74" s="11">
        <v>46038</v>
      </c>
      <c r="H74" s="9">
        <v>0</v>
      </c>
      <c r="I74" s="9">
        <v>21129</v>
      </c>
      <c r="J74" s="9">
        <v>4015</v>
      </c>
      <c r="K74" s="9"/>
      <c r="L74" s="9">
        <v>25144</v>
      </c>
      <c r="M74" s="9" t="s">
        <v>82</v>
      </c>
      <c r="N74" s="12">
        <v>3102108</v>
      </c>
      <c r="O74" s="12" t="s">
        <v>48</v>
      </c>
      <c r="P74" s="13">
        <v>404</v>
      </c>
      <c r="Q74" s="19" t="s">
        <v>83</v>
      </c>
      <c r="R74" s="17"/>
    </row>
    <row r="75" spans="1:19" ht="15.6" hidden="1" x14ac:dyDescent="0.35">
      <c r="A75" s="9">
        <v>74</v>
      </c>
      <c r="B75" s="9">
        <v>33</v>
      </c>
      <c r="C75" s="9" t="s">
        <v>18</v>
      </c>
      <c r="D75" s="9">
        <v>760965189</v>
      </c>
      <c r="E75" s="9" t="s">
        <v>158</v>
      </c>
      <c r="F75" s="16">
        <v>5335</v>
      </c>
      <c r="G75" s="11">
        <v>46038</v>
      </c>
      <c r="H75" s="9">
        <v>0</v>
      </c>
      <c r="I75" s="9">
        <v>26000</v>
      </c>
      <c r="J75" s="9">
        <v>4940</v>
      </c>
      <c r="K75" s="9"/>
      <c r="L75" s="9">
        <v>30940</v>
      </c>
      <c r="M75" s="9" t="s">
        <v>159</v>
      </c>
      <c r="N75" s="12">
        <v>3107833</v>
      </c>
      <c r="O75" s="12" t="s">
        <v>72</v>
      </c>
      <c r="P75" s="13" t="s">
        <v>41</v>
      </c>
      <c r="Q75" s="14" t="s">
        <v>22</v>
      </c>
      <c r="R75" s="17"/>
    </row>
    <row r="76" spans="1:19" ht="15.6" hidden="1" x14ac:dyDescent="0.35">
      <c r="A76" s="9">
        <v>75</v>
      </c>
      <c r="B76" s="9">
        <v>33</v>
      </c>
      <c r="C76" s="9" t="s">
        <v>18</v>
      </c>
      <c r="D76" s="9">
        <v>775451475</v>
      </c>
      <c r="E76" s="9" t="s">
        <v>160</v>
      </c>
      <c r="F76" s="132">
        <v>91</v>
      </c>
      <c r="G76" s="11">
        <v>46040</v>
      </c>
      <c r="H76" s="9">
        <v>0</v>
      </c>
      <c r="I76" s="9">
        <v>1252736</v>
      </c>
      <c r="J76" s="9">
        <v>238020</v>
      </c>
      <c r="K76" s="9"/>
      <c r="L76" s="9">
        <v>1490756</v>
      </c>
      <c r="M76" s="9" t="s">
        <v>161</v>
      </c>
      <c r="N76" s="21">
        <v>1202401</v>
      </c>
      <c r="O76" s="21" t="s">
        <v>121</v>
      </c>
      <c r="P76" s="22">
        <v>0</v>
      </c>
      <c r="Q76" s="14" t="s">
        <v>22</v>
      </c>
      <c r="R76" s="17"/>
      <c r="S76" s="23" t="s">
        <v>122</v>
      </c>
    </row>
    <row r="77" spans="1:19" ht="15.6" hidden="1" x14ac:dyDescent="0.35">
      <c r="A77" s="9">
        <v>76</v>
      </c>
      <c r="B77" s="9">
        <v>33</v>
      </c>
      <c r="C77" s="9" t="s">
        <v>18</v>
      </c>
      <c r="D77" s="9" t="s">
        <v>162</v>
      </c>
      <c r="E77" s="9" t="s">
        <v>163</v>
      </c>
      <c r="F77" s="16">
        <v>40065</v>
      </c>
      <c r="G77" s="11">
        <v>46041</v>
      </c>
      <c r="H77" s="9">
        <v>0</v>
      </c>
      <c r="I77" s="9">
        <v>18862</v>
      </c>
      <c r="J77" s="9">
        <v>3584</v>
      </c>
      <c r="K77" s="9"/>
      <c r="L77" s="9">
        <v>22446</v>
      </c>
      <c r="M77" s="9" t="s">
        <v>82</v>
      </c>
      <c r="N77" s="12">
        <v>3106305</v>
      </c>
      <c r="O77" s="12" t="s">
        <v>132</v>
      </c>
      <c r="P77" s="13">
        <v>300</v>
      </c>
      <c r="Q77" s="19" t="s">
        <v>83</v>
      </c>
      <c r="R77" s="17"/>
    </row>
    <row r="78" spans="1:19" ht="15.6" hidden="1" x14ac:dyDescent="0.35">
      <c r="A78" s="9">
        <v>77</v>
      </c>
      <c r="B78" s="9">
        <v>33</v>
      </c>
      <c r="C78" s="9" t="s">
        <v>18</v>
      </c>
      <c r="D78" s="9">
        <v>768657696</v>
      </c>
      <c r="E78" s="9" t="s">
        <v>164</v>
      </c>
      <c r="F78" s="16">
        <v>7944</v>
      </c>
      <c r="G78" s="11">
        <v>46041</v>
      </c>
      <c r="H78" s="9">
        <v>0</v>
      </c>
      <c r="I78" s="9">
        <v>11247</v>
      </c>
      <c r="J78" s="9">
        <v>2137</v>
      </c>
      <c r="K78" s="9"/>
      <c r="L78" s="9">
        <v>13384</v>
      </c>
      <c r="M78" s="9" t="s">
        <v>165</v>
      </c>
      <c r="N78" s="12">
        <v>3106305</v>
      </c>
      <c r="O78" s="12" t="s">
        <v>132</v>
      </c>
      <c r="P78" s="13">
        <v>300</v>
      </c>
      <c r="Q78" s="14" t="s">
        <v>22</v>
      </c>
      <c r="R78" s="17"/>
    </row>
    <row r="79" spans="1:19" ht="15.6" hidden="1" x14ac:dyDescent="0.35">
      <c r="A79" s="9">
        <v>78</v>
      </c>
      <c r="B79" s="9">
        <v>33</v>
      </c>
      <c r="C79" s="9" t="s">
        <v>18</v>
      </c>
      <c r="D79" s="9">
        <v>764244400</v>
      </c>
      <c r="E79" s="9" t="s">
        <v>166</v>
      </c>
      <c r="F79" s="132">
        <v>13408</v>
      </c>
      <c r="G79" s="11">
        <v>46041</v>
      </c>
      <c r="H79" s="9">
        <v>0</v>
      </c>
      <c r="I79" s="9">
        <v>5187174</v>
      </c>
      <c r="J79" s="9">
        <v>985563</v>
      </c>
      <c r="K79" s="9"/>
      <c r="L79" s="9">
        <v>6172737</v>
      </c>
      <c r="M79" s="9" t="s">
        <v>82</v>
      </c>
      <c r="N79" s="21">
        <v>1202402</v>
      </c>
      <c r="O79" s="21" t="s">
        <v>167</v>
      </c>
      <c r="P79" s="22">
        <v>0</v>
      </c>
      <c r="Q79" s="19" t="s">
        <v>83</v>
      </c>
      <c r="R79" s="17"/>
      <c r="S79" s="23" t="s">
        <v>122</v>
      </c>
    </row>
    <row r="80" spans="1:19" ht="15.6" hidden="1" x14ac:dyDescent="0.35">
      <c r="A80" s="9">
        <v>79</v>
      </c>
      <c r="B80" s="9">
        <v>33</v>
      </c>
      <c r="C80" s="9" t="s">
        <v>18</v>
      </c>
      <c r="D80" s="9">
        <v>992250003</v>
      </c>
      <c r="E80" s="9" t="s">
        <v>168</v>
      </c>
      <c r="F80" s="16">
        <v>3973014</v>
      </c>
      <c r="G80" s="11">
        <v>46041</v>
      </c>
      <c r="H80" s="9">
        <v>0</v>
      </c>
      <c r="I80" s="9">
        <v>309353</v>
      </c>
      <c r="J80" s="9">
        <v>58777</v>
      </c>
      <c r="K80" s="9"/>
      <c r="L80" s="9">
        <v>368130</v>
      </c>
      <c r="M80" s="9" t="s">
        <v>169</v>
      </c>
      <c r="N80" s="12">
        <v>1106801</v>
      </c>
      <c r="O80" s="12" t="s">
        <v>37</v>
      </c>
      <c r="P80" s="13">
        <v>1</v>
      </c>
      <c r="Q80" s="14" t="s">
        <v>22</v>
      </c>
      <c r="R80" s="17"/>
    </row>
    <row r="81" spans="1:18" ht="15.6" hidden="1" x14ac:dyDescent="0.35">
      <c r="A81" s="9">
        <v>80</v>
      </c>
      <c r="B81" s="9">
        <v>33</v>
      </c>
      <c r="C81" s="9" t="s">
        <v>18</v>
      </c>
      <c r="D81" s="9" t="s">
        <v>170</v>
      </c>
      <c r="E81" s="9" t="s">
        <v>171</v>
      </c>
      <c r="F81" s="16">
        <v>4167658</v>
      </c>
      <c r="G81" s="11">
        <v>46041</v>
      </c>
      <c r="H81" s="9">
        <v>0</v>
      </c>
      <c r="I81" s="9">
        <v>15336</v>
      </c>
      <c r="J81" s="9">
        <v>2914</v>
      </c>
      <c r="K81" s="9"/>
      <c r="L81" s="9">
        <v>18250</v>
      </c>
      <c r="M81" s="9" t="s">
        <v>172</v>
      </c>
      <c r="N81" s="12">
        <v>1106801</v>
      </c>
      <c r="O81" s="12" t="s">
        <v>37</v>
      </c>
      <c r="P81" s="13">
        <v>1</v>
      </c>
      <c r="Q81" s="14" t="s">
        <v>22</v>
      </c>
      <c r="R81" s="17"/>
    </row>
    <row r="82" spans="1:18" ht="15.6" hidden="1" x14ac:dyDescent="0.35">
      <c r="A82" s="9">
        <v>81</v>
      </c>
      <c r="B82" s="9">
        <v>33</v>
      </c>
      <c r="C82" s="9" t="s">
        <v>18</v>
      </c>
      <c r="D82" s="9">
        <v>833827006</v>
      </c>
      <c r="E82" s="9" t="s">
        <v>173</v>
      </c>
      <c r="F82" s="16">
        <v>2226374</v>
      </c>
      <c r="G82" s="11">
        <v>46042</v>
      </c>
      <c r="H82" s="9">
        <v>0</v>
      </c>
      <c r="I82" s="9">
        <v>18471</v>
      </c>
      <c r="J82" s="9">
        <v>3509</v>
      </c>
      <c r="K82" s="9"/>
      <c r="L82" s="9">
        <v>21980</v>
      </c>
      <c r="M82" s="9" t="s">
        <v>174</v>
      </c>
      <c r="N82" s="12">
        <v>3106116</v>
      </c>
      <c r="O82" s="12" t="s">
        <v>175</v>
      </c>
      <c r="P82" s="13">
        <v>200</v>
      </c>
      <c r="Q82" s="14" t="s">
        <v>22</v>
      </c>
      <c r="R82" s="17"/>
    </row>
    <row r="83" spans="1:18" ht="15.6" hidden="1" x14ac:dyDescent="0.35">
      <c r="A83" s="9">
        <v>82</v>
      </c>
      <c r="B83" s="9">
        <v>33</v>
      </c>
      <c r="C83" s="9" t="s">
        <v>18</v>
      </c>
      <c r="D83" s="9" t="s">
        <v>58</v>
      </c>
      <c r="E83" s="9" t="s">
        <v>59</v>
      </c>
      <c r="F83" s="16">
        <v>54413475</v>
      </c>
      <c r="G83" s="11">
        <v>46042</v>
      </c>
      <c r="H83" s="9">
        <v>0</v>
      </c>
      <c r="I83" s="9">
        <v>118191</v>
      </c>
      <c r="J83" s="9">
        <v>22456</v>
      </c>
      <c r="K83" s="9"/>
      <c r="L83" s="9">
        <v>140647</v>
      </c>
      <c r="M83" s="9" t="s">
        <v>176</v>
      </c>
      <c r="N83" s="12">
        <v>3106806</v>
      </c>
      <c r="O83" s="12" t="s">
        <v>61</v>
      </c>
      <c r="P83" s="13">
        <v>2</v>
      </c>
      <c r="Q83" s="14" t="s">
        <v>22</v>
      </c>
      <c r="R83" s="17"/>
    </row>
    <row r="84" spans="1:18" ht="15.6" hidden="1" x14ac:dyDescent="0.35">
      <c r="A84" s="9">
        <v>83</v>
      </c>
      <c r="B84" s="9">
        <v>33</v>
      </c>
      <c r="C84" s="9" t="s">
        <v>18</v>
      </c>
      <c r="D84" s="9" t="s">
        <v>58</v>
      </c>
      <c r="E84" s="9" t="s">
        <v>59</v>
      </c>
      <c r="F84" s="16">
        <v>54413476</v>
      </c>
      <c r="G84" s="11">
        <v>46042</v>
      </c>
      <c r="H84" s="9">
        <v>0</v>
      </c>
      <c r="I84" s="9">
        <v>318140</v>
      </c>
      <c r="J84" s="9">
        <v>60447</v>
      </c>
      <c r="K84" s="9"/>
      <c r="L84" s="9">
        <v>378587</v>
      </c>
      <c r="M84" s="9" t="s">
        <v>177</v>
      </c>
      <c r="N84" s="12">
        <v>3106806</v>
      </c>
      <c r="O84" s="12" t="s">
        <v>61</v>
      </c>
      <c r="P84" s="13">
        <v>2</v>
      </c>
      <c r="Q84" s="14" t="s">
        <v>22</v>
      </c>
      <c r="R84" s="17"/>
    </row>
    <row r="85" spans="1:18" ht="15.6" hidden="1" x14ac:dyDescent="0.35">
      <c r="A85" s="9">
        <v>84</v>
      </c>
      <c r="B85" s="9">
        <v>33</v>
      </c>
      <c r="C85" s="9" t="s">
        <v>18</v>
      </c>
      <c r="D85" s="9">
        <v>761990438</v>
      </c>
      <c r="E85" s="9" t="s">
        <v>19</v>
      </c>
      <c r="F85" s="16">
        <v>2924</v>
      </c>
      <c r="G85" s="11">
        <v>46043</v>
      </c>
      <c r="H85" s="9">
        <v>0</v>
      </c>
      <c r="I85" s="9">
        <v>63900</v>
      </c>
      <c r="J85" s="9">
        <v>12141</v>
      </c>
      <c r="K85" s="9"/>
      <c r="L85" s="9">
        <v>76041</v>
      </c>
      <c r="M85" s="9" t="s">
        <v>178</v>
      </c>
      <c r="N85" s="12">
        <v>3107833</v>
      </c>
      <c r="O85" s="12" t="s">
        <v>72</v>
      </c>
      <c r="P85" s="13" t="s">
        <v>41</v>
      </c>
      <c r="Q85" s="14" t="s">
        <v>22</v>
      </c>
      <c r="R85" s="17"/>
    </row>
    <row r="86" spans="1:18" ht="15.6" hidden="1" x14ac:dyDescent="0.35">
      <c r="A86" s="9">
        <v>85</v>
      </c>
      <c r="B86" s="9">
        <v>33</v>
      </c>
      <c r="C86" s="9" t="s">
        <v>18</v>
      </c>
      <c r="D86" s="9">
        <v>761990438</v>
      </c>
      <c r="E86" s="9" t="s">
        <v>19</v>
      </c>
      <c r="F86" s="16">
        <v>2925</v>
      </c>
      <c r="G86" s="11">
        <v>46043</v>
      </c>
      <c r="H86" s="9">
        <v>0</v>
      </c>
      <c r="I86" s="9">
        <v>63900</v>
      </c>
      <c r="J86" s="9">
        <v>12141</v>
      </c>
      <c r="K86" s="9"/>
      <c r="L86" s="9">
        <v>76041</v>
      </c>
      <c r="M86" s="9" t="s">
        <v>179</v>
      </c>
      <c r="N86" s="12">
        <v>3107833</v>
      </c>
      <c r="O86" s="12" t="s">
        <v>72</v>
      </c>
      <c r="P86" s="13">
        <v>1</v>
      </c>
      <c r="Q86" s="14" t="s">
        <v>22</v>
      </c>
      <c r="R86" s="17"/>
    </row>
    <row r="87" spans="1:18" ht="15.6" hidden="1" x14ac:dyDescent="0.35">
      <c r="A87" s="9">
        <v>86</v>
      </c>
      <c r="B87" s="9">
        <v>33</v>
      </c>
      <c r="C87" s="9" t="s">
        <v>18</v>
      </c>
      <c r="D87" s="9">
        <v>969219301</v>
      </c>
      <c r="E87" s="9" t="s">
        <v>109</v>
      </c>
      <c r="F87" s="16">
        <v>47821</v>
      </c>
      <c r="G87" s="11">
        <v>46043</v>
      </c>
      <c r="H87" s="9">
        <v>0</v>
      </c>
      <c r="I87" s="9">
        <v>1989148</v>
      </c>
      <c r="J87" s="9">
        <v>377938</v>
      </c>
      <c r="K87" s="9"/>
      <c r="L87" s="9">
        <v>2367086</v>
      </c>
      <c r="M87" s="9" t="s">
        <v>82</v>
      </c>
      <c r="N87" s="12">
        <v>3106301</v>
      </c>
      <c r="O87" s="12" t="s">
        <v>94</v>
      </c>
      <c r="P87" s="13">
        <v>195</v>
      </c>
      <c r="Q87" s="19" t="s">
        <v>83</v>
      </c>
      <c r="R87" s="17"/>
    </row>
    <row r="88" spans="1:18" ht="15.6" hidden="1" x14ac:dyDescent="0.35">
      <c r="A88" s="9">
        <v>87</v>
      </c>
      <c r="B88" s="9">
        <v>33</v>
      </c>
      <c r="C88" s="9" t="s">
        <v>18</v>
      </c>
      <c r="D88" s="9">
        <v>969219301</v>
      </c>
      <c r="E88" s="9" t="s">
        <v>109</v>
      </c>
      <c r="F88" s="16">
        <v>47820</v>
      </c>
      <c r="G88" s="11">
        <v>46043</v>
      </c>
      <c r="H88" s="9">
        <v>0</v>
      </c>
      <c r="I88" s="9">
        <v>1541590</v>
      </c>
      <c r="J88" s="9">
        <v>292902</v>
      </c>
      <c r="K88" s="9"/>
      <c r="L88" s="9">
        <v>1834492</v>
      </c>
      <c r="M88" s="9" t="s">
        <v>82</v>
      </c>
      <c r="N88" s="12">
        <v>3106301</v>
      </c>
      <c r="O88" s="12" t="s">
        <v>94</v>
      </c>
      <c r="P88" s="13">
        <v>195</v>
      </c>
      <c r="Q88" s="19" t="s">
        <v>83</v>
      </c>
      <c r="R88" s="17"/>
    </row>
    <row r="89" spans="1:18" ht="15.6" hidden="1" x14ac:dyDescent="0.35">
      <c r="A89" s="9">
        <v>88</v>
      </c>
      <c r="B89" s="9">
        <v>33</v>
      </c>
      <c r="C89" s="9" t="s">
        <v>18</v>
      </c>
      <c r="D89" s="9">
        <v>833827006</v>
      </c>
      <c r="E89" s="9" t="s">
        <v>49</v>
      </c>
      <c r="F89" s="16">
        <v>2304048</v>
      </c>
      <c r="G89" s="11">
        <v>46042</v>
      </c>
      <c r="H89" s="9">
        <v>0</v>
      </c>
      <c r="I89" s="9">
        <v>135671</v>
      </c>
      <c r="J89" s="9">
        <v>25777</v>
      </c>
      <c r="K89" s="9"/>
      <c r="L89" s="9">
        <v>161448</v>
      </c>
      <c r="M89" s="9" t="s">
        <v>180</v>
      </c>
      <c r="N89" s="12">
        <v>3102104</v>
      </c>
      <c r="O89" s="24" t="s">
        <v>67</v>
      </c>
      <c r="P89" s="13">
        <v>404</v>
      </c>
      <c r="Q89" s="14" t="s">
        <v>22</v>
      </c>
      <c r="R89" s="17"/>
    </row>
    <row r="90" spans="1:18" ht="15.6" hidden="1" x14ac:dyDescent="0.35">
      <c r="A90" s="9">
        <v>89</v>
      </c>
      <c r="B90" s="9">
        <v>33</v>
      </c>
      <c r="C90" s="9" t="s">
        <v>18</v>
      </c>
      <c r="D90" s="9">
        <v>833827006</v>
      </c>
      <c r="E90" s="9" t="s">
        <v>49</v>
      </c>
      <c r="F90" s="16">
        <v>2304049</v>
      </c>
      <c r="G90" s="11">
        <v>46042</v>
      </c>
      <c r="H90" s="9">
        <v>0</v>
      </c>
      <c r="I90" s="9">
        <v>30160</v>
      </c>
      <c r="J90" s="9">
        <v>5730</v>
      </c>
      <c r="K90" s="9"/>
      <c r="L90" s="9">
        <v>35890</v>
      </c>
      <c r="M90" s="9" t="s">
        <v>181</v>
      </c>
      <c r="N90" s="24">
        <v>3102105</v>
      </c>
      <c r="O90" s="24" t="s">
        <v>51</v>
      </c>
      <c r="P90" s="13">
        <v>404</v>
      </c>
      <c r="Q90" s="14" t="s">
        <v>22</v>
      </c>
      <c r="R90" s="17"/>
    </row>
    <row r="91" spans="1:18" ht="15.6" hidden="1" x14ac:dyDescent="0.35">
      <c r="A91" s="9">
        <v>90</v>
      </c>
      <c r="B91" s="9">
        <v>33</v>
      </c>
      <c r="C91" s="9" t="s">
        <v>18</v>
      </c>
      <c r="D91" s="9">
        <v>776610313</v>
      </c>
      <c r="E91" s="9" t="s">
        <v>97</v>
      </c>
      <c r="F91" s="16">
        <v>211</v>
      </c>
      <c r="G91" s="11">
        <v>46044</v>
      </c>
      <c r="H91" s="9">
        <v>0</v>
      </c>
      <c r="I91" s="9">
        <v>300000</v>
      </c>
      <c r="J91" s="9">
        <v>57000</v>
      </c>
      <c r="K91" s="9"/>
      <c r="L91" s="9">
        <v>357000</v>
      </c>
      <c r="M91" s="9" t="s">
        <v>182</v>
      </c>
      <c r="N91" s="12">
        <v>3102102</v>
      </c>
      <c r="O91" s="12" t="s">
        <v>45</v>
      </c>
      <c r="P91" s="13" t="s">
        <v>41</v>
      </c>
      <c r="Q91" s="14" t="s">
        <v>22</v>
      </c>
      <c r="R91" s="17"/>
    </row>
    <row r="92" spans="1:18" ht="15.6" hidden="1" x14ac:dyDescent="0.35">
      <c r="A92" s="9">
        <v>91</v>
      </c>
      <c r="B92" s="9">
        <v>33</v>
      </c>
      <c r="C92" s="9" t="s">
        <v>18</v>
      </c>
      <c r="D92" s="9">
        <v>762124920</v>
      </c>
      <c r="E92" s="9" t="s">
        <v>183</v>
      </c>
      <c r="F92" s="16">
        <v>424422</v>
      </c>
      <c r="G92" s="11">
        <v>46044</v>
      </c>
      <c r="H92" s="9">
        <v>0</v>
      </c>
      <c r="I92" s="9">
        <v>4426624</v>
      </c>
      <c r="J92" s="9">
        <v>841059</v>
      </c>
      <c r="K92" s="9"/>
      <c r="L92" s="9">
        <v>5267683</v>
      </c>
      <c r="M92" s="9" t="s">
        <v>184</v>
      </c>
      <c r="N92" s="24">
        <v>3102105</v>
      </c>
      <c r="O92" s="24" t="s">
        <v>51</v>
      </c>
      <c r="P92" s="13">
        <v>405</v>
      </c>
      <c r="Q92" s="14" t="s">
        <v>22</v>
      </c>
      <c r="R92" s="17"/>
    </row>
    <row r="93" spans="1:18" ht="15.6" hidden="1" x14ac:dyDescent="0.35">
      <c r="A93" s="9">
        <v>92</v>
      </c>
      <c r="B93" s="9">
        <v>33</v>
      </c>
      <c r="C93" s="9" t="s">
        <v>18</v>
      </c>
      <c r="D93" s="9">
        <v>773982201</v>
      </c>
      <c r="E93" s="9" t="s">
        <v>185</v>
      </c>
      <c r="F93" s="16">
        <v>10774738</v>
      </c>
      <c r="G93" s="11">
        <v>46045</v>
      </c>
      <c r="H93" s="9">
        <v>0</v>
      </c>
      <c r="I93" s="9">
        <v>1855095</v>
      </c>
      <c r="J93" s="9">
        <v>352468</v>
      </c>
      <c r="K93" s="9"/>
      <c r="L93" s="9">
        <v>2207563</v>
      </c>
      <c r="M93" s="9" t="s">
        <v>186</v>
      </c>
      <c r="N93" s="12">
        <v>3102108</v>
      </c>
      <c r="O93" s="12" t="s">
        <v>48</v>
      </c>
      <c r="P93" s="13">
        <v>402</v>
      </c>
      <c r="Q93" s="14" t="s">
        <v>22</v>
      </c>
      <c r="R93" s="17"/>
    </row>
    <row r="94" spans="1:18" ht="15.6" hidden="1" x14ac:dyDescent="0.35">
      <c r="A94" s="9">
        <v>93</v>
      </c>
      <c r="B94" s="9">
        <v>33</v>
      </c>
      <c r="C94" s="9" t="s">
        <v>18</v>
      </c>
      <c r="D94" s="9">
        <v>967985201</v>
      </c>
      <c r="E94" s="9" t="s">
        <v>187</v>
      </c>
      <c r="F94" s="16">
        <v>1608344</v>
      </c>
      <c r="G94" s="11">
        <v>46049</v>
      </c>
      <c r="H94" s="9">
        <v>0</v>
      </c>
      <c r="I94" s="9">
        <v>84572</v>
      </c>
      <c r="J94" s="9">
        <v>16069</v>
      </c>
      <c r="K94" s="9"/>
      <c r="L94" s="9">
        <v>100641</v>
      </c>
      <c r="M94" s="9" t="s">
        <v>188</v>
      </c>
      <c r="N94" s="12">
        <v>1106801</v>
      </c>
      <c r="O94" s="12" t="s">
        <v>37</v>
      </c>
      <c r="P94" s="13">
        <v>1</v>
      </c>
      <c r="Q94" s="14" t="s">
        <v>22</v>
      </c>
      <c r="R94" s="17"/>
    </row>
    <row r="95" spans="1:18" ht="15.6" hidden="1" x14ac:dyDescent="0.35">
      <c r="A95" s="9">
        <v>94</v>
      </c>
      <c r="B95" s="9">
        <v>33</v>
      </c>
      <c r="C95" s="9" t="s">
        <v>18</v>
      </c>
      <c r="D95" s="9">
        <v>833827006</v>
      </c>
      <c r="E95" s="9" t="s">
        <v>49</v>
      </c>
      <c r="F95" s="16">
        <v>2290747</v>
      </c>
      <c r="G95" s="11">
        <v>46048</v>
      </c>
      <c r="H95" s="9">
        <v>0</v>
      </c>
      <c r="I95" s="9">
        <v>32954</v>
      </c>
      <c r="J95" s="9">
        <v>6261</v>
      </c>
      <c r="K95" s="9"/>
      <c r="L95" s="9">
        <v>39215</v>
      </c>
      <c r="M95" s="9" t="s">
        <v>50</v>
      </c>
      <c r="N95" s="24">
        <v>3102105</v>
      </c>
      <c r="O95" s="24" t="s">
        <v>51</v>
      </c>
      <c r="P95" s="13">
        <v>404</v>
      </c>
      <c r="Q95" s="14" t="s">
        <v>22</v>
      </c>
      <c r="R95" s="17"/>
    </row>
    <row r="96" spans="1:18" ht="15.6" hidden="1" x14ac:dyDescent="0.35">
      <c r="A96" s="9">
        <v>95</v>
      </c>
      <c r="B96" s="9">
        <v>33</v>
      </c>
      <c r="C96" s="9" t="s">
        <v>18</v>
      </c>
      <c r="D96" s="9" t="s">
        <v>58</v>
      </c>
      <c r="E96" s="9" t="s">
        <v>59</v>
      </c>
      <c r="F96" s="16">
        <v>54507408</v>
      </c>
      <c r="G96" s="11">
        <v>46050</v>
      </c>
      <c r="H96" s="9">
        <v>0</v>
      </c>
      <c r="I96" s="9">
        <v>25035</v>
      </c>
      <c r="J96" s="9">
        <v>4758</v>
      </c>
      <c r="K96" s="9"/>
      <c r="L96" s="9">
        <v>29793</v>
      </c>
      <c r="M96" s="9" t="s">
        <v>189</v>
      </c>
      <c r="N96" s="12">
        <v>3106806</v>
      </c>
      <c r="O96" s="12" t="s">
        <v>61</v>
      </c>
      <c r="P96" s="13">
        <v>2</v>
      </c>
      <c r="Q96" s="14" t="s">
        <v>22</v>
      </c>
      <c r="R96" s="17"/>
    </row>
    <row r="97" spans="1:18" ht="15.6" hidden="1" x14ac:dyDescent="0.35">
      <c r="A97" s="9">
        <v>96</v>
      </c>
      <c r="B97" s="9">
        <v>33</v>
      </c>
      <c r="C97" s="9" t="s">
        <v>18</v>
      </c>
      <c r="D97" s="9">
        <v>97844895</v>
      </c>
      <c r="E97" s="9" t="s">
        <v>190</v>
      </c>
      <c r="F97" s="16">
        <v>446</v>
      </c>
      <c r="G97" s="11">
        <v>46051</v>
      </c>
      <c r="H97" s="9">
        <v>0</v>
      </c>
      <c r="I97" s="9">
        <v>239000</v>
      </c>
      <c r="J97" s="9">
        <v>45410</v>
      </c>
      <c r="K97" s="9"/>
      <c r="L97" s="9">
        <v>284410</v>
      </c>
      <c r="M97" s="9" t="s">
        <v>191</v>
      </c>
      <c r="N97" s="12">
        <v>3106116</v>
      </c>
      <c r="O97" s="12" t="s">
        <v>175</v>
      </c>
      <c r="P97" s="13" t="s">
        <v>41</v>
      </c>
      <c r="Q97" s="14" t="s">
        <v>22</v>
      </c>
      <c r="R97" s="17"/>
    </row>
    <row r="98" spans="1:18" ht="15.6" hidden="1" x14ac:dyDescent="0.35">
      <c r="A98" s="9">
        <v>97</v>
      </c>
      <c r="B98" s="9">
        <v>33</v>
      </c>
      <c r="C98" s="9" t="s">
        <v>18</v>
      </c>
      <c r="D98" s="9">
        <v>833827006</v>
      </c>
      <c r="E98" s="9" t="s">
        <v>49</v>
      </c>
      <c r="F98" s="16">
        <v>2305447</v>
      </c>
      <c r="G98" s="11">
        <v>46050</v>
      </c>
      <c r="H98" s="9">
        <v>0</v>
      </c>
      <c r="I98" s="9">
        <v>36723</v>
      </c>
      <c r="J98" s="9">
        <v>6977</v>
      </c>
      <c r="K98" s="9"/>
      <c r="L98" s="9">
        <v>43700</v>
      </c>
      <c r="M98" s="9" t="s">
        <v>192</v>
      </c>
      <c r="N98" s="24">
        <v>3102105</v>
      </c>
      <c r="O98" s="24" t="s">
        <v>51</v>
      </c>
      <c r="P98" s="13">
        <v>404</v>
      </c>
      <c r="Q98" s="14" t="s">
        <v>22</v>
      </c>
      <c r="R98" s="17"/>
    </row>
    <row r="99" spans="1:18" ht="15.6" hidden="1" x14ac:dyDescent="0.35">
      <c r="A99" s="9">
        <v>98</v>
      </c>
      <c r="B99" s="9">
        <v>33</v>
      </c>
      <c r="C99" s="9" t="s">
        <v>18</v>
      </c>
      <c r="D99" s="9">
        <v>833827006</v>
      </c>
      <c r="E99" s="9" t="s">
        <v>49</v>
      </c>
      <c r="F99" s="16">
        <v>2305446</v>
      </c>
      <c r="G99" s="11">
        <v>46050</v>
      </c>
      <c r="H99" s="9">
        <v>0</v>
      </c>
      <c r="I99" s="9">
        <v>64694</v>
      </c>
      <c r="J99" s="9">
        <v>12292</v>
      </c>
      <c r="K99" s="9"/>
      <c r="L99" s="9">
        <v>76986</v>
      </c>
      <c r="M99" s="9" t="s">
        <v>193</v>
      </c>
      <c r="N99" s="12">
        <v>3102104</v>
      </c>
      <c r="O99" s="24" t="s">
        <v>67</v>
      </c>
      <c r="P99" s="13">
        <v>404</v>
      </c>
      <c r="Q99" s="14" t="s">
        <v>22</v>
      </c>
      <c r="R99" s="17"/>
    </row>
    <row r="100" spans="1:18" ht="15.6" hidden="1" x14ac:dyDescent="0.35">
      <c r="A100" s="9">
        <v>99</v>
      </c>
      <c r="B100" s="9">
        <v>33</v>
      </c>
      <c r="C100" s="9" t="s">
        <v>18</v>
      </c>
      <c r="D100" s="9">
        <v>108532246</v>
      </c>
      <c r="E100" s="9" t="s">
        <v>194</v>
      </c>
      <c r="F100" s="16">
        <v>57238</v>
      </c>
      <c r="G100" s="11">
        <v>46052</v>
      </c>
      <c r="H100" s="9">
        <v>0</v>
      </c>
      <c r="I100" s="9">
        <v>131000</v>
      </c>
      <c r="J100" s="9">
        <v>24890</v>
      </c>
      <c r="K100" s="9"/>
      <c r="L100" s="9">
        <v>155890</v>
      </c>
      <c r="M100" s="9" t="s">
        <v>195</v>
      </c>
      <c r="N100" s="12">
        <v>1106801</v>
      </c>
      <c r="O100" s="12" t="s">
        <v>37</v>
      </c>
      <c r="P100" s="13">
        <v>1</v>
      </c>
      <c r="Q100" s="14" t="s">
        <v>22</v>
      </c>
      <c r="R100" s="17"/>
    </row>
    <row r="101" spans="1:18" ht="15.6" hidden="1" x14ac:dyDescent="0.35">
      <c r="A101" s="9">
        <v>100</v>
      </c>
      <c r="B101" s="9">
        <v>33</v>
      </c>
      <c r="C101" s="9" t="s">
        <v>18</v>
      </c>
      <c r="D101" s="9">
        <v>108532246</v>
      </c>
      <c r="E101" s="9" t="s">
        <v>194</v>
      </c>
      <c r="F101" s="16">
        <v>57239</v>
      </c>
      <c r="G101" s="11">
        <v>46052</v>
      </c>
      <c r="H101" s="9">
        <v>0</v>
      </c>
      <c r="I101" s="9">
        <v>1076743</v>
      </c>
      <c r="J101" s="9">
        <v>204581</v>
      </c>
      <c r="K101" s="9"/>
      <c r="L101" s="9">
        <v>1281324</v>
      </c>
      <c r="M101" s="9" t="s">
        <v>196</v>
      </c>
      <c r="N101" s="12">
        <v>1106801</v>
      </c>
      <c r="O101" s="12" t="s">
        <v>37</v>
      </c>
      <c r="P101" s="13">
        <v>1</v>
      </c>
      <c r="Q101" s="14" t="s">
        <v>22</v>
      </c>
      <c r="R101" s="17"/>
    </row>
    <row r="102" spans="1:18" ht="15.6" hidden="1" x14ac:dyDescent="0.35">
      <c r="A102" s="9">
        <v>101</v>
      </c>
      <c r="B102" s="9">
        <v>33</v>
      </c>
      <c r="C102" s="9" t="s">
        <v>18</v>
      </c>
      <c r="D102" s="9">
        <v>108532246</v>
      </c>
      <c r="E102" s="9" t="s">
        <v>194</v>
      </c>
      <c r="F102" s="16">
        <v>57258</v>
      </c>
      <c r="G102" s="11">
        <v>46052</v>
      </c>
      <c r="H102" s="9">
        <v>0</v>
      </c>
      <c r="I102" s="9">
        <v>960047</v>
      </c>
      <c r="J102" s="9">
        <v>182409</v>
      </c>
      <c r="K102" s="9"/>
      <c r="L102" s="9">
        <v>1142456</v>
      </c>
      <c r="M102" s="9" t="s">
        <v>197</v>
      </c>
      <c r="N102" s="12">
        <v>1106801</v>
      </c>
      <c r="O102" s="12" t="s">
        <v>37</v>
      </c>
      <c r="P102" s="13">
        <v>1</v>
      </c>
      <c r="Q102" s="14" t="s">
        <v>22</v>
      </c>
      <c r="R102" s="17"/>
    </row>
    <row r="103" spans="1:18" ht="15.6" hidden="1" x14ac:dyDescent="0.35">
      <c r="A103" s="9">
        <v>102</v>
      </c>
      <c r="B103" s="9">
        <v>33</v>
      </c>
      <c r="C103" s="9" t="s">
        <v>18</v>
      </c>
      <c r="D103" s="9">
        <v>108532246</v>
      </c>
      <c r="E103" s="9" t="s">
        <v>194</v>
      </c>
      <c r="F103" s="16">
        <v>57267</v>
      </c>
      <c r="G103" s="11">
        <v>46052</v>
      </c>
      <c r="H103" s="9">
        <v>0</v>
      </c>
      <c r="I103" s="9">
        <v>454704</v>
      </c>
      <c r="J103" s="9">
        <v>86394</v>
      </c>
      <c r="K103" s="9"/>
      <c r="L103" s="9">
        <v>541098</v>
      </c>
      <c r="M103" s="9" t="s">
        <v>198</v>
      </c>
      <c r="N103" s="12">
        <v>1106801</v>
      </c>
      <c r="O103" s="12" t="s">
        <v>37</v>
      </c>
      <c r="P103" s="13">
        <v>1</v>
      </c>
      <c r="Q103" s="14" t="s">
        <v>22</v>
      </c>
      <c r="R103" s="17"/>
    </row>
    <row r="104" spans="1:18" ht="15.6" hidden="1" x14ac:dyDescent="0.35">
      <c r="A104" s="9">
        <v>103</v>
      </c>
      <c r="B104" s="9">
        <v>33</v>
      </c>
      <c r="C104" s="9" t="s">
        <v>18</v>
      </c>
      <c r="D104" s="9">
        <v>108532246</v>
      </c>
      <c r="E104" s="9" t="s">
        <v>194</v>
      </c>
      <c r="F104" s="16">
        <v>57269</v>
      </c>
      <c r="G104" s="11">
        <v>46052</v>
      </c>
      <c r="H104" s="9">
        <v>0</v>
      </c>
      <c r="I104" s="9">
        <v>913099</v>
      </c>
      <c r="J104" s="9">
        <v>173489</v>
      </c>
      <c r="K104" s="9"/>
      <c r="L104" s="9">
        <v>1086588</v>
      </c>
      <c r="M104" s="9" t="s">
        <v>199</v>
      </c>
      <c r="N104" s="12">
        <v>1106801</v>
      </c>
      <c r="O104" s="12" t="s">
        <v>37</v>
      </c>
      <c r="P104" s="13">
        <v>1</v>
      </c>
      <c r="Q104" s="14" t="s">
        <v>22</v>
      </c>
      <c r="R104" s="17"/>
    </row>
    <row r="105" spans="1:18" ht="15.6" hidden="1" x14ac:dyDescent="0.35">
      <c r="A105" s="9">
        <v>104</v>
      </c>
      <c r="B105" s="9">
        <v>33</v>
      </c>
      <c r="C105" s="9" t="s">
        <v>18</v>
      </c>
      <c r="D105" s="9">
        <v>966893109</v>
      </c>
      <c r="E105" s="9" t="s">
        <v>56</v>
      </c>
      <c r="F105" s="16">
        <v>57083470</v>
      </c>
      <c r="G105" s="11">
        <v>46050</v>
      </c>
      <c r="H105" s="9">
        <v>0</v>
      </c>
      <c r="I105" s="9">
        <v>2070225</v>
      </c>
      <c r="J105" s="9">
        <v>393343</v>
      </c>
      <c r="K105" s="9"/>
      <c r="L105" s="9">
        <v>2463568</v>
      </c>
      <c r="M105" s="9" t="s">
        <v>200</v>
      </c>
      <c r="N105" s="12">
        <v>3106812</v>
      </c>
      <c r="O105" s="12" t="s">
        <v>201</v>
      </c>
      <c r="P105" s="13" t="s">
        <v>202</v>
      </c>
      <c r="Q105" s="14" t="s">
        <v>22</v>
      </c>
      <c r="R105" s="17"/>
    </row>
    <row r="106" spans="1:18" ht="15.6" hidden="1" x14ac:dyDescent="0.35">
      <c r="A106" s="9">
        <v>105</v>
      </c>
      <c r="B106" s="9">
        <v>33</v>
      </c>
      <c r="C106" s="9" t="s">
        <v>18</v>
      </c>
      <c r="D106" s="9">
        <v>771906923</v>
      </c>
      <c r="E106" s="9" t="s">
        <v>203</v>
      </c>
      <c r="F106" s="16">
        <v>5394376</v>
      </c>
      <c r="G106" s="11">
        <v>46052</v>
      </c>
      <c r="H106" s="9">
        <v>0</v>
      </c>
      <c r="I106" s="9">
        <v>235050</v>
      </c>
      <c r="J106" s="9">
        <v>44660</v>
      </c>
      <c r="K106" s="9"/>
      <c r="L106" s="9">
        <v>279710</v>
      </c>
      <c r="M106" t="s">
        <v>204</v>
      </c>
      <c r="N106" s="12">
        <v>3106813</v>
      </c>
      <c r="O106" s="12" t="s">
        <v>205</v>
      </c>
      <c r="P106" s="13">
        <v>200</v>
      </c>
      <c r="Q106" s="14" t="s">
        <v>22</v>
      </c>
      <c r="R106" s="17"/>
    </row>
    <row r="107" spans="1:18" ht="15.6" hidden="1" x14ac:dyDescent="0.35">
      <c r="A107" s="9">
        <v>106</v>
      </c>
      <c r="B107" s="9">
        <v>33</v>
      </c>
      <c r="C107" s="9" t="s">
        <v>18</v>
      </c>
      <c r="D107" s="9">
        <v>771906923</v>
      </c>
      <c r="E107" s="9" t="s">
        <v>203</v>
      </c>
      <c r="F107" s="16">
        <v>5394377</v>
      </c>
      <c r="G107" s="11">
        <v>46052</v>
      </c>
      <c r="H107" s="9">
        <v>0</v>
      </c>
      <c r="I107" s="9">
        <v>362408</v>
      </c>
      <c r="J107" s="9">
        <v>68858</v>
      </c>
      <c r="K107" s="9"/>
      <c r="L107" s="9">
        <v>431266</v>
      </c>
      <c r="M107" s="9" t="s">
        <v>206</v>
      </c>
      <c r="N107" s="12">
        <v>3106813</v>
      </c>
      <c r="O107" s="12" t="s">
        <v>205</v>
      </c>
      <c r="P107" s="13">
        <v>210</v>
      </c>
      <c r="Q107" s="14" t="s">
        <v>22</v>
      </c>
      <c r="R107" s="17"/>
    </row>
    <row r="108" spans="1:18" ht="15.6" hidden="1" x14ac:dyDescent="0.35">
      <c r="A108" s="9">
        <v>107</v>
      </c>
      <c r="B108" s="9">
        <v>34</v>
      </c>
      <c r="C108" s="9" t="s">
        <v>18</v>
      </c>
      <c r="D108" s="9">
        <v>777163124</v>
      </c>
      <c r="E108" s="9" t="s">
        <v>85</v>
      </c>
      <c r="F108" s="16">
        <v>6195</v>
      </c>
      <c r="G108" s="11">
        <v>46031</v>
      </c>
      <c r="H108" s="9">
        <v>3101478</v>
      </c>
      <c r="I108" s="9">
        <v>0</v>
      </c>
      <c r="J108" s="9">
        <v>0</v>
      </c>
      <c r="K108" s="9"/>
      <c r="L108" s="9">
        <v>3101478</v>
      </c>
      <c r="M108" s="9" t="s">
        <v>207</v>
      </c>
      <c r="N108" s="12">
        <v>3106206</v>
      </c>
      <c r="O108" s="12" t="s">
        <v>87</v>
      </c>
      <c r="P108" s="13">
        <v>2</v>
      </c>
      <c r="Q108" s="14" t="s">
        <v>22</v>
      </c>
      <c r="R108" s="17"/>
    </row>
    <row r="109" spans="1:18" ht="15.6" hidden="1" x14ac:dyDescent="0.35">
      <c r="A109" s="9">
        <v>108</v>
      </c>
      <c r="B109" s="9">
        <v>34</v>
      </c>
      <c r="C109" s="9" t="s">
        <v>18</v>
      </c>
      <c r="D109" s="9">
        <v>966536500</v>
      </c>
      <c r="E109" s="9" t="s">
        <v>151</v>
      </c>
      <c r="F109" s="16">
        <v>59419</v>
      </c>
      <c r="G109" s="11">
        <v>46036</v>
      </c>
      <c r="H109" s="9">
        <v>11912</v>
      </c>
      <c r="I109" s="9">
        <v>0</v>
      </c>
      <c r="J109" s="9">
        <v>0</v>
      </c>
      <c r="K109" s="9"/>
      <c r="L109" s="9">
        <v>11912</v>
      </c>
      <c r="M109" s="9" t="s">
        <v>208</v>
      </c>
      <c r="N109" s="12">
        <v>3106301</v>
      </c>
      <c r="O109" s="12" t="s">
        <v>94</v>
      </c>
      <c r="P109" s="13">
        <v>200</v>
      </c>
      <c r="Q109" s="14" t="s">
        <v>22</v>
      </c>
      <c r="R109" s="17"/>
    </row>
    <row r="110" spans="1:18" ht="15.6" hidden="1" x14ac:dyDescent="0.35">
      <c r="A110" s="9">
        <v>109</v>
      </c>
      <c r="B110" s="9">
        <v>34</v>
      </c>
      <c r="C110" s="9" t="s">
        <v>18</v>
      </c>
      <c r="D110" s="9">
        <v>966536500</v>
      </c>
      <c r="E110" s="9" t="s">
        <v>151</v>
      </c>
      <c r="F110" s="16">
        <v>59428</v>
      </c>
      <c r="G110" s="11">
        <v>46036</v>
      </c>
      <c r="H110" s="9">
        <v>11912</v>
      </c>
      <c r="I110" s="9">
        <v>0</v>
      </c>
      <c r="J110" s="9">
        <v>0</v>
      </c>
      <c r="K110" s="9"/>
      <c r="L110" s="9">
        <v>11912</v>
      </c>
      <c r="M110" s="9" t="s">
        <v>209</v>
      </c>
      <c r="N110" s="12">
        <v>3106301</v>
      </c>
      <c r="O110" s="12" t="s">
        <v>94</v>
      </c>
      <c r="P110" s="13">
        <v>210</v>
      </c>
      <c r="Q110" s="14" t="s">
        <v>22</v>
      </c>
      <c r="R110" s="17"/>
    </row>
    <row r="111" spans="1:18" ht="15.6" hidden="1" x14ac:dyDescent="0.35">
      <c r="A111" s="9">
        <v>110</v>
      </c>
      <c r="B111" s="9">
        <v>34</v>
      </c>
      <c r="C111" s="9" t="s">
        <v>18</v>
      </c>
      <c r="D111" s="9">
        <v>966536500</v>
      </c>
      <c r="E111" s="9" t="s">
        <v>151</v>
      </c>
      <c r="F111" s="16">
        <v>59967</v>
      </c>
      <c r="G111" s="11">
        <v>46036</v>
      </c>
      <c r="H111" s="9">
        <v>11912</v>
      </c>
      <c r="I111" s="9">
        <v>0</v>
      </c>
      <c r="J111" s="9">
        <v>0</v>
      </c>
      <c r="K111" s="9"/>
      <c r="L111" s="9">
        <v>11912</v>
      </c>
      <c r="M111" s="9" t="s">
        <v>210</v>
      </c>
      <c r="N111" s="12">
        <v>3106301</v>
      </c>
      <c r="O111" s="12" t="s">
        <v>94</v>
      </c>
      <c r="P111" s="13">
        <v>130</v>
      </c>
      <c r="Q111" s="14" t="s">
        <v>22</v>
      </c>
      <c r="R111" s="17"/>
    </row>
    <row r="112" spans="1:18" ht="15.6" hidden="1" x14ac:dyDescent="0.35">
      <c r="A112" s="9">
        <v>111</v>
      </c>
      <c r="B112" s="9">
        <v>34</v>
      </c>
      <c r="C112" s="9" t="s">
        <v>18</v>
      </c>
      <c r="D112" s="9">
        <v>966536608</v>
      </c>
      <c r="E112" s="9" t="s">
        <v>149</v>
      </c>
      <c r="F112" s="16">
        <v>44652</v>
      </c>
      <c r="G112" s="11">
        <v>46036</v>
      </c>
      <c r="H112" s="9">
        <v>11912</v>
      </c>
      <c r="I112" s="9">
        <v>0</v>
      </c>
      <c r="J112" s="9">
        <v>0</v>
      </c>
      <c r="K112" s="9"/>
      <c r="L112" s="9">
        <v>11912</v>
      </c>
      <c r="M112" s="9" t="s">
        <v>211</v>
      </c>
      <c r="N112" s="12">
        <v>3106301</v>
      </c>
      <c r="O112" s="12" t="s">
        <v>94</v>
      </c>
      <c r="P112" s="13">
        <v>150</v>
      </c>
      <c r="Q112" s="14" t="s">
        <v>22</v>
      </c>
      <c r="R112" s="17"/>
    </row>
    <row r="113" spans="1:18" ht="15.6" hidden="1" x14ac:dyDescent="0.35">
      <c r="A113" s="9">
        <v>112</v>
      </c>
      <c r="B113" s="9">
        <v>34</v>
      </c>
      <c r="C113" s="9" t="s">
        <v>18</v>
      </c>
      <c r="D113" s="9">
        <v>785564707</v>
      </c>
      <c r="E113" s="9" t="s">
        <v>212</v>
      </c>
      <c r="F113" s="16">
        <v>129639</v>
      </c>
      <c r="G113" s="11">
        <v>46049</v>
      </c>
      <c r="H113" s="9">
        <v>948346</v>
      </c>
      <c r="I113" s="9">
        <v>0</v>
      </c>
      <c r="J113" s="9">
        <v>0</v>
      </c>
      <c r="K113" s="9"/>
      <c r="L113" s="9">
        <v>948346</v>
      </c>
      <c r="M113" s="9" t="s">
        <v>213</v>
      </c>
      <c r="N113" s="12">
        <v>1106801</v>
      </c>
      <c r="O113" s="12" t="s">
        <v>37</v>
      </c>
      <c r="P113" s="13">
        <v>1</v>
      </c>
      <c r="Q113" s="14" t="s">
        <v>22</v>
      </c>
      <c r="R113" s="17"/>
    </row>
    <row r="114" spans="1:18" ht="15.6" hidden="1" x14ac:dyDescent="0.35">
      <c r="A114" s="9">
        <v>116</v>
      </c>
      <c r="B114" s="9">
        <v>56</v>
      </c>
      <c r="C114" s="9" t="s">
        <v>18</v>
      </c>
      <c r="D114" s="9">
        <v>773982201</v>
      </c>
      <c r="E114" s="9" t="s">
        <v>185</v>
      </c>
      <c r="F114" s="16">
        <v>125288</v>
      </c>
      <c r="G114" s="11">
        <v>46045</v>
      </c>
      <c r="H114" s="9">
        <v>0</v>
      </c>
      <c r="I114" s="9">
        <v>1801</v>
      </c>
      <c r="J114" s="9">
        <v>342</v>
      </c>
      <c r="K114" s="9"/>
      <c r="L114" s="9">
        <v>2143</v>
      </c>
      <c r="M114" s="9" t="s">
        <v>214</v>
      </c>
      <c r="N114" s="12">
        <v>3102104</v>
      </c>
      <c r="O114" s="12" t="s">
        <v>67</v>
      </c>
      <c r="P114" s="13">
        <v>402</v>
      </c>
      <c r="Q114" s="14" t="s">
        <v>22</v>
      </c>
      <c r="R114">
        <v>9147959</v>
      </c>
    </row>
    <row r="115" spans="1:18" ht="15.6" hidden="1" x14ac:dyDescent="0.35">
      <c r="A115" s="9">
        <v>117</v>
      </c>
      <c r="B115" s="9">
        <v>56</v>
      </c>
      <c r="C115" s="9" t="s">
        <v>18</v>
      </c>
      <c r="D115" s="9">
        <v>762124920</v>
      </c>
      <c r="E115" s="9" t="s">
        <v>183</v>
      </c>
      <c r="F115" s="16">
        <v>5761</v>
      </c>
      <c r="G115" s="11">
        <v>46044</v>
      </c>
      <c r="H115" s="9">
        <v>0</v>
      </c>
      <c r="I115" s="9">
        <v>4117</v>
      </c>
      <c r="J115" s="9">
        <v>782</v>
      </c>
      <c r="K115" s="9"/>
      <c r="L115" s="9">
        <v>4899</v>
      </c>
      <c r="M115" s="9" t="s">
        <v>215</v>
      </c>
      <c r="N115" s="24">
        <v>3102105</v>
      </c>
      <c r="O115" s="24" t="s">
        <v>51</v>
      </c>
      <c r="P115" s="13">
        <v>405</v>
      </c>
      <c r="Q115" s="14" t="s">
        <v>22</v>
      </c>
      <c r="R115">
        <v>424422</v>
      </c>
    </row>
    <row r="116" spans="1:18" ht="15.6" hidden="1" x14ac:dyDescent="0.35">
      <c r="A116" s="9">
        <v>118</v>
      </c>
      <c r="B116" s="9">
        <v>61</v>
      </c>
      <c r="C116" s="9" t="s">
        <v>18</v>
      </c>
      <c r="D116" s="9">
        <v>776610313</v>
      </c>
      <c r="E116" s="9" t="s">
        <v>97</v>
      </c>
      <c r="F116" s="16">
        <v>10</v>
      </c>
      <c r="G116" s="11">
        <v>46033</v>
      </c>
      <c r="H116" s="9">
        <v>0</v>
      </c>
      <c r="I116" s="9">
        <v>967680</v>
      </c>
      <c r="J116" s="9">
        <v>183859</v>
      </c>
      <c r="K116" s="9"/>
      <c r="L116" s="9">
        <v>1151539</v>
      </c>
      <c r="M116" s="9" t="s">
        <v>98</v>
      </c>
      <c r="N116" s="12">
        <v>3102102</v>
      </c>
      <c r="O116" s="12" t="s">
        <v>45</v>
      </c>
      <c r="P116" s="13">
        <v>1</v>
      </c>
      <c r="Q116" s="14" t="s">
        <v>22</v>
      </c>
      <c r="R116">
        <v>193</v>
      </c>
    </row>
    <row r="117" spans="1:18" ht="15.6" hidden="1" x14ac:dyDescent="0.35">
      <c r="A117" s="9">
        <v>119</v>
      </c>
      <c r="B117" s="9">
        <v>61</v>
      </c>
      <c r="C117" s="9" t="s">
        <v>18</v>
      </c>
      <c r="D117" s="9">
        <v>761990438</v>
      </c>
      <c r="E117" s="9" t="s">
        <v>19</v>
      </c>
      <c r="F117" s="16">
        <v>334</v>
      </c>
      <c r="G117" s="11">
        <v>46043</v>
      </c>
      <c r="H117" s="9">
        <v>0</v>
      </c>
      <c r="I117" s="9">
        <v>63900</v>
      </c>
      <c r="J117" s="9">
        <v>12141</v>
      </c>
      <c r="K117" s="9"/>
      <c r="L117" s="9">
        <v>76041</v>
      </c>
      <c r="M117" s="9" t="s">
        <v>179</v>
      </c>
      <c r="N117" s="12">
        <v>3107833</v>
      </c>
      <c r="O117" s="12" t="s">
        <v>72</v>
      </c>
      <c r="P117" s="13">
        <v>1</v>
      </c>
      <c r="Q117" s="14" t="s">
        <v>22</v>
      </c>
      <c r="R117">
        <v>2925</v>
      </c>
    </row>
    <row r="118" spans="1:18" ht="15.6" hidden="1" x14ac:dyDescent="0.35">
      <c r="A118" s="9">
        <v>120</v>
      </c>
      <c r="B118" s="9">
        <v>61</v>
      </c>
      <c r="C118" s="9" t="s">
        <v>18</v>
      </c>
      <c r="D118" s="9">
        <v>773982201</v>
      </c>
      <c r="E118" s="9" t="s">
        <v>185</v>
      </c>
      <c r="F118" s="16">
        <v>9147960</v>
      </c>
      <c r="G118" s="11">
        <v>46045</v>
      </c>
      <c r="H118" s="9">
        <v>0</v>
      </c>
      <c r="I118" s="9">
        <v>288630</v>
      </c>
      <c r="J118" s="9">
        <v>54840</v>
      </c>
      <c r="K118" s="9"/>
      <c r="L118" s="9">
        <v>343470</v>
      </c>
      <c r="M118" s="9" t="s">
        <v>186</v>
      </c>
      <c r="N118" s="12">
        <v>3102104</v>
      </c>
      <c r="O118" s="12" t="s">
        <v>67</v>
      </c>
      <c r="P118" s="13">
        <v>402</v>
      </c>
      <c r="Q118" s="14" t="s">
        <v>22</v>
      </c>
      <c r="R118">
        <v>10733892</v>
      </c>
    </row>
    <row r="119" spans="1:18" ht="15.6" hidden="1" x14ac:dyDescent="0.35">
      <c r="A119" s="9">
        <v>121</v>
      </c>
      <c r="B119" s="9">
        <v>61</v>
      </c>
      <c r="C119" s="9" t="s">
        <v>18</v>
      </c>
      <c r="D119" s="9">
        <v>773982201</v>
      </c>
      <c r="E119" s="9" t="s">
        <v>185</v>
      </c>
      <c r="F119" s="16">
        <v>9147961</v>
      </c>
      <c r="G119" s="11">
        <v>46045</v>
      </c>
      <c r="H119" s="9">
        <v>0</v>
      </c>
      <c r="I119" s="9">
        <v>8318</v>
      </c>
      <c r="J119" s="9">
        <v>1581</v>
      </c>
      <c r="K119" s="9"/>
      <c r="L119" s="9">
        <v>9899</v>
      </c>
      <c r="M119" s="9" t="s">
        <v>186</v>
      </c>
      <c r="N119" s="12">
        <v>3102108</v>
      </c>
      <c r="O119" s="12" t="s">
        <v>48</v>
      </c>
      <c r="P119" s="13">
        <v>402</v>
      </c>
      <c r="Q119" s="14" t="s">
        <v>22</v>
      </c>
      <c r="R119">
        <v>10696029</v>
      </c>
    </row>
    <row r="120" spans="1:18" ht="15.6" hidden="1" x14ac:dyDescent="0.35">
      <c r="A120" s="9">
        <v>122</v>
      </c>
      <c r="B120" s="9">
        <v>61</v>
      </c>
      <c r="C120" s="9" t="s">
        <v>18</v>
      </c>
      <c r="D120" s="9">
        <v>773982201</v>
      </c>
      <c r="E120" s="9" t="s">
        <v>185</v>
      </c>
      <c r="F120" s="16">
        <v>9147959</v>
      </c>
      <c r="G120" s="11">
        <v>46045</v>
      </c>
      <c r="H120" s="9">
        <v>0</v>
      </c>
      <c r="I120" s="9">
        <v>17715</v>
      </c>
      <c r="J120" s="9">
        <v>3366</v>
      </c>
      <c r="K120" s="9"/>
      <c r="L120" s="9">
        <v>21081</v>
      </c>
      <c r="M120" s="9" t="s">
        <v>216</v>
      </c>
      <c r="N120" s="12">
        <v>3102104</v>
      </c>
      <c r="O120" s="12" t="s">
        <v>67</v>
      </c>
      <c r="P120" s="13">
        <v>402</v>
      </c>
      <c r="Q120" s="14" t="s">
        <v>22</v>
      </c>
      <c r="R120">
        <v>10733892</v>
      </c>
    </row>
    <row r="121" spans="1:18" ht="15.6" hidden="1" x14ac:dyDescent="0.35">
      <c r="A121" s="9">
        <v>123</v>
      </c>
      <c r="B121" s="9">
        <v>61</v>
      </c>
      <c r="C121" s="9" t="s">
        <v>18</v>
      </c>
      <c r="D121" s="9">
        <v>762124920</v>
      </c>
      <c r="E121" s="9" t="s">
        <v>183</v>
      </c>
      <c r="F121" s="16">
        <v>368485</v>
      </c>
      <c r="G121" s="11">
        <v>46044</v>
      </c>
      <c r="H121" s="9">
        <v>0</v>
      </c>
      <c r="I121" s="9">
        <v>1564567</v>
      </c>
      <c r="J121" s="9">
        <v>297268</v>
      </c>
      <c r="K121" s="9"/>
      <c r="L121" s="9">
        <v>1861835</v>
      </c>
      <c r="M121" s="9" t="s">
        <v>217</v>
      </c>
      <c r="N121" s="24">
        <v>3102105</v>
      </c>
      <c r="O121" s="24" t="s">
        <v>51</v>
      </c>
      <c r="P121" s="13">
        <v>405</v>
      </c>
      <c r="Q121" s="14" t="s">
        <v>22</v>
      </c>
      <c r="R121">
        <v>424422</v>
      </c>
    </row>
    <row r="122" spans="1:18" ht="15.6" hidden="1" x14ac:dyDescent="0.35">
      <c r="A122" s="9">
        <v>124</v>
      </c>
      <c r="B122" s="9">
        <v>61</v>
      </c>
      <c r="C122" s="9" t="s">
        <v>18</v>
      </c>
      <c r="D122" s="9">
        <v>966893109</v>
      </c>
      <c r="E122" s="9" t="s">
        <v>218</v>
      </c>
      <c r="F122" s="16">
        <v>11850255</v>
      </c>
      <c r="G122" s="11">
        <v>46049</v>
      </c>
      <c r="H122" s="9">
        <v>0</v>
      </c>
      <c r="I122" s="9">
        <v>5531</v>
      </c>
      <c r="J122" s="9">
        <v>1051</v>
      </c>
      <c r="K122" s="9"/>
      <c r="L122" s="9">
        <v>6582</v>
      </c>
      <c r="M122" s="9" t="s">
        <v>219</v>
      </c>
      <c r="N122" s="12">
        <v>3106812</v>
      </c>
      <c r="O122" s="12" t="s">
        <v>201</v>
      </c>
      <c r="P122" s="13" t="s">
        <v>202</v>
      </c>
      <c r="Q122" s="14" t="s">
        <v>22</v>
      </c>
      <c r="R122">
        <v>57083470</v>
      </c>
    </row>
    <row r="123" spans="1:18" ht="15.6" hidden="1" x14ac:dyDescent="0.35">
      <c r="A123" s="9">
        <v>125</v>
      </c>
      <c r="B123" s="9">
        <v>61</v>
      </c>
      <c r="C123" s="9" t="s">
        <v>18</v>
      </c>
      <c r="D123" s="9">
        <v>761104365</v>
      </c>
      <c r="E123" s="9" t="s">
        <v>111</v>
      </c>
      <c r="F123" s="16">
        <v>2369</v>
      </c>
      <c r="G123" s="11">
        <v>46051</v>
      </c>
      <c r="H123" s="9">
        <v>0</v>
      </c>
      <c r="I123" s="9">
        <v>854564</v>
      </c>
      <c r="J123" s="9">
        <v>162367</v>
      </c>
      <c r="K123" s="9"/>
      <c r="L123" s="9">
        <v>1016931</v>
      </c>
      <c r="M123" s="9" t="s">
        <v>220</v>
      </c>
      <c r="N123" s="12">
        <v>3106837</v>
      </c>
      <c r="O123" s="12" t="s">
        <v>113</v>
      </c>
      <c r="P123" s="13">
        <v>1</v>
      </c>
      <c r="Q123" s="14" t="s">
        <v>22</v>
      </c>
      <c r="R123">
        <v>15286</v>
      </c>
    </row>
    <row r="124" spans="1:18" ht="15.6" hidden="1" x14ac:dyDescent="0.35">
      <c r="A124" s="9">
        <v>126</v>
      </c>
      <c r="B124" s="9">
        <v>61</v>
      </c>
      <c r="C124" s="9" t="s">
        <v>18</v>
      </c>
      <c r="D124" s="9">
        <v>780738200</v>
      </c>
      <c r="E124" s="9" t="s">
        <v>124</v>
      </c>
      <c r="F124" s="16">
        <v>186</v>
      </c>
      <c r="G124" s="11">
        <v>46051</v>
      </c>
      <c r="H124" s="9">
        <v>0</v>
      </c>
      <c r="I124" s="9">
        <v>357504</v>
      </c>
      <c r="J124" s="9">
        <v>67926</v>
      </c>
      <c r="K124" s="9"/>
      <c r="L124" s="9">
        <v>425430</v>
      </c>
      <c r="M124" s="9" t="s">
        <v>221</v>
      </c>
      <c r="N124" s="12">
        <v>3106818</v>
      </c>
      <c r="O124" s="12" t="s">
        <v>126</v>
      </c>
      <c r="P124" s="13" t="s">
        <v>127</v>
      </c>
      <c r="Q124" s="14" t="s">
        <v>22</v>
      </c>
      <c r="R124">
        <v>3631</v>
      </c>
    </row>
    <row r="125" spans="1:18" ht="15.6" hidden="1" x14ac:dyDescent="0.35">
      <c r="A125" s="9">
        <v>127</v>
      </c>
      <c r="B125" s="9">
        <v>61</v>
      </c>
      <c r="C125" s="9" t="s">
        <v>18</v>
      </c>
      <c r="D125" s="9">
        <v>966893109</v>
      </c>
      <c r="E125" s="9" t="s">
        <v>218</v>
      </c>
      <c r="F125" s="16">
        <v>11944106</v>
      </c>
      <c r="G125" s="11">
        <v>46049</v>
      </c>
      <c r="H125" s="9">
        <v>0</v>
      </c>
      <c r="I125" s="9">
        <v>66129</v>
      </c>
      <c r="J125" s="9">
        <v>12564</v>
      </c>
      <c r="K125" s="9"/>
      <c r="L125" s="9">
        <v>78693</v>
      </c>
      <c r="M125" s="9" t="s">
        <v>222</v>
      </c>
      <c r="N125" s="12">
        <v>3106812</v>
      </c>
      <c r="O125" s="12" t="s">
        <v>201</v>
      </c>
      <c r="P125" s="13" t="s">
        <v>202</v>
      </c>
      <c r="Q125" s="14" t="s">
        <v>22</v>
      </c>
      <c r="R125">
        <v>57083470</v>
      </c>
    </row>
  </sheetData>
  <autoFilter ref="A1:V125" xr:uid="{6647C714-68F0-4E0D-B1FA-2C4C5E3AB93B}">
    <filterColumn colId="4">
      <filters>
        <filter val="Banco de Chile"/>
      </filters>
    </filterColumn>
  </autoFilter>
  <pageMargins left="0.7" right="0.7" top="0.75" bottom="0.75" header="0.3" footer="0.3"/>
  <headerFooter>
    <oddFooter>&amp;C_x000D_&amp;1#&amp;"Aptos"&amp;9&amp;K000000 Clasificación: Interno, no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FB1A-B103-4364-8284-5457FBF4E36C}">
  <sheetPr>
    <tabColor rgb="FF002060"/>
  </sheetPr>
  <dimension ref="A1:M416"/>
  <sheetViews>
    <sheetView topLeftCell="C364" zoomScale="115" zoomScaleNormal="115" workbookViewId="0">
      <selection activeCell="N35" sqref="N35:P128"/>
    </sheetView>
  </sheetViews>
  <sheetFormatPr baseColWidth="10" defaultRowHeight="14" x14ac:dyDescent="0.3"/>
  <cols>
    <col min="1" max="1" width="11.796875" customWidth="1"/>
    <col min="2" max="2" width="69.796875" customWidth="1"/>
    <col min="3" max="3" width="8.69921875" customWidth="1"/>
    <col min="4" max="4" width="9.5" customWidth="1"/>
    <col min="5" max="5" width="12.296875" customWidth="1"/>
    <col min="6" max="6" width="46.296875" customWidth="1"/>
    <col min="9" max="9" width="16" customWidth="1"/>
    <col min="10" max="10" width="32.296875" bestFit="1" customWidth="1"/>
  </cols>
  <sheetData>
    <row r="1" spans="1:13" ht="24.05" customHeight="1" x14ac:dyDescent="0.3">
      <c r="A1" s="26" t="s">
        <v>223</v>
      </c>
      <c r="B1" s="26" t="s">
        <v>224</v>
      </c>
      <c r="C1" s="26" t="s">
        <v>1</v>
      </c>
      <c r="D1" s="26" t="s">
        <v>225</v>
      </c>
      <c r="E1" s="26" t="s">
        <v>226</v>
      </c>
      <c r="F1" s="26" t="s">
        <v>227</v>
      </c>
      <c r="G1" s="26" t="s">
        <v>228</v>
      </c>
      <c r="H1" s="26" t="s">
        <v>226</v>
      </c>
      <c r="I1" s="26" t="s">
        <v>227</v>
      </c>
      <c r="J1" s="26" t="s">
        <v>228</v>
      </c>
      <c r="K1" s="26" t="s">
        <v>226</v>
      </c>
      <c r="L1" s="26" t="s">
        <v>227</v>
      </c>
      <c r="M1" s="26" t="s">
        <v>228</v>
      </c>
    </row>
    <row r="2" spans="1:13" x14ac:dyDescent="0.3">
      <c r="A2" s="27" t="s">
        <v>229</v>
      </c>
      <c r="B2" s="28" t="s">
        <v>230</v>
      </c>
      <c r="C2" s="28" t="s">
        <v>231</v>
      </c>
      <c r="D2" s="29" t="s">
        <v>229</v>
      </c>
      <c r="E2" s="30">
        <v>3102102</v>
      </c>
      <c r="F2" s="30" t="s">
        <v>45</v>
      </c>
      <c r="G2" s="31">
        <v>300</v>
      </c>
    </row>
    <row r="3" spans="1:13" ht="16.55" customHeight="1" x14ac:dyDescent="0.3">
      <c r="A3" s="27">
        <v>77470182</v>
      </c>
      <c r="B3" s="28" t="s">
        <v>232</v>
      </c>
      <c r="C3" s="28" t="s">
        <v>231</v>
      </c>
      <c r="D3" s="28" t="s">
        <v>233</v>
      </c>
      <c r="E3" s="30">
        <v>3106305</v>
      </c>
      <c r="F3" s="30" t="s">
        <v>132</v>
      </c>
      <c r="G3" s="32" t="s">
        <v>41</v>
      </c>
      <c r="H3" s="9"/>
      <c r="I3" s="9"/>
      <c r="J3" s="9"/>
    </row>
    <row r="4" spans="1:13" x14ac:dyDescent="0.3">
      <c r="A4" s="27">
        <v>108532246</v>
      </c>
      <c r="B4" s="28" t="s">
        <v>194</v>
      </c>
      <c r="C4" s="28" t="s">
        <v>231</v>
      </c>
      <c r="D4" s="29" t="s">
        <v>234</v>
      </c>
      <c r="E4" s="30">
        <v>1106801</v>
      </c>
      <c r="F4" s="30" t="s">
        <v>37</v>
      </c>
      <c r="G4" s="31">
        <v>1</v>
      </c>
    </row>
    <row r="5" spans="1:13" ht="16.55" customHeight="1" x14ac:dyDescent="0.3">
      <c r="A5" s="27">
        <v>760965189</v>
      </c>
      <c r="B5" s="28" t="s">
        <v>158</v>
      </c>
      <c r="C5" s="28" t="s">
        <v>231</v>
      </c>
      <c r="D5" s="28" t="s">
        <v>235</v>
      </c>
      <c r="E5" s="30">
        <v>3107833</v>
      </c>
      <c r="F5" s="30" t="s">
        <v>72</v>
      </c>
      <c r="G5" s="32" t="s">
        <v>41</v>
      </c>
      <c r="H5" s="9"/>
      <c r="I5" s="9"/>
      <c r="J5" s="9"/>
    </row>
    <row r="6" spans="1:13" ht="16.55" customHeight="1" x14ac:dyDescent="0.3">
      <c r="A6" s="27">
        <v>760988200</v>
      </c>
      <c r="B6" s="28" t="s">
        <v>23</v>
      </c>
      <c r="C6" s="28" t="s">
        <v>231</v>
      </c>
      <c r="D6" s="28" t="s">
        <v>236</v>
      </c>
      <c r="E6" s="30">
        <v>3106302</v>
      </c>
      <c r="F6" s="30" t="s">
        <v>25</v>
      </c>
      <c r="G6" s="31">
        <v>300</v>
      </c>
      <c r="H6" s="9"/>
      <c r="I6" s="9"/>
      <c r="J6" s="9"/>
    </row>
    <row r="7" spans="1:13" ht="16.55" customHeight="1" x14ac:dyDescent="0.3">
      <c r="A7" s="27">
        <v>761104365</v>
      </c>
      <c r="B7" s="28" t="s">
        <v>237</v>
      </c>
      <c r="C7" s="28" t="s">
        <v>231</v>
      </c>
      <c r="D7" s="28" t="s">
        <v>238</v>
      </c>
      <c r="E7" s="30">
        <v>3106837</v>
      </c>
      <c r="F7" s="30" t="s">
        <v>113</v>
      </c>
      <c r="G7" s="32" t="s">
        <v>41</v>
      </c>
      <c r="H7" s="9"/>
      <c r="I7" s="9"/>
      <c r="J7" s="9"/>
    </row>
    <row r="8" spans="1:13" ht="16.55" customHeight="1" x14ac:dyDescent="0.3">
      <c r="A8" s="27">
        <v>761361449</v>
      </c>
      <c r="B8" s="28" t="s">
        <v>239</v>
      </c>
      <c r="C8" s="28" t="s">
        <v>231</v>
      </c>
      <c r="D8" s="28" t="s">
        <v>240</v>
      </c>
      <c r="E8" s="30">
        <v>3106403</v>
      </c>
      <c r="F8" s="30" t="s">
        <v>241</v>
      </c>
      <c r="G8" s="32" t="s">
        <v>41</v>
      </c>
      <c r="H8" s="9"/>
      <c r="I8" s="9"/>
      <c r="J8" s="9"/>
    </row>
    <row r="9" spans="1:13" ht="16.55" customHeight="1" x14ac:dyDescent="0.3">
      <c r="A9" s="27">
        <v>761448854</v>
      </c>
      <c r="B9" s="28" t="s">
        <v>242</v>
      </c>
      <c r="C9" s="28" t="s">
        <v>231</v>
      </c>
      <c r="D9" s="28" t="s">
        <v>243</v>
      </c>
      <c r="E9" s="33">
        <v>3107833</v>
      </c>
      <c r="F9" s="30" t="s">
        <v>72</v>
      </c>
      <c r="G9" s="32" t="s">
        <v>41</v>
      </c>
      <c r="H9" s="9"/>
      <c r="I9" s="9"/>
      <c r="J9" s="9"/>
    </row>
    <row r="10" spans="1:13" ht="16.55" customHeight="1" x14ac:dyDescent="0.3">
      <c r="A10" s="27">
        <v>761486969</v>
      </c>
      <c r="B10" s="28" t="s">
        <v>244</v>
      </c>
      <c r="C10" s="28" t="s">
        <v>231</v>
      </c>
      <c r="D10" s="28" t="s">
        <v>245</v>
      </c>
      <c r="E10" s="30">
        <v>3106802</v>
      </c>
      <c r="F10" s="30" t="s">
        <v>246</v>
      </c>
      <c r="G10" s="32" t="s">
        <v>41</v>
      </c>
      <c r="H10" s="9"/>
      <c r="I10" s="9"/>
      <c r="J10" s="9"/>
    </row>
    <row r="11" spans="1:13" ht="16.55" customHeight="1" x14ac:dyDescent="0.3">
      <c r="A11" s="27" t="s">
        <v>247</v>
      </c>
      <c r="B11" s="28" t="s">
        <v>248</v>
      </c>
      <c r="C11" s="28" t="s">
        <v>231</v>
      </c>
      <c r="D11" s="28" t="s">
        <v>247</v>
      </c>
      <c r="E11" s="30">
        <v>3107833</v>
      </c>
      <c r="F11" s="30" t="s">
        <v>72</v>
      </c>
      <c r="G11" s="32" t="s">
        <v>41</v>
      </c>
      <c r="H11" s="9"/>
      <c r="I11" s="9"/>
      <c r="J11" s="9"/>
    </row>
    <row r="12" spans="1:13" ht="16.55" customHeight="1" x14ac:dyDescent="0.3">
      <c r="A12" s="27">
        <v>761702858</v>
      </c>
      <c r="B12" s="28" t="s">
        <v>249</v>
      </c>
      <c r="C12" s="28" t="s">
        <v>231</v>
      </c>
      <c r="D12" s="28" t="s">
        <v>250</v>
      </c>
      <c r="E12" s="30" t="s">
        <v>251</v>
      </c>
      <c r="F12" s="30" t="s">
        <v>48</v>
      </c>
      <c r="G12" s="31">
        <v>401</v>
      </c>
      <c r="H12" s="30">
        <v>3102104</v>
      </c>
      <c r="I12" s="30" t="s">
        <v>67</v>
      </c>
      <c r="J12" s="31">
        <v>401</v>
      </c>
      <c r="K12" s="30">
        <v>3102105</v>
      </c>
      <c r="L12" s="30" t="s">
        <v>51</v>
      </c>
      <c r="M12" s="31">
        <v>401</v>
      </c>
    </row>
    <row r="13" spans="1:13" ht="16.55" customHeight="1" x14ac:dyDescent="0.3">
      <c r="A13" s="27">
        <v>761721143</v>
      </c>
      <c r="B13" s="28" t="s">
        <v>252</v>
      </c>
      <c r="C13" s="28"/>
      <c r="D13" s="28">
        <v>761721143</v>
      </c>
      <c r="E13" s="30">
        <v>3102102</v>
      </c>
      <c r="F13" s="30" t="s">
        <v>45</v>
      </c>
      <c r="G13" s="31">
        <v>150</v>
      </c>
      <c r="H13" s="9"/>
      <c r="I13" s="9"/>
      <c r="J13" s="9"/>
    </row>
    <row r="14" spans="1:13" ht="16.55" customHeight="1" x14ac:dyDescent="0.3">
      <c r="A14" s="34">
        <v>762000180</v>
      </c>
      <c r="B14" s="35" t="s">
        <v>115</v>
      </c>
      <c r="C14" s="35" t="s">
        <v>231</v>
      </c>
      <c r="D14" s="35" t="s">
        <v>253</v>
      </c>
      <c r="E14" s="36">
        <v>1106801</v>
      </c>
      <c r="F14" s="36" t="s">
        <v>37</v>
      </c>
      <c r="G14" s="37">
        <v>1</v>
      </c>
      <c r="H14" s="9"/>
      <c r="I14" s="9"/>
      <c r="J14" s="9"/>
    </row>
    <row r="15" spans="1:13" x14ac:dyDescent="0.3">
      <c r="A15" s="27">
        <v>762032996</v>
      </c>
      <c r="B15" s="28" t="s">
        <v>104</v>
      </c>
      <c r="C15" s="28" t="s">
        <v>231</v>
      </c>
      <c r="D15" s="29" t="s">
        <v>254</v>
      </c>
      <c r="E15" s="30">
        <v>3106301</v>
      </c>
      <c r="F15" s="30" t="s">
        <v>94</v>
      </c>
      <c r="G15" s="31">
        <v>170</v>
      </c>
      <c r="H15" t="s">
        <v>255</v>
      </c>
    </row>
    <row r="16" spans="1:13" ht="16.55" customHeight="1" x14ac:dyDescent="0.3">
      <c r="A16" s="38">
        <v>762124920</v>
      </c>
      <c r="B16" s="39" t="s">
        <v>256</v>
      </c>
      <c r="C16" s="39" t="s">
        <v>231</v>
      </c>
      <c r="D16" s="39" t="s">
        <v>257</v>
      </c>
      <c r="E16" s="30">
        <v>3102104</v>
      </c>
      <c r="F16" s="30" t="s">
        <v>67</v>
      </c>
      <c r="G16" s="31">
        <v>405</v>
      </c>
      <c r="H16" s="30">
        <v>3102108</v>
      </c>
      <c r="I16" s="30" t="s">
        <v>48</v>
      </c>
      <c r="J16" s="31">
        <v>405</v>
      </c>
    </row>
    <row r="17" spans="1:10" ht="16.55" customHeight="1" x14ac:dyDescent="0.3">
      <c r="A17" s="27">
        <v>762183285</v>
      </c>
      <c r="B17" s="28" t="s">
        <v>258</v>
      </c>
      <c r="C17" s="28" t="s">
        <v>231</v>
      </c>
      <c r="D17" s="28" t="s">
        <v>259</v>
      </c>
      <c r="E17" s="30">
        <v>3106305</v>
      </c>
      <c r="F17" s="30" t="s">
        <v>132</v>
      </c>
      <c r="G17" s="31">
        <v>300</v>
      </c>
      <c r="H17" s="9"/>
      <c r="I17" s="9"/>
      <c r="J17" s="9"/>
    </row>
    <row r="18" spans="1:10" ht="16.55" customHeight="1" x14ac:dyDescent="0.3">
      <c r="A18" s="27">
        <v>764333101</v>
      </c>
      <c r="B18" s="28" t="s">
        <v>99</v>
      </c>
      <c r="C18" s="28" t="s">
        <v>231</v>
      </c>
      <c r="D18" s="28" t="s">
        <v>260</v>
      </c>
      <c r="E18" s="30">
        <v>3106301</v>
      </c>
      <c r="F18" s="30" t="s">
        <v>94</v>
      </c>
      <c r="G18" s="31">
        <v>180</v>
      </c>
      <c r="H18" s="9" t="s">
        <v>261</v>
      </c>
      <c r="I18" s="9"/>
      <c r="J18" s="9"/>
    </row>
    <row r="19" spans="1:10" ht="16.55" customHeight="1" x14ac:dyDescent="0.3">
      <c r="A19" s="27">
        <v>764889193</v>
      </c>
      <c r="B19" s="28" t="s">
        <v>262</v>
      </c>
      <c r="C19" s="28" t="s">
        <v>231</v>
      </c>
      <c r="D19" s="28" t="s">
        <v>263</v>
      </c>
      <c r="E19" s="30">
        <v>3106305</v>
      </c>
      <c r="F19" s="30" t="s">
        <v>132</v>
      </c>
      <c r="G19" s="31">
        <v>300</v>
      </c>
      <c r="H19" s="9"/>
      <c r="I19" s="9"/>
      <c r="J19" s="9"/>
    </row>
    <row r="20" spans="1:10" ht="16.55" customHeight="1" x14ac:dyDescent="0.3">
      <c r="A20" s="27">
        <v>765839203</v>
      </c>
      <c r="B20" s="28" t="s">
        <v>264</v>
      </c>
      <c r="C20" s="28" t="s">
        <v>231</v>
      </c>
      <c r="D20" s="28" t="s">
        <v>265</v>
      </c>
      <c r="E20" s="30">
        <v>3107833</v>
      </c>
      <c r="F20" s="30" t="s">
        <v>72</v>
      </c>
      <c r="G20" s="32" t="s">
        <v>41</v>
      </c>
      <c r="H20" s="9"/>
      <c r="I20" s="9"/>
      <c r="J20" s="9"/>
    </row>
    <row r="21" spans="1:10" ht="16.55" customHeight="1" x14ac:dyDescent="0.3">
      <c r="A21" s="27" t="s">
        <v>266</v>
      </c>
      <c r="B21" s="28" t="s">
        <v>267</v>
      </c>
      <c r="C21" s="28" t="s">
        <v>231</v>
      </c>
      <c r="D21" s="28" t="s">
        <v>268</v>
      </c>
      <c r="E21" s="30">
        <v>3106306</v>
      </c>
      <c r="F21" s="30" t="s">
        <v>269</v>
      </c>
      <c r="G21" s="32" t="s">
        <v>41</v>
      </c>
      <c r="H21" s="9"/>
      <c r="I21" s="9"/>
      <c r="J21" s="9"/>
    </row>
    <row r="22" spans="1:10" ht="16.55" customHeight="1" x14ac:dyDescent="0.3">
      <c r="A22" s="27">
        <v>768198470</v>
      </c>
      <c r="B22" s="28" t="s">
        <v>270</v>
      </c>
      <c r="C22" s="28" t="s">
        <v>231</v>
      </c>
      <c r="D22" s="28" t="s">
        <v>271</v>
      </c>
      <c r="E22" s="30">
        <v>1202401</v>
      </c>
      <c r="F22" s="30" t="s">
        <v>121</v>
      </c>
      <c r="G22" s="31">
        <v>1</v>
      </c>
      <c r="H22" s="9"/>
      <c r="I22" s="9"/>
      <c r="J22" s="9"/>
    </row>
    <row r="23" spans="1:10" ht="16.55" customHeight="1" x14ac:dyDescent="0.3">
      <c r="A23" s="27">
        <v>768322481</v>
      </c>
      <c r="B23" s="28" t="s">
        <v>272</v>
      </c>
      <c r="C23" s="28" t="s">
        <v>231</v>
      </c>
      <c r="D23" s="28" t="s">
        <v>273</v>
      </c>
      <c r="E23" s="30">
        <v>3107833</v>
      </c>
      <c r="F23" s="30" t="s">
        <v>72</v>
      </c>
      <c r="G23" s="32" t="s">
        <v>41</v>
      </c>
      <c r="H23" s="9"/>
      <c r="I23" s="9"/>
      <c r="J23" s="9"/>
    </row>
    <row r="24" spans="1:10" ht="16.55" customHeight="1" x14ac:dyDescent="0.3">
      <c r="A24" s="27">
        <v>768337500</v>
      </c>
      <c r="B24" s="28" t="s">
        <v>274</v>
      </c>
      <c r="C24" s="28" t="s">
        <v>231</v>
      </c>
      <c r="D24" s="28" t="s">
        <v>275</v>
      </c>
      <c r="E24" s="30">
        <v>3106601</v>
      </c>
      <c r="F24" s="30" t="s">
        <v>75</v>
      </c>
      <c r="G24" s="32" t="s">
        <v>41</v>
      </c>
      <c r="H24" s="9"/>
      <c r="I24" s="9"/>
      <c r="J24" s="9"/>
    </row>
    <row r="25" spans="1:10" ht="16.55" customHeight="1" x14ac:dyDescent="0.3">
      <c r="A25" s="27">
        <v>768823308</v>
      </c>
      <c r="B25" s="28" t="s">
        <v>276</v>
      </c>
      <c r="C25" s="28" t="s">
        <v>231</v>
      </c>
      <c r="D25" s="28" t="s">
        <v>277</v>
      </c>
      <c r="E25" s="30">
        <v>3106301</v>
      </c>
      <c r="F25" s="30" t="s">
        <v>94</v>
      </c>
      <c r="G25" s="31">
        <v>130</v>
      </c>
      <c r="H25" s="9"/>
      <c r="I25" s="9"/>
      <c r="J25" s="9"/>
    </row>
    <row r="26" spans="1:10" ht="16.55" customHeight="1" x14ac:dyDescent="0.3">
      <c r="A26" s="27">
        <v>770877237</v>
      </c>
      <c r="B26" s="28" t="s">
        <v>278</v>
      </c>
      <c r="C26" s="28" t="s">
        <v>231</v>
      </c>
      <c r="D26" s="28" t="s">
        <v>279</v>
      </c>
      <c r="E26" s="30">
        <v>3107833</v>
      </c>
      <c r="F26" s="30" t="s">
        <v>72</v>
      </c>
      <c r="G26" s="32" t="s">
        <v>41</v>
      </c>
      <c r="H26" s="9"/>
      <c r="I26" s="9"/>
      <c r="J26" s="9"/>
    </row>
    <row r="27" spans="1:10" ht="16.55" customHeight="1" x14ac:dyDescent="0.3">
      <c r="A27" s="27">
        <v>771245005</v>
      </c>
      <c r="B27" s="28" t="s">
        <v>280</v>
      </c>
      <c r="C27" s="28" t="s">
        <v>231</v>
      </c>
      <c r="D27" s="28" t="s">
        <v>281</v>
      </c>
      <c r="E27" s="30">
        <v>1103201</v>
      </c>
      <c r="F27" s="30" t="s">
        <v>282</v>
      </c>
      <c r="G27" s="31">
        <v>1</v>
      </c>
      <c r="H27" s="9"/>
      <c r="I27" s="9"/>
      <c r="J27" s="9"/>
    </row>
    <row r="28" spans="1:10" ht="16.55" customHeight="1" x14ac:dyDescent="0.3">
      <c r="A28" s="27">
        <v>771577679</v>
      </c>
      <c r="B28" s="28" t="s">
        <v>283</v>
      </c>
      <c r="C28" s="28" t="s">
        <v>231</v>
      </c>
      <c r="D28" s="28" t="s">
        <v>284</v>
      </c>
      <c r="E28" s="30">
        <v>3106820</v>
      </c>
      <c r="F28" s="30" t="s">
        <v>285</v>
      </c>
      <c r="G28" s="31">
        <v>2</v>
      </c>
      <c r="H28" s="9"/>
      <c r="I28" s="9"/>
      <c r="J28" s="9"/>
    </row>
    <row r="29" spans="1:10" ht="16.55" customHeight="1" x14ac:dyDescent="0.3">
      <c r="A29" s="27" t="s">
        <v>286</v>
      </c>
      <c r="B29" s="28" t="s">
        <v>287</v>
      </c>
      <c r="C29" s="28" t="s">
        <v>231</v>
      </c>
      <c r="D29" s="28" t="s">
        <v>286</v>
      </c>
      <c r="E29" s="30">
        <v>3106116</v>
      </c>
      <c r="F29" s="30" t="s">
        <v>175</v>
      </c>
      <c r="G29" s="32" t="s">
        <v>41</v>
      </c>
      <c r="H29" s="9"/>
      <c r="I29" s="9"/>
      <c r="J29" s="9"/>
    </row>
    <row r="30" spans="1:10" ht="16.55" customHeight="1" x14ac:dyDescent="0.3">
      <c r="A30" s="27">
        <v>773750904</v>
      </c>
      <c r="B30" s="28" t="s">
        <v>288</v>
      </c>
      <c r="C30" s="28" t="s">
        <v>231</v>
      </c>
      <c r="D30" s="28" t="s">
        <v>289</v>
      </c>
      <c r="E30" s="30"/>
      <c r="F30" s="30"/>
      <c r="G30" s="31"/>
      <c r="H30" s="9"/>
      <c r="I30" s="9"/>
      <c r="J30" s="9"/>
    </row>
    <row r="31" spans="1:10" ht="16.55" customHeight="1" x14ac:dyDescent="0.3">
      <c r="A31" s="27">
        <v>773982201</v>
      </c>
      <c r="B31" s="28" t="s">
        <v>185</v>
      </c>
      <c r="C31" s="28" t="s">
        <v>231</v>
      </c>
      <c r="D31" s="28" t="s">
        <v>290</v>
      </c>
      <c r="E31" s="30">
        <v>3102104</v>
      </c>
      <c r="F31" s="30" t="s">
        <v>67</v>
      </c>
      <c r="G31" s="31">
        <v>402</v>
      </c>
      <c r="H31" s="30">
        <v>3102108</v>
      </c>
      <c r="I31" s="30" t="s">
        <v>48</v>
      </c>
      <c r="J31" s="31">
        <v>402</v>
      </c>
    </row>
    <row r="32" spans="1:10" ht="16.55" customHeight="1" x14ac:dyDescent="0.3">
      <c r="A32" s="27">
        <v>774653414</v>
      </c>
      <c r="B32" s="28" t="s">
        <v>291</v>
      </c>
      <c r="C32" s="28" t="s">
        <v>231</v>
      </c>
      <c r="D32" s="28" t="s">
        <v>292</v>
      </c>
      <c r="E32" s="30">
        <v>3107822</v>
      </c>
      <c r="F32" s="30" t="s">
        <v>64</v>
      </c>
      <c r="G32" s="31">
        <v>3</v>
      </c>
      <c r="H32" s="30">
        <v>3102108</v>
      </c>
      <c r="I32" s="30" t="s">
        <v>48</v>
      </c>
      <c r="J32" s="31">
        <v>400</v>
      </c>
    </row>
    <row r="33" spans="1:13" ht="16.55" customHeight="1" x14ac:dyDescent="0.3">
      <c r="A33" s="27">
        <v>774905359</v>
      </c>
      <c r="B33" s="28" t="s">
        <v>293</v>
      </c>
      <c r="C33" s="28" t="s">
        <v>231</v>
      </c>
      <c r="D33" s="28" t="s">
        <v>294</v>
      </c>
      <c r="E33" s="30">
        <v>2102605</v>
      </c>
      <c r="F33" s="30" t="s">
        <v>21</v>
      </c>
      <c r="G33" s="31">
        <v>1</v>
      </c>
      <c r="H33" s="30"/>
      <c r="I33" s="30"/>
      <c r="J33" s="13"/>
    </row>
    <row r="34" spans="1:13" ht="16.55" customHeight="1" x14ac:dyDescent="0.3">
      <c r="A34" s="27">
        <v>775451475</v>
      </c>
      <c r="B34" s="28" t="s">
        <v>160</v>
      </c>
      <c r="C34" s="28" t="s">
        <v>231</v>
      </c>
      <c r="D34" s="28" t="s">
        <v>295</v>
      </c>
      <c r="E34" s="30">
        <v>1202401</v>
      </c>
      <c r="F34" s="30" t="s">
        <v>121</v>
      </c>
      <c r="G34" s="31"/>
      <c r="H34" s="9"/>
      <c r="I34" s="9"/>
      <c r="J34" s="13"/>
    </row>
    <row r="35" spans="1:13" ht="16.55" customHeight="1" x14ac:dyDescent="0.3">
      <c r="A35" s="27">
        <v>784089908</v>
      </c>
      <c r="B35" s="28" t="s">
        <v>101</v>
      </c>
      <c r="C35" s="28" t="s">
        <v>231</v>
      </c>
      <c r="D35" s="28" t="s">
        <v>296</v>
      </c>
      <c r="E35" s="30">
        <v>3106301</v>
      </c>
      <c r="F35" s="30" t="s">
        <v>94</v>
      </c>
      <c r="G35" s="31" t="s">
        <v>297</v>
      </c>
      <c r="H35" s="9" t="s">
        <v>298</v>
      </c>
      <c r="I35" s="9"/>
      <c r="J35" s="13"/>
    </row>
    <row r="36" spans="1:13" ht="16.55" customHeight="1" x14ac:dyDescent="0.3">
      <c r="A36" s="27">
        <v>788855508</v>
      </c>
      <c r="B36" s="28" t="s">
        <v>299</v>
      </c>
      <c r="C36" s="28" t="s">
        <v>231</v>
      </c>
      <c r="D36" s="28" t="s">
        <v>300</v>
      </c>
      <c r="E36" s="30" t="s">
        <v>301</v>
      </c>
      <c r="F36" s="30" t="s">
        <v>302</v>
      </c>
      <c r="G36" s="31">
        <v>300</v>
      </c>
      <c r="H36" s="9"/>
      <c r="I36" s="9"/>
      <c r="J36" s="13"/>
    </row>
    <row r="37" spans="1:13" ht="16.55" customHeight="1" x14ac:dyDescent="0.3">
      <c r="A37" s="27">
        <v>799906708</v>
      </c>
      <c r="B37" s="28" t="s">
        <v>303</v>
      </c>
      <c r="C37" s="28" t="s">
        <v>231</v>
      </c>
      <c r="D37" s="28" t="s">
        <v>304</v>
      </c>
      <c r="E37" s="30">
        <v>3106301</v>
      </c>
      <c r="F37" s="30" t="s">
        <v>94</v>
      </c>
      <c r="G37" s="31">
        <v>140</v>
      </c>
      <c r="H37" s="9"/>
      <c r="I37" s="9"/>
      <c r="J37" s="13"/>
    </row>
    <row r="38" spans="1:13" ht="16.55" customHeight="1" x14ac:dyDescent="0.3">
      <c r="A38" s="27" t="s">
        <v>305</v>
      </c>
      <c r="B38" s="28" t="s">
        <v>306</v>
      </c>
      <c r="C38" s="28" t="s">
        <v>231</v>
      </c>
      <c r="D38" s="28" t="s">
        <v>305</v>
      </c>
      <c r="E38" s="30" t="s">
        <v>307</v>
      </c>
      <c r="F38" s="30" t="s">
        <v>67</v>
      </c>
      <c r="G38" s="31" t="s">
        <v>308</v>
      </c>
      <c r="H38" s="9"/>
      <c r="I38" s="9"/>
      <c r="J38" s="13"/>
    </row>
    <row r="39" spans="1:13" ht="16.55" customHeight="1" x14ac:dyDescent="0.3">
      <c r="A39" s="27">
        <v>833827006</v>
      </c>
      <c r="B39" s="28" t="s">
        <v>173</v>
      </c>
      <c r="C39" s="28" t="s">
        <v>231</v>
      </c>
      <c r="D39" s="28" t="s">
        <v>309</v>
      </c>
      <c r="E39" s="30" t="s">
        <v>251</v>
      </c>
      <c r="F39" s="30" t="s">
        <v>48</v>
      </c>
      <c r="G39" s="31" t="s">
        <v>310</v>
      </c>
      <c r="H39" s="30">
        <v>3102104</v>
      </c>
      <c r="I39" s="30" t="s">
        <v>67</v>
      </c>
      <c r="J39" s="31" t="s">
        <v>310</v>
      </c>
      <c r="K39" s="30">
        <v>3102105</v>
      </c>
      <c r="L39" s="30" t="s">
        <v>51</v>
      </c>
      <c r="M39" s="31" t="s">
        <v>310</v>
      </c>
    </row>
    <row r="40" spans="1:13" ht="16.55" customHeight="1" x14ac:dyDescent="0.3">
      <c r="A40" s="27">
        <v>965382305</v>
      </c>
      <c r="B40" s="28" t="s">
        <v>311</v>
      </c>
      <c r="C40" s="28" t="s">
        <v>231</v>
      </c>
      <c r="D40" s="28" t="s">
        <v>312</v>
      </c>
      <c r="E40" s="30">
        <v>3106301</v>
      </c>
      <c r="F40" s="30" t="s">
        <v>94</v>
      </c>
      <c r="G40" s="31">
        <v>140</v>
      </c>
      <c r="H40" s="9"/>
      <c r="I40" s="9"/>
      <c r="J40" s="13"/>
    </row>
    <row r="41" spans="1:13" ht="16.55" customHeight="1" x14ac:dyDescent="0.3">
      <c r="A41" s="27">
        <v>965569405</v>
      </c>
      <c r="B41" s="28" t="s">
        <v>38</v>
      </c>
      <c r="C41" s="28" t="s">
        <v>231</v>
      </c>
      <c r="D41" s="28" t="s">
        <v>313</v>
      </c>
      <c r="E41" s="30">
        <v>3106803</v>
      </c>
      <c r="F41" s="30" t="s">
        <v>40</v>
      </c>
      <c r="G41" s="32" t="s">
        <v>41</v>
      </c>
      <c r="H41" s="9"/>
      <c r="I41" s="9"/>
      <c r="J41" s="13"/>
    </row>
    <row r="42" spans="1:13" ht="16.55" customHeight="1" x14ac:dyDescent="0.3">
      <c r="A42" s="27">
        <v>966536608</v>
      </c>
      <c r="B42" s="28" t="s">
        <v>314</v>
      </c>
      <c r="C42" s="28" t="s">
        <v>231</v>
      </c>
      <c r="D42" s="28" t="s">
        <v>315</v>
      </c>
      <c r="E42" s="30">
        <v>3106301</v>
      </c>
      <c r="F42" s="30" t="s">
        <v>94</v>
      </c>
      <c r="G42" s="31">
        <v>150</v>
      </c>
      <c r="H42" s="9"/>
      <c r="I42" s="9"/>
      <c r="J42" s="13"/>
    </row>
    <row r="43" spans="1:13" ht="16.55" customHeight="1" x14ac:dyDescent="0.3">
      <c r="A43" s="27">
        <v>966893109</v>
      </c>
      <c r="B43" s="28" t="s">
        <v>218</v>
      </c>
      <c r="C43" s="28" t="s">
        <v>231</v>
      </c>
      <c r="D43" s="28" t="s">
        <v>316</v>
      </c>
      <c r="E43" s="30">
        <v>3106812</v>
      </c>
      <c r="F43" s="30" t="s">
        <v>201</v>
      </c>
      <c r="G43" s="31" t="s">
        <v>202</v>
      </c>
      <c r="H43" s="9"/>
      <c r="I43" s="9"/>
      <c r="J43" s="13"/>
    </row>
    <row r="44" spans="1:13" ht="16.55" customHeight="1" x14ac:dyDescent="0.3">
      <c r="A44" s="27">
        <v>967115908</v>
      </c>
      <c r="B44" s="28" t="s">
        <v>317</v>
      </c>
      <c r="C44" s="28" t="s">
        <v>231</v>
      </c>
      <c r="D44" s="28" t="s">
        <v>318</v>
      </c>
      <c r="E44" s="30">
        <v>3106305</v>
      </c>
      <c r="F44" s="30" t="s">
        <v>132</v>
      </c>
      <c r="G44" s="31">
        <v>300</v>
      </c>
      <c r="H44" s="9"/>
      <c r="I44" s="9"/>
      <c r="J44" s="9"/>
    </row>
    <row r="45" spans="1:13" ht="16.55" customHeight="1" x14ac:dyDescent="0.3">
      <c r="A45" s="27" t="s">
        <v>319</v>
      </c>
      <c r="B45" s="28" t="s">
        <v>320</v>
      </c>
      <c r="C45" s="28" t="s">
        <v>231</v>
      </c>
      <c r="D45" s="28" t="s">
        <v>321</v>
      </c>
      <c r="E45" s="30">
        <v>3106301</v>
      </c>
      <c r="F45" s="30" t="s">
        <v>94</v>
      </c>
      <c r="G45" s="31">
        <v>160</v>
      </c>
      <c r="H45" s="9"/>
      <c r="I45" s="9"/>
      <c r="J45" s="13"/>
    </row>
    <row r="46" spans="1:13" ht="16.55" customHeight="1" x14ac:dyDescent="0.3">
      <c r="A46" s="27">
        <v>967564303</v>
      </c>
      <c r="B46" s="28" t="s">
        <v>322</v>
      </c>
      <c r="C46" s="28" t="s">
        <v>231</v>
      </c>
      <c r="D46" s="28" t="s">
        <v>323</v>
      </c>
      <c r="E46" s="30">
        <v>3102105</v>
      </c>
      <c r="F46" s="30" t="s">
        <v>51</v>
      </c>
      <c r="G46" s="31">
        <v>400</v>
      </c>
      <c r="H46" s="9"/>
      <c r="I46" s="9"/>
      <c r="J46" s="13"/>
    </row>
    <row r="47" spans="1:13" ht="16.55" customHeight="1" x14ac:dyDescent="0.3">
      <c r="A47" s="27">
        <v>967858609</v>
      </c>
      <c r="B47" s="28" t="s">
        <v>324</v>
      </c>
      <c r="C47" s="28" t="s">
        <v>231</v>
      </c>
      <c r="D47" s="28" t="s">
        <v>325</v>
      </c>
      <c r="E47" s="30">
        <v>3106116</v>
      </c>
      <c r="F47" s="30" t="s">
        <v>175</v>
      </c>
      <c r="G47" s="32" t="s">
        <v>41</v>
      </c>
      <c r="H47" s="9"/>
      <c r="I47" s="9"/>
      <c r="J47" s="13"/>
    </row>
    <row r="48" spans="1:13" ht="16.55" customHeight="1" x14ac:dyDescent="0.3">
      <c r="A48" s="27" t="s">
        <v>326</v>
      </c>
      <c r="B48" s="28" t="s">
        <v>327</v>
      </c>
      <c r="C48" s="28" t="s">
        <v>231</v>
      </c>
      <c r="D48" s="28" t="s">
        <v>326</v>
      </c>
      <c r="E48" s="30">
        <v>3106305</v>
      </c>
      <c r="F48" s="30" t="s">
        <v>132</v>
      </c>
      <c r="G48" s="31" t="s">
        <v>328</v>
      </c>
      <c r="H48" s="9"/>
      <c r="I48" s="9"/>
      <c r="J48" s="9"/>
    </row>
    <row r="49" spans="1:10" ht="16.55" customHeight="1" x14ac:dyDescent="0.3">
      <c r="A49" s="27" t="s">
        <v>329</v>
      </c>
      <c r="B49" s="28" t="s">
        <v>330</v>
      </c>
      <c r="C49" s="28" t="s">
        <v>231</v>
      </c>
      <c r="D49" s="28" t="s">
        <v>331</v>
      </c>
      <c r="E49" s="30">
        <v>3106401</v>
      </c>
      <c r="F49" s="30" t="s">
        <v>33</v>
      </c>
      <c r="G49" s="31" t="s">
        <v>332</v>
      </c>
      <c r="H49" s="9" t="s">
        <v>333</v>
      </c>
      <c r="I49" s="9"/>
      <c r="J49" s="13"/>
    </row>
    <row r="50" spans="1:10" ht="16.55" customHeight="1" x14ac:dyDescent="0.3">
      <c r="A50" s="27">
        <v>968056905</v>
      </c>
      <c r="B50" s="28" t="s">
        <v>155</v>
      </c>
      <c r="C50" s="28" t="s">
        <v>231</v>
      </c>
      <c r="D50" s="28" t="s">
        <v>334</v>
      </c>
      <c r="E50" s="30">
        <v>1106801</v>
      </c>
      <c r="F50" s="30" t="s">
        <v>37</v>
      </c>
      <c r="G50" s="31">
        <v>1</v>
      </c>
      <c r="H50" s="9"/>
      <c r="I50" s="9"/>
      <c r="J50" s="9"/>
    </row>
    <row r="51" spans="1:10" ht="16.55" customHeight="1" x14ac:dyDescent="0.3">
      <c r="A51" s="27" t="s">
        <v>170</v>
      </c>
      <c r="B51" s="28" t="s">
        <v>335</v>
      </c>
      <c r="C51" s="28" t="s">
        <v>231</v>
      </c>
      <c r="D51" s="28" t="s">
        <v>170</v>
      </c>
      <c r="E51" s="30">
        <v>1106801</v>
      </c>
      <c r="F51" s="30" t="s">
        <v>37</v>
      </c>
      <c r="G51" s="31">
        <v>1</v>
      </c>
      <c r="H51" s="9"/>
      <c r="I51" s="9"/>
      <c r="J51" s="9"/>
    </row>
    <row r="52" spans="1:10" ht="16.55" customHeight="1" x14ac:dyDescent="0.3">
      <c r="A52" s="27" t="s">
        <v>58</v>
      </c>
      <c r="B52" s="28" t="s">
        <v>336</v>
      </c>
      <c r="C52" s="28" t="s">
        <v>231</v>
      </c>
      <c r="D52" s="28" t="s">
        <v>58</v>
      </c>
      <c r="E52" s="33">
        <v>3106806</v>
      </c>
      <c r="F52" s="30" t="s">
        <v>61</v>
      </c>
      <c r="G52" s="31">
        <v>2</v>
      </c>
      <c r="H52" s="9"/>
      <c r="I52" s="9"/>
      <c r="J52" s="9"/>
    </row>
    <row r="53" spans="1:10" ht="16.55" customHeight="1" x14ac:dyDescent="0.3">
      <c r="A53" s="27">
        <v>970040005</v>
      </c>
      <c r="B53" s="28" t="s">
        <v>92</v>
      </c>
      <c r="C53" s="28" t="s">
        <v>231</v>
      </c>
      <c r="D53" s="28" t="s">
        <v>337</v>
      </c>
      <c r="E53" s="30">
        <v>3106301</v>
      </c>
      <c r="F53" s="30" t="s">
        <v>94</v>
      </c>
      <c r="G53" s="31">
        <v>190</v>
      </c>
      <c r="H53" s="9"/>
      <c r="I53" s="9"/>
      <c r="J53" s="9"/>
    </row>
    <row r="54" spans="1:10" ht="16.55" customHeight="1" x14ac:dyDescent="0.3">
      <c r="A54" s="27">
        <v>992250003</v>
      </c>
      <c r="B54" s="28" t="s">
        <v>168</v>
      </c>
      <c r="C54" s="28" t="s">
        <v>231</v>
      </c>
      <c r="D54" s="28" t="s">
        <v>338</v>
      </c>
      <c r="E54" s="30">
        <v>1106801</v>
      </c>
      <c r="F54" s="30" t="s">
        <v>37</v>
      </c>
      <c r="G54" s="31">
        <v>1</v>
      </c>
      <c r="H54" s="9"/>
      <c r="I54" s="9"/>
      <c r="J54" s="9"/>
    </row>
    <row r="55" spans="1:10" ht="16.55" customHeight="1" x14ac:dyDescent="0.3">
      <c r="A55" s="27">
        <v>992310006</v>
      </c>
      <c r="B55" s="28" t="s">
        <v>339</v>
      </c>
      <c r="C55" s="28" t="s">
        <v>231</v>
      </c>
      <c r="D55" s="28" t="s">
        <v>340</v>
      </c>
      <c r="E55" s="30" t="s">
        <v>341</v>
      </c>
      <c r="F55" s="30" t="s">
        <v>342</v>
      </c>
      <c r="G55" s="31">
        <v>2</v>
      </c>
      <c r="H55" s="9"/>
      <c r="I55" s="9"/>
      <c r="J55" s="9"/>
    </row>
    <row r="56" spans="1:10" ht="16.55" customHeight="1" x14ac:dyDescent="0.3">
      <c r="A56" s="27">
        <v>990610002</v>
      </c>
      <c r="B56" s="28" t="s">
        <v>339</v>
      </c>
      <c r="C56" s="28" t="s">
        <v>231</v>
      </c>
      <c r="D56" s="27">
        <v>990610002</v>
      </c>
      <c r="E56" s="30" t="s">
        <v>341</v>
      </c>
      <c r="F56" s="30" t="s">
        <v>342</v>
      </c>
      <c r="G56" s="31">
        <v>2</v>
      </c>
      <c r="H56" s="9"/>
      <c r="I56" s="9"/>
      <c r="J56" s="9"/>
    </row>
    <row r="57" spans="1:10" ht="16.55" customHeight="1" x14ac:dyDescent="0.3">
      <c r="A57" s="27">
        <v>761248901</v>
      </c>
      <c r="B57" s="28" t="s">
        <v>343</v>
      </c>
      <c r="C57" s="28" t="s">
        <v>231</v>
      </c>
      <c r="D57" s="28">
        <v>761248901</v>
      </c>
      <c r="E57" s="30">
        <v>3106406</v>
      </c>
      <c r="F57" s="30" t="s">
        <v>344</v>
      </c>
      <c r="G57" s="31">
        <v>2</v>
      </c>
      <c r="H57" s="9"/>
      <c r="I57" s="9"/>
      <c r="J57" s="9"/>
    </row>
    <row r="58" spans="1:10" ht="16.55" customHeight="1" x14ac:dyDescent="0.3">
      <c r="A58" s="27">
        <v>761394770</v>
      </c>
      <c r="B58" s="28" t="s">
        <v>81</v>
      </c>
      <c r="C58" s="28" t="s">
        <v>231</v>
      </c>
      <c r="D58" s="28">
        <v>761394770</v>
      </c>
      <c r="E58" s="30">
        <v>1106801</v>
      </c>
      <c r="F58" s="30" t="s">
        <v>37</v>
      </c>
      <c r="G58" s="31">
        <v>1</v>
      </c>
      <c r="H58" s="9"/>
      <c r="I58" s="9"/>
      <c r="J58" s="9"/>
    </row>
    <row r="59" spans="1:10" ht="16.55" customHeight="1" x14ac:dyDescent="0.3">
      <c r="A59" s="27">
        <v>906350009</v>
      </c>
      <c r="B59" s="28" t="s">
        <v>31</v>
      </c>
      <c r="C59" s="28" t="s">
        <v>231</v>
      </c>
      <c r="D59" s="28">
        <v>906350009</v>
      </c>
      <c r="E59" s="30">
        <v>3106401</v>
      </c>
      <c r="F59" s="30" t="s">
        <v>33</v>
      </c>
      <c r="G59" s="31" t="s">
        <v>34</v>
      </c>
      <c r="H59" s="9"/>
      <c r="I59" s="9"/>
      <c r="J59" s="9"/>
    </row>
    <row r="60" spans="1:10" ht="16.55" customHeight="1" x14ac:dyDescent="0.3">
      <c r="A60" s="27" t="s">
        <v>345</v>
      </c>
      <c r="B60" s="28" t="s">
        <v>346</v>
      </c>
      <c r="C60" s="28" t="s">
        <v>231</v>
      </c>
      <c r="D60" s="28" t="s">
        <v>345</v>
      </c>
      <c r="E60" s="30">
        <v>1202401</v>
      </c>
      <c r="F60" s="30" t="s">
        <v>121</v>
      </c>
      <c r="G60" s="31"/>
      <c r="H60" s="9"/>
      <c r="I60" s="9"/>
      <c r="J60" s="9"/>
    </row>
    <row r="61" spans="1:10" ht="16.55" customHeight="1" x14ac:dyDescent="0.3">
      <c r="A61" s="27">
        <v>968473204</v>
      </c>
      <c r="B61" s="28" t="s">
        <v>347</v>
      </c>
      <c r="C61" s="28" t="s">
        <v>231</v>
      </c>
      <c r="D61" s="28">
        <v>968473204</v>
      </c>
      <c r="E61" s="30">
        <v>3106301</v>
      </c>
      <c r="F61" s="30" t="s">
        <v>94</v>
      </c>
      <c r="G61" s="31">
        <v>185</v>
      </c>
      <c r="H61" s="9"/>
      <c r="I61" s="9"/>
      <c r="J61" s="9"/>
    </row>
    <row r="62" spans="1:10" ht="16.55" customHeight="1" x14ac:dyDescent="0.3">
      <c r="A62" s="27">
        <v>777163124</v>
      </c>
      <c r="B62" s="28" t="s">
        <v>348</v>
      </c>
      <c r="C62" s="28" t="s">
        <v>231</v>
      </c>
      <c r="D62" s="28">
        <v>777163124</v>
      </c>
      <c r="E62" s="30">
        <v>3106206</v>
      </c>
      <c r="F62" s="30" t="s">
        <v>87</v>
      </c>
      <c r="G62" s="31">
        <v>2</v>
      </c>
      <c r="H62" s="9"/>
      <c r="I62" s="9"/>
      <c r="J62" s="9"/>
    </row>
    <row r="63" spans="1:10" ht="16.55" customHeight="1" x14ac:dyDescent="0.3">
      <c r="A63" s="27">
        <v>776694010</v>
      </c>
      <c r="B63" s="28" t="s">
        <v>349</v>
      </c>
      <c r="C63" s="28" t="s">
        <v>231</v>
      </c>
      <c r="D63" s="28">
        <v>776694010</v>
      </c>
      <c r="E63" s="30" t="s">
        <v>350</v>
      </c>
      <c r="F63" s="30" t="s">
        <v>351</v>
      </c>
      <c r="G63" s="31">
        <v>300</v>
      </c>
      <c r="H63" s="9"/>
      <c r="I63" s="9"/>
      <c r="J63" s="9"/>
    </row>
    <row r="64" spans="1:10" ht="16.55" customHeight="1" x14ac:dyDescent="0.3">
      <c r="A64" s="27">
        <v>767891032</v>
      </c>
      <c r="B64" s="28" t="s">
        <v>352</v>
      </c>
      <c r="C64" s="28" t="s">
        <v>231</v>
      </c>
      <c r="D64" s="28">
        <v>767891032</v>
      </c>
      <c r="E64" s="30">
        <v>3106305</v>
      </c>
      <c r="F64" s="30" t="s">
        <v>132</v>
      </c>
      <c r="G64" s="31">
        <v>300</v>
      </c>
      <c r="H64" s="9"/>
      <c r="I64" s="9"/>
      <c r="J64" s="9"/>
    </row>
    <row r="65" spans="1:10" ht="16.55" customHeight="1" x14ac:dyDescent="0.3">
      <c r="A65" s="27">
        <v>776458252</v>
      </c>
      <c r="B65" s="28" t="s">
        <v>353</v>
      </c>
      <c r="C65" s="28" t="s">
        <v>231</v>
      </c>
      <c r="D65" s="28">
        <v>776458252</v>
      </c>
      <c r="E65" s="40">
        <v>3106837</v>
      </c>
      <c r="F65" s="40" t="s">
        <v>113</v>
      </c>
      <c r="G65" s="41" t="s">
        <v>41</v>
      </c>
      <c r="H65" s="8" t="s">
        <v>354</v>
      </c>
      <c r="I65" s="9"/>
      <c r="J65" s="9"/>
    </row>
    <row r="66" spans="1:10" ht="16.55" customHeight="1" x14ac:dyDescent="0.3">
      <c r="A66" s="27">
        <v>760586471</v>
      </c>
      <c r="B66" s="28" t="s">
        <v>26</v>
      </c>
      <c r="C66" s="28" t="s">
        <v>231</v>
      </c>
      <c r="D66" s="28">
        <v>760586471</v>
      </c>
      <c r="E66" s="30">
        <v>3106507</v>
      </c>
      <c r="F66" s="30" t="s">
        <v>28</v>
      </c>
      <c r="G66" s="31">
        <v>190</v>
      </c>
      <c r="H66" s="9"/>
      <c r="I66" s="9"/>
      <c r="J66" s="9"/>
    </row>
    <row r="67" spans="1:10" ht="16.55" customHeight="1" x14ac:dyDescent="0.3">
      <c r="A67" s="27">
        <v>764244400</v>
      </c>
      <c r="B67" s="28" t="s">
        <v>166</v>
      </c>
      <c r="C67" s="28" t="s">
        <v>231</v>
      </c>
      <c r="D67" s="28">
        <v>764244400</v>
      </c>
      <c r="E67" s="30">
        <v>1202402</v>
      </c>
      <c r="F67" s="30" t="s">
        <v>167</v>
      </c>
      <c r="G67" s="31"/>
      <c r="H67" s="9"/>
      <c r="I67" s="9"/>
      <c r="J67" s="9"/>
    </row>
    <row r="68" spans="1:10" ht="16.55" customHeight="1" x14ac:dyDescent="0.3">
      <c r="A68" s="27" t="s">
        <v>355</v>
      </c>
      <c r="B68" s="28" t="s">
        <v>356</v>
      </c>
      <c r="C68" s="28" t="s">
        <v>231</v>
      </c>
      <c r="D68" s="28" t="s">
        <v>355</v>
      </c>
      <c r="E68" s="30">
        <v>1202401</v>
      </c>
      <c r="F68" s="30" t="s">
        <v>121</v>
      </c>
      <c r="G68" s="31"/>
      <c r="H68" s="9"/>
      <c r="I68" s="9"/>
      <c r="J68" s="9"/>
    </row>
    <row r="69" spans="1:10" ht="16.55" customHeight="1" x14ac:dyDescent="0.3">
      <c r="A69" s="27">
        <v>902990003</v>
      </c>
      <c r="B69" s="28" t="s">
        <v>357</v>
      </c>
      <c r="C69" s="28" t="s">
        <v>231</v>
      </c>
      <c r="D69" s="28" t="s">
        <v>358</v>
      </c>
      <c r="E69" s="30">
        <v>3106401</v>
      </c>
      <c r="F69" s="30" t="s">
        <v>33</v>
      </c>
      <c r="G69" s="31">
        <v>185</v>
      </c>
      <c r="H69" s="9"/>
      <c r="I69" s="9"/>
      <c r="J69" s="9"/>
    </row>
    <row r="70" spans="1:10" ht="16.55" customHeight="1" x14ac:dyDescent="0.3">
      <c r="A70" s="27">
        <v>765642396</v>
      </c>
      <c r="B70" s="28" t="s">
        <v>53</v>
      </c>
      <c r="C70" s="28" t="s">
        <v>231</v>
      </c>
      <c r="D70" s="28" t="str">
        <f>MID(A70,1,8)</f>
        <v>76564239</v>
      </c>
      <c r="E70" s="30">
        <v>3106209</v>
      </c>
      <c r="F70" s="30" t="s">
        <v>55</v>
      </c>
      <c r="G70" s="31">
        <v>2</v>
      </c>
      <c r="H70" s="9"/>
      <c r="I70" s="9"/>
      <c r="J70" s="9"/>
    </row>
    <row r="71" spans="1:10" ht="16.55" customHeight="1" x14ac:dyDescent="0.3">
      <c r="A71" s="27">
        <v>764768302</v>
      </c>
      <c r="B71" s="28" t="s">
        <v>359</v>
      </c>
      <c r="C71" s="28" t="s">
        <v>231</v>
      </c>
      <c r="D71" s="28">
        <v>76476830</v>
      </c>
      <c r="E71" s="30">
        <v>3102108</v>
      </c>
      <c r="F71" s="30" t="s">
        <v>48</v>
      </c>
      <c r="G71" s="31">
        <v>403</v>
      </c>
      <c r="H71" s="9"/>
      <c r="I71" s="9"/>
      <c r="J71" s="9"/>
    </row>
    <row r="72" spans="1:10" ht="16.55" customHeight="1" x14ac:dyDescent="0.3">
      <c r="A72" s="27">
        <v>771763448</v>
      </c>
      <c r="B72" s="28" t="s">
        <v>133</v>
      </c>
      <c r="C72" s="28" t="s">
        <v>231</v>
      </c>
      <c r="D72" s="28">
        <v>77176344</v>
      </c>
      <c r="E72" s="30">
        <v>3102105</v>
      </c>
      <c r="F72" s="30" t="s">
        <v>51</v>
      </c>
      <c r="G72" s="31">
        <v>100</v>
      </c>
      <c r="H72" s="9"/>
      <c r="I72" s="9"/>
      <c r="J72" s="13"/>
    </row>
    <row r="73" spans="1:10" ht="16.55" customHeight="1" x14ac:dyDescent="0.3">
      <c r="A73" s="27">
        <v>114034835</v>
      </c>
      <c r="B73" s="28" t="s">
        <v>360</v>
      </c>
      <c r="C73" s="28" t="s">
        <v>231</v>
      </c>
      <c r="D73" s="28">
        <v>11403483</v>
      </c>
      <c r="E73" s="30">
        <v>3107833</v>
      </c>
      <c r="F73" s="30" t="s">
        <v>72</v>
      </c>
      <c r="G73" s="32" t="s">
        <v>41</v>
      </c>
      <c r="H73" s="9"/>
      <c r="I73" s="9"/>
      <c r="J73" s="9"/>
    </row>
    <row r="74" spans="1:10" ht="16.55" customHeight="1" x14ac:dyDescent="0.3">
      <c r="A74" s="27">
        <v>780738200</v>
      </c>
      <c r="B74" s="28" t="s">
        <v>124</v>
      </c>
      <c r="C74" s="28" t="s">
        <v>231</v>
      </c>
      <c r="D74" s="28">
        <v>78073820</v>
      </c>
      <c r="E74" s="30">
        <v>3106818</v>
      </c>
      <c r="F74" s="30" t="s">
        <v>126</v>
      </c>
      <c r="G74" s="31" t="s">
        <v>127</v>
      </c>
      <c r="H74" s="9"/>
      <c r="I74" s="9"/>
      <c r="J74" s="9"/>
    </row>
    <row r="75" spans="1:10" ht="16.55" customHeight="1" x14ac:dyDescent="0.3">
      <c r="A75" s="27">
        <v>772718934</v>
      </c>
      <c r="B75" s="28" t="s">
        <v>361</v>
      </c>
      <c r="C75" s="28" t="s">
        <v>231</v>
      </c>
      <c r="D75" s="28">
        <v>77271893</v>
      </c>
      <c r="E75" s="30">
        <v>3106210</v>
      </c>
      <c r="F75" s="30" t="s">
        <v>362</v>
      </c>
      <c r="G75" s="31">
        <v>2</v>
      </c>
      <c r="H75" s="9"/>
      <c r="I75" s="9"/>
      <c r="J75" s="9"/>
    </row>
    <row r="76" spans="1:10" ht="16.55" customHeight="1" x14ac:dyDescent="0.3">
      <c r="A76" s="27">
        <v>767882823</v>
      </c>
      <c r="B76" s="28" t="s">
        <v>363</v>
      </c>
      <c r="C76" s="28" t="s">
        <v>231</v>
      </c>
      <c r="D76" s="28">
        <v>76788282</v>
      </c>
      <c r="E76" s="30">
        <v>3102104</v>
      </c>
      <c r="F76" s="30" t="s">
        <v>67</v>
      </c>
      <c r="G76" s="31">
        <v>405</v>
      </c>
      <c r="H76" s="9"/>
      <c r="I76" s="9"/>
      <c r="J76" s="9"/>
    </row>
    <row r="77" spans="1:10" ht="16.55" customHeight="1" x14ac:dyDescent="0.3">
      <c r="A77" s="27">
        <v>107230645</v>
      </c>
      <c r="B77" s="28" t="s">
        <v>364</v>
      </c>
      <c r="C77" s="28" t="s">
        <v>231</v>
      </c>
      <c r="D77" s="28">
        <v>10723064</v>
      </c>
      <c r="E77" s="30">
        <v>3106116</v>
      </c>
      <c r="F77" s="30" t="s">
        <v>175</v>
      </c>
      <c r="G77" s="32" t="s">
        <v>41</v>
      </c>
      <c r="H77" s="9"/>
      <c r="I77" s="9"/>
      <c r="J77" s="9"/>
    </row>
    <row r="78" spans="1:10" ht="16.55" customHeight="1" x14ac:dyDescent="0.3">
      <c r="A78" s="27">
        <v>777302590</v>
      </c>
      <c r="B78" s="28" t="s">
        <v>365</v>
      </c>
      <c r="C78" s="28" t="s">
        <v>231</v>
      </c>
      <c r="D78" s="28">
        <v>77730259</v>
      </c>
      <c r="E78" s="30">
        <v>3106305</v>
      </c>
      <c r="F78" s="30" t="s">
        <v>132</v>
      </c>
      <c r="G78" s="32" t="s">
        <v>41</v>
      </c>
      <c r="H78" s="9"/>
      <c r="I78" s="9"/>
      <c r="J78" s="9"/>
    </row>
    <row r="79" spans="1:10" ht="16.55" customHeight="1" x14ac:dyDescent="0.3">
      <c r="A79" s="27">
        <v>766695086</v>
      </c>
      <c r="B79" s="28" t="s">
        <v>135</v>
      </c>
      <c r="C79" s="28" t="s">
        <v>231</v>
      </c>
      <c r="D79" s="28">
        <v>76669508</v>
      </c>
      <c r="E79" s="30">
        <v>3102105</v>
      </c>
      <c r="F79" s="30" t="s">
        <v>51</v>
      </c>
      <c r="G79" s="31">
        <v>100</v>
      </c>
      <c r="H79" s="9"/>
      <c r="I79" s="9"/>
      <c r="J79" s="13"/>
    </row>
    <row r="80" spans="1:10" ht="16.55" customHeight="1" x14ac:dyDescent="0.3">
      <c r="A80" s="27">
        <v>968703706</v>
      </c>
      <c r="B80" s="28" t="s">
        <v>366</v>
      </c>
      <c r="C80" s="28" t="s">
        <v>231</v>
      </c>
      <c r="D80" s="28">
        <v>96870370</v>
      </c>
      <c r="E80" s="30">
        <v>3106817</v>
      </c>
      <c r="F80" s="30" t="s">
        <v>367</v>
      </c>
      <c r="G80" s="31">
        <v>2</v>
      </c>
      <c r="H80" s="9"/>
      <c r="I80" s="9"/>
      <c r="J80" s="13"/>
    </row>
    <row r="81" spans="1:13" ht="16.55" customHeight="1" x14ac:dyDescent="0.3">
      <c r="A81" s="27">
        <v>765748798</v>
      </c>
      <c r="B81" s="28" t="s">
        <v>368</v>
      </c>
      <c r="C81" s="28" t="s">
        <v>231</v>
      </c>
      <c r="D81" s="28">
        <v>765748798</v>
      </c>
      <c r="E81" s="30">
        <v>3106817</v>
      </c>
      <c r="F81" s="30" t="s">
        <v>367</v>
      </c>
      <c r="G81" s="31">
        <v>2</v>
      </c>
      <c r="H81" s="9"/>
      <c r="I81" s="9"/>
      <c r="J81" s="13"/>
    </row>
    <row r="82" spans="1:13" ht="16.55" customHeight="1" x14ac:dyDescent="0.3">
      <c r="A82" s="27" t="s">
        <v>369</v>
      </c>
      <c r="B82" s="28" t="s">
        <v>370</v>
      </c>
      <c r="C82" s="28" t="s">
        <v>231</v>
      </c>
      <c r="D82" s="28" t="s">
        <v>369</v>
      </c>
      <c r="E82" s="30">
        <v>3106803</v>
      </c>
      <c r="F82" s="30" t="s">
        <v>40</v>
      </c>
      <c r="G82" s="31">
        <v>300</v>
      </c>
      <c r="H82" s="9"/>
      <c r="I82" s="9"/>
      <c r="J82" s="9"/>
    </row>
    <row r="83" spans="1:13" ht="16.55" customHeight="1" x14ac:dyDescent="0.3">
      <c r="A83" s="27">
        <v>966708409</v>
      </c>
      <c r="B83" s="28" t="s">
        <v>371</v>
      </c>
      <c r="C83" s="28" t="s">
        <v>231</v>
      </c>
      <c r="D83" s="28">
        <v>966708409</v>
      </c>
      <c r="E83" s="30">
        <v>3106803</v>
      </c>
      <c r="F83" s="30" t="s">
        <v>40</v>
      </c>
      <c r="G83" s="32" t="s">
        <v>41</v>
      </c>
      <c r="H83" s="9"/>
      <c r="I83" s="9"/>
      <c r="J83" s="9"/>
    </row>
    <row r="84" spans="1:13" ht="16.55" customHeight="1" x14ac:dyDescent="0.3">
      <c r="A84" s="27">
        <v>776284599</v>
      </c>
      <c r="B84" s="28" t="s">
        <v>372</v>
      </c>
      <c r="C84" s="28" t="s">
        <v>231</v>
      </c>
      <c r="D84" s="28">
        <v>776284599</v>
      </c>
      <c r="E84" s="30">
        <v>3106305</v>
      </c>
      <c r="F84" s="30" t="s">
        <v>132</v>
      </c>
      <c r="G84" s="31">
        <v>190</v>
      </c>
      <c r="H84" s="9"/>
      <c r="I84" s="9"/>
      <c r="J84" s="9"/>
    </row>
    <row r="85" spans="1:13" ht="16.55" customHeight="1" x14ac:dyDescent="0.3">
      <c r="A85" s="27">
        <v>770322367</v>
      </c>
      <c r="B85" s="28" t="s">
        <v>373</v>
      </c>
      <c r="C85" s="28" t="s">
        <v>231</v>
      </c>
      <c r="D85" s="28">
        <v>770322367</v>
      </c>
      <c r="E85" s="30" t="s">
        <v>251</v>
      </c>
      <c r="F85" s="30" t="s">
        <v>48</v>
      </c>
      <c r="G85" s="31" t="s">
        <v>310</v>
      </c>
      <c r="H85" s="30">
        <v>3102104</v>
      </c>
      <c r="I85" s="30" t="s">
        <v>67</v>
      </c>
      <c r="J85" s="31" t="s">
        <v>310</v>
      </c>
      <c r="K85" s="30">
        <v>3102105</v>
      </c>
      <c r="L85" s="30" t="s">
        <v>51</v>
      </c>
      <c r="M85" s="31" t="s">
        <v>310</v>
      </c>
    </row>
    <row r="86" spans="1:13" ht="16.55" customHeight="1" x14ac:dyDescent="0.3">
      <c r="A86" s="27" t="s">
        <v>374</v>
      </c>
      <c r="B86" s="28" t="s">
        <v>375</v>
      </c>
      <c r="C86" s="28" t="s">
        <v>231</v>
      </c>
      <c r="D86" s="28" t="s">
        <v>374</v>
      </c>
      <c r="E86" s="30">
        <v>3106206</v>
      </c>
      <c r="F86" s="30" t="s">
        <v>87</v>
      </c>
      <c r="G86" s="31">
        <v>2</v>
      </c>
      <c r="H86" s="9"/>
      <c r="I86" s="9"/>
      <c r="J86" s="9"/>
    </row>
    <row r="87" spans="1:13" ht="16.55" customHeight="1" x14ac:dyDescent="0.3">
      <c r="A87" s="27">
        <v>763609030</v>
      </c>
      <c r="B87" s="28" t="s">
        <v>376</v>
      </c>
      <c r="C87" s="28" t="s">
        <v>231</v>
      </c>
      <c r="D87" s="28">
        <v>763609030</v>
      </c>
      <c r="E87" s="30">
        <v>3106305</v>
      </c>
      <c r="F87" s="30" t="s">
        <v>132</v>
      </c>
      <c r="G87" s="31">
        <v>300</v>
      </c>
      <c r="H87" s="9"/>
      <c r="I87" s="9"/>
      <c r="J87" s="9"/>
    </row>
    <row r="88" spans="1:13" ht="16.55" customHeight="1" x14ac:dyDescent="0.3">
      <c r="A88" s="27">
        <v>765966671</v>
      </c>
      <c r="B88" s="28" t="s">
        <v>377</v>
      </c>
      <c r="C88" s="28" t="s">
        <v>231</v>
      </c>
      <c r="D88" s="28">
        <v>765966671</v>
      </c>
      <c r="E88" s="30">
        <v>3106116</v>
      </c>
      <c r="F88" s="30" t="s">
        <v>175</v>
      </c>
      <c r="G88" s="32" t="s">
        <v>41</v>
      </c>
      <c r="H88" s="9"/>
      <c r="I88" s="9"/>
      <c r="J88" s="9"/>
    </row>
    <row r="89" spans="1:13" x14ac:dyDescent="0.3">
      <c r="A89" s="27">
        <v>775706945</v>
      </c>
      <c r="B89" s="28" t="s">
        <v>378</v>
      </c>
      <c r="C89" s="28" t="s">
        <v>231</v>
      </c>
      <c r="D89" s="29">
        <v>775706945</v>
      </c>
      <c r="E89" s="30">
        <v>3106601</v>
      </c>
      <c r="F89" s="30" t="s">
        <v>75</v>
      </c>
      <c r="G89" s="31">
        <v>170</v>
      </c>
    </row>
    <row r="90" spans="1:13" x14ac:dyDescent="0.3">
      <c r="A90" s="27">
        <v>761398407</v>
      </c>
      <c r="B90" s="28" t="s">
        <v>379</v>
      </c>
      <c r="C90" s="28" t="s">
        <v>231</v>
      </c>
      <c r="D90" s="29">
        <v>761398407</v>
      </c>
      <c r="E90" s="30">
        <v>3106601</v>
      </c>
      <c r="F90" s="30" t="s">
        <v>75</v>
      </c>
      <c r="G90" s="31">
        <v>300</v>
      </c>
    </row>
    <row r="91" spans="1:13" ht="16.55" customHeight="1" x14ac:dyDescent="0.3">
      <c r="A91" s="27">
        <v>762181878</v>
      </c>
      <c r="B91" s="28" t="s">
        <v>380</v>
      </c>
      <c r="C91" s="28" t="s">
        <v>231</v>
      </c>
      <c r="D91" s="28">
        <v>762181878</v>
      </c>
      <c r="E91" s="30">
        <v>3106116</v>
      </c>
      <c r="F91" s="30" t="s">
        <v>175</v>
      </c>
      <c r="G91" s="32" t="s">
        <v>41</v>
      </c>
      <c r="H91" s="9"/>
      <c r="I91" s="9"/>
      <c r="J91" s="9"/>
    </row>
    <row r="92" spans="1:13" ht="16.55" customHeight="1" x14ac:dyDescent="0.3">
      <c r="A92" s="27">
        <v>760863467</v>
      </c>
      <c r="B92" s="28" t="s">
        <v>381</v>
      </c>
      <c r="C92" s="28" t="s">
        <v>231</v>
      </c>
      <c r="D92" s="28">
        <v>760863467</v>
      </c>
      <c r="E92" s="30">
        <v>3107822</v>
      </c>
      <c r="F92" s="30" t="s">
        <v>64</v>
      </c>
      <c r="G92" s="32" t="s">
        <v>41</v>
      </c>
      <c r="H92" s="9"/>
      <c r="I92" s="9"/>
      <c r="J92" s="9"/>
    </row>
    <row r="93" spans="1:13" x14ac:dyDescent="0.3">
      <c r="A93" s="27">
        <v>787766900</v>
      </c>
      <c r="B93" s="28" t="s">
        <v>382</v>
      </c>
      <c r="C93" s="28" t="s">
        <v>231</v>
      </c>
      <c r="D93" s="29">
        <v>787766900</v>
      </c>
      <c r="E93" s="30">
        <v>3107822</v>
      </c>
      <c r="F93" s="30" t="s">
        <v>64</v>
      </c>
      <c r="G93" s="32" t="s">
        <v>41</v>
      </c>
    </row>
    <row r="94" spans="1:13" ht="16.55" customHeight="1" x14ac:dyDescent="0.3">
      <c r="A94" s="27">
        <v>778200945</v>
      </c>
      <c r="B94" s="28" t="s">
        <v>383</v>
      </c>
      <c r="C94" s="28" t="s">
        <v>231</v>
      </c>
      <c r="D94" s="28">
        <v>778200945</v>
      </c>
      <c r="E94" s="30">
        <v>3106602</v>
      </c>
      <c r="F94" s="30" t="s">
        <v>384</v>
      </c>
      <c r="G94" s="32" t="s">
        <v>41</v>
      </c>
      <c r="H94" s="9"/>
      <c r="I94" s="9"/>
      <c r="J94" s="9"/>
    </row>
    <row r="95" spans="1:13" ht="16.55" customHeight="1" x14ac:dyDescent="0.3">
      <c r="A95" s="27">
        <v>768941106</v>
      </c>
      <c r="B95" s="28" t="s">
        <v>385</v>
      </c>
      <c r="C95" s="28" t="s">
        <v>231</v>
      </c>
      <c r="D95" s="28">
        <v>768941106</v>
      </c>
      <c r="E95" s="30">
        <v>3106303</v>
      </c>
      <c r="F95" s="30" t="s">
        <v>386</v>
      </c>
      <c r="G95" s="31">
        <v>2</v>
      </c>
      <c r="H95" s="9"/>
      <c r="I95" s="9"/>
      <c r="J95" s="9"/>
    </row>
    <row r="96" spans="1:13" ht="16.55" customHeight="1" x14ac:dyDescent="0.3">
      <c r="A96" s="27" t="s">
        <v>387</v>
      </c>
      <c r="B96" s="28" t="s">
        <v>388</v>
      </c>
      <c r="C96" s="28" t="s">
        <v>231</v>
      </c>
      <c r="D96" s="28" t="s">
        <v>387</v>
      </c>
      <c r="E96" s="30">
        <v>3106818</v>
      </c>
      <c r="F96" s="30" t="s">
        <v>126</v>
      </c>
      <c r="G96" s="31">
        <v>2</v>
      </c>
      <c r="H96" s="9"/>
      <c r="I96" s="9"/>
      <c r="J96" s="9"/>
    </row>
    <row r="97" spans="1:10" ht="16.55" customHeight="1" x14ac:dyDescent="0.3">
      <c r="A97" s="27">
        <v>766779409</v>
      </c>
      <c r="B97" s="28" t="s">
        <v>389</v>
      </c>
      <c r="C97" s="28" t="s">
        <v>231</v>
      </c>
      <c r="D97" s="28">
        <v>766779409</v>
      </c>
      <c r="E97" s="30">
        <v>3106301</v>
      </c>
      <c r="F97" s="30" t="s">
        <v>94</v>
      </c>
      <c r="G97" s="31">
        <v>140</v>
      </c>
      <c r="H97" s="9"/>
      <c r="I97" s="9"/>
      <c r="J97" s="9"/>
    </row>
    <row r="98" spans="1:10" ht="16.55" customHeight="1" x14ac:dyDescent="0.3">
      <c r="A98" s="27">
        <v>777763849</v>
      </c>
      <c r="B98" s="28" t="s">
        <v>390</v>
      </c>
      <c r="C98" s="28" t="s">
        <v>231</v>
      </c>
      <c r="D98" s="28">
        <v>777763849</v>
      </c>
      <c r="E98" s="30" t="s">
        <v>391</v>
      </c>
      <c r="F98" s="30" t="s">
        <v>392</v>
      </c>
      <c r="G98" s="31" t="s">
        <v>393</v>
      </c>
      <c r="H98" s="9"/>
      <c r="I98" s="9"/>
      <c r="J98" s="9"/>
    </row>
    <row r="99" spans="1:10" x14ac:dyDescent="0.3">
      <c r="A99" s="27">
        <v>789216908</v>
      </c>
      <c r="B99" s="28" t="s">
        <v>394</v>
      </c>
      <c r="C99" s="28" t="s">
        <v>231</v>
      </c>
      <c r="D99" s="29">
        <v>789216908</v>
      </c>
      <c r="E99" s="30">
        <v>3106406</v>
      </c>
      <c r="F99" s="30" t="s">
        <v>344</v>
      </c>
      <c r="G99" s="32" t="s">
        <v>395</v>
      </c>
    </row>
    <row r="100" spans="1:10" x14ac:dyDescent="0.3">
      <c r="A100" s="27">
        <v>766187846</v>
      </c>
      <c r="B100" s="28" t="s">
        <v>396</v>
      </c>
      <c r="C100" s="28" t="s">
        <v>231</v>
      </c>
      <c r="D100" s="29">
        <v>766187846</v>
      </c>
      <c r="E100" s="30">
        <v>3106206</v>
      </c>
      <c r="F100" s="30" t="s">
        <v>87</v>
      </c>
      <c r="G100" s="31">
        <v>2</v>
      </c>
    </row>
    <row r="101" spans="1:10" x14ac:dyDescent="0.3">
      <c r="A101" s="27">
        <v>769149910</v>
      </c>
      <c r="B101" s="28" t="s">
        <v>397</v>
      </c>
      <c r="C101" s="28" t="s">
        <v>231</v>
      </c>
      <c r="D101" s="29">
        <v>769149910</v>
      </c>
      <c r="E101" s="30">
        <v>3107822</v>
      </c>
      <c r="F101" s="30" t="s">
        <v>64</v>
      </c>
      <c r="G101" s="32" t="s">
        <v>41</v>
      </c>
    </row>
    <row r="102" spans="1:10" ht="16.55" customHeight="1" x14ac:dyDescent="0.3">
      <c r="A102" s="27">
        <v>777211250</v>
      </c>
      <c r="B102" s="28" t="s">
        <v>398</v>
      </c>
      <c r="C102" s="28" t="s">
        <v>231</v>
      </c>
      <c r="D102" s="28">
        <v>777211250</v>
      </c>
      <c r="E102" s="30">
        <v>3107822</v>
      </c>
      <c r="F102" s="30" t="s">
        <v>64</v>
      </c>
      <c r="G102" s="32" t="s">
        <v>41</v>
      </c>
      <c r="H102" s="9"/>
      <c r="I102" s="9"/>
      <c r="J102" s="9"/>
    </row>
    <row r="103" spans="1:10" ht="16.55" customHeight="1" x14ac:dyDescent="0.3">
      <c r="A103" s="27">
        <v>772310757</v>
      </c>
      <c r="B103" s="28" t="s">
        <v>399</v>
      </c>
      <c r="C103" s="28" t="s">
        <v>231</v>
      </c>
      <c r="D103" s="28">
        <v>772310757</v>
      </c>
      <c r="E103" s="30">
        <v>1202401</v>
      </c>
      <c r="F103" s="30" t="s">
        <v>400</v>
      </c>
      <c r="G103" s="31"/>
      <c r="H103" s="9"/>
      <c r="I103" s="9"/>
      <c r="J103" s="9"/>
    </row>
    <row r="104" spans="1:10" ht="16.55" customHeight="1" x14ac:dyDescent="0.3">
      <c r="A104" s="27">
        <v>762023504</v>
      </c>
      <c r="B104" s="28" t="s">
        <v>401</v>
      </c>
      <c r="C104" s="28" t="s">
        <v>231</v>
      </c>
      <c r="D104" s="28">
        <v>762023504</v>
      </c>
      <c r="E104" s="30">
        <v>3106601</v>
      </c>
      <c r="F104" s="30" t="s">
        <v>75</v>
      </c>
      <c r="G104" s="32" t="s">
        <v>41</v>
      </c>
      <c r="H104" s="9"/>
      <c r="I104" s="9"/>
      <c r="J104" s="9"/>
    </row>
    <row r="105" spans="1:10" x14ac:dyDescent="0.3">
      <c r="A105" s="27">
        <v>765332656</v>
      </c>
      <c r="B105" s="28" t="s">
        <v>402</v>
      </c>
      <c r="C105" s="28" t="s">
        <v>231</v>
      </c>
      <c r="D105" s="29">
        <v>765332656</v>
      </c>
      <c r="E105" s="30">
        <v>3106601</v>
      </c>
      <c r="F105" s="30" t="s">
        <v>75</v>
      </c>
      <c r="G105" s="32" t="s">
        <v>41</v>
      </c>
    </row>
    <row r="106" spans="1:10" ht="16.55" customHeight="1" x14ac:dyDescent="0.3">
      <c r="A106" s="27">
        <v>797603104</v>
      </c>
      <c r="B106" s="28" t="s">
        <v>403</v>
      </c>
      <c r="C106" s="28" t="s">
        <v>231</v>
      </c>
      <c r="D106" s="29" t="s">
        <v>404</v>
      </c>
      <c r="E106" s="30">
        <v>3106305</v>
      </c>
      <c r="F106" s="30" t="s">
        <v>132</v>
      </c>
      <c r="G106" s="31">
        <v>300</v>
      </c>
      <c r="H106" s="9"/>
      <c r="I106" s="9"/>
      <c r="J106" s="9"/>
    </row>
    <row r="107" spans="1:10" x14ac:dyDescent="0.3">
      <c r="A107" s="27">
        <v>763763153</v>
      </c>
      <c r="B107" s="28" t="s">
        <v>29</v>
      </c>
      <c r="C107" s="28" t="s">
        <v>231</v>
      </c>
      <c r="D107" s="29" t="s">
        <v>405</v>
      </c>
      <c r="E107" s="30">
        <v>3106818</v>
      </c>
      <c r="F107" s="30" t="s">
        <v>126</v>
      </c>
      <c r="G107" s="31">
        <v>100</v>
      </c>
    </row>
    <row r="108" spans="1:10" ht="16.55" customHeight="1" x14ac:dyDescent="0.3">
      <c r="A108" s="27" t="s">
        <v>406</v>
      </c>
      <c r="B108" s="28" t="s">
        <v>407</v>
      </c>
      <c r="C108" s="28" t="s">
        <v>231</v>
      </c>
      <c r="D108" s="28" t="s">
        <v>406</v>
      </c>
      <c r="E108" s="30">
        <v>3106603</v>
      </c>
      <c r="F108" s="30" t="s">
        <v>408</v>
      </c>
      <c r="G108" s="31">
        <v>300</v>
      </c>
      <c r="H108" s="9"/>
      <c r="I108" s="9"/>
      <c r="J108" s="9"/>
    </row>
    <row r="109" spans="1:10" ht="16.55" customHeight="1" x14ac:dyDescent="0.3">
      <c r="A109" s="27">
        <v>768994528</v>
      </c>
      <c r="B109" s="28" t="s">
        <v>409</v>
      </c>
      <c r="C109" s="28" t="s">
        <v>231</v>
      </c>
      <c r="D109" s="28">
        <v>768994528</v>
      </c>
      <c r="E109" s="30">
        <v>1106801</v>
      </c>
      <c r="F109" s="30" t="s">
        <v>37</v>
      </c>
      <c r="G109" s="31">
        <v>1</v>
      </c>
      <c r="H109" s="9"/>
      <c r="I109" s="9"/>
      <c r="J109" s="9"/>
    </row>
    <row r="110" spans="1:10" ht="16.55" customHeight="1" x14ac:dyDescent="0.3">
      <c r="A110" s="27" t="s">
        <v>410</v>
      </c>
      <c r="B110" s="28" t="s">
        <v>411</v>
      </c>
      <c r="C110" s="28" t="s">
        <v>231</v>
      </c>
      <c r="D110" s="28" t="s">
        <v>410</v>
      </c>
      <c r="E110" s="30">
        <v>3106305</v>
      </c>
      <c r="F110" s="30" t="s">
        <v>132</v>
      </c>
      <c r="G110" s="32" t="s">
        <v>41</v>
      </c>
      <c r="H110" s="9"/>
      <c r="I110" s="9"/>
      <c r="J110" s="9"/>
    </row>
    <row r="111" spans="1:10" x14ac:dyDescent="0.3">
      <c r="A111" s="27" t="s">
        <v>412</v>
      </c>
      <c r="B111" s="28" t="s">
        <v>413</v>
      </c>
      <c r="C111" s="28" t="s">
        <v>231</v>
      </c>
      <c r="D111" s="29" t="s">
        <v>412</v>
      </c>
      <c r="E111" s="30">
        <v>3106305</v>
      </c>
      <c r="F111" s="30" t="s">
        <v>132</v>
      </c>
      <c r="G111" s="32" t="s">
        <v>41</v>
      </c>
    </row>
    <row r="112" spans="1:10" x14ac:dyDescent="0.3">
      <c r="A112" s="27">
        <v>798823604</v>
      </c>
      <c r="B112" s="28" t="s">
        <v>414</v>
      </c>
      <c r="C112" s="28" t="s">
        <v>231</v>
      </c>
      <c r="D112" s="29">
        <v>798823604</v>
      </c>
      <c r="E112" s="30">
        <v>3106305</v>
      </c>
      <c r="F112" s="30" t="s">
        <v>132</v>
      </c>
      <c r="G112" s="31">
        <v>300</v>
      </c>
    </row>
    <row r="113" spans="1:10" ht="16.55" customHeight="1" x14ac:dyDescent="0.3">
      <c r="A113" s="27">
        <v>760089591</v>
      </c>
      <c r="B113" s="28" t="s">
        <v>415</v>
      </c>
      <c r="C113" s="28" t="s">
        <v>231</v>
      </c>
      <c r="D113" s="29">
        <v>760089591</v>
      </c>
      <c r="E113" s="30">
        <v>1106801</v>
      </c>
      <c r="F113" s="30" t="s">
        <v>37</v>
      </c>
      <c r="G113" s="31">
        <v>1</v>
      </c>
      <c r="H113" s="9"/>
      <c r="I113" s="9"/>
      <c r="J113" s="9"/>
    </row>
    <row r="114" spans="1:10" x14ac:dyDescent="0.3">
      <c r="A114" s="27">
        <v>774654836</v>
      </c>
      <c r="B114" s="28" t="s">
        <v>416</v>
      </c>
      <c r="C114" s="28" t="s">
        <v>231</v>
      </c>
      <c r="D114" s="29">
        <v>774654836</v>
      </c>
      <c r="E114" s="30">
        <v>3106305</v>
      </c>
      <c r="F114" s="30" t="s">
        <v>132</v>
      </c>
      <c r="G114" s="31">
        <v>300</v>
      </c>
    </row>
    <row r="115" spans="1:10" ht="16.55" customHeight="1" x14ac:dyDescent="0.3">
      <c r="A115" s="27">
        <v>769146326</v>
      </c>
      <c r="B115" s="28" t="s">
        <v>417</v>
      </c>
      <c r="C115" s="28" t="s">
        <v>231</v>
      </c>
      <c r="D115" s="28">
        <v>769146326</v>
      </c>
      <c r="E115" s="30">
        <v>1202402</v>
      </c>
      <c r="F115" s="30" t="s">
        <v>167</v>
      </c>
      <c r="G115" s="31"/>
      <c r="H115" s="9"/>
      <c r="I115" s="9"/>
      <c r="J115" s="9"/>
    </row>
    <row r="116" spans="1:10" ht="16.55" customHeight="1" x14ac:dyDescent="0.3">
      <c r="A116" s="27">
        <v>772475101</v>
      </c>
      <c r="B116" s="28" t="s">
        <v>418</v>
      </c>
      <c r="C116" s="28" t="s">
        <v>231</v>
      </c>
      <c r="D116" s="28" t="s">
        <v>419</v>
      </c>
      <c r="E116" s="30">
        <v>1202401</v>
      </c>
      <c r="F116" s="30" t="s">
        <v>121</v>
      </c>
      <c r="G116" s="31"/>
      <c r="H116" s="9"/>
      <c r="I116" s="9"/>
      <c r="J116" s="9"/>
    </row>
    <row r="117" spans="1:10" ht="16.55" customHeight="1" x14ac:dyDescent="0.3">
      <c r="A117" s="27">
        <v>768994528</v>
      </c>
      <c r="B117" s="28" t="s">
        <v>409</v>
      </c>
      <c r="C117" s="28" t="s">
        <v>231</v>
      </c>
      <c r="D117" s="28">
        <v>768994528</v>
      </c>
      <c r="E117" s="30">
        <v>1106801</v>
      </c>
      <c r="F117" s="30" t="s">
        <v>37</v>
      </c>
      <c r="G117" s="31">
        <v>1</v>
      </c>
      <c r="H117" s="9"/>
      <c r="I117" s="9"/>
      <c r="J117" s="9"/>
    </row>
    <row r="118" spans="1:10" ht="16.55" customHeight="1" x14ac:dyDescent="0.3">
      <c r="A118" s="27">
        <v>769818758</v>
      </c>
      <c r="B118" s="28" t="s">
        <v>420</v>
      </c>
      <c r="C118" s="28" t="s">
        <v>231</v>
      </c>
      <c r="D118" s="28">
        <v>769818758</v>
      </c>
      <c r="E118" s="30">
        <v>3106506</v>
      </c>
      <c r="F118" s="30" t="s">
        <v>421</v>
      </c>
      <c r="G118" s="31">
        <v>2</v>
      </c>
      <c r="H118" s="9"/>
      <c r="I118" s="9"/>
      <c r="J118" s="9"/>
    </row>
    <row r="119" spans="1:10" ht="16.55" customHeight="1" x14ac:dyDescent="0.3">
      <c r="A119" s="27">
        <v>809920003</v>
      </c>
      <c r="B119" s="28" t="s">
        <v>422</v>
      </c>
      <c r="C119" s="28" t="s">
        <v>231</v>
      </c>
      <c r="D119" s="28">
        <v>809920003</v>
      </c>
      <c r="E119" s="30">
        <v>1106801</v>
      </c>
      <c r="F119" s="30" t="s">
        <v>37</v>
      </c>
      <c r="G119" s="31">
        <v>1</v>
      </c>
      <c r="H119" s="9"/>
      <c r="I119" s="9"/>
      <c r="J119" s="9"/>
    </row>
    <row r="120" spans="1:10" ht="16.55" customHeight="1" x14ac:dyDescent="0.3">
      <c r="A120" s="27">
        <v>936400000</v>
      </c>
      <c r="B120" s="28" t="s">
        <v>423</v>
      </c>
      <c r="C120" s="28" t="s">
        <v>231</v>
      </c>
      <c r="D120" s="29">
        <v>936400000</v>
      </c>
      <c r="E120" s="30">
        <v>3106305</v>
      </c>
      <c r="F120" s="30" t="s">
        <v>132</v>
      </c>
      <c r="G120" s="31">
        <v>300</v>
      </c>
      <c r="H120" s="9"/>
      <c r="I120" s="9"/>
      <c r="J120" s="9"/>
    </row>
    <row r="121" spans="1:10" ht="16.55" customHeight="1" x14ac:dyDescent="0.3">
      <c r="A121" s="27">
        <v>763811425</v>
      </c>
      <c r="B121" s="28" t="s">
        <v>424</v>
      </c>
      <c r="C121" s="28" t="s">
        <v>231</v>
      </c>
      <c r="D121" s="28">
        <v>763811425</v>
      </c>
      <c r="E121" s="30">
        <v>3106305</v>
      </c>
      <c r="F121" s="30" t="s">
        <v>132</v>
      </c>
      <c r="G121" s="31">
        <v>300</v>
      </c>
      <c r="H121" s="9"/>
      <c r="I121" s="9"/>
      <c r="J121" s="9"/>
    </row>
    <row r="122" spans="1:10" ht="16.55" customHeight="1" x14ac:dyDescent="0.3">
      <c r="A122" s="27">
        <v>768657696</v>
      </c>
      <c r="B122" s="28" t="s">
        <v>164</v>
      </c>
      <c r="C122" s="28" t="s">
        <v>231</v>
      </c>
      <c r="D122" s="28">
        <v>768657696</v>
      </c>
      <c r="E122" s="30">
        <v>3106305</v>
      </c>
      <c r="F122" s="30" t="s">
        <v>132</v>
      </c>
      <c r="G122" s="31">
        <v>300</v>
      </c>
      <c r="H122" s="9"/>
      <c r="I122" s="9"/>
      <c r="J122" s="9"/>
    </row>
    <row r="123" spans="1:10" ht="16.55" customHeight="1" x14ac:dyDescent="0.3">
      <c r="A123" s="27">
        <v>520020721</v>
      </c>
      <c r="B123" s="28" t="s">
        <v>425</v>
      </c>
      <c r="C123" s="28" t="s">
        <v>231</v>
      </c>
      <c r="D123" s="28">
        <v>520020721</v>
      </c>
      <c r="E123" s="30">
        <v>3106305</v>
      </c>
      <c r="F123" s="30" t="s">
        <v>132</v>
      </c>
      <c r="G123" s="31">
        <v>300</v>
      </c>
      <c r="H123" s="9"/>
      <c r="I123" s="9"/>
      <c r="J123" s="9"/>
    </row>
    <row r="124" spans="1:10" ht="16.55" customHeight="1" x14ac:dyDescent="0.3">
      <c r="A124" s="27">
        <v>866546002</v>
      </c>
      <c r="B124" s="28" t="s">
        <v>426</v>
      </c>
      <c r="C124" s="28" t="s">
        <v>231</v>
      </c>
      <c r="D124" s="28">
        <v>866546002</v>
      </c>
      <c r="E124" s="30">
        <v>3106305</v>
      </c>
      <c r="F124" s="30" t="s">
        <v>132</v>
      </c>
      <c r="G124" s="31">
        <v>300</v>
      </c>
      <c r="H124" s="9"/>
      <c r="I124" s="9"/>
      <c r="J124" s="9"/>
    </row>
    <row r="125" spans="1:10" ht="16.55" customHeight="1" x14ac:dyDescent="0.3">
      <c r="A125" s="27">
        <v>995875802</v>
      </c>
      <c r="B125" s="28" t="s">
        <v>427</v>
      </c>
      <c r="C125" s="28" t="s">
        <v>231</v>
      </c>
      <c r="D125" s="28">
        <v>995875802</v>
      </c>
      <c r="E125" s="30">
        <v>3106306</v>
      </c>
      <c r="F125" s="30" t="s">
        <v>269</v>
      </c>
      <c r="G125" s="31">
        <v>300</v>
      </c>
      <c r="H125" s="9"/>
      <c r="I125" s="9"/>
      <c r="J125" s="9"/>
    </row>
    <row r="126" spans="1:10" ht="16.55" customHeight="1" x14ac:dyDescent="0.3">
      <c r="A126" s="27" t="s">
        <v>428</v>
      </c>
      <c r="B126" s="28" t="s">
        <v>429</v>
      </c>
      <c r="C126" s="28" t="s">
        <v>231</v>
      </c>
      <c r="D126" s="29" t="s">
        <v>428</v>
      </c>
      <c r="E126" s="30">
        <v>1202401</v>
      </c>
      <c r="F126" s="30" t="s">
        <v>121</v>
      </c>
      <c r="G126" s="31"/>
      <c r="H126" s="9"/>
      <c r="I126" s="9"/>
      <c r="J126" s="9"/>
    </row>
    <row r="127" spans="1:10" x14ac:dyDescent="0.3">
      <c r="A127" s="27" t="s">
        <v>430</v>
      </c>
      <c r="B127" s="28" t="s">
        <v>431</v>
      </c>
      <c r="C127" s="28"/>
      <c r="D127" s="29"/>
      <c r="E127" s="30">
        <v>3106116</v>
      </c>
      <c r="F127" s="30" t="s">
        <v>175</v>
      </c>
      <c r="G127" s="32" t="s">
        <v>41</v>
      </c>
    </row>
    <row r="128" spans="1:10" ht="16.55" customHeight="1" x14ac:dyDescent="0.3">
      <c r="A128" s="27">
        <v>777505076</v>
      </c>
      <c r="B128" s="28" t="s">
        <v>432</v>
      </c>
      <c r="C128" s="28" t="s">
        <v>231</v>
      </c>
      <c r="D128" s="28">
        <v>777505076</v>
      </c>
      <c r="E128" s="30">
        <v>1202401</v>
      </c>
      <c r="F128" s="30" t="s">
        <v>121</v>
      </c>
      <c r="G128" s="31"/>
      <c r="H128" s="9"/>
      <c r="I128" s="9"/>
      <c r="J128" s="9"/>
    </row>
    <row r="129" spans="1:10" ht="16.55" customHeight="1" x14ac:dyDescent="0.3">
      <c r="A129" s="27">
        <v>855419009</v>
      </c>
      <c r="B129" s="28" t="s">
        <v>433</v>
      </c>
      <c r="C129" s="28" t="s">
        <v>231</v>
      </c>
      <c r="D129" s="28">
        <v>855419009</v>
      </c>
      <c r="E129" s="30">
        <v>3106818</v>
      </c>
      <c r="F129" s="30" t="s">
        <v>126</v>
      </c>
      <c r="G129" s="31">
        <v>300</v>
      </c>
      <c r="H129" s="9"/>
      <c r="I129" s="9"/>
      <c r="J129" s="9"/>
    </row>
    <row r="130" spans="1:10" ht="16.55" customHeight="1" x14ac:dyDescent="0.3">
      <c r="A130" s="27">
        <v>771999638</v>
      </c>
      <c r="B130" s="28" t="s">
        <v>434</v>
      </c>
      <c r="C130" s="28" t="s">
        <v>231</v>
      </c>
      <c r="D130" s="28" t="s">
        <v>435</v>
      </c>
      <c r="E130" s="30">
        <v>3106306</v>
      </c>
      <c r="F130" s="30" t="s">
        <v>269</v>
      </c>
      <c r="G130" s="31">
        <v>150</v>
      </c>
      <c r="H130" s="9"/>
      <c r="I130" s="9"/>
      <c r="J130" s="9"/>
    </row>
    <row r="131" spans="1:10" ht="16.55" customHeight="1" x14ac:dyDescent="0.3">
      <c r="A131" s="27">
        <v>968165402</v>
      </c>
      <c r="B131" s="28" t="s">
        <v>436</v>
      </c>
      <c r="C131" s="28" t="s">
        <v>231</v>
      </c>
      <c r="D131" s="28">
        <v>968165402</v>
      </c>
      <c r="E131" s="30">
        <v>2102605</v>
      </c>
      <c r="F131" s="30" t="s">
        <v>21</v>
      </c>
      <c r="G131" s="31">
        <v>1</v>
      </c>
      <c r="H131" s="9"/>
      <c r="I131" s="9"/>
      <c r="J131" s="13"/>
    </row>
    <row r="132" spans="1:10" ht="16.55" customHeight="1" x14ac:dyDescent="0.3">
      <c r="A132" s="27">
        <v>761476076</v>
      </c>
      <c r="B132" s="28" t="s">
        <v>437</v>
      </c>
      <c r="C132" s="28" t="s">
        <v>231</v>
      </c>
      <c r="D132" s="28">
        <v>761476076</v>
      </c>
      <c r="E132" s="30">
        <v>3102105</v>
      </c>
      <c r="F132" s="30" t="s">
        <v>51</v>
      </c>
      <c r="G132" s="31">
        <v>100</v>
      </c>
      <c r="H132" s="9"/>
      <c r="I132" s="9"/>
      <c r="J132" s="13"/>
    </row>
    <row r="133" spans="1:10" ht="16.55" customHeight="1" x14ac:dyDescent="0.3">
      <c r="A133" s="27">
        <v>764434870</v>
      </c>
      <c r="B133" s="28" t="s">
        <v>438</v>
      </c>
      <c r="C133" s="28" t="s">
        <v>231</v>
      </c>
      <c r="D133" s="28">
        <v>764434870</v>
      </c>
      <c r="E133" s="30">
        <v>3106601</v>
      </c>
      <c r="F133" s="30" t="s">
        <v>75</v>
      </c>
      <c r="G133" s="31"/>
      <c r="H133" s="9"/>
      <c r="I133" s="9"/>
      <c r="J133" s="9"/>
    </row>
    <row r="134" spans="1:10" x14ac:dyDescent="0.3">
      <c r="A134" s="27">
        <v>969219301</v>
      </c>
      <c r="B134" s="28" t="s">
        <v>109</v>
      </c>
      <c r="C134" s="28" t="s">
        <v>231</v>
      </c>
      <c r="D134" s="29">
        <v>969219301</v>
      </c>
      <c r="E134" s="30">
        <v>3106301</v>
      </c>
      <c r="F134" s="30" t="s">
        <v>94</v>
      </c>
      <c r="G134" s="31">
        <v>195</v>
      </c>
    </row>
    <row r="135" spans="1:10" ht="16.55" customHeight="1" x14ac:dyDescent="0.3">
      <c r="A135" s="27">
        <v>761776800</v>
      </c>
      <c r="B135" s="28" t="s">
        <v>439</v>
      </c>
      <c r="C135" s="28" t="s">
        <v>231</v>
      </c>
      <c r="D135" s="28">
        <v>761776800</v>
      </c>
      <c r="E135" s="30">
        <v>3106820</v>
      </c>
      <c r="F135" s="30" t="s">
        <v>285</v>
      </c>
      <c r="G135" s="31">
        <v>2</v>
      </c>
      <c r="H135" s="9"/>
      <c r="I135" s="9"/>
      <c r="J135" s="9"/>
    </row>
    <row r="136" spans="1:10" ht="16.55" customHeight="1" x14ac:dyDescent="0.3">
      <c r="A136" s="27">
        <v>771433855</v>
      </c>
      <c r="B136" s="28" t="s">
        <v>46</v>
      </c>
      <c r="C136" s="28" t="s">
        <v>231</v>
      </c>
      <c r="D136" s="28">
        <v>771433855</v>
      </c>
      <c r="E136" s="40">
        <v>3102105</v>
      </c>
      <c r="F136" s="40" t="s">
        <v>51</v>
      </c>
      <c r="G136" s="41">
        <v>400</v>
      </c>
      <c r="H136" s="8" t="s">
        <v>440</v>
      </c>
      <c r="I136" s="9"/>
      <c r="J136" s="9"/>
    </row>
    <row r="137" spans="1:10" x14ac:dyDescent="0.3">
      <c r="A137" s="27">
        <v>769263306</v>
      </c>
      <c r="B137" s="28" t="s">
        <v>441</v>
      </c>
      <c r="C137" s="28" t="s">
        <v>231</v>
      </c>
      <c r="D137" s="29">
        <v>769263306</v>
      </c>
      <c r="E137" s="30">
        <v>3106305</v>
      </c>
      <c r="F137" s="30" t="s">
        <v>132</v>
      </c>
      <c r="G137" s="31">
        <v>195</v>
      </c>
    </row>
    <row r="138" spans="1:10" ht="16.55" customHeight="1" x14ac:dyDescent="0.3">
      <c r="A138" s="27">
        <v>763250601</v>
      </c>
      <c r="B138" s="28" t="s">
        <v>442</v>
      </c>
      <c r="C138" s="28" t="s">
        <v>231</v>
      </c>
      <c r="D138" s="28">
        <v>763250601</v>
      </c>
      <c r="E138" s="30">
        <v>3106817</v>
      </c>
      <c r="F138" s="30" t="s">
        <v>367</v>
      </c>
      <c r="G138" s="31">
        <v>195</v>
      </c>
      <c r="H138" s="9"/>
      <c r="I138" s="9"/>
      <c r="J138" s="9"/>
    </row>
    <row r="139" spans="1:10" ht="16.55" customHeight="1" x14ac:dyDescent="0.3">
      <c r="A139" s="27">
        <v>767692188</v>
      </c>
      <c r="B139" s="28" t="s">
        <v>443</v>
      </c>
      <c r="C139" s="28" t="s">
        <v>231</v>
      </c>
      <c r="D139" s="28">
        <v>767692188</v>
      </c>
      <c r="E139" s="30">
        <v>3106802</v>
      </c>
      <c r="F139" s="30" t="s">
        <v>246</v>
      </c>
      <c r="G139" s="31">
        <v>300</v>
      </c>
      <c r="H139" s="9"/>
      <c r="I139" s="9"/>
      <c r="J139" s="9"/>
    </row>
    <row r="140" spans="1:10" ht="16.55" customHeight="1" x14ac:dyDescent="0.3">
      <c r="A140" s="42">
        <v>72742370</v>
      </c>
      <c r="B140" s="43" t="s">
        <v>444</v>
      </c>
      <c r="C140" s="43" t="s">
        <v>231</v>
      </c>
      <c r="D140" s="43" t="s">
        <v>445</v>
      </c>
      <c r="E140" s="9"/>
      <c r="F140" s="9"/>
      <c r="G140" s="13"/>
      <c r="H140" s="9"/>
      <c r="I140" s="9"/>
      <c r="J140" s="13"/>
    </row>
    <row r="141" spans="1:10" ht="16.55" customHeight="1" x14ac:dyDescent="0.3">
      <c r="A141" s="42">
        <v>79014125</v>
      </c>
      <c r="B141" s="43" t="s">
        <v>446</v>
      </c>
      <c r="C141" s="43" t="s">
        <v>231</v>
      </c>
      <c r="D141" s="43" t="s">
        <v>447</v>
      </c>
      <c r="E141" s="9"/>
      <c r="F141" s="9"/>
      <c r="G141" s="13"/>
      <c r="H141" s="9"/>
      <c r="I141" s="9"/>
      <c r="J141" s="13"/>
    </row>
    <row r="142" spans="1:10" x14ac:dyDescent="0.3">
      <c r="A142" s="42">
        <v>86386275</v>
      </c>
      <c r="B142" s="43" t="s">
        <v>448</v>
      </c>
      <c r="C142" s="43" t="s">
        <v>231</v>
      </c>
      <c r="D142" s="44" t="s">
        <v>449</v>
      </c>
      <c r="E142" s="9"/>
      <c r="F142" s="9"/>
      <c r="G142" s="13"/>
      <c r="J142" s="45"/>
    </row>
    <row r="143" spans="1:10" ht="16.55" customHeight="1" x14ac:dyDescent="0.3">
      <c r="A143" s="42">
        <v>87045340</v>
      </c>
      <c r="B143" s="43" t="s">
        <v>450</v>
      </c>
      <c r="C143" s="43" t="s">
        <v>231</v>
      </c>
      <c r="D143" s="43" t="s">
        <v>451</v>
      </c>
      <c r="E143" s="9"/>
      <c r="F143" s="9"/>
      <c r="G143" s="13"/>
      <c r="H143" s="9"/>
      <c r="I143" s="9"/>
      <c r="J143" s="13"/>
    </row>
    <row r="144" spans="1:10" ht="16.55" customHeight="1" x14ac:dyDescent="0.3">
      <c r="A144" s="42">
        <v>96411626</v>
      </c>
      <c r="B144" s="43" t="s">
        <v>452</v>
      </c>
      <c r="C144" s="43" t="s">
        <v>231</v>
      </c>
      <c r="D144" s="43" t="s">
        <v>453</v>
      </c>
      <c r="E144" s="9"/>
      <c r="F144" s="9"/>
      <c r="G144" s="13"/>
      <c r="H144" s="9"/>
      <c r="I144" s="9"/>
      <c r="J144" s="13"/>
    </row>
    <row r="145" spans="1:10" ht="16.55" customHeight="1" x14ac:dyDescent="0.3">
      <c r="A145" s="42">
        <v>97844895</v>
      </c>
      <c r="B145" s="43" t="s">
        <v>190</v>
      </c>
      <c r="C145" s="43" t="s">
        <v>231</v>
      </c>
      <c r="D145" s="43" t="s">
        <v>454</v>
      </c>
      <c r="E145" s="46">
        <v>3106116</v>
      </c>
      <c r="F145" s="46" t="s">
        <v>175</v>
      </c>
      <c r="G145" s="32" t="s">
        <v>41</v>
      </c>
      <c r="H145" s="9"/>
      <c r="I145" s="9"/>
      <c r="J145" s="13"/>
    </row>
    <row r="146" spans="1:10" ht="16.55" customHeight="1" x14ac:dyDescent="0.3">
      <c r="A146" s="42">
        <v>98776133</v>
      </c>
      <c r="B146" s="43" t="s">
        <v>455</v>
      </c>
      <c r="C146" s="43" t="s">
        <v>231</v>
      </c>
      <c r="D146" s="43" t="s">
        <v>456</v>
      </c>
      <c r="E146" s="9"/>
      <c r="F146" s="9"/>
      <c r="G146" s="13"/>
      <c r="H146" s="9"/>
      <c r="I146" s="9"/>
      <c r="J146" s="13"/>
    </row>
    <row r="147" spans="1:10" ht="16.55" customHeight="1" x14ac:dyDescent="0.3">
      <c r="A147" s="42">
        <v>99687339</v>
      </c>
      <c r="B147" s="43" t="s">
        <v>457</v>
      </c>
      <c r="C147" s="43" t="s">
        <v>231</v>
      </c>
      <c r="D147" s="43" t="s">
        <v>458</v>
      </c>
      <c r="E147" s="9"/>
      <c r="F147" s="9"/>
      <c r="G147" s="13"/>
      <c r="H147" s="9"/>
      <c r="I147" s="9"/>
      <c r="J147" s="13"/>
    </row>
    <row r="148" spans="1:10" ht="16.55" customHeight="1" x14ac:dyDescent="0.3">
      <c r="A148" s="42">
        <v>102395972</v>
      </c>
      <c r="B148" s="43" t="s">
        <v>459</v>
      </c>
      <c r="C148" s="43" t="s">
        <v>231</v>
      </c>
      <c r="D148" s="43" t="s">
        <v>460</v>
      </c>
      <c r="E148" s="9"/>
      <c r="F148" s="9"/>
      <c r="G148" s="13"/>
      <c r="H148" s="9"/>
      <c r="I148" s="9"/>
      <c r="J148" s="13"/>
    </row>
    <row r="149" spans="1:10" x14ac:dyDescent="0.3">
      <c r="A149" s="42">
        <v>102953711</v>
      </c>
      <c r="B149" s="43" t="s">
        <v>461</v>
      </c>
      <c r="C149" s="43" t="s">
        <v>231</v>
      </c>
      <c r="D149" s="44" t="s">
        <v>462</v>
      </c>
      <c r="E149" s="9"/>
      <c r="F149" s="9"/>
      <c r="G149" s="13"/>
      <c r="J149" s="45"/>
    </row>
    <row r="150" spans="1:10" x14ac:dyDescent="0.3">
      <c r="A150" s="42">
        <v>108205717</v>
      </c>
      <c r="B150" s="43" t="s">
        <v>463</v>
      </c>
      <c r="C150" s="43" t="s">
        <v>231</v>
      </c>
      <c r="D150" s="44" t="s">
        <v>464</v>
      </c>
      <c r="E150" s="9"/>
      <c r="F150" s="9"/>
      <c r="G150" s="13"/>
      <c r="J150" s="45"/>
    </row>
    <row r="151" spans="1:10" x14ac:dyDescent="0.3">
      <c r="A151" s="42">
        <v>109249360</v>
      </c>
      <c r="B151" s="43" t="s">
        <v>465</v>
      </c>
      <c r="C151" s="43" t="s">
        <v>231</v>
      </c>
      <c r="D151" s="44" t="s">
        <v>466</v>
      </c>
      <c r="E151" s="9"/>
      <c r="F151" s="9"/>
      <c r="G151" s="13"/>
      <c r="J151" s="45"/>
    </row>
    <row r="152" spans="1:10" ht="16.55" customHeight="1" x14ac:dyDescent="0.3">
      <c r="A152" s="42">
        <v>109805203</v>
      </c>
      <c r="B152" s="43" t="s">
        <v>467</v>
      </c>
      <c r="C152" s="43" t="s">
        <v>231</v>
      </c>
      <c r="D152" s="43" t="s">
        <v>468</v>
      </c>
      <c r="E152" s="9"/>
      <c r="F152" s="9"/>
      <c r="G152" s="13"/>
      <c r="H152" s="9"/>
      <c r="I152" s="9"/>
      <c r="J152" s="13"/>
    </row>
    <row r="153" spans="1:10" x14ac:dyDescent="0.3">
      <c r="A153" s="27">
        <v>121704536</v>
      </c>
      <c r="B153" s="28" t="s">
        <v>469</v>
      </c>
      <c r="C153" s="28" t="s">
        <v>231</v>
      </c>
      <c r="D153" s="29" t="s">
        <v>470</v>
      </c>
      <c r="E153" s="30">
        <v>3107833</v>
      </c>
      <c r="F153" s="30" t="s">
        <v>72</v>
      </c>
      <c r="G153" s="31" t="s">
        <v>41</v>
      </c>
    </row>
    <row r="154" spans="1:10" ht="16.55" customHeight="1" x14ac:dyDescent="0.3">
      <c r="A154" s="42">
        <v>122425967</v>
      </c>
      <c r="B154" s="43" t="s">
        <v>471</v>
      </c>
      <c r="C154" s="43" t="s">
        <v>231</v>
      </c>
      <c r="D154" s="43" t="s">
        <v>472</v>
      </c>
      <c r="E154" s="9"/>
      <c r="F154" s="9"/>
      <c r="G154" s="13"/>
      <c r="H154" s="9"/>
      <c r="I154" s="9"/>
      <c r="J154" s="13"/>
    </row>
    <row r="155" spans="1:10" ht="16.55" customHeight="1" x14ac:dyDescent="0.3">
      <c r="A155" s="42">
        <v>122806146</v>
      </c>
      <c r="B155" s="43" t="s">
        <v>473</v>
      </c>
      <c r="C155" s="43" t="s">
        <v>231</v>
      </c>
      <c r="D155" s="43" t="s">
        <v>474</v>
      </c>
      <c r="E155" s="9"/>
      <c r="F155" s="9"/>
      <c r="G155" s="13"/>
      <c r="H155" s="9"/>
      <c r="I155" s="9"/>
      <c r="J155" s="13"/>
    </row>
    <row r="156" spans="1:10" ht="16.55" customHeight="1" x14ac:dyDescent="0.3">
      <c r="A156" s="42">
        <v>126755708</v>
      </c>
      <c r="B156" s="43" t="s">
        <v>475</v>
      </c>
      <c r="C156" s="43" t="s">
        <v>231</v>
      </c>
      <c r="D156" s="43" t="s">
        <v>476</v>
      </c>
      <c r="E156" s="47">
        <v>3106601</v>
      </c>
      <c r="F156" s="47" t="s">
        <v>75</v>
      </c>
      <c r="G156" s="48">
        <v>300</v>
      </c>
      <c r="H156" s="9"/>
      <c r="I156" s="9"/>
      <c r="J156" s="13"/>
    </row>
    <row r="157" spans="1:10" ht="16.55" customHeight="1" x14ac:dyDescent="0.3">
      <c r="A157" s="42">
        <v>130157580</v>
      </c>
      <c r="B157" s="43" t="s">
        <v>477</v>
      </c>
      <c r="C157" s="43" t="s">
        <v>231</v>
      </c>
      <c r="D157" s="43" t="s">
        <v>478</v>
      </c>
      <c r="E157" s="9"/>
      <c r="F157" s="9"/>
      <c r="G157" s="13"/>
      <c r="H157" s="9"/>
      <c r="I157" s="9"/>
      <c r="J157" s="13"/>
    </row>
    <row r="158" spans="1:10" x14ac:dyDescent="0.3">
      <c r="A158" s="42">
        <v>130666000</v>
      </c>
      <c r="B158" s="43" t="s">
        <v>479</v>
      </c>
      <c r="C158" s="43" t="s">
        <v>231</v>
      </c>
      <c r="D158" s="44" t="s">
        <v>480</v>
      </c>
      <c r="E158" s="9"/>
      <c r="F158" s="9"/>
      <c r="G158" s="13"/>
      <c r="J158" s="45"/>
    </row>
    <row r="159" spans="1:10" ht="16.55" customHeight="1" x14ac:dyDescent="0.3">
      <c r="A159" s="42">
        <v>130843018</v>
      </c>
      <c r="B159" s="43" t="s">
        <v>481</v>
      </c>
      <c r="C159" s="43" t="s">
        <v>231</v>
      </c>
      <c r="D159" s="43" t="s">
        <v>482</v>
      </c>
      <c r="E159" s="9"/>
      <c r="F159" s="9"/>
      <c r="G159" s="13"/>
      <c r="H159" s="9"/>
      <c r="I159" s="9"/>
      <c r="J159" s="13"/>
    </row>
    <row r="160" spans="1:10" ht="16.55" customHeight="1" x14ac:dyDescent="0.3">
      <c r="A160" s="42">
        <v>132460922</v>
      </c>
      <c r="B160" s="43" t="s">
        <v>483</v>
      </c>
      <c r="C160" s="43" t="s">
        <v>231</v>
      </c>
      <c r="D160" s="43" t="s">
        <v>484</v>
      </c>
      <c r="E160" s="9"/>
      <c r="F160" s="9"/>
      <c r="G160" s="13"/>
      <c r="H160" s="9"/>
      <c r="I160" s="9"/>
      <c r="J160" s="13"/>
    </row>
    <row r="161" spans="1:10" ht="16.55" customHeight="1" x14ac:dyDescent="0.3">
      <c r="A161" s="42">
        <v>136997130</v>
      </c>
      <c r="B161" s="43" t="s">
        <v>485</v>
      </c>
      <c r="C161" s="43" t="s">
        <v>231</v>
      </c>
      <c r="D161" s="44" t="s">
        <v>486</v>
      </c>
      <c r="E161" s="9"/>
      <c r="F161" s="9"/>
      <c r="G161" s="13"/>
      <c r="H161" s="9"/>
      <c r="I161" s="9"/>
      <c r="J161" s="13"/>
    </row>
    <row r="162" spans="1:10" ht="16.55" customHeight="1" x14ac:dyDescent="0.3">
      <c r="A162" s="42">
        <v>138896218</v>
      </c>
      <c r="B162" s="43" t="s">
        <v>487</v>
      </c>
      <c r="C162" s="43" t="s">
        <v>231</v>
      </c>
      <c r="D162" s="44" t="s">
        <v>488</v>
      </c>
      <c r="E162" s="9"/>
      <c r="F162" s="9"/>
      <c r="G162" s="13"/>
      <c r="H162" s="9"/>
      <c r="I162" s="9"/>
      <c r="J162" s="13"/>
    </row>
    <row r="163" spans="1:10" ht="16.55" customHeight="1" x14ac:dyDescent="0.3">
      <c r="A163" s="42">
        <v>140359181</v>
      </c>
      <c r="B163" s="43" t="s">
        <v>489</v>
      </c>
      <c r="C163" s="43" t="s">
        <v>231</v>
      </c>
      <c r="D163" s="43" t="s">
        <v>490</v>
      </c>
      <c r="E163" s="9"/>
      <c r="F163" s="9"/>
      <c r="G163" s="13"/>
      <c r="H163" s="9"/>
      <c r="I163" s="9"/>
      <c r="J163" s="13"/>
    </row>
    <row r="164" spans="1:10" ht="16.55" customHeight="1" x14ac:dyDescent="0.3">
      <c r="A164" s="42">
        <v>141355392</v>
      </c>
      <c r="B164" s="43" t="s">
        <v>491</v>
      </c>
      <c r="C164" s="43" t="s">
        <v>231</v>
      </c>
      <c r="D164" s="43" t="s">
        <v>492</v>
      </c>
      <c r="E164" s="9"/>
      <c r="F164" s="9"/>
      <c r="G164" s="13"/>
      <c r="H164" s="9"/>
      <c r="I164" s="9"/>
      <c r="J164" s="13"/>
    </row>
    <row r="165" spans="1:10" ht="16.55" customHeight="1" x14ac:dyDescent="0.3">
      <c r="A165" s="42">
        <v>141631810</v>
      </c>
      <c r="B165" s="43" t="s">
        <v>493</v>
      </c>
      <c r="C165" s="43" t="s">
        <v>231</v>
      </c>
      <c r="D165" s="43" t="s">
        <v>494</v>
      </c>
      <c r="E165" s="9"/>
      <c r="F165" s="9"/>
      <c r="G165" s="13"/>
      <c r="H165" s="9"/>
      <c r="I165" s="9"/>
      <c r="J165" s="13"/>
    </row>
    <row r="166" spans="1:10" ht="16.55" customHeight="1" x14ac:dyDescent="0.3">
      <c r="A166" s="42">
        <v>145803594</v>
      </c>
      <c r="B166" s="43" t="s">
        <v>495</v>
      </c>
      <c r="C166" s="43" t="s">
        <v>231</v>
      </c>
      <c r="D166" s="43" t="s">
        <v>496</v>
      </c>
      <c r="E166" s="9"/>
      <c r="F166" s="9"/>
      <c r="G166" s="13"/>
      <c r="H166" s="9"/>
      <c r="I166" s="9"/>
      <c r="J166" s="13"/>
    </row>
    <row r="167" spans="1:10" ht="16.55" customHeight="1" x14ac:dyDescent="0.3">
      <c r="A167" s="42">
        <v>153349576</v>
      </c>
      <c r="B167" s="43" t="s">
        <v>497</v>
      </c>
      <c r="C167" s="43" t="s">
        <v>231</v>
      </c>
      <c r="D167" s="43" t="s">
        <v>498</v>
      </c>
      <c r="E167" s="9"/>
      <c r="F167" s="9"/>
      <c r="G167" s="13"/>
      <c r="H167" s="9"/>
      <c r="I167" s="9"/>
      <c r="J167" s="13"/>
    </row>
    <row r="168" spans="1:10" ht="16.55" customHeight="1" x14ac:dyDescent="0.3">
      <c r="A168" s="42">
        <v>155891238</v>
      </c>
      <c r="B168" s="43" t="s">
        <v>499</v>
      </c>
      <c r="C168" s="43" t="s">
        <v>231</v>
      </c>
      <c r="D168" s="43" t="s">
        <v>500</v>
      </c>
      <c r="E168" s="9"/>
      <c r="F168" s="9"/>
      <c r="G168" s="13"/>
      <c r="H168" s="9"/>
      <c r="I168" s="9"/>
      <c r="J168" s="13"/>
    </row>
    <row r="169" spans="1:10" ht="16.55" customHeight="1" x14ac:dyDescent="0.3">
      <c r="A169" s="42">
        <v>158383080</v>
      </c>
      <c r="B169" s="43" t="s">
        <v>501</v>
      </c>
      <c r="C169" s="43" t="s">
        <v>231</v>
      </c>
      <c r="D169" s="43" t="s">
        <v>502</v>
      </c>
      <c r="E169" s="9"/>
      <c r="F169" s="9"/>
      <c r="G169" s="13"/>
      <c r="H169" s="9"/>
      <c r="I169" s="9"/>
      <c r="J169" s="13"/>
    </row>
    <row r="170" spans="1:10" x14ac:dyDescent="0.3">
      <c r="A170" s="42">
        <v>159055566</v>
      </c>
      <c r="B170" s="43" t="s">
        <v>503</v>
      </c>
      <c r="C170" s="43" t="s">
        <v>231</v>
      </c>
      <c r="D170" s="44" t="s">
        <v>504</v>
      </c>
      <c r="E170" s="9"/>
      <c r="F170" s="9"/>
      <c r="G170" s="13"/>
      <c r="J170" s="45"/>
    </row>
    <row r="171" spans="1:10" ht="16.55" customHeight="1" x14ac:dyDescent="0.3">
      <c r="A171" s="42">
        <v>160316136</v>
      </c>
      <c r="B171" s="43" t="s">
        <v>505</v>
      </c>
      <c r="C171" s="43" t="s">
        <v>231</v>
      </c>
      <c r="D171" s="43" t="s">
        <v>506</v>
      </c>
      <c r="E171" s="9"/>
      <c r="F171" s="9"/>
      <c r="G171" s="13"/>
      <c r="H171" s="9"/>
      <c r="I171" s="9"/>
      <c r="J171" s="13"/>
    </row>
    <row r="172" spans="1:10" ht="16.55" customHeight="1" x14ac:dyDescent="0.3">
      <c r="A172" s="42">
        <v>160893184</v>
      </c>
      <c r="B172" s="43" t="s">
        <v>507</v>
      </c>
      <c r="C172" s="43" t="s">
        <v>231</v>
      </c>
      <c r="D172" s="43" t="s">
        <v>508</v>
      </c>
      <c r="E172" s="9"/>
      <c r="F172" s="9"/>
      <c r="G172" s="13"/>
      <c r="H172" s="9"/>
      <c r="I172" s="9"/>
      <c r="J172" s="13"/>
    </row>
    <row r="173" spans="1:10" ht="16.55" customHeight="1" x14ac:dyDescent="0.3">
      <c r="A173" s="42">
        <v>161866725</v>
      </c>
      <c r="B173" s="43" t="s">
        <v>509</v>
      </c>
      <c r="C173" s="43" t="s">
        <v>231</v>
      </c>
      <c r="D173" s="43" t="s">
        <v>510</v>
      </c>
      <c r="E173" s="9"/>
      <c r="F173" s="9"/>
      <c r="G173" s="13"/>
      <c r="H173" s="9"/>
      <c r="I173" s="9"/>
      <c r="J173" s="13"/>
    </row>
    <row r="174" spans="1:10" ht="16.55" customHeight="1" x14ac:dyDescent="0.3">
      <c r="A174" s="42">
        <v>161971456</v>
      </c>
      <c r="B174" s="43" t="s">
        <v>511</v>
      </c>
      <c r="C174" s="43" t="s">
        <v>231</v>
      </c>
      <c r="D174" s="43" t="s">
        <v>512</v>
      </c>
      <c r="E174" s="9"/>
      <c r="F174" s="9"/>
      <c r="G174" s="13"/>
      <c r="H174" s="9"/>
      <c r="I174" s="9"/>
      <c r="J174" s="13"/>
    </row>
    <row r="175" spans="1:10" x14ac:dyDescent="0.3">
      <c r="A175" s="42">
        <v>163741253</v>
      </c>
      <c r="B175" s="43" t="s">
        <v>513</v>
      </c>
      <c r="C175" s="43" t="s">
        <v>231</v>
      </c>
      <c r="D175" s="44" t="s">
        <v>514</v>
      </c>
      <c r="E175" s="9"/>
      <c r="F175" s="9"/>
      <c r="G175" s="13"/>
      <c r="J175" s="45"/>
    </row>
    <row r="176" spans="1:10" ht="16.55" customHeight="1" x14ac:dyDescent="0.3">
      <c r="A176" s="42">
        <v>164163695</v>
      </c>
      <c r="B176" s="43" t="s">
        <v>515</v>
      </c>
      <c r="C176" s="43" t="s">
        <v>231</v>
      </c>
      <c r="D176" s="43" t="s">
        <v>510</v>
      </c>
      <c r="E176" s="9"/>
      <c r="F176" s="9"/>
      <c r="G176" s="13"/>
      <c r="H176" s="9"/>
      <c r="I176" s="9"/>
      <c r="J176" s="13"/>
    </row>
    <row r="177" spans="1:10" ht="16.55" customHeight="1" x14ac:dyDescent="0.3">
      <c r="A177" s="42">
        <v>167625622</v>
      </c>
      <c r="B177" s="43" t="s">
        <v>516</v>
      </c>
      <c r="C177" s="43" t="s">
        <v>231</v>
      </c>
      <c r="D177" s="43" t="s">
        <v>517</v>
      </c>
      <c r="E177" s="9"/>
      <c r="F177" s="9"/>
      <c r="G177" s="13"/>
      <c r="H177" s="9"/>
      <c r="I177" s="9"/>
      <c r="J177" s="13"/>
    </row>
    <row r="178" spans="1:10" x14ac:dyDescent="0.3">
      <c r="A178" s="42">
        <v>169539740</v>
      </c>
      <c r="B178" s="43" t="s">
        <v>518</v>
      </c>
      <c r="C178" s="43" t="s">
        <v>231</v>
      </c>
      <c r="D178" s="44" t="s">
        <v>519</v>
      </c>
      <c r="E178" s="9"/>
      <c r="F178" s="9"/>
      <c r="G178" s="13"/>
      <c r="J178" s="45"/>
    </row>
    <row r="179" spans="1:10" ht="16.55" customHeight="1" x14ac:dyDescent="0.3">
      <c r="A179" s="42">
        <v>171478022</v>
      </c>
      <c r="B179" s="43" t="s">
        <v>520</v>
      </c>
      <c r="C179" s="43" t="s">
        <v>231</v>
      </c>
      <c r="D179" s="43" t="s">
        <v>521</v>
      </c>
      <c r="E179" s="9"/>
      <c r="F179" s="9"/>
      <c r="G179" s="13"/>
      <c r="H179" s="9"/>
      <c r="I179" s="9"/>
      <c r="J179" s="13"/>
    </row>
    <row r="180" spans="1:10" ht="16.55" customHeight="1" x14ac:dyDescent="0.3">
      <c r="A180" s="42">
        <v>172087582</v>
      </c>
      <c r="B180" s="43" t="s">
        <v>522</v>
      </c>
      <c r="C180" s="43" t="s">
        <v>231</v>
      </c>
      <c r="D180" s="43" t="s">
        <v>523</v>
      </c>
      <c r="E180" s="9"/>
      <c r="F180" s="9"/>
      <c r="G180" s="13"/>
      <c r="H180" s="9"/>
      <c r="I180" s="9"/>
      <c r="J180" s="13"/>
    </row>
    <row r="181" spans="1:10" x14ac:dyDescent="0.3">
      <c r="A181" s="49">
        <v>172573584</v>
      </c>
      <c r="B181" s="50" t="s">
        <v>524</v>
      </c>
      <c r="C181" s="50" t="s">
        <v>231</v>
      </c>
      <c r="D181" s="50" t="s">
        <v>525</v>
      </c>
      <c r="G181" s="45"/>
      <c r="J181" s="45"/>
    </row>
    <row r="182" spans="1:10" ht="16.55" customHeight="1" x14ac:dyDescent="0.3">
      <c r="A182" s="42">
        <v>176525444</v>
      </c>
      <c r="B182" s="43" t="s">
        <v>526</v>
      </c>
      <c r="C182" s="43" t="s">
        <v>231</v>
      </c>
      <c r="D182" s="43" t="s">
        <v>527</v>
      </c>
      <c r="E182" s="9"/>
      <c r="F182" s="9"/>
      <c r="G182" s="13"/>
      <c r="H182" s="9"/>
      <c r="I182" s="9"/>
      <c r="J182" s="13"/>
    </row>
    <row r="183" spans="1:10" ht="16.55" customHeight="1" x14ac:dyDescent="0.3">
      <c r="A183" s="42">
        <v>176655062</v>
      </c>
      <c r="B183" s="43" t="s">
        <v>528</v>
      </c>
      <c r="C183" s="43" t="s">
        <v>231</v>
      </c>
      <c r="D183" s="43" t="s">
        <v>529</v>
      </c>
      <c r="E183" s="9"/>
      <c r="F183" s="9"/>
      <c r="G183" s="13"/>
      <c r="H183" s="9"/>
      <c r="I183" s="9"/>
      <c r="J183" s="13"/>
    </row>
    <row r="184" spans="1:10" x14ac:dyDescent="0.3">
      <c r="A184" s="42">
        <v>177380954</v>
      </c>
      <c r="B184" s="43" t="s">
        <v>530</v>
      </c>
      <c r="C184" s="43" t="s">
        <v>231</v>
      </c>
      <c r="D184" s="44" t="s">
        <v>531</v>
      </c>
      <c r="E184" s="9"/>
      <c r="F184" s="9"/>
      <c r="G184" s="13"/>
      <c r="J184" s="45"/>
    </row>
    <row r="185" spans="1:10" ht="16.55" customHeight="1" x14ac:dyDescent="0.3">
      <c r="A185" s="42">
        <v>180666397</v>
      </c>
      <c r="B185" s="43" t="s">
        <v>532</v>
      </c>
      <c r="C185" s="43" t="s">
        <v>231</v>
      </c>
      <c r="D185" s="43" t="s">
        <v>533</v>
      </c>
      <c r="E185" s="9"/>
      <c r="F185" s="9"/>
      <c r="G185" s="13"/>
      <c r="H185" s="9"/>
      <c r="I185" s="9"/>
      <c r="J185" s="13"/>
    </row>
    <row r="186" spans="1:10" ht="16.55" customHeight="1" x14ac:dyDescent="0.3">
      <c r="A186" s="42">
        <v>180820310</v>
      </c>
      <c r="B186" s="43" t="s">
        <v>534</v>
      </c>
      <c r="C186" s="43" t="s">
        <v>231</v>
      </c>
      <c r="D186" s="43" t="s">
        <v>535</v>
      </c>
      <c r="E186" s="9"/>
      <c r="F186" s="9"/>
      <c r="G186" s="13"/>
      <c r="H186" s="9"/>
      <c r="I186" s="9"/>
      <c r="J186" s="13"/>
    </row>
    <row r="187" spans="1:10" ht="16.55" customHeight="1" x14ac:dyDescent="0.3">
      <c r="A187" s="42">
        <v>181111186</v>
      </c>
      <c r="B187" s="43" t="s">
        <v>73</v>
      </c>
      <c r="C187" s="43" t="s">
        <v>231</v>
      </c>
      <c r="D187" s="43" t="s">
        <v>536</v>
      </c>
      <c r="E187" s="46">
        <v>3106116</v>
      </c>
      <c r="F187" s="47" t="s">
        <v>175</v>
      </c>
      <c r="G187" s="32" t="s">
        <v>41</v>
      </c>
      <c r="H187" s="9"/>
      <c r="I187" s="9"/>
      <c r="J187" s="13"/>
    </row>
    <row r="188" spans="1:10" ht="16.55" customHeight="1" x14ac:dyDescent="0.3">
      <c r="A188" s="42">
        <v>181660635</v>
      </c>
      <c r="B188" s="43" t="s">
        <v>537</v>
      </c>
      <c r="C188" s="43" t="s">
        <v>231</v>
      </c>
      <c r="D188" s="43" t="s">
        <v>538</v>
      </c>
      <c r="E188" s="9"/>
      <c r="F188" s="9"/>
      <c r="G188" s="13"/>
      <c r="H188" s="9"/>
      <c r="I188" s="9"/>
      <c r="J188" s="13"/>
    </row>
    <row r="189" spans="1:10" ht="16.55" customHeight="1" x14ac:dyDescent="0.3">
      <c r="A189" s="42">
        <v>188283179</v>
      </c>
      <c r="B189" s="43" t="s">
        <v>539</v>
      </c>
      <c r="C189" s="43" t="s">
        <v>231</v>
      </c>
      <c r="D189" s="44" t="s">
        <v>540</v>
      </c>
      <c r="E189" s="9"/>
      <c r="F189" s="9"/>
      <c r="G189" s="13"/>
      <c r="H189" s="9"/>
      <c r="I189" s="9"/>
      <c r="J189" s="13"/>
    </row>
    <row r="190" spans="1:10" ht="16.55" customHeight="1" x14ac:dyDescent="0.3">
      <c r="A190" s="42">
        <v>190378403</v>
      </c>
      <c r="B190" s="43" t="s">
        <v>541</v>
      </c>
      <c r="C190" s="43" t="s">
        <v>231</v>
      </c>
      <c r="D190" s="43" t="s">
        <v>542</v>
      </c>
      <c r="E190" s="9"/>
      <c r="F190" s="9"/>
      <c r="G190" s="13"/>
      <c r="H190" s="9"/>
      <c r="I190" s="9"/>
      <c r="J190" s="13"/>
    </row>
    <row r="191" spans="1:10" ht="16.55" customHeight="1" x14ac:dyDescent="0.3">
      <c r="A191" s="42">
        <v>195136556</v>
      </c>
      <c r="B191" s="43" t="s">
        <v>543</v>
      </c>
      <c r="C191" s="43" t="s">
        <v>231</v>
      </c>
      <c r="D191" s="43" t="s">
        <v>544</v>
      </c>
      <c r="E191" s="9"/>
      <c r="F191" s="9"/>
      <c r="G191" s="13"/>
      <c r="H191" s="9"/>
      <c r="I191" s="9"/>
      <c r="J191" s="13"/>
    </row>
    <row r="192" spans="1:10" x14ac:dyDescent="0.3">
      <c r="A192" s="42">
        <v>195839301</v>
      </c>
      <c r="B192" s="43" t="s">
        <v>545</v>
      </c>
      <c r="C192" s="43" t="s">
        <v>231</v>
      </c>
      <c r="D192" s="44" t="s">
        <v>546</v>
      </c>
      <c r="E192" s="9"/>
      <c r="F192" s="9"/>
      <c r="G192" s="13"/>
      <c r="J192" s="45"/>
    </row>
    <row r="193" spans="1:10" ht="16.55" customHeight="1" x14ac:dyDescent="0.3">
      <c r="A193" s="42">
        <v>197314850</v>
      </c>
      <c r="B193" s="43" t="s">
        <v>547</v>
      </c>
      <c r="C193" s="43" t="s">
        <v>231</v>
      </c>
      <c r="D193" s="44" t="s">
        <v>548</v>
      </c>
      <c r="E193" s="9"/>
      <c r="F193" s="9"/>
      <c r="G193" s="13"/>
      <c r="H193" s="9"/>
      <c r="I193" s="9"/>
      <c r="J193" s="13"/>
    </row>
    <row r="194" spans="1:10" ht="16.55" customHeight="1" x14ac:dyDescent="0.3">
      <c r="A194" s="51">
        <v>197940450</v>
      </c>
      <c r="B194" s="52" t="s">
        <v>549</v>
      </c>
      <c r="C194" s="43" t="s">
        <v>231</v>
      </c>
      <c r="D194" s="44" t="s">
        <v>550</v>
      </c>
      <c r="E194" s="9"/>
      <c r="F194" s="9"/>
      <c r="G194" s="13"/>
      <c r="H194" s="9"/>
      <c r="I194" s="9"/>
      <c r="J194" s="13"/>
    </row>
    <row r="195" spans="1:10" ht="16.55" customHeight="1" x14ac:dyDescent="0.3">
      <c r="A195" s="42">
        <v>202211062</v>
      </c>
      <c r="B195" s="43" t="s">
        <v>551</v>
      </c>
      <c r="C195" s="43" t="s">
        <v>231</v>
      </c>
      <c r="D195" s="44" t="s">
        <v>552</v>
      </c>
      <c r="E195" s="9"/>
      <c r="F195" s="9"/>
      <c r="G195" s="13"/>
      <c r="H195" s="53"/>
      <c r="J195" s="45"/>
    </row>
    <row r="196" spans="1:10" ht="16.55" customHeight="1" x14ac:dyDescent="0.3">
      <c r="A196" s="42">
        <v>203915977</v>
      </c>
      <c r="B196" s="43" t="s">
        <v>553</v>
      </c>
      <c r="C196" s="43" t="s">
        <v>231</v>
      </c>
      <c r="D196" s="44" t="s">
        <v>554</v>
      </c>
      <c r="E196" s="9"/>
      <c r="F196" s="9"/>
      <c r="G196" s="13"/>
      <c r="H196" s="53"/>
      <c r="J196" s="45"/>
    </row>
    <row r="197" spans="1:10" ht="16.55" customHeight="1" x14ac:dyDescent="0.3">
      <c r="A197" s="42">
        <v>204175225</v>
      </c>
      <c r="B197" s="43" t="s">
        <v>555</v>
      </c>
      <c r="C197" s="43" t="s">
        <v>231</v>
      </c>
      <c r="D197" s="44" t="s">
        <v>556</v>
      </c>
      <c r="E197" s="9"/>
      <c r="F197" s="9"/>
      <c r="G197" s="13"/>
      <c r="H197" s="53"/>
      <c r="J197" s="45"/>
    </row>
    <row r="198" spans="1:10" ht="16.55" customHeight="1" x14ac:dyDescent="0.3">
      <c r="A198" s="42">
        <v>209490226</v>
      </c>
      <c r="B198" s="43" t="s">
        <v>557</v>
      </c>
      <c r="C198" s="43" t="s">
        <v>231</v>
      </c>
      <c r="D198" s="44" t="s">
        <v>558</v>
      </c>
      <c r="E198" s="9"/>
      <c r="F198" s="9"/>
      <c r="G198" s="13"/>
      <c r="H198" s="9"/>
      <c r="I198" s="9"/>
      <c r="J198" s="13"/>
    </row>
    <row r="199" spans="1:10" ht="16.55" customHeight="1" x14ac:dyDescent="0.3">
      <c r="A199" s="42">
        <v>209871068</v>
      </c>
      <c r="B199" s="43" t="s">
        <v>559</v>
      </c>
      <c r="C199" s="43" t="s">
        <v>231</v>
      </c>
      <c r="D199" s="43" t="s">
        <v>560</v>
      </c>
      <c r="E199" s="9"/>
      <c r="F199" s="9"/>
      <c r="G199" s="13"/>
      <c r="H199" s="9"/>
      <c r="I199" s="9"/>
      <c r="J199" s="13"/>
    </row>
    <row r="200" spans="1:10" ht="16.55" customHeight="1" x14ac:dyDescent="0.3">
      <c r="A200" s="42">
        <v>225822573</v>
      </c>
      <c r="B200" s="43" t="s">
        <v>561</v>
      </c>
      <c r="C200" s="43" t="s">
        <v>231</v>
      </c>
      <c r="D200" s="43" t="s">
        <v>562</v>
      </c>
      <c r="E200" s="9"/>
      <c r="F200" s="9"/>
      <c r="G200" s="13"/>
      <c r="H200" s="9"/>
      <c r="I200" s="9"/>
      <c r="J200" s="13"/>
    </row>
    <row r="201" spans="1:10" ht="16.55" customHeight="1" x14ac:dyDescent="0.3">
      <c r="A201" s="42">
        <v>229325272</v>
      </c>
      <c r="B201" s="43" t="s">
        <v>563</v>
      </c>
      <c r="C201" s="43" t="s">
        <v>231</v>
      </c>
      <c r="D201" s="43" t="s">
        <v>564</v>
      </c>
      <c r="E201" s="9"/>
      <c r="F201" s="9"/>
      <c r="G201" s="13"/>
      <c r="H201" s="9"/>
      <c r="I201" s="9"/>
      <c r="J201" s="13"/>
    </row>
    <row r="202" spans="1:10" ht="16.55" customHeight="1" x14ac:dyDescent="0.3">
      <c r="A202" s="42">
        <v>246047286</v>
      </c>
      <c r="B202" s="43" t="s">
        <v>565</v>
      </c>
      <c r="C202" s="43" t="s">
        <v>231</v>
      </c>
      <c r="D202" s="44" t="s">
        <v>566</v>
      </c>
      <c r="E202" s="9"/>
      <c r="F202" s="9"/>
      <c r="G202" s="13"/>
      <c r="H202" s="53"/>
      <c r="J202" s="45"/>
    </row>
    <row r="203" spans="1:10" ht="16.55" customHeight="1" x14ac:dyDescent="0.3">
      <c r="A203" s="42">
        <v>265239188</v>
      </c>
      <c r="B203" s="43" t="s">
        <v>567</v>
      </c>
      <c r="C203" s="43" t="s">
        <v>231</v>
      </c>
      <c r="D203" s="43" t="s">
        <v>568</v>
      </c>
      <c r="E203" s="9"/>
      <c r="F203" s="9"/>
      <c r="G203" s="13"/>
      <c r="H203" s="9"/>
      <c r="I203" s="9"/>
      <c r="J203" s="13"/>
    </row>
    <row r="204" spans="1:10" ht="16.55" customHeight="1" x14ac:dyDescent="0.3">
      <c r="A204" s="42">
        <v>266665466</v>
      </c>
      <c r="B204" s="43" t="s">
        <v>569</v>
      </c>
      <c r="C204" s="43" t="s">
        <v>231</v>
      </c>
      <c r="D204" s="44" t="s">
        <v>570</v>
      </c>
      <c r="E204" s="9"/>
      <c r="F204" s="9"/>
      <c r="G204" s="13"/>
      <c r="H204" s="53"/>
      <c r="J204" s="45"/>
    </row>
    <row r="205" spans="1:10" ht="16.55" customHeight="1" x14ac:dyDescent="0.3">
      <c r="A205" s="42">
        <v>267310734</v>
      </c>
      <c r="B205" s="43" t="s">
        <v>571</v>
      </c>
      <c r="C205" s="43" t="s">
        <v>231</v>
      </c>
      <c r="D205" s="43" t="s">
        <v>572</v>
      </c>
      <c r="E205" s="9"/>
      <c r="F205" s="9"/>
      <c r="G205" s="13"/>
      <c r="H205" s="9"/>
      <c r="I205" s="9"/>
      <c r="J205" s="13"/>
    </row>
    <row r="206" spans="1:10" ht="16.55" customHeight="1" x14ac:dyDescent="0.3">
      <c r="A206" s="42">
        <v>533228089</v>
      </c>
      <c r="B206" s="43" t="s">
        <v>573</v>
      </c>
      <c r="C206" s="43" t="s">
        <v>231</v>
      </c>
      <c r="D206" s="43" t="s">
        <v>574</v>
      </c>
      <c r="E206" s="9"/>
      <c r="F206" s="9"/>
      <c r="G206" s="13"/>
      <c r="H206" s="9"/>
      <c r="I206" s="9"/>
      <c r="J206" s="13"/>
    </row>
    <row r="207" spans="1:10" ht="16.55" customHeight="1" x14ac:dyDescent="0.3">
      <c r="A207" s="42">
        <v>555555515</v>
      </c>
      <c r="B207" s="43" t="s">
        <v>575</v>
      </c>
      <c r="C207" s="43" t="s">
        <v>231</v>
      </c>
      <c r="D207" s="43" t="s">
        <v>576</v>
      </c>
      <c r="E207" s="9"/>
      <c r="F207" s="9"/>
      <c r="G207" s="13"/>
      <c r="H207" s="9"/>
      <c r="I207" s="9"/>
      <c r="J207" s="13"/>
    </row>
    <row r="208" spans="1:10" ht="16.55" customHeight="1" x14ac:dyDescent="0.3">
      <c r="A208" s="42">
        <v>555555525</v>
      </c>
      <c r="B208" s="43" t="s">
        <v>577</v>
      </c>
      <c r="C208" s="43" t="s">
        <v>231</v>
      </c>
      <c r="D208" s="43" t="s">
        <v>576</v>
      </c>
      <c r="E208" s="9"/>
      <c r="F208" s="9"/>
      <c r="G208" s="13"/>
      <c r="H208" s="9"/>
      <c r="I208" s="9"/>
      <c r="J208" s="13"/>
    </row>
    <row r="209" spans="1:13" ht="16.55" customHeight="1" x14ac:dyDescent="0.3">
      <c r="A209" s="42">
        <v>555555535</v>
      </c>
      <c r="B209" s="43" t="s">
        <v>578</v>
      </c>
      <c r="C209" s="43" t="s">
        <v>231</v>
      </c>
      <c r="D209" s="44" t="s">
        <v>576</v>
      </c>
      <c r="E209" s="9"/>
      <c r="F209" s="9"/>
      <c r="G209" s="13"/>
      <c r="H209" s="53"/>
      <c r="J209" s="45"/>
    </row>
    <row r="210" spans="1:13" ht="16.55" customHeight="1" x14ac:dyDescent="0.3">
      <c r="A210" s="42">
        <v>555555555</v>
      </c>
      <c r="B210" s="43" t="s">
        <v>579</v>
      </c>
      <c r="C210" s="43" t="s">
        <v>231</v>
      </c>
      <c r="D210" s="43" t="s">
        <v>576</v>
      </c>
      <c r="E210" s="9"/>
      <c r="F210" s="9"/>
      <c r="G210" s="13"/>
      <c r="H210" s="9"/>
      <c r="I210" s="9"/>
      <c r="J210" s="13"/>
    </row>
    <row r="211" spans="1:13" ht="16.55" customHeight="1" x14ac:dyDescent="0.3">
      <c r="A211" s="42">
        <v>608050000</v>
      </c>
      <c r="B211" s="43" t="s">
        <v>580</v>
      </c>
      <c r="C211" s="43" t="s">
        <v>231</v>
      </c>
      <c r="D211" s="43" t="s">
        <v>581</v>
      </c>
      <c r="E211" s="9"/>
      <c r="F211" s="9"/>
      <c r="G211" s="13"/>
      <c r="H211" s="9"/>
      <c r="I211" s="9"/>
      <c r="J211" s="13"/>
    </row>
    <row r="212" spans="1:13" ht="16.55" customHeight="1" x14ac:dyDescent="0.3">
      <c r="A212" s="42">
        <v>609100001</v>
      </c>
      <c r="B212" s="43" t="s">
        <v>582</v>
      </c>
      <c r="C212" s="43" t="s">
        <v>231</v>
      </c>
      <c r="D212" s="44" t="s">
        <v>583</v>
      </c>
      <c r="E212" s="9"/>
      <c r="F212" s="9"/>
      <c r="G212" s="13"/>
      <c r="H212" s="53"/>
      <c r="J212" s="45"/>
    </row>
    <row r="213" spans="1:13" ht="16.55" customHeight="1" x14ac:dyDescent="0.3">
      <c r="A213" s="42">
        <v>651257263</v>
      </c>
      <c r="B213" s="43" t="s">
        <v>584</v>
      </c>
      <c r="C213" s="43" t="s">
        <v>231</v>
      </c>
      <c r="D213" s="43" t="s">
        <v>585</v>
      </c>
      <c r="E213" s="9"/>
      <c r="F213" s="9"/>
      <c r="G213" s="13"/>
      <c r="H213" s="9"/>
      <c r="I213" s="9"/>
      <c r="J213" s="13"/>
    </row>
    <row r="214" spans="1:13" ht="16.55" customHeight="1" x14ac:dyDescent="0.3">
      <c r="A214" s="42">
        <v>651932858</v>
      </c>
      <c r="B214" s="43" t="s">
        <v>89</v>
      </c>
      <c r="C214" s="43" t="s">
        <v>231</v>
      </c>
      <c r="D214" s="43" t="s">
        <v>586</v>
      </c>
      <c r="E214" s="47">
        <v>3106831</v>
      </c>
      <c r="F214" s="47" t="s">
        <v>91</v>
      </c>
      <c r="G214" s="48">
        <v>2</v>
      </c>
      <c r="H214" s="9"/>
      <c r="I214" s="9"/>
      <c r="J214" s="13"/>
    </row>
    <row r="215" spans="1:13" x14ac:dyDescent="0.3">
      <c r="A215" s="42">
        <v>760089591</v>
      </c>
      <c r="B215" s="43" t="s">
        <v>415</v>
      </c>
      <c r="C215" s="43" t="s">
        <v>231</v>
      </c>
      <c r="D215" s="44" t="s">
        <v>587</v>
      </c>
      <c r="E215" s="9"/>
      <c r="F215" s="9"/>
      <c r="G215" s="13"/>
      <c r="H215" s="9"/>
      <c r="I215" s="9"/>
      <c r="J215" s="13"/>
      <c r="K215" s="9"/>
      <c r="L215" s="30" t="s">
        <v>51</v>
      </c>
      <c r="M215" s="31" t="s">
        <v>310</v>
      </c>
    </row>
    <row r="216" spans="1:13" ht="16.55" customHeight="1" x14ac:dyDescent="0.3">
      <c r="A216" s="42">
        <v>760129496</v>
      </c>
      <c r="B216" s="43" t="s">
        <v>588</v>
      </c>
      <c r="C216" s="43" t="s">
        <v>231</v>
      </c>
      <c r="D216" s="43" t="s">
        <v>589</v>
      </c>
      <c r="E216" s="9"/>
      <c r="F216" s="9"/>
      <c r="G216" s="13"/>
      <c r="H216" s="9"/>
      <c r="I216" s="9"/>
      <c r="J216" s="13"/>
    </row>
    <row r="217" spans="1:13" ht="16.55" customHeight="1" x14ac:dyDescent="0.3">
      <c r="A217" s="42">
        <v>760306185</v>
      </c>
      <c r="B217" s="43" t="s">
        <v>590</v>
      </c>
      <c r="C217" s="43" t="s">
        <v>231</v>
      </c>
      <c r="D217" s="43" t="s">
        <v>591</v>
      </c>
      <c r="E217" s="9"/>
      <c r="F217" s="9"/>
      <c r="G217" s="13"/>
      <c r="H217" s="9"/>
      <c r="I217" s="9"/>
      <c r="J217" s="13"/>
    </row>
    <row r="218" spans="1:13" ht="16.55" customHeight="1" x14ac:dyDescent="0.3">
      <c r="A218" s="42">
        <v>760397580</v>
      </c>
      <c r="B218" s="43" t="s">
        <v>592</v>
      </c>
      <c r="C218" s="43" t="s">
        <v>231</v>
      </c>
      <c r="D218" s="43" t="s">
        <v>593</v>
      </c>
      <c r="E218" s="9"/>
      <c r="F218" s="9"/>
      <c r="G218" s="13"/>
      <c r="H218" s="9"/>
      <c r="I218" s="9"/>
      <c r="J218" s="13"/>
    </row>
    <row r="219" spans="1:13" ht="16.55" customHeight="1" x14ac:dyDescent="0.3">
      <c r="A219" s="42">
        <v>760429651</v>
      </c>
      <c r="B219" s="43" t="s">
        <v>594</v>
      </c>
      <c r="C219" s="43" t="s">
        <v>231</v>
      </c>
      <c r="D219" s="43" t="s">
        <v>595</v>
      </c>
      <c r="E219" s="9"/>
      <c r="F219" s="9"/>
      <c r="G219" s="13"/>
      <c r="H219" s="9"/>
      <c r="I219" s="9"/>
      <c r="J219" s="13"/>
    </row>
    <row r="220" spans="1:13" ht="16.55" customHeight="1" x14ac:dyDescent="0.3">
      <c r="A220" s="42">
        <v>760512419</v>
      </c>
      <c r="B220" s="43" t="s">
        <v>596</v>
      </c>
      <c r="C220" s="43" t="s">
        <v>231</v>
      </c>
      <c r="D220" s="43" t="s">
        <v>597</v>
      </c>
      <c r="E220" s="9"/>
      <c r="F220" s="9"/>
      <c r="G220" s="13"/>
      <c r="H220" s="9"/>
      <c r="I220" s="9"/>
      <c r="J220" s="13"/>
    </row>
    <row r="221" spans="1:13" ht="16.55" customHeight="1" x14ac:dyDescent="0.3">
      <c r="A221" s="42">
        <v>760797499</v>
      </c>
      <c r="B221" s="43" t="s">
        <v>598</v>
      </c>
      <c r="C221" s="43" t="s">
        <v>231</v>
      </c>
      <c r="D221" s="43" t="s">
        <v>599</v>
      </c>
      <c r="E221" s="54">
        <v>1106801</v>
      </c>
      <c r="F221" s="54" t="s">
        <v>37</v>
      </c>
      <c r="G221" s="55"/>
      <c r="H221" s="9"/>
      <c r="I221" s="9"/>
      <c r="J221" s="13"/>
    </row>
    <row r="222" spans="1:13" ht="16.55" customHeight="1" x14ac:dyDescent="0.3">
      <c r="A222" s="42">
        <v>760841340</v>
      </c>
      <c r="B222" s="43" t="s">
        <v>600</v>
      </c>
      <c r="C222" s="43" t="s">
        <v>231</v>
      </c>
      <c r="D222" s="43" t="s">
        <v>601</v>
      </c>
      <c r="E222" s="9"/>
      <c r="F222" s="9"/>
      <c r="G222" s="13"/>
      <c r="H222" s="9"/>
      <c r="I222" s="9"/>
      <c r="J222" s="13"/>
    </row>
    <row r="223" spans="1:13" ht="16.55" customHeight="1" x14ac:dyDescent="0.3">
      <c r="A223" s="42">
        <v>761029517</v>
      </c>
      <c r="B223" s="43" t="s">
        <v>602</v>
      </c>
      <c r="C223" s="43" t="s">
        <v>231</v>
      </c>
      <c r="D223" s="43" t="s">
        <v>603</v>
      </c>
      <c r="E223" s="9"/>
      <c r="F223" s="9"/>
      <c r="G223" s="13"/>
      <c r="H223" s="9"/>
      <c r="I223" s="9"/>
      <c r="J223" s="13"/>
    </row>
    <row r="224" spans="1:13" ht="16.55" customHeight="1" x14ac:dyDescent="0.3">
      <c r="A224" s="42">
        <v>761056271</v>
      </c>
      <c r="B224" s="43" t="s">
        <v>604</v>
      </c>
      <c r="C224" s="43" t="s">
        <v>231</v>
      </c>
      <c r="D224" s="43" t="s">
        <v>605</v>
      </c>
      <c r="E224" s="9"/>
      <c r="F224" s="9"/>
      <c r="G224" s="13"/>
      <c r="H224" s="9"/>
      <c r="I224" s="9"/>
      <c r="J224" s="13"/>
    </row>
    <row r="225" spans="1:10" ht="16.55" customHeight="1" x14ac:dyDescent="0.3">
      <c r="A225" s="42">
        <v>761154362</v>
      </c>
      <c r="B225" s="43" t="s">
        <v>606</v>
      </c>
      <c r="C225" s="43" t="s">
        <v>231</v>
      </c>
      <c r="D225" s="43" t="s">
        <v>607</v>
      </c>
      <c r="E225" s="9"/>
      <c r="F225" s="9"/>
      <c r="G225" s="13"/>
      <c r="H225" s="9"/>
      <c r="I225" s="9"/>
      <c r="J225" s="13"/>
    </row>
    <row r="226" spans="1:10" ht="16.55" customHeight="1" x14ac:dyDescent="0.3">
      <c r="A226" s="42">
        <v>761157710</v>
      </c>
      <c r="B226" s="43" t="s">
        <v>608</v>
      </c>
      <c r="C226" s="43" t="s">
        <v>231</v>
      </c>
      <c r="D226" s="43" t="s">
        <v>609</v>
      </c>
      <c r="E226" s="9"/>
      <c r="F226" s="9"/>
      <c r="G226" s="13"/>
      <c r="H226" s="9"/>
      <c r="I226" s="9"/>
      <c r="J226" s="13"/>
    </row>
    <row r="227" spans="1:10" ht="16.55" customHeight="1" x14ac:dyDescent="0.3">
      <c r="A227" s="42">
        <v>761167804</v>
      </c>
      <c r="B227" s="43" t="s">
        <v>610</v>
      </c>
      <c r="C227" s="43" t="s">
        <v>231</v>
      </c>
      <c r="D227" s="43" t="s">
        <v>611</v>
      </c>
      <c r="E227" s="9"/>
      <c r="F227" s="9"/>
      <c r="G227" s="13"/>
      <c r="H227" s="9"/>
      <c r="I227" s="9"/>
      <c r="J227" s="13"/>
    </row>
    <row r="228" spans="1:10" ht="16.55" customHeight="1" x14ac:dyDescent="0.3">
      <c r="A228" s="42">
        <v>761256327</v>
      </c>
      <c r="B228" s="43" t="s">
        <v>612</v>
      </c>
      <c r="C228" s="43" t="s">
        <v>231</v>
      </c>
      <c r="D228" s="44" t="s">
        <v>613</v>
      </c>
      <c r="E228" s="9"/>
      <c r="F228" s="9"/>
      <c r="G228" s="13"/>
      <c r="H228" s="53"/>
      <c r="J228" s="45"/>
    </row>
    <row r="229" spans="1:10" ht="16.55" customHeight="1" x14ac:dyDescent="0.3">
      <c r="A229" s="42">
        <v>761349414</v>
      </c>
      <c r="B229" s="43" t="s">
        <v>614</v>
      </c>
      <c r="C229" s="43" t="s">
        <v>231</v>
      </c>
      <c r="D229" s="43" t="s">
        <v>615</v>
      </c>
      <c r="E229" s="9"/>
      <c r="F229" s="9"/>
      <c r="G229" s="13"/>
      <c r="H229" s="9"/>
      <c r="I229" s="9"/>
      <c r="J229" s="13"/>
    </row>
    <row r="230" spans="1:10" x14ac:dyDescent="0.3">
      <c r="A230" s="27">
        <v>761585134</v>
      </c>
      <c r="B230" s="28" t="s">
        <v>616</v>
      </c>
      <c r="C230" s="28" t="s">
        <v>231</v>
      </c>
      <c r="D230" s="28" t="s">
        <v>617</v>
      </c>
      <c r="E230" s="30">
        <v>1106801</v>
      </c>
      <c r="F230" s="30" t="s">
        <v>37</v>
      </c>
      <c r="G230" s="31">
        <v>1</v>
      </c>
    </row>
    <row r="231" spans="1:10" ht="16.55" customHeight="1" x14ac:dyDescent="0.3">
      <c r="A231" s="42">
        <v>761617940</v>
      </c>
      <c r="B231" s="43" t="s">
        <v>618</v>
      </c>
      <c r="C231" s="43" t="s">
        <v>231</v>
      </c>
      <c r="D231" s="44" t="s">
        <v>619</v>
      </c>
      <c r="E231" s="9"/>
      <c r="F231" s="9"/>
      <c r="G231" s="13"/>
      <c r="H231" s="53"/>
      <c r="J231" s="45"/>
    </row>
    <row r="232" spans="1:10" ht="16.55" customHeight="1" x14ac:dyDescent="0.3">
      <c r="A232" s="42">
        <v>761783602</v>
      </c>
      <c r="B232" s="43" t="s">
        <v>620</v>
      </c>
      <c r="C232" s="43" t="s">
        <v>231</v>
      </c>
      <c r="D232" s="43" t="s">
        <v>621</v>
      </c>
      <c r="E232" s="9"/>
      <c r="F232" s="9"/>
      <c r="G232" s="13"/>
      <c r="H232" s="9"/>
      <c r="I232" s="9"/>
      <c r="J232" s="13"/>
    </row>
    <row r="233" spans="1:10" ht="16.55" customHeight="1" x14ac:dyDescent="0.3">
      <c r="A233" s="42">
        <v>761810413</v>
      </c>
      <c r="B233" s="43" t="s">
        <v>622</v>
      </c>
      <c r="C233" s="43" t="s">
        <v>231</v>
      </c>
      <c r="D233" s="43" t="s">
        <v>623</v>
      </c>
      <c r="E233" s="9"/>
      <c r="F233" s="9"/>
      <c r="G233" s="13"/>
      <c r="H233" s="9"/>
      <c r="I233" s="9"/>
      <c r="J233" s="13"/>
    </row>
    <row r="234" spans="1:10" ht="16.55" customHeight="1" x14ac:dyDescent="0.3">
      <c r="A234" s="42">
        <v>761859641</v>
      </c>
      <c r="B234" s="43" t="s">
        <v>624</v>
      </c>
      <c r="C234" s="43" t="s">
        <v>231</v>
      </c>
      <c r="D234" s="44" t="s">
        <v>625</v>
      </c>
      <c r="E234" s="9"/>
      <c r="F234" s="9"/>
      <c r="G234" s="13"/>
      <c r="H234" s="53"/>
      <c r="J234" s="45"/>
    </row>
    <row r="235" spans="1:10" ht="16.55" customHeight="1" x14ac:dyDescent="0.3">
      <c r="A235" s="42">
        <v>762473143</v>
      </c>
      <c r="B235" s="43" t="s">
        <v>626</v>
      </c>
      <c r="C235" s="43" t="s">
        <v>231</v>
      </c>
      <c r="D235" s="43" t="s">
        <v>627</v>
      </c>
      <c r="E235" s="9"/>
      <c r="F235" s="9"/>
      <c r="G235" s="13"/>
      <c r="H235" s="9"/>
      <c r="I235" s="9"/>
      <c r="J235" s="13"/>
    </row>
    <row r="236" spans="1:10" ht="16.55" customHeight="1" x14ac:dyDescent="0.3">
      <c r="A236" s="42">
        <v>762532930</v>
      </c>
      <c r="B236" s="43" t="s">
        <v>628</v>
      </c>
      <c r="C236" s="43" t="s">
        <v>231</v>
      </c>
      <c r="D236" s="43" t="s">
        <v>629</v>
      </c>
      <c r="E236" s="9"/>
      <c r="F236" s="9"/>
      <c r="G236" s="13"/>
      <c r="H236" s="9"/>
      <c r="I236" s="9"/>
      <c r="J236" s="13"/>
    </row>
    <row r="237" spans="1:10" ht="16.55" customHeight="1" x14ac:dyDescent="0.3">
      <c r="A237" s="42">
        <v>762552663</v>
      </c>
      <c r="B237" s="43" t="s">
        <v>630</v>
      </c>
      <c r="C237" s="43" t="s">
        <v>231</v>
      </c>
      <c r="D237" s="43" t="s">
        <v>631</v>
      </c>
      <c r="E237" s="9"/>
      <c r="F237" s="9"/>
      <c r="G237" s="13"/>
      <c r="H237" s="9"/>
      <c r="I237" s="9"/>
      <c r="J237" s="13"/>
    </row>
    <row r="238" spans="1:10" ht="16.55" customHeight="1" x14ac:dyDescent="0.3">
      <c r="A238" s="42">
        <v>762658631</v>
      </c>
      <c r="B238" s="43" t="s">
        <v>632</v>
      </c>
      <c r="C238" s="43" t="s">
        <v>231</v>
      </c>
      <c r="D238" s="44" t="s">
        <v>633</v>
      </c>
      <c r="E238" s="9"/>
      <c r="F238" s="9"/>
      <c r="G238" s="13"/>
      <c r="H238" s="53"/>
      <c r="J238" s="45"/>
    </row>
    <row r="239" spans="1:10" ht="16.55" customHeight="1" x14ac:dyDescent="0.3">
      <c r="A239" s="42">
        <v>762984261</v>
      </c>
      <c r="B239" s="43" t="s">
        <v>634</v>
      </c>
      <c r="C239" s="43" t="s">
        <v>231</v>
      </c>
      <c r="D239" s="44" t="s">
        <v>635</v>
      </c>
      <c r="E239" s="56">
        <v>3102108</v>
      </c>
      <c r="F239" s="56" t="s">
        <v>48</v>
      </c>
      <c r="G239" s="48">
        <v>401</v>
      </c>
      <c r="H239" s="53"/>
      <c r="J239" s="45"/>
    </row>
    <row r="240" spans="1:10" ht="16.55" customHeight="1" x14ac:dyDescent="0.3">
      <c r="A240" s="42">
        <v>763203409</v>
      </c>
      <c r="B240" s="43" t="s">
        <v>636</v>
      </c>
      <c r="C240" s="43" t="s">
        <v>231</v>
      </c>
      <c r="D240" s="44" t="s">
        <v>637</v>
      </c>
      <c r="E240" s="9"/>
      <c r="F240" s="9"/>
      <c r="G240" s="13"/>
      <c r="H240" s="53"/>
      <c r="J240" s="45"/>
    </row>
    <row r="241" spans="1:10" ht="16.55" customHeight="1" x14ac:dyDescent="0.3">
      <c r="A241" s="42">
        <v>763219275</v>
      </c>
      <c r="B241" s="43" t="s">
        <v>638</v>
      </c>
      <c r="C241" s="43" t="s">
        <v>231</v>
      </c>
      <c r="D241" s="44" t="s">
        <v>639</v>
      </c>
      <c r="E241" s="9"/>
      <c r="F241" s="9"/>
      <c r="G241" s="13"/>
      <c r="H241" s="53"/>
      <c r="J241" s="45"/>
    </row>
    <row r="242" spans="1:10" x14ac:dyDescent="0.3">
      <c r="A242" s="42">
        <v>763512274</v>
      </c>
      <c r="B242" s="43" t="s">
        <v>640</v>
      </c>
      <c r="C242" s="43" t="s">
        <v>231</v>
      </c>
      <c r="D242" s="44" t="s">
        <v>641</v>
      </c>
      <c r="E242" s="9"/>
      <c r="F242" s="9"/>
      <c r="G242" s="13"/>
      <c r="J242" s="45"/>
    </row>
    <row r="243" spans="1:10" x14ac:dyDescent="0.3">
      <c r="A243" s="27">
        <v>763802175</v>
      </c>
      <c r="B243" s="28" t="s">
        <v>76</v>
      </c>
      <c r="C243" s="28" t="s">
        <v>231</v>
      </c>
      <c r="D243" s="28" t="s">
        <v>642</v>
      </c>
      <c r="E243" s="30">
        <v>1106801</v>
      </c>
      <c r="F243" s="30" t="s">
        <v>37</v>
      </c>
      <c r="G243" s="31">
        <v>1</v>
      </c>
    </row>
    <row r="244" spans="1:10" ht="16.55" customHeight="1" x14ac:dyDescent="0.3">
      <c r="A244" s="42">
        <v>763963829</v>
      </c>
      <c r="B244" s="43" t="s">
        <v>643</v>
      </c>
      <c r="C244" s="43" t="s">
        <v>231</v>
      </c>
      <c r="D244" s="44" t="s">
        <v>644</v>
      </c>
      <c r="E244" s="9"/>
      <c r="F244" s="9"/>
      <c r="G244" s="13"/>
      <c r="H244" s="53"/>
      <c r="J244" s="45"/>
    </row>
    <row r="245" spans="1:10" x14ac:dyDescent="0.3">
      <c r="A245" s="57">
        <v>764095057</v>
      </c>
      <c r="B245" s="58" t="s">
        <v>645</v>
      </c>
      <c r="C245" s="58" t="s">
        <v>231</v>
      </c>
      <c r="D245" s="59" t="s">
        <v>646</v>
      </c>
      <c r="E245" s="47">
        <v>3106209</v>
      </c>
      <c r="F245" s="47" t="s">
        <v>55</v>
      </c>
      <c r="G245" s="48">
        <v>2</v>
      </c>
      <c r="J245" s="45"/>
    </row>
    <row r="246" spans="1:10" ht="16.55" customHeight="1" x14ac:dyDescent="0.3">
      <c r="A246" s="42">
        <v>764378865</v>
      </c>
      <c r="B246" s="43" t="s">
        <v>647</v>
      </c>
      <c r="C246" s="43" t="s">
        <v>231</v>
      </c>
      <c r="D246" s="43" t="s">
        <v>648</v>
      </c>
      <c r="E246" s="9"/>
      <c r="F246" s="9"/>
      <c r="G246" s="13"/>
      <c r="H246" s="9"/>
      <c r="I246" s="9"/>
      <c r="J246" s="13"/>
    </row>
    <row r="247" spans="1:10" ht="16.55" customHeight="1" x14ac:dyDescent="0.3">
      <c r="A247" s="42">
        <v>764465490</v>
      </c>
      <c r="B247" s="43" t="s">
        <v>649</v>
      </c>
      <c r="C247" s="43" t="s">
        <v>231</v>
      </c>
      <c r="D247" s="43" t="s">
        <v>650</v>
      </c>
      <c r="E247" s="9"/>
      <c r="F247" s="9"/>
      <c r="G247" s="13"/>
      <c r="H247" s="9"/>
      <c r="I247" s="9"/>
      <c r="J247" s="13"/>
    </row>
    <row r="248" spans="1:10" x14ac:dyDescent="0.3">
      <c r="A248" s="42">
        <v>764484940</v>
      </c>
      <c r="B248" s="43" t="s">
        <v>651</v>
      </c>
      <c r="C248" s="43" t="s">
        <v>231</v>
      </c>
      <c r="D248" s="44" t="s">
        <v>652</v>
      </c>
      <c r="E248" s="9"/>
      <c r="F248" s="9"/>
      <c r="G248" s="13"/>
      <c r="J248" s="45"/>
    </row>
    <row r="249" spans="1:10" ht="16.55" customHeight="1" x14ac:dyDescent="0.3">
      <c r="A249" s="42">
        <v>764624211</v>
      </c>
      <c r="B249" s="43" t="s">
        <v>653</v>
      </c>
      <c r="C249" s="43" t="s">
        <v>231</v>
      </c>
      <c r="D249" s="43" t="s">
        <v>654</v>
      </c>
      <c r="E249" s="9"/>
      <c r="F249" s="9"/>
      <c r="G249" s="13"/>
      <c r="H249" s="9"/>
      <c r="I249" s="9"/>
      <c r="J249" s="13"/>
    </row>
    <row r="250" spans="1:10" ht="16.55" customHeight="1" x14ac:dyDescent="0.3">
      <c r="A250" s="42">
        <v>764790669</v>
      </c>
      <c r="B250" s="43" t="s">
        <v>655</v>
      </c>
      <c r="C250" s="43" t="s">
        <v>231</v>
      </c>
      <c r="D250" s="43" t="s">
        <v>656</v>
      </c>
      <c r="E250" s="9"/>
      <c r="F250" s="9"/>
      <c r="G250" s="13"/>
      <c r="H250" s="9"/>
      <c r="I250" s="9"/>
      <c r="J250" s="13"/>
    </row>
    <row r="251" spans="1:10" ht="16.55" customHeight="1" x14ac:dyDescent="0.3">
      <c r="A251" s="42">
        <v>764839358</v>
      </c>
      <c r="B251" s="43" t="s">
        <v>657</v>
      </c>
      <c r="C251" s="43" t="s">
        <v>231</v>
      </c>
      <c r="D251" s="43" t="s">
        <v>658</v>
      </c>
      <c r="E251" s="9"/>
      <c r="F251" s="9"/>
      <c r="G251" s="13"/>
      <c r="H251" s="9"/>
      <c r="I251" s="9"/>
      <c r="J251" s="13"/>
    </row>
    <row r="252" spans="1:10" x14ac:dyDescent="0.3">
      <c r="A252" s="42">
        <v>765118204</v>
      </c>
      <c r="B252" s="43" t="s">
        <v>659</v>
      </c>
      <c r="C252" s="43" t="s">
        <v>231</v>
      </c>
      <c r="D252" s="44" t="s">
        <v>660</v>
      </c>
      <c r="E252" s="9"/>
      <c r="F252" s="9"/>
      <c r="G252" s="13"/>
      <c r="J252" s="45"/>
    </row>
    <row r="253" spans="1:10" x14ac:dyDescent="0.3">
      <c r="A253" s="42">
        <v>765377803</v>
      </c>
      <c r="B253" s="43" t="s">
        <v>661</v>
      </c>
      <c r="C253" s="43" t="s">
        <v>231</v>
      </c>
      <c r="D253" s="44" t="s">
        <v>662</v>
      </c>
      <c r="E253" s="9"/>
      <c r="F253" s="9"/>
      <c r="G253" s="13"/>
      <c r="J253" s="45"/>
    </row>
    <row r="254" spans="1:10" x14ac:dyDescent="0.3">
      <c r="A254" s="42">
        <v>765939038</v>
      </c>
      <c r="B254" s="43" t="s">
        <v>663</v>
      </c>
      <c r="C254" s="43" t="s">
        <v>231</v>
      </c>
      <c r="D254" s="44" t="s">
        <v>664</v>
      </c>
      <c r="E254" s="9"/>
      <c r="F254" s="9"/>
      <c r="G254" s="13"/>
      <c r="J254" s="45"/>
    </row>
    <row r="255" spans="1:10" x14ac:dyDescent="0.3">
      <c r="A255" s="42">
        <v>765986257</v>
      </c>
      <c r="B255" s="43" t="s">
        <v>665</v>
      </c>
      <c r="C255" s="43" t="s">
        <v>231</v>
      </c>
      <c r="D255" s="44" t="s">
        <v>666</v>
      </c>
      <c r="E255" s="9"/>
      <c r="F255" s="9"/>
      <c r="G255" s="13"/>
      <c r="J255" s="45"/>
    </row>
    <row r="256" spans="1:10" ht="16.55" customHeight="1" x14ac:dyDescent="0.3">
      <c r="A256" s="42">
        <v>766122051</v>
      </c>
      <c r="B256" s="43" t="s">
        <v>667</v>
      </c>
      <c r="C256" s="43" t="s">
        <v>231</v>
      </c>
      <c r="D256" s="43" t="s">
        <v>668</v>
      </c>
      <c r="E256" s="9"/>
      <c r="F256" s="9"/>
      <c r="G256" s="13"/>
      <c r="H256" s="9"/>
      <c r="I256" s="9"/>
      <c r="J256" s="13"/>
    </row>
    <row r="257" spans="1:10" ht="16.55" customHeight="1" x14ac:dyDescent="0.3">
      <c r="A257" s="42">
        <v>766954383</v>
      </c>
      <c r="B257" s="43" t="s">
        <v>669</v>
      </c>
      <c r="C257" s="43" t="s">
        <v>231</v>
      </c>
      <c r="D257" s="43" t="s">
        <v>670</v>
      </c>
      <c r="E257" s="9"/>
      <c r="F257" s="9"/>
      <c r="G257" s="13"/>
      <c r="H257" s="9"/>
      <c r="I257" s="9"/>
      <c r="J257" s="13"/>
    </row>
    <row r="258" spans="1:10" x14ac:dyDescent="0.3">
      <c r="A258" s="42">
        <v>767481047</v>
      </c>
      <c r="B258" s="43" t="s">
        <v>671</v>
      </c>
      <c r="C258" s="43" t="s">
        <v>231</v>
      </c>
      <c r="D258" s="44" t="s">
        <v>672</v>
      </c>
      <c r="E258" s="9"/>
      <c r="F258" s="9"/>
      <c r="G258" s="13"/>
      <c r="J258" s="45"/>
    </row>
    <row r="259" spans="1:10" x14ac:dyDescent="0.3">
      <c r="A259" s="42">
        <v>767533969</v>
      </c>
      <c r="B259" s="43" t="s">
        <v>673</v>
      </c>
      <c r="C259" s="43" t="s">
        <v>231</v>
      </c>
      <c r="D259" s="44" t="s">
        <v>674</v>
      </c>
      <c r="E259" s="9"/>
      <c r="F259" s="9"/>
      <c r="G259" s="13"/>
      <c r="J259" s="45"/>
    </row>
    <row r="260" spans="1:10" x14ac:dyDescent="0.3">
      <c r="A260" s="42">
        <v>767693028</v>
      </c>
      <c r="B260" s="43" t="s">
        <v>675</v>
      </c>
      <c r="C260" s="43" t="s">
        <v>231</v>
      </c>
      <c r="D260" s="44" t="s">
        <v>676</v>
      </c>
      <c r="E260" s="9"/>
      <c r="F260" s="9"/>
      <c r="G260" s="13"/>
      <c r="J260" s="45"/>
    </row>
    <row r="261" spans="1:10" ht="16.55" customHeight="1" x14ac:dyDescent="0.3">
      <c r="A261" s="42">
        <v>767880502</v>
      </c>
      <c r="B261" s="43" t="s">
        <v>677</v>
      </c>
      <c r="C261" s="43" t="s">
        <v>231</v>
      </c>
      <c r="D261" s="43" t="s">
        <v>678</v>
      </c>
      <c r="E261" s="9"/>
      <c r="F261" s="9"/>
      <c r="G261" s="13"/>
      <c r="H261" s="9"/>
      <c r="I261" s="9"/>
      <c r="J261" s="13"/>
    </row>
    <row r="262" spans="1:10" ht="16.55" customHeight="1" x14ac:dyDescent="0.3">
      <c r="A262" s="42">
        <v>768022046</v>
      </c>
      <c r="B262" s="43" t="s">
        <v>679</v>
      </c>
      <c r="C262" s="43" t="s">
        <v>231</v>
      </c>
      <c r="D262" s="43" t="s">
        <v>680</v>
      </c>
      <c r="E262" s="9"/>
      <c r="F262" s="9"/>
      <c r="G262" s="13"/>
      <c r="H262" s="9"/>
      <c r="I262" s="9"/>
      <c r="J262" s="13"/>
    </row>
    <row r="263" spans="1:10" x14ac:dyDescent="0.3">
      <c r="A263" s="42">
        <v>768187215</v>
      </c>
      <c r="B263" s="43" t="s">
        <v>681</v>
      </c>
      <c r="C263" s="43" t="s">
        <v>231</v>
      </c>
      <c r="D263" s="44" t="s">
        <v>682</v>
      </c>
      <c r="E263" s="9"/>
      <c r="F263" s="9"/>
      <c r="G263" s="13"/>
      <c r="J263" s="45"/>
    </row>
    <row r="264" spans="1:10" ht="16.55" customHeight="1" x14ac:dyDescent="0.3">
      <c r="A264" s="42">
        <v>768402990</v>
      </c>
      <c r="B264" s="43" t="s">
        <v>683</v>
      </c>
      <c r="C264" s="43" t="s">
        <v>231</v>
      </c>
      <c r="D264" s="43" t="s">
        <v>684</v>
      </c>
      <c r="E264" s="9"/>
      <c r="F264" s="9"/>
      <c r="G264" s="13"/>
      <c r="H264" s="9"/>
      <c r="I264" s="9"/>
      <c r="J264" s="13"/>
    </row>
    <row r="265" spans="1:10" x14ac:dyDescent="0.3">
      <c r="A265" s="42">
        <v>768473935</v>
      </c>
      <c r="B265" s="43" t="s">
        <v>685</v>
      </c>
      <c r="C265" s="43" t="s">
        <v>231</v>
      </c>
      <c r="D265" s="44" t="s">
        <v>686</v>
      </c>
      <c r="E265" s="9"/>
      <c r="F265" s="9"/>
      <c r="G265" s="13"/>
      <c r="J265" s="45"/>
    </row>
    <row r="266" spans="1:10" x14ac:dyDescent="0.3">
      <c r="A266" s="42">
        <v>768511101</v>
      </c>
      <c r="B266" s="43" t="s">
        <v>687</v>
      </c>
      <c r="C266" s="43" t="s">
        <v>231</v>
      </c>
      <c r="D266" s="44" t="s">
        <v>688</v>
      </c>
      <c r="E266" s="9"/>
      <c r="F266" s="9"/>
      <c r="G266" s="13"/>
      <c r="J266" s="45"/>
    </row>
    <row r="267" spans="1:10" x14ac:dyDescent="0.3">
      <c r="A267" s="42">
        <v>768664200</v>
      </c>
      <c r="B267" s="43" t="s">
        <v>689</v>
      </c>
      <c r="C267" s="43" t="s">
        <v>231</v>
      </c>
      <c r="D267" s="44" t="s">
        <v>690</v>
      </c>
      <c r="E267" s="9"/>
      <c r="F267" s="9"/>
      <c r="G267" s="13"/>
      <c r="J267" s="45"/>
    </row>
    <row r="268" spans="1:10" x14ac:dyDescent="0.3">
      <c r="A268" s="42">
        <v>768752532</v>
      </c>
      <c r="B268" s="43" t="s">
        <v>691</v>
      </c>
      <c r="C268" s="43" t="s">
        <v>231</v>
      </c>
      <c r="D268" s="44" t="s">
        <v>692</v>
      </c>
      <c r="E268" s="9"/>
      <c r="F268" s="9"/>
      <c r="G268" s="13"/>
      <c r="J268" s="45"/>
    </row>
    <row r="269" spans="1:10" x14ac:dyDescent="0.3">
      <c r="A269" s="42">
        <v>768814830</v>
      </c>
      <c r="B269" s="43" t="s">
        <v>693</v>
      </c>
      <c r="C269" s="43" t="s">
        <v>231</v>
      </c>
      <c r="D269" s="44" t="s">
        <v>694</v>
      </c>
      <c r="E269" s="9"/>
      <c r="F269" s="9"/>
      <c r="G269" s="13"/>
      <c r="J269" s="45"/>
    </row>
    <row r="270" spans="1:10" x14ac:dyDescent="0.3">
      <c r="A270" s="42">
        <v>769186506</v>
      </c>
      <c r="B270" s="43" t="s">
        <v>695</v>
      </c>
      <c r="C270" s="43" t="s">
        <v>231</v>
      </c>
      <c r="D270" s="44" t="s">
        <v>696</v>
      </c>
      <c r="E270" s="9"/>
      <c r="F270" s="9"/>
      <c r="G270" s="13"/>
      <c r="J270" s="45"/>
    </row>
    <row r="271" spans="1:10" x14ac:dyDescent="0.3">
      <c r="A271" s="42">
        <v>769258922</v>
      </c>
      <c r="B271" s="43" t="s">
        <v>697</v>
      </c>
      <c r="C271" s="43" t="s">
        <v>231</v>
      </c>
      <c r="D271" s="44" t="s">
        <v>698</v>
      </c>
      <c r="E271" s="9"/>
      <c r="F271" s="9"/>
      <c r="G271" s="13"/>
      <c r="J271" s="45"/>
    </row>
    <row r="272" spans="1:10" x14ac:dyDescent="0.3">
      <c r="A272" s="42">
        <v>969796805</v>
      </c>
      <c r="B272" s="43" t="s">
        <v>699</v>
      </c>
      <c r="C272" s="43" t="s">
        <v>231</v>
      </c>
      <c r="D272" s="44">
        <v>969796805</v>
      </c>
      <c r="E272" s="47">
        <v>3106305</v>
      </c>
      <c r="F272" s="47" t="s">
        <v>132</v>
      </c>
      <c r="G272" s="48">
        <v>195</v>
      </c>
      <c r="J272" s="45"/>
    </row>
    <row r="273" spans="1:10" x14ac:dyDescent="0.3">
      <c r="A273" s="42">
        <v>769277137</v>
      </c>
      <c r="B273" s="43" t="s">
        <v>700</v>
      </c>
      <c r="C273" s="43" t="s">
        <v>231</v>
      </c>
      <c r="D273" s="44" t="s">
        <v>701</v>
      </c>
      <c r="E273" s="47">
        <v>3106206</v>
      </c>
      <c r="F273" s="47" t="s">
        <v>87</v>
      </c>
      <c r="G273" s="60">
        <v>0</v>
      </c>
      <c r="J273" s="45"/>
    </row>
    <row r="274" spans="1:10" x14ac:dyDescent="0.3">
      <c r="A274" s="42">
        <v>769450092</v>
      </c>
      <c r="B274" s="43" t="s">
        <v>702</v>
      </c>
      <c r="C274" s="43" t="s">
        <v>231</v>
      </c>
      <c r="D274" s="44" t="s">
        <v>703</v>
      </c>
      <c r="E274" s="9"/>
      <c r="F274" s="9"/>
      <c r="G274" s="13"/>
      <c r="J274" s="45"/>
    </row>
    <row r="275" spans="1:10" x14ac:dyDescent="0.3">
      <c r="A275" s="42">
        <v>769628029</v>
      </c>
      <c r="B275" s="43" t="s">
        <v>704</v>
      </c>
      <c r="C275" s="43" t="s">
        <v>231</v>
      </c>
      <c r="D275" s="44" t="s">
        <v>705</v>
      </c>
      <c r="E275" s="9"/>
      <c r="F275" s="9"/>
      <c r="G275" s="13"/>
      <c r="J275" s="45"/>
    </row>
    <row r="276" spans="1:10" ht="16.55" customHeight="1" x14ac:dyDescent="0.3">
      <c r="A276" s="42">
        <v>769630430</v>
      </c>
      <c r="B276" s="43" t="s">
        <v>706</v>
      </c>
      <c r="C276" s="43" t="s">
        <v>231</v>
      </c>
      <c r="D276" s="44" t="s">
        <v>707</v>
      </c>
      <c r="E276" s="9"/>
      <c r="F276" s="9"/>
      <c r="G276" s="13"/>
      <c r="H276" s="9"/>
      <c r="I276" s="9"/>
      <c r="J276" s="13"/>
    </row>
    <row r="277" spans="1:10" ht="16.55" customHeight="1" x14ac:dyDescent="0.3">
      <c r="A277" s="42">
        <v>769732179</v>
      </c>
      <c r="B277" s="43" t="s">
        <v>708</v>
      </c>
      <c r="C277" s="43" t="s">
        <v>231</v>
      </c>
      <c r="D277" s="44" t="s">
        <v>709</v>
      </c>
      <c r="E277" s="47">
        <v>3107822</v>
      </c>
      <c r="F277" s="47" t="s">
        <v>64</v>
      </c>
      <c r="G277" s="60" t="s">
        <v>710</v>
      </c>
      <c r="H277" s="53"/>
      <c r="J277" s="45"/>
    </row>
    <row r="278" spans="1:10" ht="16.55" customHeight="1" x14ac:dyDescent="0.3">
      <c r="A278" s="42">
        <v>769863478</v>
      </c>
      <c r="B278" s="43" t="s">
        <v>711</v>
      </c>
      <c r="C278" s="43" t="s">
        <v>231</v>
      </c>
      <c r="D278" s="44" t="s">
        <v>712</v>
      </c>
      <c r="E278" s="61">
        <v>1202402</v>
      </c>
      <c r="F278" s="61" t="s">
        <v>167</v>
      </c>
      <c r="G278" s="60"/>
      <c r="H278" s="9"/>
      <c r="I278" s="9"/>
      <c r="J278" s="13"/>
    </row>
    <row r="279" spans="1:10" ht="14.25" customHeight="1" x14ac:dyDescent="0.3">
      <c r="A279" s="42">
        <v>770229103</v>
      </c>
      <c r="B279" s="43" t="s">
        <v>713</v>
      </c>
      <c r="C279" s="43" t="s">
        <v>231</v>
      </c>
      <c r="D279" s="44" t="s">
        <v>714</v>
      </c>
      <c r="E279" s="9"/>
      <c r="F279" s="9"/>
      <c r="G279" s="13"/>
      <c r="J279" s="45"/>
    </row>
    <row r="280" spans="1:10" ht="14.25" customHeight="1" x14ac:dyDescent="0.3">
      <c r="A280" s="42">
        <v>770407397</v>
      </c>
      <c r="B280" s="43" t="s">
        <v>715</v>
      </c>
      <c r="C280" s="43" t="s">
        <v>231</v>
      </c>
      <c r="D280" s="44" t="s">
        <v>716</v>
      </c>
      <c r="E280" s="9"/>
      <c r="F280" s="9"/>
      <c r="G280" s="13"/>
      <c r="J280" s="45"/>
    </row>
    <row r="281" spans="1:10" ht="14.25" customHeight="1" x14ac:dyDescent="0.3">
      <c r="A281" s="42">
        <v>770998131</v>
      </c>
      <c r="B281" s="43" t="s">
        <v>717</v>
      </c>
      <c r="C281" s="43" t="s">
        <v>231</v>
      </c>
      <c r="D281" s="44" t="s">
        <v>718</v>
      </c>
      <c r="E281" s="9"/>
      <c r="F281" s="9"/>
      <c r="G281" s="13"/>
      <c r="J281" s="45"/>
    </row>
    <row r="282" spans="1:10" x14ac:dyDescent="0.3">
      <c r="A282" s="42">
        <v>770999804</v>
      </c>
      <c r="B282" s="43" t="s">
        <v>719</v>
      </c>
      <c r="C282" s="43" t="s">
        <v>231</v>
      </c>
      <c r="D282" s="44" t="s">
        <v>720</v>
      </c>
      <c r="E282" s="9"/>
      <c r="F282" s="9"/>
      <c r="G282" s="13"/>
      <c r="J282" s="45"/>
    </row>
    <row r="283" spans="1:10" ht="14.25" customHeight="1" x14ac:dyDescent="0.3">
      <c r="A283" s="42">
        <v>771002099</v>
      </c>
      <c r="B283" s="43" t="s">
        <v>721</v>
      </c>
      <c r="C283" s="43" t="s">
        <v>231</v>
      </c>
      <c r="D283" s="44" t="s">
        <v>722</v>
      </c>
      <c r="E283" s="9"/>
      <c r="F283" s="9"/>
      <c r="G283" s="13"/>
      <c r="J283" s="45"/>
    </row>
    <row r="284" spans="1:10" x14ac:dyDescent="0.3">
      <c r="A284" s="42">
        <v>771019170</v>
      </c>
      <c r="B284" s="43" t="s">
        <v>723</v>
      </c>
      <c r="C284" s="43" t="s">
        <v>231</v>
      </c>
      <c r="D284" s="44" t="s">
        <v>724</v>
      </c>
      <c r="E284" s="9"/>
      <c r="F284" s="9"/>
      <c r="G284" s="13"/>
      <c r="J284" s="45"/>
    </row>
    <row r="285" spans="1:10" ht="16.55" customHeight="1" x14ac:dyDescent="0.3">
      <c r="A285" s="42">
        <v>771273343</v>
      </c>
      <c r="B285" s="43" t="s">
        <v>725</v>
      </c>
      <c r="C285" s="43" t="s">
        <v>231</v>
      </c>
      <c r="D285" s="44" t="s">
        <v>726</v>
      </c>
      <c r="E285" s="9"/>
      <c r="F285" s="9"/>
      <c r="G285" s="13"/>
      <c r="H285" s="53"/>
      <c r="J285" s="45"/>
    </row>
    <row r="286" spans="1:10" ht="16.55" customHeight="1" x14ac:dyDescent="0.3">
      <c r="A286" s="42">
        <v>771392067</v>
      </c>
      <c r="B286" s="43" t="s">
        <v>727</v>
      </c>
      <c r="C286" s="43" t="s">
        <v>231</v>
      </c>
      <c r="D286" s="44" t="s">
        <v>728</v>
      </c>
      <c r="E286" s="9"/>
      <c r="F286" s="9"/>
      <c r="G286" s="13"/>
      <c r="H286" s="53"/>
      <c r="J286" s="45"/>
    </row>
    <row r="287" spans="1:10" ht="16.55" customHeight="1" x14ac:dyDescent="0.3">
      <c r="A287" s="42">
        <v>771607829</v>
      </c>
      <c r="B287" s="43" t="s">
        <v>729</v>
      </c>
      <c r="C287" s="43" t="s">
        <v>231</v>
      </c>
      <c r="D287" s="44" t="s">
        <v>730</v>
      </c>
      <c r="E287" s="47">
        <v>3106601</v>
      </c>
      <c r="F287" s="47" t="s">
        <v>75</v>
      </c>
      <c r="G287" s="60"/>
      <c r="H287" s="53"/>
      <c r="J287" s="45"/>
    </row>
    <row r="288" spans="1:10" x14ac:dyDescent="0.3">
      <c r="A288" s="42">
        <v>771972403</v>
      </c>
      <c r="B288" s="43" t="s">
        <v>731</v>
      </c>
      <c r="C288" s="43" t="s">
        <v>231</v>
      </c>
      <c r="D288" s="44" t="s">
        <v>732</v>
      </c>
      <c r="E288" s="9"/>
      <c r="F288" s="9"/>
      <c r="G288" s="13"/>
      <c r="J288" s="45"/>
    </row>
    <row r="289" spans="1:13" x14ac:dyDescent="0.3">
      <c r="A289" s="62"/>
      <c r="B289" s="62"/>
      <c r="C289" s="62"/>
      <c r="D289" s="63"/>
      <c r="E289" s="9"/>
      <c r="F289" s="9"/>
      <c r="G289" s="9"/>
    </row>
    <row r="290" spans="1:13" x14ac:dyDescent="0.3">
      <c r="A290" s="42">
        <v>772273177</v>
      </c>
      <c r="B290" s="43" t="s">
        <v>733</v>
      </c>
      <c r="C290" s="43" t="s">
        <v>231</v>
      </c>
      <c r="D290" s="44" t="s">
        <v>734</v>
      </c>
      <c r="E290" s="9"/>
      <c r="F290" s="9"/>
      <c r="G290" s="13">
        <v>0</v>
      </c>
      <c r="H290" t="s">
        <v>735</v>
      </c>
      <c r="I290" t="s">
        <v>736</v>
      </c>
      <c r="J290" s="45"/>
    </row>
    <row r="291" spans="1:13" x14ac:dyDescent="0.3">
      <c r="A291" s="42">
        <v>772370873</v>
      </c>
      <c r="B291" s="43" t="s">
        <v>737</v>
      </c>
      <c r="C291" s="43" t="s">
        <v>231</v>
      </c>
      <c r="D291" s="44" t="s">
        <v>738</v>
      </c>
      <c r="E291" s="9"/>
      <c r="F291" s="9"/>
      <c r="G291" s="13"/>
      <c r="H291" s="9"/>
      <c r="I291" s="9"/>
      <c r="J291" s="13"/>
      <c r="K291" s="9"/>
      <c r="L291" s="30" t="s">
        <v>51</v>
      </c>
      <c r="M291" s="31" t="s">
        <v>310</v>
      </c>
    </row>
    <row r="292" spans="1:13" x14ac:dyDescent="0.3">
      <c r="A292" s="42">
        <v>772618182</v>
      </c>
      <c r="B292" s="43" t="s">
        <v>739</v>
      </c>
      <c r="C292" s="43" t="s">
        <v>231</v>
      </c>
      <c r="D292" s="44" t="s">
        <v>740</v>
      </c>
      <c r="E292" s="9"/>
      <c r="F292" s="9"/>
      <c r="G292" s="13"/>
      <c r="J292" s="45"/>
    </row>
    <row r="293" spans="1:13" x14ac:dyDescent="0.3">
      <c r="A293" s="42">
        <v>772718934</v>
      </c>
      <c r="B293" s="43" t="s">
        <v>741</v>
      </c>
      <c r="C293" s="43" t="s">
        <v>231</v>
      </c>
      <c r="D293" s="44" t="s">
        <v>742</v>
      </c>
      <c r="E293" s="9"/>
      <c r="F293" s="9"/>
      <c r="G293" s="13"/>
      <c r="J293" s="45"/>
    </row>
    <row r="294" spans="1:13" x14ac:dyDescent="0.3">
      <c r="A294" s="42">
        <v>772926260</v>
      </c>
      <c r="B294" s="43" t="s">
        <v>743</v>
      </c>
      <c r="C294" s="43" t="s">
        <v>231</v>
      </c>
      <c r="D294" s="44" t="s">
        <v>744</v>
      </c>
      <c r="E294" s="9"/>
      <c r="F294" s="9"/>
      <c r="G294" s="13"/>
      <c r="J294" s="45"/>
    </row>
    <row r="295" spans="1:13" x14ac:dyDescent="0.3">
      <c r="A295" s="42">
        <v>773004587</v>
      </c>
      <c r="B295" s="43" t="s">
        <v>745</v>
      </c>
      <c r="C295" s="43" t="s">
        <v>231</v>
      </c>
      <c r="D295" s="44" t="s">
        <v>746</v>
      </c>
      <c r="E295" s="9"/>
      <c r="F295" s="9"/>
      <c r="G295" s="13"/>
      <c r="J295" s="45"/>
    </row>
    <row r="296" spans="1:13" x14ac:dyDescent="0.3">
      <c r="A296" s="42">
        <v>773209707</v>
      </c>
      <c r="B296" s="43" t="s">
        <v>747</v>
      </c>
      <c r="C296" s="43" t="s">
        <v>231</v>
      </c>
      <c r="D296" s="44" t="s">
        <v>748</v>
      </c>
      <c r="E296" s="56">
        <v>3102102</v>
      </c>
      <c r="F296" s="56" t="s">
        <v>45</v>
      </c>
      <c r="G296" s="48">
        <v>150</v>
      </c>
      <c r="J296" s="45"/>
    </row>
    <row r="297" spans="1:13" x14ac:dyDescent="0.3">
      <c r="A297" s="42">
        <v>773234183</v>
      </c>
      <c r="B297" s="43" t="s">
        <v>749</v>
      </c>
      <c r="C297" s="43" t="s">
        <v>231</v>
      </c>
      <c r="D297" s="44" t="s">
        <v>750</v>
      </c>
      <c r="E297" s="9"/>
      <c r="F297" s="9"/>
      <c r="G297" s="13"/>
      <c r="J297" s="45"/>
    </row>
    <row r="298" spans="1:13" x14ac:dyDescent="0.3">
      <c r="A298" s="42">
        <v>773301603</v>
      </c>
      <c r="B298" s="43" t="s">
        <v>751</v>
      </c>
      <c r="C298" s="43" t="s">
        <v>231</v>
      </c>
      <c r="D298" s="44" t="s">
        <v>752</v>
      </c>
      <c r="E298" s="9"/>
      <c r="F298" s="9"/>
      <c r="G298" s="13"/>
      <c r="J298" s="45"/>
    </row>
    <row r="299" spans="1:13" x14ac:dyDescent="0.3">
      <c r="A299" s="42">
        <v>774228500</v>
      </c>
      <c r="B299" s="43" t="s">
        <v>753</v>
      </c>
      <c r="C299" s="43" t="s">
        <v>231</v>
      </c>
      <c r="D299" s="44" t="s">
        <v>754</v>
      </c>
      <c r="E299" s="47">
        <v>3107822</v>
      </c>
      <c r="F299" s="47" t="s">
        <v>64</v>
      </c>
      <c r="G299" s="64" t="s">
        <v>395</v>
      </c>
      <c r="J299" s="45"/>
    </row>
    <row r="300" spans="1:13" x14ac:dyDescent="0.3">
      <c r="A300" s="42">
        <v>775714840</v>
      </c>
      <c r="B300" s="43" t="s">
        <v>755</v>
      </c>
      <c r="C300" s="43" t="s">
        <v>231</v>
      </c>
      <c r="D300" s="44">
        <v>775714840</v>
      </c>
      <c r="E300" s="61">
        <v>3102106</v>
      </c>
      <c r="F300" s="61" t="s">
        <v>756</v>
      </c>
      <c r="G300" s="48">
        <v>401</v>
      </c>
      <c r="J300" s="45"/>
    </row>
    <row r="301" spans="1:13" x14ac:dyDescent="0.3">
      <c r="A301" s="42">
        <v>775874406</v>
      </c>
      <c r="B301" s="43" t="s">
        <v>757</v>
      </c>
      <c r="C301" s="43" t="s">
        <v>231</v>
      </c>
      <c r="D301" s="44" t="s">
        <v>758</v>
      </c>
      <c r="E301" s="9"/>
      <c r="F301" s="9"/>
      <c r="G301" s="13"/>
      <c r="J301" s="45"/>
    </row>
    <row r="302" spans="1:13" ht="14.25" customHeight="1" x14ac:dyDescent="0.3">
      <c r="A302" s="42">
        <v>776272140</v>
      </c>
      <c r="B302" s="43" t="s">
        <v>759</v>
      </c>
      <c r="C302" s="43" t="s">
        <v>231</v>
      </c>
      <c r="D302" s="44">
        <v>776272140</v>
      </c>
      <c r="E302" s="9"/>
      <c r="F302" s="9"/>
      <c r="G302" s="13"/>
      <c r="J302" s="45"/>
    </row>
    <row r="303" spans="1:13" x14ac:dyDescent="0.3">
      <c r="A303" s="42">
        <v>776996009</v>
      </c>
      <c r="B303" s="43" t="s">
        <v>760</v>
      </c>
      <c r="C303" s="43" t="s">
        <v>231</v>
      </c>
      <c r="D303" s="44" t="s">
        <v>761</v>
      </c>
      <c r="E303" s="9"/>
      <c r="F303" s="9"/>
      <c r="G303" s="13"/>
      <c r="J303" s="45"/>
    </row>
    <row r="304" spans="1:13" x14ac:dyDescent="0.3">
      <c r="A304" s="42">
        <v>787768008</v>
      </c>
      <c r="B304" s="43" t="s">
        <v>762</v>
      </c>
      <c r="C304" s="43" t="s">
        <v>231</v>
      </c>
      <c r="D304" s="44" t="s">
        <v>763</v>
      </c>
      <c r="E304" s="9"/>
      <c r="F304" s="9"/>
      <c r="G304" s="13"/>
      <c r="J304" s="45"/>
    </row>
    <row r="305" spans="1:10" x14ac:dyDescent="0.3">
      <c r="A305" s="42">
        <v>789566402</v>
      </c>
      <c r="B305" s="43" t="s">
        <v>764</v>
      </c>
      <c r="C305" s="43" t="s">
        <v>231</v>
      </c>
      <c r="D305" s="44" t="s">
        <v>765</v>
      </c>
      <c r="E305" s="9"/>
      <c r="F305" s="9"/>
      <c r="G305" s="13"/>
      <c r="J305" s="45"/>
    </row>
    <row r="306" spans="1:10" x14ac:dyDescent="0.3">
      <c r="A306" s="42">
        <v>797603104</v>
      </c>
      <c r="B306" s="43" t="s">
        <v>403</v>
      </c>
      <c r="C306" s="43" t="s">
        <v>231</v>
      </c>
      <c r="D306" s="44" t="s">
        <v>404</v>
      </c>
      <c r="E306" s="9"/>
      <c r="F306" s="9"/>
      <c r="G306" s="13"/>
      <c r="J306" s="45"/>
    </row>
    <row r="307" spans="1:10" x14ac:dyDescent="0.3">
      <c r="A307" s="42">
        <v>798243802</v>
      </c>
      <c r="B307" s="43" t="s">
        <v>766</v>
      </c>
      <c r="C307" s="43" t="s">
        <v>231</v>
      </c>
      <c r="D307" s="44" t="s">
        <v>767</v>
      </c>
      <c r="E307" s="9"/>
      <c r="F307" s="9"/>
      <c r="G307" s="13"/>
      <c r="J307" s="45"/>
    </row>
    <row r="308" spans="1:10" x14ac:dyDescent="0.3">
      <c r="A308" s="42">
        <v>799488400</v>
      </c>
      <c r="B308" s="43" t="s">
        <v>768</v>
      </c>
      <c r="C308" s="43" t="s">
        <v>231</v>
      </c>
      <c r="D308" s="44" t="s">
        <v>769</v>
      </c>
      <c r="E308" s="9"/>
      <c r="F308" s="9"/>
      <c r="G308" s="13"/>
      <c r="J308" s="45"/>
    </row>
    <row r="309" spans="1:10" x14ac:dyDescent="0.3">
      <c r="A309" s="42">
        <v>804782001</v>
      </c>
      <c r="B309" s="43" t="s">
        <v>770</v>
      </c>
      <c r="C309" s="43" t="s">
        <v>231</v>
      </c>
      <c r="D309" s="44" t="s">
        <v>771</v>
      </c>
      <c r="E309" s="9"/>
      <c r="F309" s="9"/>
      <c r="G309" s="13"/>
      <c r="J309" s="45"/>
    </row>
    <row r="310" spans="1:10" x14ac:dyDescent="0.3">
      <c r="A310" s="42">
        <v>809920003</v>
      </c>
      <c r="B310" s="43" t="s">
        <v>772</v>
      </c>
      <c r="C310" s="43" t="s">
        <v>231</v>
      </c>
      <c r="D310" s="44" t="s">
        <v>773</v>
      </c>
      <c r="E310" s="9"/>
      <c r="F310" s="9"/>
      <c r="G310" s="13"/>
      <c r="J310" s="45"/>
    </row>
    <row r="311" spans="1:10" x14ac:dyDescent="0.3">
      <c r="A311" s="42">
        <v>817066003</v>
      </c>
      <c r="B311" s="43" t="s">
        <v>774</v>
      </c>
      <c r="C311" s="43" t="s">
        <v>231</v>
      </c>
      <c r="D311" s="44" t="s">
        <v>775</v>
      </c>
      <c r="E311" s="9"/>
      <c r="F311" s="9"/>
      <c r="G311" s="13"/>
      <c r="J311" s="45"/>
    </row>
    <row r="312" spans="1:10" x14ac:dyDescent="0.3">
      <c r="A312" s="42">
        <v>830306005</v>
      </c>
      <c r="B312" s="43" t="s">
        <v>776</v>
      </c>
      <c r="C312" s="43" t="s">
        <v>231</v>
      </c>
      <c r="D312" s="44" t="s">
        <v>777</v>
      </c>
      <c r="E312" s="9"/>
      <c r="F312" s="9"/>
      <c r="G312" s="13"/>
      <c r="J312" s="45"/>
    </row>
    <row r="313" spans="1:10" ht="14.25" customHeight="1" x14ac:dyDescent="0.3">
      <c r="A313" s="42">
        <v>843832008</v>
      </c>
      <c r="B313" s="43" t="s">
        <v>778</v>
      </c>
      <c r="C313" s="43" t="s">
        <v>231</v>
      </c>
      <c r="D313" s="44" t="s">
        <v>779</v>
      </c>
      <c r="E313" s="9"/>
      <c r="F313" s="9"/>
      <c r="G313" s="13"/>
      <c r="J313" s="45"/>
    </row>
    <row r="314" spans="1:10" x14ac:dyDescent="0.3">
      <c r="A314" s="42">
        <v>852757000</v>
      </c>
      <c r="B314" s="43" t="s">
        <v>780</v>
      </c>
      <c r="C314" s="43" t="s">
        <v>231</v>
      </c>
      <c r="D314" s="44" t="s">
        <v>781</v>
      </c>
      <c r="E314" s="9"/>
      <c r="F314" s="9"/>
      <c r="G314" s="13"/>
      <c r="J314" s="45"/>
    </row>
    <row r="315" spans="1:10" x14ac:dyDescent="0.3">
      <c r="A315" s="42">
        <v>855064006</v>
      </c>
      <c r="B315" s="43" t="s">
        <v>782</v>
      </c>
      <c r="C315" s="43" t="s">
        <v>231</v>
      </c>
      <c r="D315" s="44" t="s">
        <v>783</v>
      </c>
      <c r="E315" s="9"/>
      <c r="F315" s="9"/>
      <c r="G315" s="13"/>
      <c r="J315" s="45"/>
    </row>
    <row r="316" spans="1:10" x14ac:dyDescent="0.3">
      <c r="A316" s="42">
        <v>856812006</v>
      </c>
      <c r="B316" s="43" t="s">
        <v>784</v>
      </c>
      <c r="C316" s="43" t="s">
        <v>231</v>
      </c>
      <c r="D316" s="44" t="s">
        <v>785</v>
      </c>
      <c r="E316" s="9"/>
      <c r="F316" s="9"/>
      <c r="G316" s="13"/>
      <c r="J316" s="45"/>
    </row>
    <row r="317" spans="1:10" x14ac:dyDescent="0.3">
      <c r="A317" s="42">
        <v>858961009</v>
      </c>
      <c r="B317" s="43" t="s">
        <v>786</v>
      </c>
      <c r="C317" s="43" t="s">
        <v>231</v>
      </c>
      <c r="D317" s="44" t="s">
        <v>787</v>
      </c>
      <c r="E317" s="9"/>
      <c r="F317" s="9"/>
      <c r="G317" s="13"/>
      <c r="J317" s="45"/>
    </row>
    <row r="318" spans="1:10" x14ac:dyDescent="0.3">
      <c r="A318" s="42">
        <v>866546002</v>
      </c>
      <c r="B318" s="43" t="s">
        <v>426</v>
      </c>
      <c r="C318" s="43" t="s">
        <v>231</v>
      </c>
      <c r="D318" s="44" t="s">
        <v>788</v>
      </c>
      <c r="E318" s="9"/>
      <c r="F318" s="9"/>
      <c r="G318" s="13"/>
      <c r="J318" s="45"/>
    </row>
    <row r="319" spans="1:10" x14ac:dyDescent="0.3">
      <c r="A319" s="42">
        <v>884448000</v>
      </c>
      <c r="B319" s="43" t="s">
        <v>789</v>
      </c>
      <c r="C319" s="43" t="s">
        <v>231</v>
      </c>
      <c r="D319" s="44" t="s">
        <v>790</v>
      </c>
      <c r="E319" s="9"/>
      <c r="F319" s="9"/>
      <c r="G319" s="13"/>
      <c r="J319" s="45"/>
    </row>
    <row r="320" spans="1:10" x14ac:dyDescent="0.3">
      <c r="A320" s="42">
        <v>899123000</v>
      </c>
      <c r="B320" s="43" t="s">
        <v>791</v>
      </c>
      <c r="C320" s="43" t="s">
        <v>231</v>
      </c>
      <c r="D320" s="44" t="s">
        <v>792</v>
      </c>
      <c r="E320" s="9"/>
      <c r="F320" s="9"/>
      <c r="G320" s="13"/>
      <c r="J320" s="45"/>
    </row>
    <row r="321" spans="1:10" x14ac:dyDescent="0.3">
      <c r="A321" s="42">
        <v>901930007</v>
      </c>
      <c r="B321" s="43" t="s">
        <v>793</v>
      </c>
      <c r="C321" s="43" t="s">
        <v>231</v>
      </c>
      <c r="D321" s="44" t="s">
        <v>794</v>
      </c>
      <c r="E321" s="9"/>
      <c r="F321" s="9"/>
      <c r="G321" s="13"/>
      <c r="J321" s="45"/>
    </row>
    <row r="322" spans="1:10" x14ac:dyDescent="0.3">
      <c r="A322" s="42">
        <v>912970000</v>
      </c>
      <c r="B322" s="43" t="s">
        <v>795</v>
      </c>
      <c r="C322" s="43" t="s">
        <v>231</v>
      </c>
      <c r="D322" s="44" t="s">
        <v>796</v>
      </c>
      <c r="E322" s="9"/>
      <c r="F322" s="9"/>
      <c r="G322" s="13"/>
      <c r="J322" s="45"/>
    </row>
    <row r="323" spans="1:10" x14ac:dyDescent="0.3">
      <c r="A323" s="42">
        <v>931290002</v>
      </c>
      <c r="B323" s="43" t="s">
        <v>797</v>
      </c>
      <c r="C323" s="43" t="s">
        <v>231</v>
      </c>
      <c r="D323" s="44" t="s">
        <v>798</v>
      </c>
      <c r="E323" s="9"/>
      <c r="F323" s="9"/>
      <c r="G323" s="13"/>
      <c r="J323" s="45"/>
    </row>
    <row r="324" spans="1:10" x14ac:dyDescent="0.3">
      <c r="A324" s="42">
        <v>965168109</v>
      </c>
      <c r="B324" s="43" t="s">
        <v>799</v>
      </c>
      <c r="C324" s="43" t="s">
        <v>231</v>
      </c>
      <c r="D324" s="44" t="s">
        <v>800</v>
      </c>
      <c r="E324" s="9"/>
      <c r="F324" s="9"/>
      <c r="G324" s="13"/>
      <c r="J324" s="45"/>
    </row>
    <row r="325" spans="1:10" x14ac:dyDescent="0.3">
      <c r="A325" s="42">
        <v>965424903</v>
      </c>
      <c r="B325" s="43" t="s">
        <v>801</v>
      </c>
      <c r="C325" s="43" t="s">
        <v>231</v>
      </c>
      <c r="D325" s="44" t="s">
        <v>802</v>
      </c>
      <c r="E325" s="9"/>
      <c r="F325" s="9"/>
      <c r="G325" s="13"/>
      <c r="J325" s="45"/>
    </row>
    <row r="326" spans="1:10" x14ac:dyDescent="0.3">
      <c r="A326" s="42">
        <v>965509607</v>
      </c>
      <c r="B326" s="43" t="s">
        <v>803</v>
      </c>
      <c r="C326" s="43" t="s">
        <v>231</v>
      </c>
      <c r="D326" s="44" t="s">
        <v>804</v>
      </c>
      <c r="E326" s="9"/>
      <c r="F326" s="9"/>
      <c r="G326" s="13"/>
      <c r="J326" s="45"/>
    </row>
    <row r="327" spans="1:10" x14ac:dyDescent="0.3">
      <c r="A327" s="42">
        <v>965669400</v>
      </c>
      <c r="B327" s="43" t="s">
        <v>805</v>
      </c>
      <c r="C327" s="43" t="s">
        <v>231</v>
      </c>
      <c r="D327" s="44" t="s">
        <v>806</v>
      </c>
      <c r="E327" s="9"/>
      <c r="F327" s="9"/>
      <c r="G327" s="13"/>
      <c r="J327" s="45"/>
    </row>
    <row r="328" spans="1:10" x14ac:dyDescent="0.3">
      <c r="A328" s="42">
        <v>966098503</v>
      </c>
      <c r="B328" s="43" t="s">
        <v>807</v>
      </c>
      <c r="C328" s="43" t="s">
        <v>231</v>
      </c>
      <c r="D328" s="44" t="s">
        <v>808</v>
      </c>
      <c r="E328" s="9"/>
      <c r="F328" s="9"/>
      <c r="G328" s="13"/>
      <c r="J328" s="45"/>
    </row>
    <row r="329" spans="1:10" x14ac:dyDescent="0.3">
      <c r="A329" s="42">
        <v>966315202</v>
      </c>
      <c r="B329" s="43" t="s">
        <v>809</v>
      </c>
      <c r="C329" s="43" t="s">
        <v>231</v>
      </c>
      <c r="D329" s="44" t="s">
        <v>810</v>
      </c>
      <c r="E329" s="9"/>
      <c r="F329" s="9"/>
      <c r="G329" s="13"/>
      <c r="J329" s="45"/>
    </row>
    <row r="330" spans="1:10" x14ac:dyDescent="0.3">
      <c r="A330" s="42">
        <v>966538902</v>
      </c>
      <c r="B330" s="43" t="s">
        <v>811</v>
      </c>
      <c r="C330" s="43" t="s">
        <v>231</v>
      </c>
      <c r="D330" s="44" t="s">
        <v>812</v>
      </c>
      <c r="E330" s="9"/>
      <c r="F330" s="9"/>
      <c r="G330" s="13"/>
      <c r="J330" s="45"/>
    </row>
    <row r="331" spans="1:10" x14ac:dyDescent="0.3">
      <c r="A331" s="42">
        <v>966564105</v>
      </c>
      <c r="B331" s="43" t="s">
        <v>813</v>
      </c>
      <c r="C331" s="43" t="s">
        <v>231</v>
      </c>
      <c r="D331" s="44" t="s">
        <v>814</v>
      </c>
      <c r="E331" s="9"/>
      <c r="F331" s="9"/>
      <c r="G331" s="13"/>
      <c r="J331" s="45"/>
    </row>
    <row r="332" spans="1:10" x14ac:dyDescent="0.3">
      <c r="A332" s="42">
        <v>966614200</v>
      </c>
      <c r="B332" s="43" t="s">
        <v>815</v>
      </c>
      <c r="C332" s="43" t="s">
        <v>231</v>
      </c>
      <c r="D332" s="44" t="s">
        <v>816</v>
      </c>
      <c r="E332" s="9"/>
      <c r="F332" s="9"/>
      <c r="G332" s="13"/>
      <c r="J332" s="45"/>
    </row>
    <row r="333" spans="1:10" x14ac:dyDescent="0.3">
      <c r="A333" s="27">
        <v>967985201</v>
      </c>
      <c r="B333" s="28" t="s">
        <v>817</v>
      </c>
      <c r="C333" s="28" t="s">
        <v>231</v>
      </c>
      <c r="D333" s="28" t="s">
        <v>818</v>
      </c>
      <c r="E333" s="30">
        <v>1106801</v>
      </c>
      <c r="F333" s="30" t="s">
        <v>37</v>
      </c>
      <c r="G333" s="31">
        <v>1</v>
      </c>
    </row>
    <row r="334" spans="1:10" x14ac:dyDescent="0.3">
      <c r="A334" s="42">
        <v>968201700</v>
      </c>
      <c r="B334" s="43" t="s">
        <v>819</v>
      </c>
      <c r="C334" s="43" t="s">
        <v>231</v>
      </c>
      <c r="D334" s="44" t="s">
        <v>820</v>
      </c>
      <c r="E334" s="9"/>
      <c r="F334" s="9"/>
      <c r="G334" s="13"/>
      <c r="J334" s="45"/>
    </row>
    <row r="335" spans="1:10" ht="14.25" customHeight="1" x14ac:dyDescent="0.3">
      <c r="A335" s="42">
        <v>968763300</v>
      </c>
      <c r="B335" s="43" t="s">
        <v>821</v>
      </c>
      <c r="C335" s="43" t="s">
        <v>231</v>
      </c>
      <c r="D335" s="44" t="s">
        <v>822</v>
      </c>
      <c r="E335" s="9"/>
      <c r="F335" s="9"/>
      <c r="G335" s="13"/>
      <c r="J335" s="45"/>
    </row>
    <row r="336" spans="1:10" ht="14.25" customHeight="1" x14ac:dyDescent="0.3">
      <c r="A336" s="42">
        <v>969111608</v>
      </c>
      <c r="B336" s="43" t="s">
        <v>823</v>
      </c>
      <c r="C336" s="43" t="s">
        <v>231</v>
      </c>
      <c r="D336" s="44" t="s">
        <v>824</v>
      </c>
      <c r="E336" s="9"/>
      <c r="F336" s="9"/>
      <c r="G336" s="13"/>
      <c r="J336" s="45"/>
    </row>
    <row r="337" spans="1:10" ht="16.55" customHeight="1" x14ac:dyDescent="0.3">
      <c r="A337" s="42">
        <v>969530503</v>
      </c>
      <c r="B337" s="43" t="s">
        <v>825</v>
      </c>
      <c r="C337" s="43" t="s">
        <v>231</v>
      </c>
      <c r="D337" s="44" t="s">
        <v>826</v>
      </c>
      <c r="E337" s="9"/>
      <c r="F337" s="9"/>
      <c r="G337" s="13"/>
      <c r="H337" s="53"/>
      <c r="J337" s="45"/>
    </row>
    <row r="338" spans="1:10" ht="16.55" customHeight="1" x14ac:dyDescent="0.3">
      <c r="A338" s="42">
        <v>969809109</v>
      </c>
      <c r="B338" s="43" t="s">
        <v>827</v>
      </c>
      <c r="C338" s="43" t="s">
        <v>231</v>
      </c>
      <c r="D338" s="44" t="s">
        <v>828</v>
      </c>
      <c r="E338" s="9"/>
      <c r="F338" s="9"/>
      <c r="G338" s="13"/>
      <c r="H338" s="53"/>
      <c r="J338" s="45"/>
    </row>
    <row r="339" spans="1:10" ht="14.25" customHeight="1" x14ac:dyDescent="0.3">
      <c r="A339" s="42">
        <v>995111004</v>
      </c>
      <c r="B339" s="43" t="s">
        <v>829</v>
      </c>
      <c r="C339" s="43" t="s">
        <v>231</v>
      </c>
      <c r="D339" s="44" t="s">
        <v>830</v>
      </c>
      <c r="E339" s="9"/>
      <c r="F339" s="9"/>
      <c r="G339" s="13"/>
      <c r="J339" s="45"/>
    </row>
    <row r="340" spans="1:10" x14ac:dyDescent="0.3">
      <c r="A340" s="42">
        <v>995517400</v>
      </c>
      <c r="B340" s="43" t="s">
        <v>388</v>
      </c>
      <c r="C340" s="43" t="s">
        <v>231</v>
      </c>
      <c r="D340" s="44" t="s">
        <v>387</v>
      </c>
      <c r="E340" s="9"/>
      <c r="F340" s="9"/>
      <c r="G340" s="13"/>
      <c r="J340" s="45"/>
    </row>
    <row r="341" spans="1:10" x14ac:dyDescent="0.3">
      <c r="A341" s="42">
        <v>995675200</v>
      </c>
      <c r="B341" s="43" t="s">
        <v>831</v>
      </c>
      <c r="C341" s="43" t="s">
        <v>231</v>
      </c>
      <c r="D341" s="44" t="s">
        <v>832</v>
      </c>
      <c r="E341" s="9"/>
      <c r="F341" s="9"/>
      <c r="G341" s="13"/>
      <c r="J341" s="45"/>
    </row>
    <row r="342" spans="1:10" x14ac:dyDescent="0.3">
      <c r="A342" s="42">
        <v>995880601</v>
      </c>
      <c r="B342" s="43" t="s">
        <v>833</v>
      </c>
      <c r="C342" s="43" t="s">
        <v>231</v>
      </c>
      <c r="D342" s="44" t="s">
        <v>834</v>
      </c>
      <c r="E342" s="9"/>
      <c r="F342" s="9"/>
      <c r="G342" s="13"/>
      <c r="J342" s="45"/>
    </row>
    <row r="343" spans="1:10" x14ac:dyDescent="0.3">
      <c r="A343" s="42">
        <v>777344110</v>
      </c>
      <c r="B343" s="43" t="s">
        <v>835</v>
      </c>
      <c r="C343" s="43" t="s">
        <v>231</v>
      </c>
      <c r="D343" s="44">
        <v>77734411</v>
      </c>
      <c r="E343" s="47">
        <v>3106112</v>
      </c>
      <c r="F343" s="47" t="s">
        <v>836</v>
      </c>
      <c r="G343" s="48">
        <v>2</v>
      </c>
      <c r="J343" s="45"/>
    </row>
    <row r="344" spans="1:10" x14ac:dyDescent="0.3">
      <c r="A344" s="42">
        <v>767679513</v>
      </c>
      <c r="B344" s="43" t="s">
        <v>837</v>
      </c>
      <c r="C344" s="43" t="s">
        <v>231</v>
      </c>
      <c r="D344" s="44">
        <v>76767951</v>
      </c>
      <c r="E344" s="47">
        <v>3106601</v>
      </c>
      <c r="F344" s="47" t="s">
        <v>75</v>
      </c>
      <c r="G344" s="32" t="s">
        <v>41</v>
      </c>
      <c r="J344" s="45"/>
    </row>
    <row r="345" spans="1:10" x14ac:dyDescent="0.3">
      <c r="A345" s="42">
        <v>766535321</v>
      </c>
      <c r="B345" s="43" t="s">
        <v>838</v>
      </c>
      <c r="C345" s="43" t="s">
        <v>231</v>
      </c>
      <c r="D345" s="65">
        <v>766535321</v>
      </c>
      <c r="E345" s="30">
        <v>3106305</v>
      </c>
      <c r="F345" s="30" t="s">
        <v>132</v>
      </c>
      <c r="G345" s="31">
        <v>195</v>
      </c>
    </row>
    <row r="346" spans="1:10" x14ac:dyDescent="0.3">
      <c r="A346" s="42">
        <v>771028527</v>
      </c>
      <c r="B346" s="43" t="s">
        <v>839</v>
      </c>
      <c r="C346" s="43" t="s">
        <v>231</v>
      </c>
      <c r="D346" s="65">
        <v>771028527</v>
      </c>
      <c r="E346" s="8">
        <v>3102102</v>
      </c>
      <c r="F346" s="8" t="s">
        <v>45</v>
      </c>
      <c r="G346" s="32" t="s">
        <v>41</v>
      </c>
    </row>
    <row r="347" spans="1:10" x14ac:dyDescent="0.3">
      <c r="A347" s="27">
        <v>776610313</v>
      </c>
      <c r="B347" s="28" t="s">
        <v>97</v>
      </c>
      <c r="C347" s="28" t="s">
        <v>231</v>
      </c>
      <c r="D347" s="28" t="s">
        <v>840</v>
      </c>
      <c r="E347" s="30">
        <v>3102102</v>
      </c>
      <c r="F347" s="30" t="s">
        <v>45</v>
      </c>
      <c r="G347" s="31" t="s">
        <v>41</v>
      </c>
    </row>
    <row r="348" spans="1:10" x14ac:dyDescent="0.3">
      <c r="A348" s="42">
        <v>767330308</v>
      </c>
      <c r="B348" s="43" t="s">
        <v>841</v>
      </c>
      <c r="C348" s="43" t="s">
        <v>231</v>
      </c>
      <c r="D348" s="65" t="s">
        <v>842</v>
      </c>
      <c r="E348" s="8">
        <v>2102605</v>
      </c>
      <c r="F348" s="8" t="s">
        <v>21</v>
      </c>
      <c r="G348" s="66">
        <v>1</v>
      </c>
    </row>
    <row r="349" spans="1:10" x14ac:dyDescent="0.3">
      <c r="A349" s="27">
        <v>765782406</v>
      </c>
      <c r="B349" s="28" t="s">
        <v>843</v>
      </c>
      <c r="C349" s="28" t="s">
        <v>231</v>
      </c>
      <c r="D349" s="28" t="s">
        <v>844</v>
      </c>
      <c r="E349" s="30">
        <v>3107833</v>
      </c>
      <c r="F349" s="30" t="s">
        <v>72</v>
      </c>
      <c r="G349" s="32" t="s">
        <v>41</v>
      </c>
    </row>
    <row r="350" spans="1:10" x14ac:dyDescent="0.3">
      <c r="A350" s="27">
        <v>768664544</v>
      </c>
      <c r="B350" s="28" t="s">
        <v>845</v>
      </c>
      <c r="C350" s="28" t="s">
        <v>231</v>
      </c>
      <c r="D350" s="28" t="s">
        <v>846</v>
      </c>
      <c r="E350" s="30">
        <v>3106306</v>
      </c>
      <c r="F350" s="30" t="s">
        <v>269</v>
      </c>
      <c r="G350" s="31">
        <v>140</v>
      </c>
    </row>
    <row r="351" spans="1:10" x14ac:dyDescent="0.3">
      <c r="A351" s="27">
        <v>816756006</v>
      </c>
      <c r="B351" s="28" t="s">
        <v>847</v>
      </c>
      <c r="C351" s="28" t="s">
        <v>231</v>
      </c>
      <c r="D351" s="28" t="s">
        <v>848</v>
      </c>
      <c r="E351" s="30">
        <v>3106116</v>
      </c>
      <c r="F351" s="30" t="s">
        <v>175</v>
      </c>
      <c r="G351" s="32" t="s">
        <v>41</v>
      </c>
    </row>
    <row r="352" spans="1:10" ht="16.55" customHeight="1" x14ac:dyDescent="0.3">
      <c r="A352" s="27">
        <v>779116980</v>
      </c>
      <c r="B352" s="28" t="s">
        <v>849</v>
      </c>
      <c r="C352" s="28" t="s">
        <v>231</v>
      </c>
      <c r="D352" s="28" t="s">
        <v>850</v>
      </c>
      <c r="E352" s="30">
        <v>3106507</v>
      </c>
      <c r="F352" s="30" t="s">
        <v>28</v>
      </c>
      <c r="G352" s="31">
        <v>185</v>
      </c>
    </row>
    <row r="353" spans="1:7" x14ac:dyDescent="0.3">
      <c r="A353" s="27">
        <v>785564707</v>
      </c>
      <c r="B353" s="28" t="s">
        <v>212</v>
      </c>
      <c r="C353" s="28" t="s">
        <v>231</v>
      </c>
      <c r="D353" s="28" t="s">
        <v>851</v>
      </c>
      <c r="E353" s="30">
        <v>1106801</v>
      </c>
      <c r="F353" s="30" t="s">
        <v>37</v>
      </c>
      <c r="G353" s="31">
        <v>1</v>
      </c>
    </row>
    <row r="354" spans="1:7" x14ac:dyDescent="0.3">
      <c r="A354" s="27" t="s">
        <v>852</v>
      </c>
      <c r="B354" s="28" t="s">
        <v>853</v>
      </c>
      <c r="C354" s="28" t="s">
        <v>231</v>
      </c>
      <c r="D354" s="28" t="s">
        <v>854</v>
      </c>
      <c r="E354" s="30">
        <v>1202401</v>
      </c>
      <c r="F354" s="30" t="s">
        <v>121</v>
      </c>
      <c r="G354" s="31">
        <v>0</v>
      </c>
    </row>
    <row r="355" spans="1:7" x14ac:dyDescent="0.3">
      <c r="A355" s="27">
        <v>89098726</v>
      </c>
      <c r="B355" s="28" t="s">
        <v>855</v>
      </c>
      <c r="C355" s="28" t="s">
        <v>231</v>
      </c>
      <c r="D355" s="28" t="s">
        <v>856</v>
      </c>
      <c r="E355" s="30">
        <v>3106303</v>
      </c>
      <c r="F355" s="30" t="s">
        <v>386</v>
      </c>
      <c r="G355" s="31">
        <v>2</v>
      </c>
    </row>
    <row r="356" spans="1:7" x14ac:dyDescent="0.3">
      <c r="A356" s="42">
        <v>967960802</v>
      </c>
      <c r="B356" s="43" t="s">
        <v>857</v>
      </c>
      <c r="C356" s="43" t="s">
        <v>231</v>
      </c>
      <c r="D356" s="65" t="s">
        <v>858</v>
      </c>
      <c r="E356" s="67">
        <v>1106801</v>
      </c>
      <c r="F356" s="67" t="s">
        <v>37</v>
      </c>
      <c r="G356" s="68">
        <v>1</v>
      </c>
    </row>
    <row r="357" spans="1:7" x14ac:dyDescent="0.3">
      <c r="A357" s="42">
        <v>798953303</v>
      </c>
      <c r="B357" s="43" t="s">
        <v>859</v>
      </c>
      <c r="C357" s="43" t="s">
        <v>231</v>
      </c>
      <c r="D357" s="65" t="s">
        <v>860</v>
      </c>
      <c r="E357" s="67">
        <v>1106801</v>
      </c>
      <c r="F357" s="67" t="s">
        <v>37</v>
      </c>
      <c r="G357" s="68">
        <v>1</v>
      </c>
    </row>
    <row r="358" spans="1:7" x14ac:dyDescent="0.3">
      <c r="A358" s="42">
        <v>783417405</v>
      </c>
      <c r="B358" s="43" t="s">
        <v>861</v>
      </c>
      <c r="C358" s="43" t="s">
        <v>231</v>
      </c>
      <c r="D358" s="65" t="s">
        <v>862</v>
      </c>
      <c r="E358" s="67">
        <v>3106305</v>
      </c>
      <c r="F358" s="67" t="s">
        <v>132</v>
      </c>
      <c r="G358" s="68">
        <v>130</v>
      </c>
    </row>
    <row r="359" spans="1:7" x14ac:dyDescent="0.3">
      <c r="A359" s="42" t="s">
        <v>769</v>
      </c>
      <c r="B359" s="43" t="s">
        <v>863</v>
      </c>
      <c r="C359" s="43" t="s">
        <v>231</v>
      </c>
      <c r="D359" s="65" t="s">
        <v>769</v>
      </c>
      <c r="E359" s="67">
        <v>3107833</v>
      </c>
      <c r="F359" s="67" t="s">
        <v>72</v>
      </c>
      <c r="G359" s="68" t="s">
        <v>864</v>
      </c>
    </row>
    <row r="360" spans="1:7" x14ac:dyDescent="0.3">
      <c r="A360" s="42">
        <v>769482687</v>
      </c>
      <c r="B360" s="43" t="s">
        <v>865</v>
      </c>
      <c r="C360" s="43" t="s">
        <v>231</v>
      </c>
      <c r="D360" s="65" t="s">
        <v>866</v>
      </c>
      <c r="E360" s="67">
        <v>1106801</v>
      </c>
      <c r="F360" s="67" t="s">
        <v>37</v>
      </c>
      <c r="G360" s="68">
        <v>1</v>
      </c>
    </row>
    <row r="361" spans="1:7" x14ac:dyDescent="0.3">
      <c r="A361" s="27">
        <v>771906923</v>
      </c>
      <c r="B361" s="28" t="s">
        <v>203</v>
      </c>
      <c r="C361" s="28" t="s">
        <v>231</v>
      </c>
      <c r="D361" s="28" t="s">
        <v>867</v>
      </c>
      <c r="E361" s="30">
        <v>3106813</v>
      </c>
      <c r="F361" s="30" t="s">
        <v>205</v>
      </c>
      <c r="G361" s="31" t="s">
        <v>868</v>
      </c>
    </row>
    <row r="362" spans="1:7" x14ac:dyDescent="0.3">
      <c r="A362" s="27">
        <v>921710003</v>
      </c>
      <c r="B362" s="28" t="s">
        <v>431</v>
      </c>
      <c r="C362" s="28" t="s">
        <v>231</v>
      </c>
      <c r="D362" s="28" t="s">
        <v>430</v>
      </c>
      <c r="E362" s="30">
        <v>3106116</v>
      </c>
      <c r="F362" s="30" t="s">
        <v>175</v>
      </c>
      <c r="G362" s="32" t="s">
        <v>41</v>
      </c>
    </row>
    <row r="363" spans="1:7" x14ac:dyDescent="0.3">
      <c r="A363" s="27">
        <v>965829504</v>
      </c>
      <c r="B363" s="28" t="s">
        <v>869</v>
      </c>
      <c r="C363" s="28" t="s">
        <v>231</v>
      </c>
      <c r="D363" s="28" t="s">
        <v>870</v>
      </c>
      <c r="E363" s="30">
        <v>3106116</v>
      </c>
      <c r="F363" s="30" t="s">
        <v>175</v>
      </c>
      <c r="G363" s="32" t="s">
        <v>41</v>
      </c>
    </row>
    <row r="364" spans="1:7" x14ac:dyDescent="0.3">
      <c r="A364" s="27">
        <v>769767401</v>
      </c>
      <c r="B364" s="28" t="s">
        <v>79</v>
      </c>
      <c r="C364" s="28" t="s">
        <v>231</v>
      </c>
      <c r="D364" s="28" t="s">
        <v>871</v>
      </c>
      <c r="E364" s="30">
        <v>3106305</v>
      </c>
      <c r="F364" s="30" t="s">
        <v>132</v>
      </c>
      <c r="G364" s="31" t="s">
        <v>41</v>
      </c>
    </row>
    <row r="365" spans="1:7" x14ac:dyDescent="0.3">
      <c r="A365" s="27">
        <v>774443851</v>
      </c>
      <c r="B365" s="28" t="s">
        <v>872</v>
      </c>
      <c r="C365" s="28" t="s">
        <v>231</v>
      </c>
      <c r="D365" s="28" t="s">
        <v>873</v>
      </c>
      <c r="E365" s="30">
        <v>1106801</v>
      </c>
      <c r="F365" s="30" t="s">
        <v>37</v>
      </c>
      <c r="G365" s="31">
        <v>1</v>
      </c>
    </row>
    <row r="366" spans="1:7" x14ac:dyDescent="0.3">
      <c r="A366" s="27">
        <v>764513517</v>
      </c>
      <c r="B366" s="28" t="s">
        <v>874</v>
      </c>
      <c r="C366" s="28" t="s">
        <v>231</v>
      </c>
      <c r="D366" s="28" t="s">
        <v>875</v>
      </c>
      <c r="E366" s="30">
        <v>1106801</v>
      </c>
      <c r="F366" s="30" t="s">
        <v>37</v>
      </c>
      <c r="G366" s="31">
        <v>1</v>
      </c>
    </row>
    <row r="367" spans="1:7" x14ac:dyDescent="0.3">
      <c r="A367" s="27">
        <v>258206002</v>
      </c>
      <c r="B367" s="28" t="s">
        <v>876</v>
      </c>
      <c r="C367" s="28" t="s">
        <v>231</v>
      </c>
      <c r="D367" s="28" t="s">
        <v>877</v>
      </c>
      <c r="E367" s="8">
        <v>3106305</v>
      </c>
      <c r="F367" s="8" t="s">
        <v>132</v>
      </c>
      <c r="G367" s="66" t="s">
        <v>41</v>
      </c>
    </row>
    <row r="368" spans="1:7" x14ac:dyDescent="0.3">
      <c r="A368" s="27">
        <v>775559217</v>
      </c>
      <c r="B368" s="28" t="s">
        <v>878</v>
      </c>
      <c r="C368" s="28" t="s">
        <v>231</v>
      </c>
      <c r="D368" s="28" t="s">
        <v>879</v>
      </c>
      <c r="E368" s="30">
        <v>3106601</v>
      </c>
      <c r="F368" s="30" t="s">
        <v>75</v>
      </c>
      <c r="G368" s="31">
        <v>130</v>
      </c>
    </row>
    <row r="369" spans="1:7" x14ac:dyDescent="0.3">
      <c r="A369" s="27">
        <v>609100001</v>
      </c>
      <c r="B369" s="28" t="s">
        <v>880</v>
      </c>
      <c r="C369" s="28" t="s">
        <v>231</v>
      </c>
      <c r="D369" s="27" t="s">
        <v>881</v>
      </c>
      <c r="E369" s="30">
        <v>3106818</v>
      </c>
      <c r="F369" s="30" t="s">
        <v>126</v>
      </c>
      <c r="G369" s="31">
        <v>2</v>
      </c>
    </row>
    <row r="370" spans="1:7" x14ac:dyDescent="0.3">
      <c r="A370" s="69">
        <v>771668186</v>
      </c>
      <c r="B370" s="70" t="s">
        <v>882</v>
      </c>
      <c r="C370" s="70" t="s">
        <v>231</v>
      </c>
      <c r="D370" s="69" t="s">
        <v>883</v>
      </c>
      <c r="E370" s="40">
        <v>3106817</v>
      </c>
      <c r="F370" s="40" t="s">
        <v>367</v>
      </c>
      <c r="G370" s="41">
        <v>2</v>
      </c>
    </row>
    <row r="371" spans="1:7" x14ac:dyDescent="0.3">
      <c r="A371" s="69">
        <v>968069802</v>
      </c>
      <c r="B371" s="70" t="s">
        <v>884</v>
      </c>
      <c r="C371" s="70" t="s">
        <v>231</v>
      </c>
      <c r="D371" s="69" t="s">
        <v>885</v>
      </c>
      <c r="E371" s="40">
        <v>3106401</v>
      </c>
      <c r="F371" s="40" t="s">
        <v>33</v>
      </c>
      <c r="G371" s="41" t="s">
        <v>127</v>
      </c>
    </row>
    <row r="372" spans="1:7" x14ac:dyDescent="0.3">
      <c r="A372" s="27">
        <v>966536500</v>
      </c>
      <c r="B372" s="28" t="s">
        <v>151</v>
      </c>
      <c r="C372" s="28" t="s">
        <v>231</v>
      </c>
      <c r="D372" s="27" t="s">
        <v>886</v>
      </c>
      <c r="E372" s="30">
        <v>3106301</v>
      </c>
      <c r="F372" s="30" t="s">
        <v>94</v>
      </c>
      <c r="G372" s="31" t="s">
        <v>887</v>
      </c>
    </row>
    <row r="373" spans="1:7" x14ac:dyDescent="0.3">
      <c r="A373" s="27" t="s">
        <v>806</v>
      </c>
      <c r="B373" s="28" t="s">
        <v>805</v>
      </c>
      <c r="C373" s="28" t="s">
        <v>231</v>
      </c>
      <c r="D373" s="27" t="s">
        <v>888</v>
      </c>
      <c r="E373" s="30">
        <v>1106801</v>
      </c>
      <c r="F373" s="30" t="s">
        <v>37</v>
      </c>
      <c r="G373" s="31">
        <v>1</v>
      </c>
    </row>
    <row r="374" spans="1:7" x14ac:dyDescent="0.3">
      <c r="A374" s="27">
        <v>779388301</v>
      </c>
      <c r="B374" s="28" t="s">
        <v>889</v>
      </c>
      <c r="C374" s="28" t="s">
        <v>231</v>
      </c>
      <c r="D374" s="27" t="s">
        <v>890</v>
      </c>
      <c r="E374" s="30">
        <v>1106801</v>
      </c>
      <c r="F374" s="30" t="s">
        <v>37</v>
      </c>
      <c r="G374" s="31">
        <v>1</v>
      </c>
    </row>
    <row r="375" spans="1:7" x14ac:dyDescent="0.3">
      <c r="A375" s="27">
        <v>812425005</v>
      </c>
      <c r="B375" s="28" t="s">
        <v>891</v>
      </c>
      <c r="C375" s="28" t="s">
        <v>231</v>
      </c>
      <c r="D375" s="27" t="s">
        <v>892</v>
      </c>
      <c r="E375" s="30">
        <v>3107822</v>
      </c>
      <c r="F375" s="30" t="s">
        <v>64</v>
      </c>
      <c r="G375" s="31">
        <v>3</v>
      </c>
    </row>
    <row r="376" spans="1:7" x14ac:dyDescent="0.3">
      <c r="A376" s="27">
        <v>774786910</v>
      </c>
      <c r="B376" s="28" t="s">
        <v>893</v>
      </c>
      <c r="C376" s="28" t="s">
        <v>231</v>
      </c>
      <c r="D376" s="27" t="s">
        <v>894</v>
      </c>
      <c r="E376" s="30">
        <v>1202401</v>
      </c>
      <c r="F376" s="30" t="s">
        <v>121</v>
      </c>
      <c r="G376" s="31">
        <v>1</v>
      </c>
    </row>
    <row r="377" spans="1:7" x14ac:dyDescent="0.3">
      <c r="A377" s="27">
        <v>767319827</v>
      </c>
      <c r="B377" s="28" t="s">
        <v>70</v>
      </c>
      <c r="C377" s="28" t="s">
        <v>231</v>
      </c>
      <c r="D377" s="27" t="s">
        <v>895</v>
      </c>
      <c r="E377" s="30">
        <v>3107833</v>
      </c>
      <c r="F377" s="30" t="s">
        <v>72</v>
      </c>
      <c r="G377" s="31" t="s">
        <v>41</v>
      </c>
    </row>
    <row r="378" spans="1:7" x14ac:dyDescent="0.3">
      <c r="A378" s="27">
        <v>764496671</v>
      </c>
      <c r="B378" s="28" t="s">
        <v>137</v>
      </c>
      <c r="C378" s="28" t="s">
        <v>231</v>
      </c>
      <c r="D378" s="27" t="s">
        <v>896</v>
      </c>
      <c r="E378" s="30">
        <v>3106818</v>
      </c>
      <c r="F378" s="30" t="s">
        <v>126</v>
      </c>
      <c r="G378" s="31">
        <v>100</v>
      </c>
    </row>
    <row r="379" spans="1:7" x14ac:dyDescent="0.3">
      <c r="A379" s="27">
        <v>781177865</v>
      </c>
      <c r="B379" s="28" t="s">
        <v>897</v>
      </c>
      <c r="C379" s="28" t="s">
        <v>231</v>
      </c>
      <c r="D379" s="27" t="s">
        <v>898</v>
      </c>
      <c r="E379" s="30">
        <v>3107833</v>
      </c>
      <c r="F379" s="30" t="s">
        <v>72</v>
      </c>
      <c r="G379" s="31" t="s">
        <v>41</v>
      </c>
    </row>
    <row r="380" spans="1:7" x14ac:dyDescent="0.3">
      <c r="A380" s="27">
        <v>779624544</v>
      </c>
      <c r="B380" s="28" t="s">
        <v>899</v>
      </c>
      <c r="C380" s="28" t="s">
        <v>231</v>
      </c>
      <c r="D380" s="27" t="s">
        <v>900</v>
      </c>
      <c r="E380" s="30">
        <v>3106601</v>
      </c>
      <c r="F380" s="30" t="s">
        <v>75</v>
      </c>
      <c r="G380" s="31" t="s">
        <v>41</v>
      </c>
    </row>
    <row r="381" spans="1:7" x14ac:dyDescent="0.3">
      <c r="A381" s="27">
        <v>995390701</v>
      </c>
      <c r="B381" s="28" t="s">
        <v>901</v>
      </c>
      <c r="C381" s="28" t="s">
        <v>231</v>
      </c>
      <c r="D381" s="27" t="s">
        <v>902</v>
      </c>
      <c r="E381" s="30">
        <v>3106802</v>
      </c>
      <c r="F381" s="30" t="s">
        <v>246</v>
      </c>
      <c r="G381" s="31" t="s">
        <v>41</v>
      </c>
    </row>
    <row r="382" spans="1:7" x14ac:dyDescent="0.3">
      <c r="A382" s="27">
        <v>762661551</v>
      </c>
      <c r="B382" s="28" t="s">
        <v>903</v>
      </c>
      <c r="C382" s="28" t="s">
        <v>231</v>
      </c>
      <c r="D382" s="27" t="s">
        <v>904</v>
      </c>
      <c r="E382" s="30">
        <v>3106306</v>
      </c>
      <c r="F382" s="30" t="s">
        <v>269</v>
      </c>
      <c r="G382" s="31" t="s">
        <v>41</v>
      </c>
    </row>
    <row r="383" spans="1:7" x14ac:dyDescent="0.3">
      <c r="A383" s="27">
        <v>129500719</v>
      </c>
      <c r="B383" s="28" t="s">
        <v>905</v>
      </c>
      <c r="C383" s="28" t="s">
        <v>231</v>
      </c>
      <c r="D383" s="27" t="s">
        <v>906</v>
      </c>
      <c r="E383" s="30">
        <v>3106802</v>
      </c>
      <c r="F383" s="30" t="s">
        <v>246</v>
      </c>
      <c r="G383" s="31" t="s">
        <v>41</v>
      </c>
    </row>
    <row r="384" spans="1:7" x14ac:dyDescent="0.3">
      <c r="A384" s="27">
        <v>768837201</v>
      </c>
      <c r="B384" s="28" t="s">
        <v>907</v>
      </c>
      <c r="C384" s="28" t="s">
        <v>231</v>
      </c>
      <c r="D384" s="27" t="s">
        <v>908</v>
      </c>
      <c r="E384" s="30">
        <v>3106301</v>
      </c>
      <c r="F384" s="30" t="s">
        <v>94</v>
      </c>
      <c r="G384" s="31">
        <v>130</v>
      </c>
    </row>
    <row r="385" spans="1:7" x14ac:dyDescent="0.3">
      <c r="A385" s="27" t="s">
        <v>909</v>
      </c>
      <c r="B385" s="28" t="s">
        <v>910</v>
      </c>
      <c r="C385" s="28" t="s">
        <v>231</v>
      </c>
      <c r="D385" s="27" t="s">
        <v>911</v>
      </c>
      <c r="E385" s="30">
        <v>3106201</v>
      </c>
      <c r="F385" s="30" t="s">
        <v>912</v>
      </c>
      <c r="G385" s="31" t="s">
        <v>41</v>
      </c>
    </row>
    <row r="386" spans="1:7" x14ac:dyDescent="0.3">
      <c r="A386" s="27">
        <v>940580005</v>
      </c>
      <c r="B386" s="28" t="s">
        <v>913</v>
      </c>
      <c r="C386" s="28" t="s">
        <v>231</v>
      </c>
      <c r="D386" s="27" t="s">
        <v>914</v>
      </c>
      <c r="E386" s="30">
        <v>1106801</v>
      </c>
      <c r="F386" s="30" t="s">
        <v>37</v>
      </c>
      <c r="G386" s="31">
        <v>1</v>
      </c>
    </row>
    <row r="387" spans="1:7" x14ac:dyDescent="0.3">
      <c r="A387" s="27">
        <v>937370008</v>
      </c>
      <c r="B387" s="28" t="s">
        <v>117</v>
      </c>
      <c r="C387" s="28" t="s">
        <v>231</v>
      </c>
      <c r="D387" s="27" t="s">
        <v>915</v>
      </c>
      <c r="E387" s="30">
        <v>3106401</v>
      </c>
      <c r="F387" s="30" t="s">
        <v>33</v>
      </c>
      <c r="G387" s="31">
        <v>185</v>
      </c>
    </row>
    <row r="388" spans="1:7" x14ac:dyDescent="0.3">
      <c r="A388" s="27">
        <v>785331001</v>
      </c>
      <c r="B388" s="28" t="s">
        <v>916</v>
      </c>
      <c r="C388" s="28" t="s">
        <v>231</v>
      </c>
      <c r="D388" s="27" t="s">
        <v>917</v>
      </c>
      <c r="E388" s="30">
        <v>3106116</v>
      </c>
      <c r="F388" s="30" t="s">
        <v>175</v>
      </c>
      <c r="G388" s="32" t="s">
        <v>41</v>
      </c>
    </row>
    <row r="389" spans="1:7" x14ac:dyDescent="0.3">
      <c r="A389" s="27">
        <v>767513429</v>
      </c>
      <c r="B389" s="28" t="s">
        <v>918</v>
      </c>
      <c r="C389" s="28" t="s">
        <v>231</v>
      </c>
      <c r="D389" s="27" t="s">
        <v>919</v>
      </c>
      <c r="E389" s="30">
        <v>1202401</v>
      </c>
      <c r="F389" s="30" t="s">
        <v>121</v>
      </c>
      <c r="G389" s="31">
        <v>1</v>
      </c>
    </row>
    <row r="390" spans="1:7" x14ac:dyDescent="0.3">
      <c r="A390" s="27">
        <v>767622090</v>
      </c>
      <c r="B390" s="28" t="s">
        <v>920</v>
      </c>
      <c r="C390" s="28" t="s">
        <v>231</v>
      </c>
      <c r="D390" s="27" t="s">
        <v>921</v>
      </c>
      <c r="E390" s="30">
        <v>3107822</v>
      </c>
      <c r="F390" s="30" t="s">
        <v>64</v>
      </c>
      <c r="G390" s="31">
        <v>3</v>
      </c>
    </row>
    <row r="391" spans="1:7" x14ac:dyDescent="0.3">
      <c r="A391" s="27">
        <v>772704852</v>
      </c>
      <c r="B391" s="28" t="s">
        <v>35</v>
      </c>
      <c r="C391" s="28" t="s">
        <v>231</v>
      </c>
      <c r="D391" s="27" t="s">
        <v>922</v>
      </c>
      <c r="E391" s="30">
        <v>1106801</v>
      </c>
      <c r="F391" s="30" t="s">
        <v>37</v>
      </c>
      <c r="G391" s="31">
        <v>1</v>
      </c>
    </row>
    <row r="392" spans="1:7" x14ac:dyDescent="0.3">
      <c r="A392" s="27">
        <v>765700906</v>
      </c>
      <c r="B392" s="28" t="s">
        <v>923</v>
      </c>
      <c r="C392" s="28" t="s">
        <v>231</v>
      </c>
      <c r="D392" s="27" t="s">
        <v>924</v>
      </c>
      <c r="E392" s="30">
        <v>3106305</v>
      </c>
      <c r="F392" s="30" t="s">
        <v>132</v>
      </c>
      <c r="G392" s="31">
        <v>300</v>
      </c>
    </row>
    <row r="393" spans="1:7" x14ac:dyDescent="0.3">
      <c r="A393" s="27" t="s">
        <v>925</v>
      </c>
      <c r="B393" s="28" t="s">
        <v>926</v>
      </c>
      <c r="C393" s="28" t="s">
        <v>231</v>
      </c>
      <c r="D393" s="27" t="s">
        <v>927</v>
      </c>
      <c r="E393" s="30">
        <v>3106601</v>
      </c>
      <c r="F393" s="30" t="s">
        <v>75</v>
      </c>
      <c r="G393" s="41" t="s">
        <v>41</v>
      </c>
    </row>
    <row r="394" spans="1:7" x14ac:dyDescent="0.3">
      <c r="A394" s="27">
        <v>760078735</v>
      </c>
      <c r="B394" s="28" t="s">
        <v>68</v>
      </c>
      <c r="C394" s="28" t="s">
        <v>231</v>
      </c>
      <c r="D394" s="27" t="s">
        <v>928</v>
      </c>
      <c r="E394" s="30">
        <v>1106801</v>
      </c>
      <c r="F394" s="30" t="s">
        <v>37</v>
      </c>
      <c r="G394" s="31">
        <v>1</v>
      </c>
    </row>
    <row r="395" spans="1:7" x14ac:dyDescent="0.3">
      <c r="A395" s="27">
        <v>780429860</v>
      </c>
      <c r="B395" s="28" t="s">
        <v>62</v>
      </c>
      <c r="C395" s="28" t="s">
        <v>231</v>
      </c>
      <c r="D395" s="27" t="s">
        <v>929</v>
      </c>
      <c r="E395" s="30">
        <v>3107822</v>
      </c>
      <c r="F395" s="30" t="s">
        <v>64</v>
      </c>
      <c r="G395" s="31">
        <v>3</v>
      </c>
    </row>
    <row r="396" spans="1:7" x14ac:dyDescent="0.3">
      <c r="A396" s="27">
        <v>783863804</v>
      </c>
      <c r="B396" s="28" t="s">
        <v>930</v>
      </c>
      <c r="C396" s="28" t="s">
        <v>231</v>
      </c>
      <c r="D396" s="27" t="s">
        <v>931</v>
      </c>
      <c r="E396" s="30">
        <v>3102102</v>
      </c>
      <c r="F396" s="30" t="s">
        <v>45</v>
      </c>
      <c r="G396" s="31">
        <v>300</v>
      </c>
    </row>
    <row r="397" spans="1:7" x14ac:dyDescent="0.3">
      <c r="A397" s="27">
        <v>775638567</v>
      </c>
      <c r="B397" s="28" t="s">
        <v>932</v>
      </c>
      <c r="C397" s="28" t="s">
        <v>231</v>
      </c>
      <c r="D397" s="27" t="s">
        <v>933</v>
      </c>
      <c r="E397" s="30">
        <v>3106601</v>
      </c>
      <c r="F397" s="30" t="s">
        <v>75</v>
      </c>
      <c r="G397" s="31">
        <v>190</v>
      </c>
    </row>
    <row r="398" spans="1:7" x14ac:dyDescent="0.3">
      <c r="A398" s="27">
        <v>767832621</v>
      </c>
      <c r="B398" s="28" t="s">
        <v>934</v>
      </c>
      <c r="C398" s="28" t="s">
        <v>231</v>
      </c>
      <c r="D398" s="27" t="s">
        <v>935</v>
      </c>
      <c r="E398" s="30">
        <v>3102102</v>
      </c>
      <c r="F398" s="30" t="s">
        <v>45</v>
      </c>
      <c r="G398" s="31">
        <v>300</v>
      </c>
    </row>
    <row r="399" spans="1:7" x14ac:dyDescent="0.3">
      <c r="A399" s="27">
        <v>778338084</v>
      </c>
      <c r="B399" s="28" t="s">
        <v>936</v>
      </c>
      <c r="C399" s="28" t="s">
        <v>231</v>
      </c>
      <c r="D399" s="27" t="s">
        <v>937</v>
      </c>
      <c r="E399" s="30">
        <v>3106601</v>
      </c>
      <c r="F399" s="30" t="s">
        <v>75</v>
      </c>
      <c r="G399" s="31">
        <v>190</v>
      </c>
    </row>
    <row r="400" spans="1:7" x14ac:dyDescent="0.3">
      <c r="A400" s="27">
        <v>773886164</v>
      </c>
      <c r="B400" s="28" t="s">
        <v>938</v>
      </c>
      <c r="C400" s="28" t="s">
        <v>231</v>
      </c>
      <c r="D400" s="27" t="s">
        <v>939</v>
      </c>
      <c r="E400" s="30">
        <v>3107822</v>
      </c>
      <c r="F400" s="30" t="s">
        <v>64</v>
      </c>
      <c r="G400" s="31">
        <v>3</v>
      </c>
    </row>
    <row r="401" spans="1:7" x14ac:dyDescent="0.3">
      <c r="A401" s="27">
        <v>776855774</v>
      </c>
      <c r="B401" s="28" t="s">
        <v>940</v>
      </c>
      <c r="C401" s="28" t="s">
        <v>231</v>
      </c>
      <c r="D401" s="27" t="s">
        <v>941</v>
      </c>
      <c r="E401" s="30">
        <v>3106116</v>
      </c>
      <c r="F401" s="30" t="s">
        <v>175</v>
      </c>
      <c r="G401" s="31">
        <v>300</v>
      </c>
    </row>
    <row r="402" spans="1:7" x14ac:dyDescent="0.3">
      <c r="A402" s="27">
        <v>781431656</v>
      </c>
      <c r="B402" s="28" t="s">
        <v>942</v>
      </c>
      <c r="C402" s="28" t="s">
        <v>231</v>
      </c>
      <c r="D402" s="27" t="s">
        <v>943</v>
      </c>
      <c r="E402" s="40">
        <v>3106601</v>
      </c>
      <c r="F402" s="40" t="s">
        <v>75</v>
      </c>
      <c r="G402" s="41">
        <v>300</v>
      </c>
    </row>
    <row r="403" spans="1:7" x14ac:dyDescent="0.3">
      <c r="A403" s="27">
        <v>763467996</v>
      </c>
      <c r="B403" s="28" t="s">
        <v>944</v>
      </c>
      <c r="C403" s="28" t="s">
        <v>231</v>
      </c>
      <c r="D403" s="27" t="s">
        <v>945</v>
      </c>
      <c r="E403" s="30">
        <v>3102102</v>
      </c>
      <c r="F403" s="30" t="s">
        <v>45</v>
      </c>
      <c r="G403" s="31">
        <v>300</v>
      </c>
    </row>
    <row r="404" spans="1:7" x14ac:dyDescent="0.3">
      <c r="A404" s="27">
        <v>768355940</v>
      </c>
      <c r="B404" s="28" t="s">
        <v>144</v>
      </c>
      <c r="C404" s="28" t="s">
        <v>231</v>
      </c>
      <c r="D404" s="27" t="s">
        <v>946</v>
      </c>
      <c r="E404" s="40">
        <v>3106601</v>
      </c>
      <c r="F404" s="40" t="s">
        <v>75</v>
      </c>
      <c r="G404" s="41">
        <v>300</v>
      </c>
    </row>
    <row r="405" spans="1:7" x14ac:dyDescent="0.3">
      <c r="A405" s="27">
        <v>761690035</v>
      </c>
      <c r="B405" s="28" t="s">
        <v>947</v>
      </c>
      <c r="C405" s="28" t="s">
        <v>231</v>
      </c>
      <c r="D405" s="27" t="s">
        <v>948</v>
      </c>
      <c r="E405" s="30">
        <v>3107822</v>
      </c>
      <c r="F405" s="30" t="s">
        <v>64</v>
      </c>
      <c r="G405" s="31">
        <v>3</v>
      </c>
    </row>
    <row r="406" spans="1:7" x14ac:dyDescent="0.3">
      <c r="A406" s="27">
        <v>762862174</v>
      </c>
      <c r="B406" s="28" t="s">
        <v>949</v>
      </c>
      <c r="C406" s="28" t="s">
        <v>231</v>
      </c>
      <c r="D406" s="27" t="s">
        <v>950</v>
      </c>
      <c r="E406" s="40">
        <v>3106817</v>
      </c>
      <c r="F406" s="40" t="s">
        <v>367</v>
      </c>
      <c r="G406" s="41">
        <v>2</v>
      </c>
    </row>
    <row r="407" spans="1:7" x14ac:dyDescent="0.3">
      <c r="A407" s="27">
        <v>762836750</v>
      </c>
      <c r="B407" s="28" t="s">
        <v>951</v>
      </c>
      <c r="C407" s="28" t="s">
        <v>231</v>
      </c>
      <c r="D407" s="27" t="s">
        <v>952</v>
      </c>
      <c r="E407" s="40">
        <v>3106602</v>
      </c>
      <c r="F407" s="40" t="s">
        <v>384</v>
      </c>
      <c r="G407" s="41">
        <v>300</v>
      </c>
    </row>
    <row r="408" spans="1:7" x14ac:dyDescent="0.3">
      <c r="A408" s="27">
        <v>775093366</v>
      </c>
      <c r="B408" s="28" t="s">
        <v>953</v>
      </c>
      <c r="C408" s="28" t="s">
        <v>231</v>
      </c>
      <c r="D408" s="27" t="s">
        <v>954</v>
      </c>
      <c r="E408" s="30">
        <v>3106305</v>
      </c>
      <c r="F408" s="30" t="s">
        <v>132</v>
      </c>
      <c r="G408" s="31">
        <v>300</v>
      </c>
    </row>
    <row r="409" spans="1:7" x14ac:dyDescent="0.3">
      <c r="A409" s="27">
        <v>136932470</v>
      </c>
      <c r="B409" s="28" t="s">
        <v>955</v>
      </c>
      <c r="C409" s="28" t="s">
        <v>231</v>
      </c>
      <c r="D409" s="27" t="s">
        <v>956</v>
      </c>
      <c r="E409" s="40">
        <v>3102102</v>
      </c>
      <c r="F409" s="40" t="s">
        <v>45</v>
      </c>
      <c r="G409" s="41">
        <v>300</v>
      </c>
    </row>
    <row r="410" spans="1:7" x14ac:dyDescent="0.3">
      <c r="A410" s="27">
        <v>768498768</v>
      </c>
      <c r="B410" s="28" t="s">
        <v>957</v>
      </c>
      <c r="C410" s="28" t="s">
        <v>231</v>
      </c>
      <c r="D410" s="27" t="s">
        <v>958</v>
      </c>
      <c r="E410" s="40">
        <v>3106305</v>
      </c>
      <c r="F410" s="40" t="s">
        <v>132</v>
      </c>
      <c r="G410" s="41" t="s">
        <v>41</v>
      </c>
    </row>
    <row r="411" spans="1:7" x14ac:dyDescent="0.3">
      <c r="A411" s="27">
        <v>761990438</v>
      </c>
      <c r="B411" s="28" t="s">
        <v>19</v>
      </c>
      <c r="C411" s="28" t="s">
        <v>231</v>
      </c>
      <c r="D411" s="27" t="s">
        <v>959</v>
      </c>
      <c r="E411" s="30" t="s">
        <v>960</v>
      </c>
      <c r="F411" s="30" t="s">
        <v>912</v>
      </c>
      <c r="G411" s="31" t="s">
        <v>41</v>
      </c>
    </row>
    <row r="412" spans="1:7" x14ac:dyDescent="0.3">
      <c r="A412" s="27" t="s">
        <v>961</v>
      </c>
      <c r="B412" s="28" t="s">
        <v>962</v>
      </c>
      <c r="C412" s="28" t="s">
        <v>231</v>
      </c>
      <c r="D412" s="27" t="s">
        <v>963</v>
      </c>
      <c r="E412" s="40" t="s">
        <v>964</v>
      </c>
      <c r="F412" s="40"/>
      <c r="G412" s="41"/>
    </row>
    <row r="413" spans="1:7" x14ac:dyDescent="0.3">
      <c r="A413" s="27" t="s">
        <v>106</v>
      </c>
      <c r="B413" s="28" t="s">
        <v>107</v>
      </c>
      <c r="C413" s="28" t="s">
        <v>231</v>
      </c>
      <c r="D413" s="27" t="s">
        <v>965</v>
      </c>
      <c r="E413" s="30">
        <v>3106601</v>
      </c>
      <c r="F413" s="30" t="s">
        <v>75</v>
      </c>
      <c r="G413" s="31">
        <v>185</v>
      </c>
    </row>
    <row r="414" spans="1:7" x14ac:dyDescent="0.3">
      <c r="A414" s="27">
        <v>763197395</v>
      </c>
      <c r="B414" s="28" t="s">
        <v>119</v>
      </c>
      <c r="C414" s="28" t="s">
        <v>231</v>
      </c>
      <c r="D414" s="27" t="s">
        <v>966</v>
      </c>
      <c r="E414" s="30">
        <v>1202401</v>
      </c>
      <c r="F414" s="30" t="s">
        <v>121</v>
      </c>
      <c r="G414" s="31"/>
    </row>
    <row r="415" spans="1:7" x14ac:dyDescent="0.3">
      <c r="A415" s="27">
        <v>969088703</v>
      </c>
      <c r="B415" s="28" t="s">
        <v>141</v>
      </c>
      <c r="C415" s="28" t="s">
        <v>231</v>
      </c>
      <c r="D415" s="27" t="s">
        <v>967</v>
      </c>
      <c r="E415" s="30">
        <v>1106801</v>
      </c>
      <c r="F415" s="30" t="s">
        <v>37</v>
      </c>
      <c r="G415" s="31">
        <v>1</v>
      </c>
    </row>
    <row r="416" spans="1:7" x14ac:dyDescent="0.3">
      <c r="A416" s="27" t="s">
        <v>162</v>
      </c>
      <c r="B416" s="28" t="s">
        <v>163</v>
      </c>
      <c r="C416" s="28" t="s">
        <v>231</v>
      </c>
      <c r="D416" s="27" t="s">
        <v>968</v>
      </c>
      <c r="E416" s="30">
        <v>3106305</v>
      </c>
      <c r="F416" s="30" t="s">
        <v>132</v>
      </c>
      <c r="G416" s="31">
        <v>300</v>
      </c>
    </row>
  </sheetData>
  <autoFilter ref="A1:K369" xr:uid="{F6B0FD80-6553-44A6-A91B-B32190855A4E}">
    <sortState xmlns:xlrd2="http://schemas.microsoft.com/office/spreadsheetml/2017/richdata2" ref="A2:K344">
      <sortCondition sortBy="cellColor" ref="A1:A344" dxfId="0"/>
    </sortState>
  </autoFilter>
  <pageMargins left="0.7" right="0.7" top="0.75" bottom="0.75" header="0.3" footer="0.3"/>
  <pageSetup paperSize="9" orientation="portrait" r:id="rId1"/>
  <headerFooter>
    <oddFooter>&amp;C_x000D_&amp;1#&amp;"Calibri"&amp;10&amp;K000000 Clasificación: Interno, no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69B6-E8A2-4D42-BA8B-E1E736BF30E8}">
  <sheetPr>
    <tabColor rgb="FF002060"/>
  </sheetPr>
  <dimension ref="A1:T84"/>
  <sheetViews>
    <sheetView showGridLines="0" workbookViewId="0">
      <selection activeCell="E17" sqref="E17"/>
    </sheetView>
  </sheetViews>
  <sheetFormatPr baseColWidth="10" defaultRowHeight="14" x14ac:dyDescent="0.3"/>
  <cols>
    <col min="2" max="2" width="26.69921875" bestFit="1" customWidth="1"/>
    <col min="3" max="3" width="2.5" customWidth="1"/>
    <col min="5" max="5" width="26.69921875" bestFit="1" customWidth="1"/>
    <col min="6" max="6" width="3.796875" customWidth="1"/>
    <col min="8" max="8" width="26.69921875" bestFit="1" customWidth="1"/>
    <col min="9" max="9" width="3.796875" customWidth="1"/>
    <col min="10" max="10" width="11.296875" customWidth="1"/>
    <col min="11" max="11" width="20.796875" customWidth="1"/>
    <col min="12" max="12" width="4.5" customWidth="1"/>
    <col min="14" max="14" width="19" bestFit="1" customWidth="1"/>
    <col min="15" max="15" width="5.19921875" customWidth="1"/>
    <col min="17" max="17" width="19" bestFit="1" customWidth="1"/>
    <col min="18" max="18" width="5" customWidth="1"/>
    <col min="20" max="20" width="18.69921875" customWidth="1"/>
  </cols>
  <sheetData>
    <row r="1" spans="1:20" ht="18.8" customHeight="1" x14ac:dyDescent="0.3"/>
    <row r="2" spans="1:20" x14ac:dyDescent="0.3">
      <c r="A2" s="71" t="s">
        <v>969</v>
      </c>
      <c r="B2" s="72">
        <v>14</v>
      </c>
      <c r="C2" s="73"/>
      <c r="D2" s="71" t="s">
        <v>969</v>
      </c>
      <c r="E2" s="72">
        <v>13</v>
      </c>
      <c r="F2" s="73"/>
      <c r="G2" s="71" t="s">
        <v>969</v>
      </c>
      <c r="H2" s="72">
        <v>11</v>
      </c>
      <c r="I2" s="73"/>
      <c r="J2" s="71" t="s">
        <v>969</v>
      </c>
      <c r="K2" s="72">
        <v>10</v>
      </c>
      <c r="M2" s="71" t="s">
        <v>202</v>
      </c>
      <c r="N2" s="72"/>
      <c r="P2" s="71" t="s">
        <v>332</v>
      </c>
      <c r="Q2" s="72"/>
      <c r="S2" s="71" t="s">
        <v>34</v>
      </c>
      <c r="T2" s="72"/>
    </row>
    <row r="3" spans="1:20" x14ac:dyDescent="0.3">
      <c r="A3" s="74"/>
      <c r="B3" s="75"/>
      <c r="C3" s="76"/>
      <c r="D3" s="74"/>
      <c r="E3" s="75"/>
      <c r="F3" s="76"/>
      <c r="G3" s="74"/>
      <c r="H3" s="75"/>
      <c r="I3" s="76"/>
      <c r="J3" s="74"/>
      <c r="K3" s="75"/>
      <c r="M3" s="74">
        <v>100</v>
      </c>
      <c r="N3" s="75" t="s">
        <v>970</v>
      </c>
      <c r="P3" s="74">
        <v>2</v>
      </c>
      <c r="Q3" s="75" t="s">
        <v>971</v>
      </c>
      <c r="S3" s="74"/>
      <c r="T3" s="75"/>
    </row>
    <row r="4" spans="1:20" x14ac:dyDescent="0.3">
      <c r="A4" s="74">
        <v>2</v>
      </c>
      <c r="B4" s="75" t="s">
        <v>971</v>
      </c>
      <c r="C4" s="77"/>
      <c r="D4" s="74">
        <v>2</v>
      </c>
      <c r="E4" s="75" t="s">
        <v>971</v>
      </c>
      <c r="F4" s="78"/>
      <c r="G4" s="74">
        <v>2</v>
      </c>
      <c r="H4" s="75" t="s">
        <v>971</v>
      </c>
      <c r="I4" s="78"/>
      <c r="J4" s="74">
        <v>130</v>
      </c>
      <c r="K4" s="75" t="s">
        <v>972</v>
      </c>
      <c r="M4" s="74">
        <v>130</v>
      </c>
      <c r="N4" s="75" t="s">
        <v>972</v>
      </c>
      <c r="P4" s="74">
        <v>130</v>
      </c>
      <c r="Q4" s="75" t="s">
        <v>972</v>
      </c>
      <c r="S4" s="74">
        <v>2</v>
      </c>
      <c r="T4" s="75" t="s">
        <v>971</v>
      </c>
    </row>
    <row r="5" spans="1:20" x14ac:dyDescent="0.3">
      <c r="A5" s="74">
        <v>130</v>
      </c>
      <c r="B5" s="75" t="s">
        <v>972</v>
      </c>
      <c r="C5" s="77"/>
      <c r="D5" s="74">
        <v>130</v>
      </c>
      <c r="E5" s="75" t="s">
        <v>972</v>
      </c>
      <c r="F5" s="78"/>
      <c r="G5" s="74">
        <v>130</v>
      </c>
      <c r="H5" s="75" t="s">
        <v>972</v>
      </c>
      <c r="I5" s="78"/>
      <c r="J5" s="74">
        <v>140</v>
      </c>
      <c r="K5" s="75" t="s">
        <v>973</v>
      </c>
      <c r="M5" s="74">
        <v>140</v>
      </c>
      <c r="N5" s="75" t="s">
        <v>973</v>
      </c>
      <c r="P5" s="74">
        <v>140</v>
      </c>
      <c r="Q5" s="75" t="s">
        <v>973</v>
      </c>
      <c r="S5" s="74">
        <v>130</v>
      </c>
      <c r="T5" s="75" t="s">
        <v>972</v>
      </c>
    </row>
    <row r="6" spans="1:20" x14ac:dyDescent="0.3">
      <c r="A6" s="74">
        <v>140</v>
      </c>
      <c r="B6" s="75" t="s">
        <v>973</v>
      </c>
      <c r="C6" s="77"/>
      <c r="D6" s="74">
        <v>140</v>
      </c>
      <c r="E6" s="75" t="s">
        <v>973</v>
      </c>
      <c r="F6" s="78"/>
      <c r="G6" s="74">
        <v>140</v>
      </c>
      <c r="H6" s="75" t="s">
        <v>973</v>
      </c>
      <c r="I6" s="78"/>
      <c r="J6" s="74">
        <v>150</v>
      </c>
      <c r="K6" s="75" t="s">
        <v>974</v>
      </c>
      <c r="M6" s="74">
        <v>150</v>
      </c>
      <c r="N6" s="75" t="s">
        <v>974</v>
      </c>
      <c r="P6" s="74">
        <v>150</v>
      </c>
      <c r="Q6" s="75" t="s">
        <v>974</v>
      </c>
      <c r="S6" s="74">
        <v>140</v>
      </c>
      <c r="T6" s="75" t="s">
        <v>973</v>
      </c>
    </row>
    <row r="7" spans="1:20" x14ac:dyDescent="0.3">
      <c r="A7" s="74">
        <v>150</v>
      </c>
      <c r="B7" s="75" t="s">
        <v>974</v>
      </c>
      <c r="C7" s="77"/>
      <c r="D7" s="74">
        <v>150</v>
      </c>
      <c r="E7" s="75" t="s">
        <v>974</v>
      </c>
      <c r="F7" s="78"/>
      <c r="G7" s="74">
        <v>150</v>
      </c>
      <c r="H7" s="75" t="s">
        <v>974</v>
      </c>
      <c r="I7" s="78"/>
      <c r="J7" s="74">
        <v>170</v>
      </c>
      <c r="K7" s="75" t="s">
        <v>975</v>
      </c>
      <c r="M7" s="74">
        <v>170</v>
      </c>
      <c r="N7" s="75" t="s">
        <v>975</v>
      </c>
      <c r="P7" s="74">
        <v>170</v>
      </c>
      <c r="Q7" s="75" t="s">
        <v>975</v>
      </c>
      <c r="S7" s="74">
        <v>150</v>
      </c>
      <c r="T7" s="75" t="s">
        <v>974</v>
      </c>
    </row>
    <row r="8" spans="1:20" x14ac:dyDescent="0.3">
      <c r="A8" s="74">
        <v>170</v>
      </c>
      <c r="B8" s="75" t="s">
        <v>975</v>
      </c>
      <c r="C8" s="77"/>
      <c r="D8" s="74">
        <v>170</v>
      </c>
      <c r="E8" s="75" t="s">
        <v>975</v>
      </c>
      <c r="F8" s="78"/>
      <c r="G8" s="74">
        <v>170</v>
      </c>
      <c r="H8" s="75" t="s">
        <v>975</v>
      </c>
      <c r="I8" s="78"/>
      <c r="J8" s="74">
        <v>180</v>
      </c>
      <c r="K8" s="75" t="s">
        <v>261</v>
      </c>
      <c r="M8" s="74">
        <v>180</v>
      </c>
      <c r="N8" s="75" t="s">
        <v>261</v>
      </c>
      <c r="P8" s="74">
        <v>180</v>
      </c>
      <c r="Q8" s="75" t="s">
        <v>261</v>
      </c>
      <c r="S8" s="74">
        <v>170</v>
      </c>
      <c r="T8" s="75" t="s">
        <v>975</v>
      </c>
    </row>
    <row r="9" spans="1:20" x14ac:dyDescent="0.3">
      <c r="A9" s="74">
        <v>180</v>
      </c>
      <c r="B9" s="75" t="s">
        <v>261</v>
      </c>
      <c r="C9" s="77"/>
      <c r="D9" s="74">
        <v>180</v>
      </c>
      <c r="E9" s="75" t="s">
        <v>261</v>
      </c>
      <c r="F9" s="78"/>
      <c r="G9" s="74">
        <v>180</v>
      </c>
      <c r="H9" s="75" t="s">
        <v>261</v>
      </c>
      <c r="I9" s="78"/>
      <c r="J9" s="74">
        <v>190</v>
      </c>
      <c r="K9" s="75" t="s">
        <v>976</v>
      </c>
      <c r="M9" s="74">
        <v>190</v>
      </c>
      <c r="N9" s="75" t="s">
        <v>976</v>
      </c>
      <c r="P9" s="74">
        <v>190</v>
      </c>
      <c r="Q9" s="75" t="s">
        <v>976</v>
      </c>
      <c r="S9" s="74">
        <v>180</v>
      </c>
      <c r="T9" s="75" t="s">
        <v>261</v>
      </c>
    </row>
    <row r="10" spans="1:20" x14ac:dyDescent="0.3">
      <c r="A10" s="74">
        <v>190</v>
      </c>
      <c r="B10" s="75" t="s">
        <v>976</v>
      </c>
      <c r="C10" s="77"/>
      <c r="D10" s="74">
        <v>190</v>
      </c>
      <c r="E10" s="75" t="s">
        <v>976</v>
      </c>
      <c r="F10" s="78"/>
      <c r="G10" s="74">
        <v>190</v>
      </c>
      <c r="H10" s="75" t="s">
        <v>976</v>
      </c>
      <c r="I10" s="78"/>
      <c r="J10" s="74">
        <v>195</v>
      </c>
      <c r="K10" s="75" t="s">
        <v>977</v>
      </c>
      <c r="M10" s="74">
        <v>195</v>
      </c>
      <c r="N10" s="75" t="s">
        <v>977</v>
      </c>
      <c r="P10" s="74">
        <v>195</v>
      </c>
      <c r="Q10" s="75" t="s">
        <v>977</v>
      </c>
      <c r="S10" s="74">
        <v>190</v>
      </c>
      <c r="T10" s="75" t="s">
        <v>976</v>
      </c>
    </row>
    <row r="11" spans="1:20" x14ac:dyDescent="0.3">
      <c r="A11" s="74">
        <v>195</v>
      </c>
      <c r="B11" s="75" t="s">
        <v>977</v>
      </c>
      <c r="C11" s="77"/>
      <c r="D11" s="74">
        <v>195</v>
      </c>
      <c r="E11" s="75" t="s">
        <v>977</v>
      </c>
      <c r="F11" s="78"/>
      <c r="G11" s="74">
        <v>195</v>
      </c>
      <c r="H11" s="75" t="s">
        <v>977</v>
      </c>
      <c r="I11" s="78"/>
      <c r="J11" s="74">
        <v>200</v>
      </c>
      <c r="K11" s="75" t="s">
        <v>978</v>
      </c>
      <c r="M11" s="74"/>
      <c r="N11" s="75"/>
      <c r="P11" s="74">
        <v>200</v>
      </c>
      <c r="Q11" s="75" t="s">
        <v>978</v>
      </c>
      <c r="S11" s="74">
        <v>195</v>
      </c>
      <c r="T11" s="75" t="s">
        <v>977</v>
      </c>
    </row>
    <row r="12" spans="1:20" x14ac:dyDescent="0.3">
      <c r="A12" s="74">
        <v>200</v>
      </c>
      <c r="B12" s="75" t="s">
        <v>978</v>
      </c>
      <c r="C12" s="77"/>
      <c r="D12" s="74">
        <v>210</v>
      </c>
      <c r="E12" s="75" t="s">
        <v>979</v>
      </c>
      <c r="F12" s="78"/>
      <c r="G12" s="74">
        <v>200</v>
      </c>
      <c r="H12" s="75" t="s">
        <v>978</v>
      </c>
      <c r="I12" s="78"/>
      <c r="J12" s="74">
        <v>210</v>
      </c>
      <c r="K12" s="75" t="s">
        <v>979</v>
      </c>
      <c r="M12" s="79"/>
      <c r="N12" s="80"/>
      <c r="P12" s="74">
        <v>210</v>
      </c>
      <c r="Q12" s="75" t="s">
        <v>979</v>
      </c>
      <c r="S12" s="74">
        <v>200</v>
      </c>
      <c r="T12" s="75" t="s">
        <v>978</v>
      </c>
    </row>
    <row r="13" spans="1:20" x14ac:dyDescent="0.3">
      <c r="A13" s="74">
        <v>210</v>
      </c>
      <c r="B13" s="75" t="s">
        <v>979</v>
      </c>
      <c r="C13" s="78"/>
      <c r="D13" s="74">
        <v>200</v>
      </c>
      <c r="E13" s="75" t="s">
        <v>978</v>
      </c>
      <c r="F13" s="78"/>
      <c r="G13" s="74">
        <v>210</v>
      </c>
      <c r="H13" s="75" t="s">
        <v>979</v>
      </c>
      <c r="I13" s="78"/>
      <c r="J13" s="79"/>
      <c r="K13" s="80"/>
      <c r="P13" s="74">
        <v>300</v>
      </c>
      <c r="Q13" s="75" t="s">
        <v>980</v>
      </c>
      <c r="S13" s="74">
        <v>210</v>
      </c>
      <c r="T13" s="75" t="s">
        <v>979</v>
      </c>
    </row>
    <row r="14" spans="1:20" x14ac:dyDescent="0.3">
      <c r="A14" s="74">
        <v>500</v>
      </c>
      <c r="B14" s="75" t="s">
        <v>981</v>
      </c>
      <c r="C14" s="78"/>
      <c r="D14" s="74">
        <v>300</v>
      </c>
      <c r="E14" s="75" t="s">
        <v>980</v>
      </c>
      <c r="F14" s="78"/>
      <c r="G14" s="79"/>
      <c r="H14" s="80"/>
      <c r="I14" s="78"/>
      <c r="P14" s="74">
        <v>100</v>
      </c>
      <c r="Q14" s="75" t="s">
        <v>970</v>
      </c>
      <c r="S14" s="74">
        <v>500</v>
      </c>
      <c r="T14" s="75" t="s">
        <v>981</v>
      </c>
    </row>
    <row r="15" spans="1:20" x14ac:dyDescent="0.3">
      <c r="A15" s="74">
        <v>300</v>
      </c>
      <c r="B15" s="75" t="s">
        <v>982</v>
      </c>
      <c r="D15" s="74">
        <v>100</v>
      </c>
      <c r="E15" s="75" t="s">
        <v>970</v>
      </c>
      <c r="P15" s="79"/>
      <c r="Q15" s="80"/>
      <c r="S15" s="74">
        <v>300</v>
      </c>
      <c r="T15" s="75" t="s">
        <v>982</v>
      </c>
    </row>
    <row r="16" spans="1:20" x14ac:dyDescent="0.3">
      <c r="A16" s="74">
        <v>100</v>
      </c>
      <c r="B16" s="75" t="s">
        <v>970</v>
      </c>
      <c r="D16" s="79"/>
      <c r="E16" s="80"/>
      <c r="S16" s="74">
        <v>100</v>
      </c>
      <c r="T16" s="75" t="s">
        <v>970</v>
      </c>
    </row>
    <row r="17" spans="1:20" x14ac:dyDescent="0.3">
      <c r="A17" s="79"/>
      <c r="B17" s="80"/>
      <c r="S17" s="79"/>
      <c r="T17" s="80"/>
    </row>
    <row r="20" spans="1:20" x14ac:dyDescent="0.3">
      <c r="E20" t="s">
        <v>983</v>
      </c>
    </row>
    <row r="21" spans="1:20" x14ac:dyDescent="0.3">
      <c r="B21" t="s">
        <v>984</v>
      </c>
    </row>
    <row r="22" spans="1:20" x14ac:dyDescent="0.3">
      <c r="K22" t="s">
        <v>985</v>
      </c>
    </row>
    <row r="23" spans="1:20" x14ac:dyDescent="0.3">
      <c r="G23" t="s">
        <v>986</v>
      </c>
    </row>
    <row r="24" spans="1:20" x14ac:dyDescent="0.3">
      <c r="E24" s="81" t="s">
        <v>971</v>
      </c>
      <c r="F24" s="81"/>
      <c r="G24" s="81">
        <v>2</v>
      </c>
      <c r="H24" s="82">
        <v>2</v>
      </c>
    </row>
    <row r="26" spans="1:20" x14ac:dyDescent="0.3">
      <c r="E26" s="81" t="s">
        <v>980</v>
      </c>
      <c r="F26" s="81"/>
      <c r="G26" s="81">
        <v>300</v>
      </c>
      <c r="H26" s="82">
        <v>16</v>
      </c>
    </row>
    <row r="28" spans="1:20" x14ac:dyDescent="0.3">
      <c r="E28" s="83" t="s">
        <v>987</v>
      </c>
      <c r="F28" s="83"/>
      <c r="G28" s="83">
        <v>140</v>
      </c>
      <c r="H28" s="82">
        <v>7</v>
      </c>
    </row>
    <row r="29" spans="1:20" x14ac:dyDescent="0.3">
      <c r="E29" s="83" t="s">
        <v>988</v>
      </c>
      <c r="F29" s="83"/>
      <c r="G29" s="83">
        <v>130</v>
      </c>
      <c r="H29" s="82">
        <v>6</v>
      </c>
    </row>
    <row r="30" spans="1:20" x14ac:dyDescent="0.3">
      <c r="E30" s="83" t="s">
        <v>989</v>
      </c>
      <c r="F30" s="83"/>
      <c r="G30" s="83">
        <v>150</v>
      </c>
      <c r="H30" s="82">
        <v>8</v>
      </c>
    </row>
    <row r="31" spans="1:20" x14ac:dyDescent="0.3">
      <c r="E31" s="83" t="s">
        <v>990</v>
      </c>
      <c r="F31" s="83"/>
      <c r="G31" s="83">
        <v>120</v>
      </c>
      <c r="H31" s="82">
        <v>5</v>
      </c>
    </row>
    <row r="32" spans="1:20" x14ac:dyDescent="0.3">
      <c r="E32" s="83" t="s">
        <v>991</v>
      </c>
      <c r="F32" s="83"/>
      <c r="G32" s="83">
        <v>160</v>
      </c>
      <c r="H32" s="82">
        <v>9</v>
      </c>
    </row>
    <row r="33" spans="5:8" x14ac:dyDescent="0.3">
      <c r="E33" s="83" t="s">
        <v>992</v>
      </c>
      <c r="F33" s="83"/>
      <c r="G33" s="83">
        <v>170</v>
      </c>
      <c r="H33" s="82">
        <v>10</v>
      </c>
    </row>
    <row r="34" spans="5:8" x14ac:dyDescent="0.3">
      <c r="E34" s="83" t="s">
        <v>993</v>
      </c>
      <c r="F34" s="83"/>
      <c r="G34" s="83">
        <v>180</v>
      </c>
      <c r="H34" s="82">
        <v>11</v>
      </c>
    </row>
    <row r="35" spans="5:8" x14ac:dyDescent="0.3">
      <c r="E35" s="83" t="s">
        <v>976</v>
      </c>
      <c r="F35" s="83"/>
      <c r="G35" s="83">
        <v>190</v>
      </c>
      <c r="H35" s="82">
        <v>13</v>
      </c>
    </row>
    <row r="36" spans="5:8" x14ac:dyDescent="0.3">
      <c r="E36" s="84" t="s">
        <v>994</v>
      </c>
      <c r="F36" s="84"/>
      <c r="G36" s="84">
        <v>185</v>
      </c>
      <c r="H36" s="84" t="s">
        <v>995</v>
      </c>
    </row>
    <row r="37" spans="5:8" x14ac:dyDescent="0.3">
      <c r="E37" s="83" t="s">
        <v>977</v>
      </c>
      <c r="F37" s="83"/>
      <c r="G37" s="83">
        <v>195</v>
      </c>
      <c r="H37" s="82">
        <v>14</v>
      </c>
    </row>
    <row r="38" spans="5:8" x14ac:dyDescent="0.3">
      <c r="E38" s="83" t="s">
        <v>996</v>
      </c>
      <c r="F38" s="83"/>
      <c r="G38" s="83">
        <v>210</v>
      </c>
    </row>
    <row r="39" spans="5:8" x14ac:dyDescent="0.3">
      <c r="E39" s="83" t="s">
        <v>978</v>
      </c>
      <c r="F39" s="83"/>
      <c r="G39" s="83">
        <v>200</v>
      </c>
      <c r="H39" s="82">
        <v>15</v>
      </c>
    </row>
    <row r="42" spans="5:8" x14ac:dyDescent="0.3">
      <c r="E42" s="85" t="s">
        <v>997</v>
      </c>
      <c r="F42" s="85"/>
      <c r="G42" s="85">
        <v>100</v>
      </c>
      <c r="H42" s="82">
        <v>4</v>
      </c>
    </row>
    <row r="43" spans="5:8" x14ac:dyDescent="0.3">
      <c r="E43" s="85" t="s">
        <v>998</v>
      </c>
      <c r="F43" s="85"/>
      <c r="G43" s="85">
        <v>400</v>
      </c>
      <c r="H43" s="82">
        <v>17</v>
      </c>
    </row>
    <row r="44" spans="5:8" x14ac:dyDescent="0.3">
      <c r="E44" s="85"/>
      <c r="F44" s="85"/>
      <c r="G44" s="85">
        <v>401</v>
      </c>
      <c r="H44" s="82">
        <v>18</v>
      </c>
    </row>
    <row r="45" spans="5:8" x14ac:dyDescent="0.3">
      <c r="E45" s="85" t="s">
        <v>999</v>
      </c>
      <c r="F45" s="85"/>
      <c r="G45" s="85">
        <v>402</v>
      </c>
      <c r="H45" s="82">
        <v>19</v>
      </c>
    </row>
    <row r="46" spans="5:8" x14ac:dyDescent="0.3">
      <c r="E46" s="85"/>
      <c r="F46" s="85"/>
      <c r="G46" s="85">
        <v>404</v>
      </c>
      <c r="H46" s="82">
        <v>21</v>
      </c>
    </row>
    <row r="47" spans="5:8" x14ac:dyDescent="0.3">
      <c r="E47" s="86" t="s">
        <v>1000</v>
      </c>
      <c r="F47" s="86"/>
      <c r="G47" s="86"/>
    </row>
    <row r="48" spans="5:8" x14ac:dyDescent="0.3">
      <c r="E48" s="86"/>
      <c r="F48" s="86"/>
      <c r="G48" s="86">
        <v>403</v>
      </c>
      <c r="H48" s="82">
        <v>20</v>
      </c>
    </row>
    <row r="49" spans="1:8" x14ac:dyDescent="0.3">
      <c r="E49" s="86"/>
      <c r="F49" s="86"/>
      <c r="G49" s="86">
        <v>405</v>
      </c>
      <c r="H49" s="82">
        <v>22</v>
      </c>
    </row>
    <row r="50" spans="1:8" x14ac:dyDescent="0.3">
      <c r="E50" s="86"/>
      <c r="F50" s="86"/>
      <c r="G50" s="86">
        <v>501</v>
      </c>
      <c r="H50" s="82">
        <v>24</v>
      </c>
    </row>
    <row r="51" spans="1:8" x14ac:dyDescent="0.3">
      <c r="E51" s="86"/>
      <c r="F51" s="86"/>
      <c r="G51" s="86">
        <v>500</v>
      </c>
      <c r="H51" s="82">
        <v>23</v>
      </c>
    </row>
    <row r="55" spans="1:8" x14ac:dyDescent="0.3">
      <c r="E55" t="s">
        <v>1001</v>
      </c>
    </row>
    <row r="56" spans="1:8" x14ac:dyDescent="0.3">
      <c r="E56" t="s">
        <v>1002</v>
      </c>
      <c r="G56">
        <v>1</v>
      </c>
      <c r="H56" s="82">
        <v>1</v>
      </c>
    </row>
    <row r="57" spans="1:8" x14ac:dyDescent="0.3">
      <c r="E57" t="s">
        <v>1003</v>
      </c>
      <c r="G57">
        <v>3</v>
      </c>
      <c r="H57" s="82">
        <v>3</v>
      </c>
    </row>
    <row r="61" spans="1:8" x14ac:dyDescent="0.3">
      <c r="B61" s="87" t="s">
        <v>1004</v>
      </c>
    </row>
    <row r="63" spans="1:8" x14ac:dyDescent="0.3">
      <c r="A63">
        <v>2</v>
      </c>
      <c r="B63" t="s">
        <v>971</v>
      </c>
      <c r="E63" s="88" t="s">
        <v>1005</v>
      </c>
    </row>
    <row r="64" spans="1:8" x14ac:dyDescent="0.3">
      <c r="A64">
        <v>3</v>
      </c>
      <c r="B64" t="s">
        <v>1003</v>
      </c>
    </row>
    <row r="65" spans="1:5" x14ac:dyDescent="0.3">
      <c r="A65">
        <v>100</v>
      </c>
      <c r="B65" t="s">
        <v>1006</v>
      </c>
    </row>
    <row r="66" spans="1:5" x14ac:dyDescent="0.3">
      <c r="A66">
        <v>120</v>
      </c>
      <c r="B66" t="s">
        <v>1007</v>
      </c>
      <c r="E66" s="88" t="s">
        <v>1008</v>
      </c>
    </row>
    <row r="67" spans="1:5" x14ac:dyDescent="0.3">
      <c r="A67">
        <v>130</v>
      </c>
      <c r="B67" t="s">
        <v>1009</v>
      </c>
      <c r="E67" s="88" t="s">
        <v>1010</v>
      </c>
    </row>
    <row r="68" spans="1:5" x14ac:dyDescent="0.3">
      <c r="A68">
        <v>140</v>
      </c>
      <c r="B68" t="s">
        <v>1011</v>
      </c>
      <c r="E68" s="88" t="s">
        <v>1012</v>
      </c>
    </row>
    <row r="69" spans="1:5" x14ac:dyDescent="0.3">
      <c r="A69">
        <v>150</v>
      </c>
      <c r="B69" t="s">
        <v>1013</v>
      </c>
      <c r="E69" s="88" t="s">
        <v>1014</v>
      </c>
    </row>
    <row r="70" spans="1:5" x14ac:dyDescent="0.3">
      <c r="A70">
        <v>160</v>
      </c>
      <c r="B70" t="s">
        <v>1015</v>
      </c>
      <c r="E70" s="88" t="s">
        <v>1016</v>
      </c>
    </row>
    <row r="71" spans="1:5" x14ac:dyDescent="0.3">
      <c r="A71">
        <v>170</v>
      </c>
      <c r="B71" t="s">
        <v>1017</v>
      </c>
      <c r="E71" s="88" t="s">
        <v>1018</v>
      </c>
    </row>
    <row r="72" spans="1:5" x14ac:dyDescent="0.3">
      <c r="A72">
        <v>180</v>
      </c>
      <c r="B72" t="s">
        <v>1019</v>
      </c>
      <c r="E72" s="88" t="s">
        <v>1020</v>
      </c>
    </row>
    <row r="73" spans="1:5" x14ac:dyDescent="0.3">
      <c r="A73">
        <v>185</v>
      </c>
      <c r="B73" t="s">
        <v>1021</v>
      </c>
      <c r="E73" s="88" t="s">
        <v>1022</v>
      </c>
    </row>
    <row r="74" spans="1:5" x14ac:dyDescent="0.3">
      <c r="A74">
        <v>190</v>
      </c>
      <c r="B74" t="s">
        <v>1023</v>
      </c>
      <c r="E74" s="89" t="s">
        <v>1024</v>
      </c>
    </row>
    <row r="75" spans="1:5" x14ac:dyDescent="0.3">
      <c r="A75">
        <v>195</v>
      </c>
      <c r="B75" t="s">
        <v>1025</v>
      </c>
      <c r="E75" s="90"/>
    </row>
    <row r="76" spans="1:5" x14ac:dyDescent="0.3">
      <c r="A76">
        <v>200</v>
      </c>
      <c r="B76" t="s">
        <v>978</v>
      </c>
      <c r="E76" s="90"/>
    </row>
    <row r="77" spans="1:5" x14ac:dyDescent="0.3">
      <c r="A77">
        <v>300</v>
      </c>
      <c r="B77" t="s">
        <v>982</v>
      </c>
    </row>
    <row r="78" spans="1:5" x14ac:dyDescent="0.3">
      <c r="A78" s="85">
        <v>401</v>
      </c>
      <c r="B78" t="s">
        <v>1026</v>
      </c>
      <c r="D78" t="s">
        <v>1027</v>
      </c>
    </row>
    <row r="79" spans="1:5" x14ac:dyDescent="0.3">
      <c r="A79" s="85">
        <v>402</v>
      </c>
      <c r="B79" t="s">
        <v>999</v>
      </c>
      <c r="D79" t="s">
        <v>1028</v>
      </c>
    </row>
    <row r="80" spans="1:5" x14ac:dyDescent="0.3">
      <c r="A80" s="85">
        <v>403</v>
      </c>
      <c r="B80" t="s">
        <v>1029</v>
      </c>
    </row>
    <row r="81" spans="1:4" x14ac:dyDescent="0.3">
      <c r="A81" s="85">
        <v>404</v>
      </c>
      <c r="B81" t="s">
        <v>1030</v>
      </c>
      <c r="D81" t="s">
        <v>1031</v>
      </c>
    </row>
    <row r="82" spans="1:4" x14ac:dyDescent="0.3">
      <c r="A82" s="85">
        <v>405</v>
      </c>
      <c r="B82" t="s">
        <v>1032</v>
      </c>
    </row>
    <row r="83" spans="1:4" x14ac:dyDescent="0.3">
      <c r="A83" s="85">
        <v>500</v>
      </c>
      <c r="B83" t="s">
        <v>981</v>
      </c>
    </row>
    <row r="84" spans="1:4" x14ac:dyDescent="0.3">
      <c r="A84" s="85">
        <v>501</v>
      </c>
      <c r="B84" t="s">
        <v>1033</v>
      </c>
      <c r="D84" t="s">
        <v>1031</v>
      </c>
    </row>
  </sheetData>
  <pageMargins left="0.7" right="0.7" top="0.75" bottom="0.75" header="0.3" footer="0.3"/>
  <pageSetup orientation="portrait" r:id="rId1"/>
  <headerFooter>
    <oddFooter>&amp;C_x000D_&amp;1#&amp;"Calibri"&amp;10&amp;K000000 Clasificación: Interno, no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41E0-177A-4654-88A3-8998DCA0EE3D}">
  <sheetPr>
    <tabColor theme="8"/>
  </sheetPr>
  <dimension ref="A1:R25"/>
  <sheetViews>
    <sheetView zoomScale="70" zoomScaleNormal="70" workbookViewId="0">
      <selection activeCell="N9" sqref="N9"/>
    </sheetView>
  </sheetViews>
  <sheetFormatPr baseColWidth="10" defaultRowHeight="14" x14ac:dyDescent="0.3"/>
  <cols>
    <col min="2" max="2" width="12.5" bestFit="1" customWidth="1"/>
    <col min="4" max="4" width="5.296875" customWidth="1"/>
    <col min="5" max="5" width="13.5" bestFit="1" customWidth="1"/>
    <col min="6" max="6" width="35.69921875" bestFit="1" customWidth="1"/>
    <col min="7" max="7" width="5" customWidth="1"/>
    <col min="8" max="8" width="11.19921875" customWidth="1"/>
    <col min="9" max="9" width="13.796875" bestFit="1" customWidth="1"/>
    <col min="11" max="11" width="15.296875" bestFit="1" customWidth="1"/>
    <col min="12" max="12" width="39.296875" customWidth="1"/>
    <col min="13" max="13" width="14" customWidth="1"/>
    <col min="14" max="14" width="22" customWidth="1"/>
    <col min="16" max="16" width="17.5" bestFit="1" customWidth="1"/>
  </cols>
  <sheetData>
    <row r="1" spans="1:18" ht="15.05" customHeight="1" x14ac:dyDescent="0.3">
      <c r="A1" s="133" t="s">
        <v>1034</v>
      </c>
      <c r="B1" s="134"/>
      <c r="C1" s="134"/>
      <c r="D1" s="135"/>
      <c r="E1" s="133" t="s">
        <v>1035</v>
      </c>
      <c r="F1" s="134"/>
      <c r="G1" s="135"/>
      <c r="H1" s="133" t="s">
        <v>1036</v>
      </c>
      <c r="I1" s="134"/>
      <c r="J1" s="134"/>
      <c r="K1" s="135"/>
    </row>
    <row r="2" spans="1:18" ht="45" customHeight="1" x14ac:dyDescent="0.3">
      <c r="A2" s="91" t="s">
        <v>1037</v>
      </c>
      <c r="B2" s="91" t="s">
        <v>1038</v>
      </c>
      <c r="C2" s="91" t="s">
        <v>1039</v>
      </c>
      <c r="D2" s="91" t="s">
        <v>1040</v>
      </c>
      <c r="E2" s="91" t="s">
        <v>1041</v>
      </c>
      <c r="F2" s="91" t="s">
        <v>1042</v>
      </c>
      <c r="G2" s="91" t="s">
        <v>1043</v>
      </c>
      <c r="H2" s="91" t="s">
        <v>1044</v>
      </c>
      <c r="I2" s="92" t="s">
        <v>1045</v>
      </c>
      <c r="J2" s="93" t="s">
        <v>1046</v>
      </c>
      <c r="K2" s="91" t="s">
        <v>1047</v>
      </c>
      <c r="L2" s="92" t="s">
        <v>1048</v>
      </c>
      <c r="M2" s="92" t="s">
        <v>13</v>
      </c>
      <c r="N2" s="92" t="s">
        <v>1049</v>
      </c>
      <c r="O2" s="92" t="s">
        <v>1050</v>
      </c>
      <c r="P2" s="92" t="s">
        <v>15</v>
      </c>
    </row>
    <row r="3" spans="1:18" ht="15.6" x14ac:dyDescent="0.35">
      <c r="A3" s="94">
        <v>1425</v>
      </c>
      <c r="B3" s="95">
        <v>46027</v>
      </c>
      <c r="C3" s="96" t="s">
        <v>1051</v>
      </c>
      <c r="D3" s="96"/>
      <c r="E3" s="96" t="s">
        <v>1052</v>
      </c>
      <c r="F3" s="96" t="s">
        <v>1053</v>
      </c>
      <c r="G3" s="96" t="s">
        <v>1054</v>
      </c>
      <c r="H3" s="97">
        <v>47198</v>
      </c>
      <c r="I3" s="98">
        <v>7198</v>
      </c>
      <c r="J3" s="98"/>
      <c r="K3" s="97">
        <v>40000</v>
      </c>
      <c r="L3" s="99" t="s">
        <v>1055</v>
      </c>
      <c r="M3" s="97" t="s">
        <v>1056</v>
      </c>
      <c r="N3" s="100" t="s">
        <v>75</v>
      </c>
      <c r="O3" s="101">
        <v>210</v>
      </c>
      <c r="P3" t="s">
        <v>22</v>
      </c>
    </row>
    <row r="4" spans="1:18" ht="15.6" x14ac:dyDescent="0.35">
      <c r="A4" s="102">
        <v>1419</v>
      </c>
      <c r="B4" s="103">
        <v>46030</v>
      </c>
      <c r="C4" s="102" t="s">
        <v>1057</v>
      </c>
      <c r="D4" s="102">
        <v>46030</v>
      </c>
      <c r="E4" s="102" t="s">
        <v>1052</v>
      </c>
      <c r="F4" s="102" t="s">
        <v>1053</v>
      </c>
      <c r="G4" s="102" t="s">
        <v>1054</v>
      </c>
      <c r="H4" s="104">
        <v>47198</v>
      </c>
      <c r="I4" s="105">
        <v>7198</v>
      </c>
      <c r="J4" s="105"/>
      <c r="K4" s="104">
        <v>40000</v>
      </c>
      <c r="L4" s="99" t="s">
        <v>1058</v>
      </c>
      <c r="M4" s="97" t="s">
        <v>82</v>
      </c>
      <c r="N4" s="100" t="s">
        <v>82</v>
      </c>
      <c r="O4" s="101" t="s">
        <v>82</v>
      </c>
      <c r="P4" t="s">
        <v>22</v>
      </c>
    </row>
    <row r="5" spans="1:18" ht="15.6" x14ac:dyDescent="0.35">
      <c r="A5" s="96">
        <v>1420</v>
      </c>
      <c r="B5" s="95">
        <v>46030</v>
      </c>
      <c r="C5" s="96" t="s">
        <v>1051</v>
      </c>
      <c r="D5" s="96"/>
      <c r="E5" s="96" t="s">
        <v>1052</v>
      </c>
      <c r="F5" s="96" t="s">
        <v>1053</v>
      </c>
      <c r="G5" s="96" t="s">
        <v>1054</v>
      </c>
      <c r="H5" s="97">
        <v>47198</v>
      </c>
      <c r="I5" s="98">
        <v>7198</v>
      </c>
      <c r="J5" s="98"/>
      <c r="K5" s="97">
        <v>40000</v>
      </c>
      <c r="L5" s="99" t="s">
        <v>1059</v>
      </c>
      <c r="M5" s="106" t="s">
        <v>1056</v>
      </c>
      <c r="N5" s="107" t="s">
        <v>75</v>
      </c>
      <c r="O5" s="108" t="s">
        <v>1060</v>
      </c>
      <c r="P5" t="s">
        <v>22</v>
      </c>
      <c r="R5" s="109" t="s">
        <v>1061</v>
      </c>
    </row>
    <row r="6" spans="1:18" ht="15.6" x14ac:dyDescent="0.35">
      <c r="A6" s="94">
        <v>17159</v>
      </c>
      <c r="B6" s="95">
        <v>46033</v>
      </c>
      <c r="C6" s="96" t="s">
        <v>1051</v>
      </c>
      <c r="D6" s="96"/>
      <c r="E6" s="96" t="s">
        <v>1062</v>
      </c>
      <c r="F6" s="96" t="s">
        <v>495</v>
      </c>
      <c r="G6" s="96" t="s">
        <v>1054</v>
      </c>
      <c r="H6" s="97">
        <v>21239</v>
      </c>
      <c r="I6" s="98">
        <v>3239</v>
      </c>
      <c r="J6" s="98"/>
      <c r="K6" s="97">
        <v>18000</v>
      </c>
      <c r="L6" s="99" t="s">
        <v>1063</v>
      </c>
      <c r="M6" s="97" t="s">
        <v>1056</v>
      </c>
      <c r="N6" s="100" t="s">
        <v>75</v>
      </c>
      <c r="O6" s="101">
        <v>130</v>
      </c>
      <c r="P6" t="s">
        <v>22</v>
      </c>
    </row>
    <row r="7" spans="1:18" ht="15.6" x14ac:dyDescent="0.35">
      <c r="A7" s="94">
        <v>122008</v>
      </c>
      <c r="B7" s="95">
        <v>46034</v>
      </c>
      <c r="C7" s="96" t="s">
        <v>1051</v>
      </c>
      <c r="D7" s="96"/>
      <c r="E7" s="96" t="s">
        <v>1064</v>
      </c>
      <c r="F7" s="96" t="s">
        <v>1065</v>
      </c>
      <c r="G7" s="96" t="s">
        <v>1054</v>
      </c>
      <c r="H7" s="97">
        <v>5000</v>
      </c>
      <c r="I7" s="98">
        <v>0</v>
      </c>
      <c r="J7" s="98"/>
      <c r="K7" s="97">
        <v>5000</v>
      </c>
      <c r="L7" s="99" t="s">
        <v>1066</v>
      </c>
      <c r="M7" s="97">
        <v>3106201</v>
      </c>
      <c r="N7" s="100" t="s">
        <v>1067</v>
      </c>
      <c r="O7" s="101">
        <v>2</v>
      </c>
      <c r="P7" t="s">
        <v>22</v>
      </c>
    </row>
    <row r="8" spans="1:18" ht="15.6" x14ac:dyDescent="0.35">
      <c r="A8" s="94">
        <v>17207</v>
      </c>
      <c r="B8" s="95">
        <v>46036</v>
      </c>
      <c r="C8" s="96" t="s">
        <v>1051</v>
      </c>
      <c r="D8" s="96"/>
      <c r="E8" s="96" t="s">
        <v>1062</v>
      </c>
      <c r="F8" s="96" t="s">
        <v>495</v>
      </c>
      <c r="G8" s="96" t="s">
        <v>1054</v>
      </c>
      <c r="H8" s="97">
        <v>17699</v>
      </c>
      <c r="I8" s="98">
        <v>2699</v>
      </c>
      <c r="J8" s="98"/>
      <c r="K8" s="97">
        <v>15000</v>
      </c>
      <c r="L8" s="99" t="s">
        <v>1068</v>
      </c>
      <c r="M8" s="97" t="s">
        <v>1056</v>
      </c>
      <c r="N8" s="100" t="s">
        <v>75</v>
      </c>
      <c r="O8" s="101">
        <v>180</v>
      </c>
      <c r="P8" t="s">
        <v>22</v>
      </c>
    </row>
    <row r="9" spans="1:18" ht="15.6" x14ac:dyDescent="0.35">
      <c r="A9" s="94">
        <v>187</v>
      </c>
      <c r="B9" s="95">
        <v>46036</v>
      </c>
      <c r="C9" s="96" t="s">
        <v>1051</v>
      </c>
      <c r="D9" s="96"/>
      <c r="E9" s="96" t="s">
        <v>1069</v>
      </c>
      <c r="F9" s="96" t="s">
        <v>1070</v>
      </c>
      <c r="G9" s="96" t="s">
        <v>1054</v>
      </c>
      <c r="H9" s="97">
        <v>88496</v>
      </c>
      <c r="I9" s="98">
        <v>13496</v>
      </c>
      <c r="J9" s="98"/>
      <c r="K9" s="97">
        <v>75000</v>
      </c>
      <c r="L9" s="99" t="s">
        <v>1071</v>
      </c>
      <c r="M9" s="97">
        <v>3107822</v>
      </c>
      <c r="N9" s="100" t="s">
        <v>64</v>
      </c>
      <c r="O9" s="101">
        <v>3</v>
      </c>
      <c r="P9" t="s">
        <v>22</v>
      </c>
    </row>
    <row r="10" spans="1:18" ht="15.6" x14ac:dyDescent="0.35">
      <c r="A10" s="94">
        <v>185</v>
      </c>
      <c r="B10" s="95">
        <v>46042</v>
      </c>
      <c r="C10" s="96" t="s">
        <v>1051</v>
      </c>
      <c r="D10" s="96"/>
      <c r="E10" s="96" t="s">
        <v>1072</v>
      </c>
      <c r="F10" s="96" t="s">
        <v>1073</v>
      </c>
      <c r="G10" s="96" t="s">
        <v>1054</v>
      </c>
      <c r="H10" s="97">
        <v>374446</v>
      </c>
      <c r="I10" s="98">
        <v>57103</v>
      </c>
      <c r="J10" s="98"/>
      <c r="K10" s="97">
        <v>317343</v>
      </c>
      <c r="L10" s="99" t="s">
        <v>1074</v>
      </c>
      <c r="M10" s="97" t="s">
        <v>1056</v>
      </c>
      <c r="N10" s="100" t="s">
        <v>75</v>
      </c>
      <c r="O10" s="101">
        <v>190</v>
      </c>
      <c r="P10" t="s">
        <v>22</v>
      </c>
    </row>
    <row r="11" spans="1:18" ht="15.6" x14ac:dyDescent="0.35">
      <c r="A11" s="96">
        <v>1423</v>
      </c>
      <c r="B11" s="95">
        <v>46043</v>
      </c>
      <c r="C11" s="96" t="s">
        <v>1051</v>
      </c>
      <c r="D11" s="96"/>
      <c r="E11" s="96" t="s">
        <v>1052</v>
      </c>
      <c r="F11" s="96" t="s">
        <v>1053</v>
      </c>
      <c r="G11" s="96" t="s">
        <v>1054</v>
      </c>
      <c r="H11" s="97">
        <v>47198</v>
      </c>
      <c r="I11" s="98">
        <v>7198</v>
      </c>
      <c r="J11" s="98"/>
      <c r="K11" s="97">
        <v>40000</v>
      </c>
      <c r="L11" s="99" t="s">
        <v>1075</v>
      </c>
      <c r="M11" s="106" t="s">
        <v>1056</v>
      </c>
      <c r="N11" s="107" t="s">
        <v>75</v>
      </c>
      <c r="O11" s="108" t="s">
        <v>1060</v>
      </c>
      <c r="P11" t="s">
        <v>22</v>
      </c>
      <c r="R11" s="109" t="s">
        <v>1061</v>
      </c>
    </row>
    <row r="12" spans="1:18" ht="15.6" x14ac:dyDescent="0.35">
      <c r="A12" s="94">
        <v>2</v>
      </c>
      <c r="B12" s="95">
        <v>46044</v>
      </c>
      <c r="C12" s="96" t="s">
        <v>1051</v>
      </c>
      <c r="D12" s="96"/>
      <c r="E12" s="96" t="s">
        <v>1076</v>
      </c>
      <c r="F12" s="96" t="s">
        <v>1077</v>
      </c>
      <c r="G12" s="96" t="s">
        <v>1054</v>
      </c>
      <c r="H12" s="97">
        <v>40000</v>
      </c>
      <c r="I12" s="98">
        <v>6100</v>
      </c>
      <c r="J12" s="98"/>
      <c r="K12" s="97">
        <v>33900</v>
      </c>
      <c r="L12" s="99" t="s">
        <v>1078</v>
      </c>
      <c r="M12" s="97">
        <v>3107822</v>
      </c>
      <c r="N12" s="100" t="s">
        <v>64</v>
      </c>
      <c r="O12" s="101">
        <v>3</v>
      </c>
      <c r="P12" t="s">
        <v>22</v>
      </c>
    </row>
    <row r="13" spans="1:18" ht="15.6" x14ac:dyDescent="0.35">
      <c r="A13" s="102">
        <v>1424</v>
      </c>
      <c r="B13" s="103">
        <v>46045</v>
      </c>
      <c r="C13" s="102" t="s">
        <v>1057</v>
      </c>
      <c r="D13" s="102">
        <v>46045</v>
      </c>
      <c r="E13" s="102" t="s">
        <v>1052</v>
      </c>
      <c r="F13" s="102" t="s">
        <v>1053</v>
      </c>
      <c r="G13" s="102" t="s">
        <v>1054</v>
      </c>
      <c r="H13" s="104">
        <v>47198</v>
      </c>
      <c r="I13" s="105">
        <v>7198</v>
      </c>
      <c r="J13" s="105"/>
      <c r="K13" s="104">
        <v>40000</v>
      </c>
      <c r="L13" s="99" t="s">
        <v>1079</v>
      </c>
      <c r="M13" s="97" t="s">
        <v>82</v>
      </c>
      <c r="N13" s="100" t="s">
        <v>82</v>
      </c>
      <c r="O13" s="101" t="s">
        <v>82</v>
      </c>
      <c r="P13" t="s">
        <v>22</v>
      </c>
    </row>
    <row r="14" spans="1:18" ht="15.6" x14ac:dyDescent="0.35">
      <c r="A14" s="94">
        <v>5524</v>
      </c>
      <c r="B14" s="95">
        <v>46049</v>
      </c>
      <c r="C14" s="96" t="s">
        <v>1051</v>
      </c>
      <c r="D14" s="96"/>
      <c r="E14" s="96" t="s">
        <v>1080</v>
      </c>
      <c r="F14" s="96" t="s">
        <v>1081</v>
      </c>
      <c r="G14" s="96" t="s">
        <v>1054</v>
      </c>
      <c r="H14" s="97">
        <v>17699</v>
      </c>
      <c r="I14" s="98">
        <v>2699</v>
      </c>
      <c r="J14" s="98"/>
      <c r="K14" s="97">
        <v>15000</v>
      </c>
      <c r="L14" s="99" t="s">
        <v>1082</v>
      </c>
      <c r="M14" s="97" t="s">
        <v>1056</v>
      </c>
      <c r="N14" s="100" t="s">
        <v>75</v>
      </c>
      <c r="O14" s="101">
        <v>150</v>
      </c>
      <c r="P14" t="s">
        <v>22</v>
      </c>
    </row>
    <row r="15" spans="1:18" ht="15.6" x14ac:dyDescent="0.35">
      <c r="A15" s="94">
        <v>59</v>
      </c>
      <c r="B15" s="95">
        <v>46049</v>
      </c>
      <c r="C15" s="96" t="s">
        <v>1051</v>
      </c>
      <c r="D15" s="96"/>
      <c r="E15" s="96" t="s">
        <v>1083</v>
      </c>
      <c r="F15" s="96" t="s">
        <v>1084</v>
      </c>
      <c r="G15" s="96" t="s">
        <v>1054</v>
      </c>
      <c r="H15" s="97">
        <v>40936</v>
      </c>
      <c r="I15" s="98">
        <v>6243</v>
      </c>
      <c r="J15" s="98"/>
      <c r="K15" s="97">
        <v>34693</v>
      </c>
      <c r="L15" s="99" t="s">
        <v>1085</v>
      </c>
      <c r="M15" s="97" t="s">
        <v>1056</v>
      </c>
      <c r="N15" s="100" t="s">
        <v>75</v>
      </c>
      <c r="O15" s="101">
        <v>195</v>
      </c>
      <c r="P15" t="s">
        <v>22</v>
      </c>
    </row>
    <row r="16" spans="1:18" ht="15.6" x14ac:dyDescent="0.35">
      <c r="A16" s="94">
        <v>3654</v>
      </c>
      <c r="B16" s="95">
        <v>46050</v>
      </c>
      <c r="C16" s="96" t="s">
        <v>1051</v>
      </c>
      <c r="D16" s="96"/>
      <c r="E16" s="96" t="s">
        <v>1086</v>
      </c>
      <c r="F16" s="96" t="s">
        <v>1087</v>
      </c>
      <c r="G16" s="96" t="s">
        <v>1054</v>
      </c>
      <c r="H16" s="97">
        <v>23599</v>
      </c>
      <c r="I16" s="98">
        <v>3599</v>
      </c>
      <c r="J16" s="98"/>
      <c r="K16" s="97">
        <v>20000</v>
      </c>
      <c r="L16" s="99" t="s">
        <v>1088</v>
      </c>
      <c r="M16" s="97" t="s">
        <v>1056</v>
      </c>
      <c r="N16" s="100" t="s">
        <v>75</v>
      </c>
      <c r="O16" s="101">
        <v>200</v>
      </c>
      <c r="P16" t="s">
        <v>22</v>
      </c>
    </row>
    <row r="17" spans="1:16" ht="15.6" x14ac:dyDescent="0.35">
      <c r="A17" s="102">
        <v>7</v>
      </c>
      <c r="B17" s="103">
        <v>46051</v>
      </c>
      <c r="C17" s="102" t="s">
        <v>1057</v>
      </c>
      <c r="D17" s="102">
        <v>46051</v>
      </c>
      <c r="E17" s="102" t="s">
        <v>1089</v>
      </c>
      <c r="F17" s="102" t="s">
        <v>1090</v>
      </c>
      <c r="G17" s="102" t="s">
        <v>1054</v>
      </c>
      <c r="H17" s="104">
        <v>30000</v>
      </c>
      <c r="I17" s="105">
        <v>4575</v>
      </c>
      <c r="J17" s="105"/>
      <c r="K17" s="104">
        <v>25425</v>
      </c>
      <c r="L17" s="99" t="s">
        <v>1091</v>
      </c>
      <c r="M17" s="97" t="s">
        <v>82</v>
      </c>
      <c r="N17" s="100" t="s">
        <v>82</v>
      </c>
      <c r="O17" s="101" t="s">
        <v>82</v>
      </c>
      <c r="P17" t="s">
        <v>22</v>
      </c>
    </row>
    <row r="18" spans="1:16" ht="15.6" x14ac:dyDescent="0.35">
      <c r="A18" s="94">
        <v>17293</v>
      </c>
      <c r="B18" s="95">
        <v>46052</v>
      </c>
      <c r="C18" s="96" t="s">
        <v>1051</v>
      </c>
      <c r="D18" s="96"/>
      <c r="E18" s="96" t="s">
        <v>1062</v>
      </c>
      <c r="F18" s="96" t="s">
        <v>495</v>
      </c>
      <c r="G18" s="96" t="s">
        <v>1054</v>
      </c>
      <c r="H18" s="97">
        <v>21239</v>
      </c>
      <c r="I18" s="98">
        <v>3239</v>
      </c>
      <c r="J18" s="98"/>
      <c r="K18" s="97">
        <v>18000</v>
      </c>
      <c r="L18" s="99" t="s">
        <v>1092</v>
      </c>
      <c r="M18" s="97" t="s">
        <v>1056</v>
      </c>
      <c r="N18" s="100" t="s">
        <v>75</v>
      </c>
      <c r="O18" s="101">
        <v>130</v>
      </c>
      <c r="P18" t="s">
        <v>22</v>
      </c>
    </row>
    <row r="19" spans="1:16" x14ac:dyDescent="0.3">
      <c r="A19" s="96"/>
      <c r="B19" s="95"/>
      <c r="C19" s="96"/>
      <c r="D19" s="96"/>
      <c r="E19" s="96"/>
      <c r="F19" s="96"/>
      <c r="G19" s="96"/>
      <c r="H19" s="97"/>
      <c r="I19" s="97"/>
      <c r="J19" s="98"/>
      <c r="K19" s="97"/>
      <c r="L19" s="99"/>
      <c r="M19" s="97"/>
      <c r="N19" s="100"/>
      <c r="O19" s="110"/>
    </row>
    <row r="20" spans="1:16" x14ac:dyDescent="0.3">
      <c r="H20" s="111"/>
    </row>
    <row r="21" spans="1:16" ht="15.6" x14ac:dyDescent="0.45">
      <c r="H21" s="112">
        <f>SUM(H3:H20)-H4-H13-H17</f>
        <v>791947</v>
      </c>
      <c r="I21" s="112">
        <f t="shared" ref="I21:K21" si="0">SUM(I3:I20)-I4-I13-I17</f>
        <v>120011</v>
      </c>
      <c r="J21" s="112">
        <f t="shared" si="0"/>
        <v>0</v>
      </c>
      <c r="K21" s="112">
        <f t="shared" si="0"/>
        <v>671936</v>
      </c>
    </row>
    <row r="23" spans="1:16" ht="15.6" x14ac:dyDescent="0.45">
      <c r="K23" s="113">
        <f>COUNT(K3:K20)-3</f>
        <v>13</v>
      </c>
    </row>
    <row r="24" spans="1:16" x14ac:dyDescent="0.3">
      <c r="I24" s="114">
        <f>H21-I21-J21</f>
        <v>671936</v>
      </c>
    </row>
    <row r="25" spans="1:16" x14ac:dyDescent="0.3">
      <c r="K25" s="114"/>
    </row>
  </sheetData>
  <mergeCells count="3">
    <mergeCell ref="A1:D1"/>
    <mergeCell ref="E1:G1"/>
    <mergeCell ref="H1:K1"/>
  </mergeCells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AAE-3CB2-4D90-9E5B-96BE85D58DB0}">
  <sheetPr>
    <tabColor rgb="FF002060"/>
  </sheetPr>
  <dimension ref="A1:E67"/>
  <sheetViews>
    <sheetView topLeftCell="A51" workbookViewId="0">
      <selection activeCell="B69" sqref="B69"/>
    </sheetView>
  </sheetViews>
  <sheetFormatPr baseColWidth="10" defaultRowHeight="14" x14ac:dyDescent="0.3"/>
  <cols>
    <col min="2" max="2" width="37.5" customWidth="1"/>
    <col min="4" max="4" width="53.796875" customWidth="1"/>
  </cols>
  <sheetData>
    <row r="1" spans="1:5" x14ac:dyDescent="0.3">
      <c r="A1" t="s">
        <v>1041</v>
      </c>
      <c r="B1" t="s">
        <v>1093</v>
      </c>
      <c r="C1" t="s">
        <v>1094</v>
      </c>
      <c r="D1" t="s">
        <v>1095</v>
      </c>
      <c r="E1" t="s">
        <v>1096</v>
      </c>
    </row>
    <row r="2" spans="1:5" x14ac:dyDescent="0.3">
      <c r="A2" s="96" t="s">
        <v>1097</v>
      </c>
      <c r="B2" s="96" t="s">
        <v>530</v>
      </c>
      <c r="C2" s="110">
        <v>3106209</v>
      </c>
      <c r="D2" s="115" t="s">
        <v>55</v>
      </c>
      <c r="E2" s="110">
        <v>2</v>
      </c>
    </row>
    <row r="3" spans="1:5" ht="27.95" x14ac:dyDescent="0.3">
      <c r="A3" s="96" t="s">
        <v>1062</v>
      </c>
      <c r="B3" s="96" t="s">
        <v>495</v>
      </c>
      <c r="C3" s="110" t="s">
        <v>1056</v>
      </c>
      <c r="D3" s="116" t="s">
        <v>75</v>
      </c>
      <c r="E3" s="110" t="s">
        <v>1098</v>
      </c>
    </row>
    <row r="4" spans="1:5" x14ac:dyDescent="0.3">
      <c r="A4" s="96" t="s">
        <v>1099</v>
      </c>
      <c r="B4" s="96" t="s">
        <v>1100</v>
      </c>
      <c r="C4" s="110">
        <v>3106201</v>
      </c>
      <c r="D4" s="117" t="s">
        <v>912</v>
      </c>
      <c r="E4" s="110" t="s">
        <v>328</v>
      </c>
    </row>
    <row r="5" spans="1:5" x14ac:dyDescent="0.3">
      <c r="A5" s="96" t="s">
        <v>1101</v>
      </c>
      <c r="B5" s="96" t="s">
        <v>1102</v>
      </c>
      <c r="C5" s="110">
        <v>3107822</v>
      </c>
      <c r="D5" s="100" t="s">
        <v>64</v>
      </c>
      <c r="E5" s="110">
        <v>3</v>
      </c>
    </row>
    <row r="6" spans="1:5" x14ac:dyDescent="0.3">
      <c r="A6" s="96" t="s">
        <v>1103</v>
      </c>
      <c r="B6" s="96" t="s">
        <v>1104</v>
      </c>
      <c r="C6" s="110" t="s">
        <v>1056</v>
      </c>
      <c r="D6" s="100" t="s">
        <v>75</v>
      </c>
      <c r="E6" s="110">
        <v>160</v>
      </c>
    </row>
    <row r="7" spans="1:5" x14ac:dyDescent="0.3">
      <c r="A7" s="96" t="s">
        <v>1105</v>
      </c>
      <c r="B7" s="96" t="s">
        <v>539</v>
      </c>
      <c r="C7" s="110" t="s">
        <v>1056</v>
      </c>
      <c r="D7" s="100" t="s">
        <v>75</v>
      </c>
      <c r="E7" s="110">
        <v>140</v>
      </c>
    </row>
    <row r="8" spans="1:5" x14ac:dyDescent="0.3">
      <c r="A8" s="96" t="s">
        <v>1106</v>
      </c>
      <c r="B8" s="96" t="s">
        <v>557</v>
      </c>
      <c r="C8" s="110" t="s">
        <v>1056</v>
      </c>
      <c r="D8" s="100" t="s">
        <v>75</v>
      </c>
      <c r="E8" s="118">
        <v>170</v>
      </c>
    </row>
    <row r="9" spans="1:5" x14ac:dyDescent="0.3">
      <c r="A9" s="96" t="s">
        <v>1080</v>
      </c>
      <c r="B9" s="96" t="s">
        <v>1081</v>
      </c>
      <c r="C9" s="110" t="s">
        <v>1056</v>
      </c>
      <c r="D9" s="119" t="s">
        <v>75</v>
      </c>
      <c r="E9" s="120" t="s">
        <v>1107</v>
      </c>
    </row>
    <row r="10" spans="1:5" x14ac:dyDescent="0.3">
      <c r="A10" s="96" t="s">
        <v>1108</v>
      </c>
      <c r="B10" s="96" t="s">
        <v>1109</v>
      </c>
      <c r="C10" s="110">
        <v>3106201</v>
      </c>
      <c r="D10" s="117" t="s">
        <v>912</v>
      </c>
      <c r="E10" s="121">
        <v>300</v>
      </c>
    </row>
    <row r="11" spans="1:5" x14ac:dyDescent="0.3">
      <c r="A11" s="122" t="s">
        <v>1110</v>
      </c>
      <c r="B11" s="122" t="s">
        <v>463</v>
      </c>
      <c r="C11" s="110">
        <v>3107822</v>
      </c>
      <c r="D11" s="117" t="s">
        <v>64</v>
      </c>
      <c r="E11" s="110">
        <v>2</v>
      </c>
    </row>
    <row r="12" spans="1:5" x14ac:dyDescent="0.3">
      <c r="A12" s="96" t="s">
        <v>1111</v>
      </c>
      <c r="B12" s="96" t="s">
        <v>1112</v>
      </c>
      <c r="C12" s="110">
        <v>3106201</v>
      </c>
      <c r="D12" s="117" t="s">
        <v>912</v>
      </c>
      <c r="E12" s="110">
        <v>150</v>
      </c>
    </row>
    <row r="13" spans="1:5" x14ac:dyDescent="0.3">
      <c r="A13" s="96" t="s">
        <v>1113</v>
      </c>
      <c r="B13" s="96" t="s">
        <v>1114</v>
      </c>
      <c r="C13" s="110">
        <v>3106201</v>
      </c>
      <c r="D13" s="117" t="s">
        <v>912</v>
      </c>
      <c r="E13" s="110">
        <v>100</v>
      </c>
    </row>
    <row r="14" spans="1:5" x14ac:dyDescent="0.3">
      <c r="A14" s="96" t="s">
        <v>1115</v>
      </c>
      <c r="B14" s="96" t="s">
        <v>1116</v>
      </c>
      <c r="C14" s="110">
        <v>3106201</v>
      </c>
      <c r="D14" s="117" t="s">
        <v>912</v>
      </c>
      <c r="E14" s="121">
        <v>130</v>
      </c>
    </row>
    <row r="15" spans="1:5" x14ac:dyDescent="0.3">
      <c r="A15" s="96" t="s">
        <v>1117</v>
      </c>
      <c r="B15" s="96" t="s">
        <v>489</v>
      </c>
      <c r="C15" s="110" t="s">
        <v>1056</v>
      </c>
      <c r="D15" s="117" t="s">
        <v>75</v>
      </c>
      <c r="E15" s="121">
        <v>195</v>
      </c>
    </row>
    <row r="16" spans="1:5" x14ac:dyDescent="0.3">
      <c r="A16" s="96" t="s">
        <v>1118</v>
      </c>
      <c r="B16" s="96" t="s">
        <v>1119</v>
      </c>
      <c r="C16" s="110" t="s">
        <v>1056</v>
      </c>
      <c r="D16" s="117" t="s">
        <v>75</v>
      </c>
      <c r="E16" s="121">
        <v>180</v>
      </c>
    </row>
    <row r="17" spans="1:5" x14ac:dyDescent="0.3">
      <c r="A17" s="96" t="s">
        <v>1120</v>
      </c>
      <c r="B17" s="96" t="s">
        <v>1121</v>
      </c>
      <c r="C17" s="110">
        <v>3107822</v>
      </c>
      <c r="D17" s="123" t="s">
        <v>64</v>
      </c>
      <c r="E17" s="110">
        <v>3</v>
      </c>
    </row>
    <row r="18" spans="1:5" x14ac:dyDescent="0.3">
      <c r="A18" s="96" t="s">
        <v>1122</v>
      </c>
      <c r="B18" s="96" t="s">
        <v>1123</v>
      </c>
      <c r="C18" s="110">
        <v>3106809</v>
      </c>
      <c r="D18" s="124" t="s">
        <v>1124</v>
      </c>
      <c r="E18" s="125">
        <v>100</v>
      </c>
    </row>
    <row r="19" spans="1:5" x14ac:dyDescent="0.3">
      <c r="A19" s="96" t="s">
        <v>1125</v>
      </c>
      <c r="B19" s="96" t="s">
        <v>1126</v>
      </c>
      <c r="C19" s="110" t="s">
        <v>1056</v>
      </c>
      <c r="D19" s="126" t="s">
        <v>75</v>
      </c>
      <c r="E19" s="110">
        <v>200</v>
      </c>
    </row>
    <row r="20" spans="1:5" x14ac:dyDescent="0.3">
      <c r="A20" s="96" t="s">
        <v>1127</v>
      </c>
      <c r="B20" s="96" t="s">
        <v>1128</v>
      </c>
      <c r="C20" s="110">
        <v>3107822</v>
      </c>
      <c r="D20" s="123" t="s">
        <v>64</v>
      </c>
      <c r="E20" s="110">
        <v>2</v>
      </c>
    </row>
    <row r="21" spans="1:5" x14ac:dyDescent="0.3">
      <c r="A21" s="96" t="s">
        <v>1129</v>
      </c>
      <c r="B21" s="96" t="s">
        <v>1130</v>
      </c>
      <c r="C21" s="110">
        <v>3106201</v>
      </c>
      <c r="D21" s="123" t="s">
        <v>912</v>
      </c>
      <c r="E21" s="110">
        <v>300</v>
      </c>
    </row>
    <row r="22" spans="1:5" x14ac:dyDescent="0.3">
      <c r="A22" s="96" t="s">
        <v>1131</v>
      </c>
      <c r="B22" s="96" t="s">
        <v>1132</v>
      </c>
      <c r="C22" s="110">
        <v>3106201</v>
      </c>
      <c r="D22" s="123" t="s">
        <v>912</v>
      </c>
      <c r="E22" s="110">
        <v>300</v>
      </c>
    </row>
    <row r="23" spans="1:5" x14ac:dyDescent="0.3">
      <c r="A23" s="96" t="s">
        <v>1052</v>
      </c>
      <c r="B23" s="96" t="s">
        <v>1053</v>
      </c>
      <c r="C23" s="127" t="s">
        <v>1056</v>
      </c>
      <c r="D23" s="100" t="s">
        <v>75</v>
      </c>
      <c r="E23" s="127" t="s">
        <v>1060</v>
      </c>
    </row>
    <row r="24" spans="1:5" x14ac:dyDescent="0.3">
      <c r="A24" s="96" t="s">
        <v>1133</v>
      </c>
      <c r="B24" s="96" t="s">
        <v>1134</v>
      </c>
      <c r="C24" s="127">
        <v>3107822</v>
      </c>
      <c r="D24" s="100" t="s">
        <v>64</v>
      </c>
      <c r="E24" s="127">
        <v>2</v>
      </c>
    </row>
    <row r="25" spans="1:5" x14ac:dyDescent="0.3">
      <c r="A25" s="96" t="s">
        <v>1135</v>
      </c>
      <c r="B25" s="96" t="s">
        <v>1136</v>
      </c>
      <c r="C25" s="127" t="s">
        <v>1056</v>
      </c>
      <c r="D25" s="100" t="s">
        <v>75</v>
      </c>
      <c r="E25" s="127">
        <v>300</v>
      </c>
    </row>
    <row r="26" spans="1:5" x14ac:dyDescent="0.3">
      <c r="A26" s="96" t="s">
        <v>1137</v>
      </c>
      <c r="B26" s="96" t="s">
        <v>1138</v>
      </c>
      <c r="C26" s="127" t="s">
        <v>1056</v>
      </c>
      <c r="D26" s="100" t="s">
        <v>75</v>
      </c>
      <c r="E26" s="127">
        <v>2</v>
      </c>
    </row>
    <row r="27" spans="1:5" x14ac:dyDescent="0.3">
      <c r="A27" s="96" t="s">
        <v>1139</v>
      </c>
      <c r="B27" s="96" t="s">
        <v>497</v>
      </c>
      <c r="C27" s="127">
        <v>3107822</v>
      </c>
      <c r="D27" s="100" t="s">
        <v>64</v>
      </c>
      <c r="E27" s="127">
        <v>2</v>
      </c>
    </row>
    <row r="28" spans="1:5" x14ac:dyDescent="0.3">
      <c r="A28" s="96" t="s">
        <v>1140</v>
      </c>
      <c r="B28" s="96" t="s">
        <v>1141</v>
      </c>
      <c r="C28" s="127" t="s">
        <v>1056</v>
      </c>
      <c r="D28" s="100" t="s">
        <v>75</v>
      </c>
      <c r="E28" s="127">
        <v>190</v>
      </c>
    </row>
    <row r="29" spans="1:5" x14ac:dyDescent="0.3">
      <c r="A29" s="96" t="s">
        <v>1142</v>
      </c>
      <c r="B29" s="96" t="s">
        <v>1143</v>
      </c>
      <c r="C29" s="127" t="s">
        <v>1056</v>
      </c>
      <c r="D29" s="100" t="s">
        <v>75</v>
      </c>
      <c r="E29" s="127">
        <v>140</v>
      </c>
    </row>
    <row r="30" spans="1:5" x14ac:dyDescent="0.3">
      <c r="A30" s="96" t="s">
        <v>1144</v>
      </c>
      <c r="B30" s="96" t="s">
        <v>1145</v>
      </c>
      <c r="C30" s="127">
        <v>3107822</v>
      </c>
      <c r="D30" s="100" t="s">
        <v>64</v>
      </c>
      <c r="E30" s="127">
        <v>2</v>
      </c>
    </row>
    <row r="31" spans="1:5" x14ac:dyDescent="0.3">
      <c r="A31" s="96" t="s">
        <v>1146</v>
      </c>
      <c r="B31" s="96" t="s">
        <v>1147</v>
      </c>
      <c r="C31" s="127">
        <v>3107822</v>
      </c>
      <c r="D31" s="100" t="s">
        <v>64</v>
      </c>
      <c r="E31" s="127">
        <v>2</v>
      </c>
    </row>
    <row r="32" spans="1:5" x14ac:dyDescent="0.3">
      <c r="A32" s="96" t="s">
        <v>1148</v>
      </c>
      <c r="B32" s="96" t="s">
        <v>1149</v>
      </c>
      <c r="C32" s="110">
        <v>3106201</v>
      </c>
      <c r="D32" s="123" t="s">
        <v>912</v>
      </c>
      <c r="E32" s="110" t="s">
        <v>41</v>
      </c>
    </row>
    <row r="33" spans="1:5" x14ac:dyDescent="0.3">
      <c r="A33" s="96" t="s">
        <v>1150</v>
      </c>
      <c r="B33" s="96" t="s">
        <v>1151</v>
      </c>
      <c r="C33" s="110">
        <v>3102104</v>
      </c>
      <c r="D33" s="123" t="s">
        <v>67</v>
      </c>
      <c r="E33" s="110">
        <v>100</v>
      </c>
    </row>
    <row r="34" spans="1:5" x14ac:dyDescent="0.3">
      <c r="A34" s="96" t="s">
        <v>1152</v>
      </c>
      <c r="B34" s="96" t="s">
        <v>1153</v>
      </c>
      <c r="C34" s="127" t="s">
        <v>1056</v>
      </c>
      <c r="D34" s="100" t="s">
        <v>75</v>
      </c>
      <c r="E34" s="127">
        <v>190</v>
      </c>
    </row>
    <row r="35" spans="1:5" x14ac:dyDescent="0.3">
      <c r="A35" s="96" t="s">
        <v>1154</v>
      </c>
      <c r="B35" s="96" t="s">
        <v>1155</v>
      </c>
      <c r="C35" s="110">
        <v>3106201</v>
      </c>
      <c r="D35" s="123" t="s">
        <v>912</v>
      </c>
      <c r="E35" s="127">
        <v>195</v>
      </c>
    </row>
    <row r="36" spans="1:5" x14ac:dyDescent="0.3">
      <c r="A36" s="96" t="s">
        <v>1156</v>
      </c>
      <c r="B36" s="96" t="s">
        <v>1157</v>
      </c>
      <c r="C36" s="110">
        <v>3106201</v>
      </c>
      <c r="D36" s="123" t="s">
        <v>912</v>
      </c>
      <c r="E36" s="127">
        <v>300</v>
      </c>
    </row>
    <row r="37" spans="1:5" x14ac:dyDescent="0.3">
      <c r="A37" s="96" t="s">
        <v>1158</v>
      </c>
      <c r="B37" s="96" t="s">
        <v>1159</v>
      </c>
      <c r="C37" s="127">
        <v>3107822</v>
      </c>
      <c r="D37" s="100" t="s">
        <v>64</v>
      </c>
      <c r="E37" s="110">
        <v>3</v>
      </c>
    </row>
    <row r="38" spans="1:5" x14ac:dyDescent="0.3">
      <c r="A38" s="96" t="s">
        <v>1160</v>
      </c>
      <c r="B38" s="96" t="s">
        <v>1161</v>
      </c>
      <c r="C38" s="127">
        <v>3107822</v>
      </c>
      <c r="D38" s="100" t="s">
        <v>64</v>
      </c>
      <c r="E38" s="110" t="s">
        <v>41</v>
      </c>
    </row>
    <row r="39" spans="1:5" x14ac:dyDescent="0.3">
      <c r="A39" s="96" t="s">
        <v>1162</v>
      </c>
      <c r="B39" s="96" t="s">
        <v>1163</v>
      </c>
      <c r="C39" s="110">
        <v>3106201</v>
      </c>
      <c r="D39" s="123" t="s">
        <v>912</v>
      </c>
      <c r="E39" s="110" t="s">
        <v>41</v>
      </c>
    </row>
    <row r="40" spans="1:5" x14ac:dyDescent="0.3">
      <c r="A40" s="96" t="s">
        <v>1164</v>
      </c>
      <c r="B40" s="96" t="s">
        <v>1165</v>
      </c>
      <c r="C40" s="127">
        <v>3107822</v>
      </c>
      <c r="D40" s="100" t="s">
        <v>64</v>
      </c>
      <c r="E40" s="110">
        <v>3</v>
      </c>
    </row>
    <row r="41" spans="1:5" x14ac:dyDescent="0.3">
      <c r="A41" s="96" t="s">
        <v>1166</v>
      </c>
      <c r="B41" s="96" t="s">
        <v>1167</v>
      </c>
      <c r="C41" s="127">
        <v>3106201</v>
      </c>
      <c r="D41" s="100" t="s">
        <v>912</v>
      </c>
      <c r="E41" s="127">
        <v>200</v>
      </c>
    </row>
    <row r="42" spans="1:5" x14ac:dyDescent="0.3">
      <c r="A42" s="96" t="s">
        <v>1168</v>
      </c>
      <c r="B42" s="96" t="s">
        <v>1169</v>
      </c>
      <c r="C42" s="127">
        <v>3107822</v>
      </c>
      <c r="D42" s="100" t="s">
        <v>64</v>
      </c>
      <c r="E42" s="110">
        <v>3</v>
      </c>
    </row>
    <row r="43" spans="1:5" x14ac:dyDescent="0.3">
      <c r="A43" s="96" t="s">
        <v>1170</v>
      </c>
      <c r="B43" s="96" t="s">
        <v>487</v>
      </c>
      <c r="C43" s="127">
        <v>3107822</v>
      </c>
      <c r="D43" s="100" t="s">
        <v>64</v>
      </c>
      <c r="E43" s="127">
        <v>200</v>
      </c>
    </row>
    <row r="44" spans="1:5" x14ac:dyDescent="0.3">
      <c r="A44" s="96" t="s">
        <v>1171</v>
      </c>
      <c r="B44" s="96" t="s">
        <v>1172</v>
      </c>
      <c r="C44" s="127">
        <v>3107822</v>
      </c>
      <c r="D44" s="100" t="s">
        <v>64</v>
      </c>
      <c r="E44" s="110">
        <v>3</v>
      </c>
    </row>
    <row r="45" spans="1:5" x14ac:dyDescent="0.3">
      <c r="A45" s="96" t="s">
        <v>1173</v>
      </c>
      <c r="B45" s="96" t="s">
        <v>1174</v>
      </c>
      <c r="C45" s="127" t="s">
        <v>1056</v>
      </c>
      <c r="D45" s="100" t="s">
        <v>75</v>
      </c>
      <c r="E45" s="110">
        <v>190</v>
      </c>
    </row>
    <row r="46" spans="1:5" x14ac:dyDescent="0.3">
      <c r="A46" s="96" t="s">
        <v>1175</v>
      </c>
      <c r="B46" s="96" t="s">
        <v>1176</v>
      </c>
      <c r="C46" s="127">
        <v>3106201</v>
      </c>
      <c r="D46" s="100" t="s">
        <v>912</v>
      </c>
      <c r="E46" s="110">
        <v>2</v>
      </c>
    </row>
    <row r="47" spans="1:5" x14ac:dyDescent="0.3">
      <c r="A47" s="96" t="s">
        <v>1177</v>
      </c>
      <c r="B47" s="96" t="s">
        <v>1178</v>
      </c>
      <c r="C47" s="127">
        <v>3106201</v>
      </c>
      <c r="D47" s="100" t="s">
        <v>912</v>
      </c>
      <c r="E47" s="110">
        <v>2</v>
      </c>
    </row>
    <row r="48" spans="1:5" x14ac:dyDescent="0.3">
      <c r="A48" s="96" t="s">
        <v>1177</v>
      </c>
      <c r="B48" s="96" t="s">
        <v>1178</v>
      </c>
      <c r="C48" s="127">
        <v>3106201</v>
      </c>
      <c r="D48" s="100" t="s">
        <v>912</v>
      </c>
      <c r="E48" s="110">
        <v>2</v>
      </c>
    </row>
    <row r="49" spans="1:5" x14ac:dyDescent="0.3">
      <c r="A49" s="96" t="s">
        <v>1086</v>
      </c>
      <c r="B49" s="96" t="s">
        <v>1087</v>
      </c>
      <c r="C49" s="127" t="s">
        <v>1056</v>
      </c>
      <c r="D49" s="100" t="s">
        <v>75</v>
      </c>
      <c r="E49" s="110" t="s">
        <v>1179</v>
      </c>
    </row>
    <row r="50" spans="1:5" x14ac:dyDescent="0.3">
      <c r="A50" s="96" t="s">
        <v>1180</v>
      </c>
      <c r="B50" s="96" t="s">
        <v>1181</v>
      </c>
      <c r="C50" s="127" t="s">
        <v>1056</v>
      </c>
      <c r="D50" s="100" t="s">
        <v>75</v>
      </c>
      <c r="E50" s="110">
        <v>300</v>
      </c>
    </row>
    <row r="51" spans="1:5" x14ac:dyDescent="0.3">
      <c r="A51" s="128" t="s">
        <v>1182</v>
      </c>
      <c r="B51" s="128" t="s">
        <v>1183</v>
      </c>
      <c r="C51" s="129">
        <v>3106201</v>
      </c>
      <c r="D51" s="130" t="s">
        <v>912</v>
      </c>
      <c r="E51" s="129">
        <v>2</v>
      </c>
    </row>
    <row r="52" spans="1:5" x14ac:dyDescent="0.3">
      <c r="A52" s="96" t="s">
        <v>1083</v>
      </c>
      <c r="B52" s="96" t="s">
        <v>1084</v>
      </c>
      <c r="C52" s="127" t="s">
        <v>1056</v>
      </c>
      <c r="D52" s="100" t="s">
        <v>75</v>
      </c>
      <c r="E52" s="131">
        <v>195</v>
      </c>
    </row>
    <row r="53" spans="1:5" x14ac:dyDescent="0.3">
      <c r="A53" s="96" t="s">
        <v>1175</v>
      </c>
      <c r="B53" s="96" t="s">
        <v>1176</v>
      </c>
      <c r="C53" s="127">
        <v>3106201</v>
      </c>
      <c r="D53" s="100" t="s">
        <v>1067</v>
      </c>
      <c r="E53" s="131">
        <v>2</v>
      </c>
    </row>
    <row r="54" spans="1:5" x14ac:dyDescent="0.3">
      <c r="A54" s="96" t="s">
        <v>1184</v>
      </c>
      <c r="B54" s="96" t="s">
        <v>1185</v>
      </c>
      <c r="C54" s="127">
        <v>3106201</v>
      </c>
      <c r="D54" s="100" t="s">
        <v>912</v>
      </c>
      <c r="E54" s="131" t="s">
        <v>41</v>
      </c>
    </row>
    <row r="55" spans="1:5" x14ac:dyDescent="0.3">
      <c r="A55" s="96" t="s">
        <v>1186</v>
      </c>
      <c r="B55" s="96" t="s">
        <v>1187</v>
      </c>
      <c r="C55" s="127">
        <v>3107822</v>
      </c>
      <c r="D55" s="100" t="s">
        <v>64</v>
      </c>
      <c r="E55" s="110">
        <v>3</v>
      </c>
    </row>
    <row r="56" spans="1:5" x14ac:dyDescent="0.3">
      <c r="A56" s="96" t="s">
        <v>1188</v>
      </c>
      <c r="B56" s="96" t="s">
        <v>503</v>
      </c>
      <c r="C56" s="127">
        <v>3107822</v>
      </c>
      <c r="D56" s="100" t="s">
        <v>64</v>
      </c>
      <c r="E56" s="110">
        <v>3</v>
      </c>
    </row>
    <row r="57" spans="1:5" x14ac:dyDescent="0.3">
      <c r="A57" s="96" t="s">
        <v>1189</v>
      </c>
      <c r="B57" s="96" t="s">
        <v>1190</v>
      </c>
      <c r="C57" s="127">
        <v>3107822</v>
      </c>
      <c r="D57" s="100" t="s">
        <v>64</v>
      </c>
      <c r="E57" s="110">
        <v>3</v>
      </c>
    </row>
    <row r="58" spans="1:5" x14ac:dyDescent="0.3">
      <c r="A58" s="96" t="s">
        <v>1191</v>
      </c>
      <c r="B58" s="96" t="s">
        <v>1192</v>
      </c>
      <c r="C58" s="127">
        <v>3107822</v>
      </c>
      <c r="D58" s="100" t="s">
        <v>64</v>
      </c>
      <c r="E58" s="110">
        <v>3</v>
      </c>
    </row>
    <row r="59" spans="1:5" x14ac:dyDescent="0.3">
      <c r="A59" s="96" t="s">
        <v>1193</v>
      </c>
      <c r="B59" s="96" t="s">
        <v>1194</v>
      </c>
      <c r="C59" s="127">
        <v>3107822</v>
      </c>
      <c r="D59" s="100" t="s">
        <v>64</v>
      </c>
      <c r="E59" s="110">
        <v>3</v>
      </c>
    </row>
    <row r="60" spans="1:5" x14ac:dyDescent="0.3">
      <c r="A60" s="96" t="s">
        <v>1195</v>
      </c>
      <c r="B60" s="96" t="s">
        <v>528</v>
      </c>
      <c r="C60" s="127">
        <v>3107822</v>
      </c>
      <c r="D60" s="100" t="s">
        <v>64</v>
      </c>
      <c r="E60" s="131" t="s">
        <v>41</v>
      </c>
    </row>
    <row r="61" spans="1:5" x14ac:dyDescent="0.3">
      <c r="A61" s="96" t="s">
        <v>1196</v>
      </c>
      <c r="B61" s="96" t="s">
        <v>1197</v>
      </c>
      <c r="C61" s="127" t="s">
        <v>1056</v>
      </c>
      <c r="D61" s="100" t="s">
        <v>75</v>
      </c>
      <c r="E61" s="118">
        <v>300</v>
      </c>
    </row>
    <row r="62" spans="1:5" x14ac:dyDescent="0.3">
      <c r="A62" s="96" t="s">
        <v>1198</v>
      </c>
      <c r="B62" s="96" t="s">
        <v>1199</v>
      </c>
      <c r="C62" s="127" t="s">
        <v>1056</v>
      </c>
      <c r="D62" s="100" t="s">
        <v>75</v>
      </c>
      <c r="E62" s="125">
        <v>300</v>
      </c>
    </row>
    <row r="63" spans="1:5" x14ac:dyDescent="0.3">
      <c r="A63" s="96" t="s">
        <v>1072</v>
      </c>
      <c r="B63" s="96" t="s">
        <v>1073</v>
      </c>
      <c r="C63" s="127" t="s">
        <v>1056</v>
      </c>
      <c r="D63" s="119" t="s">
        <v>75</v>
      </c>
      <c r="E63" s="120" t="s">
        <v>1200</v>
      </c>
    </row>
    <row r="64" spans="1:5" x14ac:dyDescent="0.3">
      <c r="A64" s="96" t="s">
        <v>1064</v>
      </c>
      <c r="B64" s="96" t="s">
        <v>1065</v>
      </c>
      <c r="C64" s="127">
        <v>3106201</v>
      </c>
      <c r="D64" s="100" t="s">
        <v>1067</v>
      </c>
      <c r="E64" s="131">
        <v>2</v>
      </c>
    </row>
    <row r="65" spans="1:5" x14ac:dyDescent="0.3">
      <c r="A65" s="96" t="s">
        <v>1069</v>
      </c>
      <c r="B65" s="96" t="s">
        <v>1070</v>
      </c>
      <c r="C65" s="127">
        <v>3107822</v>
      </c>
      <c r="D65" s="100" t="s">
        <v>64</v>
      </c>
      <c r="E65" s="110">
        <v>3</v>
      </c>
    </row>
    <row r="66" spans="1:5" x14ac:dyDescent="0.3">
      <c r="A66" s="96" t="s">
        <v>1076</v>
      </c>
      <c r="B66" s="96" t="s">
        <v>1077</v>
      </c>
      <c r="C66" s="127">
        <v>3107822</v>
      </c>
      <c r="D66" s="100" t="s">
        <v>64</v>
      </c>
      <c r="E66" s="110">
        <v>3</v>
      </c>
    </row>
    <row r="67" spans="1:5" x14ac:dyDescent="0.3">
      <c r="A67" s="96" t="s">
        <v>1089</v>
      </c>
      <c r="B67" s="96" t="s">
        <v>1090</v>
      </c>
      <c r="C67" s="127">
        <v>3107822</v>
      </c>
      <c r="D67" s="100" t="s">
        <v>64</v>
      </c>
      <c r="E67" s="110">
        <v>3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6BDE-4157-4E65-B94B-8950F75DF939}">
  <sheetPr>
    <tabColor rgb="FF002060"/>
  </sheetPr>
  <dimension ref="A1:T84"/>
  <sheetViews>
    <sheetView showGridLines="0" workbookViewId="0">
      <selection activeCell="Q12" sqref="Q12"/>
    </sheetView>
  </sheetViews>
  <sheetFormatPr baseColWidth="10" defaultRowHeight="14" x14ac:dyDescent="0.3"/>
  <cols>
    <col min="2" max="2" width="26.69921875" bestFit="1" customWidth="1"/>
    <col min="3" max="3" width="2.5" customWidth="1"/>
    <col min="5" max="5" width="26.69921875" bestFit="1" customWidth="1"/>
    <col min="6" max="6" width="3.796875" customWidth="1"/>
    <col min="8" max="8" width="26.69921875" bestFit="1" customWidth="1"/>
    <col min="9" max="9" width="3.796875" customWidth="1"/>
    <col min="10" max="10" width="11.296875" customWidth="1"/>
    <col min="11" max="11" width="20.796875" customWidth="1"/>
    <col min="12" max="12" width="4.5" customWidth="1"/>
    <col min="14" max="14" width="19" bestFit="1" customWidth="1"/>
    <col min="15" max="15" width="5.19921875" customWidth="1"/>
    <col min="17" max="17" width="19" bestFit="1" customWidth="1"/>
    <col min="18" max="18" width="5" customWidth="1"/>
    <col min="20" max="20" width="18.69921875" customWidth="1"/>
  </cols>
  <sheetData>
    <row r="1" spans="1:20" ht="18.8" customHeight="1" x14ac:dyDescent="0.3"/>
    <row r="2" spans="1:20" x14ac:dyDescent="0.3">
      <c r="A2" s="71" t="s">
        <v>969</v>
      </c>
      <c r="B2" s="72">
        <v>14</v>
      </c>
      <c r="C2" s="73"/>
      <c r="D2" s="71" t="s">
        <v>969</v>
      </c>
      <c r="E2" s="72">
        <v>13</v>
      </c>
      <c r="F2" s="73"/>
      <c r="G2" s="71" t="s">
        <v>969</v>
      </c>
      <c r="H2" s="72">
        <v>11</v>
      </c>
      <c r="I2" s="73"/>
      <c r="J2" s="71" t="s">
        <v>969</v>
      </c>
      <c r="K2" s="72">
        <v>10</v>
      </c>
      <c r="M2" s="71" t="s">
        <v>202</v>
      </c>
      <c r="N2" s="72"/>
      <c r="P2" s="71" t="s">
        <v>332</v>
      </c>
      <c r="Q2" s="72"/>
      <c r="S2" s="76"/>
      <c r="T2" s="76"/>
    </row>
    <row r="3" spans="1:20" x14ac:dyDescent="0.3">
      <c r="A3" s="74"/>
      <c r="B3" s="75"/>
      <c r="C3" s="76"/>
      <c r="D3" s="74"/>
      <c r="E3" s="75"/>
      <c r="F3" s="76"/>
      <c r="G3" s="74"/>
      <c r="H3" s="75"/>
      <c r="I3" s="76"/>
      <c r="J3" s="74"/>
      <c r="K3" s="75"/>
      <c r="M3" s="74">
        <v>100</v>
      </c>
      <c r="N3" s="75" t="s">
        <v>970</v>
      </c>
      <c r="P3" s="74">
        <v>2</v>
      </c>
      <c r="Q3" s="75" t="s">
        <v>971</v>
      </c>
    </row>
    <row r="4" spans="1:20" x14ac:dyDescent="0.3">
      <c r="A4" s="74">
        <v>2</v>
      </c>
      <c r="B4" s="75" t="s">
        <v>971</v>
      </c>
      <c r="C4" s="77"/>
      <c r="D4" s="74">
        <v>2</v>
      </c>
      <c r="E4" s="75" t="s">
        <v>971</v>
      </c>
      <c r="F4" s="78"/>
      <c r="G4" s="74">
        <v>2</v>
      </c>
      <c r="H4" s="75" t="s">
        <v>971</v>
      </c>
      <c r="I4" s="78"/>
      <c r="J4" s="74">
        <v>130</v>
      </c>
      <c r="K4" s="75" t="s">
        <v>972</v>
      </c>
      <c r="M4" s="74">
        <v>130</v>
      </c>
      <c r="N4" s="75" t="s">
        <v>972</v>
      </c>
      <c r="P4" s="74">
        <v>130</v>
      </c>
      <c r="Q4" s="75" t="s">
        <v>972</v>
      </c>
    </row>
    <row r="5" spans="1:20" x14ac:dyDescent="0.3">
      <c r="A5" s="74">
        <v>130</v>
      </c>
      <c r="B5" s="75" t="s">
        <v>972</v>
      </c>
      <c r="C5" s="77"/>
      <c r="D5" s="74">
        <v>130</v>
      </c>
      <c r="E5" s="75" t="s">
        <v>972</v>
      </c>
      <c r="F5" s="78"/>
      <c r="G5" s="74">
        <v>130</v>
      </c>
      <c r="H5" s="75" t="s">
        <v>972</v>
      </c>
      <c r="I5" s="78"/>
      <c r="J5" s="74">
        <v>140</v>
      </c>
      <c r="K5" s="75" t="s">
        <v>973</v>
      </c>
      <c r="M5" s="74">
        <v>140</v>
      </c>
      <c r="N5" s="75" t="s">
        <v>973</v>
      </c>
      <c r="P5" s="74">
        <v>140</v>
      </c>
      <c r="Q5" s="75" t="s">
        <v>973</v>
      </c>
    </row>
    <row r="6" spans="1:20" x14ac:dyDescent="0.3">
      <c r="A6" s="74">
        <v>140</v>
      </c>
      <c r="B6" s="75" t="s">
        <v>973</v>
      </c>
      <c r="C6" s="77"/>
      <c r="D6" s="74">
        <v>140</v>
      </c>
      <c r="E6" s="75" t="s">
        <v>973</v>
      </c>
      <c r="F6" s="78"/>
      <c r="G6" s="74">
        <v>140</v>
      </c>
      <c r="H6" s="75" t="s">
        <v>973</v>
      </c>
      <c r="I6" s="78"/>
      <c r="J6" s="74">
        <v>150</v>
      </c>
      <c r="K6" s="75" t="s">
        <v>974</v>
      </c>
      <c r="M6" s="74">
        <v>150</v>
      </c>
      <c r="N6" s="75" t="s">
        <v>974</v>
      </c>
      <c r="P6" s="74">
        <v>150</v>
      </c>
      <c r="Q6" s="75" t="s">
        <v>974</v>
      </c>
    </row>
    <row r="7" spans="1:20" x14ac:dyDescent="0.3">
      <c r="A7" s="74">
        <v>150</v>
      </c>
      <c r="B7" s="75" t="s">
        <v>974</v>
      </c>
      <c r="C7" s="77"/>
      <c r="D7" s="74">
        <v>150</v>
      </c>
      <c r="E7" s="75" t="s">
        <v>974</v>
      </c>
      <c r="F7" s="78"/>
      <c r="G7" s="74">
        <v>150</v>
      </c>
      <c r="H7" s="75" t="s">
        <v>974</v>
      </c>
      <c r="I7" s="78"/>
      <c r="J7" s="74">
        <v>170</v>
      </c>
      <c r="K7" s="75" t="s">
        <v>975</v>
      </c>
      <c r="M7" s="74">
        <v>170</v>
      </c>
      <c r="N7" s="75" t="s">
        <v>975</v>
      </c>
      <c r="P7" s="74">
        <v>170</v>
      </c>
      <c r="Q7" s="75" t="s">
        <v>975</v>
      </c>
    </row>
    <row r="8" spans="1:20" x14ac:dyDescent="0.3">
      <c r="A8" s="74">
        <v>170</v>
      </c>
      <c r="B8" s="75" t="s">
        <v>975</v>
      </c>
      <c r="C8" s="77"/>
      <c r="D8" s="74">
        <v>170</v>
      </c>
      <c r="E8" s="75" t="s">
        <v>975</v>
      </c>
      <c r="F8" s="78"/>
      <c r="G8" s="74">
        <v>170</v>
      </c>
      <c r="H8" s="75" t="s">
        <v>975</v>
      </c>
      <c r="I8" s="78"/>
      <c r="J8" s="74">
        <v>180</v>
      </c>
      <c r="K8" s="75" t="s">
        <v>261</v>
      </c>
      <c r="M8" s="74">
        <v>180</v>
      </c>
      <c r="N8" s="75" t="s">
        <v>261</v>
      </c>
      <c r="P8" s="74">
        <v>180</v>
      </c>
      <c r="Q8" s="75" t="s">
        <v>261</v>
      </c>
    </row>
    <row r="9" spans="1:20" x14ac:dyDescent="0.3">
      <c r="A9" s="74">
        <v>180</v>
      </c>
      <c r="B9" s="75" t="s">
        <v>261</v>
      </c>
      <c r="C9" s="77"/>
      <c r="D9" s="74">
        <v>180</v>
      </c>
      <c r="E9" s="75" t="s">
        <v>261</v>
      </c>
      <c r="F9" s="78"/>
      <c r="G9" s="74">
        <v>180</v>
      </c>
      <c r="H9" s="75" t="s">
        <v>261</v>
      </c>
      <c r="I9" s="78"/>
      <c r="J9" s="74">
        <v>190</v>
      </c>
      <c r="K9" s="75" t="s">
        <v>976</v>
      </c>
      <c r="M9" s="74">
        <v>190</v>
      </c>
      <c r="N9" s="75" t="s">
        <v>976</v>
      </c>
      <c r="P9" s="74">
        <v>190</v>
      </c>
      <c r="Q9" s="75" t="s">
        <v>976</v>
      </c>
    </row>
    <row r="10" spans="1:20" x14ac:dyDescent="0.3">
      <c r="A10" s="74">
        <v>190</v>
      </c>
      <c r="B10" s="75" t="s">
        <v>976</v>
      </c>
      <c r="C10" s="77"/>
      <c r="D10" s="74">
        <v>190</v>
      </c>
      <c r="E10" s="75" t="s">
        <v>976</v>
      </c>
      <c r="F10" s="78"/>
      <c r="G10" s="74">
        <v>190</v>
      </c>
      <c r="H10" s="75" t="s">
        <v>976</v>
      </c>
      <c r="I10" s="78"/>
      <c r="J10" s="74">
        <v>195</v>
      </c>
      <c r="K10" s="75" t="s">
        <v>977</v>
      </c>
      <c r="M10" s="74">
        <v>195</v>
      </c>
      <c r="N10" s="75" t="s">
        <v>977</v>
      </c>
      <c r="P10" s="74">
        <v>195</v>
      </c>
      <c r="Q10" s="75" t="s">
        <v>977</v>
      </c>
    </row>
    <row r="11" spans="1:20" x14ac:dyDescent="0.3">
      <c r="A11" s="74">
        <v>195</v>
      </c>
      <c r="B11" s="75" t="s">
        <v>977</v>
      </c>
      <c r="C11" s="77"/>
      <c r="D11" s="74">
        <v>195</v>
      </c>
      <c r="E11" s="75" t="s">
        <v>977</v>
      </c>
      <c r="F11" s="78"/>
      <c r="G11" s="74">
        <v>195</v>
      </c>
      <c r="H11" s="75" t="s">
        <v>977</v>
      </c>
      <c r="I11" s="78"/>
      <c r="J11" s="74">
        <v>200</v>
      </c>
      <c r="K11" s="75" t="s">
        <v>978</v>
      </c>
      <c r="M11" s="74"/>
      <c r="N11" s="75"/>
      <c r="P11" s="74">
        <v>200</v>
      </c>
      <c r="Q11" s="75" t="s">
        <v>978</v>
      </c>
    </row>
    <row r="12" spans="1:20" x14ac:dyDescent="0.3">
      <c r="A12" s="74">
        <v>200</v>
      </c>
      <c r="B12" s="75" t="s">
        <v>978</v>
      </c>
      <c r="C12" s="77"/>
      <c r="D12" s="74">
        <v>210</v>
      </c>
      <c r="E12" s="75" t="s">
        <v>979</v>
      </c>
      <c r="F12" s="78"/>
      <c r="G12" s="74">
        <v>200</v>
      </c>
      <c r="H12" s="75" t="s">
        <v>978</v>
      </c>
      <c r="I12" s="78"/>
      <c r="J12" s="74">
        <v>210</v>
      </c>
      <c r="K12" s="75" t="s">
        <v>979</v>
      </c>
      <c r="M12" s="79"/>
      <c r="N12" s="80"/>
      <c r="P12" s="74">
        <v>210</v>
      </c>
      <c r="Q12" s="75" t="s">
        <v>979</v>
      </c>
    </row>
    <row r="13" spans="1:20" x14ac:dyDescent="0.3">
      <c r="A13" s="74">
        <v>210</v>
      </c>
      <c r="B13" s="75" t="s">
        <v>979</v>
      </c>
      <c r="C13" s="78"/>
      <c r="D13" s="74">
        <v>200</v>
      </c>
      <c r="E13" s="75" t="s">
        <v>978</v>
      </c>
      <c r="F13" s="78"/>
      <c r="G13" s="74">
        <v>210</v>
      </c>
      <c r="H13" s="75" t="s">
        <v>979</v>
      </c>
      <c r="I13" s="78"/>
      <c r="J13" s="79"/>
      <c r="K13" s="80"/>
      <c r="P13" s="74">
        <v>300</v>
      </c>
      <c r="Q13" s="75" t="s">
        <v>980</v>
      </c>
    </row>
    <row r="14" spans="1:20" x14ac:dyDescent="0.3">
      <c r="A14" s="74">
        <v>500</v>
      </c>
      <c r="B14" s="75" t="s">
        <v>981</v>
      </c>
      <c r="C14" s="78"/>
      <c r="D14" s="74">
        <v>300</v>
      </c>
      <c r="E14" s="75" t="s">
        <v>980</v>
      </c>
      <c r="F14" s="78"/>
      <c r="G14" s="79"/>
      <c r="H14" s="80"/>
      <c r="I14" s="78"/>
      <c r="P14" s="74">
        <v>100</v>
      </c>
      <c r="Q14" s="75" t="s">
        <v>970</v>
      </c>
    </row>
    <row r="15" spans="1:20" x14ac:dyDescent="0.3">
      <c r="A15" s="74">
        <v>300</v>
      </c>
      <c r="B15" s="75" t="s">
        <v>982</v>
      </c>
      <c r="D15" s="74">
        <v>100</v>
      </c>
      <c r="E15" s="75" t="s">
        <v>970</v>
      </c>
      <c r="P15" s="79"/>
      <c r="Q15" s="80"/>
    </row>
    <row r="16" spans="1:20" x14ac:dyDescent="0.3">
      <c r="A16" s="74">
        <v>100</v>
      </c>
      <c r="B16" s="75" t="s">
        <v>970</v>
      </c>
      <c r="D16" s="79"/>
      <c r="E16" s="80"/>
    </row>
    <row r="17" spans="1:11" x14ac:dyDescent="0.3">
      <c r="A17" s="79"/>
      <c r="B17" s="80"/>
    </row>
    <row r="20" spans="1:11" x14ac:dyDescent="0.3">
      <c r="E20" t="s">
        <v>983</v>
      </c>
    </row>
    <row r="21" spans="1:11" x14ac:dyDescent="0.3">
      <c r="B21" t="s">
        <v>984</v>
      </c>
    </row>
    <row r="22" spans="1:11" x14ac:dyDescent="0.3">
      <c r="K22" t="s">
        <v>985</v>
      </c>
    </row>
    <row r="23" spans="1:11" x14ac:dyDescent="0.3">
      <c r="G23" t="s">
        <v>986</v>
      </c>
    </row>
    <row r="24" spans="1:11" x14ac:dyDescent="0.3">
      <c r="E24" s="81" t="s">
        <v>971</v>
      </c>
      <c r="F24" s="81"/>
      <c r="G24" s="81">
        <v>2</v>
      </c>
      <c r="H24" s="82">
        <v>2</v>
      </c>
    </row>
    <row r="26" spans="1:11" x14ac:dyDescent="0.3">
      <c r="E26" s="81" t="s">
        <v>980</v>
      </c>
      <c r="F26" s="81"/>
      <c r="G26" s="81">
        <v>300</v>
      </c>
      <c r="H26" s="82">
        <v>16</v>
      </c>
    </row>
    <row r="28" spans="1:11" x14ac:dyDescent="0.3">
      <c r="E28" s="83" t="s">
        <v>987</v>
      </c>
      <c r="F28" s="83"/>
      <c r="G28" s="83">
        <v>140</v>
      </c>
      <c r="H28" s="82">
        <v>7</v>
      </c>
    </row>
    <row r="29" spans="1:11" x14ac:dyDescent="0.3">
      <c r="E29" s="83" t="s">
        <v>988</v>
      </c>
      <c r="F29" s="83"/>
      <c r="G29" s="83">
        <v>130</v>
      </c>
      <c r="H29" s="82">
        <v>6</v>
      </c>
    </row>
    <row r="30" spans="1:11" x14ac:dyDescent="0.3">
      <c r="E30" s="83" t="s">
        <v>989</v>
      </c>
      <c r="F30" s="83"/>
      <c r="G30" s="83">
        <v>150</v>
      </c>
      <c r="H30" s="82">
        <v>8</v>
      </c>
    </row>
    <row r="31" spans="1:11" x14ac:dyDescent="0.3">
      <c r="E31" s="83" t="s">
        <v>990</v>
      </c>
      <c r="F31" s="83"/>
      <c r="G31" s="83">
        <v>120</v>
      </c>
      <c r="H31" s="82">
        <v>5</v>
      </c>
    </row>
    <row r="32" spans="1:11" x14ac:dyDescent="0.3">
      <c r="E32" s="83" t="s">
        <v>991</v>
      </c>
      <c r="F32" s="83"/>
      <c r="G32" s="83">
        <v>160</v>
      </c>
      <c r="H32" s="82">
        <v>9</v>
      </c>
    </row>
    <row r="33" spans="5:8" x14ac:dyDescent="0.3">
      <c r="E33" s="83" t="s">
        <v>992</v>
      </c>
      <c r="F33" s="83"/>
      <c r="G33" s="83">
        <v>170</v>
      </c>
      <c r="H33" s="82">
        <v>10</v>
      </c>
    </row>
    <row r="34" spans="5:8" x14ac:dyDescent="0.3">
      <c r="E34" s="83" t="s">
        <v>993</v>
      </c>
      <c r="F34" s="83"/>
      <c r="G34" s="83">
        <v>180</v>
      </c>
      <c r="H34" s="82">
        <v>11</v>
      </c>
    </row>
    <row r="35" spans="5:8" x14ac:dyDescent="0.3">
      <c r="E35" s="83" t="s">
        <v>976</v>
      </c>
      <c r="F35" s="83"/>
      <c r="G35" s="83">
        <v>190</v>
      </c>
      <c r="H35" s="82">
        <v>13</v>
      </c>
    </row>
    <row r="36" spans="5:8" x14ac:dyDescent="0.3">
      <c r="E36" s="83" t="s">
        <v>994</v>
      </c>
      <c r="F36" s="83"/>
      <c r="G36" s="83">
        <v>185</v>
      </c>
      <c r="H36" s="82">
        <v>12</v>
      </c>
    </row>
    <row r="37" spans="5:8" x14ac:dyDescent="0.3">
      <c r="E37" s="83" t="s">
        <v>977</v>
      </c>
      <c r="F37" s="83"/>
      <c r="G37" s="83">
        <v>195</v>
      </c>
      <c r="H37" s="82">
        <v>14</v>
      </c>
    </row>
    <row r="38" spans="5:8" x14ac:dyDescent="0.3">
      <c r="E38" s="83" t="s">
        <v>996</v>
      </c>
      <c r="F38" s="83"/>
      <c r="G38" s="83">
        <v>210</v>
      </c>
    </row>
    <row r="39" spans="5:8" x14ac:dyDescent="0.3">
      <c r="E39" s="83" t="s">
        <v>978</v>
      </c>
      <c r="F39" s="83"/>
      <c r="G39" s="83">
        <v>200</v>
      </c>
      <c r="H39" s="82">
        <v>15</v>
      </c>
    </row>
    <row r="42" spans="5:8" x14ac:dyDescent="0.3">
      <c r="E42" s="85" t="s">
        <v>997</v>
      </c>
      <c r="F42" s="85"/>
      <c r="G42" s="85">
        <v>100</v>
      </c>
      <c r="H42" s="82">
        <v>4</v>
      </c>
    </row>
    <row r="43" spans="5:8" x14ac:dyDescent="0.3">
      <c r="E43" s="85" t="s">
        <v>998</v>
      </c>
      <c r="F43" s="85"/>
      <c r="G43" s="85">
        <v>400</v>
      </c>
      <c r="H43" s="82">
        <v>17</v>
      </c>
    </row>
    <row r="44" spans="5:8" x14ac:dyDescent="0.3">
      <c r="E44" s="85"/>
      <c r="F44" s="85"/>
      <c r="G44" s="85">
        <v>401</v>
      </c>
      <c r="H44" s="82">
        <v>18</v>
      </c>
    </row>
    <row r="45" spans="5:8" x14ac:dyDescent="0.3">
      <c r="E45" s="85" t="s">
        <v>999</v>
      </c>
      <c r="F45" s="85"/>
      <c r="G45" s="85">
        <v>402</v>
      </c>
      <c r="H45" s="82">
        <v>19</v>
      </c>
    </row>
    <row r="46" spans="5:8" x14ac:dyDescent="0.3">
      <c r="E46" s="85"/>
      <c r="F46" s="85"/>
      <c r="G46" s="85">
        <v>404</v>
      </c>
      <c r="H46" s="82">
        <v>21</v>
      </c>
    </row>
    <row r="47" spans="5:8" x14ac:dyDescent="0.3">
      <c r="E47" s="86" t="s">
        <v>1000</v>
      </c>
      <c r="F47" s="86"/>
      <c r="G47" s="86"/>
    </row>
    <row r="48" spans="5:8" x14ac:dyDescent="0.3">
      <c r="E48" s="86"/>
      <c r="F48" s="86"/>
      <c r="G48" s="86">
        <v>403</v>
      </c>
      <c r="H48" s="82">
        <v>20</v>
      </c>
    </row>
    <row r="49" spans="1:8" x14ac:dyDescent="0.3">
      <c r="E49" s="86"/>
      <c r="F49" s="86"/>
      <c r="G49" s="86">
        <v>405</v>
      </c>
      <c r="H49" s="82">
        <v>22</v>
      </c>
    </row>
    <row r="50" spans="1:8" x14ac:dyDescent="0.3">
      <c r="E50" s="86"/>
      <c r="F50" s="86"/>
      <c r="G50" s="86">
        <v>501</v>
      </c>
      <c r="H50" s="82">
        <v>24</v>
      </c>
    </row>
    <row r="51" spans="1:8" x14ac:dyDescent="0.3">
      <c r="E51" s="86"/>
      <c r="F51" s="86"/>
      <c r="G51" s="86">
        <v>500</v>
      </c>
      <c r="H51" s="82">
        <v>23</v>
      </c>
    </row>
    <row r="55" spans="1:8" x14ac:dyDescent="0.3">
      <c r="E55" t="s">
        <v>1001</v>
      </c>
    </row>
    <row r="56" spans="1:8" x14ac:dyDescent="0.3">
      <c r="E56" t="s">
        <v>1002</v>
      </c>
      <c r="G56">
        <v>1</v>
      </c>
      <c r="H56" s="82">
        <v>1</v>
      </c>
    </row>
    <row r="57" spans="1:8" x14ac:dyDescent="0.3">
      <c r="E57" t="s">
        <v>1003</v>
      </c>
      <c r="G57">
        <v>3</v>
      </c>
      <c r="H57" s="82">
        <v>3</v>
      </c>
    </row>
    <row r="61" spans="1:8" x14ac:dyDescent="0.3">
      <c r="B61" s="87" t="s">
        <v>1004</v>
      </c>
    </row>
    <row r="63" spans="1:8" x14ac:dyDescent="0.3">
      <c r="A63">
        <v>2</v>
      </c>
      <c r="B63" t="s">
        <v>971</v>
      </c>
      <c r="E63" s="88" t="s">
        <v>1005</v>
      </c>
    </row>
    <row r="64" spans="1:8" x14ac:dyDescent="0.3">
      <c r="A64">
        <v>3</v>
      </c>
      <c r="B64" t="s">
        <v>1003</v>
      </c>
    </row>
    <row r="65" spans="1:5" x14ac:dyDescent="0.3">
      <c r="A65">
        <v>100</v>
      </c>
      <c r="B65" t="s">
        <v>1006</v>
      </c>
    </row>
    <row r="66" spans="1:5" x14ac:dyDescent="0.3">
      <c r="A66">
        <v>120</v>
      </c>
      <c r="B66" t="s">
        <v>1007</v>
      </c>
      <c r="E66" s="88" t="s">
        <v>1008</v>
      </c>
    </row>
    <row r="67" spans="1:5" x14ac:dyDescent="0.3">
      <c r="A67">
        <v>130</v>
      </c>
      <c r="B67" t="s">
        <v>1009</v>
      </c>
      <c r="E67" s="88" t="s">
        <v>1010</v>
      </c>
    </row>
    <row r="68" spans="1:5" x14ac:dyDescent="0.3">
      <c r="A68">
        <v>140</v>
      </c>
      <c r="B68" t="s">
        <v>1011</v>
      </c>
      <c r="E68" s="88" t="s">
        <v>1012</v>
      </c>
    </row>
    <row r="69" spans="1:5" x14ac:dyDescent="0.3">
      <c r="A69">
        <v>150</v>
      </c>
      <c r="B69" t="s">
        <v>1013</v>
      </c>
      <c r="E69" s="88" t="s">
        <v>1014</v>
      </c>
    </row>
    <row r="70" spans="1:5" x14ac:dyDescent="0.3">
      <c r="A70">
        <v>160</v>
      </c>
      <c r="B70" t="s">
        <v>1015</v>
      </c>
      <c r="E70" s="88" t="s">
        <v>1016</v>
      </c>
    </row>
    <row r="71" spans="1:5" x14ac:dyDescent="0.3">
      <c r="A71">
        <v>170</v>
      </c>
      <c r="B71" t="s">
        <v>1017</v>
      </c>
      <c r="E71" s="88" t="s">
        <v>1018</v>
      </c>
    </row>
    <row r="72" spans="1:5" x14ac:dyDescent="0.3">
      <c r="A72">
        <v>180</v>
      </c>
      <c r="B72" t="s">
        <v>1019</v>
      </c>
      <c r="E72" s="88" t="s">
        <v>1020</v>
      </c>
    </row>
    <row r="73" spans="1:5" x14ac:dyDescent="0.3">
      <c r="A73">
        <v>185</v>
      </c>
      <c r="B73" t="s">
        <v>1021</v>
      </c>
      <c r="E73" s="88" t="s">
        <v>1022</v>
      </c>
    </row>
    <row r="74" spans="1:5" x14ac:dyDescent="0.3">
      <c r="A74">
        <v>190</v>
      </c>
      <c r="B74" t="s">
        <v>1023</v>
      </c>
      <c r="E74" s="89" t="s">
        <v>1024</v>
      </c>
    </row>
    <row r="75" spans="1:5" x14ac:dyDescent="0.3">
      <c r="A75">
        <v>195</v>
      </c>
      <c r="B75" t="s">
        <v>1025</v>
      </c>
      <c r="E75" s="90"/>
    </row>
    <row r="76" spans="1:5" x14ac:dyDescent="0.3">
      <c r="A76">
        <v>200</v>
      </c>
      <c r="B76" t="s">
        <v>978</v>
      </c>
      <c r="E76" s="90"/>
    </row>
    <row r="77" spans="1:5" x14ac:dyDescent="0.3">
      <c r="A77">
        <v>300</v>
      </c>
      <c r="B77" t="s">
        <v>982</v>
      </c>
    </row>
    <row r="78" spans="1:5" x14ac:dyDescent="0.3">
      <c r="A78" s="85">
        <v>401</v>
      </c>
      <c r="B78" t="s">
        <v>1026</v>
      </c>
      <c r="D78" t="s">
        <v>1027</v>
      </c>
    </row>
    <row r="79" spans="1:5" x14ac:dyDescent="0.3">
      <c r="A79" s="85">
        <v>402</v>
      </c>
      <c r="B79" t="s">
        <v>999</v>
      </c>
      <c r="D79" t="s">
        <v>1028</v>
      </c>
    </row>
    <row r="80" spans="1:5" x14ac:dyDescent="0.3">
      <c r="A80" s="85">
        <v>403</v>
      </c>
      <c r="B80" t="s">
        <v>1029</v>
      </c>
    </row>
    <row r="81" spans="1:4" x14ac:dyDescent="0.3">
      <c r="A81" s="85">
        <v>404</v>
      </c>
      <c r="B81" t="s">
        <v>1030</v>
      </c>
      <c r="D81" t="s">
        <v>1031</v>
      </c>
    </row>
    <row r="82" spans="1:4" x14ac:dyDescent="0.3">
      <c r="A82" s="85">
        <v>405</v>
      </c>
      <c r="B82" t="s">
        <v>1032</v>
      </c>
    </row>
    <row r="83" spans="1:4" x14ac:dyDescent="0.3">
      <c r="A83" s="85">
        <v>500</v>
      </c>
      <c r="B83" t="s">
        <v>981</v>
      </c>
    </row>
    <row r="84" spans="1:4" x14ac:dyDescent="0.3">
      <c r="A84" s="85">
        <v>501</v>
      </c>
      <c r="B84" t="s">
        <v>1033</v>
      </c>
      <c r="D84" t="s">
        <v>1031</v>
      </c>
    </row>
  </sheetData>
  <pageMargins left="0.7" right="0.7" top="0.75" bottom="0.75" header="0.3" footer="0.3"/>
  <pageSetup orientation="portrait" r:id="rId1"/>
  <headerFooter>
    <oddFooter>&amp;C_x000D_&amp;1#&amp;"Calibri"&amp;10&amp;K000000 Clasificación: Interno, no apto para su distribución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7396F-58CF-4253-952D-1D7EDFAB6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8DC656-2D5B-4CEF-8724-03DADF0D61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2B8563-A006-4921-8290-3A9659D53C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293d2621-260c-42db-8aea-42fd547000da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COMPRAS</vt:lpstr>
      <vt:lpstr>Titulares COMPRAS</vt:lpstr>
      <vt:lpstr>Cto Cto COMPRAS</vt:lpstr>
      <vt:lpstr>HONORARIOS</vt:lpstr>
      <vt:lpstr>Titulares HONORARIOS</vt:lpstr>
      <vt:lpstr>Cto Cto HONORARIOS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Ayala</dc:creator>
  <cp:lastModifiedBy>Carolina Cabrera</cp:lastModifiedBy>
  <dcterms:created xsi:type="dcterms:W3CDTF">2026-02-05T17:02:58Z</dcterms:created>
  <dcterms:modified xsi:type="dcterms:W3CDTF">2026-02-17T14:34:52Z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