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RO/"/>
    </mc:Choice>
  </mc:AlternateContent>
  <xr:revisionPtr revIDLastSave="0" documentId="8_{587847B4-7835-46F8-9BD5-5B20E476D818}" xr6:coauthVersionLast="47" xr6:coauthVersionMax="47" xr10:uidLastSave="{00000000-0000-0000-0000-000000000000}"/>
  <bookViews>
    <workbookView xWindow="20525" yWindow="-107" windowWidth="20848" windowHeight="11111" xr2:uid="{525D5812-5321-421C-81FA-5095F04B75CE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39" i="1" l="1"/>
  <c r="H438" i="1"/>
  <c r="G438" i="1"/>
  <c r="G437" i="1"/>
  <c r="H437" i="1" s="1"/>
  <c r="G436" i="1"/>
  <c r="H436" i="1" s="1"/>
  <c r="G435" i="1"/>
  <c r="H435" i="1" s="1"/>
  <c r="H434" i="1"/>
  <c r="G434" i="1"/>
  <c r="G433" i="1"/>
  <c r="H433" i="1" s="1"/>
  <c r="H432" i="1"/>
  <c r="G432" i="1"/>
  <c r="G431" i="1"/>
  <c r="H431" i="1" s="1"/>
  <c r="G430" i="1"/>
  <c r="H430" i="1" s="1"/>
  <c r="G429" i="1"/>
  <c r="H429" i="1" s="1"/>
  <c r="H428" i="1"/>
  <c r="G428" i="1"/>
  <c r="G427" i="1"/>
  <c r="H427" i="1" s="1"/>
  <c r="H426" i="1"/>
  <c r="G426" i="1"/>
  <c r="G425" i="1"/>
  <c r="H425" i="1" s="1"/>
  <c r="G424" i="1"/>
  <c r="H424" i="1" s="1"/>
  <c r="H423" i="1"/>
  <c r="G423" i="1"/>
  <c r="H422" i="1"/>
  <c r="G422" i="1"/>
  <c r="G421" i="1"/>
  <c r="H421" i="1" s="1"/>
  <c r="H420" i="1"/>
  <c r="G420" i="1"/>
  <c r="G419" i="1"/>
  <c r="H419" i="1" s="1"/>
  <c r="G418" i="1"/>
  <c r="H418" i="1" s="1"/>
  <c r="G417" i="1"/>
  <c r="H417" i="1" s="1"/>
  <c r="H416" i="1"/>
  <c r="G416" i="1"/>
  <c r="G415" i="1"/>
  <c r="H415" i="1" s="1"/>
  <c r="H414" i="1"/>
  <c r="G414" i="1"/>
  <c r="G413" i="1"/>
  <c r="H413" i="1" s="1"/>
  <c r="G412" i="1"/>
  <c r="H412" i="1" s="1"/>
  <c r="G411" i="1"/>
  <c r="H411" i="1" s="1"/>
  <c r="H410" i="1"/>
  <c r="G410" i="1"/>
  <c r="G409" i="1"/>
  <c r="H409" i="1" s="1"/>
  <c r="H408" i="1"/>
  <c r="G408" i="1"/>
  <c r="G407" i="1"/>
  <c r="H407" i="1" s="1"/>
  <c r="G406" i="1"/>
  <c r="H406" i="1" s="1"/>
  <c r="G405" i="1"/>
  <c r="H405" i="1" s="1"/>
  <c r="H404" i="1"/>
  <c r="G404" i="1"/>
  <c r="G403" i="1"/>
  <c r="H403" i="1" s="1"/>
  <c r="H402" i="1"/>
  <c r="G402" i="1"/>
  <c r="G401" i="1"/>
  <c r="H401" i="1" s="1"/>
  <c r="G400" i="1"/>
  <c r="H400" i="1" s="1"/>
  <c r="H399" i="1"/>
  <c r="G399" i="1"/>
  <c r="H398" i="1"/>
  <c r="G398" i="1"/>
  <c r="G397" i="1"/>
  <c r="H397" i="1" s="1"/>
  <c r="H396" i="1"/>
  <c r="G396" i="1"/>
  <c r="G395" i="1"/>
  <c r="H395" i="1" s="1"/>
  <c r="G394" i="1"/>
  <c r="H394" i="1" s="1"/>
  <c r="G393" i="1"/>
  <c r="H393" i="1" s="1"/>
  <c r="H392" i="1"/>
  <c r="G392" i="1"/>
  <c r="G391" i="1"/>
  <c r="H391" i="1" s="1"/>
  <c r="H390" i="1"/>
  <c r="G390" i="1"/>
  <c r="G389" i="1"/>
  <c r="H389" i="1" s="1"/>
  <c r="G388" i="1"/>
  <c r="H388" i="1" s="1"/>
  <c r="G387" i="1"/>
  <c r="H387" i="1" s="1"/>
  <c r="H386" i="1"/>
  <c r="G386" i="1"/>
  <c r="G385" i="1"/>
  <c r="H385" i="1" s="1"/>
  <c r="H384" i="1"/>
  <c r="G384" i="1"/>
  <c r="G383" i="1"/>
  <c r="H383" i="1" s="1"/>
  <c r="G382" i="1"/>
  <c r="H382" i="1" s="1"/>
  <c r="G381" i="1"/>
  <c r="H381" i="1" s="1"/>
  <c r="H380" i="1"/>
  <c r="G380" i="1"/>
  <c r="G379" i="1"/>
  <c r="H379" i="1" s="1"/>
  <c r="H378" i="1"/>
  <c r="G378" i="1"/>
  <c r="G377" i="1"/>
  <c r="H377" i="1" s="1"/>
  <c r="G376" i="1"/>
  <c r="H376" i="1" s="1"/>
  <c r="H375" i="1"/>
  <c r="G375" i="1"/>
  <c r="H374" i="1"/>
  <c r="G374" i="1"/>
  <c r="G373" i="1"/>
  <c r="H373" i="1" s="1"/>
  <c r="H372" i="1"/>
  <c r="G372" i="1"/>
  <c r="G371" i="1"/>
  <c r="H371" i="1" s="1"/>
  <c r="G370" i="1"/>
  <c r="H370" i="1" s="1"/>
  <c r="G369" i="1"/>
  <c r="H369" i="1" s="1"/>
  <c r="H368" i="1"/>
  <c r="G368" i="1"/>
  <c r="G367" i="1"/>
  <c r="H367" i="1" s="1"/>
  <c r="H366" i="1"/>
  <c r="G366" i="1"/>
  <c r="G365" i="1"/>
  <c r="H365" i="1" s="1"/>
  <c r="G364" i="1"/>
  <c r="H364" i="1" s="1"/>
  <c r="G363" i="1"/>
  <c r="H363" i="1" s="1"/>
  <c r="H362" i="1"/>
  <c r="G362" i="1"/>
  <c r="G361" i="1"/>
  <c r="H361" i="1" s="1"/>
  <c r="H360" i="1"/>
  <c r="G360" i="1"/>
  <c r="G359" i="1"/>
  <c r="H359" i="1" s="1"/>
  <c r="G358" i="1"/>
  <c r="H358" i="1" s="1"/>
  <c r="G357" i="1"/>
  <c r="H357" i="1" s="1"/>
  <c r="H356" i="1"/>
  <c r="G356" i="1"/>
  <c r="G355" i="1"/>
  <c r="H355" i="1" s="1"/>
  <c r="H354" i="1"/>
  <c r="G354" i="1"/>
  <c r="G353" i="1"/>
  <c r="H353" i="1" s="1"/>
  <c r="G352" i="1"/>
  <c r="H352" i="1" s="1"/>
  <c r="H351" i="1"/>
  <c r="G351" i="1"/>
  <c r="H350" i="1"/>
  <c r="G350" i="1"/>
  <c r="G349" i="1"/>
  <c r="H349" i="1" s="1"/>
  <c r="H348" i="1"/>
  <c r="G348" i="1"/>
  <c r="G347" i="1"/>
  <c r="H347" i="1" s="1"/>
  <c r="G346" i="1"/>
  <c r="H346" i="1" s="1"/>
  <c r="G345" i="1"/>
  <c r="H345" i="1" s="1"/>
  <c r="H344" i="1"/>
  <c r="G344" i="1"/>
  <c r="G343" i="1"/>
  <c r="H343" i="1" s="1"/>
  <c r="H342" i="1"/>
  <c r="G342" i="1"/>
  <c r="G341" i="1"/>
  <c r="H341" i="1" s="1"/>
  <c r="H340" i="1"/>
  <c r="G340" i="1"/>
  <c r="G339" i="1"/>
  <c r="H339" i="1" s="1"/>
  <c r="H338" i="1"/>
  <c r="G338" i="1"/>
  <c r="G337" i="1"/>
  <c r="H337" i="1" s="1"/>
  <c r="H336" i="1"/>
  <c r="G336" i="1"/>
  <c r="G335" i="1"/>
  <c r="H335" i="1" s="1"/>
  <c r="G334" i="1"/>
  <c r="H334" i="1" s="1"/>
  <c r="H333" i="1"/>
  <c r="G333" i="1"/>
  <c r="H332" i="1"/>
  <c r="G332" i="1"/>
  <c r="G331" i="1"/>
  <c r="H331" i="1" s="1"/>
  <c r="H330" i="1"/>
  <c r="G330" i="1"/>
  <c r="G329" i="1"/>
  <c r="H329" i="1" s="1"/>
  <c r="H328" i="1"/>
  <c r="G328" i="1"/>
  <c r="G327" i="1"/>
  <c r="H327" i="1" s="1"/>
  <c r="H326" i="1"/>
  <c r="G326" i="1"/>
  <c r="G325" i="1"/>
  <c r="H325" i="1" s="1"/>
  <c r="H324" i="1"/>
  <c r="G324" i="1"/>
  <c r="G323" i="1"/>
  <c r="H323" i="1" s="1"/>
  <c r="G322" i="1"/>
  <c r="H322" i="1" s="1"/>
  <c r="H321" i="1"/>
  <c r="G321" i="1"/>
  <c r="H320" i="1"/>
  <c r="G320" i="1"/>
  <c r="G319" i="1"/>
  <c r="H319" i="1" s="1"/>
  <c r="H318" i="1"/>
  <c r="G318" i="1"/>
  <c r="G317" i="1"/>
  <c r="H317" i="1" s="1"/>
  <c r="G316" i="1"/>
  <c r="H316" i="1" s="1"/>
  <c r="G315" i="1"/>
  <c r="H315" i="1" s="1"/>
  <c r="H314" i="1"/>
  <c r="G314" i="1"/>
  <c r="G313" i="1"/>
  <c r="H313" i="1" s="1"/>
  <c r="H312" i="1"/>
  <c r="G312" i="1"/>
  <c r="G311" i="1"/>
  <c r="H311" i="1" s="1"/>
  <c r="G310" i="1"/>
  <c r="H310" i="1" s="1"/>
  <c r="G309" i="1"/>
  <c r="H309" i="1" s="1"/>
  <c r="H308" i="1"/>
  <c r="G308" i="1"/>
  <c r="G307" i="1"/>
  <c r="H307" i="1" s="1"/>
  <c r="H306" i="1"/>
  <c r="G306" i="1"/>
  <c r="G305" i="1"/>
  <c r="H305" i="1" s="1"/>
  <c r="H304" i="1"/>
  <c r="G304" i="1"/>
  <c r="G303" i="1"/>
  <c r="H303" i="1" s="1"/>
  <c r="H302" i="1"/>
  <c r="G302" i="1"/>
  <c r="G301" i="1"/>
  <c r="H301" i="1" s="1"/>
  <c r="H300" i="1"/>
  <c r="G300" i="1"/>
  <c r="G299" i="1"/>
  <c r="H299" i="1" s="1"/>
  <c r="G298" i="1"/>
  <c r="H298" i="1" s="1"/>
  <c r="H297" i="1"/>
  <c r="G297" i="1"/>
  <c r="H296" i="1"/>
  <c r="G296" i="1"/>
  <c r="G295" i="1"/>
  <c r="H295" i="1" s="1"/>
  <c r="H294" i="1"/>
  <c r="G294" i="1"/>
  <c r="G293" i="1"/>
  <c r="H293" i="1" s="1"/>
  <c r="H292" i="1"/>
  <c r="G292" i="1"/>
  <c r="G291" i="1"/>
  <c r="H291" i="1" s="1"/>
  <c r="H290" i="1"/>
  <c r="G290" i="1"/>
  <c r="G289" i="1"/>
  <c r="H289" i="1" s="1"/>
  <c r="H288" i="1"/>
  <c r="G288" i="1"/>
  <c r="G287" i="1"/>
  <c r="H287" i="1" s="1"/>
  <c r="G286" i="1"/>
  <c r="H286" i="1" s="1"/>
  <c r="H285" i="1"/>
  <c r="G285" i="1"/>
  <c r="H284" i="1"/>
  <c r="G284" i="1"/>
  <c r="G283" i="1"/>
  <c r="H283" i="1" s="1"/>
  <c r="H282" i="1"/>
  <c r="G282" i="1"/>
  <c r="G281" i="1"/>
  <c r="H281" i="1" s="1"/>
  <c r="G280" i="1"/>
  <c r="H280" i="1" s="1"/>
  <c r="G279" i="1"/>
  <c r="H279" i="1" s="1"/>
  <c r="H278" i="1"/>
  <c r="G278" i="1"/>
  <c r="G277" i="1"/>
  <c r="H277" i="1" s="1"/>
  <c r="H276" i="1"/>
  <c r="G276" i="1"/>
  <c r="G275" i="1"/>
  <c r="H275" i="1" s="1"/>
  <c r="G274" i="1"/>
  <c r="H274" i="1" s="1"/>
  <c r="G273" i="1"/>
  <c r="H273" i="1" s="1"/>
  <c r="H272" i="1"/>
  <c r="G272" i="1"/>
  <c r="G271" i="1"/>
  <c r="H271" i="1" s="1"/>
  <c r="H270" i="1"/>
  <c r="G270" i="1"/>
  <c r="G269" i="1"/>
  <c r="H269" i="1" s="1"/>
  <c r="H268" i="1"/>
  <c r="G268" i="1"/>
  <c r="G267" i="1"/>
  <c r="H267" i="1" s="1"/>
  <c r="H266" i="1"/>
  <c r="G266" i="1"/>
  <c r="G265" i="1"/>
  <c r="H265" i="1" s="1"/>
  <c r="H264" i="1"/>
  <c r="G264" i="1"/>
  <c r="G263" i="1"/>
  <c r="H263" i="1" s="1"/>
  <c r="G262" i="1"/>
  <c r="H262" i="1" s="1"/>
  <c r="H261" i="1"/>
  <c r="G261" i="1"/>
  <c r="H260" i="1"/>
  <c r="G260" i="1"/>
  <c r="G259" i="1"/>
  <c r="H259" i="1" s="1"/>
  <c r="H258" i="1"/>
  <c r="G258" i="1"/>
  <c r="G257" i="1"/>
  <c r="H257" i="1" s="1"/>
  <c r="H256" i="1"/>
  <c r="G256" i="1"/>
  <c r="G255" i="1"/>
  <c r="H255" i="1" s="1"/>
  <c r="H254" i="1"/>
  <c r="G254" i="1"/>
  <c r="G253" i="1"/>
  <c r="H253" i="1" s="1"/>
  <c r="H252" i="1"/>
  <c r="G252" i="1"/>
  <c r="G251" i="1"/>
  <c r="H251" i="1" s="1"/>
  <c r="G250" i="1"/>
  <c r="H250" i="1" s="1"/>
  <c r="H249" i="1"/>
  <c r="G249" i="1"/>
  <c r="H248" i="1"/>
  <c r="G248" i="1"/>
  <c r="G247" i="1"/>
  <c r="H247" i="1" s="1"/>
  <c r="H246" i="1"/>
  <c r="G246" i="1"/>
  <c r="G245" i="1"/>
  <c r="H245" i="1" s="1"/>
  <c r="G244" i="1"/>
  <c r="H244" i="1" s="1"/>
  <c r="G243" i="1"/>
  <c r="H243" i="1" s="1"/>
  <c r="H242" i="1"/>
  <c r="G242" i="1"/>
  <c r="G241" i="1"/>
  <c r="H241" i="1" s="1"/>
  <c r="H240" i="1"/>
  <c r="G240" i="1"/>
  <c r="G239" i="1"/>
  <c r="H239" i="1" s="1"/>
  <c r="G238" i="1"/>
  <c r="H238" i="1" s="1"/>
  <c r="G237" i="1"/>
  <c r="H237" i="1" s="1"/>
  <c r="H236" i="1"/>
  <c r="G236" i="1"/>
  <c r="G235" i="1"/>
  <c r="H235" i="1" s="1"/>
  <c r="H234" i="1"/>
  <c r="G234" i="1"/>
  <c r="G233" i="1"/>
  <c r="H233" i="1" s="1"/>
  <c r="H232" i="1"/>
  <c r="G232" i="1"/>
  <c r="G231" i="1"/>
  <c r="H231" i="1" s="1"/>
  <c r="H230" i="1"/>
  <c r="G230" i="1"/>
  <c r="G229" i="1"/>
  <c r="H229" i="1" s="1"/>
  <c r="H228" i="1"/>
  <c r="G228" i="1"/>
  <c r="G227" i="1"/>
  <c r="H227" i="1" s="1"/>
  <c r="G226" i="1"/>
  <c r="H226" i="1" s="1"/>
  <c r="H225" i="1"/>
  <c r="G225" i="1"/>
  <c r="H224" i="1"/>
  <c r="G224" i="1"/>
  <c r="G223" i="1"/>
  <c r="H223" i="1" s="1"/>
  <c r="H222" i="1"/>
  <c r="G222" i="1"/>
  <c r="G221" i="1"/>
  <c r="H221" i="1" s="1"/>
  <c r="H220" i="1"/>
  <c r="G220" i="1"/>
  <c r="G219" i="1"/>
  <c r="H219" i="1" s="1"/>
  <c r="H218" i="1"/>
  <c r="G218" i="1"/>
  <c r="G217" i="1"/>
  <c r="H217" i="1" s="1"/>
  <c r="H216" i="1"/>
  <c r="G216" i="1"/>
  <c r="G215" i="1"/>
  <c r="H215" i="1" s="1"/>
  <c r="G214" i="1"/>
  <c r="H214" i="1" s="1"/>
  <c r="H213" i="1"/>
  <c r="G213" i="1"/>
  <c r="H212" i="1"/>
  <c r="G212" i="1"/>
  <c r="G211" i="1"/>
  <c r="H211" i="1" s="1"/>
  <c r="H210" i="1"/>
  <c r="G210" i="1"/>
  <c r="G209" i="1"/>
  <c r="H209" i="1" s="1"/>
  <c r="G208" i="1"/>
  <c r="H208" i="1" s="1"/>
  <c r="G207" i="1"/>
  <c r="H207" i="1" s="1"/>
  <c r="H206" i="1"/>
  <c r="G206" i="1"/>
  <c r="G205" i="1"/>
  <c r="H205" i="1" s="1"/>
  <c r="H204" i="1"/>
  <c r="G204" i="1"/>
  <c r="G203" i="1"/>
  <c r="H203" i="1" s="1"/>
  <c r="G202" i="1"/>
  <c r="H202" i="1" s="1"/>
  <c r="G201" i="1"/>
  <c r="H201" i="1" s="1"/>
  <c r="H200" i="1"/>
  <c r="G200" i="1"/>
  <c r="G199" i="1"/>
  <c r="H199" i="1" s="1"/>
  <c r="H198" i="1"/>
  <c r="G198" i="1"/>
  <c r="G197" i="1"/>
  <c r="H197" i="1" s="1"/>
  <c r="H196" i="1"/>
  <c r="G196" i="1"/>
  <c r="G195" i="1"/>
  <c r="H195" i="1" s="1"/>
  <c r="H194" i="1"/>
  <c r="G194" i="1"/>
  <c r="G193" i="1"/>
  <c r="H193" i="1" s="1"/>
  <c r="H192" i="1"/>
  <c r="G192" i="1"/>
  <c r="G191" i="1"/>
  <c r="H191" i="1" s="1"/>
  <c r="G190" i="1"/>
  <c r="H190" i="1" s="1"/>
  <c r="H189" i="1"/>
  <c r="G189" i="1"/>
  <c r="H188" i="1"/>
  <c r="G188" i="1"/>
  <c r="G187" i="1"/>
  <c r="H187" i="1" s="1"/>
  <c r="H186" i="1"/>
  <c r="G186" i="1"/>
  <c r="G185" i="1"/>
  <c r="H185" i="1" s="1"/>
  <c r="H184" i="1"/>
  <c r="G184" i="1"/>
  <c r="G183" i="1"/>
  <c r="H183" i="1" s="1"/>
  <c r="H182" i="1"/>
  <c r="G182" i="1"/>
  <c r="G181" i="1"/>
  <c r="H181" i="1" s="1"/>
  <c r="H180" i="1"/>
  <c r="G180" i="1"/>
  <c r="G179" i="1"/>
  <c r="H179" i="1" s="1"/>
  <c r="G178" i="1"/>
  <c r="H178" i="1" s="1"/>
  <c r="H177" i="1"/>
  <c r="G177" i="1"/>
  <c r="H176" i="1"/>
  <c r="G176" i="1"/>
  <c r="G175" i="1"/>
  <c r="H175" i="1" s="1"/>
  <c r="H174" i="1"/>
  <c r="G174" i="1"/>
  <c r="G173" i="1"/>
  <c r="H173" i="1" s="1"/>
  <c r="G172" i="1"/>
  <c r="H172" i="1" s="1"/>
  <c r="G171" i="1"/>
  <c r="H171" i="1" s="1"/>
  <c r="H170" i="1"/>
  <c r="G170" i="1"/>
  <c r="G169" i="1"/>
  <c r="H169" i="1" s="1"/>
  <c r="H168" i="1"/>
  <c r="G168" i="1"/>
  <c r="G167" i="1"/>
  <c r="H167" i="1" s="1"/>
  <c r="G166" i="1"/>
  <c r="H166" i="1" s="1"/>
  <c r="G165" i="1"/>
  <c r="H165" i="1" s="1"/>
  <c r="H164" i="1"/>
  <c r="G164" i="1"/>
  <c r="G163" i="1"/>
  <c r="H163" i="1" s="1"/>
  <c r="H162" i="1"/>
  <c r="G162" i="1"/>
  <c r="G161" i="1"/>
  <c r="H161" i="1" s="1"/>
  <c r="H160" i="1"/>
  <c r="G160" i="1"/>
  <c r="G159" i="1"/>
  <c r="H159" i="1" s="1"/>
  <c r="H158" i="1"/>
  <c r="G158" i="1"/>
  <c r="G157" i="1"/>
  <c r="H157" i="1" s="1"/>
  <c r="H156" i="1"/>
  <c r="G156" i="1"/>
  <c r="G155" i="1"/>
  <c r="H155" i="1" s="1"/>
  <c r="G154" i="1"/>
  <c r="H154" i="1" s="1"/>
  <c r="H153" i="1"/>
  <c r="G153" i="1"/>
  <c r="H152" i="1"/>
  <c r="G152" i="1"/>
  <c r="G151" i="1"/>
  <c r="H151" i="1" s="1"/>
  <c r="H150" i="1"/>
  <c r="G150" i="1"/>
  <c r="G149" i="1"/>
  <c r="H149" i="1" s="1"/>
  <c r="H148" i="1"/>
  <c r="G148" i="1"/>
  <c r="G147" i="1"/>
  <c r="H147" i="1" s="1"/>
  <c r="H146" i="1"/>
  <c r="G146" i="1"/>
  <c r="G145" i="1"/>
  <c r="H145" i="1" s="1"/>
  <c r="H144" i="1"/>
  <c r="G144" i="1"/>
  <c r="G143" i="1"/>
  <c r="H143" i="1" s="1"/>
  <c r="G142" i="1"/>
  <c r="H142" i="1" s="1"/>
  <c r="H141" i="1"/>
  <c r="G141" i="1"/>
  <c r="H140" i="1"/>
  <c r="G140" i="1"/>
  <c r="G139" i="1"/>
  <c r="H139" i="1" s="1"/>
  <c r="H138" i="1"/>
  <c r="G138" i="1"/>
  <c r="G137" i="1"/>
  <c r="H137" i="1" s="1"/>
  <c r="G136" i="1"/>
  <c r="H136" i="1" s="1"/>
  <c r="G135" i="1"/>
  <c r="H135" i="1" s="1"/>
  <c r="H134" i="1"/>
  <c r="G134" i="1"/>
  <c r="G133" i="1"/>
  <c r="H133" i="1" s="1"/>
  <c r="H132" i="1"/>
  <c r="G132" i="1"/>
  <c r="G131" i="1"/>
  <c r="H131" i="1" s="1"/>
  <c r="G130" i="1"/>
  <c r="H130" i="1" s="1"/>
  <c r="G129" i="1"/>
  <c r="H129" i="1" s="1"/>
  <c r="H128" i="1"/>
  <c r="G128" i="1"/>
  <c r="G127" i="1"/>
  <c r="H127" i="1" s="1"/>
  <c r="H126" i="1"/>
  <c r="G126" i="1"/>
  <c r="G125" i="1"/>
  <c r="H125" i="1" s="1"/>
  <c r="H124" i="1"/>
  <c r="G124" i="1"/>
  <c r="G123" i="1"/>
  <c r="H123" i="1" s="1"/>
  <c r="H122" i="1"/>
  <c r="G122" i="1"/>
  <c r="G121" i="1"/>
  <c r="H121" i="1" s="1"/>
  <c r="H120" i="1"/>
  <c r="G120" i="1"/>
  <c r="G119" i="1"/>
  <c r="H119" i="1" s="1"/>
  <c r="G118" i="1"/>
  <c r="H118" i="1" s="1"/>
  <c r="H117" i="1"/>
  <c r="G117" i="1"/>
  <c r="H116" i="1"/>
  <c r="G116" i="1"/>
  <c r="G115" i="1"/>
  <c r="H115" i="1" s="1"/>
  <c r="H114" i="1"/>
  <c r="G114" i="1"/>
  <c r="G113" i="1"/>
  <c r="H113" i="1" s="1"/>
  <c r="H112" i="1"/>
  <c r="G112" i="1"/>
  <c r="G111" i="1"/>
  <c r="H111" i="1" s="1"/>
  <c r="H110" i="1"/>
  <c r="G110" i="1"/>
  <c r="G109" i="1"/>
  <c r="H109" i="1" s="1"/>
  <c r="H108" i="1"/>
  <c r="G108" i="1"/>
  <c r="G107" i="1"/>
  <c r="H107" i="1" s="1"/>
  <c r="G106" i="1"/>
  <c r="H106" i="1" s="1"/>
  <c r="H105" i="1"/>
  <c r="G105" i="1"/>
  <c r="H104" i="1"/>
  <c r="G104" i="1"/>
  <c r="G103" i="1"/>
  <c r="H103" i="1" s="1"/>
  <c r="H102" i="1"/>
  <c r="G102" i="1"/>
  <c r="G101" i="1"/>
  <c r="H101" i="1" s="1"/>
  <c r="G100" i="1"/>
  <c r="H100" i="1" s="1"/>
  <c r="G99" i="1"/>
  <c r="H99" i="1" s="1"/>
  <c r="H98" i="1"/>
  <c r="G98" i="1"/>
  <c r="G97" i="1"/>
  <c r="H97" i="1" s="1"/>
  <c r="H96" i="1"/>
  <c r="G96" i="1"/>
  <c r="G95" i="1"/>
  <c r="H95" i="1" s="1"/>
  <c r="G94" i="1"/>
  <c r="H94" i="1" s="1"/>
  <c r="G93" i="1"/>
  <c r="H93" i="1" s="1"/>
  <c r="H92" i="1"/>
  <c r="G92" i="1"/>
  <c r="G91" i="1"/>
  <c r="H91" i="1" s="1"/>
  <c r="H90" i="1"/>
  <c r="G90" i="1"/>
  <c r="G89" i="1"/>
  <c r="H89" i="1" s="1"/>
  <c r="H88" i="1"/>
  <c r="G88" i="1"/>
  <c r="G87" i="1"/>
  <c r="H87" i="1" s="1"/>
  <c r="H86" i="1"/>
  <c r="G86" i="1"/>
  <c r="G85" i="1"/>
  <c r="H85" i="1" s="1"/>
  <c r="H84" i="1"/>
  <c r="G84" i="1"/>
  <c r="G83" i="1"/>
  <c r="H83" i="1" s="1"/>
  <c r="G82" i="1"/>
  <c r="H82" i="1" s="1"/>
  <c r="H81" i="1"/>
  <c r="G81" i="1"/>
  <c r="H80" i="1"/>
  <c r="G80" i="1"/>
  <c r="G79" i="1"/>
  <c r="H79" i="1" s="1"/>
  <c r="H78" i="1"/>
  <c r="G78" i="1"/>
  <c r="G77" i="1"/>
  <c r="H77" i="1" s="1"/>
  <c r="H76" i="1"/>
  <c r="G76" i="1"/>
  <c r="G75" i="1"/>
  <c r="H75" i="1" s="1"/>
  <c r="H74" i="1"/>
  <c r="G74" i="1"/>
  <c r="G73" i="1"/>
  <c r="H73" i="1" s="1"/>
  <c r="H72" i="1"/>
  <c r="G72" i="1"/>
  <c r="G71" i="1"/>
  <c r="H71" i="1" s="1"/>
  <c r="G70" i="1"/>
  <c r="H70" i="1" s="1"/>
  <c r="H69" i="1"/>
  <c r="G69" i="1"/>
  <c r="H68" i="1"/>
  <c r="G68" i="1"/>
  <c r="G67" i="1"/>
  <c r="H67" i="1" s="1"/>
  <c r="H66" i="1"/>
  <c r="G66" i="1"/>
  <c r="G65" i="1"/>
  <c r="H65" i="1" s="1"/>
  <c r="G64" i="1"/>
  <c r="H64" i="1" s="1"/>
  <c r="G63" i="1"/>
  <c r="H63" i="1" s="1"/>
  <c r="H62" i="1"/>
  <c r="G62" i="1"/>
  <c r="G61" i="1"/>
  <c r="H61" i="1" s="1"/>
  <c r="H60" i="1"/>
  <c r="G60" i="1"/>
  <c r="G59" i="1"/>
  <c r="H59" i="1" s="1"/>
  <c r="G58" i="1"/>
  <c r="H58" i="1" s="1"/>
  <c r="G57" i="1"/>
  <c r="H57" i="1" s="1"/>
  <c r="H56" i="1"/>
  <c r="G56" i="1"/>
  <c r="G55" i="1"/>
  <c r="H55" i="1" s="1"/>
  <c r="H54" i="1"/>
  <c r="G54" i="1"/>
  <c r="G53" i="1"/>
  <c r="H53" i="1" s="1"/>
  <c r="H52" i="1"/>
  <c r="G52" i="1"/>
  <c r="G51" i="1"/>
  <c r="H51" i="1" s="1"/>
  <c r="H50" i="1"/>
  <c r="G50" i="1"/>
  <c r="G49" i="1"/>
  <c r="H49" i="1" s="1"/>
  <c r="H48" i="1"/>
  <c r="G48" i="1"/>
  <c r="G47" i="1"/>
  <c r="H47" i="1" s="1"/>
  <c r="G46" i="1"/>
  <c r="H46" i="1" s="1"/>
  <c r="H45" i="1"/>
  <c r="G45" i="1"/>
  <c r="H44" i="1"/>
  <c r="G44" i="1"/>
  <c r="G43" i="1"/>
  <c r="H43" i="1" s="1"/>
  <c r="H42" i="1"/>
  <c r="G42" i="1"/>
  <c r="G41" i="1"/>
  <c r="H41" i="1" s="1"/>
  <c r="H40" i="1"/>
  <c r="G40" i="1"/>
  <c r="G39" i="1"/>
  <c r="H39" i="1" s="1"/>
  <c r="H38" i="1"/>
  <c r="G38" i="1"/>
  <c r="G37" i="1"/>
  <c r="H37" i="1" s="1"/>
  <c r="H36" i="1"/>
  <c r="G36" i="1"/>
  <c r="G35" i="1"/>
  <c r="H35" i="1" s="1"/>
  <c r="G34" i="1"/>
  <c r="H34" i="1" s="1"/>
  <c r="H33" i="1"/>
  <c r="G33" i="1"/>
  <c r="H32" i="1"/>
  <c r="G32" i="1"/>
  <c r="G31" i="1"/>
  <c r="H31" i="1" s="1"/>
  <c r="H30" i="1"/>
  <c r="G30" i="1"/>
  <c r="G29" i="1"/>
  <c r="H29" i="1" s="1"/>
  <c r="G28" i="1"/>
  <c r="H28" i="1" s="1"/>
  <c r="G27" i="1"/>
  <c r="H27" i="1" s="1"/>
  <c r="H26" i="1"/>
  <c r="G26" i="1"/>
  <c r="G25" i="1"/>
  <c r="H25" i="1" s="1"/>
  <c r="H24" i="1"/>
  <c r="G24" i="1"/>
  <c r="G23" i="1"/>
  <c r="H23" i="1" s="1"/>
  <c r="G22" i="1"/>
  <c r="H22" i="1" s="1"/>
  <c r="G21" i="1"/>
  <c r="H21" i="1" s="1"/>
  <c r="H20" i="1"/>
  <c r="G20" i="1"/>
  <c r="G19" i="1"/>
  <c r="H19" i="1" s="1"/>
  <c r="H18" i="1"/>
  <c r="G18" i="1"/>
  <c r="G17" i="1"/>
  <c r="H17" i="1" s="1"/>
  <c r="H16" i="1"/>
  <c r="G16" i="1"/>
  <c r="G15" i="1"/>
  <c r="H15" i="1" s="1"/>
  <c r="H14" i="1"/>
  <c r="G14" i="1"/>
  <c r="G13" i="1"/>
  <c r="H13" i="1" s="1"/>
  <c r="H12" i="1"/>
  <c r="G12" i="1"/>
  <c r="G11" i="1"/>
  <c r="H11" i="1" s="1"/>
  <c r="G10" i="1"/>
  <c r="H10" i="1" s="1"/>
  <c r="H9" i="1"/>
  <c r="G9" i="1"/>
  <c r="H8" i="1"/>
  <c r="G8" i="1"/>
  <c r="G7" i="1"/>
  <c r="H7" i="1" s="1"/>
  <c r="H6" i="1"/>
  <c r="G6" i="1"/>
  <c r="G5" i="1"/>
  <c r="H5" i="1" s="1"/>
  <c r="H4" i="1"/>
  <c r="G4" i="1"/>
  <c r="G3" i="1"/>
  <c r="H3" i="1" s="1"/>
  <c r="H2" i="1"/>
  <c r="G2" i="1"/>
  <c r="G439" i="1" l="1"/>
  <c r="H439" i="1"/>
</calcChain>
</file>

<file path=xl/sharedStrings.xml><?xml version="1.0" encoding="utf-8"?>
<sst xmlns="http://schemas.openxmlformats.org/spreadsheetml/2006/main" count="1319" uniqueCount="41">
  <si>
    <t>TIENDA</t>
  </si>
  <si>
    <t>NOMBRE TIENDA</t>
  </si>
  <si>
    <t>FECHA</t>
  </si>
  <si>
    <t>TIPO DOC.</t>
  </si>
  <si>
    <t>NUMERO DOC.</t>
  </si>
  <si>
    <t>NETO</t>
  </si>
  <si>
    <t xml:space="preserve">IVA </t>
  </si>
  <si>
    <t>TOTAL</t>
  </si>
  <si>
    <t>FLEXI TALCA</t>
  </si>
  <si>
    <t>01/04/2026</t>
  </si>
  <si>
    <t>BL</t>
  </si>
  <si>
    <t>02/04/2026</t>
  </si>
  <si>
    <t>03/04/2026</t>
  </si>
  <si>
    <t>04/04/2026</t>
  </si>
  <si>
    <t>05/04/2026</t>
  </si>
  <si>
    <t>06/04/2026</t>
  </si>
  <si>
    <t>07/04/2026</t>
  </si>
  <si>
    <t>NC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</si>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</sst>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41" formatCode="_ * #,##0_ ;_ * \-#,##0_ ;_ * &quot;-&quot;_ ;_ @_ "/>
    <numFmt numFmtId="164" formatCode="&quot;$&quot;#,##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/>
    <xf numFmtId="164" fontId="2" fillId="2" borderId="2" xfId="2" applyNumberFormat="1" applyFont="1" applyFill="1" applyBorder="1"/>
    <xf numFmtId="0" fontId="2" fillId="2" borderId="2" xfId="0" applyFont="1" applyFill="1" applyBorder="1"/>
    <xf numFmtId="0" fontId="0" fillId="0" borderId="0" xfId="0" quotePrefix="1"/>
    <xf numFmtId="164" fontId="0" fillId="0" borderId="0" xfId="0" applyNumberFormat="1"/>
    <xf numFmtId="41" fontId="0" fillId="0" borderId="0" xfId="1" applyFont="1"/>
    <xf numFmtId="164" fontId="2" fillId="0" borderId="0" xfId="0" applyNumberFormat="1" applyFont="1"/>
  </cellXfs>
  <cellStyles count="3">
    <cellStyle name="Millares [0]" xfId="1" builtinId="6"/>
    <cellStyle name="Moneda [0] 2" xfId="2" xr:uid="{A868183F-92F0-4F8B-86D7-695D3A17554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4B21-8748-4B2C-9CD4-852889A3A37E}">
  <dimension ref="A1:H439"/>
  <sheetViews>
    <sheetView tabSelected="1" workbookViewId="0">
      <pane ySplit="1" topLeftCell="A425" activePane="bottomLeft" state="frozen"/>
      <selection pane="bottomLeft" activeCell="K440" sqref="K440"/>
    </sheetView>
  </sheetViews>
  <sheetFormatPr baseColWidth="10" defaultRowHeight="1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</row>
    <row r="2" spans="1:8" x14ac:dyDescent="0.3">
      <c r="A2">
        <v>195</v>
      </c>
      <c r="B2" t="s">
        <v>8</v>
      </c>
      <c r="C2" s="4" t="s">
        <v>9</v>
      </c>
      <c r="D2" t="s">
        <v>10</v>
      </c>
      <c r="E2">
        <v>307547</v>
      </c>
      <c r="F2" s="5">
        <v>67184.873949579836</v>
      </c>
      <c r="G2" s="6">
        <f>F2*19%</f>
        <v>12765.126050420169</v>
      </c>
      <c r="H2" s="6">
        <f>+G2+F2</f>
        <v>79950</v>
      </c>
    </row>
    <row r="3" spans="1:8" x14ac:dyDescent="0.3">
      <c r="A3">
        <v>195</v>
      </c>
      <c r="B3" t="s">
        <v>8</v>
      </c>
      <c r="C3" s="4" t="s">
        <v>9</v>
      </c>
      <c r="D3" t="s">
        <v>10</v>
      </c>
      <c r="E3">
        <v>307548</v>
      </c>
      <c r="F3" s="5">
        <v>420.1680672268908</v>
      </c>
      <c r="G3" s="6">
        <f t="shared" ref="G3:G66" si="0">F3*19%</f>
        <v>79.831932773109259</v>
      </c>
      <c r="H3" s="6">
        <f t="shared" ref="H3:H66" si="1">+G3+F3</f>
        <v>500.00000000000006</v>
      </c>
    </row>
    <row r="4" spans="1:8" x14ac:dyDescent="0.3">
      <c r="A4">
        <v>195</v>
      </c>
      <c r="B4" t="s">
        <v>8</v>
      </c>
      <c r="C4" s="4" t="s">
        <v>9</v>
      </c>
      <c r="D4" t="s">
        <v>10</v>
      </c>
      <c r="E4">
        <v>307549</v>
      </c>
      <c r="F4" s="5">
        <v>42008.403361344543</v>
      </c>
      <c r="G4" s="6">
        <f t="shared" si="0"/>
        <v>7981.5966386554628</v>
      </c>
      <c r="H4" s="6">
        <f t="shared" si="1"/>
        <v>49990.000000000007</v>
      </c>
    </row>
    <row r="5" spans="1:8" x14ac:dyDescent="0.3">
      <c r="A5">
        <v>195</v>
      </c>
      <c r="B5" t="s">
        <v>8</v>
      </c>
      <c r="C5" s="4" t="s">
        <v>9</v>
      </c>
      <c r="D5" t="s">
        <v>10</v>
      </c>
      <c r="E5">
        <v>307549</v>
      </c>
      <c r="F5" s="5">
        <v>-33605.042016806721</v>
      </c>
      <c r="G5" s="6">
        <f t="shared" si="0"/>
        <v>-6384.957983193277</v>
      </c>
      <c r="H5" s="6">
        <f t="shared" si="1"/>
        <v>-39990</v>
      </c>
    </row>
    <row r="6" spans="1:8" x14ac:dyDescent="0.3">
      <c r="A6">
        <v>195</v>
      </c>
      <c r="B6" t="s">
        <v>8</v>
      </c>
      <c r="C6" s="4" t="s">
        <v>9</v>
      </c>
      <c r="D6" t="s">
        <v>10</v>
      </c>
      <c r="E6">
        <v>307550</v>
      </c>
      <c r="F6" s="5">
        <v>33605.042016806721</v>
      </c>
      <c r="G6" s="6">
        <f t="shared" si="0"/>
        <v>6384.957983193277</v>
      </c>
      <c r="H6" s="6">
        <f t="shared" si="1"/>
        <v>39990</v>
      </c>
    </row>
    <row r="7" spans="1:8" x14ac:dyDescent="0.3">
      <c r="A7">
        <v>195</v>
      </c>
      <c r="B7" t="s">
        <v>8</v>
      </c>
      <c r="C7" s="4" t="s">
        <v>9</v>
      </c>
      <c r="D7" t="s">
        <v>10</v>
      </c>
      <c r="E7">
        <v>307551</v>
      </c>
      <c r="F7" s="5">
        <v>67184.873949579836</v>
      </c>
      <c r="G7" s="6">
        <f t="shared" si="0"/>
        <v>12765.126050420169</v>
      </c>
      <c r="H7" s="6">
        <f t="shared" si="1"/>
        <v>79950</v>
      </c>
    </row>
    <row r="8" spans="1:8" x14ac:dyDescent="0.3">
      <c r="A8">
        <v>195</v>
      </c>
      <c r="B8" t="s">
        <v>8</v>
      </c>
      <c r="C8" s="4" t="s">
        <v>9</v>
      </c>
      <c r="D8" t="s">
        <v>10</v>
      </c>
      <c r="E8">
        <v>307552</v>
      </c>
      <c r="F8" s="5">
        <v>420.1680672268908</v>
      </c>
      <c r="G8" s="6">
        <f t="shared" si="0"/>
        <v>79.831932773109259</v>
      </c>
      <c r="H8" s="6">
        <f t="shared" si="1"/>
        <v>500.00000000000006</v>
      </c>
    </row>
    <row r="9" spans="1:8" x14ac:dyDescent="0.3">
      <c r="A9">
        <v>195</v>
      </c>
      <c r="B9" t="s">
        <v>8</v>
      </c>
      <c r="C9" s="4" t="s">
        <v>9</v>
      </c>
      <c r="D9" t="s">
        <v>10</v>
      </c>
      <c r="E9">
        <v>307553</v>
      </c>
      <c r="F9" s="5">
        <v>1680.6722689075632</v>
      </c>
      <c r="G9" s="6">
        <f t="shared" si="0"/>
        <v>319.32773109243703</v>
      </c>
      <c r="H9" s="6">
        <f t="shared" si="1"/>
        <v>2000.0000000000002</v>
      </c>
    </row>
    <row r="10" spans="1:8" x14ac:dyDescent="0.3">
      <c r="A10">
        <v>195</v>
      </c>
      <c r="B10" t="s">
        <v>8</v>
      </c>
      <c r="C10" s="4" t="s">
        <v>9</v>
      </c>
      <c r="D10" t="s">
        <v>10</v>
      </c>
      <c r="E10">
        <v>307553</v>
      </c>
      <c r="F10" s="5">
        <v>50378.151260504201</v>
      </c>
      <c r="G10" s="6">
        <f t="shared" si="0"/>
        <v>9571.8487394957974</v>
      </c>
      <c r="H10" s="6">
        <f t="shared" si="1"/>
        <v>59950</v>
      </c>
    </row>
    <row r="11" spans="1:8" x14ac:dyDescent="0.3">
      <c r="A11">
        <v>195</v>
      </c>
      <c r="B11" t="s">
        <v>8</v>
      </c>
      <c r="C11" s="4" t="s">
        <v>9</v>
      </c>
      <c r="D11" t="s">
        <v>10</v>
      </c>
      <c r="E11">
        <v>307554</v>
      </c>
      <c r="F11" s="5">
        <v>37806.722689075636</v>
      </c>
      <c r="G11" s="6">
        <f t="shared" si="0"/>
        <v>7183.2773109243708</v>
      </c>
      <c r="H11" s="6">
        <f t="shared" si="1"/>
        <v>44990.000000000007</v>
      </c>
    </row>
    <row r="12" spans="1:8" x14ac:dyDescent="0.3">
      <c r="A12">
        <v>195</v>
      </c>
      <c r="B12" t="s">
        <v>8</v>
      </c>
      <c r="C12" s="4" t="s">
        <v>9</v>
      </c>
      <c r="D12" t="s">
        <v>10</v>
      </c>
      <c r="E12">
        <v>307555</v>
      </c>
      <c r="F12" s="5">
        <v>67184.873949579836</v>
      </c>
      <c r="G12" s="6">
        <f t="shared" si="0"/>
        <v>12765.126050420169</v>
      </c>
      <c r="H12" s="6">
        <f t="shared" si="1"/>
        <v>79950</v>
      </c>
    </row>
    <row r="13" spans="1:8" x14ac:dyDescent="0.3">
      <c r="A13">
        <v>195</v>
      </c>
      <c r="B13" t="s">
        <v>8</v>
      </c>
      <c r="C13" s="4" t="s">
        <v>9</v>
      </c>
      <c r="D13" t="s">
        <v>10</v>
      </c>
      <c r="E13">
        <v>307556</v>
      </c>
      <c r="F13" s="5">
        <v>42008.403361344543</v>
      </c>
      <c r="G13" s="6">
        <f t="shared" si="0"/>
        <v>7981.5966386554628</v>
      </c>
      <c r="H13" s="6">
        <f t="shared" si="1"/>
        <v>49990.000000000007</v>
      </c>
    </row>
    <row r="14" spans="1:8" x14ac:dyDescent="0.3">
      <c r="A14">
        <v>195</v>
      </c>
      <c r="B14" t="s">
        <v>8</v>
      </c>
      <c r="C14" s="4" t="s">
        <v>9</v>
      </c>
      <c r="D14" t="s">
        <v>10</v>
      </c>
      <c r="E14">
        <v>307557</v>
      </c>
      <c r="F14" s="5">
        <v>420.1680672268908</v>
      </c>
      <c r="G14" s="6">
        <f t="shared" si="0"/>
        <v>79.831932773109259</v>
      </c>
      <c r="H14" s="6">
        <f t="shared" si="1"/>
        <v>500.00000000000006</v>
      </c>
    </row>
    <row r="15" spans="1:8" x14ac:dyDescent="0.3">
      <c r="A15">
        <v>195</v>
      </c>
      <c r="B15" t="s">
        <v>8</v>
      </c>
      <c r="C15" s="4" t="s">
        <v>11</v>
      </c>
      <c r="D15" t="s">
        <v>10</v>
      </c>
      <c r="E15">
        <v>307558</v>
      </c>
      <c r="F15" s="5">
        <v>50411.764705882357</v>
      </c>
      <c r="G15" s="6">
        <f t="shared" si="0"/>
        <v>9578.2352941176487</v>
      </c>
      <c r="H15" s="6">
        <f t="shared" si="1"/>
        <v>59990.000000000007</v>
      </c>
    </row>
    <row r="16" spans="1:8" x14ac:dyDescent="0.3">
      <c r="A16">
        <v>195</v>
      </c>
      <c r="B16" t="s">
        <v>8</v>
      </c>
      <c r="C16" s="4" t="s">
        <v>11</v>
      </c>
      <c r="D16" t="s">
        <v>10</v>
      </c>
      <c r="E16">
        <v>307559</v>
      </c>
      <c r="F16" s="5">
        <v>5000</v>
      </c>
      <c r="G16" s="6">
        <f t="shared" si="0"/>
        <v>950</v>
      </c>
      <c r="H16" s="6">
        <f t="shared" si="1"/>
        <v>5950</v>
      </c>
    </row>
    <row r="17" spans="1:8" x14ac:dyDescent="0.3">
      <c r="A17">
        <v>195</v>
      </c>
      <c r="B17" t="s">
        <v>8</v>
      </c>
      <c r="C17" s="4" t="s">
        <v>11</v>
      </c>
      <c r="D17" t="s">
        <v>10</v>
      </c>
      <c r="E17">
        <v>307560</v>
      </c>
      <c r="F17" s="5">
        <v>64243.697478991598</v>
      </c>
      <c r="G17" s="6">
        <f t="shared" si="0"/>
        <v>12206.302521008403</v>
      </c>
      <c r="H17" s="6">
        <f t="shared" si="1"/>
        <v>76450</v>
      </c>
    </row>
    <row r="18" spans="1:8" x14ac:dyDescent="0.3">
      <c r="A18">
        <v>195</v>
      </c>
      <c r="B18" t="s">
        <v>8</v>
      </c>
      <c r="C18" s="4" t="s">
        <v>11</v>
      </c>
      <c r="D18" t="s">
        <v>10</v>
      </c>
      <c r="E18">
        <v>307560</v>
      </c>
      <c r="F18" s="5">
        <v>75588.23529411765</v>
      </c>
      <c r="G18" s="6">
        <f t="shared" si="0"/>
        <v>14361.764705882353</v>
      </c>
      <c r="H18" s="6">
        <f t="shared" si="1"/>
        <v>89950</v>
      </c>
    </row>
    <row r="19" spans="1:8" x14ac:dyDescent="0.3">
      <c r="A19">
        <v>195</v>
      </c>
      <c r="B19" t="s">
        <v>8</v>
      </c>
      <c r="C19" s="4" t="s">
        <v>11</v>
      </c>
      <c r="D19" t="s">
        <v>10</v>
      </c>
      <c r="E19">
        <v>307560</v>
      </c>
      <c r="F19" s="5">
        <v>62983.193277310929</v>
      </c>
      <c r="G19" s="6">
        <f t="shared" si="0"/>
        <v>11966.806722689076</v>
      </c>
      <c r="H19" s="6">
        <f t="shared" si="1"/>
        <v>74950</v>
      </c>
    </row>
    <row r="20" spans="1:8" x14ac:dyDescent="0.3">
      <c r="A20">
        <v>195</v>
      </c>
      <c r="B20" t="s">
        <v>8</v>
      </c>
      <c r="C20" s="4" t="s">
        <v>11</v>
      </c>
      <c r="D20" t="s">
        <v>10</v>
      </c>
      <c r="E20">
        <v>307561</v>
      </c>
      <c r="F20" s="5">
        <v>-33605.042016806721</v>
      </c>
      <c r="G20" s="6">
        <f t="shared" si="0"/>
        <v>-6384.957983193277</v>
      </c>
      <c r="H20" s="6">
        <f t="shared" si="1"/>
        <v>-39990</v>
      </c>
    </row>
    <row r="21" spans="1:8" x14ac:dyDescent="0.3">
      <c r="A21">
        <v>195</v>
      </c>
      <c r="B21" t="s">
        <v>8</v>
      </c>
      <c r="C21" s="4" t="s">
        <v>11</v>
      </c>
      <c r="D21" t="s">
        <v>10</v>
      </c>
      <c r="E21">
        <v>307561</v>
      </c>
      <c r="F21" s="5">
        <v>33605.882352941175</v>
      </c>
      <c r="G21" s="6">
        <f t="shared" si="0"/>
        <v>6385.1176470588234</v>
      </c>
      <c r="H21" s="6">
        <f t="shared" si="1"/>
        <v>39991</v>
      </c>
    </row>
    <row r="22" spans="1:8" x14ac:dyDescent="0.3">
      <c r="A22">
        <v>195</v>
      </c>
      <c r="B22" t="s">
        <v>8</v>
      </c>
      <c r="C22" s="4" t="s">
        <v>11</v>
      </c>
      <c r="D22" t="s">
        <v>10</v>
      </c>
      <c r="E22">
        <v>307562</v>
      </c>
      <c r="F22" s="5">
        <v>34630.252100840335</v>
      </c>
      <c r="G22" s="6">
        <f t="shared" si="0"/>
        <v>6579.7478991596636</v>
      </c>
      <c r="H22" s="6">
        <f t="shared" si="1"/>
        <v>41210</v>
      </c>
    </row>
    <row r="23" spans="1:8" x14ac:dyDescent="0.3">
      <c r="A23">
        <v>195</v>
      </c>
      <c r="B23" t="s">
        <v>8</v>
      </c>
      <c r="C23" s="4" t="s">
        <v>11</v>
      </c>
      <c r="D23" t="s">
        <v>10</v>
      </c>
      <c r="E23">
        <v>307563</v>
      </c>
      <c r="F23" s="5">
        <v>71394.957983193279</v>
      </c>
      <c r="G23" s="6">
        <f t="shared" si="0"/>
        <v>13565.042016806723</v>
      </c>
      <c r="H23" s="6">
        <f t="shared" si="1"/>
        <v>84960</v>
      </c>
    </row>
    <row r="24" spans="1:8" x14ac:dyDescent="0.3">
      <c r="A24">
        <v>195</v>
      </c>
      <c r="B24" t="s">
        <v>8</v>
      </c>
      <c r="C24" s="4" t="s">
        <v>11</v>
      </c>
      <c r="D24" t="s">
        <v>10</v>
      </c>
      <c r="E24">
        <v>307563</v>
      </c>
      <c r="F24" s="5">
        <v>-71386.554621848743</v>
      </c>
      <c r="G24" s="6">
        <f t="shared" si="0"/>
        <v>-13563.445378151262</v>
      </c>
      <c r="H24" s="6">
        <f t="shared" si="1"/>
        <v>-84950</v>
      </c>
    </row>
    <row r="25" spans="1:8" x14ac:dyDescent="0.3">
      <c r="A25">
        <v>195</v>
      </c>
      <c r="B25" t="s">
        <v>8</v>
      </c>
      <c r="C25" s="4" t="s">
        <v>11</v>
      </c>
      <c r="D25" t="s">
        <v>10</v>
      </c>
      <c r="E25">
        <v>307564</v>
      </c>
      <c r="F25" s="5">
        <v>37781.512605042015</v>
      </c>
      <c r="G25" s="6">
        <f t="shared" si="0"/>
        <v>7178.4873949579833</v>
      </c>
      <c r="H25" s="6">
        <f t="shared" si="1"/>
        <v>44960</v>
      </c>
    </row>
    <row r="26" spans="1:8" x14ac:dyDescent="0.3">
      <c r="A26">
        <v>195</v>
      </c>
      <c r="B26" t="s">
        <v>8</v>
      </c>
      <c r="C26" s="4" t="s">
        <v>11</v>
      </c>
      <c r="D26" t="s">
        <v>10</v>
      </c>
      <c r="E26">
        <v>307564</v>
      </c>
      <c r="F26" s="5">
        <v>33605.042016806721</v>
      </c>
      <c r="G26" s="6">
        <f t="shared" si="0"/>
        <v>6384.957983193277</v>
      </c>
      <c r="H26" s="6">
        <f t="shared" si="1"/>
        <v>39990</v>
      </c>
    </row>
    <row r="27" spans="1:8" x14ac:dyDescent="0.3">
      <c r="A27">
        <v>195</v>
      </c>
      <c r="B27" t="s">
        <v>8</v>
      </c>
      <c r="C27" s="4" t="s">
        <v>11</v>
      </c>
      <c r="D27" t="s">
        <v>10</v>
      </c>
      <c r="E27">
        <v>307565</v>
      </c>
      <c r="F27" s="5">
        <v>420.1680672268908</v>
      </c>
      <c r="G27" s="6">
        <f t="shared" si="0"/>
        <v>79.831932773109259</v>
      </c>
      <c r="H27" s="6">
        <f t="shared" si="1"/>
        <v>500.00000000000006</v>
      </c>
    </row>
    <row r="28" spans="1:8" x14ac:dyDescent="0.3">
      <c r="A28">
        <v>195</v>
      </c>
      <c r="B28" t="s">
        <v>8</v>
      </c>
      <c r="C28" s="4" t="s">
        <v>12</v>
      </c>
      <c r="D28" t="s">
        <v>10</v>
      </c>
      <c r="E28">
        <v>307566</v>
      </c>
      <c r="F28" s="5">
        <v>42008.403361344543</v>
      </c>
      <c r="G28" s="6">
        <f t="shared" si="0"/>
        <v>7981.5966386554628</v>
      </c>
      <c r="H28" s="6">
        <f t="shared" si="1"/>
        <v>49990.000000000007</v>
      </c>
    </row>
    <row r="29" spans="1:8" x14ac:dyDescent="0.3">
      <c r="A29">
        <v>195</v>
      </c>
      <c r="B29" t="s">
        <v>8</v>
      </c>
      <c r="C29" s="4" t="s">
        <v>12</v>
      </c>
      <c r="D29" t="s">
        <v>10</v>
      </c>
      <c r="E29">
        <v>307566</v>
      </c>
      <c r="F29" s="5">
        <v>33605.042016806721</v>
      </c>
      <c r="G29" s="6">
        <f t="shared" si="0"/>
        <v>6384.957983193277</v>
      </c>
      <c r="H29" s="6">
        <f t="shared" si="1"/>
        <v>39990</v>
      </c>
    </row>
    <row r="30" spans="1:8" x14ac:dyDescent="0.3">
      <c r="A30">
        <v>195</v>
      </c>
      <c r="B30" t="s">
        <v>8</v>
      </c>
      <c r="C30" s="4" t="s">
        <v>12</v>
      </c>
      <c r="D30" t="s">
        <v>10</v>
      </c>
      <c r="E30">
        <v>307567</v>
      </c>
      <c r="F30" s="5">
        <v>67184.873949579836</v>
      </c>
      <c r="G30" s="6">
        <f t="shared" si="0"/>
        <v>12765.126050420169</v>
      </c>
      <c r="H30" s="6">
        <f t="shared" si="1"/>
        <v>79950</v>
      </c>
    </row>
    <row r="31" spans="1:8" x14ac:dyDescent="0.3">
      <c r="A31">
        <v>195</v>
      </c>
      <c r="B31" t="s">
        <v>8</v>
      </c>
      <c r="C31" s="4" t="s">
        <v>12</v>
      </c>
      <c r="D31" t="s">
        <v>10</v>
      </c>
      <c r="E31">
        <v>307568</v>
      </c>
      <c r="F31" s="5">
        <v>42008.403361344543</v>
      </c>
      <c r="G31" s="6">
        <f t="shared" si="0"/>
        <v>7981.5966386554628</v>
      </c>
      <c r="H31" s="6">
        <f t="shared" si="1"/>
        <v>49990.000000000007</v>
      </c>
    </row>
    <row r="32" spans="1:8" x14ac:dyDescent="0.3">
      <c r="A32">
        <v>195</v>
      </c>
      <c r="B32" t="s">
        <v>8</v>
      </c>
      <c r="C32" s="4" t="s">
        <v>12</v>
      </c>
      <c r="D32" t="s">
        <v>10</v>
      </c>
      <c r="E32">
        <v>307568</v>
      </c>
      <c r="F32" s="5">
        <v>29403.361344537818</v>
      </c>
      <c r="G32" s="6">
        <f t="shared" si="0"/>
        <v>5586.6386554621859</v>
      </c>
      <c r="H32" s="6">
        <f t="shared" si="1"/>
        <v>34990</v>
      </c>
    </row>
    <row r="33" spans="1:8" x14ac:dyDescent="0.3">
      <c r="A33">
        <v>195</v>
      </c>
      <c r="B33" t="s">
        <v>8</v>
      </c>
      <c r="C33" s="4" t="s">
        <v>12</v>
      </c>
      <c r="D33" t="s">
        <v>10</v>
      </c>
      <c r="E33">
        <v>307569</v>
      </c>
      <c r="F33" s="5">
        <v>3319.3277310924373</v>
      </c>
      <c r="G33" s="6">
        <f t="shared" si="0"/>
        <v>630.67226890756308</v>
      </c>
      <c r="H33" s="6">
        <f t="shared" si="1"/>
        <v>3950.0000000000005</v>
      </c>
    </row>
    <row r="34" spans="1:8" x14ac:dyDescent="0.3">
      <c r="A34">
        <v>195</v>
      </c>
      <c r="B34" t="s">
        <v>8</v>
      </c>
      <c r="C34" s="4" t="s">
        <v>12</v>
      </c>
      <c r="D34" t="s">
        <v>10</v>
      </c>
      <c r="E34">
        <v>307570</v>
      </c>
      <c r="F34" s="5">
        <v>83991.596638655465</v>
      </c>
      <c r="G34" s="6">
        <f t="shared" si="0"/>
        <v>15958.403361344539</v>
      </c>
      <c r="H34" s="6">
        <f t="shared" si="1"/>
        <v>99950</v>
      </c>
    </row>
    <row r="35" spans="1:8" x14ac:dyDescent="0.3">
      <c r="A35">
        <v>195</v>
      </c>
      <c r="B35" t="s">
        <v>8</v>
      </c>
      <c r="C35" s="4" t="s">
        <v>12</v>
      </c>
      <c r="D35" t="s">
        <v>10</v>
      </c>
      <c r="E35">
        <v>307571</v>
      </c>
      <c r="F35" s="5">
        <v>42009.243697478996</v>
      </c>
      <c r="G35" s="6">
        <f t="shared" si="0"/>
        <v>7981.7563025210093</v>
      </c>
      <c r="H35" s="6">
        <f t="shared" si="1"/>
        <v>49991.000000000007</v>
      </c>
    </row>
    <row r="36" spans="1:8" x14ac:dyDescent="0.3">
      <c r="A36">
        <v>195</v>
      </c>
      <c r="B36" t="s">
        <v>8</v>
      </c>
      <c r="C36" s="4" t="s">
        <v>12</v>
      </c>
      <c r="D36" t="s">
        <v>10</v>
      </c>
      <c r="E36">
        <v>307571</v>
      </c>
      <c r="F36" s="5">
        <v>-42008.403361344543</v>
      </c>
      <c r="G36" s="6">
        <f t="shared" si="0"/>
        <v>-7981.5966386554628</v>
      </c>
      <c r="H36" s="6">
        <f t="shared" si="1"/>
        <v>-49990.000000000007</v>
      </c>
    </row>
    <row r="37" spans="1:8" x14ac:dyDescent="0.3">
      <c r="A37">
        <v>195</v>
      </c>
      <c r="B37" t="s">
        <v>8</v>
      </c>
      <c r="C37" s="4" t="s">
        <v>12</v>
      </c>
      <c r="D37" t="s">
        <v>10</v>
      </c>
      <c r="E37">
        <v>307572</v>
      </c>
      <c r="F37" s="5">
        <v>71386.554621848743</v>
      </c>
      <c r="G37" s="6">
        <f t="shared" si="0"/>
        <v>13563.445378151262</v>
      </c>
      <c r="H37" s="6">
        <f t="shared" si="1"/>
        <v>84950</v>
      </c>
    </row>
    <row r="38" spans="1:8" x14ac:dyDescent="0.3">
      <c r="A38">
        <v>195</v>
      </c>
      <c r="B38" t="s">
        <v>8</v>
      </c>
      <c r="C38" s="4" t="s">
        <v>12</v>
      </c>
      <c r="D38" t="s">
        <v>10</v>
      </c>
      <c r="E38">
        <v>307572</v>
      </c>
      <c r="F38" s="5">
        <v>75588.23529411765</v>
      </c>
      <c r="G38" s="6">
        <f t="shared" si="0"/>
        <v>14361.764705882353</v>
      </c>
      <c r="H38" s="6">
        <f t="shared" si="1"/>
        <v>89950</v>
      </c>
    </row>
    <row r="39" spans="1:8" x14ac:dyDescent="0.3">
      <c r="A39">
        <v>195</v>
      </c>
      <c r="B39" t="s">
        <v>8</v>
      </c>
      <c r="C39" s="4" t="s">
        <v>12</v>
      </c>
      <c r="D39" t="s">
        <v>10</v>
      </c>
      <c r="E39">
        <v>307573</v>
      </c>
      <c r="F39" s="5">
        <v>62983.193277310929</v>
      </c>
      <c r="G39" s="6">
        <f t="shared" si="0"/>
        <v>11966.806722689076</v>
      </c>
      <c r="H39" s="6">
        <f t="shared" si="1"/>
        <v>74950</v>
      </c>
    </row>
    <row r="40" spans="1:8" x14ac:dyDescent="0.3">
      <c r="A40">
        <v>195</v>
      </c>
      <c r="B40" t="s">
        <v>8</v>
      </c>
      <c r="C40" s="4" t="s">
        <v>12</v>
      </c>
      <c r="D40" t="s">
        <v>10</v>
      </c>
      <c r="E40">
        <v>307573</v>
      </c>
      <c r="F40" s="5">
        <v>-42008.403361344543</v>
      </c>
      <c r="G40" s="6">
        <f t="shared" si="0"/>
        <v>-7981.5966386554628</v>
      </c>
      <c r="H40" s="6">
        <f t="shared" si="1"/>
        <v>-49990.000000000007</v>
      </c>
    </row>
    <row r="41" spans="1:8" x14ac:dyDescent="0.3">
      <c r="A41">
        <v>195</v>
      </c>
      <c r="B41" t="s">
        <v>8</v>
      </c>
      <c r="C41" s="4" t="s">
        <v>13</v>
      </c>
      <c r="D41" t="s">
        <v>10</v>
      </c>
      <c r="E41">
        <v>307574</v>
      </c>
      <c r="F41" s="5">
        <v>50411.764705882357</v>
      </c>
      <c r="G41" s="6">
        <f t="shared" si="0"/>
        <v>9578.2352941176487</v>
      </c>
      <c r="H41" s="6">
        <f t="shared" si="1"/>
        <v>59990.000000000007</v>
      </c>
    </row>
    <row r="42" spans="1:8" x14ac:dyDescent="0.3">
      <c r="A42">
        <v>195</v>
      </c>
      <c r="B42" t="s">
        <v>8</v>
      </c>
      <c r="C42" s="4" t="s">
        <v>13</v>
      </c>
      <c r="D42" t="s">
        <v>10</v>
      </c>
      <c r="E42">
        <v>307575</v>
      </c>
      <c r="F42" s="5">
        <v>62983.193277310929</v>
      </c>
      <c r="G42" s="6">
        <f t="shared" si="0"/>
        <v>11966.806722689076</v>
      </c>
      <c r="H42" s="6">
        <f t="shared" si="1"/>
        <v>74950</v>
      </c>
    </row>
    <row r="43" spans="1:8" x14ac:dyDescent="0.3">
      <c r="A43">
        <v>195</v>
      </c>
      <c r="B43" t="s">
        <v>8</v>
      </c>
      <c r="C43" s="4" t="s">
        <v>13</v>
      </c>
      <c r="D43" t="s">
        <v>10</v>
      </c>
      <c r="E43">
        <v>307576</v>
      </c>
      <c r="F43" s="5">
        <v>420.1680672268908</v>
      </c>
      <c r="G43" s="6">
        <f t="shared" si="0"/>
        <v>79.831932773109259</v>
      </c>
      <c r="H43" s="6">
        <f t="shared" si="1"/>
        <v>500.00000000000006</v>
      </c>
    </row>
    <row r="44" spans="1:8" x14ac:dyDescent="0.3">
      <c r="A44">
        <v>195</v>
      </c>
      <c r="B44" t="s">
        <v>8</v>
      </c>
      <c r="C44" s="4" t="s">
        <v>13</v>
      </c>
      <c r="D44" t="s">
        <v>10</v>
      </c>
      <c r="E44">
        <v>307577</v>
      </c>
      <c r="F44" s="5">
        <v>75588.23529411765</v>
      </c>
      <c r="G44" s="6">
        <f t="shared" si="0"/>
        <v>14361.764705882353</v>
      </c>
      <c r="H44" s="6">
        <f t="shared" si="1"/>
        <v>89950</v>
      </c>
    </row>
    <row r="45" spans="1:8" x14ac:dyDescent="0.3">
      <c r="A45">
        <v>195</v>
      </c>
      <c r="B45" t="s">
        <v>8</v>
      </c>
      <c r="C45" s="4" t="s">
        <v>13</v>
      </c>
      <c r="D45" t="s">
        <v>10</v>
      </c>
      <c r="E45">
        <v>307578</v>
      </c>
      <c r="F45" s="5">
        <v>50411.764705882357</v>
      </c>
      <c r="G45" s="6">
        <f t="shared" si="0"/>
        <v>9578.2352941176487</v>
      </c>
      <c r="H45" s="6">
        <f t="shared" si="1"/>
        <v>59990.000000000007</v>
      </c>
    </row>
    <row r="46" spans="1:8" x14ac:dyDescent="0.3">
      <c r="A46">
        <v>195</v>
      </c>
      <c r="B46" t="s">
        <v>8</v>
      </c>
      <c r="C46" s="4" t="s">
        <v>13</v>
      </c>
      <c r="D46" t="s">
        <v>10</v>
      </c>
      <c r="E46">
        <v>307579</v>
      </c>
      <c r="F46" s="5">
        <v>42008.403361344543</v>
      </c>
      <c r="G46" s="6">
        <f t="shared" si="0"/>
        <v>7981.5966386554628</v>
      </c>
      <c r="H46" s="6">
        <f t="shared" si="1"/>
        <v>49990.000000000007</v>
      </c>
    </row>
    <row r="47" spans="1:8" x14ac:dyDescent="0.3">
      <c r="A47">
        <v>195</v>
      </c>
      <c r="B47" t="s">
        <v>8</v>
      </c>
      <c r="C47" s="4" t="s">
        <v>13</v>
      </c>
      <c r="D47" t="s">
        <v>10</v>
      </c>
      <c r="E47">
        <v>307580</v>
      </c>
      <c r="F47" s="5">
        <v>42008.403361344543</v>
      </c>
      <c r="G47" s="6">
        <f t="shared" si="0"/>
        <v>7981.5966386554628</v>
      </c>
      <c r="H47" s="6">
        <f t="shared" si="1"/>
        <v>49990.000000000007</v>
      </c>
    </row>
    <row r="48" spans="1:8" x14ac:dyDescent="0.3">
      <c r="A48">
        <v>195</v>
      </c>
      <c r="B48" t="s">
        <v>8</v>
      </c>
      <c r="C48" s="4" t="s">
        <v>13</v>
      </c>
      <c r="D48" t="s">
        <v>10</v>
      </c>
      <c r="E48">
        <v>307580</v>
      </c>
      <c r="F48" s="5">
        <v>1680.6722689075632</v>
      </c>
      <c r="G48" s="6">
        <f t="shared" si="0"/>
        <v>319.32773109243703</v>
      </c>
      <c r="H48" s="6">
        <f t="shared" si="1"/>
        <v>2000.0000000000002</v>
      </c>
    </row>
    <row r="49" spans="1:8" x14ac:dyDescent="0.3">
      <c r="A49">
        <v>195</v>
      </c>
      <c r="B49" t="s">
        <v>8</v>
      </c>
      <c r="C49" s="4" t="s">
        <v>13</v>
      </c>
      <c r="D49" t="s">
        <v>10</v>
      </c>
      <c r="E49">
        <v>307581</v>
      </c>
      <c r="F49" s="5">
        <v>62983.193277310929</v>
      </c>
      <c r="G49" s="6">
        <f t="shared" si="0"/>
        <v>11966.806722689076</v>
      </c>
      <c r="H49" s="6">
        <f t="shared" si="1"/>
        <v>74950</v>
      </c>
    </row>
    <row r="50" spans="1:8" x14ac:dyDescent="0.3">
      <c r="A50">
        <v>195</v>
      </c>
      <c r="B50" t="s">
        <v>8</v>
      </c>
      <c r="C50" s="4" t="s">
        <v>13</v>
      </c>
      <c r="D50" t="s">
        <v>10</v>
      </c>
      <c r="E50">
        <v>307582</v>
      </c>
      <c r="F50" s="5">
        <v>41974.789915966387</v>
      </c>
      <c r="G50" s="6">
        <f t="shared" si="0"/>
        <v>7975.2100840336134</v>
      </c>
      <c r="H50" s="6">
        <f t="shared" si="1"/>
        <v>49950</v>
      </c>
    </row>
    <row r="51" spans="1:8" x14ac:dyDescent="0.3">
      <c r="A51">
        <v>195</v>
      </c>
      <c r="B51" t="s">
        <v>8</v>
      </c>
      <c r="C51" s="4" t="s">
        <v>13</v>
      </c>
      <c r="D51" t="s">
        <v>10</v>
      </c>
      <c r="E51">
        <v>307583</v>
      </c>
      <c r="F51" s="5">
        <v>420.1680672268908</v>
      </c>
      <c r="G51" s="6">
        <f t="shared" si="0"/>
        <v>79.831932773109259</v>
      </c>
      <c r="H51" s="6">
        <f t="shared" si="1"/>
        <v>500.00000000000006</v>
      </c>
    </row>
    <row r="52" spans="1:8" x14ac:dyDescent="0.3">
      <c r="A52">
        <v>195</v>
      </c>
      <c r="B52" t="s">
        <v>8</v>
      </c>
      <c r="C52" s="4" t="s">
        <v>14</v>
      </c>
      <c r="D52" t="s">
        <v>10</v>
      </c>
      <c r="E52">
        <v>307584</v>
      </c>
      <c r="F52" s="5">
        <v>0.84033613445378152</v>
      </c>
      <c r="G52" s="6">
        <f t="shared" si="0"/>
        <v>0.1596638655462185</v>
      </c>
      <c r="H52" s="6">
        <f t="shared" si="1"/>
        <v>1</v>
      </c>
    </row>
    <row r="53" spans="1:8" x14ac:dyDescent="0.3">
      <c r="A53">
        <v>195</v>
      </c>
      <c r="B53" t="s">
        <v>8</v>
      </c>
      <c r="C53" s="4" t="s">
        <v>14</v>
      </c>
      <c r="D53" t="s">
        <v>10</v>
      </c>
      <c r="E53">
        <v>307585</v>
      </c>
      <c r="F53" s="5">
        <v>5840.3361344537816</v>
      </c>
      <c r="G53" s="6">
        <f t="shared" si="0"/>
        <v>1109.6638655462184</v>
      </c>
      <c r="H53" s="6">
        <f t="shared" si="1"/>
        <v>6950</v>
      </c>
    </row>
    <row r="54" spans="1:8" x14ac:dyDescent="0.3">
      <c r="A54">
        <v>195</v>
      </c>
      <c r="B54" t="s">
        <v>8</v>
      </c>
      <c r="C54" s="4" t="s">
        <v>14</v>
      </c>
      <c r="D54" t="s">
        <v>10</v>
      </c>
      <c r="E54">
        <v>307586</v>
      </c>
      <c r="F54" s="5">
        <v>29403.361344537818</v>
      </c>
      <c r="G54" s="6">
        <f t="shared" si="0"/>
        <v>5586.6386554621859</v>
      </c>
      <c r="H54" s="6">
        <f t="shared" si="1"/>
        <v>34990</v>
      </c>
    </row>
    <row r="55" spans="1:8" x14ac:dyDescent="0.3">
      <c r="A55">
        <v>195</v>
      </c>
      <c r="B55" t="s">
        <v>8</v>
      </c>
      <c r="C55" s="4" t="s">
        <v>14</v>
      </c>
      <c r="D55" t="s">
        <v>10</v>
      </c>
      <c r="E55">
        <v>307586</v>
      </c>
      <c r="F55" s="5">
        <v>420.1680672268908</v>
      </c>
      <c r="G55" s="6">
        <f t="shared" si="0"/>
        <v>79.831932773109259</v>
      </c>
      <c r="H55" s="6">
        <f t="shared" si="1"/>
        <v>500.00000000000006</v>
      </c>
    </row>
    <row r="56" spans="1:8" x14ac:dyDescent="0.3">
      <c r="A56">
        <v>195</v>
      </c>
      <c r="B56" t="s">
        <v>8</v>
      </c>
      <c r="C56" s="4" t="s">
        <v>14</v>
      </c>
      <c r="D56" t="s">
        <v>10</v>
      </c>
      <c r="E56">
        <v>307587</v>
      </c>
      <c r="F56" s="5">
        <v>33605.042016806721</v>
      </c>
      <c r="G56" s="6">
        <f t="shared" si="0"/>
        <v>6384.957983193277</v>
      </c>
      <c r="H56" s="6">
        <f t="shared" si="1"/>
        <v>39990</v>
      </c>
    </row>
    <row r="57" spans="1:8" x14ac:dyDescent="0.3">
      <c r="A57">
        <v>195</v>
      </c>
      <c r="B57" t="s">
        <v>8</v>
      </c>
      <c r="C57" s="4" t="s">
        <v>14</v>
      </c>
      <c r="D57" t="s">
        <v>10</v>
      </c>
      <c r="E57">
        <v>307587</v>
      </c>
      <c r="F57" s="5">
        <v>420.1680672268908</v>
      </c>
      <c r="G57" s="6">
        <f t="shared" si="0"/>
        <v>79.831932773109259</v>
      </c>
      <c r="H57" s="6">
        <f t="shared" si="1"/>
        <v>500.00000000000006</v>
      </c>
    </row>
    <row r="58" spans="1:8" x14ac:dyDescent="0.3">
      <c r="A58">
        <v>195</v>
      </c>
      <c r="B58" t="s">
        <v>8</v>
      </c>
      <c r="C58" s="4" t="s">
        <v>14</v>
      </c>
      <c r="D58" t="s">
        <v>10</v>
      </c>
      <c r="E58">
        <v>307588</v>
      </c>
      <c r="F58" s="5">
        <v>71386.554621848743</v>
      </c>
      <c r="G58" s="6">
        <f t="shared" si="0"/>
        <v>13563.445378151262</v>
      </c>
      <c r="H58" s="6">
        <f t="shared" si="1"/>
        <v>84950</v>
      </c>
    </row>
    <row r="59" spans="1:8" x14ac:dyDescent="0.3">
      <c r="A59">
        <v>195</v>
      </c>
      <c r="B59" t="s">
        <v>8</v>
      </c>
      <c r="C59" s="4" t="s">
        <v>14</v>
      </c>
      <c r="D59" t="s">
        <v>10</v>
      </c>
      <c r="E59">
        <v>307589</v>
      </c>
      <c r="F59" s="5">
        <v>29403.361344537818</v>
      </c>
      <c r="G59" s="6">
        <f t="shared" si="0"/>
        <v>5586.6386554621859</v>
      </c>
      <c r="H59" s="6">
        <f t="shared" si="1"/>
        <v>34990</v>
      </c>
    </row>
    <row r="60" spans="1:8" x14ac:dyDescent="0.3">
      <c r="A60">
        <v>195</v>
      </c>
      <c r="B60" t="s">
        <v>8</v>
      </c>
      <c r="C60" s="4" t="s">
        <v>14</v>
      </c>
      <c r="D60" t="s">
        <v>10</v>
      </c>
      <c r="E60">
        <v>307590</v>
      </c>
      <c r="F60" s="5">
        <v>58781.512605042022</v>
      </c>
      <c r="G60" s="6">
        <f t="shared" si="0"/>
        <v>11168.487394957985</v>
      </c>
      <c r="H60" s="6">
        <f t="shared" si="1"/>
        <v>69950</v>
      </c>
    </row>
    <row r="61" spans="1:8" x14ac:dyDescent="0.3">
      <c r="A61">
        <v>195</v>
      </c>
      <c r="B61" t="s">
        <v>8</v>
      </c>
      <c r="C61" s="4" t="s">
        <v>14</v>
      </c>
      <c r="D61" t="s">
        <v>10</v>
      </c>
      <c r="E61">
        <v>307591</v>
      </c>
      <c r="F61" s="5">
        <v>420.1680672268908</v>
      </c>
      <c r="G61" s="6">
        <f t="shared" si="0"/>
        <v>79.831932773109259</v>
      </c>
      <c r="H61" s="6">
        <f t="shared" si="1"/>
        <v>500.00000000000006</v>
      </c>
    </row>
    <row r="62" spans="1:8" x14ac:dyDescent="0.3">
      <c r="A62">
        <v>195</v>
      </c>
      <c r="B62" t="s">
        <v>8</v>
      </c>
      <c r="C62" s="4" t="s">
        <v>14</v>
      </c>
      <c r="D62" t="s">
        <v>10</v>
      </c>
      <c r="E62">
        <v>307592</v>
      </c>
      <c r="F62" s="5">
        <v>83991.596638655465</v>
      </c>
      <c r="G62" s="6">
        <f t="shared" si="0"/>
        <v>15958.403361344539</v>
      </c>
      <c r="H62" s="6">
        <f t="shared" si="1"/>
        <v>99950</v>
      </c>
    </row>
    <row r="63" spans="1:8" x14ac:dyDescent="0.3">
      <c r="A63">
        <v>195</v>
      </c>
      <c r="B63" t="s">
        <v>8</v>
      </c>
      <c r="C63" s="4" t="s">
        <v>14</v>
      </c>
      <c r="D63" t="s">
        <v>10</v>
      </c>
      <c r="E63">
        <v>307593</v>
      </c>
      <c r="F63" s="5">
        <v>5000</v>
      </c>
      <c r="G63" s="6">
        <f t="shared" si="0"/>
        <v>950</v>
      </c>
      <c r="H63" s="6">
        <f t="shared" si="1"/>
        <v>5950</v>
      </c>
    </row>
    <row r="64" spans="1:8" x14ac:dyDescent="0.3">
      <c r="A64">
        <v>195</v>
      </c>
      <c r="B64" t="s">
        <v>8</v>
      </c>
      <c r="C64" s="4" t="s">
        <v>14</v>
      </c>
      <c r="D64" t="s">
        <v>10</v>
      </c>
      <c r="E64">
        <v>307594</v>
      </c>
      <c r="F64" s="5">
        <v>50378.151260504201</v>
      </c>
      <c r="G64" s="6">
        <f t="shared" si="0"/>
        <v>9571.8487394957974</v>
      </c>
      <c r="H64" s="6">
        <f t="shared" si="1"/>
        <v>59950</v>
      </c>
    </row>
    <row r="65" spans="1:8" x14ac:dyDescent="0.3">
      <c r="A65">
        <v>195</v>
      </c>
      <c r="B65" t="s">
        <v>8</v>
      </c>
      <c r="C65" s="4" t="s">
        <v>14</v>
      </c>
      <c r="D65" t="s">
        <v>10</v>
      </c>
      <c r="E65">
        <v>307595</v>
      </c>
      <c r="F65" s="5">
        <v>420.1680672268908</v>
      </c>
      <c r="G65" s="6">
        <f t="shared" si="0"/>
        <v>79.831932773109259</v>
      </c>
      <c r="H65" s="6">
        <f t="shared" si="1"/>
        <v>500.00000000000006</v>
      </c>
    </row>
    <row r="66" spans="1:8" x14ac:dyDescent="0.3">
      <c r="A66">
        <v>195</v>
      </c>
      <c r="B66" t="s">
        <v>8</v>
      </c>
      <c r="C66" s="4" t="s">
        <v>14</v>
      </c>
      <c r="D66" t="s">
        <v>10</v>
      </c>
      <c r="E66">
        <v>307596</v>
      </c>
      <c r="F66" s="5">
        <v>42008.403361344543</v>
      </c>
      <c r="G66" s="6">
        <f t="shared" si="0"/>
        <v>7981.5966386554628</v>
      </c>
      <c r="H66" s="6">
        <f t="shared" si="1"/>
        <v>49990.000000000007</v>
      </c>
    </row>
    <row r="67" spans="1:8" x14ac:dyDescent="0.3">
      <c r="A67">
        <v>195</v>
      </c>
      <c r="B67" t="s">
        <v>8</v>
      </c>
      <c r="C67" s="4" t="s">
        <v>14</v>
      </c>
      <c r="D67" t="s">
        <v>10</v>
      </c>
      <c r="E67">
        <v>307596</v>
      </c>
      <c r="F67" s="5">
        <v>49957.983193277316</v>
      </c>
      <c r="G67" s="6">
        <f t="shared" ref="G67:G130" si="2">F67*19%</f>
        <v>9492.0168067226896</v>
      </c>
      <c r="H67" s="6">
        <f t="shared" ref="H67:H130" si="3">+G67+F67</f>
        <v>59450.000000000007</v>
      </c>
    </row>
    <row r="68" spans="1:8" x14ac:dyDescent="0.3">
      <c r="A68">
        <v>195</v>
      </c>
      <c r="B68" t="s">
        <v>8</v>
      </c>
      <c r="C68" s="4" t="s">
        <v>14</v>
      </c>
      <c r="D68" t="s">
        <v>10</v>
      </c>
      <c r="E68">
        <v>307597</v>
      </c>
      <c r="F68" s="5">
        <v>29403.361344537818</v>
      </c>
      <c r="G68" s="6">
        <f t="shared" si="2"/>
        <v>5586.6386554621859</v>
      </c>
      <c r="H68" s="6">
        <f t="shared" si="3"/>
        <v>34990</v>
      </c>
    </row>
    <row r="69" spans="1:8" x14ac:dyDescent="0.3">
      <c r="A69">
        <v>195</v>
      </c>
      <c r="B69" t="s">
        <v>8</v>
      </c>
      <c r="C69" s="4" t="s">
        <v>14</v>
      </c>
      <c r="D69" t="s">
        <v>10</v>
      </c>
      <c r="E69">
        <v>307597</v>
      </c>
      <c r="F69" s="5">
        <v>53529.411764705888</v>
      </c>
      <c r="G69" s="6">
        <f t="shared" si="2"/>
        <v>10170.588235294119</v>
      </c>
      <c r="H69" s="6">
        <f t="shared" si="3"/>
        <v>63700.000000000007</v>
      </c>
    </row>
    <row r="70" spans="1:8" x14ac:dyDescent="0.3">
      <c r="A70">
        <v>195</v>
      </c>
      <c r="B70" t="s">
        <v>8</v>
      </c>
      <c r="C70" s="4" t="s">
        <v>14</v>
      </c>
      <c r="D70" t="s">
        <v>10</v>
      </c>
      <c r="E70">
        <v>307598</v>
      </c>
      <c r="F70" s="5">
        <v>47235.294117647063</v>
      </c>
      <c r="G70" s="6">
        <f t="shared" si="2"/>
        <v>8974.7058823529424</v>
      </c>
      <c r="H70" s="6">
        <f t="shared" si="3"/>
        <v>56210.000000000007</v>
      </c>
    </row>
    <row r="71" spans="1:8" x14ac:dyDescent="0.3">
      <c r="A71">
        <v>195</v>
      </c>
      <c r="B71" t="s">
        <v>8</v>
      </c>
      <c r="C71" s="4" t="s">
        <v>15</v>
      </c>
      <c r="D71" t="s">
        <v>10</v>
      </c>
      <c r="E71">
        <v>307599</v>
      </c>
      <c r="F71" s="5">
        <v>58781.512605042022</v>
      </c>
      <c r="G71" s="6">
        <f t="shared" si="2"/>
        <v>11168.487394957985</v>
      </c>
      <c r="H71" s="6">
        <f t="shared" si="3"/>
        <v>69950</v>
      </c>
    </row>
    <row r="72" spans="1:8" x14ac:dyDescent="0.3">
      <c r="A72">
        <v>195</v>
      </c>
      <c r="B72" t="s">
        <v>8</v>
      </c>
      <c r="C72" s="4" t="s">
        <v>15</v>
      </c>
      <c r="D72" t="s">
        <v>10</v>
      </c>
      <c r="E72">
        <v>307600</v>
      </c>
      <c r="F72" s="5">
        <v>420.1680672268908</v>
      </c>
      <c r="G72" s="6">
        <f t="shared" si="2"/>
        <v>79.831932773109259</v>
      </c>
      <c r="H72" s="6">
        <f t="shared" si="3"/>
        <v>500.00000000000006</v>
      </c>
    </row>
    <row r="73" spans="1:8" x14ac:dyDescent="0.3">
      <c r="A73">
        <v>195</v>
      </c>
      <c r="B73" t="s">
        <v>8</v>
      </c>
      <c r="C73" s="4" t="s">
        <v>15</v>
      </c>
      <c r="D73" t="s">
        <v>10</v>
      </c>
      <c r="E73">
        <v>307601</v>
      </c>
      <c r="F73" s="5">
        <v>5840.3361344537816</v>
      </c>
      <c r="G73" s="6">
        <f t="shared" si="2"/>
        <v>1109.6638655462184</v>
      </c>
      <c r="H73" s="6">
        <f t="shared" si="3"/>
        <v>6950</v>
      </c>
    </row>
    <row r="74" spans="1:8" x14ac:dyDescent="0.3">
      <c r="A74">
        <v>195</v>
      </c>
      <c r="B74" t="s">
        <v>8</v>
      </c>
      <c r="C74" s="4" t="s">
        <v>15</v>
      </c>
      <c r="D74" t="s">
        <v>10</v>
      </c>
      <c r="E74">
        <v>307602</v>
      </c>
      <c r="F74" s="5">
        <v>58815.126050420171</v>
      </c>
      <c r="G74" s="6">
        <f t="shared" si="2"/>
        <v>11174.873949579833</v>
      </c>
      <c r="H74" s="6">
        <f t="shared" si="3"/>
        <v>69990</v>
      </c>
    </row>
    <row r="75" spans="1:8" x14ac:dyDescent="0.3">
      <c r="A75">
        <v>195</v>
      </c>
      <c r="B75" t="s">
        <v>8</v>
      </c>
      <c r="C75" s="4" t="s">
        <v>15</v>
      </c>
      <c r="D75" t="s">
        <v>10</v>
      </c>
      <c r="E75">
        <v>307602</v>
      </c>
      <c r="F75" s="5">
        <v>42008.403361344543</v>
      </c>
      <c r="G75" s="6">
        <f t="shared" si="2"/>
        <v>7981.5966386554628</v>
      </c>
      <c r="H75" s="6">
        <f t="shared" si="3"/>
        <v>49990.000000000007</v>
      </c>
    </row>
    <row r="76" spans="1:8" x14ac:dyDescent="0.3">
      <c r="A76">
        <v>195</v>
      </c>
      <c r="B76" t="s">
        <v>8</v>
      </c>
      <c r="C76" s="4" t="s">
        <v>15</v>
      </c>
      <c r="D76" t="s">
        <v>10</v>
      </c>
      <c r="E76">
        <v>307603</v>
      </c>
      <c r="F76" s="5">
        <v>54579.831932773115</v>
      </c>
      <c r="G76" s="6">
        <f t="shared" si="2"/>
        <v>10370.168067226892</v>
      </c>
      <c r="H76" s="6">
        <f t="shared" si="3"/>
        <v>64950.000000000007</v>
      </c>
    </row>
    <row r="77" spans="1:8" x14ac:dyDescent="0.3">
      <c r="A77">
        <v>195</v>
      </c>
      <c r="B77" t="s">
        <v>8</v>
      </c>
      <c r="C77" s="4" t="s">
        <v>15</v>
      </c>
      <c r="D77" t="s">
        <v>10</v>
      </c>
      <c r="E77">
        <v>307604</v>
      </c>
      <c r="F77" s="5">
        <v>5000</v>
      </c>
      <c r="G77" s="6">
        <f t="shared" si="2"/>
        <v>950</v>
      </c>
      <c r="H77" s="6">
        <f t="shared" si="3"/>
        <v>5950</v>
      </c>
    </row>
    <row r="78" spans="1:8" x14ac:dyDescent="0.3">
      <c r="A78">
        <v>195</v>
      </c>
      <c r="B78" t="s">
        <v>8</v>
      </c>
      <c r="C78" s="4" t="s">
        <v>15</v>
      </c>
      <c r="D78" t="s">
        <v>10</v>
      </c>
      <c r="E78">
        <v>307605</v>
      </c>
      <c r="F78" s="5">
        <v>29403.361344537818</v>
      </c>
      <c r="G78" s="6">
        <f t="shared" si="2"/>
        <v>5586.6386554621859</v>
      </c>
      <c r="H78" s="6">
        <f t="shared" si="3"/>
        <v>34990</v>
      </c>
    </row>
    <row r="79" spans="1:8" x14ac:dyDescent="0.3">
      <c r="A79">
        <v>195</v>
      </c>
      <c r="B79" t="s">
        <v>8</v>
      </c>
      <c r="C79" s="4" t="s">
        <v>15</v>
      </c>
      <c r="D79" t="s">
        <v>10</v>
      </c>
      <c r="E79">
        <v>307606</v>
      </c>
      <c r="F79" s="5">
        <v>29403.361344537818</v>
      </c>
      <c r="G79" s="6">
        <f t="shared" si="2"/>
        <v>5586.6386554621859</v>
      </c>
      <c r="H79" s="6">
        <f t="shared" si="3"/>
        <v>34990</v>
      </c>
    </row>
    <row r="80" spans="1:8" x14ac:dyDescent="0.3">
      <c r="A80">
        <v>195</v>
      </c>
      <c r="B80" t="s">
        <v>8</v>
      </c>
      <c r="C80" s="4" t="s">
        <v>15</v>
      </c>
      <c r="D80" t="s">
        <v>10</v>
      </c>
      <c r="E80">
        <v>307607</v>
      </c>
      <c r="F80" s="5">
        <v>75588.23529411765</v>
      </c>
      <c r="G80" s="6">
        <f t="shared" si="2"/>
        <v>14361.764705882353</v>
      </c>
      <c r="H80" s="6">
        <f t="shared" si="3"/>
        <v>89950</v>
      </c>
    </row>
    <row r="81" spans="1:8" x14ac:dyDescent="0.3">
      <c r="A81">
        <v>195</v>
      </c>
      <c r="B81" t="s">
        <v>8</v>
      </c>
      <c r="C81" s="4" t="s">
        <v>15</v>
      </c>
      <c r="D81" t="s">
        <v>10</v>
      </c>
      <c r="E81">
        <v>307608</v>
      </c>
      <c r="F81" s="5">
        <v>44084.033613445383</v>
      </c>
      <c r="G81" s="6">
        <f t="shared" si="2"/>
        <v>8375.9663865546227</v>
      </c>
      <c r="H81" s="6">
        <f t="shared" si="3"/>
        <v>52460.000000000007</v>
      </c>
    </row>
    <row r="82" spans="1:8" x14ac:dyDescent="0.3">
      <c r="A82">
        <v>195</v>
      </c>
      <c r="B82" t="s">
        <v>8</v>
      </c>
      <c r="C82" s="4" t="s">
        <v>15</v>
      </c>
      <c r="D82" t="s">
        <v>10</v>
      </c>
      <c r="E82">
        <v>307609</v>
      </c>
      <c r="F82" s="5">
        <v>42008.403361344543</v>
      </c>
      <c r="G82" s="6">
        <f t="shared" si="2"/>
        <v>7981.5966386554628</v>
      </c>
      <c r="H82" s="6">
        <f t="shared" si="3"/>
        <v>49990.000000000007</v>
      </c>
    </row>
    <row r="83" spans="1:8" x14ac:dyDescent="0.3">
      <c r="A83">
        <v>195</v>
      </c>
      <c r="B83" t="s">
        <v>8</v>
      </c>
      <c r="C83" s="4" t="s">
        <v>15</v>
      </c>
      <c r="D83" t="s">
        <v>10</v>
      </c>
      <c r="E83">
        <v>307610</v>
      </c>
      <c r="F83" s="5">
        <v>50378.151260504201</v>
      </c>
      <c r="G83" s="6">
        <f t="shared" si="2"/>
        <v>9571.8487394957974</v>
      </c>
      <c r="H83" s="6">
        <f t="shared" si="3"/>
        <v>59950</v>
      </c>
    </row>
    <row r="84" spans="1:8" x14ac:dyDescent="0.3">
      <c r="A84">
        <v>195</v>
      </c>
      <c r="B84" t="s">
        <v>8</v>
      </c>
      <c r="C84" s="4" t="s">
        <v>15</v>
      </c>
      <c r="D84" t="s">
        <v>10</v>
      </c>
      <c r="E84">
        <v>307611</v>
      </c>
      <c r="F84" s="5">
        <v>50411.764705882357</v>
      </c>
      <c r="G84" s="6">
        <f t="shared" si="2"/>
        <v>9578.2352941176487</v>
      </c>
      <c r="H84" s="6">
        <f t="shared" si="3"/>
        <v>59990.000000000007</v>
      </c>
    </row>
    <row r="85" spans="1:8" x14ac:dyDescent="0.3">
      <c r="A85">
        <v>195</v>
      </c>
      <c r="B85" t="s">
        <v>8</v>
      </c>
      <c r="C85" s="4" t="s">
        <v>15</v>
      </c>
      <c r="D85" t="s">
        <v>10</v>
      </c>
      <c r="E85">
        <v>307611</v>
      </c>
      <c r="F85" s="5">
        <v>-42008.403361344543</v>
      </c>
      <c r="G85" s="6">
        <f t="shared" si="2"/>
        <v>-7981.5966386554628</v>
      </c>
      <c r="H85" s="6">
        <f t="shared" si="3"/>
        <v>-49990.000000000007</v>
      </c>
    </row>
    <row r="86" spans="1:8" x14ac:dyDescent="0.3">
      <c r="A86">
        <v>195</v>
      </c>
      <c r="B86" t="s">
        <v>8</v>
      </c>
      <c r="C86" s="4" t="s">
        <v>16</v>
      </c>
      <c r="D86" t="s">
        <v>17</v>
      </c>
      <c r="E86">
        <v>25380</v>
      </c>
      <c r="F86" s="5">
        <v>-71386.554621848743</v>
      </c>
      <c r="G86" s="6">
        <f t="shared" si="2"/>
        <v>-13563.445378151262</v>
      </c>
      <c r="H86" s="6">
        <f t="shared" si="3"/>
        <v>-84950</v>
      </c>
    </row>
    <row r="87" spans="1:8" x14ac:dyDescent="0.3">
      <c r="A87">
        <v>195</v>
      </c>
      <c r="B87" t="s">
        <v>8</v>
      </c>
      <c r="C87" s="4" t="s">
        <v>16</v>
      </c>
      <c r="D87" t="s">
        <v>10</v>
      </c>
      <c r="E87">
        <v>307612</v>
      </c>
      <c r="F87" s="5">
        <v>25201.680672268907</v>
      </c>
      <c r="G87" s="6">
        <f t="shared" si="2"/>
        <v>4788.319327731092</v>
      </c>
      <c r="H87" s="6">
        <f t="shared" si="3"/>
        <v>29990</v>
      </c>
    </row>
    <row r="88" spans="1:8" x14ac:dyDescent="0.3">
      <c r="A88">
        <v>195</v>
      </c>
      <c r="B88" t="s">
        <v>8</v>
      </c>
      <c r="C88" s="4" t="s">
        <v>16</v>
      </c>
      <c r="D88" t="s">
        <v>10</v>
      </c>
      <c r="E88">
        <v>307612</v>
      </c>
      <c r="F88" s="5">
        <v>4568.0672268907565</v>
      </c>
      <c r="G88" s="6">
        <f t="shared" si="2"/>
        <v>867.93277310924373</v>
      </c>
      <c r="H88" s="6">
        <f t="shared" si="3"/>
        <v>5436</v>
      </c>
    </row>
    <row r="89" spans="1:8" x14ac:dyDescent="0.3">
      <c r="A89">
        <v>195</v>
      </c>
      <c r="B89" t="s">
        <v>8</v>
      </c>
      <c r="C89" s="4" t="s">
        <v>16</v>
      </c>
      <c r="D89" t="s">
        <v>10</v>
      </c>
      <c r="E89">
        <v>307613</v>
      </c>
      <c r="F89" s="5">
        <v>50411.764705882357</v>
      </c>
      <c r="G89" s="6">
        <f t="shared" si="2"/>
        <v>9578.2352941176487</v>
      </c>
      <c r="H89" s="6">
        <f t="shared" si="3"/>
        <v>59990.000000000007</v>
      </c>
    </row>
    <row r="90" spans="1:8" x14ac:dyDescent="0.3">
      <c r="A90">
        <v>195</v>
      </c>
      <c r="B90" t="s">
        <v>8</v>
      </c>
      <c r="C90" s="4" t="s">
        <v>16</v>
      </c>
      <c r="D90" t="s">
        <v>10</v>
      </c>
      <c r="E90">
        <v>307614</v>
      </c>
      <c r="F90" s="5">
        <v>5840.3361344537816</v>
      </c>
      <c r="G90" s="6">
        <f t="shared" si="2"/>
        <v>1109.6638655462184</v>
      </c>
      <c r="H90" s="6">
        <f t="shared" si="3"/>
        <v>6950</v>
      </c>
    </row>
    <row r="91" spans="1:8" x14ac:dyDescent="0.3">
      <c r="A91">
        <v>195</v>
      </c>
      <c r="B91" t="s">
        <v>8</v>
      </c>
      <c r="C91" s="4" t="s">
        <v>16</v>
      </c>
      <c r="D91" t="s">
        <v>10</v>
      </c>
      <c r="E91">
        <v>307615</v>
      </c>
      <c r="F91" s="5">
        <v>58781.512605042022</v>
      </c>
      <c r="G91" s="6">
        <f t="shared" si="2"/>
        <v>11168.487394957985</v>
      </c>
      <c r="H91" s="6">
        <f t="shared" si="3"/>
        <v>69950</v>
      </c>
    </row>
    <row r="92" spans="1:8" x14ac:dyDescent="0.3">
      <c r="A92">
        <v>195</v>
      </c>
      <c r="B92" t="s">
        <v>8</v>
      </c>
      <c r="C92" s="4" t="s">
        <v>16</v>
      </c>
      <c r="D92" t="s">
        <v>10</v>
      </c>
      <c r="E92">
        <v>307616</v>
      </c>
      <c r="F92" s="5">
        <v>50378.151260504201</v>
      </c>
      <c r="G92" s="6">
        <f t="shared" si="2"/>
        <v>9571.8487394957974</v>
      </c>
      <c r="H92" s="6">
        <f t="shared" si="3"/>
        <v>59950</v>
      </c>
    </row>
    <row r="93" spans="1:8" x14ac:dyDescent="0.3">
      <c r="A93">
        <v>195</v>
      </c>
      <c r="B93" t="s">
        <v>8</v>
      </c>
      <c r="C93" s="4" t="s">
        <v>16</v>
      </c>
      <c r="D93" t="s">
        <v>10</v>
      </c>
      <c r="E93">
        <v>307616</v>
      </c>
      <c r="F93" s="5">
        <v>64243.697478991598</v>
      </c>
      <c r="G93" s="6">
        <f t="shared" si="2"/>
        <v>12206.302521008403</v>
      </c>
      <c r="H93" s="6">
        <f t="shared" si="3"/>
        <v>76450</v>
      </c>
    </row>
    <row r="94" spans="1:8" x14ac:dyDescent="0.3">
      <c r="A94">
        <v>195</v>
      </c>
      <c r="B94" t="s">
        <v>8</v>
      </c>
      <c r="C94" s="4" t="s">
        <v>16</v>
      </c>
      <c r="D94" t="s">
        <v>10</v>
      </c>
      <c r="E94">
        <v>307617</v>
      </c>
      <c r="F94" s="5">
        <v>58781.512605042022</v>
      </c>
      <c r="G94" s="6">
        <f t="shared" si="2"/>
        <v>11168.487394957985</v>
      </c>
      <c r="H94" s="6">
        <f t="shared" si="3"/>
        <v>69950</v>
      </c>
    </row>
    <row r="95" spans="1:8" x14ac:dyDescent="0.3">
      <c r="A95">
        <v>195</v>
      </c>
      <c r="B95" t="s">
        <v>8</v>
      </c>
      <c r="C95" s="4" t="s">
        <v>16</v>
      </c>
      <c r="D95" t="s">
        <v>10</v>
      </c>
      <c r="E95">
        <v>307618</v>
      </c>
      <c r="F95" s="5">
        <v>50411.764705882357</v>
      </c>
      <c r="G95" s="6">
        <f t="shared" si="2"/>
        <v>9578.2352941176487</v>
      </c>
      <c r="H95" s="6">
        <f t="shared" si="3"/>
        <v>59990.000000000007</v>
      </c>
    </row>
    <row r="96" spans="1:8" x14ac:dyDescent="0.3">
      <c r="A96">
        <v>195</v>
      </c>
      <c r="B96" t="s">
        <v>8</v>
      </c>
      <c r="C96" s="4" t="s">
        <v>16</v>
      </c>
      <c r="D96" t="s">
        <v>10</v>
      </c>
      <c r="E96">
        <v>307619</v>
      </c>
      <c r="F96" s="5">
        <v>420.1680672268908</v>
      </c>
      <c r="G96" s="6">
        <f t="shared" si="2"/>
        <v>79.831932773109259</v>
      </c>
      <c r="H96" s="6">
        <f t="shared" si="3"/>
        <v>500.00000000000006</v>
      </c>
    </row>
    <row r="97" spans="1:8" x14ac:dyDescent="0.3">
      <c r="A97">
        <v>195</v>
      </c>
      <c r="B97" t="s">
        <v>8</v>
      </c>
      <c r="C97" s="4" t="s">
        <v>16</v>
      </c>
      <c r="D97" t="s">
        <v>10</v>
      </c>
      <c r="E97">
        <v>307620</v>
      </c>
      <c r="F97" s="5">
        <v>42008.403361344543</v>
      </c>
      <c r="G97" s="6">
        <f t="shared" si="2"/>
        <v>7981.5966386554628</v>
      </c>
      <c r="H97" s="6">
        <f t="shared" si="3"/>
        <v>49990.000000000007</v>
      </c>
    </row>
    <row r="98" spans="1:8" x14ac:dyDescent="0.3">
      <c r="A98">
        <v>195</v>
      </c>
      <c r="B98" t="s">
        <v>8</v>
      </c>
      <c r="C98" s="4" t="s">
        <v>16</v>
      </c>
      <c r="D98" t="s">
        <v>10</v>
      </c>
      <c r="E98">
        <v>307621</v>
      </c>
      <c r="F98" s="5">
        <v>420.1680672268908</v>
      </c>
      <c r="G98" s="6">
        <f t="shared" si="2"/>
        <v>79.831932773109259</v>
      </c>
      <c r="H98" s="6">
        <f t="shared" si="3"/>
        <v>500.00000000000006</v>
      </c>
    </row>
    <row r="99" spans="1:8" x14ac:dyDescent="0.3">
      <c r="A99">
        <v>195</v>
      </c>
      <c r="B99" t="s">
        <v>8</v>
      </c>
      <c r="C99" s="4" t="s">
        <v>18</v>
      </c>
      <c r="D99" t="s">
        <v>10</v>
      </c>
      <c r="E99">
        <v>307622</v>
      </c>
      <c r="F99" s="5">
        <v>3708.4033613445381</v>
      </c>
      <c r="G99" s="6">
        <f t="shared" si="2"/>
        <v>704.59663865546224</v>
      </c>
      <c r="H99" s="6">
        <f t="shared" si="3"/>
        <v>4413</v>
      </c>
    </row>
    <row r="100" spans="1:8" x14ac:dyDescent="0.3">
      <c r="A100">
        <v>195</v>
      </c>
      <c r="B100" t="s">
        <v>8</v>
      </c>
      <c r="C100" s="4" t="s">
        <v>18</v>
      </c>
      <c r="D100" t="s">
        <v>10</v>
      </c>
      <c r="E100">
        <v>307622</v>
      </c>
      <c r="F100" s="5">
        <v>11680.672268907563</v>
      </c>
      <c r="G100" s="6">
        <f t="shared" si="2"/>
        <v>2219.3277310924368</v>
      </c>
      <c r="H100" s="6">
        <f t="shared" si="3"/>
        <v>13900</v>
      </c>
    </row>
    <row r="101" spans="1:8" x14ac:dyDescent="0.3">
      <c r="A101">
        <v>195</v>
      </c>
      <c r="B101" t="s">
        <v>8</v>
      </c>
      <c r="C101" s="4" t="s">
        <v>18</v>
      </c>
      <c r="D101" t="s">
        <v>10</v>
      </c>
      <c r="E101">
        <v>307623</v>
      </c>
      <c r="F101" s="5">
        <v>-75588.23529411765</v>
      </c>
      <c r="G101" s="6">
        <f t="shared" si="2"/>
        <v>-14361.764705882353</v>
      </c>
      <c r="H101" s="6">
        <f t="shared" si="3"/>
        <v>-89950</v>
      </c>
    </row>
    <row r="102" spans="1:8" x14ac:dyDescent="0.3">
      <c r="A102">
        <v>195</v>
      </c>
      <c r="B102" t="s">
        <v>8</v>
      </c>
      <c r="C102" s="4" t="s">
        <v>18</v>
      </c>
      <c r="D102" t="s">
        <v>10</v>
      </c>
      <c r="E102">
        <v>307623</v>
      </c>
      <c r="F102" s="5">
        <v>75589.075630252104</v>
      </c>
      <c r="G102" s="6">
        <f t="shared" si="2"/>
        <v>14361.9243697479</v>
      </c>
      <c r="H102" s="6">
        <f t="shared" si="3"/>
        <v>89951</v>
      </c>
    </row>
    <row r="103" spans="1:8" x14ac:dyDescent="0.3">
      <c r="A103">
        <v>195</v>
      </c>
      <c r="B103" t="s">
        <v>8</v>
      </c>
      <c r="C103" s="4" t="s">
        <v>18</v>
      </c>
      <c r="D103" t="s">
        <v>10</v>
      </c>
      <c r="E103">
        <v>307624</v>
      </c>
      <c r="F103" s="5">
        <v>71386.554621848743</v>
      </c>
      <c r="G103" s="6">
        <f t="shared" si="2"/>
        <v>13563.445378151262</v>
      </c>
      <c r="H103" s="6">
        <f t="shared" si="3"/>
        <v>84950</v>
      </c>
    </row>
    <row r="104" spans="1:8" x14ac:dyDescent="0.3">
      <c r="A104">
        <v>195</v>
      </c>
      <c r="B104" t="s">
        <v>8</v>
      </c>
      <c r="C104" s="4" t="s">
        <v>18</v>
      </c>
      <c r="D104" t="s">
        <v>10</v>
      </c>
      <c r="E104">
        <v>307625</v>
      </c>
      <c r="F104" s="5">
        <v>4579.8319327731097</v>
      </c>
      <c r="G104" s="6">
        <f t="shared" si="2"/>
        <v>870.1680672268908</v>
      </c>
      <c r="H104" s="6">
        <f t="shared" si="3"/>
        <v>5450</v>
      </c>
    </row>
    <row r="105" spans="1:8" x14ac:dyDescent="0.3">
      <c r="A105">
        <v>195</v>
      </c>
      <c r="B105" t="s">
        <v>8</v>
      </c>
      <c r="C105" s="4" t="s">
        <v>18</v>
      </c>
      <c r="D105" t="s">
        <v>10</v>
      </c>
      <c r="E105">
        <v>307626</v>
      </c>
      <c r="F105" s="5">
        <v>42009.243697478996</v>
      </c>
      <c r="G105" s="6">
        <f t="shared" si="2"/>
        <v>7981.7563025210093</v>
      </c>
      <c r="H105" s="6">
        <f t="shared" si="3"/>
        <v>49991.000000000007</v>
      </c>
    </row>
    <row r="106" spans="1:8" x14ac:dyDescent="0.3">
      <c r="A106">
        <v>195</v>
      </c>
      <c r="B106" t="s">
        <v>8</v>
      </c>
      <c r="C106" s="4" t="s">
        <v>18</v>
      </c>
      <c r="D106" t="s">
        <v>10</v>
      </c>
      <c r="E106">
        <v>307626</v>
      </c>
      <c r="F106" s="5">
        <v>-42008.403361344543</v>
      </c>
      <c r="G106" s="6">
        <f t="shared" si="2"/>
        <v>-7981.5966386554628</v>
      </c>
      <c r="H106" s="6">
        <f t="shared" si="3"/>
        <v>-49990.000000000007</v>
      </c>
    </row>
    <row r="107" spans="1:8" x14ac:dyDescent="0.3">
      <c r="A107">
        <v>195</v>
      </c>
      <c r="B107" t="s">
        <v>8</v>
      </c>
      <c r="C107" s="4" t="s">
        <v>18</v>
      </c>
      <c r="D107" t="s">
        <v>10</v>
      </c>
      <c r="E107">
        <v>307627</v>
      </c>
      <c r="F107" s="5">
        <v>-67184.873949579836</v>
      </c>
      <c r="G107" s="6">
        <f t="shared" si="2"/>
        <v>-12765.126050420169</v>
      </c>
      <c r="H107" s="6">
        <f t="shared" si="3"/>
        <v>-79950</v>
      </c>
    </row>
    <row r="108" spans="1:8" x14ac:dyDescent="0.3">
      <c r="A108">
        <v>195</v>
      </c>
      <c r="B108" t="s">
        <v>8</v>
      </c>
      <c r="C108" s="4" t="s">
        <v>18</v>
      </c>
      <c r="D108" t="s">
        <v>10</v>
      </c>
      <c r="E108">
        <v>307627</v>
      </c>
      <c r="F108" s="5">
        <v>67185.71428571429</v>
      </c>
      <c r="G108" s="6">
        <f t="shared" si="2"/>
        <v>12765.285714285716</v>
      </c>
      <c r="H108" s="6">
        <f t="shared" si="3"/>
        <v>79951</v>
      </c>
    </row>
    <row r="109" spans="1:8" x14ac:dyDescent="0.3">
      <c r="A109">
        <v>195</v>
      </c>
      <c r="B109" t="s">
        <v>8</v>
      </c>
      <c r="C109" s="4" t="s">
        <v>18</v>
      </c>
      <c r="D109" t="s">
        <v>10</v>
      </c>
      <c r="E109">
        <v>307628</v>
      </c>
      <c r="F109" s="5">
        <v>420.1680672268908</v>
      </c>
      <c r="G109" s="6">
        <f t="shared" si="2"/>
        <v>79.831932773109259</v>
      </c>
      <c r="H109" s="6">
        <f t="shared" si="3"/>
        <v>500.00000000000006</v>
      </c>
    </row>
    <row r="110" spans="1:8" x14ac:dyDescent="0.3">
      <c r="A110">
        <v>195</v>
      </c>
      <c r="B110" t="s">
        <v>8</v>
      </c>
      <c r="C110" s="4" t="s">
        <v>18</v>
      </c>
      <c r="D110" t="s">
        <v>10</v>
      </c>
      <c r="E110">
        <v>307629</v>
      </c>
      <c r="F110" s="5">
        <v>42008.403361344543</v>
      </c>
      <c r="G110" s="6">
        <f t="shared" si="2"/>
        <v>7981.5966386554628</v>
      </c>
      <c r="H110" s="6">
        <f t="shared" si="3"/>
        <v>49990.000000000007</v>
      </c>
    </row>
    <row r="111" spans="1:8" x14ac:dyDescent="0.3">
      <c r="A111">
        <v>195</v>
      </c>
      <c r="B111" t="s">
        <v>8</v>
      </c>
      <c r="C111" s="4" t="s">
        <v>18</v>
      </c>
      <c r="D111" t="s">
        <v>10</v>
      </c>
      <c r="E111">
        <v>307630</v>
      </c>
      <c r="F111" s="5">
        <v>29403.361344537818</v>
      </c>
      <c r="G111" s="6">
        <f t="shared" si="2"/>
        <v>5586.6386554621859</v>
      </c>
      <c r="H111" s="6">
        <f t="shared" si="3"/>
        <v>34990</v>
      </c>
    </row>
    <row r="112" spans="1:8" x14ac:dyDescent="0.3">
      <c r="A112">
        <v>195</v>
      </c>
      <c r="B112" t="s">
        <v>8</v>
      </c>
      <c r="C112" s="4" t="s">
        <v>18</v>
      </c>
      <c r="D112" t="s">
        <v>10</v>
      </c>
      <c r="E112">
        <v>307631</v>
      </c>
      <c r="F112" s="5">
        <v>71386.554621848743</v>
      </c>
      <c r="G112" s="6">
        <f t="shared" si="2"/>
        <v>13563.445378151262</v>
      </c>
      <c r="H112" s="6">
        <f t="shared" si="3"/>
        <v>84950</v>
      </c>
    </row>
    <row r="113" spans="1:8" x14ac:dyDescent="0.3">
      <c r="A113">
        <v>195</v>
      </c>
      <c r="B113" t="s">
        <v>8</v>
      </c>
      <c r="C113" s="4" t="s">
        <v>18</v>
      </c>
      <c r="D113" t="s">
        <v>10</v>
      </c>
      <c r="E113">
        <v>307632</v>
      </c>
      <c r="F113" s="5">
        <v>41974.789915966387</v>
      </c>
      <c r="G113" s="6">
        <f t="shared" si="2"/>
        <v>7975.2100840336134</v>
      </c>
      <c r="H113" s="6">
        <f t="shared" si="3"/>
        <v>49950</v>
      </c>
    </row>
    <row r="114" spans="1:8" x14ac:dyDescent="0.3">
      <c r="A114">
        <v>195</v>
      </c>
      <c r="B114" t="s">
        <v>8</v>
      </c>
      <c r="C114" s="4" t="s">
        <v>19</v>
      </c>
      <c r="D114" t="s">
        <v>10</v>
      </c>
      <c r="E114">
        <v>307633</v>
      </c>
      <c r="F114" s="5">
        <v>75588.23529411765</v>
      </c>
      <c r="G114" s="6">
        <f t="shared" si="2"/>
        <v>14361.764705882353</v>
      </c>
      <c r="H114" s="6">
        <f t="shared" si="3"/>
        <v>89950</v>
      </c>
    </row>
    <row r="115" spans="1:8" x14ac:dyDescent="0.3">
      <c r="A115">
        <v>195</v>
      </c>
      <c r="B115" t="s">
        <v>8</v>
      </c>
      <c r="C115" s="4" t="s">
        <v>19</v>
      </c>
      <c r="D115" t="s">
        <v>10</v>
      </c>
      <c r="E115">
        <v>307634</v>
      </c>
      <c r="F115" s="5">
        <v>840.3361344537816</v>
      </c>
      <c r="G115" s="6">
        <f t="shared" si="2"/>
        <v>159.66386554621852</v>
      </c>
      <c r="H115" s="6">
        <f t="shared" si="3"/>
        <v>1000.0000000000001</v>
      </c>
    </row>
    <row r="116" spans="1:8" x14ac:dyDescent="0.3">
      <c r="A116">
        <v>195</v>
      </c>
      <c r="B116" t="s">
        <v>8</v>
      </c>
      <c r="C116" s="4" t="s">
        <v>19</v>
      </c>
      <c r="D116" t="s">
        <v>10</v>
      </c>
      <c r="E116">
        <v>307635</v>
      </c>
      <c r="F116" s="5">
        <v>5840.3361344537816</v>
      </c>
      <c r="G116" s="6">
        <f t="shared" si="2"/>
        <v>1109.6638655462184</v>
      </c>
      <c r="H116" s="6">
        <f t="shared" si="3"/>
        <v>6950</v>
      </c>
    </row>
    <row r="117" spans="1:8" x14ac:dyDescent="0.3">
      <c r="A117">
        <v>195</v>
      </c>
      <c r="B117" t="s">
        <v>8</v>
      </c>
      <c r="C117" s="4" t="s">
        <v>19</v>
      </c>
      <c r="D117" t="s">
        <v>10</v>
      </c>
      <c r="E117">
        <v>307636</v>
      </c>
      <c r="F117" s="5">
        <v>5840.3361344537816</v>
      </c>
      <c r="G117" s="6">
        <f t="shared" si="2"/>
        <v>1109.6638655462184</v>
      </c>
      <c r="H117" s="6">
        <f t="shared" si="3"/>
        <v>6950</v>
      </c>
    </row>
    <row r="118" spans="1:8" x14ac:dyDescent="0.3">
      <c r="A118">
        <v>195</v>
      </c>
      <c r="B118" t="s">
        <v>8</v>
      </c>
      <c r="C118" s="4" t="s">
        <v>19</v>
      </c>
      <c r="D118" t="s">
        <v>10</v>
      </c>
      <c r="E118">
        <v>307637</v>
      </c>
      <c r="F118" s="5">
        <v>33605.042016806721</v>
      </c>
      <c r="G118" s="6">
        <f t="shared" si="2"/>
        <v>6384.957983193277</v>
      </c>
      <c r="H118" s="6">
        <f t="shared" si="3"/>
        <v>39990</v>
      </c>
    </row>
    <row r="119" spans="1:8" x14ac:dyDescent="0.3">
      <c r="A119">
        <v>195</v>
      </c>
      <c r="B119" t="s">
        <v>8</v>
      </c>
      <c r="C119" s="4" t="s">
        <v>19</v>
      </c>
      <c r="D119" t="s">
        <v>10</v>
      </c>
      <c r="E119">
        <v>307637</v>
      </c>
      <c r="F119" s="5">
        <v>49957.983193277316</v>
      </c>
      <c r="G119" s="6">
        <f t="shared" si="2"/>
        <v>9492.0168067226896</v>
      </c>
      <c r="H119" s="6">
        <f t="shared" si="3"/>
        <v>59450.000000000007</v>
      </c>
    </row>
    <row r="120" spans="1:8" x14ac:dyDescent="0.3">
      <c r="A120">
        <v>195</v>
      </c>
      <c r="B120" t="s">
        <v>8</v>
      </c>
      <c r="C120" s="4" t="s">
        <v>19</v>
      </c>
      <c r="D120" t="s">
        <v>10</v>
      </c>
      <c r="E120">
        <v>307638</v>
      </c>
      <c r="F120" s="5">
        <v>25201.680672268907</v>
      </c>
      <c r="G120" s="6">
        <f t="shared" si="2"/>
        <v>4788.319327731092</v>
      </c>
      <c r="H120" s="6">
        <f t="shared" si="3"/>
        <v>29990</v>
      </c>
    </row>
    <row r="121" spans="1:8" x14ac:dyDescent="0.3">
      <c r="A121">
        <v>195</v>
      </c>
      <c r="B121" t="s">
        <v>8</v>
      </c>
      <c r="C121" s="4" t="s">
        <v>19</v>
      </c>
      <c r="D121" t="s">
        <v>10</v>
      </c>
      <c r="E121">
        <v>307639</v>
      </c>
      <c r="F121" s="5">
        <v>5000</v>
      </c>
      <c r="G121" s="6">
        <f t="shared" si="2"/>
        <v>950</v>
      </c>
      <c r="H121" s="6">
        <f t="shared" si="3"/>
        <v>5950</v>
      </c>
    </row>
    <row r="122" spans="1:8" x14ac:dyDescent="0.3">
      <c r="A122">
        <v>195</v>
      </c>
      <c r="B122" t="s">
        <v>8</v>
      </c>
      <c r="C122" s="4" t="s">
        <v>19</v>
      </c>
      <c r="D122" t="s">
        <v>10</v>
      </c>
      <c r="E122">
        <v>307640</v>
      </c>
      <c r="F122" s="5">
        <v>5000</v>
      </c>
      <c r="G122" s="6">
        <f t="shared" si="2"/>
        <v>950</v>
      </c>
      <c r="H122" s="6">
        <f t="shared" si="3"/>
        <v>5950</v>
      </c>
    </row>
    <row r="123" spans="1:8" x14ac:dyDescent="0.3">
      <c r="A123">
        <v>195</v>
      </c>
      <c r="B123" t="s">
        <v>8</v>
      </c>
      <c r="C123" s="4" t="s">
        <v>19</v>
      </c>
      <c r="D123" t="s">
        <v>10</v>
      </c>
      <c r="E123">
        <v>307641</v>
      </c>
      <c r="F123" s="5">
        <v>4579.8319327731097</v>
      </c>
      <c r="G123" s="6">
        <f t="shared" si="2"/>
        <v>870.1680672268908</v>
      </c>
      <c r="H123" s="6">
        <f t="shared" si="3"/>
        <v>5450</v>
      </c>
    </row>
    <row r="124" spans="1:8" x14ac:dyDescent="0.3">
      <c r="A124">
        <v>195</v>
      </c>
      <c r="B124" t="s">
        <v>8</v>
      </c>
      <c r="C124" s="4" t="s">
        <v>19</v>
      </c>
      <c r="D124" t="s">
        <v>10</v>
      </c>
      <c r="E124">
        <v>307642</v>
      </c>
      <c r="F124" s="5">
        <v>57100.840336134454</v>
      </c>
      <c r="G124" s="6">
        <f t="shared" si="2"/>
        <v>10849.159663865546</v>
      </c>
      <c r="H124" s="6">
        <f t="shared" si="3"/>
        <v>67950</v>
      </c>
    </row>
    <row r="125" spans="1:8" x14ac:dyDescent="0.3">
      <c r="A125">
        <v>195</v>
      </c>
      <c r="B125" t="s">
        <v>8</v>
      </c>
      <c r="C125" s="4" t="s">
        <v>19</v>
      </c>
      <c r="D125" t="s">
        <v>10</v>
      </c>
      <c r="E125">
        <v>307642</v>
      </c>
      <c r="F125" s="5">
        <v>67184.873949579836</v>
      </c>
      <c r="G125" s="6">
        <f t="shared" si="2"/>
        <v>12765.126050420169</v>
      </c>
      <c r="H125" s="6">
        <f t="shared" si="3"/>
        <v>79950</v>
      </c>
    </row>
    <row r="126" spans="1:8" x14ac:dyDescent="0.3">
      <c r="A126">
        <v>195</v>
      </c>
      <c r="B126" t="s">
        <v>8</v>
      </c>
      <c r="C126" s="4" t="s">
        <v>19</v>
      </c>
      <c r="D126" t="s">
        <v>10</v>
      </c>
      <c r="E126">
        <v>307643</v>
      </c>
      <c r="F126" s="5">
        <v>5840.3361344537816</v>
      </c>
      <c r="G126" s="6">
        <f t="shared" si="2"/>
        <v>1109.6638655462184</v>
      </c>
      <c r="H126" s="6">
        <f t="shared" si="3"/>
        <v>6950</v>
      </c>
    </row>
    <row r="127" spans="1:8" x14ac:dyDescent="0.3">
      <c r="A127">
        <v>195</v>
      </c>
      <c r="B127" t="s">
        <v>8</v>
      </c>
      <c r="C127" s="4" t="s">
        <v>19</v>
      </c>
      <c r="D127" t="s">
        <v>10</v>
      </c>
      <c r="E127">
        <v>307644</v>
      </c>
      <c r="F127" s="5">
        <v>50411.764705882357</v>
      </c>
      <c r="G127" s="6">
        <f t="shared" si="2"/>
        <v>9578.2352941176487</v>
      </c>
      <c r="H127" s="6">
        <f t="shared" si="3"/>
        <v>59990.000000000007</v>
      </c>
    </row>
    <row r="128" spans="1:8" x14ac:dyDescent="0.3">
      <c r="A128">
        <v>195</v>
      </c>
      <c r="B128" t="s">
        <v>8</v>
      </c>
      <c r="C128" s="4" t="s">
        <v>19</v>
      </c>
      <c r="D128" t="s">
        <v>10</v>
      </c>
      <c r="E128">
        <v>307645</v>
      </c>
      <c r="F128" s="5">
        <v>67184.873949579836</v>
      </c>
      <c r="G128" s="6">
        <f t="shared" si="2"/>
        <v>12765.126050420169</v>
      </c>
      <c r="H128" s="6">
        <f t="shared" si="3"/>
        <v>79950</v>
      </c>
    </row>
    <row r="129" spans="1:8" x14ac:dyDescent="0.3">
      <c r="A129">
        <v>195</v>
      </c>
      <c r="B129" t="s">
        <v>8</v>
      </c>
      <c r="C129" s="4" t="s">
        <v>20</v>
      </c>
      <c r="D129" t="s">
        <v>17</v>
      </c>
      <c r="E129">
        <v>25381</v>
      </c>
      <c r="F129" s="5">
        <v>-3319.3277310924373</v>
      </c>
      <c r="G129" s="6">
        <f t="shared" si="2"/>
        <v>-630.67226890756308</v>
      </c>
      <c r="H129" s="6">
        <f t="shared" si="3"/>
        <v>-3950.0000000000005</v>
      </c>
    </row>
    <row r="130" spans="1:8" x14ac:dyDescent="0.3">
      <c r="A130">
        <v>195</v>
      </c>
      <c r="B130" t="s">
        <v>8</v>
      </c>
      <c r="C130" s="4" t="s">
        <v>20</v>
      </c>
      <c r="D130" t="s">
        <v>10</v>
      </c>
      <c r="E130">
        <v>307646</v>
      </c>
      <c r="F130" s="5">
        <v>83991.596638655465</v>
      </c>
      <c r="G130" s="6">
        <f t="shared" si="2"/>
        <v>15958.403361344539</v>
      </c>
      <c r="H130" s="6">
        <f t="shared" si="3"/>
        <v>99950</v>
      </c>
    </row>
    <row r="131" spans="1:8" x14ac:dyDescent="0.3">
      <c r="A131">
        <v>195</v>
      </c>
      <c r="B131" t="s">
        <v>8</v>
      </c>
      <c r="C131" s="4" t="s">
        <v>20</v>
      </c>
      <c r="D131" t="s">
        <v>10</v>
      </c>
      <c r="E131">
        <v>307646</v>
      </c>
      <c r="F131" s="5">
        <v>5000</v>
      </c>
      <c r="G131" s="6">
        <f t="shared" ref="G131:G194" si="4">F131*19%</f>
        <v>950</v>
      </c>
      <c r="H131" s="6">
        <f t="shared" ref="H131:H194" si="5">+G131+F131</f>
        <v>5950</v>
      </c>
    </row>
    <row r="132" spans="1:8" x14ac:dyDescent="0.3">
      <c r="A132">
        <v>195</v>
      </c>
      <c r="B132" t="s">
        <v>8</v>
      </c>
      <c r="C132" s="4" t="s">
        <v>20</v>
      </c>
      <c r="D132" t="s">
        <v>10</v>
      </c>
      <c r="E132">
        <v>307647</v>
      </c>
      <c r="F132" s="5">
        <v>67184.873949579836</v>
      </c>
      <c r="G132" s="6">
        <f t="shared" si="4"/>
        <v>12765.126050420169</v>
      </c>
      <c r="H132" s="6">
        <f t="shared" si="5"/>
        <v>79950</v>
      </c>
    </row>
    <row r="133" spans="1:8" x14ac:dyDescent="0.3">
      <c r="A133">
        <v>195</v>
      </c>
      <c r="B133" t="s">
        <v>8</v>
      </c>
      <c r="C133" s="4" t="s">
        <v>20</v>
      </c>
      <c r="D133" t="s">
        <v>10</v>
      </c>
      <c r="E133">
        <v>307647</v>
      </c>
      <c r="F133" s="5">
        <v>5000</v>
      </c>
      <c r="G133" s="6">
        <f t="shared" si="4"/>
        <v>950</v>
      </c>
      <c r="H133" s="6">
        <f t="shared" si="5"/>
        <v>5950</v>
      </c>
    </row>
    <row r="134" spans="1:8" x14ac:dyDescent="0.3">
      <c r="A134">
        <v>195</v>
      </c>
      <c r="B134" t="s">
        <v>8</v>
      </c>
      <c r="C134" s="4" t="s">
        <v>20</v>
      </c>
      <c r="D134" t="s">
        <v>10</v>
      </c>
      <c r="E134">
        <v>307648</v>
      </c>
      <c r="F134" s="5">
        <v>67184.873949579836</v>
      </c>
      <c r="G134" s="6">
        <f t="shared" si="4"/>
        <v>12765.126050420169</v>
      </c>
      <c r="H134" s="6">
        <f t="shared" si="5"/>
        <v>79950</v>
      </c>
    </row>
    <row r="135" spans="1:8" x14ac:dyDescent="0.3">
      <c r="A135">
        <v>195</v>
      </c>
      <c r="B135" t="s">
        <v>8</v>
      </c>
      <c r="C135" s="4" t="s">
        <v>20</v>
      </c>
      <c r="D135" t="s">
        <v>10</v>
      </c>
      <c r="E135">
        <v>307649</v>
      </c>
      <c r="F135" s="5">
        <v>58781.512605042022</v>
      </c>
      <c r="G135" s="6">
        <f t="shared" si="4"/>
        <v>11168.487394957985</v>
      </c>
      <c r="H135" s="6">
        <f t="shared" si="5"/>
        <v>69950</v>
      </c>
    </row>
    <row r="136" spans="1:8" x14ac:dyDescent="0.3">
      <c r="A136">
        <v>195</v>
      </c>
      <c r="B136" t="s">
        <v>8</v>
      </c>
      <c r="C136" s="4" t="s">
        <v>20</v>
      </c>
      <c r="D136" t="s">
        <v>10</v>
      </c>
      <c r="E136">
        <v>307650</v>
      </c>
      <c r="F136" s="5">
        <v>83991.596638655465</v>
      </c>
      <c r="G136" s="6">
        <f t="shared" si="4"/>
        <v>15958.403361344539</v>
      </c>
      <c r="H136" s="6">
        <f t="shared" si="5"/>
        <v>99950</v>
      </c>
    </row>
    <row r="137" spans="1:8" x14ac:dyDescent="0.3">
      <c r="A137">
        <v>195</v>
      </c>
      <c r="B137" t="s">
        <v>8</v>
      </c>
      <c r="C137" s="4" t="s">
        <v>20</v>
      </c>
      <c r="D137" t="s">
        <v>10</v>
      </c>
      <c r="E137">
        <v>307651</v>
      </c>
      <c r="F137" s="5">
        <v>37806.722689075636</v>
      </c>
      <c r="G137" s="6">
        <f t="shared" si="4"/>
        <v>7183.2773109243708</v>
      </c>
      <c r="H137" s="6">
        <f t="shared" si="5"/>
        <v>44990.000000000007</v>
      </c>
    </row>
    <row r="138" spans="1:8" x14ac:dyDescent="0.3">
      <c r="A138">
        <v>195</v>
      </c>
      <c r="B138" t="s">
        <v>8</v>
      </c>
      <c r="C138" s="4" t="s">
        <v>20</v>
      </c>
      <c r="D138" t="s">
        <v>10</v>
      </c>
      <c r="E138">
        <v>307652</v>
      </c>
      <c r="F138" s="5">
        <v>5000</v>
      </c>
      <c r="G138" s="6">
        <f t="shared" si="4"/>
        <v>950</v>
      </c>
      <c r="H138" s="6">
        <f t="shared" si="5"/>
        <v>5950</v>
      </c>
    </row>
    <row r="139" spans="1:8" x14ac:dyDescent="0.3">
      <c r="A139">
        <v>195</v>
      </c>
      <c r="B139" t="s">
        <v>8</v>
      </c>
      <c r="C139" s="4" t="s">
        <v>20</v>
      </c>
      <c r="D139" t="s">
        <v>10</v>
      </c>
      <c r="E139">
        <v>307653</v>
      </c>
      <c r="F139" s="5">
        <v>5000</v>
      </c>
      <c r="G139" s="6">
        <f t="shared" si="4"/>
        <v>950</v>
      </c>
      <c r="H139" s="6">
        <f t="shared" si="5"/>
        <v>5950</v>
      </c>
    </row>
    <row r="140" spans="1:8" x14ac:dyDescent="0.3">
      <c r="A140">
        <v>195</v>
      </c>
      <c r="B140" t="s">
        <v>8</v>
      </c>
      <c r="C140" s="4" t="s">
        <v>20</v>
      </c>
      <c r="D140" t="s">
        <v>10</v>
      </c>
      <c r="E140">
        <v>307654</v>
      </c>
      <c r="F140" s="5">
        <v>29403.361344537818</v>
      </c>
      <c r="G140" s="6">
        <f t="shared" si="4"/>
        <v>5586.6386554621859</v>
      </c>
      <c r="H140" s="6">
        <f t="shared" si="5"/>
        <v>34990</v>
      </c>
    </row>
    <row r="141" spans="1:8" x14ac:dyDescent="0.3">
      <c r="A141">
        <v>195</v>
      </c>
      <c r="B141" t="s">
        <v>8</v>
      </c>
      <c r="C141" s="4" t="s">
        <v>20</v>
      </c>
      <c r="D141" t="s">
        <v>10</v>
      </c>
      <c r="E141">
        <v>307654</v>
      </c>
      <c r="F141" s="5">
        <v>33605.042016806721</v>
      </c>
      <c r="G141" s="6">
        <f t="shared" si="4"/>
        <v>6384.957983193277</v>
      </c>
      <c r="H141" s="6">
        <f t="shared" si="5"/>
        <v>39990</v>
      </c>
    </row>
    <row r="142" spans="1:8" x14ac:dyDescent="0.3">
      <c r="A142">
        <v>195</v>
      </c>
      <c r="B142" t="s">
        <v>8</v>
      </c>
      <c r="C142" s="4" t="s">
        <v>20</v>
      </c>
      <c r="D142" t="s">
        <v>10</v>
      </c>
      <c r="E142">
        <v>307655</v>
      </c>
      <c r="F142" s="5">
        <v>58781.512605042022</v>
      </c>
      <c r="G142" s="6">
        <f t="shared" si="4"/>
        <v>11168.487394957985</v>
      </c>
      <c r="H142" s="6">
        <f t="shared" si="5"/>
        <v>69950</v>
      </c>
    </row>
    <row r="143" spans="1:8" x14ac:dyDescent="0.3">
      <c r="A143">
        <v>195</v>
      </c>
      <c r="B143" t="s">
        <v>8</v>
      </c>
      <c r="C143" s="4" t="s">
        <v>20</v>
      </c>
      <c r="D143" t="s">
        <v>10</v>
      </c>
      <c r="E143">
        <v>307655</v>
      </c>
      <c r="F143" s="5">
        <v>71386.554621848743</v>
      </c>
      <c r="G143" s="6">
        <f t="shared" si="4"/>
        <v>13563.445378151262</v>
      </c>
      <c r="H143" s="6">
        <f t="shared" si="5"/>
        <v>84950</v>
      </c>
    </row>
    <row r="144" spans="1:8" x14ac:dyDescent="0.3">
      <c r="A144">
        <v>195</v>
      </c>
      <c r="B144" t="s">
        <v>8</v>
      </c>
      <c r="C144" s="4" t="s">
        <v>20</v>
      </c>
      <c r="D144" t="s">
        <v>10</v>
      </c>
      <c r="E144">
        <v>307656</v>
      </c>
      <c r="F144" s="5">
        <v>41974.789915966387</v>
      </c>
      <c r="G144" s="6">
        <f t="shared" si="4"/>
        <v>7975.2100840336134</v>
      </c>
      <c r="H144" s="6">
        <f t="shared" si="5"/>
        <v>49950</v>
      </c>
    </row>
    <row r="145" spans="1:8" x14ac:dyDescent="0.3">
      <c r="A145">
        <v>195</v>
      </c>
      <c r="B145" t="s">
        <v>8</v>
      </c>
      <c r="C145" s="4" t="s">
        <v>20</v>
      </c>
      <c r="D145" t="s">
        <v>10</v>
      </c>
      <c r="E145">
        <v>307657</v>
      </c>
      <c r="F145" s="5">
        <v>37806.722689075636</v>
      </c>
      <c r="G145" s="6">
        <f t="shared" si="4"/>
        <v>7183.2773109243708</v>
      </c>
      <c r="H145" s="6">
        <f t="shared" si="5"/>
        <v>44990.000000000007</v>
      </c>
    </row>
    <row r="146" spans="1:8" x14ac:dyDescent="0.3">
      <c r="A146">
        <v>195</v>
      </c>
      <c r="B146" t="s">
        <v>8</v>
      </c>
      <c r="C146" s="4" t="s">
        <v>20</v>
      </c>
      <c r="D146" t="s">
        <v>10</v>
      </c>
      <c r="E146">
        <v>307658</v>
      </c>
      <c r="F146" s="5">
        <v>50411.764705882357</v>
      </c>
      <c r="G146" s="6">
        <f t="shared" si="4"/>
        <v>9578.2352941176487</v>
      </c>
      <c r="H146" s="6">
        <f t="shared" si="5"/>
        <v>59990.000000000007</v>
      </c>
    </row>
    <row r="147" spans="1:8" x14ac:dyDescent="0.3">
      <c r="A147">
        <v>195</v>
      </c>
      <c r="B147" t="s">
        <v>8</v>
      </c>
      <c r="C147" s="4" t="s">
        <v>20</v>
      </c>
      <c r="D147" t="s">
        <v>10</v>
      </c>
      <c r="E147">
        <v>307658</v>
      </c>
      <c r="F147" s="5">
        <v>1672.2689075630253</v>
      </c>
      <c r="G147" s="6">
        <f t="shared" si="4"/>
        <v>317.73109243697479</v>
      </c>
      <c r="H147" s="6">
        <f t="shared" si="5"/>
        <v>1990</v>
      </c>
    </row>
    <row r="148" spans="1:8" x14ac:dyDescent="0.3">
      <c r="A148">
        <v>195</v>
      </c>
      <c r="B148" t="s">
        <v>8</v>
      </c>
      <c r="C148" s="4" t="s">
        <v>20</v>
      </c>
      <c r="D148" t="s">
        <v>10</v>
      </c>
      <c r="E148">
        <v>307659</v>
      </c>
      <c r="F148" s="5">
        <v>3319.3277310924373</v>
      </c>
      <c r="G148" s="6">
        <f t="shared" si="4"/>
        <v>630.67226890756308</v>
      </c>
      <c r="H148" s="6">
        <f t="shared" si="5"/>
        <v>3950.0000000000005</v>
      </c>
    </row>
    <row r="149" spans="1:8" x14ac:dyDescent="0.3">
      <c r="A149">
        <v>195</v>
      </c>
      <c r="B149" t="s">
        <v>8</v>
      </c>
      <c r="C149" s="4" t="s">
        <v>20</v>
      </c>
      <c r="D149" t="s">
        <v>10</v>
      </c>
      <c r="E149">
        <v>307660</v>
      </c>
      <c r="F149" s="5">
        <v>5000</v>
      </c>
      <c r="G149" s="6">
        <f t="shared" si="4"/>
        <v>950</v>
      </c>
      <c r="H149" s="6">
        <f t="shared" si="5"/>
        <v>5950</v>
      </c>
    </row>
    <row r="150" spans="1:8" x14ac:dyDescent="0.3">
      <c r="A150">
        <v>195</v>
      </c>
      <c r="B150" t="s">
        <v>8</v>
      </c>
      <c r="C150" s="4" t="s">
        <v>21</v>
      </c>
      <c r="D150" t="s">
        <v>10</v>
      </c>
      <c r="E150">
        <v>307661</v>
      </c>
      <c r="F150" s="5">
        <v>0.84033613445378152</v>
      </c>
      <c r="G150" s="6">
        <f t="shared" si="4"/>
        <v>0.1596638655462185</v>
      </c>
      <c r="H150" s="6">
        <f t="shared" si="5"/>
        <v>1</v>
      </c>
    </row>
    <row r="151" spans="1:8" x14ac:dyDescent="0.3">
      <c r="A151">
        <v>195</v>
      </c>
      <c r="B151" t="s">
        <v>8</v>
      </c>
      <c r="C151" s="4" t="s">
        <v>21</v>
      </c>
      <c r="D151" t="s">
        <v>10</v>
      </c>
      <c r="E151">
        <v>307661</v>
      </c>
      <c r="F151" s="5">
        <v>5840.3361344537816</v>
      </c>
      <c r="G151" s="6">
        <f t="shared" si="4"/>
        <v>1109.6638655462184</v>
      </c>
      <c r="H151" s="6">
        <f t="shared" si="5"/>
        <v>6950</v>
      </c>
    </row>
    <row r="152" spans="1:8" x14ac:dyDescent="0.3">
      <c r="A152">
        <v>195</v>
      </c>
      <c r="B152" t="s">
        <v>8</v>
      </c>
      <c r="C152" s="4" t="s">
        <v>21</v>
      </c>
      <c r="D152" t="s">
        <v>10</v>
      </c>
      <c r="E152">
        <v>307662</v>
      </c>
      <c r="F152" s="5">
        <v>42008.403361344543</v>
      </c>
      <c r="G152" s="6">
        <f t="shared" si="4"/>
        <v>7981.5966386554628</v>
      </c>
      <c r="H152" s="6">
        <f t="shared" si="5"/>
        <v>49990.000000000007</v>
      </c>
    </row>
    <row r="153" spans="1:8" x14ac:dyDescent="0.3">
      <c r="A153">
        <v>195</v>
      </c>
      <c r="B153" t="s">
        <v>8</v>
      </c>
      <c r="C153" s="4" t="s">
        <v>21</v>
      </c>
      <c r="D153" t="s">
        <v>10</v>
      </c>
      <c r="E153">
        <v>307663</v>
      </c>
      <c r="F153" s="5">
        <v>1672.2689075630253</v>
      </c>
      <c r="G153" s="6">
        <f t="shared" si="4"/>
        <v>317.73109243697479</v>
      </c>
      <c r="H153" s="6">
        <f t="shared" si="5"/>
        <v>1990</v>
      </c>
    </row>
    <row r="154" spans="1:8" x14ac:dyDescent="0.3">
      <c r="A154">
        <v>195</v>
      </c>
      <c r="B154" t="s">
        <v>8</v>
      </c>
      <c r="C154" s="4" t="s">
        <v>21</v>
      </c>
      <c r="D154" t="s">
        <v>10</v>
      </c>
      <c r="E154">
        <v>307663</v>
      </c>
      <c r="F154" s="5">
        <v>29403.361344537818</v>
      </c>
      <c r="G154" s="6">
        <f t="shared" si="4"/>
        <v>5586.6386554621859</v>
      </c>
      <c r="H154" s="6">
        <f t="shared" si="5"/>
        <v>34990</v>
      </c>
    </row>
    <row r="155" spans="1:8" x14ac:dyDescent="0.3">
      <c r="A155">
        <v>195</v>
      </c>
      <c r="B155" t="s">
        <v>8</v>
      </c>
      <c r="C155" s="4" t="s">
        <v>21</v>
      </c>
      <c r="D155" t="s">
        <v>10</v>
      </c>
      <c r="E155">
        <v>307664</v>
      </c>
      <c r="F155" s="5">
        <v>-75588.23529411765</v>
      </c>
      <c r="G155" s="6">
        <f t="shared" si="4"/>
        <v>-14361.764705882353</v>
      </c>
      <c r="H155" s="6">
        <f t="shared" si="5"/>
        <v>-89950</v>
      </c>
    </row>
    <row r="156" spans="1:8" x14ac:dyDescent="0.3">
      <c r="A156">
        <v>195</v>
      </c>
      <c r="B156" t="s">
        <v>8</v>
      </c>
      <c r="C156" s="4" t="s">
        <v>21</v>
      </c>
      <c r="D156" t="s">
        <v>10</v>
      </c>
      <c r="E156">
        <v>307664</v>
      </c>
      <c r="F156" s="5">
        <v>75589.075630252104</v>
      </c>
      <c r="G156" s="6">
        <f t="shared" si="4"/>
        <v>14361.9243697479</v>
      </c>
      <c r="H156" s="6">
        <f t="shared" si="5"/>
        <v>89951</v>
      </c>
    </row>
    <row r="157" spans="1:8" x14ac:dyDescent="0.3">
      <c r="A157">
        <v>195</v>
      </c>
      <c r="B157" t="s">
        <v>8</v>
      </c>
      <c r="C157" s="4" t="s">
        <v>21</v>
      </c>
      <c r="D157" t="s">
        <v>10</v>
      </c>
      <c r="E157">
        <v>307665</v>
      </c>
      <c r="F157" s="5">
        <v>71386.554621848743</v>
      </c>
      <c r="G157" s="6">
        <f t="shared" si="4"/>
        <v>13563.445378151262</v>
      </c>
      <c r="H157" s="6">
        <f t="shared" si="5"/>
        <v>84950</v>
      </c>
    </row>
    <row r="158" spans="1:8" x14ac:dyDescent="0.3">
      <c r="A158">
        <v>195</v>
      </c>
      <c r="B158" t="s">
        <v>8</v>
      </c>
      <c r="C158" s="4" t="s">
        <v>21</v>
      </c>
      <c r="D158" t="s">
        <v>10</v>
      </c>
      <c r="E158">
        <v>307666</v>
      </c>
      <c r="F158" s="5">
        <v>83991.596638655465</v>
      </c>
      <c r="G158" s="6">
        <f t="shared" si="4"/>
        <v>15958.403361344539</v>
      </c>
      <c r="H158" s="6">
        <f t="shared" si="5"/>
        <v>99950</v>
      </c>
    </row>
    <row r="159" spans="1:8" x14ac:dyDescent="0.3">
      <c r="A159">
        <v>195</v>
      </c>
      <c r="B159" t="s">
        <v>8</v>
      </c>
      <c r="C159" s="4" t="s">
        <v>21</v>
      </c>
      <c r="D159" t="s">
        <v>10</v>
      </c>
      <c r="E159">
        <v>307667</v>
      </c>
      <c r="F159" s="5">
        <v>62983.193277310929</v>
      </c>
      <c r="G159" s="6">
        <f t="shared" si="4"/>
        <v>11966.806722689076</v>
      </c>
      <c r="H159" s="6">
        <f t="shared" si="5"/>
        <v>74950</v>
      </c>
    </row>
    <row r="160" spans="1:8" x14ac:dyDescent="0.3">
      <c r="A160">
        <v>195</v>
      </c>
      <c r="B160" t="s">
        <v>8</v>
      </c>
      <c r="C160" s="4" t="s">
        <v>21</v>
      </c>
      <c r="D160" t="s">
        <v>10</v>
      </c>
      <c r="E160">
        <v>307668</v>
      </c>
      <c r="F160" s="5">
        <v>420.1680672268908</v>
      </c>
      <c r="G160" s="6">
        <f t="shared" si="4"/>
        <v>79.831932773109259</v>
      </c>
      <c r="H160" s="6">
        <f t="shared" si="5"/>
        <v>500.00000000000006</v>
      </c>
    </row>
    <row r="161" spans="1:8" x14ac:dyDescent="0.3">
      <c r="A161">
        <v>195</v>
      </c>
      <c r="B161" t="s">
        <v>8</v>
      </c>
      <c r="C161" s="4" t="s">
        <v>21</v>
      </c>
      <c r="D161" t="s">
        <v>10</v>
      </c>
      <c r="E161">
        <v>307669</v>
      </c>
      <c r="F161" s="5">
        <v>5840.3361344537816</v>
      </c>
      <c r="G161" s="6">
        <f t="shared" si="4"/>
        <v>1109.6638655462184</v>
      </c>
      <c r="H161" s="6">
        <f t="shared" si="5"/>
        <v>6950</v>
      </c>
    </row>
    <row r="162" spans="1:8" x14ac:dyDescent="0.3">
      <c r="A162">
        <v>195</v>
      </c>
      <c r="B162" t="s">
        <v>8</v>
      </c>
      <c r="C162" s="4" t="s">
        <v>21</v>
      </c>
      <c r="D162" t="s">
        <v>10</v>
      </c>
      <c r="E162">
        <v>307670</v>
      </c>
      <c r="F162" s="5">
        <v>71386.554621848743</v>
      </c>
      <c r="G162" s="6">
        <f t="shared" si="4"/>
        <v>13563.445378151262</v>
      </c>
      <c r="H162" s="6">
        <f t="shared" si="5"/>
        <v>84950</v>
      </c>
    </row>
    <row r="163" spans="1:8" x14ac:dyDescent="0.3">
      <c r="A163">
        <v>195</v>
      </c>
      <c r="B163" t="s">
        <v>8</v>
      </c>
      <c r="C163" s="4" t="s">
        <v>21</v>
      </c>
      <c r="D163" t="s">
        <v>10</v>
      </c>
      <c r="E163">
        <v>307670</v>
      </c>
      <c r="F163" s="5">
        <v>78529.411764705888</v>
      </c>
      <c r="G163" s="6">
        <f t="shared" si="4"/>
        <v>14920.588235294119</v>
      </c>
      <c r="H163" s="6">
        <f t="shared" si="5"/>
        <v>93450</v>
      </c>
    </row>
    <row r="164" spans="1:8" x14ac:dyDescent="0.3">
      <c r="A164">
        <v>195</v>
      </c>
      <c r="B164" t="s">
        <v>8</v>
      </c>
      <c r="C164" s="4" t="s">
        <v>21</v>
      </c>
      <c r="D164" t="s">
        <v>10</v>
      </c>
      <c r="E164">
        <v>307671</v>
      </c>
      <c r="F164" s="5">
        <v>42008.403361344543</v>
      </c>
      <c r="G164" s="6">
        <f t="shared" si="4"/>
        <v>7981.5966386554628</v>
      </c>
      <c r="H164" s="6">
        <f t="shared" si="5"/>
        <v>49990.000000000007</v>
      </c>
    </row>
    <row r="165" spans="1:8" x14ac:dyDescent="0.3">
      <c r="A165">
        <v>195</v>
      </c>
      <c r="B165" t="s">
        <v>8</v>
      </c>
      <c r="C165" s="4" t="s">
        <v>21</v>
      </c>
      <c r="D165" t="s">
        <v>10</v>
      </c>
      <c r="E165">
        <v>307671</v>
      </c>
      <c r="F165" s="5">
        <v>57100.840336134454</v>
      </c>
      <c r="G165" s="6">
        <f t="shared" si="4"/>
        <v>10849.159663865546</v>
      </c>
      <c r="H165" s="6">
        <f t="shared" si="5"/>
        <v>67950</v>
      </c>
    </row>
    <row r="166" spans="1:8" x14ac:dyDescent="0.3">
      <c r="A166">
        <v>195</v>
      </c>
      <c r="B166" t="s">
        <v>8</v>
      </c>
      <c r="C166" s="4" t="s">
        <v>21</v>
      </c>
      <c r="D166" t="s">
        <v>10</v>
      </c>
      <c r="E166">
        <v>307672</v>
      </c>
      <c r="F166" s="5">
        <v>58781.512605042022</v>
      </c>
      <c r="G166" s="6">
        <f t="shared" si="4"/>
        <v>11168.487394957985</v>
      </c>
      <c r="H166" s="6">
        <f t="shared" si="5"/>
        <v>69950</v>
      </c>
    </row>
    <row r="167" spans="1:8" x14ac:dyDescent="0.3">
      <c r="A167">
        <v>195</v>
      </c>
      <c r="B167" t="s">
        <v>8</v>
      </c>
      <c r="C167" s="4" t="s">
        <v>21</v>
      </c>
      <c r="D167" t="s">
        <v>10</v>
      </c>
      <c r="E167">
        <v>307673</v>
      </c>
      <c r="F167" s="5">
        <v>33605.042016806721</v>
      </c>
      <c r="G167" s="6">
        <f t="shared" si="4"/>
        <v>6384.957983193277</v>
      </c>
      <c r="H167" s="6">
        <f t="shared" si="5"/>
        <v>39990</v>
      </c>
    </row>
    <row r="168" spans="1:8" x14ac:dyDescent="0.3">
      <c r="A168">
        <v>195</v>
      </c>
      <c r="B168" t="s">
        <v>8</v>
      </c>
      <c r="C168" s="4" t="s">
        <v>22</v>
      </c>
      <c r="D168" t="s">
        <v>10</v>
      </c>
      <c r="E168">
        <v>307674</v>
      </c>
      <c r="F168" s="5">
        <v>33605.042016806721</v>
      </c>
      <c r="G168" s="6">
        <f t="shared" si="4"/>
        <v>6384.957983193277</v>
      </c>
      <c r="H168" s="6">
        <f t="shared" si="5"/>
        <v>39990</v>
      </c>
    </row>
    <row r="169" spans="1:8" x14ac:dyDescent="0.3">
      <c r="A169">
        <v>195</v>
      </c>
      <c r="B169" t="s">
        <v>8</v>
      </c>
      <c r="C169" s="4" t="s">
        <v>22</v>
      </c>
      <c r="D169" t="s">
        <v>10</v>
      </c>
      <c r="E169">
        <v>307675</v>
      </c>
      <c r="F169" s="5">
        <v>67184.873949579836</v>
      </c>
      <c r="G169" s="6">
        <f t="shared" si="4"/>
        <v>12765.126050420169</v>
      </c>
      <c r="H169" s="6">
        <f t="shared" si="5"/>
        <v>79950</v>
      </c>
    </row>
    <row r="170" spans="1:8" x14ac:dyDescent="0.3">
      <c r="A170">
        <v>195</v>
      </c>
      <c r="B170" t="s">
        <v>8</v>
      </c>
      <c r="C170" s="4" t="s">
        <v>22</v>
      </c>
      <c r="D170" t="s">
        <v>10</v>
      </c>
      <c r="E170">
        <v>307675</v>
      </c>
      <c r="F170" s="5">
        <v>67184.873949579836</v>
      </c>
      <c r="G170" s="6">
        <f t="shared" si="4"/>
        <v>12765.126050420169</v>
      </c>
      <c r="H170" s="6">
        <f t="shared" si="5"/>
        <v>79950</v>
      </c>
    </row>
    <row r="171" spans="1:8" x14ac:dyDescent="0.3">
      <c r="A171">
        <v>195</v>
      </c>
      <c r="B171" t="s">
        <v>8</v>
      </c>
      <c r="C171" s="4" t="s">
        <v>22</v>
      </c>
      <c r="D171" t="s">
        <v>10</v>
      </c>
      <c r="E171">
        <v>307675</v>
      </c>
      <c r="F171" s="5">
        <v>5000</v>
      </c>
      <c r="G171" s="6">
        <f t="shared" si="4"/>
        <v>950</v>
      </c>
      <c r="H171" s="6">
        <f t="shared" si="5"/>
        <v>5950</v>
      </c>
    </row>
    <row r="172" spans="1:8" x14ac:dyDescent="0.3">
      <c r="A172">
        <v>195</v>
      </c>
      <c r="B172" t="s">
        <v>8</v>
      </c>
      <c r="C172" s="4" t="s">
        <v>22</v>
      </c>
      <c r="D172" t="s">
        <v>10</v>
      </c>
      <c r="E172">
        <v>307676</v>
      </c>
      <c r="F172" s="5">
        <v>33605.042016806721</v>
      </c>
      <c r="G172" s="6">
        <f t="shared" si="4"/>
        <v>6384.957983193277</v>
      </c>
      <c r="H172" s="6">
        <f t="shared" si="5"/>
        <v>39990</v>
      </c>
    </row>
    <row r="173" spans="1:8" x14ac:dyDescent="0.3">
      <c r="A173">
        <v>195</v>
      </c>
      <c r="B173" t="s">
        <v>8</v>
      </c>
      <c r="C173" s="4" t="s">
        <v>22</v>
      </c>
      <c r="D173" t="s">
        <v>10</v>
      </c>
      <c r="E173">
        <v>307677</v>
      </c>
      <c r="F173" s="5">
        <v>5840.3361344537816</v>
      </c>
      <c r="G173" s="6">
        <f t="shared" si="4"/>
        <v>1109.6638655462184</v>
      </c>
      <c r="H173" s="6">
        <f t="shared" si="5"/>
        <v>6950</v>
      </c>
    </row>
    <row r="174" spans="1:8" x14ac:dyDescent="0.3">
      <c r="A174">
        <v>195</v>
      </c>
      <c r="B174" t="s">
        <v>8</v>
      </c>
      <c r="C174" s="4" t="s">
        <v>22</v>
      </c>
      <c r="D174" t="s">
        <v>10</v>
      </c>
      <c r="E174">
        <v>307678</v>
      </c>
      <c r="F174" s="5">
        <v>420.1680672268908</v>
      </c>
      <c r="G174" s="6">
        <f t="shared" si="4"/>
        <v>79.831932773109259</v>
      </c>
      <c r="H174" s="6">
        <f t="shared" si="5"/>
        <v>500.00000000000006</v>
      </c>
    </row>
    <row r="175" spans="1:8" x14ac:dyDescent="0.3">
      <c r="A175">
        <v>195</v>
      </c>
      <c r="B175" t="s">
        <v>8</v>
      </c>
      <c r="C175" s="4" t="s">
        <v>22</v>
      </c>
      <c r="D175" t="s">
        <v>10</v>
      </c>
      <c r="E175">
        <v>307679</v>
      </c>
      <c r="F175" s="5">
        <v>58781.512605042022</v>
      </c>
      <c r="G175" s="6">
        <f t="shared" si="4"/>
        <v>11168.487394957985</v>
      </c>
      <c r="H175" s="6">
        <f t="shared" si="5"/>
        <v>69950</v>
      </c>
    </row>
    <row r="176" spans="1:8" x14ac:dyDescent="0.3">
      <c r="A176">
        <v>195</v>
      </c>
      <c r="B176" t="s">
        <v>8</v>
      </c>
      <c r="C176" s="4" t="s">
        <v>22</v>
      </c>
      <c r="D176" t="s">
        <v>10</v>
      </c>
      <c r="E176">
        <v>307680</v>
      </c>
      <c r="F176" s="5">
        <v>33605.042016806721</v>
      </c>
      <c r="G176" s="6">
        <f t="shared" si="4"/>
        <v>6384.957983193277</v>
      </c>
      <c r="H176" s="6">
        <f t="shared" si="5"/>
        <v>39990</v>
      </c>
    </row>
    <row r="177" spans="1:8" x14ac:dyDescent="0.3">
      <c r="A177">
        <v>195</v>
      </c>
      <c r="B177" t="s">
        <v>8</v>
      </c>
      <c r="C177" s="4" t="s">
        <v>22</v>
      </c>
      <c r="D177" t="s">
        <v>10</v>
      </c>
      <c r="E177">
        <v>307680</v>
      </c>
      <c r="F177" s="5">
        <v>33605.042016806721</v>
      </c>
      <c r="G177" s="6">
        <f t="shared" si="4"/>
        <v>6384.957983193277</v>
      </c>
      <c r="H177" s="6">
        <f t="shared" si="5"/>
        <v>39990</v>
      </c>
    </row>
    <row r="178" spans="1:8" x14ac:dyDescent="0.3">
      <c r="A178">
        <v>195</v>
      </c>
      <c r="B178" t="s">
        <v>8</v>
      </c>
      <c r="C178" s="4" t="s">
        <v>23</v>
      </c>
      <c r="D178" t="s">
        <v>17</v>
      </c>
      <c r="E178">
        <v>25382</v>
      </c>
      <c r="F178" s="5">
        <v>-58781.512605042022</v>
      </c>
      <c r="G178" s="6">
        <f t="shared" si="4"/>
        <v>-11168.487394957985</v>
      </c>
      <c r="H178" s="6">
        <f t="shared" si="5"/>
        <v>-69950</v>
      </c>
    </row>
    <row r="179" spans="1:8" x14ac:dyDescent="0.3">
      <c r="A179">
        <v>195</v>
      </c>
      <c r="B179" t="s">
        <v>8</v>
      </c>
      <c r="C179" s="4" t="s">
        <v>23</v>
      </c>
      <c r="D179" t="s">
        <v>17</v>
      </c>
      <c r="E179">
        <v>25382</v>
      </c>
      <c r="F179" s="5">
        <v>-33605.042016806721</v>
      </c>
      <c r="G179" s="6">
        <f t="shared" si="4"/>
        <v>-6384.957983193277</v>
      </c>
      <c r="H179" s="6">
        <f t="shared" si="5"/>
        <v>-39990</v>
      </c>
    </row>
    <row r="180" spans="1:8" x14ac:dyDescent="0.3">
      <c r="A180">
        <v>195</v>
      </c>
      <c r="B180" t="s">
        <v>8</v>
      </c>
      <c r="C180" s="4" t="s">
        <v>23</v>
      </c>
      <c r="D180" t="s">
        <v>10</v>
      </c>
      <c r="E180">
        <v>307681</v>
      </c>
      <c r="F180" s="5">
        <v>50411.764705882357</v>
      </c>
      <c r="G180" s="6">
        <f t="shared" si="4"/>
        <v>9578.2352941176487</v>
      </c>
      <c r="H180" s="6">
        <f t="shared" si="5"/>
        <v>59990.000000000007</v>
      </c>
    </row>
    <row r="181" spans="1:8" x14ac:dyDescent="0.3">
      <c r="A181">
        <v>195</v>
      </c>
      <c r="B181" t="s">
        <v>8</v>
      </c>
      <c r="C181" s="4" t="s">
        <v>23</v>
      </c>
      <c r="D181" t="s">
        <v>10</v>
      </c>
      <c r="E181">
        <v>307682</v>
      </c>
      <c r="F181" s="5">
        <v>420.1680672268908</v>
      </c>
      <c r="G181" s="6">
        <f t="shared" si="4"/>
        <v>79.831932773109259</v>
      </c>
      <c r="H181" s="6">
        <f t="shared" si="5"/>
        <v>500.00000000000006</v>
      </c>
    </row>
    <row r="182" spans="1:8" x14ac:dyDescent="0.3">
      <c r="A182">
        <v>195</v>
      </c>
      <c r="B182" t="s">
        <v>8</v>
      </c>
      <c r="C182" s="4" t="s">
        <v>23</v>
      </c>
      <c r="D182" t="s">
        <v>10</v>
      </c>
      <c r="E182">
        <v>307683</v>
      </c>
      <c r="F182" s="5">
        <v>50378.151260504201</v>
      </c>
      <c r="G182" s="6">
        <f t="shared" si="4"/>
        <v>9571.8487394957974</v>
      </c>
      <c r="H182" s="6">
        <f t="shared" si="5"/>
        <v>59950</v>
      </c>
    </row>
    <row r="183" spans="1:8" x14ac:dyDescent="0.3">
      <c r="A183">
        <v>195</v>
      </c>
      <c r="B183" t="s">
        <v>8</v>
      </c>
      <c r="C183" s="4" t="s">
        <v>23</v>
      </c>
      <c r="D183" t="s">
        <v>10</v>
      </c>
      <c r="E183">
        <v>307684</v>
      </c>
      <c r="F183" s="5">
        <v>58781.512605042022</v>
      </c>
      <c r="G183" s="6">
        <f t="shared" si="4"/>
        <v>11168.487394957985</v>
      </c>
      <c r="H183" s="6">
        <f t="shared" si="5"/>
        <v>69950</v>
      </c>
    </row>
    <row r="184" spans="1:8" x14ac:dyDescent="0.3">
      <c r="A184">
        <v>195</v>
      </c>
      <c r="B184" t="s">
        <v>8</v>
      </c>
      <c r="C184" s="4" t="s">
        <v>23</v>
      </c>
      <c r="D184" t="s">
        <v>10</v>
      </c>
      <c r="E184">
        <v>307684</v>
      </c>
      <c r="F184" s="5">
        <v>-42008.403361344543</v>
      </c>
      <c r="G184" s="6">
        <f t="shared" si="4"/>
        <v>-7981.5966386554628</v>
      </c>
      <c r="H184" s="6">
        <f t="shared" si="5"/>
        <v>-49990.000000000007</v>
      </c>
    </row>
    <row r="185" spans="1:8" x14ac:dyDescent="0.3">
      <c r="A185">
        <v>195</v>
      </c>
      <c r="B185" t="s">
        <v>8</v>
      </c>
      <c r="C185" s="4" t="s">
        <v>23</v>
      </c>
      <c r="D185" t="s">
        <v>10</v>
      </c>
      <c r="E185">
        <v>307684</v>
      </c>
      <c r="F185" s="5">
        <v>33605.042016806721</v>
      </c>
      <c r="G185" s="6">
        <f t="shared" si="4"/>
        <v>6384.957983193277</v>
      </c>
      <c r="H185" s="6">
        <f t="shared" si="5"/>
        <v>39990</v>
      </c>
    </row>
    <row r="186" spans="1:8" x14ac:dyDescent="0.3">
      <c r="A186">
        <v>195</v>
      </c>
      <c r="B186" t="s">
        <v>8</v>
      </c>
      <c r="C186" s="4" t="s">
        <v>23</v>
      </c>
      <c r="D186" t="s">
        <v>10</v>
      </c>
      <c r="E186">
        <v>307685</v>
      </c>
      <c r="F186" s="5">
        <v>33605.042016806721</v>
      </c>
      <c r="G186" s="6">
        <f t="shared" si="4"/>
        <v>6384.957983193277</v>
      </c>
      <c r="H186" s="6">
        <f t="shared" si="5"/>
        <v>39990</v>
      </c>
    </row>
    <row r="187" spans="1:8" x14ac:dyDescent="0.3">
      <c r="A187">
        <v>195</v>
      </c>
      <c r="B187" t="s">
        <v>8</v>
      </c>
      <c r="C187" s="4" t="s">
        <v>23</v>
      </c>
      <c r="D187" t="s">
        <v>10</v>
      </c>
      <c r="E187">
        <v>307686</v>
      </c>
      <c r="F187" s="5">
        <v>420.1680672268908</v>
      </c>
      <c r="G187" s="6">
        <f t="shared" si="4"/>
        <v>79.831932773109259</v>
      </c>
      <c r="H187" s="6">
        <f t="shared" si="5"/>
        <v>500.00000000000006</v>
      </c>
    </row>
    <row r="188" spans="1:8" x14ac:dyDescent="0.3">
      <c r="A188">
        <v>195</v>
      </c>
      <c r="B188" t="s">
        <v>8</v>
      </c>
      <c r="C188" s="4" t="s">
        <v>23</v>
      </c>
      <c r="D188" t="s">
        <v>10</v>
      </c>
      <c r="E188">
        <v>307687</v>
      </c>
      <c r="F188" s="5">
        <v>58781.512605042022</v>
      </c>
      <c r="G188" s="6">
        <f t="shared" si="4"/>
        <v>11168.487394957985</v>
      </c>
      <c r="H188" s="6">
        <f t="shared" si="5"/>
        <v>69950</v>
      </c>
    </row>
    <row r="189" spans="1:8" x14ac:dyDescent="0.3">
      <c r="A189">
        <v>195</v>
      </c>
      <c r="B189" t="s">
        <v>8</v>
      </c>
      <c r="C189" s="4" t="s">
        <v>23</v>
      </c>
      <c r="D189" t="s">
        <v>10</v>
      </c>
      <c r="E189">
        <v>307687</v>
      </c>
      <c r="F189" s="5">
        <v>-42008.403361344543</v>
      </c>
      <c r="G189" s="6">
        <f t="shared" si="4"/>
        <v>-7981.5966386554628</v>
      </c>
      <c r="H189" s="6">
        <f t="shared" si="5"/>
        <v>-49990.000000000007</v>
      </c>
    </row>
    <row r="190" spans="1:8" x14ac:dyDescent="0.3">
      <c r="A190">
        <v>195</v>
      </c>
      <c r="B190" t="s">
        <v>8</v>
      </c>
      <c r="C190" s="4" t="s">
        <v>23</v>
      </c>
      <c r="D190" t="s">
        <v>10</v>
      </c>
      <c r="E190">
        <v>307688</v>
      </c>
      <c r="F190" s="5">
        <v>42008.403361344543</v>
      </c>
      <c r="G190" s="6">
        <f t="shared" si="4"/>
        <v>7981.5966386554628</v>
      </c>
      <c r="H190" s="6">
        <f t="shared" si="5"/>
        <v>49990.000000000007</v>
      </c>
    </row>
    <row r="191" spans="1:8" x14ac:dyDescent="0.3">
      <c r="A191">
        <v>195</v>
      </c>
      <c r="B191" t="s">
        <v>8</v>
      </c>
      <c r="C191" s="4" t="s">
        <v>23</v>
      </c>
      <c r="D191" t="s">
        <v>10</v>
      </c>
      <c r="E191">
        <v>307689</v>
      </c>
      <c r="F191" s="5">
        <v>420.1680672268908</v>
      </c>
      <c r="G191" s="6">
        <f t="shared" si="4"/>
        <v>79.831932773109259</v>
      </c>
      <c r="H191" s="6">
        <f t="shared" si="5"/>
        <v>500.00000000000006</v>
      </c>
    </row>
    <row r="192" spans="1:8" x14ac:dyDescent="0.3">
      <c r="A192">
        <v>195</v>
      </c>
      <c r="B192" t="s">
        <v>8</v>
      </c>
      <c r="C192" s="4" t="s">
        <v>24</v>
      </c>
      <c r="D192" t="s">
        <v>10</v>
      </c>
      <c r="E192">
        <v>307690</v>
      </c>
      <c r="F192" s="5">
        <v>50411.764705882357</v>
      </c>
      <c r="G192" s="6">
        <f t="shared" si="4"/>
        <v>9578.2352941176487</v>
      </c>
      <c r="H192" s="6">
        <f t="shared" si="5"/>
        <v>59990.000000000007</v>
      </c>
    </row>
    <row r="193" spans="1:8" x14ac:dyDescent="0.3">
      <c r="A193">
        <v>195</v>
      </c>
      <c r="B193" t="s">
        <v>8</v>
      </c>
      <c r="C193" s="4" t="s">
        <v>24</v>
      </c>
      <c r="D193" t="s">
        <v>10</v>
      </c>
      <c r="E193">
        <v>307691</v>
      </c>
      <c r="F193" s="5">
        <v>42008.403361344543</v>
      </c>
      <c r="G193" s="6">
        <f t="shared" si="4"/>
        <v>7981.5966386554628</v>
      </c>
      <c r="H193" s="6">
        <f t="shared" si="5"/>
        <v>49990.000000000007</v>
      </c>
    </row>
    <row r="194" spans="1:8" x14ac:dyDescent="0.3">
      <c r="A194">
        <v>195</v>
      </c>
      <c r="B194" t="s">
        <v>8</v>
      </c>
      <c r="C194" s="4" t="s">
        <v>24</v>
      </c>
      <c r="D194" t="s">
        <v>10</v>
      </c>
      <c r="E194">
        <v>307692</v>
      </c>
      <c r="F194" s="5">
        <v>50411.764705882357</v>
      </c>
      <c r="G194" s="6">
        <f t="shared" si="4"/>
        <v>9578.2352941176487</v>
      </c>
      <c r="H194" s="6">
        <f t="shared" si="5"/>
        <v>59990.000000000007</v>
      </c>
    </row>
    <row r="195" spans="1:8" x14ac:dyDescent="0.3">
      <c r="A195">
        <v>195</v>
      </c>
      <c r="B195" t="s">
        <v>8</v>
      </c>
      <c r="C195" s="4" t="s">
        <v>24</v>
      </c>
      <c r="D195" t="s">
        <v>10</v>
      </c>
      <c r="E195">
        <v>307693</v>
      </c>
      <c r="F195" s="5">
        <v>56689.075630252104</v>
      </c>
      <c r="G195" s="6">
        <f t="shared" ref="G195:G258" si="6">F195*19%</f>
        <v>10770.9243697479</v>
      </c>
      <c r="H195" s="6">
        <f t="shared" ref="H195:H258" si="7">+G195+F195</f>
        <v>67460</v>
      </c>
    </row>
    <row r="196" spans="1:8" x14ac:dyDescent="0.3">
      <c r="A196">
        <v>195</v>
      </c>
      <c r="B196" t="s">
        <v>8</v>
      </c>
      <c r="C196" s="4" t="s">
        <v>24</v>
      </c>
      <c r="D196" t="s">
        <v>10</v>
      </c>
      <c r="E196">
        <v>307694</v>
      </c>
      <c r="F196" s="5">
        <v>420.1680672268908</v>
      </c>
      <c r="G196" s="6">
        <f t="shared" si="6"/>
        <v>79.831932773109259</v>
      </c>
      <c r="H196" s="6">
        <f t="shared" si="7"/>
        <v>500.00000000000006</v>
      </c>
    </row>
    <row r="197" spans="1:8" x14ac:dyDescent="0.3">
      <c r="A197">
        <v>195</v>
      </c>
      <c r="B197" t="s">
        <v>8</v>
      </c>
      <c r="C197" s="4" t="s">
        <v>24</v>
      </c>
      <c r="D197" t="s">
        <v>10</v>
      </c>
      <c r="E197">
        <v>307695</v>
      </c>
      <c r="F197" s="5">
        <v>62983.193277310929</v>
      </c>
      <c r="G197" s="6">
        <f t="shared" si="6"/>
        <v>11966.806722689076</v>
      </c>
      <c r="H197" s="6">
        <f t="shared" si="7"/>
        <v>74950</v>
      </c>
    </row>
    <row r="198" spans="1:8" x14ac:dyDescent="0.3">
      <c r="A198">
        <v>195</v>
      </c>
      <c r="B198" t="s">
        <v>8</v>
      </c>
      <c r="C198" s="4" t="s">
        <v>24</v>
      </c>
      <c r="D198" t="s">
        <v>10</v>
      </c>
      <c r="E198">
        <v>307696</v>
      </c>
      <c r="F198" s="5">
        <v>50378.151260504201</v>
      </c>
      <c r="G198" s="6">
        <f t="shared" si="6"/>
        <v>9571.8487394957974</v>
      </c>
      <c r="H198" s="6">
        <f t="shared" si="7"/>
        <v>59950</v>
      </c>
    </row>
    <row r="199" spans="1:8" x14ac:dyDescent="0.3">
      <c r="A199">
        <v>195</v>
      </c>
      <c r="B199" t="s">
        <v>8</v>
      </c>
      <c r="C199" s="4" t="s">
        <v>24</v>
      </c>
      <c r="D199" t="s">
        <v>10</v>
      </c>
      <c r="E199">
        <v>307696</v>
      </c>
      <c r="F199" s="5">
        <v>33605.042016806721</v>
      </c>
      <c r="G199" s="6">
        <f t="shared" si="6"/>
        <v>6384.957983193277</v>
      </c>
      <c r="H199" s="6">
        <f t="shared" si="7"/>
        <v>39990</v>
      </c>
    </row>
    <row r="200" spans="1:8" x14ac:dyDescent="0.3">
      <c r="A200">
        <v>195</v>
      </c>
      <c r="B200" t="s">
        <v>8</v>
      </c>
      <c r="C200" s="4" t="s">
        <v>25</v>
      </c>
      <c r="D200" t="s">
        <v>10</v>
      </c>
      <c r="E200">
        <v>307697</v>
      </c>
      <c r="F200" s="5">
        <v>-42008.403361344543</v>
      </c>
      <c r="G200" s="6">
        <f t="shared" si="6"/>
        <v>-7981.5966386554628</v>
      </c>
      <c r="H200" s="6">
        <f t="shared" si="7"/>
        <v>-49990.000000000007</v>
      </c>
    </row>
    <row r="201" spans="1:8" x14ac:dyDescent="0.3">
      <c r="A201">
        <v>195</v>
      </c>
      <c r="B201" t="s">
        <v>8</v>
      </c>
      <c r="C201" s="4" t="s">
        <v>25</v>
      </c>
      <c r="D201" t="s">
        <v>10</v>
      </c>
      <c r="E201">
        <v>307697</v>
      </c>
      <c r="F201" s="5">
        <v>42009.243697478996</v>
      </c>
      <c r="G201" s="6">
        <f t="shared" si="6"/>
        <v>7981.7563025210093</v>
      </c>
      <c r="H201" s="6">
        <f t="shared" si="7"/>
        <v>49991.000000000007</v>
      </c>
    </row>
    <row r="202" spans="1:8" x14ac:dyDescent="0.3">
      <c r="A202">
        <v>195</v>
      </c>
      <c r="B202" t="s">
        <v>8</v>
      </c>
      <c r="C202" s="4" t="s">
        <v>25</v>
      </c>
      <c r="D202" t="s">
        <v>10</v>
      </c>
      <c r="E202">
        <v>307698</v>
      </c>
      <c r="F202" s="5">
        <v>62983.193277310929</v>
      </c>
      <c r="G202" s="6">
        <f t="shared" si="6"/>
        <v>11966.806722689076</v>
      </c>
      <c r="H202" s="6">
        <f t="shared" si="7"/>
        <v>74950</v>
      </c>
    </row>
    <row r="203" spans="1:8" x14ac:dyDescent="0.3">
      <c r="A203">
        <v>195</v>
      </c>
      <c r="B203" t="s">
        <v>8</v>
      </c>
      <c r="C203" s="4" t="s">
        <v>25</v>
      </c>
      <c r="D203" t="s">
        <v>10</v>
      </c>
      <c r="E203">
        <v>307699</v>
      </c>
      <c r="F203" s="5">
        <v>33605.042016806721</v>
      </c>
      <c r="G203" s="6">
        <f t="shared" si="6"/>
        <v>6384.957983193277</v>
      </c>
      <c r="H203" s="6">
        <f t="shared" si="7"/>
        <v>39990</v>
      </c>
    </row>
    <row r="204" spans="1:8" x14ac:dyDescent="0.3">
      <c r="A204">
        <v>195</v>
      </c>
      <c r="B204" t="s">
        <v>8</v>
      </c>
      <c r="C204" s="4" t="s">
        <v>25</v>
      </c>
      <c r="D204" t="s">
        <v>10</v>
      </c>
      <c r="E204">
        <v>307700</v>
      </c>
      <c r="F204" s="5">
        <v>92394.957983193279</v>
      </c>
      <c r="G204" s="6">
        <f t="shared" si="6"/>
        <v>17555.042016806725</v>
      </c>
      <c r="H204" s="6">
        <f t="shared" si="7"/>
        <v>109950</v>
      </c>
    </row>
    <row r="205" spans="1:8" x14ac:dyDescent="0.3">
      <c r="A205">
        <v>195</v>
      </c>
      <c r="B205" t="s">
        <v>8</v>
      </c>
      <c r="C205" s="4" t="s">
        <v>25</v>
      </c>
      <c r="D205" t="s">
        <v>10</v>
      </c>
      <c r="E205">
        <v>307701</v>
      </c>
      <c r="F205" s="5">
        <v>50378.151260504201</v>
      </c>
      <c r="G205" s="6">
        <f t="shared" si="6"/>
        <v>9571.8487394957974</v>
      </c>
      <c r="H205" s="6">
        <f t="shared" si="7"/>
        <v>59950</v>
      </c>
    </row>
    <row r="206" spans="1:8" x14ac:dyDescent="0.3">
      <c r="A206">
        <v>195</v>
      </c>
      <c r="B206" t="s">
        <v>8</v>
      </c>
      <c r="C206" s="4" t="s">
        <v>25</v>
      </c>
      <c r="D206" t="s">
        <v>10</v>
      </c>
      <c r="E206">
        <v>307702</v>
      </c>
      <c r="F206" s="5">
        <v>58781.512605042022</v>
      </c>
      <c r="G206" s="6">
        <f t="shared" si="6"/>
        <v>11168.487394957985</v>
      </c>
      <c r="H206" s="6">
        <f t="shared" si="7"/>
        <v>69950</v>
      </c>
    </row>
    <row r="207" spans="1:8" x14ac:dyDescent="0.3">
      <c r="A207">
        <v>195</v>
      </c>
      <c r="B207" t="s">
        <v>8</v>
      </c>
      <c r="C207" s="4" t="s">
        <v>26</v>
      </c>
      <c r="D207" t="s">
        <v>10</v>
      </c>
      <c r="E207">
        <v>307703</v>
      </c>
      <c r="F207" s="5">
        <v>29403.361344537818</v>
      </c>
      <c r="G207" s="6">
        <f t="shared" si="6"/>
        <v>5586.6386554621859</v>
      </c>
      <c r="H207" s="6">
        <f t="shared" si="7"/>
        <v>34990</v>
      </c>
    </row>
    <row r="208" spans="1:8" x14ac:dyDescent="0.3">
      <c r="A208">
        <v>195</v>
      </c>
      <c r="B208" t="s">
        <v>8</v>
      </c>
      <c r="C208" s="4" t="s">
        <v>26</v>
      </c>
      <c r="D208" t="s">
        <v>10</v>
      </c>
      <c r="E208">
        <v>307704</v>
      </c>
      <c r="F208" s="5">
        <v>58781.512605042022</v>
      </c>
      <c r="G208" s="6">
        <f t="shared" si="6"/>
        <v>11168.487394957985</v>
      </c>
      <c r="H208" s="6">
        <f t="shared" si="7"/>
        <v>69950</v>
      </c>
    </row>
    <row r="209" spans="1:8" x14ac:dyDescent="0.3">
      <c r="A209">
        <v>195</v>
      </c>
      <c r="B209" t="s">
        <v>8</v>
      </c>
      <c r="C209" s="4" t="s">
        <v>26</v>
      </c>
      <c r="D209" t="s">
        <v>10</v>
      </c>
      <c r="E209">
        <v>307705</v>
      </c>
      <c r="F209" s="5">
        <v>67184.873949579836</v>
      </c>
      <c r="G209" s="6">
        <f t="shared" si="6"/>
        <v>12765.126050420169</v>
      </c>
      <c r="H209" s="6">
        <f t="shared" si="7"/>
        <v>79950</v>
      </c>
    </row>
    <row r="210" spans="1:8" x14ac:dyDescent="0.3">
      <c r="A210">
        <v>195</v>
      </c>
      <c r="B210" t="s">
        <v>8</v>
      </c>
      <c r="C210" s="4" t="s">
        <v>26</v>
      </c>
      <c r="D210" t="s">
        <v>10</v>
      </c>
      <c r="E210">
        <v>307706</v>
      </c>
      <c r="F210" s="5">
        <v>54579.831932773115</v>
      </c>
      <c r="G210" s="6">
        <f t="shared" si="6"/>
        <v>10370.168067226892</v>
      </c>
      <c r="H210" s="6">
        <f t="shared" si="7"/>
        <v>64950.000000000007</v>
      </c>
    </row>
    <row r="211" spans="1:8" x14ac:dyDescent="0.3">
      <c r="A211">
        <v>195</v>
      </c>
      <c r="B211" t="s">
        <v>8</v>
      </c>
      <c r="C211" s="4" t="s">
        <v>26</v>
      </c>
      <c r="D211" t="s">
        <v>10</v>
      </c>
      <c r="E211">
        <v>307707</v>
      </c>
      <c r="F211" s="5">
        <v>126008.40336134455</v>
      </c>
      <c r="G211" s="6">
        <f t="shared" si="6"/>
        <v>23941.596638655465</v>
      </c>
      <c r="H211" s="6">
        <f t="shared" si="7"/>
        <v>149950</v>
      </c>
    </row>
    <row r="212" spans="1:8" x14ac:dyDescent="0.3">
      <c r="A212">
        <v>195</v>
      </c>
      <c r="B212" t="s">
        <v>8</v>
      </c>
      <c r="C212" s="4" t="s">
        <v>26</v>
      </c>
      <c r="D212" t="s">
        <v>10</v>
      </c>
      <c r="E212">
        <v>307708</v>
      </c>
      <c r="F212" s="5">
        <v>62983.193277310929</v>
      </c>
      <c r="G212" s="6">
        <f t="shared" si="6"/>
        <v>11966.806722689076</v>
      </c>
      <c r="H212" s="6">
        <f t="shared" si="7"/>
        <v>74950</v>
      </c>
    </row>
    <row r="213" spans="1:8" x14ac:dyDescent="0.3">
      <c r="A213">
        <v>195</v>
      </c>
      <c r="B213" t="s">
        <v>8</v>
      </c>
      <c r="C213" s="4" t="s">
        <v>26</v>
      </c>
      <c r="D213" t="s">
        <v>10</v>
      </c>
      <c r="E213">
        <v>307709</v>
      </c>
      <c r="F213" s="5">
        <v>-67184.873949579836</v>
      </c>
      <c r="G213" s="6">
        <f t="shared" si="6"/>
        <v>-12765.126050420169</v>
      </c>
      <c r="H213" s="6">
        <f t="shared" si="7"/>
        <v>-79950</v>
      </c>
    </row>
    <row r="214" spans="1:8" x14ac:dyDescent="0.3">
      <c r="A214">
        <v>195</v>
      </c>
      <c r="B214" t="s">
        <v>8</v>
      </c>
      <c r="C214" s="4" t="s">
        <v>26</v>
      </c>
      <c r="D214" t="s">
        <v>10</v>
      </c>
      <c r="E214">
        <v>307709</v>
      </c>
      <c r="F214" s="5">
        <v>67185.71428571429</v>
      </c>
      <c r="G214" s="6">
        <f t="shared" si="6"/>
        <v>12765.285714285716</v>
      </c>
      <c r="H214" s="6">
        <f t="shared" si="7"/>
        <v>79951</v>
      </c>
    </row>
    <row r="215" spans="1:8" x14ac:dyDescent="0.3">
      <c r="A215">
        <v>195</v>
      </c>
      <c r="B215" t="s">
        <v>8</v>
      </c>
      <c r="C215" s="4" t="s">
        <v>26</v>
      </c>
      <c r="D215" t="s">
        <v>10</v>
      </c>
      <c r="E215">
        <v>307710</v>
      </c>
      <c r="F215" s="5">
        <v>58781.512605042022</v>
      </c>
      <c r="G215" s="6">
        <f t="shared" si="6"/>
        <v>11168.487394957985</v>
      </c>
      <c r="H215" s="6">
        <f t="shared" si="7"/>
        <v>69950</v>
      </c>
    </row>
    <row r="216" spans="1:8" x14ac:dyDescent="0.3">
      <c r="A216">
        <v>195</v>
      </c>
      <c r="B216" t="s">
        <v>8</v>
      </c>
      <c r="C216" s="4" t="s">
        <v>27</v>
      </c>
      <c r="D216" t="s">
        <v>10</v>
      </c>
      <c r="E216">
        <v>307711</v>
      </c>
      <c r="F216" s="5">
        <v>75588.23529411765</v>
      </c>
      <c r="G216" s="6">
        <f t="shared" si="6"/>
        <v>14361.764705882353</v>
      </c>
      <c r="H216" s="6">
        <f t="shared" si="7"/>
        <v>89950</v>
      </c>
    </row>
    <row r="217" spans="1:8" x14ac:dyDescent="0.3">
      <c r="A217">
        <v>195</v>
      </c>
      <c r="B217" t="s">
        <v>8</v>
      </c>
      <c r="C217" s="4" t="s">
        <v>27</v>
      </c>
      <c r="D217" t="s">
        <v>10</v>
      </c>
      <c r="E217">
        <v>307712</v>
      </c>
      <c r="F217" s="5">
        <v>49957.983193277316</v>
      </c>
      <c r="G217" s="6">
        <f t="shared" si="6"/>
        <v>9492.0168067226896</v>
      </c>
      <c r="H217" s="6">
        <f t="shared" si="7"/>
        <v>59450.000000000007</v>
      </c>
    </row>
    <row r="218" spans="1:8" x14ac:dyDescent="0.3">
      <c r="A218">
        <v>195</v>
      </c>
      <c r="B218" t="s">
        <v>8</v>
      </c>
      <c r="C218" s="4" t="s">
        <v>27</v>
      </c>
      <c r="D218" t="s">
        <v>10</v>
      </c>
      <c r="E218">
        <v>307712</v>
      </c>
      <c r="F218" s="5">
        <v>50378.151260504201</v>
      </c>
      <c r="G218" s="6">
        <f t="shared" si="6"/>
        <v>9571.8487394957974</v>
      </c>
      <c r="H218" s="6">
        <f t="shared" si="7"/>
        <v>59950</v>
      </c>
    </row>
    <row r="219" spans="1:8" x14ac:dyDescent="0.3">
      <c r="A219">
        <v>195</v>
      </c>
      <c r="B219" t="s">
        <v>8</v>
      </c>
      <c r="C219" s="4" t="s">
        <v>27</v>
      </c>
      <c r="D219" t="s">
        <v>10</v>
      </c>
      <c r="E219">
        <v>307713</v>
      </c>
      <c r="F219" s="5">
        <v>42008.403361344543</v>
      </c>
      <c r="G219" s="6">
        <f t="shared" si="6"/>
        <v>7981.5966386554628</v>
      </c>
      <c r="H219" s="6">
        <f t="shared" si="7"/>
        <v>49990.000000000007</v>
      </c>
    </row>
    <row r="220" spans="1:8" x14ac:dyDescent="0.3">
      <c r="A220">
        <v>195</v>
      </c>
      <c r="B220" t="s">
        <v>8</v>
      </c>
      <c r="C220" s="4" t="s">
        <v>27</v>
      </c>
      <c r="D220" t="s">
        <v>10</v>
      </c>
      <c r="E220">
        <v>307714</v>
      </c>
      <c r="F220" s="5">
        <v>33605.042016806721</v>
      </c>
      <c r="G220" s="6">
        <f t="shared" si="6"/>
        <v>6384.957983193277</v>
      </c>
      <c r="H220" s="6">
        <f t="shared" si="7"/>
        <v>39990</v>
      </c>
    </row>
    <row r="221" spans="1:8" x14ac:dyDescent="0.3">
      <c r="A221">
        <v>195</v>
      </c>
      <c r="B221" t="s">
        <v>8</v>
      </c>
      <c r="C221" s="4" t="s">
        <v>27</v>
      </c>
      <c r="D221" t="s">
        <v>10</v>
      </c>
      <c r="E221">
        <v>307714</v>
      </c>
      <c r="F221" s="5">
        <v>4661.3445378151264</v>
      </c>
      <c r="G221" s="6">
        <f t="shared" si="6"/>
        <v>885.65546218487407</v>
      </c>
      <c r="H221" s="6">
        <f t="shared" si="7"/>
        <v>5547</v>
      </c>
    </row>
    <row r="222" spans="1:8" x14ac:dyDescent="0.3">
      <c r="A222">
        <v>195</v>
      </c>
      <c r="B222" t="s">
        <v>8</v>
      </c>
      <c r="C222" s="4" t="s">
        <v>27</v>
      </c>
      <c r="D222" t="s">
        <v>10</v>
      </c>
      <c r="E222">
        <v>307715</v>
      </c>
      <c r="F222" s="5">
        <v>58781.512605042022</v>
      </c>
      <c r="G222" s="6">
        <f t="shared" si="6"/>
        <v>11168.487394957985</v>
      </c>
      <c r="H222" s="6">
        <f t="shared" si="7"/>
        <v>69950</v>
      </c>
    </row>
    <row r="223" spans="1:8" x14ac:dyDescent="0.3">
      <c r="A223">
        <v>195</v>
      </c>
      <c r="B223" t="s">
        <v>8</v>
      </c>
      <c r="C223" s="4" t="s">
        <v>27</v>
      </c>
      <c r="D223" t="s">
        <v>10</v>
      </c>
      <c r="E223">
        <v>307716</v>
      </c>
      <c r="F223" s="5">
        <v>1680.6722689075632</v>
      </c>
      <c r="G223" s="6">
        <f t="shared" si="6"/>
        <v>319.32773109243703</v>
      </c>
      <c r="H223" s="6">
        <f t="shared" si="7"/>
        <v>2000.0000000000002</v>
      </c>
    </row>
    <row r="224" spans="1:8" x14ac:dyDescent="0.3">
      <c r="A224">
        <v>195</v>
      </c>
      <c r="B224" t="s">
        <v>8</v>
      </c>
      <c r="C224" s="4" t="s">
        <v>27</v>
      </c>
      <c r="D224" t="s">
        <v>10</v>
      </c>
      <c r="E224">
        <v>307716</v>
      </c>
      <c r="F224" s="5">
        <v>46210.08403361345</v>
      </c>
      <c r="G224" s="6">
        <f t="shared" si="6"/>
        <v>8779.9159663865557</v>
      </c>
      <c r="H224" s="6">
        <f t="shared" si="7"/>
        <v>54990.000000000007</v>
      </c>
    </row>
    <row r="225" spans="1:8" x14ac:dyDescent="0.3">
      <c r="A225">
        <v>195</v>
      </c>
      <c r="B225" t="s">
        <v>8</v>
      </c>
      <c r="C225" s="4" t="s">
        <v>27</v>
      </c>
      <c r="D225" t="s">
        <v>10</v>
      </c>
      <c r="E225">
        <v>307717</v>
      </c>
      <c r="F225" s="5">
        <v>33605.042016806721</v>
      </c>
      <c r="G225" s="6">
        <f t="shared" si="6"/>
        <v>6384.957983193277</v>
      </c>
      <c r="H225" s="6">
        <f t="shared" si="7"/>
        <v>39990</v>
      </c>
    </row>
    <row r="226" spans="1:8" x14ac:dyDescent="0.3">
      <c r="A226">
        <v>195</v>
      </c>
      <c r="B226" t="s">
        <v>8</v>
      </c>
      <c r="C226" s="4" t="s">
        <v>27</v>
      </c>
      <c r="D226" t="s">
        <v>10</v>
      </c>
      <c r="E226">
        <v>307718</v>
      </c>
      <c r="F226" s="5">
        <v>42008.403361344543</v>
      </c>
      <c r="G226" s="6">
        <f t="shared" si="6"/>
        <v>7981.5966386554628</v>
      </c>
      <c r="H226" s="6">
        <f t="shared" si="7"/>
        <v>49990.000000000007</v>
      </c>
    </row>
    <row r="227" spans="1:8" x14ac:dyDescent="0.3">
      <c r="A227">
        <v>195</v>
      </c>
      <c r="B227" t="s">
        <v>8</v>
      </c>
      <c r="C227" s="4" t="s">
        <v>27</v>
      </c>
      <c r="D227" t="s">
        <v>10</v>
      </c>
      <c r="E227">
        <v>307718</v>
      </c>
      <c r="F227" s="5">
        <v>49957.983193277316</v>
      </c>
      <c r="G227" s="6">
        <f t="shared" si="6"/>
        <v>9492.0168067226896</v>
      </c>
      <c r="H227" s="6">
        <f t="shared" si="7"/>
        <v>59450.000000000007</v>
      </c>
    </row>
    <row r="228" spans="1:8" x14ac:dyDescent="0.3">
      <c r="A228">
        <v>195</v>
      </c>
      <c r="B228" t="s">
        <v>8</v>
      </c>
      <c r="C228" s="4" t="s">
        <v>27</v>
      </c>
      <c r="D228" t="s">
        <v>10</v>
      </c>
      <c r="E228">
        <v>307719</v>
      </c>
      <c r="F228" s="5">
        <v>3747.8991596638657</v>
      </c>
      <c r="G228" s="6">
        <f t="shared" si="6"/>
        <v>712.10084033613452</v>
      </c>
      <c r="H228" s="6">
        <f t="shared" si="7"/>
        <v>4460</v>
      </c>
    </row>
    <row r="229" spans="1:8" x14ac:dyDescent="0.3">
      <c r="A229">
        <v>195</v>
      </c>
      <c r="B229" t="s">
        <v>8</v>
      </c>
      <c r="C229" s="4" t="s">
        <v>27</v>
      </c>
      <c r="D229" t="s">
        <v>10</v>
      </c>
      <c r="E229">
        <v>307720</v>
      </c>
      <c r="F229" s="5">
        <v>33605.042016806721</v>
      </c>
      <c r="G229" s="6">
        <f t="shared" si="6"/>
        <v>6384.957983193277</v>
      </c>
      <c r="H229" s="6">
        <f t="shared" si="7"/>
        <v>39990</v>
      </c>
    </row>
    <row r="230" spans="1:8" x14ac:dyDescent="0.3">
      <c r="A230">
        <v>195</v>
      </c>
      <c r="B230" t="s">
        <v>8</v>
      </c>
      <c r="C230" s="4" t="s">
        <v>27</v>
      </c>
      <c r="D230" t="s">
        <v>10</v>
      </c>
      <c r="E230">
        <v>307720</v>
      </c>
      <c r="F230" s="5">
        <v>33605.042016806721</v>
      </c>
      <c r="G230" s="6">
        <f t="shared" si="6"/>
        <v>6384.957983193277</v>
      </c>
      <c r="H230" s="6">
        <f t="shared" si="7"/>
        <v>39990</v>
      </c>
    </row>
    <row r="231" spans="1:8" x14ac:dyDescent="0.3">
      <c r="A231">
        <v>195</v>
      </c>
      <c r="B231" t="s">
        <v>8</v>
      </c>
      <c r="C231" s="4" t="s">
        <v>27</v>
      </c>
      <c r="D231" t="s">
        <v>10</v>
      </c>
      <c r="E231">
        <v>307721</v>
      </c>
      <c r="F231" s="5">
        <v>58815.126050420171</v>
      </c>
      <c r="G231" s="6">
        <f t="shared" si="6"/>
        <v>11174.873949579833</v>
      </c>
      <c r="H231" s="6">
        <f t="shared" si="7"/>
        <v>69990</v>
      </c>
    </row>
    <row r="232" spans="1:8" x14ac:dyDescent="0.3">
      <c r="A232">
        <v>195</v>
      </c>
      <c r="B232" t="s">
        <v>8</v>
      </c>
      <c r="C232" s="4" t="s">
        <v>28</v>
      </c>
      <c r="D232" t="s">
        <v>10</v>
      </c>
      <c r="E232">
        <v>307722</v>
      </c>
      <c r="F232" s="5">
        <v>58781.512605042022</v>
      </c>
      <c r="G232" s="6">
        <f t="shared" si="6"/>
        <v>11168.487394957985</v>
      </c>
      <c r="H232" s="6">
        <f t="shared" si="7"/>
        <v>69950</v>
      </c>
    </row>
    <row r="233" spans="1:8" x14ac:dyDescent="0.3">
      <c r="A233">
        <v>195</v>
      </c>
      <c r="B233" t="s">
        <v>8</v>
      </c>
      <c r="C233" s="4" t="s">
        <v>28</v>
      </c>
      <c r="D233" t="s">
        <v>10</v>
      </c>
      <c r="E233">
        <v>307723</v>
      </c>
      <c r="F233" s="5">
        <v>75588.23529411765</v>
      </c>
      <c r="G233" s="6">
        <f t="shared" si="6"/>
        <v>14361.764705882353</v>
      </c>
      <c r="H233" s="6">
        <f t="shared" si="7"/>
        <v>89950</v>
      </c>
    </row>
    <row r="234" spans="1:8" x14ac:dyDescent="0.3">
      <c r="A234">
        <v>195</v>
      </c>
      <c r="B234" t="s">
        <v>8</v>
      </c>
      <c r="C234" s="4" t="s">
        <v>28</v>
      </c>
      <c r="D234" t="s">
        <v>10</v>
      </c>
      <c r="E234">
        <v>307723</v>
      </c>
      <c r="F234" s="5">
        <v>-83991.596638655465</v>
      </c>
      <c r="G234" s="6">
        <f t="shared" si="6"/>
        <v>-15958.403361344539</v>
      </c>
      <c r="H234" s="6">
        <f t="shared" si="7"/>
        <v>-99950</v>
      </c>
    </row>
    <row r="235" spans="1:8" x14ac:dyDescent="0.3">
      <c r="A235">
        <v>195</v>
      </c>
      <c r="B235" t="s">
        <v>8</v>
      </c>
      <c r="C235" s="4" t="s">
        <v>28</v>
      </c>
      <c r="D235" t="s">
        <v>10</v>
      </c>
      <c r="E235">
        <v>307723</v>
      </c>
      <c r="F235" s="5">
        <v>92.436974789915965</v>
      </c>
      <c r="G235" s="6">
        <f t="shared" si="6"/>
        <v>17.563025210084035</v>
      </c>
      <c r="H235" s="6">
        <f t="shared" si="7"/>
        <v>110</v>
      </c>
    </row>
    <row r="236" spans="1:8" x14ac:dyDescent="0.3">
      <c r="A236">
        <v>195</v>
      </c>
      <c r="B236" t="s">
        <v>8</v>
      </c>
      <c r="C236" s="4" t="s">
        <v>28</v>
      </c>
      <c r="D236" t="s">
        <v>10</v>
      </c>
      <c r="E236">
        <v>307723</v>
      </c>
      <c r="F236" s="5">
        <v>5000</v>
      </c>
      <c r="G236" s="6">
        <f t="shared" si="6"/>
        <v>950</v>
      </c>
      <c r="H236" s="6">
        <f t="shared" si="7"/>
        <v>5950</v>
      </c>
    </row>
    <row r="237" spans="1:8" x14ac:dyDescent="0.3">
      <c r="A237">
        <v>195</v>
      </c>
      <c r="B237" t="s">
        <v>8</v>
      </c>
      <c r="C237" s="4" t="s">
        <v>28</v>
      </c>
      <c r="D237" t="s">
        <v>10</v>
      </c>
      <c r="E237">
        <v>307723</v>
      </c>
      <c r="F237" s="5">
        <v>3319.3277310924373</v>
      </c>
      <c r="G237" s="6">
        <f t="shared" si="6"/>
        <v>630.67226890756308</v>
      </c>
      <c r="H237" s="6">
        <f t="shared" si="7"/>
        <v>3950.0000000000005</v>
      </c>
    </row>
    <row r="238" spans="1:8" x14ac:dyDescent="0.3">
      <c r="A238">
        <v>195</v>
      </c>
      <c r="B238" t="s">
        <v>8</v>
      </c>
      <c r="C238" s="4" t="s">
        <v>28</v>
      </c>
      <c r="D238" t="s">
        <v>10</v>
      </c>
      <c r="E238">
        <v>307724</v>
      </c>
      <c r="F238" s="5">
        <v>54579.831932773115</v>
      </c>
      <c r="G238" s="6">
        <f t="shared" si="6"/>
        <v>10370.168067226892</v>
      </c>
      <c r="H238" s="6">
        <f t="shared" si="7"/>
        <v>64950.000000000007</v>
      </c>
    </row>
    <row r="239" spans="1:8" x14ac:dyDescent="0.3">
      <c r="A239">
        <v>195</v>
      </c>
      <c r="B239" t="s">
        <v>8</v>
      </c>
      <c r="C239" s="4" t="s">
        <v>28</v>
      </c>
      <c r="D239" t="s">
        <v>10</v>
      </c>
      <c r="E239">
        <v>307724</v>
      </c>
      <c r="F239" s="5">
        <v>57100.840336134454</v>
      </c>
      <c r="G239" s="6">
        <f t="shared" si="6"/>
        <v>10849.159663865546</v>
      </c>
      <c r="H239" s="6">
        <f t="shared" si="7"/>
        <v>67950</v>
      </c>
    </row>
    <row r="240" spans="1:8" x14ac:dyDescent="0.3">
      <c r="A240">
        <v>195</v>
      </c>
      <c r="B240" t="s">
        <v>8</v>
      </c>
      <c r="C240" s="4" t="s">
        <v>28</v>
      </c>
      <c r="D240" t="s">
        <v>10</v>
      </c>
      <c r="E240">
        <v>307725</v>
      </c>
      <c r="F240" s="5">
        <v>58815.126050420171</v>
      </c>
      <c r="G240" s="6">
        <f t="shared" si="6"/>
        <v>11174.873949579833</v>
      </c>
      <c r="H240" s="6">
        <f t="shared" si="7"/>
        <v>69990</v>
      </c>
    </row>
    <row r="241" spans="1:8" x14ac:dyDescent="0.3">
      <c r="A241">
        <v>195</v>
      </c>
      <c r="B241" t="s">
        <v>8</v>
      </c>
      <c r="C241" s="4" t="s">
        <v>28</v>
      </c>
      <c r="D241" t="s">
        <v>10</v>
      </c>
      <c r="E241">
        <v>307726</v>
      </c>
      <c r="F241" s="5">
        <v>50411.764705882357</v>
      </c>
      <c r="G241" s="6">
        <f t="shared" si="6"/>
        <v>9578.2352941176487</v>
      </c>
      <c r="H241" s="6">
        <f t="shared" si="7"/>
        <v>59990.000000000007</v>
      </c>
    </row>
    <row r="242" spans="1:8" x14ac:dyDescent="0.3">
      <c r="A242">
        <v>195</v>
      </c>
      <c r="B242" t="s">
        <v>8</v>
      </c>
      <c r="C242" s="4" t="s">
        <v>28</v>
      </c>
      <c r="D242" t="s">
        <v>10</v>
      </c>
      <c r="E242">
        <v>307726</v>
      </c>
      <c r="F242" s="5">
        <v>-42008.403361344543</v>
      </c>
      <c r="G242" s="6">
        <f t="shared" si="6"/>
        <v>-7981.5966386554628</v>
      </c>
      <c r="H242" s="6">
        <f t="shared" si="7"/>
        <v>-49990.000000000007</v>
      </c>
    </row>
    <row r="243" spans="1:8" x14ac:dyDescent="0.3">
      <c r="A243">
        <v>195</v>
      </c>
      <c r="B243" t="s">
        <v>8</v>
      </c>
      <c r="C243" s="4" t="s">
        <v>28</v>
      </c>
      <c r="D243" t="s">
        <v>10</v>
      </c>
      <c r="E243">
        <v>307727</v>
      </c>
      <c r="F243" s="5">
        <v>58781.512605042022</v>
      </c>
      <c r="G243" s="6">
        <f t="shared" si="6"/>
        <v>11168.487394957985</v>
      </c>
      <c r="H243" s="6">
        <f t="shared" si="7"/>
        <v>69950</v>
      </c>
    </row>
    <row r="244" spans="1:8" x14ac:dyDescent="0.3">
      <c r="A244">
        <v>195</v>
      </c>
      <c r="B244" t="s">
        <v>8</v>
      </c>
      <c r="C244" s="4" t="s">
        <v>28</v>
      </c>
      <c r="D244" t="s">
        <v>10</v>
      </c>
      <c r="E244">
        <v>307727</v>
      </c>
      <c r="F244" s="5">
        <v>-42008.403361344543</v>
      </c>
      <c r="G244" s="6">
        <f t="shared" si="6"/>
        <v>-7981.5966386554628</v>
      </c>
      <c r="H244" s="6">
        <f t="shared" si="7"/>
        <v>-49990.000000000007</v>
      </c>
    </row>
    <row r="245" spans="1:8" x14ac:dyDescent="0.3">
      <c r="A245">
        <v>195</v>
      </c>
      <c r="B245" t="s">
        <v>8</v>
      </c>
      <c r="C245" s="4" t="s">
        <v>28</v>
      </c>
      <c r="D245" t="s">
        <v>10</v>
      </c>
      <c r="E245">
        <v>307728</v>
      </c>
      <c r="F245" s="5">
        <v>41974.789915966387</v>
      </c>
      <c r="G245" s="6">
        <f t="shared" si="6"/>
        <v>7975.2100840336134</v>
      </c>
      <c r="H245" s="6">
        <f t="shared" si="7"/>
        <v>49950</v>
      </c>
    </row>
    <row r="246" spans="1:8" x14ac:dyDescent="0.3">
      <c r="A246">
        <v>195</v>
      </c>
      <c r="B246" t="s">
        <v>8</v>
      </c>
      <c r="C246" s="4" t="s">
        <v>28</v>
      </c>
      <c r="D246" t="s">
        <v>10</v>
      </c>
      <c r="E246">
        <v>307729</v>
      </c>
      <c r="F246" s="5">
        <v>50411.764705882357</v>
      </c>
      <c r="G246" s="6">
        <f t="shared" si="6"/>
        <v>9578.2352941176487</v>
      </c>
      <c r="H246" s="6">
        <f t="shared" si="7"/>
        <v>59990.000000000007</v>
      </c>
    </row>
    <row r="247" spans="1:8" x14ac:dyDescent="0.3">
      <c r="A247">
        <v>195</v>
      </c>
      <c r="B247" t="s">
        <v>8</v>
      </c>
      <c r="C247" s="4" t="s">
        <v>28</v>
      </c>
      <c r="D247" t="s">
        <v>10</v>
      </c>
      <c r="E247">
        <v>307730</v>
      </c>
      <c r="F247" s="5">
        <v>62983.193277310929</v>
      </c>
      <c r="G247" s="6">
        <f t="shared" si="6"/>
        <v>11966.806722689076</v>
      </c>
      <c r="H247" s="6">
        <f t="shared" si="7"/>
        <v>74950</v>
      </c>
    </row>
    <row r="248" spans="1:8" x14ac:dyDescent="0.3">
      <c r="A248">
        <v>195</v>
      </c>
      <c r="B248" t="s">
        <v>8</v>
      </c>
      <c r="C248" s="4" t="s">
        <v>28</v>
      </c>
      <c r="D248" t="s">
        <v>10</v>
      </c>
      <c r="E248">
        <v>307731</v>
      </c>
      <c r="F248" s="5">
        <v>42008.403361344543</v>
      </c>
      <c r="G248" s="6">
        <f t="shared" si="6"/>
        <v>7981.5966386554628</v>
      </c>
      <c r="H248" s="6">
        <f t="shared" si="7"/>
        <v>49990.000000000007</v>
      </c>
    </row>
    <row r="249" spans="1:8" x14ac:dyDescent="0.3">
      <c r="A249">
        <v>195</v>
      </c>
      <c r="B249" t="s">
        <v>8</v>
      </c>
      <c r="C249" s="4" t="s">
        <v>28</v>
      </c>
      <c r="D249" t="s">
        <v>10</v>
      </c>
      <c r="E249">
        <v>307731</v>
      </c>
      <c r="F249" s="5">
        <v>49957.983193277316</v>
      </c>
      <c r="G249" s="6">
        <f t="shared" si="6"/>
        <v>9492.0168067226896</v>
      </c>
      <c r="H249" s="6">
        <f t="shared" si="7"/>
        <v>59450.000000000007</v>
      </c>
    </row>
    <row r="250" spans="1:8" x14ac:dyDescent="0.3">
      <c r="A250">
        <v>195</v>
      </c>
      <c r="B250" t="s">
        <v>8</v>
      </c>
      <c r="C250" s="4" t="s">
        <v>28</v>
      </c>
      <c r="D250" t="s">
        <v>10</v>
      </c>
      <c r="E250">
        <v>307732</v>
      </c>
      <c r="F250" s="5">
        <v>50411.764705882357</v>
      </c>
      <c r="G250" s="6">
        <f t="shared" si="6"/>
        <v>9578.2352941176487</v>
      </c>
      <c r="H250" s="6">
        <f t="shared" si="7"/>
        <v>59990.000000000007</v>
      </c>
    </row>
    <row r="251" spans="1:8" x14ac:dyDescent="0.3">
      <c r="A251">
        <v>195</v>
      </c>
      <c r="B251" t="s">
        <v>8</v>
      </c>
      <c r="C251" s="4" t="s">
        <v>28</v>
      </c>
      <c r="D251" t="s">
        <v>10</v>
      </c>
      <c r="E251">
        <v>307733</v>
      </c>
      <c r="F251" s="5">
        <v>58781.512605042022</v>
      </c>
      <c r="G251" s="6">
        <f t="shared" si="6"/>
        <v>11168.487394957985</v>
      </c>
      <c r="H251" s="6">
        <f t="shared" si="7"/>
        <v>69950</v>
      </c>
    </row>
    <row r="252" spans="1:8" x14ac:dyDescent="0.3">
      <c r="A252">
        <v>195</v>
      </c>
      <c r="B252" t="s">
        <v>8</v>
      </c>
      <c r="C252" s="4" t="s">
        <v>28</v>
      </c>
      <c r="D252" t="s">
        <v>10</v>
      </c>
      <c r="E252">
        <v>307734</v>
      </c>
      <c r="F252" s="5">
        <v>53529.411764705888</v>
      </c>
      <c r="G252" s="6">
        <f t="shared" si="6"/>
        <v>10170.588235294119</v>
      </c>
      <c r="H252" s="6">
        <f t="shared" si="7"/>
        <v>63700.000000000007</v>
      </c>
    </row>
    <row r="253" spans="1:8" x14ac:dyDescent="0.3">
      <c r="A253">
        <v>195</v>
      </c>
      <c r="B253" t="s">
        <v>8</v>
      </c>
      <c r="C253" s="4" t="s">
        <v>28</v>
      </c>
      <c r="D253" t="s">
        <v>10</v>
      </c>
      <c r="E253">
        <v>307734</v>
      </c>
      <c r="F253" s="5">
        <v>58781.512605042022</v>
      </c>
      <c r="G253" s="6">
        <f t="shared" si="6"/>
        <v>11168.487394957985</v>
      </c>
      <c r="H253" s="6">
        <f t="shared" si="7"/>
        <v>69950</v>
      </c>
    </row>
    <row r="254" spans="1:8" x14ac:dyDescent="0.3">
      <c r="A254">
        <v>195</v>
      </c>
      <c r="B254" t="s">
        <v>8</v>
      </c>
      <c r="C254" s="4" t="s">
        <v>28</v>
      </c>
      <c r="D254" t="s">
        <v>10</v>
      </c>
      <c r="E254">
        <v>307735</v>
      </c>
      <c r="F254" s="5">
        <v>5000</v>
      </c>
      <c r="G254" s="6">
        <f t="shared" si="6"/>
        <v>950</v>
      </c>
      <c r="H254" s="6">
        <f t="shared" si="7"/>
        <v>5950</v>
      </c>
    </row>
    <row r="255" spans="1:8" x14ac:dyDescent="0.3">
      <c r="A255">
        <v>195</v>
      </c>
      <c r="B255" t="s">
        <v>8</v>
      </c>
      <c r="C255" s="4" t="s">
        <v>28</v>
      </c>
      <c r="D255" t="s">
        <v>10</v>
      </c>
      <c r="E255">
        <v>307736</v>
      </c>
      <c r="F255" s="5">
        <v>58781.512605042022</v>
      </c>
      <c r="G255" s="6">
        <f t="shared" si="6"/>
        <v>11168.487394957985</v>
      </c>
      <c r="H255" s="6">
        <f t="shared" si="7"/>
        <v>69950</v>
      </c>
    </row>
    <row r="256" spans="1:8" x14ac:dyDescent="0.3">
      <c r="A256">
        <v>195</v>
      </c>
      <c r="B256" t="s">
        <v>8</v>
      </c>
      <c r="C256" s="4" t="s">
        <v>28</v>
      </c>
      <c r="D256" t="s">
        <v>10</v>
      </c>
      <c r="E256">
        <v>307736</v>
      </c>
      <c r="F256" s="5">
        <v>4159.6638655462184</v>
      </c>
      <c r="G256" s="6">
        <f t="shared" si="6"/>
        <v>790.33613445378148</v>
      </c>
      <c r="H256" s="6">
        <f t="shared" si="7"/>
        <v>4950</v>
      </c>
    </row>
    <row r="257" spans="1:8" x14ac:dyDescent="0.3">
      <c r="A257">
        <v>195</v>
      </c>
      <c r="B257" t="s">
        <v>8</v>
      </c>
      <c r="C257" s="4" t="s">
        <v>29</v>
      </c>
      <c r="D257" t="s">
        <v>10</v>
      </c>
      <c r="E257">
        <v>307737</v>
      </c>
      <c r="F257" s="5">
        <v>3431.09243697479</v>
      </c>
      <c r="G257" s="6">
        <f t="shared" si="6"/>
        <v>651.90756302521015</v>
      </c>
      <c r="H257" s="6">
        <f t="shared" si="7"/>
        <v>4083</v>
      </c>
    </row>
    <row r="258" spans="1:8" x14ac:dyDescent="0.3">
      <c r="A258">
        <v>195</v>
      </c>
      <c r="B258" t="s">
        <v>8</v>
      </c>
      <c r="C258" s="4" t="s">
        <v>29</v>
      </c>
      <c r="D258" t="s">
        <v>10</v>
      </c>
      <c r="E258">
        <v>307737</v>
      </c>
      <c r="F258" s="5">
        <v>4159.6638655462184</v>
      </c>
      <c r="G258" s="6">
        <f t="shared" si="6"/>
        <v>790.33613445378148</v>
      </c>
      <c r="H258" s="6">
        <f t="shared" si="7"/>
        <v>4950</v>
      </c>
    </row>
    <row r="259" spans="1:8" x14ac:dyDescent="0.3">
      <c r="A259">
        <v>195</v>
      </c>
      <c r="B259" t="s">
        <v>8</v>
      </c>
      <c r="C259" s="4" t="s">
        <v>29</v>
      </c>
      <c r="D259" t="s">
        <v>10</v>
      </c>
      <c r="E259">
        <v>307738</v>
      </c>
      <c r="F259" s="5">
        <v>92394.957983193279</v>
      </c>
      <c r="G259" s="6">
        <f t="shared" ref="G259:G322" si="8">F259*19%</f>
        <v>17555.042016806725</v>
      </c>
      <c r="H259" s="6">
        <f t="shared" ref="H259:H322" si="9">+G259+F259</f>
        <v>109950</v>
      </c>
    </row>
    <row r="260" spans="1:8" x14ac:dyDescent="0.3">
      <c r="A260">
        <v>195</v>
      </c>
      <c r="B260" t="s">
        <v>8</v>
      </c>
      <c r="C260" s="4" t="s">
        <v>29</v>
      </c>
      <c r="D260" t="s">
        <v>10</v>
      </c>
      <c r="E260">
        <v>307739</v>
      </c>
      <c r="F260" s="5">
        <v>62983.193277310929</v>
      </c>
      <c r="G260" s="6">
        <f t="shared" si="8"/>
        <v>11966.806722689076</v>
      </c>
      <c r="H260" s="6">
        <f t="shared" si="9"/>
        <v>74950</v>
      </c>
    </row>
    <row r="261" spans="1:8" x14ac:dyDescent="0.3">
      <c r="A261">
        <v>195</v>
      </c>
      <c r="B261" t="s">
        <v>8</v>
      </c>
      <c r="C261" s="4" t="s">
        <v>29</v>
      </c>
      <c r="D261" t="s">
        <v>10</v>
      </c>
      <c r="E261">
        <v>307740</v>
      </c>
      <c r="F261" s="5">
        <v>83991.596638655465</v>
      </c>
      <c r="G261" s="6">
        <f t="shared" si="8"/>
        <v>15958.403361344539</v>
      </c>
      <c r="H261" s="6">
        <f t="shared" si="9"/>
        <v>99950</v>
      </c>
    </row>
    <row r="262" spans="1:8" x14ac:dyDescent="0.3">
      <c r="A262">
        <v>195</v>
      </c>
      <c r="B262" t="s">
        <v>8</v>
      </c>
      <c r="C262" s="4" t="s">
        <v>29</v>
      </c>
      <c r="D262" t="s">
        <v>10</v>
      </c>
      <c r="E262">
        <v>307741</v>
      </c>
      <c r="F262" s="5">
        <v>75588.23529411765</v>
      </c>
      <c r="G262" s="6">
        <f t="shared" si="8"/>
        <v>14361.764705882353</v>
      </c>
      <c r="H262" s="6">
        <f t="shared" si="9"/>
        <v>89950</v>
      </c>
    </row>
    <row r="263" spans="1:8" x14ac:dyDescent="0.3">
      <c r="A263">
        <v>195</v>
      </c>
      <c r="B263" t="s">
        <v>8</v>
      </c>
      <c r="C263" s="4" t="s">
        <v>29</v>
      </c>
      <c r="D263" t="s">
        <v>10</v>
      </c>
      <c r="E263">
        <v>307742</v>
      </c>
      <c r="F263" s="5">
        <v>25201.680672268907</v>
      </c>
      <c r="G263" s="6">
        <f t="shared" si="8"/>
        <v>4788.319327731092</v>
      </c>
      <c r="H263" s="6">
        <f t="shared" si="9"/>
        <v>29990</v>
      </c>
    </row>
    <row r="264" spans="1:8" x14ac:dyDescent="0.3">
      <c r="A264">
        <v>195</v>
      </c>
      <c r="B264" t="s">
        <v>8</v>
      </c>
      <c r="C264" s="4" t="s">
        <v>29</v>
      </c>
      <c r="D264" t="s">
        <v>10</v>
      </c>
      <c r="E264">
        <v>307742</v>
      </c>
      <c r="F264" s="5">
        <v>4661.3445378151264</v>
      </c>
      <c r="G264" s="6">
        <f t="shared" si="8"/>
        <v>885.65546218487407</v>
      </c>
      <c r="H264" s="6">
        <f t="shared" si="9"/>
        <v>5547</v>
      </c>
    </row>
    <row r="265" spans="1:8" x14ac:dyDescent="0.3">
      <c r="A265">
        <v>195</v>
      </c>
      <c r="B265" t="s">
        <v>8</v>
      </c>
      <c r="C265" s="4" t="s">
        <v>29</v>
      </c>
      <c r="D265" t="s">
        <v>10</v>
      </c>
      <c r="E265">
        <v>307743</v>
      </c>
      <c r="F265" s="5">
        <v>-33605.042016806721</v>
      </c>
      <c r="G265" s="6">
        <f t="shared" si="8"/>
        <v>-6384.957983193277</v>
      </c>
      <c r="H265" s="6">
        <f t="shared" si="9"/>
        <v>-39990</v>
      </c>
    </row>
    <row r="266" spans="1:8" x14ac:dyDescent="0.3">
      <c r="A266">
        <v>195</v>
      </c>
      <c r="B266" t="s">
        <v>8</v>
      </c>
      <c r="C266" s="4" t="s">
        <v>29</v>
      </c>
      <c r="D266" t="s">
        <v>10</v>
      </c>
      <c r="E266">
        <v>307743</v>
      </c>
      <c r="F266" s="5">
        <v>62983.193277310929</v>
      </c>
      <c r="G266" s="6">
        <f t="shared" si="8"/>
        <v>11966.806722689076</v>
      </c>
      <c r="H266" s="6">
        <f t="shared" si="9"/>
        <v>74950</v>
      </c>
    </row>
    <row r="267" spans="1:8" x14ac:dyDescent="0.3">
      <c r="A267">
        <v>195</v>
      </c>
      <c r="B267" t="s">
        <v>8</v>
      </c>
      <c r="C267" s="4" t="s">
        <v>29</v>
      </c>
      <c r="D267" t="s">
        <v>10</v>
      </c>
      <c r="E267">
        <v>307744</v>
      </c>
      <c r="F267" s="5">
        <v>75588.23529411765</v>
      </c>
      <c r="G267" s="6">
        <f t="shared" si="8"/>
        <v>14361.764705882353</v>
      </c>
      <c r="H267" s="6">
        <f t="shared" si="9"/>
        <v>89950</v>
      </c>
    </row>
    <row r="268" spans="1:8" x14ac:dyDescent="0.3">
      <c r="A268">
        <v>195</v>
      </c>
      <c r="B268" t="s">
        <v>8</v>
      </c>
      <c r="C268" s="4" t="s">
        <v>29</v>
      </c>
      <c r="D268" t="s">
        <v>10</v>
      </c>
      <c r="E268">
        <v>307745</v>
      </c>
      <c r="F268" s="5">
        <v>75588.23529411765</v>
      </c>
      <c r="G268" s="6">
        <f t="shared" si="8"/>
        <v>14361.764705882353</v>
      </c>
      <c r="H268" s="6">
        <f t="shared" si="9"/>
        <v>89950</v>
      </c>
    </row>
    <row r="269" spans="1:8" x14ac:dyDescent="0.3">
      <c r="A269">
        <v>195</v>
      </c>
      <c r="B269" t="s">
        <v>8</v>
      </c>
      <c r="C269" s="4" t="s">
        <v>29</v>
      </c>
      <c r="D269" t="s">
        <v>10</v>
      </c>
      <c r="E269">
        <v>307746</v>
      </c>
      <c r="F269" s="5">
        <v>83991.596638655465</v>
      </c>
      <c r="G269" s="6">
        <f t="shared" si="8"/>
        <v>15958.403361344539</v>
      </c>
      <c r="H269" s="6">
        <f t="shared" si="9"/>
        <v>99950</v>
      </c>
    </row>
    <row r="270" spans="1:8" x14ac:dyDescent="0.3">
      <c r="A270">
        <v>195</v>
      </c>
      <c r="B270" t="s">
        <v>8</v>
      </c>
      <c r="C270" s="4" t="s">
        <v>29</v>
      </c>
      <c r="D270" t="s">
        <v>10</v>
      </c>
      <c r="E270">
        <v>307747</v>
      </c>
      <c r="F270" s="5">
        <v>42008.403361344543</v>
      </c>
      <c r="G270" s="6">
        <f t="shared" si="8"/>
        <v>7981.5966386554628</v>
      </c>
      <c r="H270" s="6">
        <f t="shared" si="9"/>
        <v>49990.000000000007</v>
      </c>
    </row>
    <row r="271" spans="1:8" x14ac:dyDescent="0.3">
      <c r="A271">
        <v>195</v>
      </c>
      <c r="B271" t="s">
        <v>8</v>
      </c>
      <c r="C271" s="4" t="s">
        <v>29</v>
      </c>
      <c r="D271" t="s">
        <v>10</v>
      </c>
      <c r="E271">
        <v>307748</v>
      </c>
      <c r="F271" s="5">
        <v>75588.23529411765</v>
      </c>
      <c r="G271" s="6">
        <f t="shared" si="8"/>
        <v>14361.764705882353</v>
      </c>
      <c r="H271" s="6">
        <f t="shared" si="9"/>
        <v>89950</v>
      </c>
    </row>
    <row r="272" spans="1:8" x14ac:dyDescent="0.3">
      <c r="A272">
        <v>195</v>
      </c>
      <c r="B272" t="s">
        <v>8</v>
      </c>
      <c r="C272" s="4" t="s">
        <v>29</v>
      </c>
      <c r="D272" t="s">
        <v>10</v>
      </c>
      <c r="E272">
        <v>307749</v>
      </c>
      <c r="F272" s="5">
        <v>62983.193277310929</v>
      </c>
      <c r="G272" s="6">
        <f t="shared" si="8"/>
        <v>11966.806722689076</v>
      </c>
      <c r="H272" s="6">
        <f t="shared" si="9"/>
        <v>74950</v>
      </c>
    </row>
    <row r="273" spans="1:8" x14ac:dyDescent="0.3">
      <c r="A273">
        <v>195</v>
      </c>
      <c r="B273" t="s">
        <v>8</v>
      </c>
      <c r="C273" s="4" t="s">
        <v>30</v>
      </c>
      <c r="D273" t="s">
        <v>10</v>
      </c>
      <c r="E273">
        <v>307750</v>
      </c>
      <c r="F273" s="5">
        <v>33605.042016806721</v>
      </c>
      <c r="G273" s="6">
        <f t="shared" si="8"/>
        <v>6384.957983193277</v>
      </c>
      <c r="H273" s="6">
        <f t="shared" si="9"/>
        <v>39990</v>
      </c>
    </row>
    <row r="274" spans="1:8" x14ac:dyDescent="0.3">
      <c r="A274">
        <v>195</v>
      </c>
      <c r="B274" t="s">
        <v>8</v>
      </c>
      <c r="C274" s="4" t="s">
        <v>30</v>
      </c>
      <c r="D274" t="s">
        <v>10</v>
      </c>
      <c r="E274">
        <v>307750</v>
      </c>
      <c r="F274" s="5">
        <v>4884.8739495798318</v>
      </c>
      <c r="G274" s="6">
        <f t="shared" si="8"/>
        <v>928.1260504201681</v>
      </c>
      <c r="H274" s="6">
        <f t="shared" si="9"/>
        <v>5813</v>
      </c>
    </row>
    <row r="275" spans="1:8" x14ac:dyDescent="0.3">
      <c r="A275">
        <v>195</v>
      </c>
      <c r="B275" t="s">
        <v>8</v>
      </c>
      <c r="C275" s="4" t="s">
        <v>30</v>
      </c>
      <c r="D275" t="s">
        <v>10</v>
      </c>
      <c r="E275">
        <v>307751</v>
      </c>
      <c r="F275" s="5">
        <v>33605.042016806721</v>
      </c>
      <c r="G275" s="6">
        <f t="shared" si="8"/>
        <v>6384.957983193277</v>
      </c>
      <c r="H275" s="6">
        <f t="shared" si="9"/>
        <v>39990</v>
      </c>
    </row>
    <row r="276" spans="1:8" x14ac:dyDescent="0.3">
      <c r="A276">
        <v>195</v>
      </c>
      <c r="B276" t="s">
        <v>8</v>
      </c>
      <c r="C276" s="4" t="s">
        <v>30</v>
      </c>
      <c r="D276" t="s">
        <v>10</v>
      </c>
      <c r="E276">
        <v>307751</v>
      </c>
      <c r="F276" s="5">
        <v>50411.764705882357</v>
      </c>
      <c r="G276" s="6">
        <f t="shared" si="8"/>
        <v>9578.2352941176487</v>
      </c>
      <c r="H276" s="6">
        <f t="shared" si="9"/>
        <v>59990.000000000007</v>
      </c>
    </row>
    <row r="277" spans="1:8" x14ac:dyDescent="0.3">
      <c r="A277">
        <v>195</v>
      </c>
      <c r="B277" t="s">
        <v>8</v>
      </c>
      <c r="C277" s="4" t="s">
        <v>30</v>
      </c>
      <c r="D277" t="s">
        <v>10</v>
      </c>
      <c r="E277">
        <v>307752</v>
      </c>
      <c r="F277" s="5">
        <v>75588.23529411765</v>
      </c>
      <c r="G277" s="6">
        <f t="shared" si="8"/>
        <v>14361.764705882353</v>
      </c>
      <c r="H277" s="6">
        <f t="shared" si="9"/>
        <v>89950</v>
      </c>
    </row>
    <row r="278" spans="1:8" x14ac:dyDescent="0.3">
      <c r="A278">
        <v>195</v>
      </c>
      <c r="B278" t="s">
        <v>8</v>
      </c>
      <c r="C278" s="4" t="s">
        <v>30</v>
      </c>
      <c r="D278" t="s">
        <v>10</v>
      </c>
      <c r="E278">
        <v>307753</v>
      </c>
      <c r="F278" s="5">
        <v>62983.193277310929</v>
      </c>
      <c r="G278" s="6">
        <f t="shared" si="8"/>
        <v>11966.806722689076</v>
      </c>
      <c r="H278" s="6">
        <f t="shared" si="9"/>
        <v>74950</v>
      </c>
    </row>
    <row r="279" spans="1:8" x14ac:dyDescent="0.3">
      <c r="A279">
        <v>195</v>
      </c>
      <c r="B279" t="s">
        <v>8</v>
      </c>
      <c r="C279" s="4" t="s">
        <v>30</v>
      </c>
      <c r="D279" t="s">
        <v>10</v>
      </c>
      <c r="E279">
        <v>307754</v>
      </c>
      <c r="F279" s="5">
        <v>54579.831932773115</v>
      </c>
      <c r="G279" s="6">
        <f t="shared" si="8"/>
        <v>10370.168067226892</v>
      </c>
      <c r="H279" s="6">
        <f t="shared" si="9"/>
        <v>64950.000000000007</v>
      </c>
    </row>
    <row r="280" spans="1:8" x14ac:dyDescent="0.3">
      <c r="A280">
        <v>195</v>
      </c>
      <c r="B280" t="s">
        <v>8</v>
      </c>
      <c r="C280" s="4" t="s">
        <v>30</v>
      </c>
      <c r="D280" t="s">
        <v>10</v>
      </c>
      <c r="E280">
        <v>307755</v>
      </c>
      <c r="F280" s="5">
        <v>58781.512605042022</v>
      </c>
      <c r="G280" s="6">
        <f t="shared" si="8"/>
        <v>11168.487394957985</v>
      </c>
      <c r="H280" s="6">
        <f t="shared" si="9"/>
        <v>69950</v>
      </c>
    </row>
    <row r="281" spans="1:8" x14ac:dyDescent="0.3">
      <c r="A281">
        <v>195</v>
      </c>
      <c r="B281" t="s">
        <v>8</v>
      </c>
      <c r="C281" s="4" t="s">
        <v>30</v>
      </c>
      <c r="D281" t="s">
        <v>10</v>
      </c>
      <c r="E281">
        <v>307756</v>
      </c>
      <c r="F281" s="5">
        <v>46176.470588235294</v>
      </c>
      <c r="G281" s="6">
        <f t="shared" si="8"/>
        <v>8773.5294117647063</v>
      </c>
      <c r="H281" s="6">
        <f t="shared" si="9"/>
        <v>54950</v>
      </c>
    </row>
    <row r="282" spans="1:8" x14ac:dyDescent="0.3">
      <c r="A282">
        <v>195</v>
      </c>
      <c r="B282" t="s">
        <v>8</v>
      </c>
      <c r="C282" s="4" t="s">
        <v>30</v>
      </c>
      <c r="D282" t="s">
        <v>10</v>
      </c>
      <c r="E282">
        <v>307757</v>
      </c>
      <c r="F282" s="5">
        <v>1638.6554621848741</v>
      </c>
      <c r="G282" s="6">
        <f t="shared" si="8"/>
        <v>311.3445378151261</v>
      </c>
      <c r="H282" s="6">
        <f t="shared" si="9"/>
        <v>1950.0000000000002</v>
      </c>
    </row>
    <row r="283" spans="1:8" x14ac:dyDescent="0.3">
      <c r="A283">
        <v>195</v>
      </c>
      <c r="B283" t="s">
        <v>8</v>
      </c>
      <c r="C283" s="4" t="s">
        <v>30</v>
      </c>
      <c r="D283" t="s">
        <v>10</v>
      </c>
      <c r="E283">
        <v>307758</v>
      </c>
      <c r="F283" s="5">
        <v>62983.193277310929</v>
      </c>
      <c r="G283" s="6">
        <f t="shared" si="8"/>
        <v>11966.806722689076</v>
      </c>
      <c r="H283" s="6">
        <f t="shared" si="9"/>
        <v>74950</v>
      </c>
    </row>
    <row r="284" spans="1:8" x14ac:dyDescent="0.3">
      <c r="A284">
        <v>195</v>
      </c>
      <c r="B284" t="s">
        <v>8</v>
      </c>
      <c r="C284" s="4" t="s">
        <v>30</v>
      </c>
      <c r="D284" t="s">
        <v>10</v>
      </c>
      <c r="E284">
        <v>307759</v>
      </c>
      <c r="F284" s="5">
        <v>75588.23529411765</v>
      </c>
      <c r="G284" s="6">
        <f t="shared" si="8"/>
        <v>14361.764705882353</v>
      </c>
      <c r="H284" s="6">
        <f t="shared" si="9"/>
        <v>89950</v>
      </c>
    </row>
    <row r="285" spans="1:8" x14ac:dyDescent="0.3">
      <c r="A285">
        <v>195</v>
      </c>
      <c r="B285" t="s">
        <v>8</v>
      </c>
      <c r="C285" s="4" t="s">
        <v>31</v>
      </c>
      <c r="D285" t="s">
        <v>10</v>
      </c>
      <c r="E285">
        <v>307760</v>
      </c>
      <c r="F285" s="5">
        <v>42008.403361344543</v>
      </c>
      <c r="G285" s="6">
        <f t="shared" si="8"/>
        <v>7981.5966386554628</v>
      </c>
      <c r="H285" s="6">
        <f t="shared" si="9"/>
        <v>49990.000000000007</v>
      </c>
    </row>
    <row r="286" spans="1:8" x14ac:dyDescent="0.3">
      <c r="A286">
        <v>195</v>
      </c>
      <c r="B286" t="s">
        <v>8</v>
      </c>
      <c r="C286" s="4" t="s">
        <v>31</v>
      </c>
      <c r="D286" t="s">
        <v>10</v>
      </c>
      <c r="E286">
        <v>307760</v>
      </c>
      <c r="F286" s="5">
        <v>46210.08403361345</v>
      </c>
      <c r="G286" s="6">
        <f t="shared" si="8"/>
        <v>8779.9159663865557</v>
      </c>
      <c r="H286" s="6">
        <f t="shared" si="9"/>
        <v>54990.000000000007</v>
      </c>
    </row>
    <row r="287" spans="1:8" x14ac:dyDescent="0.3">
      <c r="A287">
        <v>195</v>
      </c>
      <c r="B287" t="s">
        <v>8</v>
      </c>
      <c r="C287" s="4" t="s">
        <v>31</v>
      </c>
      <c r="D287" t="s">
        <v>10</v>
      </c>
      <c r="E287">
        <v>307761</v>
      </c>
      <c r="F287" s="5">
        <v>4884.8739495798318</v>
      </c>
      <c r="G287" s="6">
        <f t="shared" si="8"/>
        <v>928.1260504201681</v>
      </c>
      <c r="H287" s="6">
        <f t="shared" si="9"/>
        <v>5813</v>
      </c>
    </row>
    <row r="288" spans="1:8" x14ac:dyDescent="0.3">
      <c r="A288">
        <v>195</v>
      </c>
      <c r="B288" t="s">
        <v>8</v>
      </c>
      <c r="C288" s="4" t="s">
        <v>31</v>
      </c>
      <c r="D288" t="s">
        <v>10</v>
      </c>
      <c r="E288">
        <v>307761</v>
      </c>
      <c r="F288" s="5">
        <v>58815.126050420171</v>
      </c>
      <c r="G288" s="6">
        <f t="shared" si="8"/>
        <v>11174.873949579833</v>
      </c>
      <c r="H288" s="6">
        <f t="shared" si="9"/>
        <v>69990</v>
      </c>
    </row>
    <row r="289" spans="1:8" x14ac:dyDescent="0.3">
      <c r="A289">
        <v>195</v>
      </c>
      <c r="B289" t="s">
        <v>8</v>
      </c>
      <c r="C289" s="4" t="s">
        <v>31</v>
      </c>
      <c r="D289" t="s">
        <v>10</v>
      </c>
      <c r="E289">
        <v>307762</v>
      </c>
      <c r="F289" s="5">
        <v>83991.596638655465</v>
      </c>
      <c r="G289" s="6">
        <f t="shared" si="8"/>
        <v>15958.403361344539</v>
      </c>
      <c r="H289" s="6">
        <f t="shared" si="9"/>
        <v>99950</v>
      </c>
    </row>
    <row r="290" spans="1:8" x14ac:dyDescent="0.3">
      <c r="A290">
        <v>195</v>
      </c>
      <c r="B290" t="s">
        <v>8</v>
      </c>
      <c r="C290" s="4" t="s">
        <v>31</v>
      </c>
      <c r="D290" t="s">
        <v>10</v>
      </c>
      <c r="E290">
        <v>307763</v>
      </c>
      <c r="F290" s="5">
        <v>67218.487394957992</v>
      </c>
      <c r="G290" s="6">
        <f t="shared" si="8"/>
        <v>12771.512605042019</v>
      </c>
      <c r="H290" s="6">
        <f t="shared" si="9"/>
        <v>79990.000000000015</v>
      </c>
    </row>
    <row r="291" spans="1:8" x14ac:dyDescent="0.3">
      <c r="A291">
        <v>195</v>
      </c>
      <c r="B291" t="s">
        <v>8</v>
      </c>
      <c r="C291" s="4" t="s">
        <v>31</v>
      </c>
      <c r="D291" t="s">
        <v>10</v>
      </c>
      <c r="E291">
        <v>307764</v>
      </c>
      <c r="F291" s="5">
        <v>5840.3361344537816</v>
      </c>
      <c r="G291" s="6">
        <f t="shared" si="8"/>
        <v>1109.6638655462184</v>
      </c>
      <c r="H291" s="6">
        <f t="shared" si="9"/>
        <v>6950</v>
      </c>
    </row>
    <row r="292" spans="1:8" x14ac:dyDescent="0.3">
      <c r="A292">
        <v>195</v>
      </c>
      <c r="B292" t="s">
        <v>8</v>
      </c>
      <c r="C292" s="4" t="s">
        <v>31</v>
      </c>
      <c r="D292" t="s">
        <v>10</v>
      </c>
      <c r="E292">
        <v>307765</v>
      </c>
      <c r="F292" s="5">
        <v>50411.764705882357</v>
      </c>
      <c r="G292" s="6">
        <f t="shared" si="8"/>
        <v>9578.2352941176487</v>
      </c>
      <c r="H292" s="6">
        <f t="shared" si="9"/>
        <v>59990.000000000007</v>
      </c>
    </row>
    <row r="293" spans="1:8" x14ac:dyDescent="0.3">
      <c r="A293">
        <v>195</v>
      </c>
      <c r="B293" t="s">
        <v>8</v>
      </c>
      <c r="C293" s="4" t="s">
        <v>31</v>
      </c>
      <c r="D293" t="s">
        <v>10</v>
      </c>
      <c r="E293">
        <v>307765</v>
      </c>
      <c r="F293" s="5">
        <v>79789.915966386558</v>
      </c>
      <c r="G293" s="6">
        <f t="shared" si="8"/>
        <v>15160.084033613446</v>
      </c>
      <c r="H293" s="6">
        <f t="shared" si="9"/>
        <v>94950</v>
      </c>
    </row>
    <row r="294" spans="1:8" x14ac:dyDescent="0.3">
      <c r="A294">
        <v>195</v>
      </c>
      <c r="B294" t="s">
        <v>8</v>
      </c>
      <c r="C294" s="4" t="s">
        <v>31</v>
      </c>
      <c r="D294" t="s">
        <v>10</v>
      </c>
      <c r="E294">
        <v>307765</v>
      </c>
      <c r="F294" s="5">
        <v>75588.23529411765</v>
      </c>
      <c r="G294" s="6">
        <f t="shared" si="8"/>
        <v>14361.764705882353</v>
      </c>
      <c r="H294" s="6">
        <f t="shared" si="9"/>
        <v>89950</v>
      </c>
    </row>
    <row r="295" spans="1:8" x14ac:dyDescent="0.3">
      <c r="A295">
        <v>195</v>
      </c>
      <c r="B295" t="s">
        <v>8</v>
      </c>
      <c r="C295" s="4" t="s">
        <v>31</v>
      </c>
      <c r="D295" t="s">
        <v>10</v>
      </c>
      <c r="E295">
        <v>307766</v>
      </c>
      <c r="F295" s="5">
        <v>58781.512605042022</v>
      </c>
      <c r="G295" s="6">
        <f t="shared" si="8"/>
        <v>11168.487394957985</v>
      </c>
      <c r="H295" s="6">
        <f t="shared" si="9"/>
        <v>69950</v>
      </c>
    </row>
    <row r="296" spans="1:8" x14ac:dyDescent="0.3">
      <c r="A296">
        <v>195</v>
      </c>
      <c r="B296" t="s">
        <v>8</v>
      </c>
      <c r="C296" s="4" t="s">
        <v>31</v>
      </c>
      <c r="D296" t="s">
        <v>10</v>
      </c>
      <c r="E296">
        <v>307767</v>
      </c>
      <c r="F296" s="5">
        <v>67184.873949579836</v>
      </c>
      <c r="G296" s="6">
        <f t="shared" si="8"/>
        <v>12765.126050420169</v>
      </c>
      <c r="H296" s="6">
        <f t="shared" si="9"/>
        <v>79950</v>
      </c>
    </row>
    <row r="297" spans="1:8" x14ac:dyDescent="0.3">
      <c r="A297">
        <v>195</v>
      </c>
      <c r="B297" t="s">
        <v>8</v>
      </c>
      <c r="C297" s="4" t="s">
        <v>31</v>
      </c>
      <c r="D297" t="s">
        <v>10</v>
      </c>
      <c r="E297">
        <v>307768</v>
      </c>
      <c r="F297" s="5">
        <v>5000</v>
      </c>
      <c r="G297" s="6">
        <f t="shared" si="8"/>
        <v>950</v>
      </c>
      <c r="H297" s="6">
        <f t="shared" si="9"/>
        <v>5950</v>
      </c>
    </row>
    <row r="298" spans="1:8" x14ac:dyDescent="0.3">
      <c r="A298">
        <v>195</v>
      </c>
      <c r="B298" t="s">
        <v>8</v>
      </c>
      <c r="C298" s="4" t="s">
        <v>31</v>
      </c>
      <c r="D298" t="s">
        <v>10</v>
      </c>
      <c r="E298">
        <v>307769</v>
      </c>
      <c r="F298" s="5">
        <v>50411.764705882357</v>
      </c>
      <c r="G298" s="6">
        <f t="shared" si="8"/>
        <v>9578.2352941176487</v>
      </c>
      <c r="H298" s="6">
        <f t="shared" si="9"/>
        <v>59990.000000000007</v>
      </c>
    </row>
    <row r="299" spans="1:8" x14ac:dyDescent="0.3">
      <c r="A299">
        <v>195</v>
      </c>
      <c r="B299" t="s">
        <v>8</v>
      </c>
      <c r="C299" s="4" t="s">
        <v>31</v>
      </c>
      <c r="D299" t="s">
        <v>10</v>
      </c>
      <c r="E299">
        <v>307770</v>
      </c>
      <c r="F299" s="5">
        <v>-49957.983193277316</v>
      </c>
      <c r="G299" s="6">
        <f t="shared" si="8"/>
        <v>-9492.0168067226896</v>
      </c>
      <c r="H299" s="6">
        <f t="shared" si="9"/>
        <v>-59450.000000000007</v>
      </c>
    </row>
    <row r="300" spans="1:8" x14ac:dyDescent="0.3">
      <c r="A300">
        <v>195</v>
      </c>
      <c r="B300" t="s">
        <v>8</v>
      </c>
      <c r="C300" s="4" t="s">
        <v>31</v>
      </c>
      <c r="D300" t="s">
        <v>10</v>
      </c>
      <c r="E300">
        <v>307770</v>
      </c>
      <c r="F300" s="5">
        <v>75588.23529411765</v>
      </c>
      <c r="G300" s="6">
        <f t="shared" si="8"/>
        <v>14361.764705882353</v>
      </c>
      <c r="H300" s="6">
        <f t="shared" si="9"/>
        <v>89950</v>
      </c>
    </row>
    <row r="301" spans="1:8" x14ac:dyDescent="0.3">
      <c r="A301">
        <v>195</v>
      </c>
      <c r="B301" t="s">
        <v>8</v>
      </c>
      <c r="C301" s="4" t="s">
        <v>31</v>
      </c>
      <c r="D301" t="s">
        <v>10</v>
      </c>
      <c r="E301">
        <v>307771</v>
      </c>
      <c r="F301" s="5">
        <v>58782.352941176476</v>
      </c>
      <c r="G301" s="6">
        <f t="shared" si="8"/>
        <v>11168.64705882353</v>
      </c>
      <c r="H301" s="6">
        <f t="shared" si="9"/>
        <v>69951</v>
      </c>
    </row>
    <row r="302" spans="1:8" x14ac:dyDescent="0.3">
      <c r="A302">
        <v>195</v>
      </c>
      <c r="B302" t="s">
        <v>8</v>
      </c>
      <c r="C302" s="4" t="s">
        <v>31</v>
      </c>
      <c r="D302" t="s">
        <v>10</v>
      </c>
      <c r="E302">
        <v>307771</v>
      </c>
      <c r="F302" s="5">
        <v>-58781.512605042022</v>
      </c>
      <c r="G302" s="6">
        <f t="shared" si="8"/>
        <v>-11168.487394957985</v>
      </c>
      <c r="H302" s="6">
        <f t="shared" si="9"/>
        <v>-69950</v>
      </c>
    </row>
    <row r="303" spans="1:8" x14ac:dyDescent="0.3">
      <c r="A303">
        <v>195</v>
      </c>
      <c r="B303" t="s">
        <v>8</v>
      </c>
      <c r="C303" s="4" t="s">
        <v>31</v>
      </c>
      <c r="D303" t="s">
        <v>10</v>
      </c>
      <c r="E303">
        <v>307772</v>
      </c>
      <c r="F303" s="5">
        <v>50378.151260504201</v>
      </c>
      <c r="G303" s="6">
        <f t="shared" si="8"/>
        <v>9571.8487394957974</v>
      </c>
      <c r="H303" s="6">
        <f t="shared" si="9"/>
        <v>59950</v>
      </c>
    </row>
    <row r="304" spans="1:8" x14ac:dyDescent="0.3">
      <c r="A304">
        <v>195</v>
      </c>
      <c r="B304" t="s">
        <v>8</v>
      </c>
      <c r="C304" s="4" t="s">
        <v>32</v>
      </c>
      <c r="D304" t="s">
        <v>10</v>
      </c>
      <c r="E304">
        <v>307773</v>
      </c>
      <c r="F304" s="5">
        <v>-46210.08403361345</v>
      </c>
      <c r="G304" s="6">
        <f t="shared" si="8"/>
        <v>-8779.9159663865557</v>
      </c>
      <c r="H304" s="6">
        <f t="shared" si="9"/>
        <v>-54990.000000000007</v>
      </c>
    </row>
    <row r="305" spans="1:8" x14ac:dyDescent="0.3">
      <c r="A305">
        <v>195</v>
      </c>
      <c r="B305" t="s">
        <v>8</v>
      </c>
      <c r="C305" s="4" t="s">
        <v>32</v>
      </c>
      <c r="D305" t="s">
        <v>10</v>
      </c>
      <c r="E305">
        <v>307773</v>
      </c>
      <c r="F305" s="5">
        <v>58781.512605042022</v>
      </c>
      <c r="G305" s="6">
        <f t="shared" si="8"/>
        <v>11168.487394957985</v>
      </c>
      <c r="H305" s="6">
        <f t="shared" si="9"/>
        <v>69950</v>
      </c>
    </row>
    <row r="306" spans="1:8" x14ac:dyDescent="0.3">
      <c r="A306">
        <v>195</v>
      </c>
      <c r="B306" t="s">
        <v>8</v>
      </c>
      <c r="C306" s="4" t="s">
        <v>32</v>
      </c>
      <c r="D306" t="s">
        <v>10</v>
      </c>
      <c r="E306">
        <v>307774</v>
      </c>
      <c r="F306" s="5">
        <v>83991.596638655465</v>
      </c>
      <c r="G306" s="6">
        <f t="shared" si="8"/>
        <v>15958.403361344539</v>
      </c>
      <c r="H306" s="6">
        <f t="shared" si="9"/>
        <v>99950</v>
      </c>
    </row>
    <row r="307" spans="1:8" x14ac:dyDescent="0.3">
      <c r="A307">
        <v>195</v>
      </c>
      <c r="B307" t="s">
        <v>8</v>
      </c>
      <c r="C307" s="4" t="s">
        <v>32</v>
      </c>
      <c r="D307" t="s">
        <v>10</v>
      </c>
      <c r="E307">
        <v>307775</v>
      </c>
      <c r="F307" s="5">
        <v>42008.403361344543</v>
      </c>
      <c r="G307" s="6">
        <f t="shared" si="8"/>
        <v>7981.5966386554628</v>
      </c>
      <c r="H307" s="6">
        <f t="shared" si="9"/>
        <v>49990.000000000007</v>
      </c>
    </row>
    <row r="308" spans="1:8" x14ac:dyDescent="0.3">
      <c r="A308">
        <v>195</v>
      </c>
      <c r="B308" t="s">
        <v>8</v>
      </c>
      <c r="C308" s="4" t="s">
        <v>32</v>
      </c>
      <c r="D308" t="s">
        <v>10</v>
      </c>
      <c r="E308">
        <v>307776</v>
      </c>
      <c r="F308" s="5">
        <v>58781.512605042022</v>
      </c>
      <c r="G308" s="6">
        <f t="shared" si="8"/>
        <v>11168.487394957985</v>
      </c>
      <c r="H308" s="6">
        <f t="shared" si="9"/>
        <v>69950</v>
      </c>
    </row>
    <row r="309" spans="1:8" x14ac:dyDescent="0.3">
      <c r="A309">
        <v>195</v>
      </c>
      <c r="B309" t="s">
        <v>8</v>
      </c>
      <c r="C309" s="4" t="s">
        <v>32</v>
      </c>
      <c r="D309" t="s">
        <v>10</v>
      </c>
      <c r="E309">
        <v>307777</v>
      </c>
      <c r="F309" s="5">
        <v>58815.126050420171</v>
      </c>
      <c r="G309" s="6">
        <f t="shared" si="8"/>
        <v>11174.873949579833</v>
      </c>
      <c r="H309" s="6">
        <f t="shared" si="9"/>
        <v>69990</v>
      </c>
    </row>
    <row r="310" spans="1:8" x14ac:dyDescent="0.3">
      <c r="A310">
        <v>195</v>
      </c>
      <c r="B310" t="s">
        <v>8</v>
      </c>
      <c r="C310" s="4" t="s">
        <v>32</v>
      </c>
      <c r="D310" t="s">
        <v>10</v>
      </c>
      <c r="E310">
        <v>307777</v>
      </c>
      <c r="F310" s="5">
        <v>-59705.882352941182</v>
      </c>
      <c r="G310" s="6">
        <f t="shared" si="8"/>
        <v>-11344.117647058825</v>
      </c>
      <c r="H310" s="6">
        <f t="shared" si="9"/>
        <v>-71050</v>
      </c>
    </row>
    <row r="311" spans="1:8" x14ac:dyDescent="0.3">
      <c r="A311">
        <v>195</v>
      </c>
      <c r="B311" t="s">
        <v>8</v>
      </c>
      <c r="C311" s="4" t="s">
        <v>32</v>
      </c>
      <c r="D311" t="s">
        <v>10</v>
      </c>
      <c r="E311">
        <v>307777</v>
      </c>
      <c r="F311" s="5">
        <v>2899.1596638655465</v>
      </c>
      <c r="G311" s="6">
        <f t="shared" si="8"/>
        <v>550.84033613445388</v>
      </c>
      <c r="H311" s="6">
        <f t="shared" si="9"/>
        <v>3450.0000000000005</v>
      </c>
    </row>
    <row r="312" spans="1:8" x14ac:dyDescent="0.3">
      <c r="A312">
        <v>195</v>
      </c>
      <c r="B312" t="s">
        <v>8</v>
      </c>
      <c r="C312" s="4" t="s">
        <v>33</v>
      </c>
      <c r="D312" t="s">
        <v>10</v>
      </c>
      <c r="E312">
        <v>307778</v>
      </c>
      <c r="F312" s="5">
        <v>25201.680672268907</v>
      </c>
      <c r="G312" s="6">
        <f t="shared" si="8"/>
        <v>4788.319327731092</v>
      </c>
      <c r="H312" s="6">
        <f t="shared" si="9"/>
        <v>29990</v>
      </c>
    </row>
    <row r="313" spans="1:8" x14ac:dyDescent="0.3">
      <c r="A313">
        <v>195</v>
      </c>
      <c r="B313" t="s">
        <v>8</v>
      </c>
      <c r="C313" s="4" t="s">
        <v>33</v>
      </c>
      <c r="D313" t="s">
        <v>10</v>
      </c>
      <c r="E313">
        <v>307779</v>
      </c>
      <c r="F313" s="5">
        <v>50411.764705882357</v>
      </c>
      <c r="G313" s="6">
        <f t="shared" si="8"/>
        <v>9578.2352941176487</v>
      </c>
      <c r="H313" s="6">
        <f t="shared" si="9"/>
        <v>59990.000000000007</v>
      </c>
    </row>
    <row r="314" spans="1:8" x14ac:dyDescent="0.3">
      <c r="A314">
        <v>195</v>
      </c>
      <c r="B314" t="s">
        <v>8</v>
      </c>
      <c r="C314" s="4" t="s">
        <v>33</v>
      </c>
      <c r="D314" t="s">
        <v>10</v>
      </c>
      <c r="E314">
        <v>307779</v>
      </c>
      <c r="F314" s="5">
        <v>0.84033613445378152</v>
      </c>
      <c r="G314" s="6">
        <f t="shared" si="8"/>
        <v>0.1596638655462185</v>
      </c>
      <c r="H314" s="6">
        <f t="shared" si="9"/>
        <v>1</v>
      </c>
    </row>
    <row r="315" spans="1:8" x14ac:dyDescent="0.3">
      <c r="A315">
        <v>195</v>
      </c>
      <c r="B315" t="s">
        <v>8</v>
      </c>
      <c r="C315" s="4" t="s">
        <v>33</v>
      </c>
      <c r="D315" t="s">
        <v>10</v>
      </c>
      <c r="E315">
        <v>307780</v>
      </c>
      <c r="F315" s="5">
        <v>57100.840336134454</v>
      </c>
      <c r="G315" s="6">
        <f t="shared" si="8"/>
        <v>10849.159663865546</v>
      </c>
      <c r="H315" s="6">
        <f t="shared" si="9"/>
        <v>67950</v>
      </c>
    </row>
    <row r="316" spans="1:8" x14ac:dyDescent="0.3">
      <c r="A316">
        <v>195</v>
      </c>
      <c r="B316" t="s">
        <v>8</v>
      </c>
      <c r="C316" s="4" t="s">
        <v>33</v>
      </c>
      <c r="D316" t="s">
        <v>10</v>
      </c>
      <c r="E316">
        <v>307780</v>
      </c>
      <c r="F316" s="5">
        <v>67184.873949579836</v>
      </c>
      <c r="G316" s="6">
        <f t="shared" si="8"/>
        <v>12765.126050420169</v>
      </c>
      <c r="H316" s="6">
        <f t="shared" si="9"/>
        <v>79950</v>
      </c>
    </row>
    <row r="317" spans="1:8" x14ac:dyDescent="0.3">
      <c r="A317">
        <v>195</v>
      </c>
      <c r="B317" t="s">
        <v>8</v>
      </c>
      <c r="C317" s="4" t="s">
        <v>33</v>
      </c>
      <c r="D317" t="s">
        <v>10</v>
      </c>
      <c r="E317">
        <v>307781</v>
      </c>
      <c r="F317" s="5">
        <v>83991.596638655465</v>
      </c>
      <c r="G317" s="6">
        <f t="shared" si="8"/>
        <v>15958.403361344539</v>
      </c>
      <c r="H317" s="6">
        <f t="shared" si="9"/>
        <v>99950</v>
      </c>
    </row>
    <row r="318" spans="1:8" x14ac:dyDescent="0.3">
      <c r="A318">
        <v>195</v>
      </c>
      <c r="B318" t="s">
        <v>8</v>
      </c>
      <c r="C318" s="4" t="s">
        <v>33</v>
      </c>
      <c r="D318" t="s">
        <v>10</v>
      </c>
      <c r="E318">
        <v>307782</v>
      </c>
      <c r="F318" s="5">
        <v>58782.352941176476</v>
      </c>
      <c r="G318" s="6">
        <f t="shared" si="8"/>
        <v>11168.64705882353</v>
      </c>
      <c r="H318" s="6">
        <f t="shared" si="9"/>
        <v>69951</v>
      </c>
    </row>
    <row r="319" spans="1:8" x14ac:dyDescent="0.3">
      <c r="A319">
        <v>195</v>
      </c>
      <c r="B319" t="s">
        <v>8</v>
      </c>
      <c r="C319" s="4" t="s">
        <v>33</v>
      </c>
      <c r="D319" t="s">
        <v>10</v>
      </c>
      <c r="E319">
        <v>307782</v>
      </c>
      <c r="F319" s="5">
        <v>-58781.512605042022</v>
      </c>
      <c r="G319" s="6">
        <f t="shared" si="8"/>
        <v>-11168.487394957985</v>
      </c>
      <c r="H319" s="6">
        <f t="shared" si="9"/>
        <v>-69950</v>
      </c>
    </row>
    <row r="320" spans="1:8" x14ac:dyDescent="0.3">
      <c r="A320">
        <v>195</v>
      </c>
      <c r="B320" t="s">
        <v>8</v>
      </c>
      <c r="C320" s="4" t="s">
        <v>33</v>
      </c>
      <c r="D320" t="s">
        <v>10</v>
      </c>
      <c r="E320">
        <v>307783</v>
      </c>
      <c r="F320" s="5">
        <v>58781.512605042022</v>
      </c>
      <c r="G320" s="6">
        <f t="shared" si="8"/>
        <v>11168.487394957985</v>
      </c>
      <c r="H320" s="6">
        <f t="shared" si="9"/>
        <v>69950</v>
      </c>
    </row>
    <row r="321" spans="1:8" x14ac:dyDescent="0.3">
      <c r="A321">
        <v>195</v>
      </c>
      <c r="B321" t="s">
        <v>8</v>
      </c>
      <c r="C321" s="4" t="s">
        <v>33</v>
      </c>
      <c r="D321" t="s">
        <v>10</v>
      </c>
      <c r="E321">
        <v>307784</v>
      </c>
      <c r="F321" s="5">
        <v>58781.512605042022</v>
      </c>
      <c r="G321" s="6">
        <f t="shared" si="8"/>
        <v>11168.487394957985</v>
      </c>
      <c r="H321" s="6">
        <f t="shared" si="9"/>
        <v>69950</v>
      </c>
    </row>
    <row r="322" spans="1:8" x14ac:dyDescent="0.3">
      <c r="A322">
        <v>195</v>
      </c>
      <c r="B322" t="s">
        <v>8</v>
      </c>
      <c r="C322" s="4" t="s">
        <v>33</v>
      </c>
      <c r="D322" t="s">
        <v>10</v>
      </c>
      <c r="E322">
        <v>307784</v>
      </c>
      <c r="F322" s="5">
        <v>58781.512605042022</v>
      </c>
      <c r="G322" s="6">
        <f t="shared" si="8"/>
        <v>11168.487394957985</v>
      </c>
      <c r="H322" s="6">
        <f t="shared" si="9"/>
        <v>69950</v>
      </c>
    </row>
    <row r="323" spans="1:8" x14ac:dyDescent="0.3">
      <c r="A323">
        <v>195</v>
      </c>
      <c r="B323" t="s">
        <v>8</v>
      </c>
      <c r="C323" s="4" t="s">
        <v>34</v>
      </c>
      <c r="D323" t="s">
        <v>10</v>
      </c>
      <c r="E323">
        <v>307785</v>
      </c>
      <c r="F323" s="5">
        <v>62983.193277310929</v>
      </c>
      <c r="G323" s="6">
        <f t="shared" ref="G323:G386" si="10">F323*19%</f>
        <v>11966.806722689076</v>
      </c>
      <c r="H323" s="6">
        <f t="shared" ref="H323:H386" si="11">+G323+F323</f>
        <v>74950</v>
      </c>
    </row>
    <row r="324" spans="1:8" x14ac:dyDescent="0.3">
      <c r="A324">
        <v>195</v>
      </c>
      <c r="B324" t="s">
        <v>8</v>
      </c>
      <c r="C324" s="4" t="s">
        <v>34</v>
      </c>
      <c r="D324" t="s">
        <v>10</v>
      </c>
      <c r="E324">
        <v>307786</v>
      </c>
      <c r="F324" s="5">
        <v>58781.512605042022</v>
      </c>
      <c r="G324" s="6">
        <f t="shared" si="10"/>
        <v>11168.487394957985</v>
      </c>
      <c r="H324" s="6">
        <f t="shared" si="11"/>
        <v>69950</v>
      </c>
    </row>
    <row r="325" spans="1:8" x14ac:dyDescent="0.3">
      <c r="A325">
        <v>195</v>
      </c>
      <c r="B325" t="s">
        <v>8</v>
      </c>
      <c r="C325" s="4" t="s">
        <v>34</v>
      </c>
      <c r="D325" t="s">
        <v>10</v>
      </c>
      <c r="E325">
        <v>307787</v>
      </c>
      <c r="F325" s="5">
        <v>33605.042016806721</v>
      </c>
      <c r="G325" s="6">
        <f t="shared" si="10"/>
        <v>6384.957983193277</v>
      </c>
      <c r="H325" s="6">
        <f t="shared" si="11"/>
        <v>39990</v>
      </c>
    </row>
    <row r="326" spans="1:8" x14ac:dyDescent="0.3">
      <c r="A326">
        <v>195</v>
      </c>
      <c r="B326" t="s">
        <v>8</v>
      </c>
      <c r="C326" s="4" t="s">
        <v>34</v>
      </c>
      <c r="D326" t="s">
        <v>10</v>
      </c>
      <c r="E326">
        <v>307788</v>
      </c>
      <c r="F326" s="5">
        <v>58781.512605042022</v>
      </c>
      <c r="G326" s="6">
        <f t="shared" si="10"/>
        <v>11168.487394957985</v>
      </c>
      <c r="H326" s="6">
        <f t="shared" si="11"/>
        <v>69950</v>
      </c>
    </row>
    <row r="327" spans="1:8" x14ac:dyDescent="0.3">
      <c r="A327">
        <v>195</v>
      </c>
      <c r="B327" t="s">
        <v>8</v>
      </c>
      <c r="C327" s="4" t="s">
        <v>34</v>
      </c>
      <c r="D327" t="s">
        <v>10</v>
      </c>
      <c r="E327">
        <v>307789</v>
      </c>
      <c r="F327" s="5">
        <v>58815.126050420171</v>
      </c>
      <c r="G327" s="6">
        <f t="shared" si="10"/>
        <v>11174.873949579833</v>
      </c>
      <c r="H327" s="6">
        <f t="shared" si="11"/>
        <v>69990</v>
      </c>
    </row>
    <row r="328" spans="1:8" x14ac:dyDescent="0.3">
      <c r="A328">
        <v>195</v>
      </c>
      <c r="B328" t="s">
        <v>8</v>
      </c>
      <c r="C328" s="4" t="s">
        <v>34</v>
      </c>
      <c r="D328" t="s">
        <v>10</v>
      </c>
      <c r="E328">
        <v>307790</v>
      </c>
      <c r="F328" s="5">
        <v>67184.873949579836</v>
      </c>
      <c r="G328" s="6">
        <f t="shared" si="10"/>
        <v>12765.126050420169</v>
      </c>
      <c r="H328" s="6">
        <f t="shared" si="11"/>
        <v>79950</v>
      </c>
    </row>
    <row r="329" spans="1:8" x14ac:dyDescent="0.3">
      <c r="A329">
        <v>195</v>
      </c>
      <c r="B329" t="s">
        <v>8</v>
      </c>
      <c r="C329" s="4" t="s">
        <v>34</v>
      </c>
      <c r="D329" t="s">
        <v>10</v>
      </c>
      <c r="E329">
        <v>307790</v>
      </c>
      <c r="F329" s="5">
        <v>78529.411764705888</v>
      </c>
      <c r="G329" s="6">
        <f t="shared" si="10"/>
        <v>14920.588235294119</v>
      </c>
      <c r="H329" s="6">
        <f t="shared" si="11"/>
        <v>93450</v>
      </c>
    </row>
    <row r="330" spans="1:8" x14ac:dyDescent="0.3">
      <c r="A330">
        <v>195</v>
      </c>
      <c r="B330" t="s">
        <v>8</v>
      </c>
      <c r="C330" s="4" t="s">
        <v>34</v>
      </c>
      <c r="D330" t="s">
        <v>10</v>
      </c>
      <c r="E330">
        <v>307791</v>
      </c>
      <c r="F330" s="5">
        <v>50378.151260504201</v>
      </c>
      <c r="G330" s="6">
        <f t="shared" si="10"/>
        <v>9571.8487394957974</v>
      </c>
      <c r="H330" s="6">
        <f t="shared" si="11"/>
        <v>59950</v>
      </c>
    </row>
    <row r="331" spans="1:8" x14ac:dyDescent="0.3">
      <c r="A331">
        <v>195</v>
      </c>
      <c r="B331" t="s">
        <v>8</v>
      </c>
      <c r="C331" s="4" t="s">
        <v>34</v>
      </c>
      <c r="D331" t="s">
        <v>10</v>
      </c>
      <c r="E331">
        <v>307792</v>
      </c>
      <c r="F331" s="5">
        <v>5000</v>
      </c>
      <c r="G331" s="6">
        <f t="shared" si="10"/>
        <v>950</v>
      </c>
      <c r="H331" s="6">
        <f t="shared" si="11"/>
        <v>5950</v>
      </c>
    </row>
    <row r="332" spans="1:8" x14ac:dyDescent="0.3">
      <c r="A332">
        <v>195</v>
      </c>
      <c r="B332" t="s">
        <v>8</v>
      </c>
      <c r="C332" s="4" t="s">
        <v>34</v>
      </c>
      <c r="D332" t="s">
        <v>10</v>
      </c>
      <c r="E332">
        <v>307793</v>
      </c>
      <c r="F332" s="5">
        <v>75588.23529411765</v>
      </c>
      <c r="G332" s="6">
        <f t="shared" si="10"/>
        <v>14361.764705882353</v>
      </c>
      <c r="H332" s="6">
        <f t="shared" si="11"/>
        <v>89950</v>
      </c>
    </row>
    <row r="333" spans="1:8" x14ac:dyDescent="0.3">
      <c r="A333">
        <v>195</v>
      </c>
      <c r="B333" t="s">
        <v>8</v>
      </c>
      <c r="C333" s="4" t="s">
        <v>35</v>
      </c>
      <c r="D333" t="s">
        <v>10</v>
      </c>
      <c r="E333">
        <v>307794</v>
      </c>
      <c r="F333" s="5">
        <v>49957.983193277316</v>
      </c>
      <c r="G333" s="6">
        <f t="shared" si="10"/>
        <v>9492.0168067226896</v>
      </c>
      <c r="H333" s="6">
        <f t="shared" si="11"/>
        <v>59450.000000000007</v>
      </c>
    </row>
    <row r="334" spans="1:8" x14ac:dyDescent="0.3">
      <c r="A334">
        <v>195</v>
      </c>
      <c r="B334" t="s">
        <v>8</v>
      </c>
      <c r="C334" s="4" t="s">
        <v>35</v>
      </c>
      <c r="D334" t="s">
        <v>10</v>
      </c>
      <c r="E334">
        <v>307794</v>
      </c>
      <c r="F334" s="5">
        <v>54579.831932773115</v>
      </c>
      <c r="G334" s="6">
        <f t="shared" si="10"/>
        <v>10370.168067226892</v>
      </c>
      <c r="H334" s="6">
        <f t="shared" si="11"/>
        <v>64950.000000000007</v>
      </c>
    </row>
    <row r="335" spans="1:8" x14ac:dyDescent="0.3">
      <c r="A335">
        <v>195</v>
      </c>
      <c r="B335" t="s">
        <v>8</v>
      </c>
      <c r="C335" s="4" t="s">
        <v>35</v>
      </c>
      <c r="D335" t="s">
        <v>10</v>
      </c>
      <c r="E335">
        <v>307795</v>
      </c>
      <c r="F335" s="5">
        <v>50378.151260504201</v>
      </c>
      <c r="G335" s="6">
        <f t="shared" si="10"/>
        <v>9571.8487394957974</v>
      </c>
      <c r="H335" s="6">
        <f t="shared" si="11"/>
        <v>59950</v>
      </c>
    </row>
    <row r="336" spans="1:8" x14ac:dyDescent="0.3">
      <c r="A336">
        <v>195</v>
      </c>
      <c r="B336" t="s">
        <v>8</v>
      </c>
      <c r="C336" s="4" t="s">
        <v>35</v>
      </c>
      <c r="D336" t="s">
        <v>10</v>
      </c>
      <c r="E336">
        <v>307796</v>
      </c>
      <c r="F336" s="5">
        <v>75588.23529411765</v>
      </c>
      <c r="G336" s="6">
        <f t="shared" si="10"/>
        <v>14361.764705882353</v>
      </c>
      <c r="H336" s="6">
        <f t="shared" si="11"/>
        <v>89950</v>
      </c>
    </row>
    <row r="337" spans="1:8" x14ac:dyDescent="0.3">
      <c r="A337">
        <v>195</v>
      </c>
      <c r="B337" t="s">
        <v>8</v>
      </c>
      <c r="C337" s="4" t="s">
        <v>35</v>
      </c>
      <c r="D337" t="s">
        <v>10</v>
      </c>
      <c r="E337">
        <v>307797</v>
      </c>
      <c r="F337" s="5">
        <v>3739.4957983193281</v>
      </c>
      <c r="G337" s="6">
        <f t="shared" si="10"/>
        <v>710.5042016806724</v>
      </c>
      <c r="H337" s="6">
        <f t="shared" si="11"/>
        <v>4450</v>
      </c>
    </row>
    <row r="338" spans="1:8" x14ac:dyDescent="0.3">
      <c r="A338">
        <v>195</v>
      </c>
      <c r="B338" t="s">
        <v>8</v>
      </c>
      <c r="C338" s="4" t="s">
        <v>35</v>
      </c>
      <c r="D338" t="s">
        <v>10</v>
      </c>
      <c r="E338">
        <v>307798</v>
      </c>
      <c r="F338" s="5">
        <v>46210.08403361345</v>
      </c>
      <c r="G338" s="6">
        <f t="shared" si="10"/>
        <v>8779.9159663865557</v>
      </c>
      <c r="H338" s="6">
        <f t="shared" si="11"/>
        <v>54990.000000000007</v>
      </c>
    </row>
    <row r="339" spans="1:8" x14ac:dyDescent="0.3">
      <c r="A339">
        <v>195</v>
      </c>
      <c r="B339" t="s">
        <v>8</v>
      </c>
      <c r="C339" s="4" t="s">
        <v>35</v>
      </c>
      <c r="D339" t="s">
        <v>10</v>
      </c>
      <c r="E339">
        <v>307799</v>
      </c>
      <c r="F339" s="5">
        <v>54579.831932773115</v>
      </c>
      <c r="G339" s="6">
        <f t="shared" si="10"/>
        <v>10370.168067226892</v>
      </c>
      <c r="H339" s="6">
        <f t="shared" si="11"/>
        <v>64950.000000000007</v>
      </c>
    </row>
    <row r="340" spans="1:8" x14ac:dyDescent="0.3">
      <c r="A340">
        <v>195</v>
      </c>
      <c r="B340" t="s">
        <v>8</v>
      </c>
      <c r="C340" s="4" t="s">
        <v>35</v>
      </c>
      <c r="D340" t="s">
        <v>10</v>
      </c>
      <c r="E340">
        <v>307800</v>
      </c>
      <c r="F340" s="5">
        <v>-42008.403361344543</v>
      </c>
      <c r="G340" s="6">
        <f t="shared" si="10"/>
        <v>-7981.5966386554628</v>
      </c>
      <c r="H340" s="6">
        <f t="shared" si="11"/>
        <v>-49990.000000000007</v>
      </c>
    </row>
    <row r="341" spans="1:8" x14ac:dyDescent="0.3">
      <c r="A341">
        <v>195</v>
      </c>
      <c r="B341" t="s">
        <v>8</v>
      </c>
      <c r="C341" s="4" t="s">
        <v>35</v>
      </c>
      <c r="D341" t="s">
        <v>10</v>
      </c>
      <c r="E341">
        <v>307800</v>
      </c>
      <c r="F341" s="5">
        <v>42009.243697478996</v>
      </c>
      <c r="G341" s="6">
        <f t="shared" si="10"/>
        <v>7981.7563025210093</v>
      </c>
      <c r="H341" s="6">
        <f t="shared" si="11"/>
        <v>49991.000000000007</v>
      </c>
    </row>
    <row r="342" spans="1:8" x14ac:dyDescent="0.3">
      <c r="A342">
        <v>195</v>
      </c>
      <c r="B342" t="s">
        <v>8</v>
      </c>
      <c r="C342" s="4" t="s">
        <v>35</v>
      </c>
      <c r="D342" t="s">
        <v>10</v>
      </c>
      <c r="E342">
        <v>307801</v>
      </c>
      <c r="F342" s="5">
        <v>50411.764705882357</v>
      </c>
      <c r="G342" s="6">
        <f t="shared" si="10"/>
        <v>9578.2352941176487</v>
      </c>
      <c r="H342" s="6">
        <f t="shared" si="11"/>
        <v>59990.000000000007</v>
      </c>
    </row>
    <row r="343" spans="1:8" x14ac:dyDescent="0.3">
      <c r="A343">
        <v>195</v>
      </c>
      <c r="B343" t="s">
        <v>8</v>
      </c>
      <c r="C343" s="4" t="s">
        <v>35</v>
      </c>
      <c r="D343" t="s">
        <v>10</v>
      </c>
      <c r="E343">
        <v>307802</v>
      </c>
      <c r="F343" s="5">
        <v>50378.151260504201</v>
      </c>
      <c r="G343" s="6">
        <f t="shared" si="10"/>
        <v>9571.8487394957974</v>
      </c>
      <c r="H343" s="6">
        <f t="shared" si="11"/>
        <v>59950</v>
      </c>
    </row>
    <row r="344" spans="1:8" x14ac:dyDescent="0.3">
      <c r="A344">
        <v>195</v>
      </c>
      <c r="B344" t="s">
        <v>8</v>
      </c>
      <c r="C344" s="4" t="s">
        <v>35</v>
      </c>
      <c r="D344" t="s">
        <v>10</v>
      </c>
      <c r="E344">
        <v>307803</v>
      </c>
      <c r="F344" s="5">
        <v>42008.403361344543</v>
      </c>
      <c r="G344" s="6">
        <f t="shared" si="10"/>
        <v>7981.5966386554628</v>
      </c>
      <c r="H344" s="6">
        <f t="shared" si="11"/>
        <v>49990.000000000007</v>
      </c>
    </row>
    <row r="345" spans="1:8" x14ac:dyDescent="0.3">
      <c r="A345">
        <v>195</v>
      </c>
      <c r="B345" t="s">
        <v>8</v>
      </c>
      <c r="C345" s="4" t="s">
        <v>35</v>
      </c>
      <c r="D345" t="s">
        <v>10</v>
      </c>
      <c r="E345">
        <v>307803</v>
      </c>
      <c r="F345" s="5">
        <v>42008.403361344543</v>
      </c>
      <c r="G345" s="6">
        <f t="shared" si="10"/>
        <v>7981.5966386554628</v>
      </c>
      <c r="H345" s="6">
        <f t="shared" si="11"/>
        <v>49990.000000000007</v>
      </c>
    </row>
    <row r="346" spans="1:8" x14ac:dyDescent="0.3">
      <c r="A346">
        <v>195</v>
      </c>
      <c r="B346" t="s">
        <v>8</v>
      </c>
      <c r="C346" s="4" t="s">
        <v>35</v>
      </c>
      <c r="D346" t="s">
        <v>10</v>
      </c>
      <c r="E346">
        <v>307804</v>
      </c>
      <c r="F346" s="5">
        <v>33605.042016806721</v>
      </c>
      <c r="G346" s="6">
        <f t="shared" si="10"/>
        <v>6384.957983193277</v>
      </c>
      <c r="H346" s="6">
        <f t="shared" si="11"/>
        <v>39990</v>
      </c>
    </row>
    <row r="347" spans="1:8" x14ac:dyDescent="0.3">
      <c r="A347">
        <v>195</v>
      </c>
      <c r="B347" t="s">
        <v>8</v>
      </c>
      <c r="C347" s="4" t="s">
        <v>35</v>
      </c>
      <c r="D347" t="s">
        <v>10</v>
      </c>
      <c r="E347">
        <v>307805</v>
      </c>
      <c r="F347" s="5">
        <v>50378.151260504201</v>
      </c>
      <c r="G347" s="6">
        <f t="shared" si="10"/>
        <v>9571.8487394957974</v>
      </c>
      <c r="H347" s="6">
        <f t="shared" si="11"/>
        <v>59950</v>
      </c>
    </row>
    <row r="348" spans="1:8" x14ac:dyDescent="0.3">
      <c r="A348">
        <v>195</v>
      </c>
      <c r="B348" t="s">
        <v>8</v>
      </c>
      <c r="C348" s="4" t="s">
        <v>35</v>
      </c>
      <c r="D348" t="s">
        <v>10</v>
      </c>
      <c r="E348">
        <v>307806</v>
      </c>
      <c r="F348" s="5">
        <v>71386.554621848743</v>
      </c>
      <c r="G348" s="6">
        <f t="shared" si="10"/>
        <v>13563.445378151262</v>
      </c>
      <c r="H348" s="6">
        <f t="shared" si="11"/>
        <v>84950</v>
      </c>
    </row>
    <row r="349" spans="1:8" x14ac:dyDescent="0.3">
      <c r="A349">
        <v>195</v>
      </c>
      <c r="B349" t="s">
        <v>8</v>
      </c>
      <c r="C349" s="4" t="s">
        <v>35</v>
      </c>
      <c r="D349" t="s">
        <v>10</v>
      </c>
      <c r="E349">
        <v>307807</v>
      </c>
      <c r="F349" s="5">
        <v>67184.873949579836</v>
      </c>
      <c r="G349" s="6">
        <f t="shared" si="10"/>
        <v>12765.126050420169</v>
      </c>
      <c r="H349" s="6">
        <f t="shared" si="11"/>
        <v>79950</v>
      </c>
    </row>
    <row r="350" spans="1:8" x14ac:dyDescent="0.3">
      <c r="A350">
        <v>195</v>
      </c>
      <c r="B350" t="s">
        <v>8</v>
      </c>
      <c r="C350" s="4" t="s">
        <v>35</v>
      </c>
      <c r="D350" t="s">
        <v>10</v>
      </c>
      <c r="E350">
        <v>307808</v>
      </c>
      <c r="F350" s="5">
        <v>62983.193277310929</v>
      </c>
      <c r="G350" s="6">
        <f t="shared" si="10"/>
        <v>11966.806722689076</v>
      </c>
      <c r="H350" s="6">
        <f t="shared" si="11"/>
        <v>74950</v>
      </c>
    </row>
    <row r="351" spans="1:8" x14ac:dyDescent="0.3">
      <c r="A351">
        <v>195</v>
      </c>
      <c r="B351" t="s">
        <v>8</v>
      </c>
      <c r="C351" s="4" t="s">
        <v>35</v>
      </c>
      <c r="D351" t="s">
        <v>10</v>
      </c>
      <c r="E351">
        <v>307809</v>
      </c>
      <c r="F351" s="5">
        <v>58781.512605042022</v>
      </c>
      <c r="G351" s="6">
        <f t="shared" si="10"/>
        <v>11168.487394957985</v>
      </c>
      <c r="H351" s="6">
        <f t="shared" si="11"/>
        <v>69950</v>
      </c>
    </row>
    <row r="352" spans="1:8" x14ac:dyDescent="0.3">
      <c r="A352">
        <v>195</v>
      </c>
      <c r="B352" t="s">
        <v>8</v>
      </c>
      <c r="C352" s="4" t="s">
        <v>35</v>
      </c>
      <c r="D352" t="s">
        <v>10</v>
      </c>
      <c r="E352">
        <v>307810</v>
      </c>
      <c r="F352" s="5">
        <v>67184.873949579836</v>
      </c>
      <c r="G352" s="6">
        <f t="shared" si="10"/>
        <v>12765.126050420169</v>
      </c>
      <c r="H352" s="6">
        <f t="shared" si="11"/>
        <v>79950</v>
      </c>
    </row>
    <row r="353" spans="1:8" x14ac:dyDescent="0.3">
      <c r="A353">
        <v>195</v>
      </c>
      <c r="B353" t="s">
        <v>8</v>
      </c>
      <c r="C353" s="4" t="s">
        <v>35</v>
      </c>
      <c r="D353" t="s">
        <v>10</v>
      </c>
      <c r="E353">
        <v>307811</v>
      </c>
      <c r="F353" s="5">
        <v>50411.764705882357</v>
      </c>
      <c r="G353" s="6">
        <f t="shared" si="10"/>
        <v>9578.2352941176487</v>
      </c>
      <c r="H353" s="6">
        <f t="shared" si="11"/>
        <v>59990.000000000007</v>
      </c>
    </row>
    <row r="354" spans="1:8" x14ac:dyDescent="0.3">
      <c r="A354">
        <v>195</v>
      </c>
      <c r="B354" t="s">
        <v>8</v>
      </c>
      <c r="C354" s="4" t="s">
        <v>35</v>
      </c>
      <c r="D354" t="s">
        <v>10</v>
      </c>
      <c r="E354">
        <v>307811</v>
      </c>
      <c r="F354" s="5">
        <v>1672.2689075630253</v>
      </c>
      <c r="G354" s="6">
        <f t="shared" si="10"/>
        <v>317.73109243697479</v>
      </c>
      <c r="H354" s="6">
        <f t="shared" si="11"/>
        <v>1990</v>
      </c>
    </row>
    <row r="355" spans="1:8" x14ac:dyDescent="0.3">
      <c r="A355">
        <v>195</v>
      </c>
      <c r="B355" t="s">
        <v>8</v>
      </c>
      <c r="C355" s="4" t="s">
        <v>35</v>
      </c>
      <c r="D355" t="s">
        <v>10</v>
      </c>
      <c r="E355">
        <v>307812</v>
      </c>
      <c r="F355" s="5">
        <v>46386.554621848743</v>
      </c>
      <c r="G355" s="6">
        <f t="shared" si="10"/>
        <v>8813.445378151262</v>
      </c>
      <c r="H355" s="6">
        <f t="shared" si="11"/>
        <v>55200.000000000007</v>
      </c>
    </row>
    <row r="356" spans="1:8" x14ac:dyDescent="0.3">
      <c r="A356">
        <v>195</v>
      </c>
      <c r="B356" t="s">
        <v>8</v>
      </c>
      <c r="C356" s="4" t="s">
        <v>35</v>
      </c>
      <c r="D356" t="s">
        <v>10</v>
      </c>
      <c r="E356">
        <v>307812</v>
      </c>
      <c r="F356" s="5">
        <v>67218.487394957992</v>
      </c>
      <c r="G356" s="6">
        <f t="shared" si="10"/>
        <v>12771.512605042019</v>
      </c>
      <c r="H356" s="6">
        <f t="shared" si="11"/>
        <v>79990.000000000015</v>
      </c>
    </row>
    <row r="357" spans="1:8" x14ac:dyDescent="0.3">
      <c r="A357">
        <v>195</v>
      </c>
      <c r="B357" t="s">
        <v>8</v>
      </c>
      <c r="C357" s="4" t="s">
        <v>36</v>
      </c>
      <c r="D357" t="s">
        <v>17</v>
      </c>
      <c r="E357">
        <v>25458</v>
      </c>
      <c r="F357" s="5">
        <v>-62983.193277310929</v>
      </c>
      <c r="G357" s="6">
        <f t="shared" si="10"/>
        <v>-11966.806722689076</v>
      </c>
      <c r="H357" s="6">
        <f t="shared" si="11"/>
        <v>-74950</v>
      </c>
    </row>
    <row r="358" spans="1:8" x14ac:dyDescent="0.3">
      <c r="A358">
        <v>195</v>
      </c>
      <c r="B358" t="s">
        <v>8</v>
      </c>
      <c r="C358" s="4" t="s">
        <v>36</v>
      </c>
      <c r="D358" t="s">
        <v>10</v>
      </c>
      <c r="E358">
        <v>307813</v>
      </c>
      <c r="F358" s="5">
        <v>50378.151260504201</v>
      </c>
      <c r="G358" s="6">
        <f t="shared" si="10"/>
        <v>9571.8487394957974</v>
      </c>
      <c r="H358" s="6">
        <f t="shared" si="11"/>
        <v>59950</v>
      </c>
    </row>
    <row r="359" spans="1:8" x14ac:dyDescent="0.3">
      <c r="A359">
        <v>195</v>
      </c>
      <c r="B359" t="s">
        <v>8</v>
      </c>
      <c r="C359" s="4" t="s">
        <v>36</v>
      </c>
      <c r="D359" t="s">
        <v>10</v>
      </c>
      <c r="E359">
        <v>307813</v>
      </c>
      <c r="F359" s="5">
        <v>4661.3445378151264</v>
      </c>
      <c r="G359" s="6">
        <f t="shared" si="10"/>
        <v>885.65546218487407</v>
      </c>
      <c r="H359" s="6">
        <f t="shared" si="11"/>
        <v>5547</v>
      </c>
    </row>
    <row r="360" spans="1:8" x14ac:dyDescent="0.3">
      <c r="A360">
        <v>195</v>
      </c>
      <c r="B360" t="s">
        <v>8</v>
      </c>
      <c r="C360" s="4" t="s">
        <v>36</v>
      </c>
      <c r="D360" t="s">
        <v>10</v>
      </c>
      <c r="E360">
        <v>307814</v>
      </c>
      <c r="F360" s="5">
        <v>78529.411764705888</v>
      </c>
      <c r="G360" s="6">
        <f t="shared" si="10"/>
        <v>14920.588235294119</v>
      </c>
      <c r="H360" s="6">
        <f t="shared" si="11"/>
        <v>93450</v>
      </c>
    </row>
    <row r="361" spans="1:8" x14ac:dyDescent="0.3">
      <c r="A361">
        <v>195</v>
      </c>
      <c r="B361" t="s">
        <v>8</v>
      </c>
      <c r="C361" s="4" t="s">
        <v>36</v>
      </c>
      <c r="D361" t="s">
        <v>10</v>
      </c>
      <c r="E361">
        <v>307814</v>
      </c>
      <c r="F361" s="5">
        <v>67218.487394957992</v>
      </c>
      <c r="G361" s="6">
        <f t="shared" si="10"/>
        <v>12771.512605042019</v>
      </c>
      <c r="H361" s="6">
        <f t="shared" si="11"/>
        <v>79990.000000000015</v>
      </c>
    </row>
    <row r="362" spans="1:8" x14ac:dyDescent="0.3">
      <c r="A362">
        <v>195</v>
      </c>
      <c r="B362" t="s">
        <v>8</v>
      </c>
      <c r="C362" s="4" t="s">
        <v>36</v>
      </c>
      <c r="D362" t="s">
        <v>10</v>
      </c>
      <c r="E362">
        <v>307815</v>
      </c>
      <c r="F362" s="5">
        <v>50378.151260504201</v>
      </c>
      <c r="G362" s="6">
        <f t="shared" si="10"/>
        <v>9571.8487394957974</v>
      </c>
      <c r="H362" s="6">
        <f t="shared" si="11"/>
        <v>59950</v>
      </c>
    </row>
    <row r="363" spans="1:8" x14ac:dyDescent="0.3">
      <c r="A363">
        <v>195</v>
      </c>
      <c r="B363" t="s">
        <v>8</v>
      </c>
      <c r="C363" s="4" t="s">
        <v>36</v>
      </c>
      <c r="D363" t="s">
        <v>10</v>
      </c>
      <c r="E363">
        <v>307816</v>
      </c>
      <c r="F363" s="5">
        <v>33605.042016806721</v>
      </c>
      <c r="G363" s="6">
        <f t="shared" si="10"/>
        <v>6384.957983193277</v>
      </c>
      <c r="H363" s="6">
        <f t="shared" si="11"/>
        <v>39990</v>
      </c>
    </row>
    <row r="364" spans="1:8" x14ac:dyDescent="0.3">
      <c r="A364">
        <v>195</v>
      </c>
      <c r="B364" t="s">
        <v>8</v>
      </c>
      <c r="C364" s="4" t="s">
        <v>36</v>
      </c>
      <c r="D364" t="s">
        <v>10</v>
      </c>
      <c r="E364">
        <v>307816</v>
      </c>
      <c r="F364" s="5">
        <v>58781.512605042022</v>
      </c>
      <c r="G364" s="6">
        <f t="shared" si="10"/>
        <v>11168.487394957985</v>
      </c>
      <c r="H364" s="6">
        <f t="shared" si="11"/>
        <v>69950</v>
      </c>
    </row>
    <row r="365" spans="1:8" x14ac:dyDescent="0.3">
      <c r="A365">
        <v>195</v>
      </c>
      <c r="B365" t="s">
        <v>8</v>
      </c>
      <c r="C365" s="4" t="s">
        <v>36</v>
      </c>
      <c r="D365" t="s">
        <v>10</v>
      </c>
      <c r="E365">
        <v>307817</v>
      </c>
      <c r="F365" s="5">
        <v>67184.873949579836</v>
      </c>
      <c r="G365" s="6">
        <f t="shared" si="10"/>
        <v>12765.126050420169</v>
      </c>
      <c r="H365" s="6">
        <f t="shared" si="11"/>
        <v>79950</v>
      </c>
    </row>
    <row r="366" spans="1:8" x14ac:dyDescent="0.3">
      <c r="A366">
        <v>195</v>
      </c>
      <c r="B366" t="s">
        <v>8</v>
      </c>
      <c r="C366" s="4" t="s">
        <v>36</v>
      </c>
      <c r="D366" t="s">
        <v>10</v>
      </c>
      <c r="E366">
        <v>307818</v>
      </c>
      <c r="F366" s="5">
        <v>42008.403361344543</v>
      </c>
      <c r="G366" s="6">
        <f t="shared" si="10"/>
        <v>7981.5966386554628</v>
      </c>
      <c r="H366" s="6">
        <f t="shared" si="11"/>
        <v>49990.000000000007</v>
      </c>
    </row>
    <row r="367" spans="1:8" x14ac:dyDescent="0.3">
      <c r="A367">
        <v>195</v>
      </c>
      <c r="B367" t="s">
        <v>8</v>
      </c>
      <c r="C367" s="4" t="s">
        <v>36</v>
      </c>
      <c r="D367" t="s">
        <v>10</v>
      </c>
      <c r="E367">
        <v>307819</v>
      </c>
      <c r="F367" s="5">
        <v>58815.126050420171</v>
      </c>
      <c r="G367" s="6">
        <f t="shared" si="10"/>
        <v>11174.873949579833</v>
      </c>
      <c r="H367" s="6">
        <f t="shared" si="11"/>
        <v>69990</v>
      </c>
    </row>
    <row r="368" spans="1:8" x14ac:dyDescent="0.3">
      <c r="A368">
        <v>195</v>
      </c>
      <c r="B368" t="s">
        <v>8</v>
      </c>
      <c r="C368" s="4" t="s">
        <v>36</v>
      </c>
      <c r="D368" t="s">
        <v>10</v>
      </c>
      <c r="E368">
        <v>307819</v>
      </c>
      <c r="F368" s="5">
        <v>67218.487394957992</v>
      </c>
      <c r="G368" s="6">
        <f t="shared" si="10"/>
        <v>12771.512605042019</v>
      </c>
      <c r="H368" s="6">
        <f t="shared" si="11"/>
        <v>79990.000000000015</v>
      </c>
    </row>
    <row r="369" spans="1:8" x14ac:dyDescent="0.3">
      <c r="A369">
        <v>195</v>
      </c>
      <c r="B369" t="s">
        <v>8</v>
      </c>
      <c r="C369" s="4" t="s">
        <v>36</v>
      </c>
      <c r="D369" t="s">
        <v>10</v>
      </c>
      <c r="E369">
        <v>307820</v>
      </c>
      <c r="F369" s="5">
        <v>62983.193277310929</v>
      </c>
      <c r="G369" s="6">
        <f t="shared" si="10"/>
        <v>11966.806722689076</v>
      </c>
      <c r="H369" s="6">
        <f t="shared" si="11"/>
        <v>74950</v>
      </c>
    </row>
    <row r="370" spans="1:8" x14ac:dyDescent="0.3">
      <c r="A370">
        <v>195</v>
      </c>
      <c r="B370" t="s">
        <v>8</v>
      </c>
      <c r="C370" s="4" t="s">
        <v>36</v>
      </c>
      <c r="D370" t="s">
        <v>10</v>
      </c>
      <c r="E370">
        <v>307821</v>
      </c>
      <c r="F370" s="5">
        <v>58815.126050420171</v>
      </c>
      <c r="G370" s="6">
        <f t="shared" si="10"/>
        <v>11174.873949579833</v>
      </c>
      <c r="H370" s="6">
        <f t="shared" si="11"/>
        <v>69990</v>
      </c>
    </row>
    <row r="371" spans="1:8" x14ac:dyDescent="0.3">
      <c r="A371">
        <v>195</v>
      </c>
      <c r="B371" t="s">
        <v>8</v>
      </c>
      <c r="C371" s="4" t="s">
        <v>36</v>
      </c>
      <c r="D371" t="s">
        <v>10</v>
      </c>
      <c r="E371">
        <v>307821</v>
      </c>
      <c r="F371" s="5">
        <v>57100.840336134454</v>
      </c>
      <c r="G371" s="6">
        <f t="shared" si="10"/>
        <v>10849.159663865546</v>
      </c>
      <c r="H371" s="6">
        <f t="shared" si="11"/>
        <v>67950</v>
      </c>
    </row>
    <row r="372" spans="1:8" x14ac:dyDescent="0.3">
      <c r="A372">
        <v>195</v>
      </c>
      <c r="B372" t="s">
        <v>8</v>
      </c>
      <c r="C372" s="4" t="s">
        <v>37</v>
      </c>
      <c r="D372" t="s">
        <v>10</v>
      </c>
      <c r="E372">
        <v>307822</v>
      </c>
      <c r="F372" s="5">
        <v>29403.361344537818</v>
      </c>
      <c r="G372" s="6">
        <f t="shared" si="10"/>
        <v>5586.6386554621859</v>
      </c>
      <c r="H372" s="6">
        <f t="shared" si="11"/>
        <v>34990</v>
      </c>
    </row>
    <row r="373" spans="1:8" x14ac:dyDescent="0.3">
      <c r="A373">
        <v>195</v>
      </c>
      <c r="B373" t="s">
        <v>8</v>
      </c>
      <c r="C373" s="4" t="s">
        <v>37</v>
      </c>
      <c r="D373" t="s">
        <v>10</v>
      </c>
      <c r="E373">
        <v>307823</v>
      </c>
      <c r="F373" s="5">
        <v>67184.873949579836</v>
      </c>
      <c r="G373" s="6">
        <f t="shared" si="10"/>
        <v>12765.126050420169</v>
      </c>
      <c r="H373" s="6">
        <f t="shared" si="11"/>
        <v>79950</v>
      </c>
    </row>
    <row r="374" spans="1:8" x14ac:dyDescent="0.3">
      <c r="A374">
        <v>195</v>
      </c>
      <c r="B374" t="s">
        <v>8</v>
      </c>
      <c r="C374" s="4" t="s">
        <v>37</v>
      </c>
      <c r="D374" t="s">
        <v>10</v>
      </c>
      <c r="E374">
        <v>307824</v>
      </c>
      <c r="F374" s="5">
        <v>58781.512605042022</v>
      </c>
      <c r="G374" s="6">
        <f t="shared" si="10"/>
        <v>11168.487394957985</v>
      </c>
      <c r="H374" s="6">
        <f t="shared" si="11"/>
        <v>69950</v>
      </c>
    </row>
    <row r="375" spans="1:8" x14ac:dyDescent="0.3">
      <c r="A375">
        <v>195</v>
      </c>
      <c r="B375" t="s">
        <v>8</v>
      </c>
      <c r="C375" s="4" t="s">
        <v>37</v>
      </c>
      <c r="D375" t="s">
        <v>10</v>
      </c>
      <c r="E375">
        <v>307825</v>
      </c>
      <c r="F375" s="5">
        <v>58781.512605042022</v>
      </c>
      <c r="G375" s="6">
        <f t="shared" si="10"/>
        <v>11168.487394957985</v>
      </c>
      <c r="H375" s="6">
        <f t="shared" si="11"/>
        <v>69950</v>
      </c>
    </row>
    <row r="376" spans="1:8" x14ac:dyDescent="0.3">
      <c r="A376">
        <v>195</v>
      </c>
      <c r="B376" t="s">
        <v>8</v>
      </c>
      <c r="C376" s="4" t="s">
        <v>37</v>
      </c>
      <c r="D376" t="s">
        <v>10</v>
      </c>
      <c r="E376">
        <v>307826</v>
      </c>
      <c r="F376" s="5">
        <v>67184.873949579836</v>
      </c>
      <c r="G376" s="6">
        <f t="shared" si="10"/>
        <v>12765.126050420169</v>
      </c>
      <c r="H376" s="6">
        <f t="shared" si="11"/>
        <v>79950</v>
      </c>
    </row>
    <row r="377" spans="1:8" x14ac:dyDescent="0.3">
      <c r="A377">
        <v>195</v>
      </c>
      <c r="B377" t="s">
        <v>8</v>
      </c>
      <c r="C377" s="4" t="s">
        <v>37</v>
      </c>
      <c r="D377" t="s">
        <v>10</v>
      </c>
      <c r="E377">
        <v>307827</v>
      </c>
      <c r="F377" s="5">
        <v>42008.403361344543</v>
      </c>
      <c r="G377" s="6">
        <f t="shared" si="10"/>
        <v>7981.5966386554628</v>
      </c>
      <c r="H377" s="6">
        <f t="shared" si="11"/>
        <v>49990.000000000007</v>
      </c>
    </row>
    <row r="378" spans="1:8" x14ac:dyDescent="0.3">
      <c r="A378">
        <v>195</v>
      </c>
      <c r="B378" t="s">
        <v>8</v>
      </c>
      <c r="C378" s="4" t="s">
        <v>37</v>
      </c>
      <c r="D378" t="s">
        <v>10</v>
      </c>
      <c r="E378">
        <v>307827</v>
      </c>
      <c r="F378" s="5">
        <v>1680.6722689075632</v>
      </c>
      <c r="G378" s="6">
        <f t="shared" si="10"/>
        <v>319.32773109243703</v>
      </c>
      <c r="H378" s="6">
        <f t="shared" si="11"/>
        <v>2000.0000000000002</v>
      </c>
    </row>
    <row r="379" spans="1:8" x14ac:dyDescent="0.3">
      <c r="A379">
        <v>195</v>
      </c>
      <c r="B379" t="s">
        <v>8</v>
      </c>
      <c r="C379" s="4" t="s">
        <v>37</v>
      </c>
      <c r="D379" t="s">
        <v>10</v>
      </c>
      <c r="E379">
        <v>307828</v>
      </c>
      <c r="F379" s="5">
        <v>58781.512605042022</v>
      </c>
      <c r="G379" s="6">
        <f t="shared" si="10"/>
        <v>11168.487394957985</v>
      </c>
      <c r="H379" s="6">
        <f t="shared" si="11"/>
        <v>69950</v>
      </c>
    </row>
    <row r="380" spans="1:8" x14ac:dyDescent="0.3">
      <c r="A380">
        <v>195</v>
      </c>
      <c r="B380" t="s">
        <v>8</v>
      </c>
      <c r="C380" s="4" t="s">
        <v>37</v>
      </c>
      <c r="D380" t="s">
        <v>10</v>
      </c>
      <c r="E380">
        <v>307829</v>
      </c>
      <c r="F380" s="5">
        <v>75588.23529411765</v>
      </c>
      <c r="G380" s="6">
        <f t="shared" si="10"/>
        <v>14361.764705882353</v>
      </c>
      <c r="H380" s="6">
        <f t="shared" si="11"/>
        <v>89950</v>
      </c>
    </row>
    <row r="381" spans="1:8" x14ac:dyDescent="0.3">
      <c r="A381">
        <v>195</v>
      </c>
      <c r="B381" t="s">
        <v>8</v>
      </c>
      <c r="C381" s="4" t="s">
        <v>38</v>
      </c>
      <c r="D381" t="s">
        <v>10</v>
      </c>
      <c r="E381">
        <v>307830</v>
      </c>
      <c r="F381" s="5">
        <v>4579.8319327731097</v>
      </c>
      <c r="G381" s="6">
        <f t="shared" si="10"/>
        <v>870.1680672268908</v>
      </c>
      <c r="H381" s="6">
        <f t="shared" si="11"/>
        <v>5450</v>
      </c>
    </row>
    <row r="382" spans="1:8" x14ac:dyDescent="0.3">
      <c r="A382">
        <v>195</v>
      </c>
      <c r="B382" t="s">
        <v>8</v>
      </c>
      <c r="C382" s="4" t="s">
        <v>38</v>
      </c>
      <c r="D382" t="s">
        <v>10</v>
      </c>
      <c r="E382">
        <v>307831</v>
      </c>
      <c r="F382" s="5">
        <v>54579.831932773115</v>
      </c>
      <c r="G382" s="6">
        <f t="shared" si="10"/>
        <v>10370.168067226892</v>
      </c>
      <c r="H382" s="6">
        <f t="shared" si="11"/>
        <v>64950.000000000007</v>
      </c>
    </row>
    <row r="383" spans="1:8" x14ac:dyDescent="0.3">
      <c r="A383">
        <v>195</v>
      </c>
      <c r="B383" t="s">
        <v>8</v>
      </c>
      <c r="C383" s="4" t="s">
        <v>38</v>
      </c>
      <c r="D383" t="s">
        <v>10</v>
      </c>
      <c r="E383">
        <v>307832</v>
      </c>
      <c r="F383" s="5">
        <v>67185.71428571429</v>
      </c>
      <c r="G383" s="6">
        <f t="shared" si="10"/>
        <v>12765.285714285716</v>
      </c>
      <c r="H383" s="6">
        <f t="shared" si="11"/>
        <v>79951</v>
      </c>
    </row>
    <row r="384" spans="1:8" x14ac:dyDescent="0.3">
      <c r="A384">
        <v>195</v>
      </c>
      <c r="B384" t="s">
        <v>8</v>
      </c>
      <c r="C384" s="4" t="s">
        <v>38</v>
      </c>
      <c r="D384" t="s">
        <v>10</v>
      </c>
      <c r="E384">
        <v>307832</v>
      </c>
      <c r="F384" s="5">
        <v>-67184.873949579836</v>
      </c>
      <c r="G384" s="6">
        <f t="shared" si="10"/>
        <v>-12765.126050420169</v>
      </c>
      <c r="H384" s="6">
        <f t="shared" si="11"/>
        <v>-79950</v>
      </c>
    </row>
    <row r="385" spans="1:8" x14ac:dyDescent="0.3">
      <c r="A385">
        <v>195</v>
      </c>
      <c r="B385" t="s">
        <v>8</v>
      </c>
      <c r="C385" s="4" t="s">
        <v>38</v>
      </c>
      <c r="D385" t="s">
        <v>10</v>
      </c>
      <c r="E385">
        <v>307833</v>
      </c>
      <c r="F385" s="5">
        <v>75588.23529411765</v>
      </c>
      <c r="G385" s="6">
        <f t="shared" si="10"/>
        <v>14361.764705882353</v>
      </c>
      <c r="H385" s="6">
        <f t="shared" si="11"/>
        <v>89950</v>
      </c>
    </row>
    <row r="386" spans="1:8" x14ac:dyDescent="0.3">
      <c r="A386">
        <v>195</v>
      </c>
      <c r="B386" t="s">
        <v>8</v>
      </c>
      <c r="C386" s="4" t="s">
        <v>38</v>
      </c>
      <c r="D386" t="s">
        <v>10</v>
      </c>
      <c r="E386">
        <v>307834</v>
      </c>
      <c r="F386" s="5">
        <v>5000</v>
      </c>
      <c r="G386" s="6">
        <f t="shared" si="10"/>
        <v>950</v>
      </c>
      <c r="H386" s="6">
        <f t="shared" si="11"/>
        <v>5950</v>
      </c>
    </row>
    <row r="387" spans="1:8" x14ac:dyDescent="0.3">
      <c r="A387">
        <v>195</v>
      </c>
      <c r="B387" t="s">
        <v>8</v>
      </c>
      <c r="C387" s="4" t="s">
        <v>38</v>
      </c>
      <c r="D387" t="s">
        <v>10</v>
      </c>
      <c r="E387">
        <v>307835</v>
      </c>
      <c r="F387" s="5">
        <v>75588.23529411765</v>
      </c>
      <c r="G387" s="6">
        <f t="shared" ref="G387:G438" si="12">F387*19%</f>
        <v>14361.764705882353</v>
      </c>
      <c r="H387" s="6">
        <f t="shared" ref="H387:H438" si="13">+G387+F387</f>
        <v>89950</v>
      </c>
    </row>
    <row r="388" spans="1:8" x14ac:dyDescent="0.3">
      <c r="A388">
        <v>195</v>
      </c>
      <c r="B388" t="s">
        <v>8</v>
      </c>
      <c r="C388" s="4" t="s">
        <v>38</v>
      </c>
      <c r="D388" t="s">
        <v>10</v>
      </c>
      <c r="E388">
        <v>307836</v>
      </c>
      <c r="F388" s="5">
        <v>5000</v>
      </c>
      <c r="G388" s="6">
        <f t="shared" si="12"/>
        <v>950</v>
      </c>
      <c r="H388" s="6">
        <f t="shared" si="13"/>
        <v>5950</v>
      </c>
    </row>
    <row r="389" spans="1:8" x14ac:dyDescent="0.3">
      <c r="A389">
        <v>195</v>
      </c>
      <c r="B389" t="s">
        <v>8</v>
      </c>
      <c r="C389" s="4" t="s">
        <v>38</v>
      </c>
      <c r="D389" t="s">
        <v>10</v>
      </c>
      <c r="E389">
        <v>307837</v>
      </c>
      <c r="F389" s="5">
        <v>62983.193277310929</v>
      </c>
      <c r="G389" s="6">
        <f t="shared" si="12"/>
        <v>11966.806722689076</v>
      </c>
      <c r="H389" s="6">
        <f t="shared" si="13"/>
        <v>74950</v>
      </c>
    </row>
    <row r="390" spans="1:8" x14ac:dyDescent="0.3">
      <c r="A390">
        <v>195</v>
      </c>
      <c r="B390" t="s">
        <v>8</v>
      </c>
      <c r="C390" s="4" t="s">
        <v>38</v>
      </c>
      <c r="D390" t="s">
        <v>10</v>
      </c>
      <c r="E390">
        <v>307838</v>
      </c>
      <c r="F390" s="5">
        <v>83991.596638655465</v>
      </c>
      <c r="G390" s="6">
        <f t="shared" si="12"/>
        <v>15958.403361344539</v>
      </c>
      <c r="H390" s="6">
        <f t="shared" si="13"/>
        <v>99950</v>
      </c>
    </row>
    <row r="391" spans="1:8" x14ac:dyDescent="0.3">
      <c r="A391">
        <v>195</v>
      </c>
      <c r="B391" t="s">
        <v>8</v>
      </c>
      <c r="C391" s="4" t="s">
        <v>38</v>
      </c>
      <c r="D391" t="s">
        <v>10</v>
      </c>
      <c r="E391">
        <v>307839</v>
      </c>
      <c r="F391" s="5">
        <v>42008.403361344543</v>
      </c>
      <c r="G391" s="6">
        <f t="shared" si="12"/>
        <v>7981.5966386554628</v>
      </c>
      <c r="H391" s="6">
        <f t="shared" si="13"/>
        <v>49990.000000000007</v>
      </c>
    </row>
    <row r="392" spans="1:8" x14ac:dyDescent="0.3">
      <c r="A392">
        <v>195</v>
      </c>
      <c r="B392" t="s">
        <v>8</v>
      </c>
      <c r="C392" s="4" t="s">
        <v>38</v>
      </c>
      <c r="D392" t="s">
        <v>10</v>
      </c>
      <c r="E392">
        <v>307839</v>
      </c>
      <c r="F392" s="5">
        <v>0.84033613445378152</v>
      </c>
      <c r="G392" s="6">
        <f t="shared" si="12"/>
        <v>0.1596638655462185</v>
      </c>
      <c r="H392" s="6">
        <f t="shared" si="13"/>
        <v>1</v>
      </c>
    </row>
    <row r="393" spans="1:8" x14ac:dyDescent="0.3">
      <c r="A393">
        <v>195</v>
      </c>
      <c r="B393" t="s">
        <v>8</v>
      </c>
      <c r="C393" s="4" t="s">
        <v>38</v>
      </c>
      <c r="D393" t="s">
        <v>10</v>
      </c>
      <c r="E393">
        <v>307840</v>
      </c>
      <c r="F393" s="5">
        <v>83991.596638655465</v>
      </c>
      <c r="G393" s="6">
        <f t="shared" si="12"/>
        <v>15958.403361344539</v>
      </c>
      <c r="H393" s="6">
        <f t="shared" si="13"/>
        <v>99950</v>
      </c>
    </row>
    <row r="394" spans="1:8" x14ac:dyDescent="0.3">
      <c r="A394">
        <v>195</v>
      </c>
      <c r="B394" t="s">
        <v>8</v>
      </c>
      <c r="C394" s="4" t="s">
        <v>39</v>
      </c>
      <c r="D394" t="s">
        <v>10</v>
      </c>
      <c r="E394">
        <v>307841</v>
      </c>
      <c r="F394" s="5">
        <v>4579.8319327731097</v>
      </c>
      <c r="G394" s="6">
        <f t="shared" si="12"/>
        <v>870.1680672268908</v>
      </c>
      <c r="H394" s="6">
        <f t="shared" si="13"/>
        <v>5450</v>
      </c>
    </row>
    <row r="395" spans="1:8" x14ac:dyDescent="0.3">
      <c r="A395">
        <v>195</v>
      </c>
      <c r="B395" t="s">
        <v>8</v>
      </c>
      <c r="C395" s="4" t="s">
        <v>39</v>
      </c>
      <c r="D395" t="s">
        <v>10</v>
      </c>
      <c r="E395">
        <v>307842</v>
      </c>
      <c r="F395" s="5">
        <v>67184.873949579836</v>
      </c>
      <c r="G395" s="6">
        <f t="shared" si="12"/>
        <v>12765.126050420169</v>
      </c>
      <c r="H395" s="6">
        <f t="shared" si="13"/>
        <v>79950</v>
      </c>
    </row>
    <row r="396" spans="1:8" x14ac:dyDescent="0.3">
      <c r="A396">
        <v>195</v>
      </c>
      <c r="B396" t="s">
        <v>8</v>
      </c>
      <c r="C396" s="4" t="s">
        <v>39</v>
      </c>
      <c r="D396" t="s">
        <v>10</v>
      </c>
      <c r="E396">
        <v>307842</v>
      </c>
      <c r="F396" s="5">
        <v>3319.3277310924373</v>
      </c>
      <c r="G396" s="6">
        <f t="shared" si="12"/>
        <v>630.67226890756308</v>
      </c>
      <c r="H396" s="6">
        <f t="shared" si="13"/>
        <v>3950.0000000000005</v>
      </c>
    </row>
    <row r="397" spans="1:8" x14ac:dyDescent="0.3">
      <c r="A397">
        <v>195</v>
      </c>
      <c r="B397" t="s">
        <v>8</v>
      </c>
      <c r="C397" s="4" t="s">
        <v>39</v>
      </c>
      <c r="D397" t="s">
        <v>10</v>
      </c>
      <c r="E397">
        <v>307842</v>
      </c>
      <c r="F397" s="5">
        <v>5840.3361344537816</v>
      </c>
      <c r="G397" s="6">
        <f t="shared" si="12"/>
        <v>1109.6638655462184</v>
      </c>
      <c r="H397" s="6">
        <f t="shared" si="13"/>
        <v>6950</v>
      </c>
    </row>
    <row r="398" spans="1:8" x14ac:dyDescent="0.3">
      <c r="A398">
        <v>195</v>
      </c>
      <c r="B398" t="s">
        <v>8</v>
      </c>
      <c r="C398" s="4" t="s">
        <v>39</v>
      </c>
      <c r="D398" t="s">
        <v>10</v>
      </c>
      <c r="E398">
        <v>307843</v>
      </c>
      <c r="F398" s="5">
        <v>4884.8739495798318</v>
      </c>
      <c r="G398" s="6">
        <f t="shared" si="12"/>
        <v>928.1260504201681</v>
      </c>
      <c r="H398" s="6">
        <f t="shared" si="13"/>
        <v>5813</v>
      </c>
    </row>
    <row r="399" spans="1:8" x14ac:dyDescent="0.3">
      <c r="A399">
        <v>195</v>
      </c>
      <c r="B399" t="s">
        <v>8</v>
      </c>
      <c r="C399" s="4" t="s">
        <v>39</v>
      </c>
      <c r="D399" t="s">
        <v>10</v>
      </c>
      <c r="E399">
        <v>307843</v>
      </c>
      <c r="F399" s="5">
        <v>42008.403361344543</v>
      </c>
      <c r="G399" s="6">
        <f t="shared" si="12"/>
        <v>7981.5966386554628</v>
      </c>
      <c r="H399" s="6">
        <f t="shared" si="13"/>
        <v>49990.000000000007</v>
      </c>
    </row>
    <row r="400" spans="1:8" x14ac:dyDescent="0.3">
      <c r="A400">
        <v>195</v>
      </c>
      <c r="B400" t="s">
        <v>8</v>
      </c>
      <c r="C400" s="4" t="s">
        <v>39</v>
      </c>
      <c r="D400" t="s">
        <v>10</v>
      </c>
      <c r="E400">
        <v>307844</v>
      </c>
      <c r="F400" s="5">
        <v>54579.831932773115</v>
      </c>
      <c r="G400" s="6">
        <f t="shared" si="12"/>
        <v>10370.168067226892</v>
      </c>
      <c r="H400" s="6">
        <f t="shared" si="13"/>
        <v>64950.000000000007</v>
      </c>
    </row>
    <row r="401" spans="1:8" x14ac:dyDescent="0.3">
      <c r="A401">
        <v>195</v>
      </c>
      <c r="B401" t="s">
        <v>8</v>
      </c>
      <c r="C401" s="4" t="s">
        <v>39</v>
      </c>
      <c r="D401" t="s">
        <v>10</v>
      </c>
      <c r="E401">
        <v>307845</v>
      </c>
      <c r="F401" s="5">
        <v>58815.126050420171</v>
      </c>
      <c r="G401" s="6">
        <f t="shared" si="12"/>
        <v>11174.873949579833</v>
      </c>
      <c r="H401" s="6">
        <f t="shared" si="13"/>
        <v>69990</v>
      </c>
    </row>
    <row r="402" spans="1:8" x14ac:dyDescent="0.3">
      <c r="A402">
        <v>195</v>
      </c>
      <c r="B402" t="s">
        <v>8</v>
      </c>
      <c r="C402" s="4" t="s">
        <v>39</v>
      </c>
      <c r="D402" t="s">
        <v>10</v>
      </c>
      <c r="E402">
        <v>307846</v>
      </c>
      <c r="F402" s="5">
        <v>42009.243697478996</v>
      </c>
      <c r="G402" s="6">
        <f t="shared" si="12"/>
        <v>7981.7563025210093</v>
      </c>
      <c r="H402" s="6">
        <f t="shared" si="13"/>
        <v>49991.000000000007</v>
      </c>
    </row>
    <row r="403" spans="1:8" x14ac:dyDescent="0.3">
      <c r="A403">
        <v>195</v>
      </c>
      <c r="B403" t="s">
        <v>8</v>
      </c>
      <c r="C403" s="4" t="s">
        <v>39</v>
      </c>
      <c r="D403" t="s">
        <v>10</v>
      </c>
      <c r="E403">
        <v>307846</v>
      </c>
      <c r="F403" s="5">
        <v>-42008.403361344543</v>
      </c>
      <c r="G403" s="6">
        <f t="shared" si="12"/>
        <v>-7981.5966386554628</v>
      </c>
      <c r="H403" s="6">
        <f t="shared" si="13"/>
        <v>-49990.000000000007</v>
      </c>
    </row>
    <row r="404" spans="1:8" x14ac:dyDescent="0.3">
      <c r="A404">
        <v>195</v>
      </c>
      <c r="B404" t="s">
        <v>8</v>
      </c>
      <c r="C404" s="4" t="s">
        <v>39</v>
      </c>
      <c r="D404" t="s">
        <v>10</v>
      </c>
      <c r="E404">
        <v>307847</v>
      </c>
      <c r="F404" s="5">
        <v>100798.31932773109</v>
      </c>
      <c r="G404" s="6">
        <f t="shared" si="12"/>
        <v>19151.680672268907</v>
      </c>
      <c r="H404" s="6">
        <f t="shared" si="13"/>
        <v>119950</v>
      </c>
    </row>
    <row r="405" spans="1:8" x14ac:dyDescent="0.3">
      <c r="A405">
        <v>195</v>
      </c>
      <c r="B405" t="s">
        <v>8</v>
      </c>
      <c r="C405" s="4" t="s">
        <v>39</v>
      </c>
      <c r="D405" t="s">
        <v>10</v>
      </c>
      <c r="E405">
        <v>307848</v>
      </c>
      <c r="F405" s="5">
        <v>5000</v>
      </c>
      <c r="G405" s="6">
        <f t="shared" si="12"/>
        <v>950</v>
      </c>
      <c r="H405" s="6">
        <f t="shared" si="13"/>
        <v>5950</v>
      </c>
    </row>
    <row r="406" spans="1:8" x14ac:dyDescent="0.3">
      <c r="A406">
        <v>195</v>
      </c>
      <c r="B406" t="s">
        <v>8</v>
      </c>
      <c r="C406" s="4" t="s">
        <v>39</v>
      </c>
      <c r="D406" t="s">
        <v>10</v>
      </c>
      <c r="E406">
        <v>307848</v>
      </c>
      <c r="F406" s="5">
        <v>-4579.8319327731097</v>
      </c>
      <c r="G406" s="6">
        <f t="shared" si="12"/>
        <v>-870.1680672268908</v>
      </c>
      <c r="H406" s="6">
        <f t="shared" si="13"/>
        <v>-5450</v>
      </c>
    </row>
    <row r="407" spans="1:8" x14ac:dyDescent="0.3">
      <c r="A407">
        <v>195</v>
      </c>
      <c r="B407" t="s">
        <v>8</v>
      </c>
      <c r="C407" s="4" t="s">
        <v>39</v>
      </c>
      <c r="D407" t="s">
        <v>10</v>
      </c>
      <c r="E407">
        <v>307849</v>
      </c>
      <c r="F407" s="5">
        <v>4579.8319327731097</v>
      </c>
      <c r="G407" s="6">
        <f t="shared" si="12"/>
        <v>870.1680672268908</v>
      </c>
      <c r="H407" s="6">
        <f t="shared" si="13"/>
        <v>5450</v>
      </c>
    </row>
    <row r="408" spans="1:8" x14ac:dyDescent="0.3">
      <c r="A408">
        <v>195</v>
      </c>
      <c r="B408" t="s">
        <v>8</v>
      </c>
      <c r="C408" s="4" t="s">
        <v>39</v>
      </c>
      <c r="D408" t="s">
        <v>10</v>
      </c>
      <c r="E408">
        <v>307850</v>
      </c>
      <c r="F408" s="5">
        <v>42008.403361344543</v>
      </c>
      <c r="G408" s="6">
        <f t="shared" si="12"/>
        <v>7981.5966386554628</v>
      </c>
      <c r="H408" s="6">
        <f t="shared" si="13"/>
        <v>49990.000000000007</v>
      </c>
    </row>
    <row r="409" spans="1:8" x14ac:dyDescent="0.3">
      <c r="A409">
        <v>195</v>
      </c>
      <c r="B409" t="s">
        <v>8</v>
      </c>
      <c r="C409" s="4" t="s">
        <v>39</v>
      </c>
      <c r="D409" t="s">
        <v>10</v>
      </c>
      <c r="E409">
        <v>307851</v>
      </c>
      <c r="F409" s="5">
        <v>50386.554621848743</v>
      </c>
      <c r="G409" s="6">
        <f t="shared" si="12"/>
        <v>9573.445378151262</v>
      </c>
      <c r="H409" s="6">
        <f t="shared" si="13"/>
        <v>59960.000000000007</v>
      </c>
    </row>
    <row r="410" spans="1:8" x14ac:dyDescent="0.3">
      <c r="A410">
        <v>195</v>
      </c>
      <c r="B410" t="s">
        <v>8</v>
      </c>
      <c r="C410" s="4" t="s">
        <v>39</v>
      </c>
      <c r="D410" t="s">
        <v>10</v>
      </c>
      <c r="E410">
        <v>307851</v>
      </c>
      <c r="F410" s="5">
        <v>52907.563025210089</v>
      </c>
      <c r="G410" s="6">
        <f t="shared" si="12"/>
        <v>10052.436974789916</v>
      </c>
      <c r="H410" s="6">
        <f t="shared" si="13"/>
        <v>62960.000000000007</v>
      </c>
    </row>
    <row r="411" spans="1:8" x14ac:dyDescent="0.3">
      <c r="A411">
        <v>195</v>
      </c>
      <c r="B411" t="s">
        <v>8</v>
      </c>
      <c r="C411" s="4" t="s">
        <v>39</v>
      </c>
      <c r="D411" t="s">
        <v>10</v>
      </c>
      <c r="E411">
        <v>307851</v>
      </c>
      <c r="F411" s="5">
        <v>41142.857142857145</v>
      </c>
      <c r="G411" s="6">
        <f t="shared" si="12"/>
        <v>7817.1428571428578</v>
      </c>
      <c r="H411" s="6">
        <f t="shared" si="13"/>
        <v>48960</v>
      </c>
    </row>
    <row r="412" spans="1:8" x14ac:dyDescent="0.3">
      <c r="A412">
        <v>195</v>
      </c>
      <c r="B412" t="s">
        <v>8</v>
      </c>
      <c r="C412" s="4" t="s">
        <v>39</v>
      </c>
      <c r="D412" t="s">
        <v>10</v>
      </c>
      <c r="E412">
        <v>307852</v>
      </c>
      <c r="F412" s="5">
        <v>44084.033613445383</v>
      </c>
      <c r="G412" s="6">
        <f t="shared" si="12"/>
        <v>8375.9663865546227</v>
      </c>
      <c r="H412" s="6">
        <f t="shared" si="13"/>
        <v>52460.000000000007</v>
      </c>
    </row>
    <row r="413" spans="1:8" x14ac:dyDescent="0.3">
      <c r="A413">
        <v>195</v>
      </c>
      <c r="B413" t="s">
        <v>8</v>
      </c>
      <c r="C413" s="4" t="s">
        <v>39</v>
      </c>
      <c r="D413" t="s">
        <v>10</v>
      </c>
      <c r="E413">
        <v>307853</v>
      </c>
      <c r="F413" s="5">
        <v>50411.764705882357</v>
      </c>
      <c r="G413" s="6">
        <f t="shared" si="12"/>
        <v>9578.2352941176487</v>
      </c>
      <c r="H413" s="6">
        <f t="shared" si="13"/>
        <v>59990.000000000007</v>
      </c>
    </row>
    <row r="414" spans="1:8" x14ac:dyDescent="0.3">
      <c r="A414">
        <v>195</v>
      </c>
      <c r="B414" t="s">
        <v>8</v>
      </c>
      <c r="C414" s="4" t="s">
        <v>39</v>
      </c>
      <c r="D414" t="s">
        <v>10</v>
      </c>
      <c r="E414">
        <v>307853</v>
      </c>
      <c r="F414" s="5">
        <v>58781.512605042022</v>
      </c>
      <c r="G414" s="6">
        <f t="shared" si="12"/>
        <v>11168.487394957985</v>
      </c>
      <c r="H414" s="6">
        <f t="shared" si="13"/>
        <v>69950</v>
      </c>
    </row>
    <row r="415" spans="1:8" x14ac:dyDescent="0.3">
      <c r="A415">
        <v>195</v>
      </c>
      <c r="B415" t="s">
        <v>8</v>
      </c>
      <c r="C415" s="4" t="s">
        <v>39</v>
      </c>
      <c r="D415" t="s">
        <v>10</v>
      </c>
      <c r="E415">
        <v>307854</v>
      </c>
      <c r="F415" s="5">
        <v>50378.151260504201</v>
      </c>
      <c r="G415" s="6">
        <f t="shared" si="12"/>
        <v>9571.8487394957974</v>
      </c>
      <c r="H415" s="6">
        <f t="shared" si="13"/>
        <v>59950</v>
      </c>
    </row>
    <row r="416" spans="1:8" x14ac:dyDescent="0.3">
      <c r="A416">
        <v>195</v>
      </c>
      <c r="B416" t="s">
        <v>8</v>
      </c>
      <c r="C416" s="4" t="s">
        <v>39</v>
      </c>
      <c r="D416" t="s">
        <v>10</v>
      </c>
      <c r="E416">
        <v>307855</v>
      </c>
      <c r="F416" s="5">
        <v>50378.151260504201</v>
      </c>
      <c r="G416" s="6">
        <f t="shared" si="12"/>
        <v>9571.8487394957974</v>
      </c>
      <c r="H416" s="6">
        <f t="shared" si="13"/>
        <v>59950</v>
      </c>
    </row>
    <row r="417" spans="1:8" x14ac:dyDescent="0.3">
      <c r="A417">
        <v>195</v>
      </c>
      <c r="B417" t="s">
        <v>8</v>
      </c>
      <c r="C417" s="4" t="s">
        <v>39</v>
      </c>
      <c r="D417" t="s">
        <v>10</v>
      </c>
      <c r="E417">
        <v>307856</v>
      </c>
      <c r="F417" s="5">
        <v>75588.23529411765</v>
      </c>
      <c r="G417" s="6">
        <f t="shared" si="12"/>
        <v>14361.764705882353</v>
      </c>
      <c r="H417" s="6">
        <f t="shared" si="13"/>
        <v>89950</v>
      </c>
    </row>
    <row r="418" spans="1:8" x14ac:dyDescent="0.3">
      <c r="A418">
        <v>195</v>
      </c>
      <c r="B418" t="s">
        <v>8</v>
      </c>
      <c r="C418" s="4" t="s">
        <v>39</v>
      </c>
      <c r="D418" t="s">
        <v>10</v>
      </c>
      <c r="E418">
        <v>307856</v>
      </c>
      <c r="F418" s="5">
        <v>-58781.512605042022</v>
      </c>
      <c r="G418" s="6">
        <f t="shared" si="12"/>
        <v>-11168.487394957985</v>
      </c>
      <c r="H418" s="6">
        <f t="shared" si="13"/>
        <v>-69950</v>
      </c>
    </row>
    <row r="419" spans="1:8" x14ac:dyDescent="0.3">
      <c r="A419">
        <v>195</v>
      </c>
      <c r="B419" t="s">
        <v>8</v>
      </c>
      <c r="C419" s="4" t="s">
        <v>40</v>
      </c>
      <c r="D419" t="s">
        <v>10</v>
      </c>
      <c r="E419">
        <v>307857</v>
      </c>
      <c r="F419" s="5">
        <v>50378.151260504201</v>
      </c>
      <c r="G419" s="6">
        <f t="shared" si="12"/>
        <v>9571.8487394957974</v>
      </c>
      <c r="H419" s="6">
        <f t="shared" si="13"/>
        <v>59950</v>
      </c>
    </row>
    <row r="420" spans="1:8" x14ac:dyDescent="0.3">
      <c r="A420">
        <v>195</v>
      </c>
      <c r="B420" t="s">
        <v>8</v>
      </c>
      <c r="C420" s="4" t="s">
        <v>40</v>
      </c>
      <c r="D420" t="s">
        <v>10</v>
      </c>
      <c r="E420">
        <v>307858</v>
      </c>
      <c r="F420" s="5">
        <v>62983.193277310929</v>
      </c>
      <c r="G420" s="6">
        <f t="shared" si="12"/>
        <v>11966.806722689076</v>
      </c>
      <c r="H420" s="6">
        <f t="shared" si="13"/>
        <v>74950</v>
      </c>
    </row>
    <row r="421" spans="1:8" x14ac:dyDescent="0.3">
      <c r="A421">
        <v>195</v>
      </c>
      <c r="B421" t="s">
        <v>8</v>
      </c>
      <c r="C421" s="4" t="s">
        <v>40</v>
      </c>
      <c r="D421" t="s">
        <v>10</v>
      </c>
      <c r="E421">
        <v>307859</v>
      </c>
      <c r="F421" s="5">
        <v>5000</v>
      </c>
      <c r="G421" s="6">
        <f t="shared" si="12"/>
        <v>950</v>
      </c>
      <c r="H421" s="6">
        <f t="shared" si="13"/>
        <v>5950</v>
      </c>
    </row>
    <row r="422" spans="1:8" x14ac:dyDescent="0.3">
      <c r="A422">
        <v>195</v>
      </c>
      <c r="B422" t="s">
        <v>8</v>
      </c>
      <c r="C422" s="4" t="s">
        <v>40</v>
      </c>
      <c r="D422" t="s">
        <v>10</v>
      </c>
      <c r="E422">
        <v>307859</v>
      </c>
      <c r="F422" s="5">
        <v>5000</v>
      </c>
      <c r="G422" s="6">
        <f t="shared" si="12"/>
        <v>950</v>
      </c>
      <c r="H422" s="6">
        <f t="shared" si="13"/>
        <v>5950</v>
      </c>
    </row>
    <row r="423" spans="1:8" x14ac:dyDescent="0.3">
      <c r="A423">
        <v>195</v>
      </c>
      <c r="B423" t="s">
        <v>8</v>
      </c>
      <c r="C423" s="4" t="s">
        <v>40</v>
      </c>
      <c r="D423" t="s">
        <v>10</v>
      </c>
      <c r="E423">
        <v>307859</v>
      </c>
      <c r="F423" s="5">
        <v>5000</v>
      </c>
      <c r="G423" s="6">
        <f t="shared" si="12"/>
        <v>950</v>
      </c>
      <c r="H423" s="6">
        <f t="shared" si="13"/>
        <v>5950</v>
      </c>
    </row>
    <row r="424" spans="1:8" x14ac:dyDescent="0.3">
      <c r="A424">
        <v>195</v>
      </c>
      <c r="B424" t="s">
        <v>8</v>
      </c>
      <c r="C424" s="4" t="s">
        <v>40</v>
      </c>
      <c r="D424" t="s">
        <v>10</v>
      </c>
      <c r="E424">
        <v>307860</v>
      </c>
      <c r="F424" s="5">
        <v>50378.151260504201</v>
      </c>
      <c r="G424" s="6">
        <f t="shared" si="12"/>
        <v>9571.8487394957974</v>
      </c>
      <c r="H424" s="6">
        <f t="shared" si="13"/>
        <v>59950</v>
      </c>
    </row>
    <row r="425" spans="1:8" x14ac:dyDescent="0.3">
      <c r="A425">
        <v>195</v>
      </c>
      <c r="B425" t="s">
        <v>8</v>
      </c>
      <c r="C425" s="4" t="s">
        <v>40</v>
      </c>
      <c r="D425" t="s">
        <v>10</v>
      </c>
      <c r="E425">
        <v>307861</v>
      </c>
      <c r="F425" s="5">
        <v>420.1680672268908</v>
      </c>
      <c r="G425" s="6">
        <f t="shared" si="12"/>
        <v>79.831932773109259</v>
      </c>
      <c r="H425" s="6">
        <f t="shared" si="13"/>
        <v>500.00000000000006</v>
      </c>
    </row>
    <row r="426" spans="1:8" x14ac:dyDescent="0.3">
      <c r="A426">
        <v>195</v>
      </c>
      <c r="B426" t="s">
        <v>8</v>
      </c>
      <c r="C426" s="4" t="s">
        <v>40</v>
      </c>
      <c r="D426" t="s">
        <v>10</v>
      </c>
      <c r="E426">
        <v>307862</v>
      </c>
      <c r="F426" s="5">
        <v>5840.3361344537816</v>
      </c>
      <c r="G426" s="6">
        <f t="shared" si="12"/>
        <v>1109.6638655462184</v>
      </c>
      <c r="H426" s="6">
        <f t="shared" si="13"/>
        <v>6950</v>
      </c>
    </row>
    <row r="427" spans="1:8" x14ac:dyDescent="0.3">
      <c r="A427">
        <v>195</v>
      </c>
      <c r="B427" t="s">
        <v>8</v>
      </c>
      <c r="C427" s="4" t="s">
        <v>40</v>
      </c>
      <c r="D427" t="s">
        <v>10</v>
      </c>
      <c r="E427">
        <v>307863</v>
      </c>
      <c r="F427" s="5">
        <v>58815.126050420171</v>
      </c>
      <c r="G427" s="6">
        <f t="shared" si="12"/>
        <v>11174.873949579833</v>
      </c>
      <c r="H427" s="6">
        <f t="shared" si="13"/>
        <v>69990</v>
      </c>
    </row>
    <row r="428" spans="1:8" x14ac:dyDescent="0.3">
      <c r="A428">
        <v>195</v>
      </c>
      <c r="B428" t="s">
        <v>8</v>
      </c>
      <c r="C428" s="4" t="s">
        <v>40</v>
      </c>
      <c r="D428" t="s">
        <v>10</v>
      </c>
      <c r="E428">
        <v>307864</v>
      </c>
      <c r="F428" s="5">
        <v>100806.72268907563</v>
      </c>
      <c r="G428" s="6">
        <f t="shared" si="12"/>
        <v>19153.277310924368</v>
      </c>
      <c r="H428" s="6">
        <f t="shared" si="13"/>
        <v>119960</v>
      </c>
    </row>
    <row r="429" spans="1:8" x14ac:dyDescent="0.3">
      <c r="A429">
        <v>195</v>
      </c>
      <c r="B429" t="s">
        <v>8</v>
      </c>
      <c r="C429" s="4" t="s">
        <v>40</v>
      </c>
      <c r="D429" t="s">
        <v>10</v>
      </c>
      <c r="E429">
        <v>307865</v>
      </c>
      <c r="F429" s="5">
        <v>50378.151260504201</v>
      </c>
      <c r="G429" s="6">
        <f t="shared" si="12"/>
        <v>9571.8487394957974</v>
      </c>
      <c r="H429" s="6">
        <f t="shared" si="13"/>
        <v>59950</v>
      </c>
    </row>
    <row r="430" spans="1:8" x14ac:dyDescent="0.3">
      <c r="A430">
        <v>195</v>
      </c>
      <c r="B430" t="s">
        <v>8</v>
      </c>
      <c r="C430" s="4" t="s">
        <v>40</v>
      </c>
      <c r="D430" t="s">
        <v>10</v>
      </c>
      <c r="E430">
        <v>307866</v>
      </c>
      <c r="F430" s="5">
        <v>67218.487394957992</v>
      </c>
      <c r="G430" s="6">
        <f t="shared" si="12"/>
        <v>12771.512605042019</v>
      </c>
      <c r="H430" s="6">
        <f t="shared" si="13"/>
        <v>79990.000000000015</v>
      </c>
    </row>
    <row r="431" spans="1:8" x14ac:dyDescent="0.3">
      <c r="A431">
        <v>195</v>
      </c>
      <c r="B431" t="s">
        <v>8</v>
      </c>
      <c r="C431" s="4" t="s">
        <v>40</v>
      </c>
      <c r="D431" t="s">
        <v>10</v>
      </c>
      <c r="E431">
        <v>307867</v>
      </c>
      <c r="F431" s="5">
        <v>58781.512605042022</v>
      </c>
      <c r="G431" s="6">
        <f t="shared" si="12"/>
        <v>11168.487394957985</v>
      </c>
      <c r="H431" s="6">
        <f t="shared" si="13"/>
        <v>69950</v>
      </c>
    </row>
    <row r="432" spans="1:8" x14ac:dyDescent="0.3">
      <c r="A432">
        <v>195</v>
      </c>
      <c r="B432" t="s">
        <v>8</v>
      </c>
      <c r="C432" s="4" t="s">
        <v>40</v>
      </c>
      <c r="D432" t="s">
        <v>10</v>
      </c>
      <c r="E432">
        <v>307867</v>
      </c>
      <c r="F432" s="5">
        <v>107100.84033613445</v>
      </c>
      <c r="G432" s="6">
        <f t="shared" si="12"/>
        <v>20349.159663865546</v>
      </c>
      <c r="H432" s="6">
        <f t="shared" si="13"/>
        <v>127450</v>
      </c>
    </row>
    <row r="433" spans="1:8" x14ac:dyDescent="0.3">
      <c r="A433">
        <v>195</v>
      </c>
      <c r="B433" t="s">
        <v>8</v>
      </c>
      <c r="C433" s="4" t="s">
        <v>40</v>
      </c>
      <c r="D433" t="s">
        <v>10</v>
      </c>
      <c r="E433">
        <v>307868</v>
      </c>
      <c r="F433" s="5">
        <v>42008.403361344543</v>
      </c>
      <c r="G433" s="6">
        <f t="shared" si="12"/>
        <v>7981.5966386554628</v>
      </c>
      <c r="H433" s="6">
        <f t="shared" si="13"/>
        <v>49990.000000000007</v>
      </c>
    </row>
    <row r="434" spans="1:8" x14ac:dyDescent="0.3">
      <c r="A434">
        <v>195</v>
      </c>
      <c r="B434" t="s">
        <v>8</v>
      </c>
      <c r="C434" s="4" t="s">
        <v>40</v>
      </c>
      <c r="D434" t="s">
        <v>10</v>
      </c>
      <c r="E434">
        <v>307868</v>
      </c>
      <c r="F434" s="5">
        <v>420.1680672268908</v>
      </c>
      <c r="G434" s="6">
        <f t="shared" si="12"/>
        <v>79.831932773109259</v>
      </c>
      <c r="H434" s="6">
        <f t="shared" si="13"/>
        <v>500.00000000000006</v>
      </c>
    </row>
    <row r="435" spans="1:8" x14ac:dyDescent="0.3">
      <c r="A435">
        <v>195</v>
      </c>
      <c r="B435" t="s">
        <v>8</v>
      </c>
      <c r="C435" s="4" t="s">
        <v>40</v>
      </c>
      <c r="D435" t="s">
        <v>10</v>
      </c>
      <c r="E435">
        <v>307869</v>
      </c>
      <c r="F435" s="5">
        <v>75588.23529411765</v>
      </c>
      <c r="G435" s="6">
        <f t="shared" si="12"/>
        <v>14361.764705882353</v>
      </c>
      <c r="H435" s="6">
        <f t="shared" si="13"/>
        <v>89950</v>
      </c>
    </row>
    <row r="436" spans="1:8" x14ac:dyDescent="0.3">
      <c r="A436">
        <v>195</v>
      </c>
      <c r="B436" t="s">
        <v>8</v>
      </c>
      <c r="C436" s="4" t="s">
        <v>40</v>
      </c>
      <c r="D436" t="s">
        <v>10</v>
      </c>
      <c r="E436">
        <v>307870</v>
      </c>
      <c r="F436" s="5">
        <v>-42008.403361344543</v>
      </c>
      <c r="G436" s="6">
        <f t="shared" si="12"/>
        <v>-7981.5966386554628</v>
      </c>
      <c r="H436" s="6">
        <f t="shared" si="13"/>
        <v>-49990.000000000007</v>
      </c>
    </row>
    <row r="437" spans="1:8" x14ac:dyDescent="0.3">
      <c r="A437">
        <v>195</v>
      </c>
      <c r="B437" t="s">
        <v>8</v>
      </c>
      <c r="C437" s="4" t="s">
        <v>40</v>
      </c>
      <c r="D437" t="s">
        <v>10</v>
      </c>
      <c r="E437">
        <v>307870</v>
      </c>
      <c r="F437" s="5">
        <v>67184.873949579836</v>
      </c>
      <c r="G437" s="6">
        <f t="shared" si="12"/>
        <v>12765.126050420169</v>
      </c>
      <c r="H437" s="6">
        <f t="shared" si="13"/>
        <v>79950</v>
      </c>
    </row>
    <row r="438" spans="1:8" x14ac:dyDescent="0.3">
      <c r="A438">
        <v>195</v>
      </c>
      <c r="B438" t="s">
        <v>8</v>
      </c>
      <c r="C438" s="4" t="s">
        <v>40</v>
      </c>
      <c r="D438" t="s">
        <v>10</v>
      </c>
      <c r="E438">
        <v>307871</v>
      </c>
      <c r="F438" s="5">
        <v>5000</v>
      </c>
      <c r="G438" s="6">
        <f t="shared" si="12"/>
        <v>950</v>
      </c>
      <c r="H438" s="6">
        <f t="shared" si="13"/>
        <v>5950</v>
      </c>
    </row>
    <row r="439" spans="1:8" x14ac:dyDescent="0.3">
      <c r="F439" s="7">
        <f>SUM(F2:F438)</f>
        <v>15876083.193277327</v>
      </c>
      <c r="G439" s="7">
        <f t="shared" ref="G439:H439" si="14">SUM(G2:G438)</f>
        <v>3016455.8067226922</v>
      </c>
      <c r="H439" s="7">
        <f t="shared" si="14"/>
        <v>18892539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B4A4-48CC-4F54-B279-E0BFD78D0C79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4F99A-83E5-4273-B779-900062D7B469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237B4A-B9F0-4C7A-A390-2B9A3722D701}"/>
</file>

<file path=customXml/itemProps2.xml><?xml version="1.0" encoding="utf-8"?>
<ds:datastoreItem xmlns:ds="http://schemas.openxmlformats.org/officeDocument/2006/customXml" ds:itemID="{2F650D85-406B-4C53-8E8E-C011E9730BD8}"/>
</file>

<file path=customXml/itemProps3.xml><?xml version="1.0" encoding="utf-8"?>
<ds:datastoreItem xmlns:ds="http://schemas.openxmlformats.org/officeDocument/2006/customXml" ds:itemID="{FD97FB35-2CDF-4052-996A-674B853CA3C6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2026-05-14T22:05:37Z</dcterms:created>
  <dcterms:modified xsi:type="dcterms:W3CDTF">2026-05-14T22:07:05Z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